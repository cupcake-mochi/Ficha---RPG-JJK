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0" fontId="41"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Em branco, a vida está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S28" authorId="0" shapeId="0">
      <text>
        <t>5 + Força, em Volume: o que ela veste, empunha ou leva.</t>
      </text>
    </comment>
    <comment ref="O33" authorId="0" shapeId="0">
      <text>
        <t>Escolhido na montagem. Vale para o ataque e para a CD. Com arma empunhada, o ataque usa o atributo da arma e tem desvantagem, porque a entidade não tem treino em armas.</t>
      </text>
    </comment>
    <comment ref="O37" authorId="0" shapeId="0">
      <text>
        <t>4 + metade da Inteligência, para baixo. O número ao lado é o atributo da perícia mais a sua maestria.</t>
      </text>
    </comment>
    <comment ref="U40" authorId="0" shapeId="0">
      <text>
        <t>Registre o que ela veste e empunha, a proteção e os requisitos. Arma empunhada: ataque pelo atributo da arma, com desvantagem, e o dano da arma.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5"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DADOS_AM!$KR$2</f>
        <v/>
      </c>
      <c r="E12" s="19" t="n"/>
      <c r="F12" s="19" t="n"/>
      <c r="G12" s="19" t="n"/>
      <c r="H12" s="20" t="n"/>
      <c r="I12" s="120" t="n"/>
      <c r="J12" s="83" t="n"/>
      <c r="K12" s="20" t="n"/>
      <c r="L12" s="83">
        <f>DADOS_AM!$KR$3</f>
        <v/>
      </c>
      <c r="M12" s="19" t="n"/>
      <c r="N12" s="20" t="n"/>
      <c r="O12" s="120" t="n"/>
      <c r="P12" s="92">
        <f>DADOS_AM!$KR$4</f>
        <v/>
      </c>
      <c r="Q12" s="20" t="n"/>
      <c r="R12" s="92">
        <f>DADOS_AM!$KR$5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DADOS_AM!$KR$6</f>
        <v/>
      </c>
      <c r="K15" s="16" t="n"/>
      <c r="L15" s="16" t="n"/>
      <c r="M15" s="16" t="n"/>
      <c r="N15" s="17" t="n"/>
      <c r="O15" s="120" t="n"/>
      <c r="P15" s="55">
        <f>DADOS_AM!$KR$7</f>
        <v/>
      </c>
      <c r="Q15" s="16" t="n"/>
      <c r="R15" s="16" t="n"/>
      <c r="S15" s="16" t="n"/>
      <c r="T15" s="17" t="n"/>
      <c r="U15" s="120" t="n"/>
    </row>
    <row r="16" outlineLevel="1">
      <c r="B16" s="22" t="n"/>
      <c r="C16" s="120" t="n"/>
      <c r="D16" s="124">
        <f>DADOS_AM!$KR$8</f>
        <v/>
      </c>
      <c r="E16" s="16" t="n"/>
      <c r="F16" s="16" t="n"/>
      <c r="G16" s="16" t="n"/>
      <c r="H16" s="17" t="n"/>
      <c r="I16" s="120" t="n"/>
      <c r="J16" s="124" t="n"/>
      <c r="K16" s="16" t="n"/>
      <c r="L16" s="16" t="n"/>
      <c r="M16" s="16" t="n"/>
      <c r="N16" s="17" t="n"/>
      <c r="O16" s="120" t="n"/>
      <c r="P16" s="124">
        <f>DADOS_AM!$KR$9</f>
        <v/>
      </c>
      <c r="Q16" s="16" t="n"/>
      <c r="R16" s="16" t="n"/>
      <c r="S16" s="16" t="n"/>
      <c r="T16" s="17" t="n"/>
      <c r="U16" s="120" t="n"/>
    </row>
    <row r="17" outlineLevel="1">
      <c r="B17" s="22" t="n"/>
      <c r="C17" s="120" t="n"/>
      <c r="D17" s="55">
        <f>DADOS_AM!$KR$10</f>
        <v/>
      </c>
      <c r="E17" s="16" t="n"/>
      <c r="F17" s="16" t="n"/>
      <c r="G17" s="16" t="n"/>
      <c r="H17" s="17" t="n"/>
      <c r="I17" s="120" t="n"/>
      <c r="J17" s="55">
        <f>DADOS_AM!$KR$12</f>
        <v/>
      </c>
      <c r="K17" s="16" t="n"/>
      <c r="L17" s="16" t="n"/>
      <c r="M17" s="16" t="n"/>
      <c r="N17" s="17" t="n"/>
      <c r="O17" s="120" t="n"/>
      <c r="P17" s="55">
        <f>DADOS_AM!$KR$14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DADOS_AM!$KR$11</f>
        <v/>
      </c>
      <c r="E19" s="16" t="n"/>
      <c r="F19" s="16" t="n"/>
      <c r="G19" s="16" t="n"/>
      <c r="H19" s="17" t="n"/>
      <c r="I19" s="120" t="n"/>
      <c r="J19" s="124">
        <f>DADOS_AM!$KR$13</f>
        <v/>
      </c>
      <c r="K19" s="16" t="n"/>
      <c r="L19" s="16" t="n"/>
      <c r="M19" s="16" t="n"/>
      <c r="N19" s="17" t="n"/>
      <c r="O19" s="120" t="n"/>
      <c r="P19" s="124">
        <f>DADOS_AM!$KR$15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DADOS_AM!$KR$19</f>
        <v/>
      </c>
      <c r="K42" s="20" t="n"/>
      <c r="L42" s="92">
        <f>DADOS_AM!$HI$15</f>
        <v/>
      </c>
      <c r="M42" s="19" t="n"/>
      <c r="N42" s="20" t="n"/>
      <c r="O42" s="120" t="n"/>
      <c r="P42" s="92">
        <f>DADOS_AM!$KR$21</f>
        <v/>
      </c>
      <c r="Q42" s="92">
        <f>DADOS_AM!$KR$22</f>
        <v/>
      </c>
      <c r="R42" s="92">
        <f>DADOS_AM!$KR$23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DADOS_AM!$KR$24</f>
        <v/>
      </c>
      <c r="F46" s="124">
        <f>DADOS_AM!$KR$25</f>
        <v/>
      </c>
      <c r="G46" s="124">
        <f>DADOS_AM!$KR$26</f>
        <v/>
      </c>
      <c r="H46" s="17" t="n"/>
      <c r="I46" s="120" t="n"/>
      <c r="J46" s="124">
        <f>DADOS_AM!$KR$27</f>
        <v/>
      </c>
      <c r="K46" s="124">
        <f>DADOS_AM!$KR$28</f>
        <v/>
      </c>
      <c r="L46" s="124">
        <f>DADOS_AM!$KR$29</f>
        <v/>
      </c>
      <c r="M46" s="124">
        <f>DADOS_AM!$KR$30</f>
        <v/>
      </c>
      <c r="N46" s="17" t="n"/>
      <c r="O46" s="120" t="n"/>
      <c r="P46" s="124">
        <f>DADOS_AM!$KR$31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DADOS_AM!$KR$37</f>
        <v/>
      </c>
      <c r="M343" s="19" t="n"/>
      <c r="N343" s="20" t="n"/>
      <c r="O343" s="120" t="n"/>
      <c r="P343" s="92">
        <f>DADOS_AM!$KR$38</f>
        <v/>
      </c>
      <c r="Q343" s="20" t="n"/>
      <c r="R343" s="92">
        <f>DADOS_AM!$KR$39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DADOS_AM!$KR$41</f>
        <v/>
      </c>
      <c r="G357" s="19" t="n"/>
      <c r="H357" s="20" t="n"/>
      <c r="I357" s="120" t="n"/>
      <c r="J357" s="124">
        <f>DADOS_AM!$KR$42</f>
        <v/>
      </c>
      <c r="K357" s="19" t="n"/>
      <c r="L357" s="19" t="n"/>
      <c r="M357" s="19" t="n"/>
      <c r="N357" s="20" t="n"/>
      <c r="O357" s="120" t="n"/>
      <c r="P357" s="92">
        <f>DADOS_AM!$KR$43</f>
        <v/>
      </c>
      <c r="Q357" s="20" t="n"/>
      <c r="R357" s="124">
        <f>DADOS_AM!$KR$44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DADOS_AM!$KR$45</f>
        <v/>
      </c>
      <c r="E361" s="17" t="n"/>
      <c r="F361" s="124">
        <f>DADOS_AM!$KR$46</f>
        <v/>
      </c>
      <c r="G361" s="124">
        <f>DADOS_AM!$KR$47</f>
        <v/>
      </c>
      <c r="H361" s="17" t="n"/>
      <c r="I361" s="120" t="n"/>
      <c r="J361" s="124">
        <f>DADOS_AM!$KR$48</f>
        <v/>
      </c>
      <c r="K361" s="124">
        <f>DADOS_AM!$KR$49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DADOS_AM!$KR$50</f>
        <v/>
      </c>
      <c r="E362" s="17" t="n"/>
      <c r="F362" s="124">
        <f>DADOS_AM!$KR$51</f>
        <v/>
      </c>
      <c r="G362" s="124">
        <f>DADOS_AM!$KR$52</f>
        <v/>
      </c>
      <c r="H362" s="17" t="n"/>
      <c r="I362" s="120" t="n"/>
      <c r="J362" s="124">
        <f>DADOS_AM!$KR$53</f>
        <v/>
      </c>
      <c r="K362" s="124">
        <f>DADOS_AM!$KR$54</f>
        <v/>
      </c>
      <c r="L362" s="124">
        <f>DADOS_AM!$KR$55</f>
        <v/>
      </c>
      <c r="M362" s="124" t="inlineStr">
        <is>
          <t>Acontece</t>
        </is>
      </c>
      <c r="N362" s="17" t="n"/>
      <c r="O362" s="120" t="n"/>
      <c r="P362" s="21" t="n"/>
      <c r="T362" s="22" t="n"/>
      <c r="U362" s="120" t="n"/>
    </row>
    <row r="363" hidden="1" outlineLevel="1">
      <c r="A363" s="8" t="n"/>
      <c r="B363" s="14" t="n"/>
      <c r="C363" s="120" t="n"/>
      <c r="D363" s="130">
        <f>DADOS_AM!$KR$56</f>
        <v/>
      </c>
      <c r="E363" s="17" t="n"/>
      <c r="F363" s="124">
        <f>DADOS_AM!$KR$57</f>
        <v/>
      </c>
      <c r="G363" s="124">
        <f>DADOS_AM!$KR$58</f>
        <v/>
      </c>
      <c r="H363" s="17" t="n"/>
      <c r="I363" s="120" t="n"/>
      <c r="J363" s="124" t="inlineStr">
        <is>
          <t>199,5 m</t>
        </is>
      </c>
      <c r="K363" s="124">
        <f>DADOS_AM!$KR$59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DADOS_AM!$KR$61</f>
        <v/>
      </c>
      <c r="E423" s="17" t="n"/>
      <c r="F423" s="55" t="inlineStr">
        <is>
          <t>COMPRADAS</t>
        </is>
      </c>
      <c r="G423" s="16" t="n"/>
      <c r="H423" s="17" t="n"/>
      <c r="I423" s="120" t="n"/>
      <c r="J423" s="55">
        <f>DADOS_AM!$KR$63</f>
        <v/>
      </c>
      <c r="K423" s="17" t="n"/>
      <c r="L423" s="55">
        <f>DADOS_AM!$KR$65</f>
        <v/>
      </c>
      <c r="M423" s="16" t="n"/>
      <c r="N423" s="17" t="n"/>
      <c r="O423" s="120" t="n"/>
      <c r="P423" s="55">
        <f>DADOS_AM!$KR$67</f>
        <v/>
      </c>
      <c r="Q423" s="16" t="n"/>
      <c r="R423" s="16" t="n"/>
      <c r="S423" s="16" t="n"/>
      <c r="T423" s="17" t="n"/>
      <c r="U423" s="120" t="n"/>
    </row>
    <row r="424" outlineLevel="1">
      <c r="A424" s="8" t="n"/>
      <c r="B424" s="14" t="n"/>
      <c r="C424" s="120" t="n"/>
      <c r="D424" s="92">
        <f>DADOS_AM!$HI$6</f>
        <v/>
      </c>
      <c r="E424" s="20" t="n"/>
      <c r="F424" s="92">
        <f>DADOS_AM!$KR$62</f>
        <v/>
      </c>
      <c r="G424" s="19" t="n"/>
      <c r="H424" s="20" t="n"/>
      <c r="I424" s="120" t="n"/>
      <c r="J424" s="83">
        <f>DADOS_AM!$KR$64</f>
        <v/>
      </c>
      <c r="K424" s="20" t="n"/>
      <c r="L424" s="83">
        <f>DADOS_AM!$KR$66</f>
        <v/>
      </c>
      <c r="M424" s="19" t="n"/>
      <c r="N424" s="20" t="n"/>
      <c r="O424" s="120" t="n"/>
      <c r="P424" s="83">
        <f>DADOS_AM!$KR$68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DADOS_AM!$KR$69</f>
        <v/>
      </c>
      <c r="E427" s="16" t="n"/>
      <c r="F427" s="16" t="n"/>
      <c r="G427" s="16" t="n"/>
      <c r="H427" s="17" t="n"/>
      <c r="I427" s="120" t="n"/>
      <c r="J427" s="55">
        <f>DADOS_AM!$KR$70</f>
        <v/>
      </c>
      <c r="K427" s="16" t="n"/>
      <c r="L427" s="16" t="n"/>
      <c r="M427" s="16" t="n"/>
      <c r="N427" s="17" t="n"/>
      <c r="O427" s="120" t="n"/>
      <c r="P427" s="55">
        <f>DADOS_AM!$KR$71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DADOS_AM!$KR$73</f>
        <v/>
      </c>
      <c r="E446" s="137">
        <f>DADOS_AM!$HY$2</f>
        <v/>
      </c>
      <c r="F446" s="16" t="n"/>
      <c r="G446" s="16" t="n"/>
      <c r="H446" s="17" t="n"/>
      <c r="I446" s="120" t="n"/>
      <c r="J446" s="55">
        <f>DADOS_AM!$KR$74</f>
        <v/>
      </c>
      <c r="K446" s="137">
        <f>DADOS_AM!$HY$3</f>
        <v/>
      </c>
      <c r="L446" s="16" t="n"/>
      <c r="M446" s="16" t="n"/>
      <c r="N446" s="17" t="n"/>
      <c r="O446" s="120" t="n"/>
      <c r="P446" s="55">
        <f>DADOS_AM!$KR$75</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DADOS_AM!$KR$76</f>
        <v/>
      </c>
      <c r="E466" s="137">
        <f>DADOS_AM!$HY$5</f>
        <v/>
      </c>
      <c r="F466" s="16" t="n"/>
      <c r="G466" s="16" t="n"/>
      <c r="H466" s="17" t="n"/>
      <c r="I466" s="120" t="n"/>
      <c r="J466" s="55">
        <f>DADOS_AM!$KR$77</f>
        <v/>
      </c>
      <c r="K466" s="137">
        <f>DADOS_AM!$HY$6</f>
        <v/>
      </c>
      <c r="L466" s="16" t="n"/>
      <c r="M466" s="16" t="n"/>
      <c r="N466" s="17" t="n"/>
      <c r="O466" s="120" t="n"/>
      <c r="P466" s="55">
        <f>DADOS_AM!$KR$78</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DADOS_AM!$KR$79</f>
        <v/>
      </c>
      <c r="E488" s="137">
        <f>DADOS_AM!$HY$8</f>
        <v/>
      </c>
      <c r="F488" s="16" t="n"/>
      <c r="G488" s="16" t="n"/>
      <c r="H488" s="17" t="n"/>
      <c r="I488" s="120" t="n"/>
      <c r="J488" s="55">
        <f>DADOS_AM!$KR$80</f>
        <v/>
      </c>
      <c r="K488" s="137">
        <f>DADOS_AM!$HY$9</f>
        <v/>
      </c>
      <c r="L488" s="16" t="n"/>
      <c r="M488" s="16" t="n"/>
      <c r="N488" s="17" t="n"/>
      <c r="O488" s="120" t="n"/>
      <c r="P488" s="55">
        <f>DADOS_AM!$KR$81</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DADOS_AM!$KR$82</f>
        <v/>
      </c>
      <c r="E508" s="137">
        <f>DADOS_AM!$HY$11</f>
        <v/>
      </c>
      <c r="F508" s="16" t="n"/>
      <c r="G508" s="16" t="n"/>
      <c r="H508" s="17" t="n"/>
      <c r="I508" s="120" t="n"/>
      <c r="J508" s="55">
        <f>DADOS_AM!$KR$83</f>
        <v/>
      </c>
      <c r="K508" s="137">
        <f>DADOS_AM!$HY$12</f>
        <v/>
      </c>
      <c r="L508" s="16" t="n"/>
      <c r="M508" s="16" t="n"/>
      <c r="N508" s="17" t="n"/>
      <c r="O508" s="120" t="n"/>
      <c r="P508" s="55">
        <f>DADOS_AM!$KR$84</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0" t="n"/>
      <c r="AR6" s="120" t="n"/>
      <c r="AS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c r="AA7" s="120" t="n"/>
      <c r="AB7" s="120" t="n"/>
      <c r="AC7" s="120" t="n"/>
      <c r="AD7" s="120" t="n"/>
      <c r="AE7" s="120" t="n"/>
      <c r="AF7" s="120" t="n"/>
      <c r="AG7" s="120" t="n"/>
      <c r="AH7" s="120" t="n"/>
      <c r="AI7" s="120" t="n"/>
      <c r="AJ7" s="120" t="n"/>
      <c r="AK7" s="120" t="n"/>
      <c r="AL7" s="120" t="n"/>
      <c r="AM7" s="120" t="n"/>
      <c r="AN7" s="120" t="n"/>
      <c r="AO7" s="120" t="n"/>
      <c r="AP7" s="120" t="n"/>
      <c r="AQ7" s="120" t="n"/>
      <c r="AR7" s="120" t="n"/>
      <c r="AS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c r="AA8" s="120" t="n"/>
      <c r="AB8" s="120" t="n"/>
      <c r="AC8" s="120" t="n"/>
      <c r="AD8" s="120" t="n"/>
      <c r="AE8" s="120" t="n"/>
      <c r="AF8" s="120" t="n"/>
      <c r="AG8" s="120" t="n"/>
      <c r="AH8" s="120" t="n"/>
      <c r="AI8" s="120" t="n"/>
      <c r="AJ8" s="120" t="n"/>
      <c r="AK8" s="120" t="n"/>
      <c r="AL8" s="120" t="n"/>
      <c r="AM8" s="120" t="n"/>
      <c r="AN8" s="120" t="n"/>
      <c r="AO8" s="120" t="n"/>
      <c r="AP8" s="120" t="n"/>
      <c r="AQ8" s="120" t="n"/>
      <c r="AR8" s="120" t="n"/>
      <c r="AS8" s="120" t="n"/>
    </row>
    <row r="9">
      <c r="B9" s="22" t="n"/>
      <c r="C9" s="120" t="n"/>
      <c r="D9" s="123" t="inlineStr">
        <is>
          <t>O CONJUNTO</t>
        </is>
      </c>
      <c r="E9" s="19" t="n"/>
      <c r="F9" s="20" t="n"/>
      <c r="G9" s="120" t="n"/>
      <c r="H9" s="138" t="n">
        <v>1</v>
      </c>
      <c r="I9" s="139" t="n">
        <v>1</v>
      </c>
      <c r="J9" s="123">
        <f>DADOS_INVOC!$GS$2</f>
        <v/>
      </c>
      <c r="K9" s="19" t="n"/>
      <c r="L9" s="19" t="n"/>
      <c r="M9" s="19" t="n"/>
      <c r="N9" s="19" t="n"/>
      <c r="O9" s="19" t="n"/>
      <c r="P9" s="19" t="n"/>
      <c r="Q9" s="19" t="n"/>
      <c r="R9" s="19" t="n"/>
      <c r="S9" s="19" t="n"/>
      <c r="T9" s="19" t="n"/>
      <c r="U9" s="19" t="n"/>
      <c r="V9" s="19" t="n"/>
      <c r="W9" s="19" t="n"/>
      <c r="X9" s="19" t="n"/>
      <c r="Y9" s="20" t="n"/>
      <c r="Z9" s="120" t="n"/>
      <c r="AA9" s="138" t="n">
        <v>7</v>
      </c>
      <c r="AB9" s="139" t="n">
        <v>7</v>
      </c>
      <c r="AC9" s="123">
        <f>DADOS_INVOC!$GS$8</f>
        <v/>
      </c>
      <c r="AD9" s="19" t="n"/>
      <c r="AE9" s="19" t="n"/>
      <c r="AF9" s="19" t="n"/>
      <c r="AG9" s="19" t="n"/>
      <c r="AH9" s="19" t="n"/>
      <c r="AI9" s="19" t="n"/>
      <c r="AJ9" s="19" t="n"/>
      <c r="AK9" s="19" t="n"/>
      <c r="AL9" s="19" t="n"/>
      <c r="AM9" s="19" t="n"/>
      <c r="AN9" s="19" t="n"/>
      <c r="AO9" s="19" t="n"/>
      <c r="AP9" s="19" t="n"/>
      <c r="AQ9" s="19" t="n"/>
      <c r="AR9" s="20" t="n"/>
      <c r="AS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c r="AB10" s="125" t="n"/>
      <c r="AC10" s="23" t="n"/>
      <c r="AD10" s="24" t="n"/>
      <c r="AE10" s="24" t="n"/>
      <c r="AF10" s="24" t="n"/>
      <c r="AG10" s="24" t="n"/>
      <c r="AH10" s="24" t="n"/>
      <c r="AI10" s="24" t="n"/>
      <c r="AJ10" s="24" t="n"/>
      <c r="AK10" s="24" t="n"/>
      <c r="AL10" s="24" t="n"/>
      <c r="AM10" s="24" t="n"/>
      <c r="AN10" s="24" t="n"/>
      <c r="AO10" s="24" t="n"/>
      <c r="AP10" s="24" t="n"/>
      <c r="AQ10" s="24" t="n"/>
      <c r="AR10" s="25" t="n"/>
      <c r="AS10" s="120" t="n"/>
    </row>
    <row r="11">
      <c r="B11" s="22" t="n"/>
      <c r="C11" s="120" t="n"/>
      <c r="D11" s="120" t="n"/>
      <c r="E11" s="120" t="n"/>
      <c r="F11" s="120" t="n"/>
      <c r="G11" s="120" t="n"/>
      <c r="H11" s="140">
        <f>DADOS_INVOC!$GT$2</f>
        <v/>
      </c>
      <c r="I11" s="120" t="n"/>
      <c r="J11" s="120" t="n"/>
      <c r="K11" s="120" t="n"/>
      <c r="L11" s="120" t="n"/>
      <c r="M11" s="120" t="n"/>
      <c r="N11" s="120" t="n"/>
      <c r="O11" s="120" t="n"/>
      <c r="P11" s="120" t="n"/>
      <c r="Q11" s="120" t="n"/>
      <c r="R11" s="120" t="n"/>
      <c r="S11" s="120" t="n"/>
      <c r="T11" s="120" t="n"/>
      <c r="U11" s="120" t="n"/>
      <c r="V11" s="120" t="n"/>
      <c r="W11" s="120" t="n"/>
      <c r="X11" s="120" t="n"/>
      <c r="Y11" s="120" t="n"/>
      <c r="Z11" s="120" t="n"/>
      <c r="AA11" s="140">
        <f>DADOS_INVOC!$GT$8</f>
        <v/>
      </c>
      <c r="AB11" s="120" t="n"/>
      <c r="AC11" s="120" t="n"/>
      <c r="AD11" s="120" t="n"/>
      <c r="AE11" s="120" t="n"/>
      <c r="AF11" s="120" t="n"/>
      <c r="AG11" s="120" t="n"/>
      <c r="AH11" s="120" t="n"/>
      <c r="AI11" s="120" t="n"/>
      <c r="AJ11" s="120" t="n"/>
      <c r="AK11" s="120" t="n"/>
      <c r="AL11" s="120" t="n"/>
      <c r="AM11" s="120" t="n"/>
      <c r="AN11" s="120" t="n"/>
      <c r="AO11" s="120" t="n"/>
      <c r="AP11" s="120" t="n"/>
      <c r="AQ11" s="120" t="n"/>
      <c r="AR11" s="120" t="n"/>
      <c r="AS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VIDA ATUAL</t>
        </is>
      </c>
      <c r="V12" s="55" t="inlineStr">
        <is>
          <t>VIDA MÁXIMA</t>
        </is>
      </c>
      <c r="W12" s="55" t="inlineStr">
        <is>
          <t>TEMPORÁRIA</t>
        </is>
      </c>
      <c r="X12" s="55" t="inlineStr">
        <is>
          <t>± PERDA / GANHO</t>
        </is>
      </c>
      <c r="Y12" s="55">
        <f>DADOS_INVOC!$HN$2</f>
        <v/>
      </c>
      <c r="Z12" s="120" t="n"/>
      <c r="AB12" s="55" t="inlineStr">
        <is>
          <t>NOME</t>
        </is>
      </c>
      <c r="AC12" s="16" t="n"/>
      <c r="AD12" s="16" t="n"/>
      <c r="AE12" s="16" t="n"/>
      <c r="AF12" s="17" t="n"/>
      <c r="AG12" s="120" t="n"/>
      <c r="AH12" s="55" t="inlineStr">
        <is>
          <t>NÍVEL</t>
        </is>
      </c>
      <c r="AI12" s="55" t="inlineStr">
        <is>
          <t>CLASSE</t>
        </is>
      </c>
      <c r="AJ12" s="55" t="inlineStr">
        <is>
          <t>MAESTRIA</t>
        </is>
      </c>
      <c r="AK12" s="55" t="inlineStr">
        <is>
          <t>ENTRADA</t>
        </is>
      </c>
      <c r="AL12" s="55" t="inlineStr">
        <is>
          <t>RETORNO</t>
        </is>
      </c>
      <c r="AM12" s="120" t="n"/>
      <c r="AN12" s="55" t="inlineStr">
        <is>
          <t>VIDA ATUAL</t>
        </is>
      </c>
      <c r="AO12" s="55" t="inlineStr">
        <is>
          <t>VIDA MÁXIMA</t>
        </is>
      </c>
      <c r="AP12" s="55" t="inlineStr">
        <is>
          <t>TEMPORÁRIA</t>
        </is>
      </c>
      <c r="AQ12" s="55" t="inlineStr">
        <is>
          <t>± PERDA / GANHO</t>
        </is>
      </c>
      <c r="AR12" s="55">
        <f>DADOS_INVOC!$HN$8</f>
        <v/>
      </c>
      <c r="AS12" s="120" t="n"/>
    </row>
    <row r="13">
      <c r="B13" s="22" t="n"/>
      <c r="C13" s="120" t="n"/>
      <c r="D13" s="92">
        <f>DADOS_INVOC!$CW$2</f>
        <v/>
      </c>
      <c r="E13" s="92">
        <f>DADOS_INVOC!$QD$2</f>
        <v/>
      </c>
      <c r="F13" s="124">
        <f>DADOS_INVOC!$QD$3</f>
        <v/>
      </c>
      <c r="G13" s="120" t="n"/>
      <c r="I13" s="83" t="n"/>
      <c r="J13" s="19" t="n"/>
      <c r="K13" s="19" t="n"/>
      <c r="L13" s="19" t="n"/>
      <c r="M13" s="20" t="n"/>
      <c r="N13" s="120" t="n"/>
      <c r="O13" s="92">
        <f>DADOS_INVOC!$FG$2</f>
        <v/>
      </c>
      <c r="P13" s="92">
        <f>DADOS_INVOC!$FH$2</f>
        <v/>
      </c>
      <c r="Q13" s="92">
        <f>DADOS_INVOC!$GU$2</f>
        <v/>
      </c>
      <c r="R13" s="92">
        <f>DADOS_INVOC!$GV$2</f>
        <v/>
      </c>
      <c r="S13" s="92">
        <f>DADOS_INVOC!$GW$2</f>
        <v/>
      </c>
      <c r="T13" s="120" t="n"/>
      <c r="U13" s="92" t="n"/>
      <c r="V13" s="92">
        <f>DADOS_INVOC!$FX$2</f>
        <v/>
      </c>
      <c r="W13" s="92" t="n"/>
      <c r="X13" s="92" t="n"/>
      <c r="Y13" s="92" t="n"/>
      <c r="Z13" s="120" t="n"/>
      <c r="AB13" s="83" t="n"/>
      <c r="AC13" s="19" t="n"/>
      <c r="AD13" s="19" t="n"/>
      <c r="AE13" s="19" t="n"/>
      <c r="AF13" s="20" t="n"/>
      <c r="AG13" s="120" t="n"/>
      <c r="AH13" s="92">
        <f>DADOS_INVOC!$FG$8</f>
        <v/>
      </c>
      <c r="AI13" s="92">
        <f>DADOS_INVOC!$FH$8</f>
        <v/>
      </c>
      <c r="AJ13" s="92">
        <f>DADOS_INVOC!$GU$8</f>
        <v/>
      </c>
      <c r="AK13" s="92">
        <f>DADOS_INVOC!$GV$8</f>
        <v/>
      </c>
      <c r="AL13" s="92">
        <f>DADOS_INVOC!$GW$8</f>
        <v/>
      </c>
      <c r="AM13" s="120" t="n"/>
      <c r="AN13" s="92" t="n"/>
      <c r="AO13" s="92">
        <f>DADOS_INVOC!$FX$8</f>
        <v/>
      </c>
      <c r="AP13" s="92" t="n"/>
      <c r="AQ13" s="92" t="n"/>
      <c r="AR13" s="92" t="n"/>
      <c r="AS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125" t="n"/>
      <c r="V14" s="125" t="n"/>
      <c r="W14" s="125" t="n"/>
      <c r="X14" s="125" t="n"/>
      <c r="Y14" s="125" t="n"/>
      <c r="Z14" s="120" t="n"/>
      <c r="AB14" s="23" t="n"/>
      <c r="AC14" s="24" t="n"/>
      <c r="AD14" s="24" t="n"/>
      <c r="AE14" s="24" t="n"/>
      <c r="AF14" s="25" t="n"/>
      <c r="AG14" s="120" t="n"/>
      <c r="AH14" s="125" t="n"/>
      <c r="AI14" s="125" t="n"/>
      <c r="AJ14" s="125" t="n"/>
      <c r="AK14" s="125" t="n"/>
      <c r="AL14" s="125" t="n"/>
      <c r="AM14" s="120" t="n"/>
      <c r="AN14" s="125" t="n"/>
      <c r="AO14" s="125" t="n"/>
      <c r="AP14" s="125" t="n"/>
      <c r="AQ14" s="125" t="n"/>
      <c r="AR14" s="125" t="n"/>
      <c r="AS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130">
        <f>IFERROR(SPARKLINE(DADOS_INVOC!$FY$2,{"charttype","bar";"max",MAX(1,DADOS_INVOC!$FX$2);"color1",DADOS_INVOC!$CW$12}),"")</f>
        <v/>
      </c>
      <c r="V15" s="16" t="n"/>
      <c r="W15" s="16" t="n"/>
      <c r="X15" s="16" t="n"/>
      <c r="Y15" s="17" t="n"/>
      <c r="Z15" s="120" t="n"/>
      <c r="AB15" s="141" t="inlineStr">
        <is>
          <t>FOTO
式神</t>
        </is>
      </c>
      <c r="AC15" s="19" t="n"/>
      <c r="AD15" s="19" t="n"/>
      <c r="AE15" s="19" t="n"/>
      <c r="AF15" s="20" t="n"/>
      <c r="AG15" s="120" t="n"/>
      <c r="AH15" s="120" t="n"/>
      <c r="AI15" s="120" t="n"/>
      <c r="AJ15" s="120" t="n"/>
      <c r="AK15" s="120" t="n"/>
      <c r="AL15" s="120" t="n"/>
      <c r="AM15" s="120" t="n"/>
      <c r="AN15" s="130">
        <f>IFERROR(SPARKLINE(DADOS_INVOC!$FY$8,{"charttype","bar";"max",MAX(1,DADOS_INVOC!$FX$8);"color1",DADOS_INVOC!$CW$12}),"")</f>
        <v/>
      </c>
      <c r="AO15" s="16" t="n"/>
      <c r="AP15" s="16" t="n"/>
      <c r="AQ15" s="16" t="n"/>
      <c r="AR15" s="17" t="n"/>
      <c r="AS15" s="120" t="n"/>
    </row>
    <row r="16">
      <c r="B16" s="22" t="n"/>
      <c r="C16" s="120" t="n"/>
      <c r="D16" s="55" t="inlineStr">
        <is>
          <t>DEFESA USA</t>
        </is>
      </c>
      <c r="E16" s="55" t="inlineStr">
        <is>
          <t>ATIVAS, NO MÁXIMO</t>
        </is>
      </c>
      <c r="F16" s="55" t="inlineStr">
        <is>
          <t>CORPOS MANTIDOS</t>
        </is>
      </c>
      <c r="G16" s="120" t="n"/>
      <c r="I16" s="21" t="n"/>
      <c r="M16" s="22" t="n"/>
      <c r="N16" s="120" t="n"/>
      <c r="O16" s="55">
        <f>DADOS_INVOC!$GX$2</f>
        <v/>
      </c>
      <c r="P16" s="16" t="n"/>
      <c r="Q16" s="16" t="n"/>
      <c r="R16" s="16" t="n"/>
      <c r="S16" s="17" t="n"/>
      <c r="T16" s="120" t="n"/>
      <c r="U16" s="120" t="n"/>
      <c r="V16" s="120" t="n"/>
      <c r="W16" s="120" t="n"/>
      <c r="X16" s="120" t="n"/>
      <c r="Y16" s="120" t="n"/>
      <c r="Z16" s="120" t="n"/>
      <c r="AB16" s="21" t="n"/>
      <c r="AF16" s="22" t="n"/>
      <c r="AG16" s="120" t="n"/>
      <c r="AH16" s="55">
        <f>DADOS_INVOC!$GX$8</f>
        <v/>
      </c>
      <c r="AI16" s="16" t="n"/>
      <c r="AJ16" s="16" t="n"/>
      <c r="AK16" s="16" t="n"/>
      <c r="AL16" s="17" t="n"/>
      <c r="AM16" s="120" t="n"/>
      <c r="AN16" s="120" t="n"/>
      <c r="AO16" s="120" t="n"/>
      <c r="AP16" s="120" t="n"/>
      <c r="AQ16" s="120" t="n"/>
      <c r="AR16" s="120" t="n"/>
      <c r="AS16" s="120" t="n"/>
    </row>
    <row r="17">
      <c r="B17" s="22" t="n"/>
      <c r="C17" s="120" t="n"/>
      <c r="D17" s="124" t="inlineStr">
        <is>
          <t>Essência</t>
        </is>
      </c>
      <c r="E17" s="92">
        <f>DADOS_INVOC!$CW$8</f>
        <v/>
      </c>
      <c r="F17" s="92">
        <f>DADOS_INVOC!$CW$9</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CONDIÇÕES E USOS GASTOS</t>
        </is>
      </c>
      <c r="V17" s="16" t="n"/>
      <c r="W17" s="16" t="n"/>
      <c r="X17" s="16" t="n"/>
      <c r="Y17" s="17" t="n"/>
      <c r="Z17" s="120" t="n"/>
      <c r="AB17" s="21" t="n"/>
      <c r="AF17" s="22" t="n"/>
      <c r="AG17" s="120" t="n"/>
      <c r="AH17" s="55" t="inlineStr">
        <is>
          <t>FOR</t>
        </is>
      </c>
      <c r="AI17" s="55" t="inlineStr">
        <is>
          <t>DES</t>
        </is>
      </c>
      <c r="AJ17" s="55" t="inlineStr">
        <is>
          <t>CON</t>
        </is>
      </c>
      <c r="AK17" s="55" t="inlineStr">
        <is>
          <t>INT</t>
        </is>
      </c>
      <c r="AL17" s="55" t="inlineStr">
        <is>
          <t>ESS</t>
        </is>
      </c>
      <c r="AM17" s="120" t="n"/>
      <c r="AN17" s="55" t="inlineStr">
        <is>
          <t>CONDIÇÕES E USOS GASTOS</t>
        </is>
      </c>
      <c r="AO17" s="16" t="n"/>
      <c r="AP17" s="16" t="n"/>
      <c r="AQ17" s="16" t="n"/>
      <c r="AR17" s="17" t="n"/>
      <c r="AS17" s="120" t="n"/>
    </row>
    <row r="18">
      <c r="B18" s="22" t="n"/>
      <c r="C18" s="120" t="n"/>
      <c r="D18" s="125" t="n"/>
      <c r="E18" s="125" t="n"/>
      <c r="F18" s="125" t="n"/>
      <c r="G18" s="120" t="n"/>
      <c r="I18" s="21" t="n"/>
      <c r="M18" s="22" t="n"/>
      <c r="N18" s="120" t="n"/>
      <c r="O18" s="92">
        <f>DADOS_INVOC!$FJ$2</f>
        <v/>
      </c>
      <c r="P18" s="92">
        <f>DADOS_INVOC!$FK$2</f>
        <v/>
      </c>
      <c r="Q18" s="92">
        <f>DADOS_INVOC!$FL$2</f>
        <v/>
      </c>
      <c r="R18" s="92">
        <f>DADOS_INVOC!$FM$2</f>
        <v/>
      </c>
      <c r="S18" s="92">
        <f>DADOS_INVOC!$FN$2</f>
        <v/>
      </c>
      <c r="T18" s="120" t="n"/>
      <c r="U18" s="116" t="n"/>
      <c r="V18" s="19" t="n"/>
      <c r="W18" s="19" t="n"/>
      <c r="X18" s="19" t="n"/>
      <c r="Y18" s="20" t="n"/>
      <c r="Z18" s="120" t="n"/>
      <c r="AB18" s="21" t="n"/>
      <c r="AF18" s="22" t="n"/>
      <c r="AG18" s="120" t="n"/>
      <c r="AH18" s="92">
        <f>DADOS_INVOC!$FJ$8</f>
        <v/>
      </c>
      <c r="AI18" s="92">
        <f>DADOS_INVOC!$FK$8</f>
        <v/>
      </c>
      <c r="AJ18" s="92">
        <f>DADOS_INVOC!$FL$8</f>
        <v/>
      </c>
      <c r="AK18" s="92">
        <f>DADOS_INVOC!$FM$8</f>
        <v/>
      </c>
      <c r="AL18" s="92">
        <f>DADOS_INVOC!$FN$8</f>
        <v/>
      </c>
      <c r="AM18" s="120" t="n"/>
      <c r="AN18" s="116" t="n"/>
      <c r="AO18" s="19" t="n"/>
      <c r="AP18" s="19" t="n"/>
      <c r="AQ18" s="19" t="n"/>
      <c r="AR18" s="20" t="n"/>
      <c r="AS18" s="120" t="n"/>
    </row>
    <row r="19">
      <c r="B19" s="22" t="n"/>
      <c r="C19" s="120" t="n"/>
      <c r="D19" s="120" t="n"/>
      <c r="E19" s="120" t="n"/>
      <c r="F19" s="120" t="n"/>
      <c r="G19" s="120" t="n"/>
      <c r="I19" s="21" t="n"/>
      <c r="M19" s="22" t="n"/>
      <c r="N19" s="120" t="n"/>
      <c r="O19" s="125" t="n"/>
      <c r="P19" s="125" t="n"/>
      <c r="Q19" s="125" t="n"/>
      <c r="R19" s="125" t="n"/>
      <c r="S19" s="125" t="n"/>
      <c r="T19" s="120" t="n"/>
      <c r="U19" s="21" t="n"/>
      <c r="Y19" s="22" t="n"/>
      <c r="Z19" s="120" t="n"/>
      <c r="AB19" s="21" t="n"/>
      <c r="AF19" s="22" t="n"/>
      <c r="AG19" s="120" t="n"/>
      <c r="AH19" s="125" t="n"/>
      <c r="AI19" s="125" t="n"/>
      <c r="AJ19" s="125" t="n"/>
      <c r="AK19" s="125" t="n"/>
      <c r="AL19" s="125" t="n"/>
      <c r="AM19" s="120" t="n"/>
      <c r="AN19" s="21" t="n"/>
      <c r="AR19" s="22" t="n"/>
      <c r="AS19" s="120" t="n"/>
    </row>
    <row r="20">
      <c r="B20" s="22" t="n"/>
      <c r="C20" s="120" t="n"/>
      <c r="D20" s="55">
        <f>DADOS_INVOC!$QD$4</f>
        <v/>
      </c>
      <c r="E20" s="16" t="n"/>
      <c r="F20" s="17" t="n"/>
      <c r="G20" s="120" t="n"/>
      <c r="I20" s="21" t="n"/>
      <c r="M20" s="22" t="n"/>
      <c r="N20" s="120" t="n"/>
      <c r="O20" s="142" t="n">
        <v>0</v>
      </c>
      <c r="P20" s="142" t="n">
        <v>0</v>
      </c>
      <c r="Q20" s="142" t="n">
        <v>0</v>
      </c>
      <c r="R20" s="142" t="n">
        <v>0</v>
      </c>
      <c r="S20" s="142" t="n">
        <v>0</v>
      </c>
      <c r="T20" s="120" t="n"/>
      <c r="U20" s="21" t="n"/>
      <c r="Y20" s="22" t="n"/>
      <c r="Z20" s="120" t="n"/>
      <c r="AB20" s="21" t="n"/>
      <c r="AF20" s="22" t="n"/>
      <c r="AG20" s="120" t="n"/>
      <c r="AH20" s="142" t="n">
        <v>0</v>
      </c>
      <c r="AI20" s="142" t="n">
        <v>0</v>
      </c>
      <c r="AJ20" s="142" t="n">
        <v>0</v>
      </c>
      <c r="AK20" s="142" t="n">
        <v>0</v>
      </c>
      <c r="AL20" s="142" t="n">
        <v>0</v>
      </c>
      <c r="AM20" s="120" t="n"/>
      <c r="AN20" s="21" t="n"/>
      <c r="AR20" s="22" t="n"/>
      <c r="AS20" s="120" t="n"/>
    </row>
    <row r="21">
      <c r="B21" s="22" t="n"/>
      <c r="C21" s="120" t="n"/>
      <c r="D21" s="143">
        <f>DADOS_INVOC!$IW$2</f>
        <v/>
      </c>
      <c r="E21" s="16" t="n"/>
      <c r="F21" s="17" t="n"/>
      <c r="G21" s="120" t="n"/>
      <c r="I21" s="21" t="n"/>
      <c r="M21" s="22" t="n"/>
      <c r="N21" s="120" t="n"/>
      <c r="O21" s="144" t="n">
        <v>0</v>
      </c>
      <c r="P21" s="144" t="n">
        <v>0</v>
      </c>
      <c r="Q21" s="144" t="n">
        <v>0</v>
      </c>
      <c r="R21" s="144" t="n">
        <v>0</v>
      </c>
      <c r="S21" s="144" t="n">
        <v>0</v>
      </c>
      <c r="T21" s="120" t="n"/>
      <c r="U21" s="21" t="n"/>
      <c r="Y21" s="22" t="n"/>
      <c r="Z21" s="120" t="n"/>
      <c r="AB21" s="21" t="n"/>
      <c r="AF21" s="22" t="n"/>
      <c r="AG21" s="120" t="n"/>
      <c r="AH21" s="144" t="n">
        <v>0</v>
      </c>
      <c r="AI21" s="144" t="n">
        <v>0</v>
      </c>
      <c r="AJ21" s="144" t="n">
        <v>0</v>
      </c>
      <c r="AK21" s="144" t="n">
        <v>0</v>
      </c>
      <c r="AL21" s="144" t="n">
        <v>0</v>
      </c>
      <c r="AM21" s="120" t="n"/>
      <c r="AN21" s="21" t="n"/>
      <c r="AR21" s="22" t="n"/>
      <c r="AS21" s="120" t="n"/>
    </row>
    <row r="22">
      <c r="B22" s="22" t="n"/>
      <c r="C22" s="120" t="n"/>
      <c r="D22" s="143">
        <f>DADOS_INVOC!$IW$3</f>
        <v/>
      </c>
      <c r="E22" s="16" t="n"/>
      <c r="F22" s="17" t="n"/>
      <c r="G22" s="120" t="n"/>
      <c r="I22" s="21" t="n"/>
      <c r="M22" s="22" t="n"/>
      <c r="N22" s="120" t="n"/>
      <c r="O22" s="120" t="n"/>
      <c r="P22" s="120" t="n"/>
      <c r="Q22" s="120" t="n"/>
      <c r="R22" s="120" t="n"/>
      <c r="S22" s="120" t="n"/>
      <c r="T22" s="120" t="n"/>
      <c r="U22" s="21" t="n"/>
      <c r="Y22" s="22" t="n"/>
      <c r="Z22" s="120" t="n"/>
      <c r="AB22" s="21" t="n"/>
      <c r="AF22" s="22" t="n"/>
      <c r="AG22" s="120" t="n"/>
      <c r="AH22" s="120" t="n"/>
      <c r="AI22" s="120" t="n"/>
      <c r="AJ22" s="120" t="n"/>
      <c r="AK22" s="120" t="n"/>
      <c r="AL22" s="120" t="n"/>
      <c r="AM22" s="120" t="n"/>
      <c r="AN22" s="21" t="n"/>
      <c r="AR22" s="22" t="n"/>
      <c r="AS22" s="120" t="n"/>
    </row>
    <row r="23">
      <c r="B23" s="22" t="n"/>
      <c r="C23" s="120" t="n"/>
      <c r="D23" s="143">
        <f>DADOS_INVOC!$IW$4</f>
        <v/>
      </c>
      <c r="E23" s="16" t="n"/>
      <c r="F23" s="17"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21" t="n"/>
      <c r="Y23" s="22" t="n"/>
      <c r="Z23" s="120" t="n"/>
      <c r="AB23" s="21" t="n"/>
      <c r="AF23" s="22" t="n"/>
      <c r="AG23" s="120" t="n"/>
      <c r="AH23" s="55" t="inlineStr">
        <is>
          <t>ATAQUE</t>
        </is>
      </c>
      <c r="AI23" s="55" t="inlineStr">
        <is>
          <t>CD</t>
        </is>
      </c>
      <c r="AJ23" s="55" t="inlineStr">
        <is>
          <t>DEFESA</t>
        </is>
      </c>
      <c r="AK23" s="55" t="inlineStr">
        <is>
          <t>VIDA MÁXIMA</t>
        </is>
      </c>
      <c r="AL23" s="55" t="inlineStr">
        <is>
          <t>DESLOCAMENTO</t>
        </is>
      </c>
      <c r="AM23" s="120" t="n"/>
      <c r="AN23" s="21" t="n"/>
      <c r="AR23" s="22" t="n"/>
      <c r="AS23" s="120" t="n"/>
    </row>
    <row r="24">
      <c r="B24" s="22" t="n"/>
      <c r="C24" s="120" t="n"/>
      <c r="D24" s="143">
        <f>DADOS_INVOC!$IW$5</f>
        <v/>
      </c>
      <c r="E24" s="16" t="n"/>
      <c r="F24" s="17" t="n"/>
      <c r="G24" s="120" t="n"/>
      <c r="I24" s="21" t="n"/>
      <c r="M24" s="22" t="n"/>
      <c r="N24" s="120" t="n"/>
      <c r="O24" s="92">
        <f>DADOS_INVOC!$GY$2</f>
        <v/>
      </c>
      <c r="P24" s="92">
        <f>DADOS_INVOC!$GZ$2</f>
        <v/>
      </c>
      <c r="Q24" s="92">
        <f>DADOS_INVOC!$FV$2</f>
        <v/>
      </c>
      <c r="R24" s="92">
        <f>DADOS_INVOC!$FX$2</f>
        <v/>
      </c>
      <c r="S24" s="92">
        <f>DADOS_INVOC!$HA$2</f>
        <v/>
      </c>
      <c r="T24" s="120" t="n"/>
      <c r="U24" s="23" t="n"/>
      <c r="V24" s="24" t="n"/>
      <c r="W24" s="24" t="n"/>
      <c r="X24" s="24" t="n"/>
      <c r="Y24" s="25" t="n"/>
      <c r="Z24" s="120" t="n"/>
      <c r="AB24" s="21" t="n"/>
      <c r="AF24" s="22" t="n"/>
      <c r="AG24" s="120" t="n"/>
      <c r="AH24" s="92">
        <f>DADOS_INVOC!$GY$8</f>
        <v/>
      </c>
      <c r="AI24" s="92">
        <f>DADOS_INVOC!$GZ$8</f>
        <v/>
      </c>
      <c r="AJ24" s="92">
        <f>DADOS_INVOC!$FV$8</f>
        <v/>
      </c>
      <c r="AK24" s="92">
        <f>DADOS_INVOC!$FX$8</f>
        <v/>
      </c>
      <c r="AL24" s="92">
        <f>DADOS_INVOC!$HA$8</f>
        <v/>
      </c>
      <c r="AM24" s="120" t="n"/>
      <c r="AN24" s="23" t="n"/>
      <c r="AO24" s="24" t="n"/>
      <c r="AP24" s="24" t="n"/>
      <c r="AQ24" s="24" t="n"/>
      <c r="AR24" s="25" t="n"/>
      <c r="AS24" s="120" t="n"/>
    </row>
    <row r="25">
      <c r="B25" s="22" t="n"/>
      <c r="C25" s="120" t="n"/>
      <c r="D25" s="143">
        <f>DADOS_INVOC!$IW$6</f>
        <v/>
      </c>
      <c r="E25" s="16" t="n"/>
      <c r="F25" s="17" t="n"/>
      <c r="G25" s="120" t="n"/>
      <c r="I25" s="21" t="n"/>
      <c r="M25" s="22" t="n"/>
      <c r="N25" s="120" t="n"/>
      <c r="O25" s="125" t="n"/>
      <c r="P25" s="125" t="n"/>
      <c r="Q25" s="125" t="n"/>
      <c r="R25" s="125" t="n"/>
      <c r="S25" s="125" t="n"/>
      <c r="T25" s="120" t="n"/>
      <c r="U25" s="120" t="n"/>
      <c r="V25" s="120" t="n"/>
      <c r="W25" s="120" t="n"/>
      <c r="X25" s="120" t="n"/>
      <c r="Y25" s="120" t="n"/>
      <c r="Z25" s="120" t="n"/>
      <c r="AB25" s="21" t="n"/>
      <c r="AF25" s="22" t="n"/>
      <c r="AG25" s="120" t="n"/>
      <c r="AH25" s="125" t="n"/>
      <c r="AI25" s="125" t="n"/>
      <c r="AJ25" s="125" t="n"/>
      <c r="AK25" s="125" t="n"/>
      <c r="AL25" s="125" t="n"/>
      <c r="AM25" s="120" t="n"/>
      <c r="AN25" s="120" t="n"/>
      <c r="AO25" s="120" t="n"/>
      <c r="AP25" s="120" t="n"/>
      <c r="AQ25" s="120" t="n"/>
      <c r="AR25" s="120" t="n"/>
      <c r="AS25" s="120" t="n"/>
    </row>
    <row r="26">
      <c r="B26" s="22" t="n"/>
      <c r="C26" s="120" t="n"/>
      <c r="D26" s="143">
        <f>DADOS_INVOC!$IW$7</f>
        <v/>
      </c>
      <c r="E26" s="16" t="n"/>
      <c r="F26" s="17" t="n"/>
      <c r="G26" s="120" t="n"/>
      <c r="I26" s="21" t="n"/>
      <c r="M26" s="22" t="n"/>
      <c r="N26" s="120" t="n"/>
      <c r="O26" s="144" t="n">
        <v>0</v>
      </c>
      <c r="P26" s="144" t="n">
        <v>0</v>
      </c>
      <c r="Q26" s="144" t="n">
        <v>0</v>
      </c>
      <c r="R26" s="144" t="n">
        <v>0</v>
      </c>
      <c r="S26" s="144" t="n">
        <v>0</v>
      </c>
      <c r="T26" s="120" t="n"/>
      <c r="U26" s="55" t="inlineStr">
        <is>
          <t>ANOTAÇÕES</t>
        </is>
      </c>
      <c r="V26" s="16" t="n"/>
      <c r="W26" s="16" t="n"/>
      <c r="X26" s="16" t="n"/>
      <c r="Y26" s="17" t="n"/>
      <c r="Z26" s="120" t="n"/>
      <c r="AB26" s="21" t="n"/>
      <c r="AF26" s="22" t="n"/>
      <c r="AG26" s="120" t="n"/>
      <c r="AH26" s="144" t="n">
        <v>0</v>
      </c>
      <c r="AI26" s="144" t="n">
        <v>0</v>
      </c>
      <c r="AJ26" s="144" t="n">
        <v>0</v>
      </c>
      <c r="AK26" s="144" t="n">
        <v>0</v>
      </c>
      <c r="AL26" s="144" t="n">
        <v>0</v>
      </c>
      <c r="AM26" s="120" t="n"/>
      <c r="AN26" s="55" t="inlineStr">
        <is>
          <t>ANOTAÇÕES</t>
        </is>
      </c>
      <c r="AO26" s="16" t="n"/>
      <c r="AP26" s="16" t="n"/>
      <c r="AQ26" s="16" t="n"/>
      <c r="AR26" s="17" t="n"/>
      <c r="AS26" s="120" t="n"/>
    </row>
    <row r="27">
      <c r="B27" s="22" t="n"/>
      <c r="C27" s="120" t="n"/>
      <c r="D27" s="143">
        <f>DADOS_INVOC!$IW$8</f>
        <v/>
      </c>
      <c r="E27" s="16" t="n"/>
      <c r="F27" s="17" t="n"/>
      <c r="G27" s="120" t="n"/>
      <c r="I27" s="21" t="n"/>
      <c r="M27" s="22" t="n"/>
      <c r="N27" s="120" t="n"/>
      <c r="O27" s="120" t="n"/>
      <c r="P27" s="120" t="n"/>
      <c r="Q27" s="120" t="n"/>
      <c r="R27" s="120" t="n"/>
      <c r="S27" s="120" t="n"/>
      <c r="T27" s="120" t="n"/>
      <c r="U27" s="116" t="n"/>
      <c r="V27" s="19" t="n"/>
      <c r="W27" s="19" t="n"/>
      <c r="X27" s="19" t="n"/>
      <c r="Y27" s="20" t="n"/>
      <c r="Z27" s="120" t="n"/>
      <c r="AB27" s="21" t="n"/>
      <c r="AF27" s="22" t="n"/>
      <c r="AG27" s="120" t="n"/>
      <c r="AH27" s="120" t="n"/>
      <c r="AI27" s="120" t="n"/>
      <c r="AJ27" s="120" t="n"/>
      <c r="AK27" s="120" t="n"/>
      <c r="AL27" s="120" t="n"/>
      <c r="AM27" s="120" t="n"/>
      <c r="AN27" s="116" t="n"/>
      <c r="AO27" s="19" t="n"/>
      <c r="AP27" s="19" t="n"/>
      <c r="AQ27" s="19" t="n"/>
      <c r="AR27" s="20" t="n"/>
      <c r="AS27" s="120" t="n"/>
    </row>
    <row r="28">
      <c r="B28" s="22" t="n"/>
      <c r="C28" s="120" t="n"/>
      <c r="D28" s="143">
        <f>DADOS_INVOC!$IW$9</f>
        <v/>
      </c>
      <c r="E28" s="16" t="n"/>
      <c r="F28" s="17" t="n"/>
      <c r="G28" s="120" t="n"/>
      <c r="I28" s="21" t="n"/>
      <c r="M28" s="22" t="n"/>
      <c r="N28" s="120" t="n"/>
      <c r="O28" s="55" t="inlineStr">
        <is>
          <t>FÍSICO</t>
        </is>
      </c>
      <c r="P28" s="55" t="inlineStr">
        <is>
          <t>VIGOR</t>
        </is>
      </c>
      <c r="Q28" s="55" t="inlineStr">
        <is>
          <t>INTELECTO</t>
        </is>
      </c>
      <c r="R28" s="55" t="inlineStr">
        <is>
          <t>ESPÍRITO</t>
        </is>
      </c>
      <c r="S28" s="55" t="inlineStr">
        <is>
          <t>CARGA MÁXIMA</t>
        </is>
      </c>
      <c r="T28" s="120" t="n"/>
      <c r="U28" s="21" t="n"/>
      <c r="Y28" s="22" t="n"/>
      <c r="Z28" s="120" t="n"/>
      <c r="AB28" s="21" t="n"/>
      <c r="AF28" s="22" t="n"/>
      <c r="AG28" s="120" t="n"/>
      <c r="AH28" s="55" t="inlineStr">
        <is>
          <t>FÍSICO</t>
        </is>
      </c>
      <c r="AI28" s="55" t="inlineStr">
        <is>
          <t>VIGOR</t>
        </is>
      </c>
      <c r="AJ28" s="55" t="inlineStr">
        <is>
          <t>INTELECTO</t>
        </is>
      </c>
      <c r="AK28" s="55" t="inlineStr">
        <is>
          <t>ESPÍRITO</t>
        </is>
      </c>
      <c r="AL28" s="55" t="inlineStr">
        <is>
          <t>CARGA MÁXIMA</t>
        </is>
      </c>
      <c r="AM28" s="120" t="n"/>
      <c r="AN28" s="21" t="n"/>
      <c r="AR28" s="22" t="n"/>
      <c r="AS28" s="120" t="n"/>
    </row>
    <row r="29">
      <c r="B29" s="22" t="n"/>
      <c r="C29" s="120" t="n"/>
      <c r="D29" s="143">
        <f>DADOS_INVOC!$IW$10</f>
        <v/>
      </c>
      <c r="E29" s="16" t="n"/>
      <c r="F29" s="17" t="n"/>
      <c r="G29" s="120" t="n"/>
      <c r="I29" s="21" t="n"/>
      <c r="M29" s="22" t="n"/>
      <c r="N29" s="120" t="n"/>
      <c r="O29" s="92">
        <f>DADOS_INVOC!$HB$2</f>
        <v/>
      </c>
      <c r="P29" s="92">
        <f>DADOS_INVOC!$HC$2</f>
        <v/>
      </c>
      <c r="Q29" s="92">
        <f>DADOS_INVOC!$HD$2</f>
        <v/>
      </c>
      <c r="R29" s="92">
        <f>DADOS_INVOC!$HE$2</f>
        <v/>
      </c>
      <c r="S29" s="92">
        <f>DADOS_INVOC!$GO$2</f>
        <v/>
      </c>
      <c r="T29" s="120" t="n"/>
      <c r="U29" s="21" t="n"/>
      <c r="Y29" s="22" t="n"/>
      <c r="Z29" s="120" t="n"/>
      <c r="AB29" s="21" t="n"/>
      <c r="AF29" s="22" t="n"/>
      <c r="AG29" s="120" t="n"/>
      <c r="AH29" s="92">
        <f>DADOS_INVOC!$HB$8</f>
        <v/>
      </c>
      <c r="AI29" s="92">
        <f>DADOS_INVOC!$HC$8</f>
        <v/>
      </c>
      <c r="AJ29" s="92">
        <f>DADOS_INVOC!$HD$8</f>
        <v/>
      </c>
      <c r="AK29" s="92">
        <f>DADOS_INVOC!$HE$8</f>
        <v/>
      </c>
      <c r="AL29" s="92">
        <f>DADOS_INVOC!$GO$8</f>
        <v/>
      </c>
      <c r="AM29" s="120" t="n"/>
      <c r="AN29" s="21" t="n"/>
      <c r="AR29" s="22" t="n"/>
      <c r="AS29" s="120" t="n"/>
    </row>
    <row r="30">
      <c r="A30" s="8" t="n"/>
      <c r="B30" s="14" t="n"/>
      <c r="C30" s="120" t="n"/>
      <c r="D30" s="143">
        <f>DADOS_INVOC!$IW$11</f>
        <v/>
      </c>
      <c r="E30" s="16" t="n"/>
      <c r="F30" s="17" t="n"/>
      <c r="G30" s="120" t="n"/>
      <c r="I30" s="21" t="n"/>
      <c r="M30" s="22" t="n"/>
      <c r="N30" s="120" t="n"/>
      <c r="O30" s="125" t="n"/>
      <c r="P30" s="125" t="n"/>
      <c r="Q30" s="125" t="n"/>
      <c r="R30" s="125" t="n"/>
      <c r="S30" s="125" t="n"/>
      <c r="T30" s="120" t="n"/>
      <c r="U30" s="21" t="n"/>
      <c r="Y30" s="22" t="n"/>
      <c r="Z30" s="120" t="n"/>
      <c r="AB30" s="21" t="n"/>
      <c r="AF30" s="22" t="n"/>
      <c r="AG30" s="120" t="n"/>
      <c r="AH30" s="125" t="n"/>
      <c r="AI30" s="125" t="n"/>
      <c r="AJ30" s="125" t="n"/>
      <c r="AK30" s="125" t="n"/>
      <c r="AL30" s="125" t="n"/>
      <c r="AM30" s="120" t="n"/>
      <c r="AN30" s="21" t="n"/>
      <c r="AR30" s="22" t="n"/>
      <c r="AS30" s="120" t="n"/>
    </row>
    <row r="31">
      <c r="A31" s="8" t="n"/>
      <c r="B31" s="14" t="n"/>
      <c r="C31" s="120" t="n"/>
      <c r="D31" s="143">
        <f>DADOS_INVOC!$IW$12</f>
        <v/>
      </c>
      <c r="E31" s="16" t="n"/>
      <c r="F31" s="17" t="n"/>
      <c r="G31" s="120" t="n"/>
      <c r="I31" s="21" t="n"/>
      <c r="M31" s="22" t="n"/>
      <c r="N31" s="120" t="n"/>
      <c r="O31" s="144" t="n">
        <v>0</v>
      </c>
      <c r="P31" s="144" t="n">
        <v>0</v>
      </c>
      <c r="Q31" s="144" t="n">
        <v>0</v>
      </c>
      <c r="R31" s="144" t="n">
        <v>0</v>
      </c>
      <c r="S31" s="120" t="n"/>
      <c r="T31" s="120" t="n"/>
      <c r="U31" s="21" t="n"/>
      <c r="Y31" s="22" t="n"/>
      <c r="Z31" s="120" t="n"/>
      <c r="AB31" s="21" t="n"/>
      <c r="AF31" s="22" t="n"/>
      <c r="AG31" s="120" t="n"/>
      <c r="AH31" s="144" t="n">
        <v>0</v>
      </c>
      <c r="AI31" s="144" t="n">
        <v>0</v>
      </c>
      <c r="AJ31" s="144" t="n">
        <v>0</v>
      </c>
      <c r="AK31" s="144" t="n">
        <v>0</v>
      </c>
      <c r="AL31" s="120" t="n"/>
      <c r="AM31" s="120" t="n"/>
      <c r="AN31" s="21" t="n"/>
      <c r="AR31" s="22" t="n"/>
      <c r="AS31" s="120" t="n"/>
    </row>
    <row r="32">
      <c r="A32" s="8" t="n"/>
      <c r="B32" s="14" t="n"/>
      <c r="C32" s="120" t="n"/>
      <c r="D32" s="143">
        <f>DADOS_INVOC!$IW$13</f>
        <v/>
      </c>
      <c r="E32" s="16" t="n"/>
      <c r="F32" s="17" t="n"/>
      <c r="G32" s="120" t="n"/>
      <c r="I32" s="21" t="n"/>
      <c r="M32" s="22" t="n"/>
      <c r="N32" s="120" t="n"/>
      <c r="O32" s="120" t="n"/>
      <c r="P32" s="120" t="n"/>
      <c r="Q32" s="120" t="n"/>
      <c r="R32" s="120" t="n"/>
      <c r="S32" s="120" t="n"/>
      <c r="T32" s="120" t="n"/>
      <c r="U32" s="21" t="n"/>
      <c r="Y32" s="22" t="n"/>
      <c r="Z32" s="120" t="n"/>
      <c r="AB32" s="21" t="n"/>
      <c r="AF32" s="22" t="n"/>
      <c r="AG32" s="120" t="n"/>
      <c r="AH32" s="120" t="n"/>
      <c r="AI32" s="120" t="n"/>
      <c r="AJ32" s="120" t="n"/>
      <c r="AK32" s="120" t="n"/>
      <c r="AL32" s="120" t="n"/>
      <c r="AM32" s="120" t="n"/>
      <c r="AN32" s="21" t="n"/>
      <c r="AR32" s="22" t="n"/>
      <c r="AS32" s="120" t="n"/>
    </row>
    <row r="33">
      <c r="A33" s="48" t="inlineStr">
        <is>
          <t>INVOCAÇÕES</t>
        </is>
      </c>
      <c r="B33" s="22" t="n"/>
      <c r="C33" s="120" t="n"/>
      <c r="D33" s="120" t="n"/>
      <c r="E33" s="120" t="n"/>
      <c r="F33" s="120" t="n"/>
      <c r="G33" s="120" t="n"/>
      <c r="I33" s="21" t="n"/>
      <c r="M33" s="22" t="n"/>
      <c r="N33" s="120" t="n"/>
      <c r="O33" s="55" t="inlineStr">
        <is>
          <t>ATRIBUTO DE ACERTO</t>
        </is>
      </c>
      <c r="P33" s="17" t="n"/>
      <c r="Q33" s="55" t="inlineStr">
        <is>
          <t>FÍSICO USA</t>
        </is>
      </c>
      <c r="R33" s="17" t="n"/>
      <c r="S33" s="55" t="inlineStr">
        <is>
          <t>TR TREINADO</t>
        </is>
      </c>
      <c r="T33" s="120" t="n"/>
      <c r="U33" s="21" t="n"/>
      <c r="Y33" s="22" t="n"/>
      <c r="Z33" s="120" t="n"/>
      <c r="AB33" s="21" t="n"/>
      <c r="AF33" s="22" t="n"/>
      <c r="AG33" s="120" t="n"/>
      <c r="AH33" s="55" t="inlineStr">
        <is>
          <t>ATRIBUTO DE ACERTO</t>
        </is>
      </c>
      <c r="AI33" s="17" t="n"/>
      <c r="AJ33" s="55" t="inlineStr">
        <is>
          <t>FÍSICO USA</t>
        </is>
      </c>
      <c r="AK33" s="17" t="n"/>
      <c r="AL33" s="55" t="inlineStr">
        <is>
          <t>TR TREINADO</t>
        </is>
      </c>
      <c r="AM33" s="120" t="n"/>
      <c r="AN33" s="21" t="n"/>
      <c r="AR33" s="22" t="n"/>
      <c r="AS33" s="120" t="n"/>
    </row>
    <row r="34">
      <c r="B34" s="22" t="n"/>
      <c r="C34" s="120" t="n"/>
      <c r="D34" s="120" t="n"/>
      <c r="E34" s="120" t="n"/>
      <c r="F34" s="120" t="n"/>
      <c r="G34" s="120" t="n"/>
      <c r="I34" s="21" t="n"/>
      <c r="M34" s="22" t="n"/>
      <c r="N34" s="120" t="n"/>
      <c r="O34" s="124" t="n"/>
      <c r="P34" s="20" t="n"/>
      <c r="Q34" s="124" t="inlineStr">
        <is>
          <t>Força</t>
        </is>
      </c>
      <c r="R34" s="20" t="n"/>
      <c r="S34" s="124" t="n"/>
      <c r="T34" s="120" t="n"/>
      <c r="U34" s="21" t="n"/>
      <c r="Y34" s="22" t="n"/>
      <c r="Z34" s="120" t="n"/>
      <c r="AB34" s="21" t="n"/>
      <c r="AF34" s="22" t="n"/>
      <c r="AG34" s="120" t="n"/>
      <c r="AH34" s="124" t="n"/>
      <c r="AI34" s="20" t="n"/>
      <c r="AJ34" s="124" t="inlineStr">
        <is>
          <t>Força</t>
        </is>
      </c>
      <c r="AK34" s="20" t="n"/>
      <c r="AL34" s="124" t="n"/>
      <c r="AM34" s="120" t="n"/>
      <c r="AN34" s="21" t="n"/>
      <c r="AR34" s="22" t="n"/>
      <c r="AS34" s="120" t="n"/>
    </row>
    <row r="35">
      <c r="B35" s="22" t="n"/>
      <c r="C35" s="120" t="n"/>
      <c r="D35" s="120" t="n"/>
      <c r="E35" s="120" t="n"/>
      <c r="F35" s="120" t="n"/>
      <c r="G35" s="120" t="n"/>
      <c r="I35" s="21" t="n"/>
      <c r="M35" s="22" t="n"/>
      <c r="N35" s="120" t="n"/>
      <c r="O35" s="23" t="n"/>
      <c r="P35" s="25" t="n"/>
      <c r="Q35" s="23" t="n"/>
      <c r="R35" s="25" t="n"/>
      <c r="S35" s="125" t="n"/>
      <c r="T35" s="120" t="n"/>
      <c r="U35" s="21" t="n"/>
      <c r="Y35" s="22" t="n"/>
      <c r="Z35" s="120" t="n"/>
      <c r="AB35" s="21" t="n"/>
      <c r="AF35" s="22" t="n"/>
      <c r="AG35" s="120" t="n"/>
      <c r="AH35" s="23" t="n"/>
      <c r="AI35" s="25" t="n"/>
      <c r="AJ35" s="23" t="n"/>
      <c r="AK35" s="25" t="n"/>
      <c r="AL35" s="125" t="n"/>
      <c r="AM35" s="120" t="n"/>
      <c r="AN35" s="21" t="n"/>
      <c r="AR35" s="22" t="n"/>
      <c r="AS35" s="120" t="n"/>
    </row>
    <row r="36">
      <c r="B36" s="22" t="n"/>
      <c r="C36" s="120" t="n"/>
      <c r="D36" s="120" t="n"/>
      <c r="E36" s="120" t="n"/>
      <c r="F36" s="120" t="n"/>
      <c r="G36" s="120" t="n"/>
      <c r="I36" s="21" t="n"/>
      <c r="M36" s="22" t="n"/>
      <c r="N36" s="120" t="n"/>
      <c r="O36" s="120" t="n"/>
      <c r="P36" s="120" t="n"/>
      <c r="Q36" s="120" t="n"/>
      <c r="R36" s="120" t="n"/>
      <c r="S36" s="120" t="n"/>
      <c r="T36" s="120" t="n"/>
      <c r="U36" s="21" t="n"/>
      <c r="Y36" s="22" t="n"/>
      <c r="Z36" s="120" t="n"/>
      <c r="AB36" s="21" t="n"/>
      <c r="AF36" s="22" t="n"/>
      <c r="AG36" s="120" t="n"/>
      <c r="AH36" s="120" t="n"/>
      <c r="AI36" s="120" t="n"/>
      <c r="AJ36" s="120" t="n"/>
      <c r="AK36" s="120" t="n"/>
      <c r="AL36" s="120" t="n"/>
      <c r="AM36" s="120" t="n"/>
      <c r="AN36" s="21" t="n"/>
      <c r="AR36" s="22" t="n"/>
      <c r="AS36" s="120" t="n"/>
    </row>
    <row r="37">
      <c r="B37" s="22" t="n"/>
      <c r="C37" s="120" t="n"/>
      <c r="D37" s="120" t="n"/>
      <c r="E37" s="120" t="n"/>
      <c r="F37" s="120" t="n"/>
      <c r="G37" s="120" t="n"/>
      <c r="I37" s="21" t="n"/>
      <c r="M37" s="22" t="n"/>
      <c r="N37" s="120" t="n"/>
      <c r="O37" s="55">
        <f>DADOS_INVOC!$HF$2</f>
        <v/>
      </c>
      <c r="P37" s="16" t="n"/>
      <c r="Q37" s="16" t="n"/>
      <c r="R37" s="16" t="n"/>
      <c r="S37" s="17" t="n"/>
      <c r="T37" s="120" t="n"/>
      <c r="U37" s="21" t="n"/>
      <c r="Y37" s="22" t="n"/>
      <c r="Z37" s="120" t="n"/>
      <c r="AB37" s="21" t="n"/>
      <c r="AF37" s="22" t="n"/>
      <c r="AG37" s="120" t="n"/>
      <c r="AH37" s="55">
        <f>DADOS_INVOC!$HF$8</f>
        <v/>
      </c>
      <c r="AI37" s="16" t="n"/>
      <c r="AJ37" s="16" t="n"/>
      <c r="AK37" s="16" t="n"/>
      <c r="AL37" s="17" t="n"/>
      <c r="AM37" s="120" t="n"/>
      <c r="AN37" s="21" t="n"/>
      <c r="AR37" s="22" t="n"/>
      <c r="AS37" s="120" t="n"/>
    </row>
    <row r="38">
      <c r="B38" s="22" t="n"/>
      <c r="C38" s="120" t="n"/>
      <c r="D38" s="120" t="n"/>
      <c r="E38" s="120" t="n"/>
      <c r="F38" s="120" t="n"/>
      <c r="G38" s="120" t="n"/>
      <c r="I38" s="21" t="n"/>
      <c r="M38" s="22" t="n"/>
      <c r="N38" s="120" t="n"/>
      <c r="O38" s="130" t="n"/>
      <c r="P38" s="16" t="n"/>
      <c r="Q38" s="17" t="n"/>
      <c r="R38" s="124">
        <f>DADOS_INVOC!$HG$2</f>
        <v/>
      </c>
      <c r="S38" s="17" t="n"/>
      <c r="T38" s="120" t="n"/>
      <c r="U38" s="23" t="n"/>
      <c r="V38" s="24" t="n"/>
      <c r="W38" s="24" t="n"/>
      <c r="X38" s="24" t="n"/>
      <c r="Y38" s="25" t="n"/>
      <c r="Z38" s="120" t="n"/>
      <c r="AB38" s="21" t="n"/>
      <c r="AF38" s="22" t="n"/>
      <c r="AG38" s="120" t="n"/>
      <c r="AH38" s="130" t="n"/>
      <c r="AI38" s="16" t="n"/>
      <c r="AJ38" s="17" t="n"/>
      <c r="AK38" s="124">
        <f>DADOS_INVOC!$HG$8</f>
        <v/>
      </c>
      <c r="AL38" s="17" t="n"/>
      <c r="AM38" s="120" t="n"/>
      <c r="AN38" s="23" t="n"/>
      <c r="AO38" s="24" t="n"/>
      <c r="AP38" s="24" t="n"/>
      <c r="AQ38" s="24" t="n"/>
      <c r="AR38" s="25" t="n"/>
      <c r="AS38" s="120" t="n"/>
    </row>
    <row r="39">
      <c r="B39" s="22" t="n"/>
      <c r="C39" s="120" t="n"/>
      <c r="D39" s="120" t="n"/>
      <c r="E39" s="120" t="n"/>
      <c r="F39" s="120" t="n"/>
      <c r="G39" s="120" t="n"/>
      <c r="I39" s="21" t="n"/>
      <c r="M39" s="22" t="n"/>
      <c r="N39" s="120" t="n"/>
      <c r="O39" s="130" t="n"/>
      <c r="P39" s="16" t="n"/>
      <c r="Q39" s="17" t="n"/>
      <c r="R39" s="124">
        <f>DADOS_INVOC!$HH$2</f>
        <v/>
      </c>
      <c r="S39" s="17" t="n"/>
      <c r="T39" s="120" t="n"/>
      <c r="U39" s="120" t="n"/>
      <c r="V39" s="120" t="n"/>
      <c r="W39" s="120" t="n"/>
      <c r="X39" s="120" t="n"/>
      <c r="Y39" s="120" t="n"/>
      <c r="Z39" s="120" t="n"/>
      <c r="AB39" s="21" t="n"/>
      <c r="AF39" s="22" t="n"/>
      <c r="AG39" s="120" t="n"/>
      <c r="AH39" s="130" t="n"/>
      <c r="AI39" s="16" t="n"/>
      <c r="AJ39" s="17" t="n"/>
      <c r="AK39" s="124">
        <f>DADOS_INVOC!$HH$8</f>
        <v/>
      </c>
      <c r="AL39" s="17" t="n"/>
      <c r="AM39" s="120" t="n"/>
      <c r="AN39" s="120" t="n"/>
      <c r="AO39" s="120" t="n"/>
      <c r="AP39" s="120" t="n"/>
      <c r="AQ39" s="120" t="n"/>
      <c r="AR39" s="120" t="n"/>
      <c r="AS39" s="120" t="n"/>
    </row>
    <row r="40">
      <c r="B40" s="22" t="n"/>
      <c r="C40" s="120" t="n"/>
      <c r="D40" s="120" t="n"/>
      <c r="E40" s="120" t="n"/>
      <c r="F40" s="120" t="n"/>
      <c r="G40" s="120" t="n"/>
      <c r="I40" s="23" t="n"/>
      <c r="J40" s="24" t="n"/>
      <c r="K40" s="24" t="n"/>
      <c r="L40" s="24" t="n"/>
      <c r="M40" s="25" t="n"/>
      <c r="N40" s="120" t="n"/>
      <c r="O40" s="130" t="n"/>
      <c r="P40" s="16" t="n"/>
      <c r="Q40" s="17" t="n"/>
      <c r="R40" s="124">
        <f>DADOS_INVOC!$HI$2</f>
        <v/>
      </c>
      <c r="S40" s="17" t="n"/>
      <c r="T40" s="120" t="n"/>
      <c r="U40" s="55">
        <f>DADOS_INVOC!$HO$2</f>
        <v/>
      </c>
      <c r="V40" s="16" t="n"/>
      <c r="W40" s="16" t="n"/>
      <c r="X40" s="16" t="n"/>
      <c r="Y40" s="17" t="n"/>
      <c r="Z40" s="120" t="n"/>
      <c r="AB40" s="23" t="n"/>
      <c r="AC40" s="24" t="n"/>
      <c r="AD40" s="24" t="n"/>
      <c r="AE40" s="24" t="n"/>
      <c r="AF40" s="25" t="n"/>
      <c r="AG40" s="120" t="n"/>
      <c r="AH40" s="130" t="n"/>
      <c r="AI40" s="16" t="n"/>
      <c r="AJ40" s="17" t="n"/>
      <c r="AK40" s="124">
        <f>DADOS_INVOC!$HI$8</f>
        <v/>
      </c>
      <c r="AL40" s="17" t="n"/>
      <c r="AM40" s="120" t="n"/>
      <c r="AN40" s="55">
        <f>DADOS_INVOC!$HO$8</f>
        <v/>
      </c>
      <c r="AO40" s="16" t="n"/>
      <c r="AP40" s="16" t="n"/>
      <c r="AQ40" s="16" t="n"/>
      <c r="AR40" s="17" t="n"/>
      <c r="AS40" s="120" t="n"/>
    </row>
    <row r="41">
      <c r="B41" s="22" t="n"/>
      <c r="C41" s="120" t="n"/>
      <c r="D41" s="120" t="n"/>
      <c r="E41" s="120" t="n"/>
      <c r="F41" s="120" t="n"/>
      <c r="G41" s="120" t="n"/>
      <c r="I41" s="120" t="n"/>
      <c r="J41" s="120" t="n"/>
      <c r="K41" s="120" t="n"/>
      <c r="L41" s="120" t="n"/>
      <c r="M41" s="120" t="n"/>
      <c r="N41" s="120" t="n"/>
      <c r="O41" s="130" t="n"/>
      <c r="P41" s="16" t="n"/>
      <c r="Q41" s="17" t="n"/>
      <c r="R41" s="124">
        <f>DADOS_INVOC!$HJ$2</f>
        <v/>
      </c>
      <c r="S41" s="17" t="n"/>
      <c r="T41" s="120" t="n"/>
      <c r="U41" s="116" t="n"/>
      <c r="V41" s="19" t="n"/>
      <c r="W41" s="19" t="n"/>
      <c r="X41" s="19" t="n"/>
      <c r="Y41" s="20" t="n"/>
      <c r="Z41" s="120" t="n"/>
      <c r="AB41" s="120" t="n"/>
      <c r="AC41" s="120" t="n"/>
      <c r="AD41" s="120" t="n"/>
      <c r="AE41" s="120" t="n"/>
      <c r="AF41" s="120" t="n"/>
      <c r="AG41" s="120" t="n"/>
      <c r="AH41" s="130" t="n"/>
      <c r="AI41" s="16" t="n"/>
      <c r="AJ41" s="17" t="n"/>
      <c r="AK41" s="124">
        <f>DADOS_INVOC!$HJ$8</f>
        <v/>
      </c>
      <c r="AL41" s="17" t="n"/>
      <c r="AM41" s="120" t="n"/>
      <c r="AN41" s="116" t="n"/>
      <c r="AO41" s="19" t="n"/>
      <c r="AP41" s="19" t="n"/>
      <c r="AQ41" s="19" t="n"/>
      <c r="AR41" s="20" t="n"/>
      <c r="AS41" s="120" t="n"/>
    </row>
    <row r="42">
      <c r="B42" s="22" t="n"/>
      <c r="C42" s="120" t="n"/>
      <c r="D42" s="120" t="n"/>
      <c r="E42" s="120" t="n"/>
      <c r="F42" s="120" t="n"/>
      <c r="G42" s="120" t="n"/>
      <c r="I42" s="55" t="inlineStr">
        <is>
          <t>TIPO</t>
        </is>
      </c>
      <c r="J42" s="16" t="n"/>
      <c r="K42" s="16" t="n"/>
      <c r="L42" s="16" t="n"/>
      <c r="M42" s="17" t="n"/>
      <c r="N42" s="120" t="n"/>
      <c r="O42" s="130" t="n"/>
      <c r="P42" s="16" t="n"/>
      <c r="Q42" s="17" t="n"/>
      <c r="R42" s="124">
        <f>DADOS_INVOC!$HK$2</f>
        <v/>
      </c>
      <c r="S42" s="17" t="n"/>
      <c r="T42" s="120" t="n"/>
      <c r="U42" s="21" t="n"/>
      <c r="Y42" s="22" t="n"/>
      <c r="Z42" s="120" t="n"/>
      <c r="AB42" s="55" t="inlineStr">
        <is>
          <t>TIPO</t>
        </is>
      </c>
      <c r="AC42" s="16" t="n"/>
      <c r="AD42" s="16" t="n"/>
      <c r="AE42" s="16" t="n"/>
      <c r="AF42" s="17" t="n"/>
      <c r="AG42" s="120" t="n"/>
      <c r="AH42" s="130" t="n"/>
      <c r="AI42" s="16" t="n"/>
      <c r="AJ42" s="17" t="n"/>
      <c r="AK42" s="124">
        <f>DADOS_INVOC!$HK$8</f>
        <v/>
      </c>
      <c r="AL42" s="17" t="n"/>
      <c r="AM42" s="120" t="n"/>
      <c r="AN42" s="21" t="n"/>
      <c r="AR42" s="22" t="n"/>
      <c r="AS42" s="120" t="n"/>
    </row>
    <row r="43">
      <c r="B43" s="22" t="n"/>
      <c r="C43" s="120" t="n"/>
      <c r="D43" s="120" t="n"/>
      <c r="E43" s="120" t="n"/>
      <c r="F43" s="120" t="n"/>
      <c r="G43" s="120" t="n"/>
      <c r="I43" s="124" t="inlineStr">
        <is>
          <t>Shikigami de técnica</t>
        </is>
      </c>
      <c r="J43" s="19" t="n"/>
      <c r="K43" s="19" t="n"/>
      <c r="L43" s="19" t="n"/>
      <c r="M43" s="20" t="n"/>
      <c r="N43" s="120" t="n"/>
      <c r="O43" s="130" t="n"/>
      <c r="P43" s="16" t="n"/>
      <c r="Q43" s="17" t="n"/>
      <c r="R43" s="124">
        <f>DADOS_INVOC!$HL$2</f>
        <v/>
      </c>
      <c r="S43" s="17" t="n"/>
      <c r="T43" s="120" t="n"/>
      <c r="U43" s="23" t="n"/>
      <c r="V43" s="24" t="n"/>
      <c r="W43" s="24" t="n"/>
      <c r="X43" s="24" t="n"/>
      <c r="Y43" s="25" t="n"/>
      <c r="Z43" s="120" t="n"/>
      <c r="AB43" s="124" t="inlineStr">
        <is>
          <t>Shikigami de técnica</t>
        </is>
      </c>
      <c r="AC43" s="19" t="n"/>
      <c r="AD43" s="19" t="n"/>
      <c r="AE43" s="19" t="n"/>
      <c r="AF43" s="20" t="n"/>
      <c r="AG43" s="120" t="n"/>
      <c r="AH43" s="130" t="n"/>
      <c r="AI43" s="16" t="n"/>
      <c r="AJ43" s="17" t="n"/>
      <c r="AK43" s="124">
        <f>DADOS_INVOC!$HL$8</f>
        <v/>
      </c>
      <c r="AL43" s="17" t="n"/>
      <c r="AM43" s="120" t="n"/>
      <c r="AN43" s="23" t="n"/>
      <c r="AO43" s="24" t="n"/>
      <c r="AP43" s="24" t="n"/>
      <c r="AQ43" s="24" t="n"/>
      <c r="AR43" s="25" t="n"/>
      <c r="AS43" s="120" t="n"/>
    </row>
    <row r="44">
      <c r="B44" s="22" t="n"/>
      <c r="C44" s="120" t="n"/>
      <c r="D44" s="120" t="n"/>
      <c r="E44" s="120" t="n"/>
      <c r="F44" s="120" t="n"/>
      <c r="G44" s="120" t="n"/>
      <c r="I44" s="23" t="n"/>
      <c r="J44" s="24" t="n"/>
      <c r="K44" s="24" t="n"/>
      <c r="L44" s="24" t="n"/>
      <c r="M44" s="25" t="n"/>
      <c r="N44" s="120" t="n"/>
      <c r="O44" s="130" t="n"/>
      <c r="P44" s="16" t="n"/>
      <c r="Q44" s="17" t="n"/>
      <c r="R44" s="124">
        <f>DADOS_INVOC!$HM$2</f>
        <v/>
      </c>
      <c r="S44" s="17" t="n"/>
      <c r="T44" s="120" t="n"/>
      <c r="U44" s="120" t="n"/>
      <c r="V44" s="120" t="n"/>
      <c r="W44" s="120" t="n"/>
      <c r="X44" s="120" t="n"/>
      <c r="Y44" s="120" t="n"/>
      <c r="Z44" s="120" t="n"/>
      <c r="AB44" s="23" t="n"/>
      <c r="AC44" s="24" t="n"/>
      <c r="AD44" s="24" t="n"/>
      <c r="AE44" s="24" t="n"/>
      <c r="AF44" s="25" t="n"/>
      <c r="AG44" s="120" t="n"/>
      <c r="AH44" s="130" t="n"/>
      <c r="AI44" s="16" t="n"/>
      <c r="AJ44" s="17" t="n"/>
      <c r="AK44" s="124">
        <f>DADOS_INVOC!$HM$8</f>
        <v/>
      </c>
      <c r="AL44" s="17" t="n"/>
      <c r="AM44" s="120" t="n"/>
      <c r="AN44" s="120" t="n"/>
      <c r="AO44" s="120" t="n"/>
      <c r="AP44" s="120" t="n"/>
      <c r="AQ44" s="120" t="n"/>
      <c r="AR44" s="120" t="n"/>
      <c r="AS44" s="120" t="n"/>
    </row>
    <row r="45">
      <c r="B45" s="22" t="n"/>
      <c r="C45" s="120" t="n"/>
      <c r="D45" s="120" t="n"/>
      <c r="E45" s="120" t="n"/>
      <c r="F45" s="120" t="n"/>
      <c r="G45" s="120" t="n"/>
      <c r="I45" s="120" t="n"/>
      <c r="J45" s="120" t="n"/>
      <c r="K45" s="120" t="n"/>
      <c r="L45" s="120" t="n"/>
      <c r="M45" s="120" t="n"/>
      <c r="N45" s="120" t="n"/>
      <c r="O45" s="120" t="n"/>
      <c r="P45" s="120" t="n"/>
      <c r="Q45" s="120" t="n"/>
      <c r="R45" s="120" t="n"/>
      <c r="S45" s="120" t="n"/>
      <c r="T45" s="120" t="n"/>
      <c r="U45" s="55" t="inlineStr">
        <is>
          <t>CORPO, SENTIDOS E COMUNICAÇÃO</t>
        </is>
      </c>
      <c r="V45" s="16" t="n"/>
      <c r="W45" s="16" t="n"/>
      <c r="X45" s="16" t="n"/>
      <c r="Y45" s="17" t="n"/>
      <c r="Z45" s="120" t="n"/>
      <c r="AB45" s="120" t="n"/>
      <c r="AC45" s="120" t="n"/>
      <c r="AD45" s="120" t="n"/>
      <c r="AE45" s="120" t="n"/>
      <c r="AF45" s="120" t="n"/>
      <c r="AG45" s="120" t="n"/>
      <c r="AH45" s="120" t="n"/>
      <c r="AI45" s="120" t="n"/>
      <c r="AJ45" s="120" t="n"/>
      <c r="AK45" s="120" t="n"/>
      <c r="AL45" s="120" t="n"/>
      <c r="AM45" s="120" t="n"/>
      <c r="AN45" s="55" t="inlineStr">
        <is>
          <t>CORPO, SENTIDOS E COMUNICAÇÃO</t>
        </is>
      </c>
      <c r="AO45" s="16" t="n"/>
      <c r="AP45" s="16" t="n"/>
      <c r="AQ45" s="16" t="n"/>
      <c r="AR45" s="17" t="n"/>
      <c r="AS45" s="120" t="n"/>
    </row>
    <row r="46">
      <c r="B46" s="22" t="n"/>
      <c r="C46" s="120" t="n"/>
      <c r="D46" s="120" t="n"/>
      <c r="E46" s="120" t="n"/>
      <c r="F46" s="120" t="n"/>
      <c r="G46" s="120" t="n"/>
      <c r="I46" s="55" t="inlineStr">
        <is>
          <t>AQUISIÇÃO</t>
        </is>
      </c>
      <c r="J46" s="17" t="n"/>
      <c r="K46" s="55" t="inlineStr">
        <is>
          <t>OBTIDA NO NÍVEL</t>
        </is>
      </c>
      <c r="L46" s="55" t="inlineStr">
        <is>
          <t>TALISMÃ</t>
        </is>
      </c>
      <c r="M46" s="17" t="n"/>
      <c r="N46" s="120" t="n"/>
      <c r="O46" s="55">
        <f>DADOS_INVOC!$HP$2</f>
        <v/>
      </c>
      <c r="P46" s="16" t="n"/>
      <c r="Q46" s="16" t="n"/>
      <c r="R46" s="16" t="n"/>
      <c r="S46" s="17" t="n"/>
      <c r="T46" s="120" t="n"/>
      <c r="U46" s="116" t="n"/>
      <c r="V46" s="19" t="n"/>
      <c r="W46" s="19" t="n"/>
      <c r="X46" s="19" t="n"/>
      <c r="Y46" s="20" t="n"/>
      <c r="Z46" s="120" t="n"/>
      <c r="AB46" s="55" t="inlineStr">
        <is>
          <t>AQUISIÇÃO</t>
        </is>
      </c>
      <c r="AC46" s="17" t="n"/>
      <c r="AD46" s="55" t="inlineStr">
        <is>
          <t>OBTIDA NO NÍVEL</t>
        </is>
      </c>
      <c r="AE46" s="55" t="inlineStr">
        <is>
          <t>TALISMÃ</t>
        </is>
      </c>
      <c r="AF46" s="17" t="n"/>
      <c r="AG46" s="120" t="n"/>
      <c r="AH46" s="55">
        <f>DADOS_INVOC!$HP$8</f>
        <v/>
      </c>
      <c r="AI46" s="16" t="n"/>
      <c r="AJ46" s="16" t="n"/>
      <c r="AK46" s="16" t="n"/>
      <c r="AL46" s="17" t="n"/>
      <c r="AM46" s="120" t="n"/>
      <c r="AN46" s="116" t="n"/>
      <c r="AO46" s="19" t="n"/>
      <c r="AP46" s="19" t="n"/>
      <c r="AQ46" s="19" t="n"/>
      <c r="AR46" s="20" t="n"/>
      <c r="AS46" s="120" t="n"/>
    </row>
    <row r="47">
      <c r="B47" s="22" t="n"/>
      <c r="C47" s="120" t="n"/>
      <c r="D47" s="120" t="n"/>
      <c r="E47" s="120" t="n"/>
      <c r="F47" s="120" t="n"/>
      <c r="G47" s="120" t="n"/>
      <c r="I47" s="124" t="inlineStr">
        <is>
          <t>Espaço conhecido</t>
        </is>
      </c>
      <c r="J47" s="20" t="n"/>
      <c r="K47" s="124" t="n"/>
      <c r="L47" s="124" t="inlineStr">
        <is>
          <t>Sem carga</t>
        </is>
      </c>
      <c r="M47" s="20" t="n"/>
      <c r="N47" s="120" t="n"/>
      <c r="O47" s="55" t="inlineStr">
        <is>
          <t>LIVRE</t>
        </is>
      </c>
      <c r="P47" s="55" t="inlineStr">
        <is>
          <t>LIVRE · TRILHA</t>
        </is>
      </c>
      <c r="Q47" s="55" t="inlineStr">
        <is>
          <t>ABERTA</t>
        </is>
      </c>
      <c r="R47" s="55" t="inlineStr">
        <is>
          <t>ABERTA</t>
        </is>
      </c>
      <c r="S47" s="55" t="inlineStr">
        <is>
          <t>ABERTA · TRILHA</t>
        </is>
      </c>
      <c r="T47" s="120" t="n"/>
      <c r="U47" s="21" t="n"/>
      <c r="Y47" s="22" t="n"/>
      <c r="Z47" s="120" t="n"/>
      <c r="AB47" s="124" t="inlineStr">
        <is>
          <t>Espaço conhecido</t>
        </is>
      </c>
      <c r="AC47" s="20" t="n"/>
      <c r="AD47" s="124" t="n"/>
      <c r="AE47" s="124" t="inlineStr">
        <is>
          <t>Sem carga</t>
        </is>
      </c>
      <c r="AF47" s="20" t="n"/>
      <c r="AG47" s="120" t="n"/>
      <c r="AH47" s="55" t="inlineStr">
        <is>
          <t>LIVRE</t>
        </is>
      </c>
      <c r="AI47" s="55" t="inlineStr">
        <is>
          <t>LIVRE · TRILHA</t>
        </is>
      </c>
      <c r="AJ47" s="55" t="inlineStr">
        <is>
          <t>ABERTA</t>
        </is>
      </c>
      <c r="AK47" s="55" t="inlineStr">
        <is>
          <t>ABERTA</t>
        </is>
      </c>
      <c r="AL47" s="55" t="inlineStr">
        <is>
          <t>ABERTA · TRILHA</t>
        </is>
      </c>
      <c r="AM47" s="120" t="n"/>
      <c r="AN47" s="21" t="n"/>
      <c r="AR47" s="22" t="n"/>
      <c r="AS47" s="120" t="n"/>
    </row>
    <row r="48">
      <c r="B48" s="22" t="n"/>
      <c r="C48" s="120" t="n"/>
      <c r="D48" s="120" t="n"/>
      <c r="E48" s="120" t="n"/>
      <c r="F48" s="120" t="n"/>
      <c r="G48" s="120" t="n"/>
      <c r="I48" s="23" t="n"/>
      <c r="J48" s="25" t="n"/>
      <c r="K48" s="125" t="n"/>
      <c r="L48" s="23" t="n"/>
      <c r="M48" s="25" t="n"/>
      <c r="N48" s="120" t="n"/>
      <c r="O48" s="124" t="n"/>
      <c r="P48" s="124" t="n"/>
      <c r="Q48" s="124" t="n"/>
      <c r="R48" s="124" t="n"/>
      <c r="S48" s="124" t="n"/>
      <c r="T48" s="120" t="n"/>
      <c r="U48" s="21" t="n"/>
      <c r="Y48" s="22" t="n"/>
      <c r="Z48" s="120" t="n"/>
      <c r="AB48" s="23" t="n"/>
      <c r="AC48" s="25" t="n"/>
      <c r="AD48" s="125" t="n"/>
      <c r="AE48" s="23" t="n"/>
      <c r="AF48" s="25" t="n"/>
      <c r="AG48" s="120" t="n"/>
      <c r="AH48" s="124" t="n"/>
      <c r="AI48" s="124" t="n"/>
      <c r="AJ48" s="124" t="n"/>
      <c r="AK48" s="124" t="n"/>
      <c r="AL48" s="124" t="n"/>
      <c r="AM48" s="120" t="n"/>
      <c r="AN48" s="21" t="n"/>
      <c r="AR48" s="22" t="n"/>
      <c r="AS48" s="120" t="n"/>
    </row>
    <row r="49">
      <c r="B49" s="22" t="n"/>
      <c r="C49" s="120" t="n"/>
      <c r="D49" s="120" t="n"/>
      <c r="E49" s="120" t="n"/>
      <c r="F49" s="120" t="n"/>
      <c r="G49" s="120" t="n"/>
      <c r="I49" s="120" t="n"/>
      <c r="J49" s="120" t="n"/>
      <c r="K49" s="120" t="n"/>
      <c r="L49" s="120" t="n"/>
      <c r="M49" s="120" t="n"/>
      <c r="N49" s="120" t="n"/>
      <c r="O49" s="125" t="n"/>
      <c r="P49" s="125" t="n"/>
      <c r="Q49" s="125" t="n"/>
      <c r="R49" s="125" t="n"/>
      <c r="S49" s="125" t="n"/>
      <c r="T49" s="120" t="n"/>
      <c r="U49" s="23" t="n"/>
      <c r="V49" s="24" t="n"/>
      <c r="W49" s="24" t="n"/>
      <c r="X49" s="24" t="n"/>
      <c r="Y49" s="25" t="n"/>
      <c r="Z49" s="120" t="n"/>
      <c r="AB49" s="120" t="n"/>
      <c r="AC49" s="120" t="n"/>
      <c r="AD49" s="120" t="n"/>
      <c r="AE49" s="120" t="n"/>
      <c r="AF49" s="120" t="n"/>
      <c r="AG49" s="120" t="n"/>
      <c r="AH49" s="125" t="n"/>
      <c r="AI49" s="125" t="n"/>
      <c r="AJ49" s="125" t="n"/>
      <c r="AK49" s="125" t="n"/>
      <c r="AL49" s="125" t="n"/>
      <c r="AM49" s="120" t="n"/>
      <c r="AN49" s="23" t="n"/>
      <c r="AO49" s="24" t="n"/>
      <c r="AP49" s="24" t="n"/>
      <c r="AQ49" s="24" t="n"/>
      <c r="AR49" s="25" t="n"/>
      <c r="AS49" s="120" t="n"/>
    </row>
    <row r="50">
      <c r="B50" s="22" t="n"/>
      <c r="C50" s="120" t="n"/>
      <c r="D50" s="120" t="n"/>
      <c r="E50" s="120" t="n"/>
      <c r="F50" s="120" t="n"/>
      <c r="G50" s="120" t="n"/>
      <c r="I50" s="120" t="n"/>
      <c r="J50" s="120" t="n"/>
      <c r="K50" s="120" t="n"/>
      <c r="L50" s="120" t="n"/>
      <c r="M50" s="120" t="n"/>
      <c r="N50" s="120" t="n"/>
      <c r="O50" s="120" t="n"/>
      <c r="P50" s="120" t="n"/>
      <c r="Q50" s="120" t="n"/>
      <c r="R50" s="120" t="n"/>
      <c r="S50" s="120" t="n"/>
      <c r="T50" s="120" t="n"/>
      <c r="U50" s="120" t="n"/>
      <c r="V50" s="120" t="n"/>
      <c r="W50" s="120" t="n"/>
      <c r="X50" s="120" t="n"/>
      <c r="Y50" s="120" t="n"/>
      <c r="Z50" s="120" t="n"/>
      <c r="AB50" s="120" t="n"/>
      <c r="AC50" s="120" t="n"/>
      <c r="AD50" s="120" t="n"/>
      <c r="AE50" s="120" t="n"/>
      <c r="AF50" s="120" t="n"/>
      <c r="AG50" s="120" t="n"/>
      <c r="AH50" s="120" t="n"/>
      <c r="AI50" s="120" t="n"/>
      <c r="AJ50" s="120" t="n"/>
      <c r="AK50" s="120" t="n"/>
      <c r="AL50" s="120" t="n"/>
      <c r="AM50" s="120" t="n"/>
      <c r="AN50" s="120" t="n"/>
      <c r="AO50" s="120" t="n"/>
      <c r="AP50" s="120" t="n"/>
      <c r="AQ50" s="120" t="n"/>
      <c r="AR50" s="120" t="n"/>
      <c r="AS50" s="120" t="n"/>
    </row>
    <row r="51">
      <c r="B51" s="22" t="n"/>
      <c r="C51" s="120" t="n"/>
      <c r="D51" s="120" t="n"/>
      <c r="E51" s="120" t="n"/>
      <c r="F51" s="120" t="n"/>
      <c r="G51" s="120"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0"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0" t="n"/>
    </row>
    <row r="52">
      <c r="A52" s="8" t="n"/>
      <c r="B52" s="14" t="n"/>
      <c r="C52" s="120" t="n"/>
      <c r="D52" s="120" t="n"/>
      <c r="E52" s="120" t="n"/>
      <c r="F52" s="120" t="n"/>
      <c r="G52" s="120" t="n"/>
      <c r="I52" s="116" t="n"/>
      <c r="J52" s="19" t="n"/>
      <c r="K52" s="19" t="n"/>
      <c r="L52" s="19" t="n"/>
      <c r="M52" s="19" t="n"/>
      <c r="N52" s="19" t="n"/>
      <c r="O52" s="19" t="n"/>
      <c r="P52" s="19" t="n"/>
      <c r="Q52" s="19" t="n"/>
      <c r="R52" s="19" t="n"/>
      <c r="S52" s="19" t="n"/>
      <c r="T52" s="19" t="n"/>
      <c r="U52" s="19" t="n"/>
      <c r="V52" s="19" t="n"/>
      <c r="W52" s="19" t="n"/>
      <c r="X52" s="19" t="n"/>
      <c r="Y52" s="20" t="n"/>
      <c r="Z52" s="120" t="n"/>
      <c r="AB52" s="116" t="n"/>
      <c r="AC52" s="19" t="n"/>
      <c r="AD52" s="19" t="n"/>
      <c r="AE52" s="19" t="n"/>
      <c r="AF52" s="19" t="n"/>
      <c r="AG52" s="19" t="n"/>
      <c r="AH52" s="19" t="n"/>
      <c r="AI52" s="19" t="n"/>
      <c r="AJ52" s="19" t="n"/>
      <c r="AK52" s="19" t="n"/>
      <c r="AL52" s="19" t="n"/>
      <c r="AM52" s="19" t="n"/>
      <c r="AN52" s="19" t="n"/>
      <c r="AO52" s="19" t="n"/>
      <c r="AP52" s="19" t="n"/>
      <c r="AQ52" s="19" t="n"/>
      <c r="AR52" s="20" t="n"/>
      <c r="AS52" s="120" t="n"/>
    </row>
    <row r="53">
      <c r="A53" s="8" t="n"/>
      <c r="B53" s="14" t="n"/>
      <c r="C53" s="120" t="n"/>
      <c r="D53" s="120" t="n"/>
      <c r="E53" s="120" t="n"/>
      <c r="F53" s="120" t="n"/>
      <c r="G53" s="120" t="n"/>
      <c r="I53" s="23" t="n"/>
      <c r="J53" s="24" t="n"/>
      <c r="K53" s="24" t="n"/>
      <c r="L53" s="24" t="n"/>
      <c r="M53" s="24" t="n"/>
      <c r="N53" s="24" t="n"/>
      <c r="O53" s="24" t="n"/>
      <c r="P53" s="24" t="n"/>
      <c r="Q53" s="24" t="n"/>
      <c r="R53" s="24" t="n"/>
      <c r="S53" s="24" t="n"/>
      <c r="T53" s="24" t="n"/>
      <c r="U53" s="24" t="n"/>
      <c r="V53" s="24" t="n"/>
      <c r="W53" s="24" t="n"/>
      <c r="X53" s="24" t="n"/>
      <c r="Y53" s="25" t="n"/>
      <c r="Z53" s="120" t="n"/>
      <c r="AB53" s="23" t="n"/>
      <c r="AC53" s="24" t="n"/>
      <c r="AD53" s="24" t="n"/>
      <c r="AE53" s="24" t="n"/>
      <c r="AF53" s="24" t="n"/>
      <c r="AG53" s="24" t="n"/>
      <c r="AH53" s="24" t="n"/>
      <c r="AI53" s="24" t="n"/>
      <c r="AJ53" s="24" t="n"/>
      <c r="AK53" s="24" t="n"/>
      <c r="AL53" s="24" t="n"/>
      <c r="AM53" s="24" t="n"/>
      <c r="AN53" s="24" t="n"/>
      <c r="AO53" s="24" t="n"/>
      <c r="AP53" s="24" t="n"/>
      <c r="AQ53" s="24" t="n"/>
      <c r="AR53" s="25" t="n"/>
      <c r="AS53" s="120" t="n"/>
    </row>
    <row r="54">
      <c r="A54" s="8" t="n"/>
      <c r="B54" s="14" t="n"/>
      <c r="C54" s="120" t="n"/>
      <c r="D54" s="120" t="n"/>
      <c r="E54" s="120" t="n"/>
      <c r="F54" s="120" t="n"/>
      <c r="G54" s="120" t="n"/>
      <c r="I54" s="120" t="n"/>
      <c r="J54" s="120" t="n"/>
      <c r="K54" s="120" t="n"/>
      <c r="L54" s="120" t="n"/>
      <c r="M54" s="120" t="n"/>
      <c r="N54" s="120" t="n"/>
      <c r="O54" s="120" t="n"/>
      <c r="P54" s="120" t="n"/>
      <c r="Q54" s="120" t="n"/>
      <c r="R54" s="120" t="n"/>
      <c r="S54" s="120" t="n"/>
      <c r="T54" s="120" t="n"/>
      <c r="U54" s="120" t="n"/>
      <c r="V54" s="120" t="n"/>
      <c r="W54" s="120" t="n"/>
      <c r="X54" s="120" t="n"/>
      <c r="Y54" s="120" t="n"/>
      <c r="Z54" s="120" t="n"/>
      <c r="AB54" s="120" t="n"/>
      <c r="AC54" s="120" t="n"/>
      <c r="AD54" s="120" t="n"/>
      <c r="AE54" s="120" t="n"/>
      <c r="AF54" s="120" t="n"/>
      <c r="AG54" s="120" t="n"/>
      <c r="AH54" s="120" t="n"/>
      <c r="AI54" s="120" t="n"/>
      <c r="AJ54" s="120" t="n"/>
      <c r="AK54" s="120" t="n"/>
      <c r="AL54" s="120" t="n"/>
      <c r="AM54" s="120" t="n"/>
      <c r="AN54" s="120" t="n"/>
      <c r="AO54" s="120" t="n"/>
      <c r="AP54" s="120" t="n"/>
      <c r="AQ54" s="120" t="n"/>
      <c r="AR54" s="120" t="n"/>
      <c r="AS54" s="120" t="n"/>
    </row>
    <row r="55">
      <c r="A55" s="8" t="n"/>
      <c r="B55" s="14" t="n"/>
      <c r="C55" s="120" t="n"/>
      <c r="D55" s="120" t="n"/>
      <c r="E55" s="120" t="n"/>
      <c r="F55" s="120" t="n"/>
      <c r="G55" s="120" t="n"/>
      <c r="I55" s="133">
        <f>DADOS_INVOC!$HQ$2</f>
        <v/>
      </c>
      <c r="J55" s="16" t="n"/>
      <c r="K55" s="16" t="n"/>
      <c r="L55" s="16" t="n"/>
      <c r="M55" s="16" t="n"/>
      <c r="N55" s="16" t="n"/>
      <c r="O55" s="16" t="n"/>
      <c r="P55" s="16" t="n"/>
      <c r="Q55" s="16" t="n"/>
      <c r="R55" s="16" t="n"/>
      <c r="S55" s="16" t="n"/>
      <c r="T55" s="16" t="n"/>
      <c r="U55" s="16" t="n"/>
      <c r="V55" s="16" t="n"/>
      <c r="W55" s="16" t="n"/>
      <c r="X55" s="16" t="n"/>
      <c r="Y55" s="17" t="n"/>
      <c r="Z55" s="120" t="n"/>
      <c r="AB55" s="133">
        <f>DADOS_INVOC!$HQ$8</f>
        <v/>
      </c>
      <c r="AC55" s="16" t="n"/>
      <c r="AD55" s="16" t="n"/>
      <c r="AE55" s="16" t="n"/>
      <c r="AF55" s="16" t="n"/>
      <c r="AG55" s="16" t="n"/>
      <c r="AH55" s="16" t="n"/>
      <c r="AI55" s="16" t="n"/>
      <c r="AJ55" s="16" t="n"/>
      <c r="AK55" s="16" t="n"/>
      <c r="AL55" s="16" t="n"/>
      <c r="AM55" s="16" t="n"/>
      <c r="AN55" s="16" t="n"/>
      <c r="AO55" s="16" t="n"/>
      <c r="AP55" s="16" t="n"/>
      <c r="AQ55" s="16" t="n"/>
      <c r="AR55" s="17" t="n"/>
      <c r="AS55" s="120" t="n"/>
    </row>
    <row r="56" outlineLevel="1">
      <c r="A56" s="8" t="n"/>
      <c r="B56" s="14" t="n"/>
      <c r="C56" s="120" t="n"/>
      <c r="D56" s="120" t="n"/>
      <c r="E56" s="120" t="n"/>
      <c r="F56" s="120" t="n"/>
      <c r="G56" s="120" t="n"/>
      <c r="I56" s="120" t="n"/>
      <c r="J56" s="120" t="n"/>
      <c r="K56" s="120" t="n"/>
      <c r="L56" s="120" t="n"/>
      <c r="M56" s="120" t="n"/>
      <c r="N56" s="120" t="n"/>
      <c r="O56" s="120" t="n"/>
      <c r="P56" s="120" t="n"/>
      <c r="Q56" s="120" t="n"/>
      <c r="R56" s="120" t="n"/>
      <c r="S56" s="120" t="n"/>
      <c r="T56" s="120" t="n"/>
      <c r="U56" s="120" t="n"/>
      <c r="V56" s="120" t="n"/>
      <c r="W56" s="120" t="n"/>
      <c r="X56" s="120" t="n"/>
      <c r="Y56" s="120" t="n"/>
      <c r="Z56" s="120" t="n"/>
      <c r="AB56" s="120" t="n"/>
      <c r="AC56" s="120" t="n"/>
      <c r="AD56" s="120" t="n"/>
      <c r="AE56" s="120" t="n"/>
      <c r="AF56" s="120" t="n"/>
      <c r="AG56" s="120" t="n"/>
      <c r="AH56" s="120" t="n"/>
      <c r="AI56" s="120" t="n"/>
      <c r="AJ56" s="120" t="n"/>
      <c r="AK56" s="120" t="n"/>
      <c r="AL56" s="120" t="n"/>
      <c r="AM56" s="120" t="n"/>
      <c r="AN56" s="120" t="n"/>
      <c r="AO56" s="120" t="n"/>
      <c r="AP56" s="120" t="n"/>
      <c r="AQ56" s="120" t="n"/>
      <c r="AR56" s="120" t="n"/>
      <c r="AS56" s="120" t="n"/>
    </row>
    <row r="57" outlineLevel="1">
      <c r="A57" s="8" t="n"/>
      <c r="B57" s="14" t="n"/>
      <c r="C57" s="120" t="n"/>
      <c r="D57" s="120" t="n"/>
      <c r="E57" s="120" t="n"/>
      <c r="F57" s="120" t="n"/>
      <c r="G57" s="120" t="n"/>
      <c r="I57" s="55">
        <f>DADOS_INVOC!$PI$2</f>
        <v/>
      </c>
      <c r="J57" s="16" t="n"/>
      <c r="K57" s="16" t="n"/>
      <c r="L57" s="16" t="n"/>
      <c r="M57" s="17" t="n"/>
      <c r="N57" s="120" t="n"/>
      <c r="O57" s="55">
        <f>DADOS_INVOC!$PI$3</f>
        <v/>
      </c>
      <c r="P57" s="16" t="n"/>
      <c r="Q57" s="16" t="n"/>
      <c r="R57" s="16" t="n"/>
      <c r="S57" s="17" t="n"/>
      <c r="T57" s="120" t="n"/>
      <c r="U57" s="55">
        <f>DADOS_INVOC!$PI$4</f>
        <v/>
      </c>
      <c r="V57" s="16" t="n"/>
      <c r="W57" s="16" t="n"/>
      <c r="X57" s="16" t="n"/>
      <c r="Y57" s="17" t="n"/>
      <c r="Z57" s="120" t="n"/>
      <c r="AB57" s="55">
        <f>DADOS_INVOC!$PI$80</f>
        <v/>
      </c>
      <c r="AC57" s="16" t="n"/>
      <c r="AD57" s="16" t="n"/>
      <c r="AE57" s="16" t="n"/>
      <c r="AF57" s="17" t="n"/>
      <c r="AG57" s="120" t="n"/>
      <c r="AH57" s="55">
        <f>DADOS_INVOC!$PI$81</f>
        <v/>
      </c>
      <c r="AI57" s="16" t="n"/>
      <c r="AJ57" s="16" t="n"/>
      <c r="AK57" s="16" t="n"/>
      <c r="AL57" s="17" t="n"/>
      <c r="AM57" s="120" t="n"/>
      <c r="AN57" s="55">
        <f>DADOS_INVOC!$PI$82</f>
        <v/>
      </c>
      <c r="AO57" s="16" t="n"/>
      <c r="AP57" s="16" t="n"/>
      <c r="AQ57" s="16" t="n"/>
      <c r="AR57" s="17" t="n"/>
      <c r="AS57" s="120" t="n"/>
    </row>
    <row r="58" outlineLevel="1">
      <c r="A58" s="8" t="n"/>
      <c r="B58" s="14" t="n"/>
      <c r="C58" s="120" t="n"/>
      <c r="D58" s="120" t="n"/>
      <c r="E58" s="120" t="n"/>
      <c r="F58" s="120" t="n"/>
      <c r="G58" s="120" t="n"/>
      <c r="I58" s="127" t="n">
        <v>0</v>
      </c>
      <c r="J58" s="115" t="n"/>
      <c r="K58" s="16" t="n"/>
      <c r="L58" s="17" t="n"/>
      <c r="M58" s="128">
        <f>DADOS_INVOC!$PG$2</f>
        <v/>
      </c>
      <c r="N58" s="120" t="n"/>
      <c r="O58" s="127" t="n">
        <v>1</v>
      </c>
      <c r="P58" s="115" t="n"/>
      <c r="Q58" s="16" t="n"/>
      <c r="R58" s="17" t="n"/>
      <c r="S58" s="128">
        <f>DADOS_INVOC!$PG$3</f>
        <v/>
      </c>
      <c r="T58" s="120" t="n"/>
      <c r="U58" s="127" t="n">
        <v>1</v>
      </c>
      <c r="V58" s="115" t="n"/>
      <c r="W58" s="16" t="n"/>
      <c r="X58" s="17" t="n"/>
      <c r="Y58" s="128">
        <f>DADOS_INVOC!$PG$4</f>
        <v/>
      </c>
      <c r="Z58" s="120" t="n"/>
      <c r="AB58" s="127" t="n">
        <v>0</v>
      </c>
      <c r="AC58" s="115" t="n"/>
      <c r="AD58" s="16" t="n"/>
      <c r="AE58" s="17" t="n"/>
      <c r="AF58" s="128">
        <f>DADOS_INVOC!$PG$80</f>
        <v/>
      </c>
      <c r="AG58" s="120" t="n"/>
      <c r="AH58" s="127" t="n">
        <v>1</v>
      </c>
      <c r="AI58" s="115" t="n"/>
      <c r="AJ58" s="16" t="n"/>
      <c r="AK58" s="17" t="n"/>
      <c r="AL58" s="128">
        <f>DADOS_INVOC!$PG$81</f>
        <v/>
      </c>
      <c r="AM58" s="120" t="n"/>
      <c r="AN58" s="127" t="n">
        <v>1</v>
      </c>
      <c r="AO58" s="115" t="n"/>
      <c r="AP58" s="16" t="n"/>
      <c r="AQ58" s="17" t="n"/>
      <c r="AR58" s="128">
        <f>DADOS_INVOC!$PG$82</f>
        <v/>
      </c>
      <c r="AS58" s="120" t="n"/>
    </row>
    <row r="59" outlineLevel="2">
      <c r="A59" s="8" t="n"/>
      <c r="B59" s="14" t="n"/>
      <c r="C59" s="120" t="n"/>
      <c r="D59" s="120" t="n"/>
      <c r="E59" s="120" t="n"/>
      <c r="F59" s="120" t="n"/>
      <c r="G59" s="120" t="n"/>
      <c r="I59" s="55" t="inlineStr">
        <is>
          <t>COMO É</t>
        </is>
      </c>
      <c r="J59" s="16" t="n"/>
      <c r="K59" s="16" t="n"/>
      <c r="L59" s="16" t="n"/>
      <c r="M59" s="17" t="n"/>
      <c r="N59" s="120" t="n"/>
      <c r="O59" s="55" t="inlineStr">
        <is>
          <t>COMO É</t>
        </is>
      </c>
      <c r="P59" s="16" t="n"/>
      <c r="Q59" s="16" t="n"/>
      <c r="R59" s="16" t="n"/>
      <c r="S59" s="17" t="n"/>
      <c r="T59" s="120" t="n"/>
      <c r="U59" s="55" t="inlineStr">
        <is>
          <t>COMO É</t>
        </is>
      </c>
      <c r="V59" s="16" t="n"/>
      <c r="W59" s="16" t="n"/>
      <c r="X59" s="16" t="n"/>
      <c r="Y59" s="17" t="n"/>
      <c r="Z59" s="120" t="n"/>
      <c r="AB59" s="55" t="inlineStr">
        <is>
          <t>COMO É</t>
        </is>
      </c>
      <c r="AC59" s="16" t="n"/>
      <c r="AD59" s="16" t="n"/>
      <c r="AE59" s="16" t="n"/>
      <c r="AF59" s="17" t="n"/>
      <c r="AG59" s="120" t="n"/>
      <c r="AH59" s="55" t="inlineStr">
        <is>
          <t>COMO É</t>
        </is>
      </c>
      <c r="AI59" s="16" t="n"/>
      <c r="AJ59" s="16" t="n"/>
      <c r="AK59" s="16" t="n"/>
      <c r="AL59" s="17" t="n"/>
      <c r="AM59" s="120" t="n"/>
      <c r="AN59" s="55" t="inlineStr">
        <is>
          <t>COMO É</t>
        </is>
      </c>
      <c r="AO59" s="16" t="n"/>
      <c r="AP59" s="16" t="n"/>
      <c r="AQ59" s="16" t="n"/>
      <c r="AR59" s="17" t="n"/>
      <c r="AS59" s="120" t="n"/>
    </row>
    <row r="60" outlineLevel="2">
      <c r="A60" s="8" t="n"/>
      <c r="B60" s="14" t="n"/>
      <c r="C60" s="120" t="n"/>
      <c r="D60" s="120" t="n"/>
      <c r="E60" s="120" t="n"/>
      <c r="F60" s="120" t="n"/>
      <c r="G60" s="120" t="n"/>
      <c r="I60" s="116" t="n"/>
      <c r="J60" s="19" t="n"/>
      <c r="K60" s="19" t="n"/>
      <c r="L60" s="19" t="n"/>
      <c r="M60" s="20" t="n"/>
      <c r="N60" s="120" t="n"/>
      <c r="O60" s="116" t="n"/>
      <c r="P60" s="19" t="n"/>
      <c r="Q60" s="19" t="n"/>
      <c r="R60" s="19" t="n"/>
      <c r="S60" s="20" t="n"/>
      <c r="T60" s="120" t="n"/>
      <c r="U60" s="116" t="n"/>
      <c r="V60" s="19" t="n"/>
      <c r="W60" s="19" t="n"/>
      <c r="X60" s="19" t="n"/>
      <c r="Y60" s="20" t="n"/>
      <c r="Z60" s="120" t="n"/>
      <c r="AB60" s="116" t="n"/>
      <c r="AC60" s="19" t="n"/>
      <c r="AD60" s="19" t="n"/>
      <c r="AE60" s="19" t="n"/>
      <c r="AF60" s="20" t="n"/>
      <c r="AG60" s="120" t="n"/>
      <c r="AH60" s="116" t="n"/>
      <c r="AI60" s="19" t="n"/>
      <c r="AJ60" s="19" t="n"/>
      <c r="AK60" s="19" t="n"/>
      <c r="AL60" s="20" t="n"/>
      <c r="AM60" s="120" t="n"/>
      <c r="AN60" s="116" t="n"/>
      <c r="AO60" s="19" t="n"/>
      <c r="AP60" s="19" t="n"/>
      <c r="AQ60" s="19" t="n"/>
      <c r="AR60" s="20" t="n"/>
      <c r="AS60" s="120" t="n"/>
    </row>
    <row r="61" outlineLevel="2">
      <c r="A61" s="8" t="n"/>
      <c r="B61" s="14" t="n"/>
      <c r="C61" s="120" t="n"/>
      <c r="D61" s="120" t="n"/>
      <c r="E61" s="120" t="n"/>
      <c r="F61" s="120" t="n"/>
      <c r="G61" s="120" t="n"/>
      <c r="I61" s="21" t="n"/>
      <c r="M61" s="22" t="n"/>
      <c r="N61" s="120" t="n"/>
      <c r="O61" s="21" t="n"/>
      <c r="S61" s="22" t="n"/>
      <c r="T61" s="120" t="n"/>
      <c r="U61" s="21" t="n"/>
      <c r="Y61" s="22" t="n"/>
      <c r="Z61" s="120" t="n"/>
      <c r="AB61" s="21" t="n"/>
      <c r="AF61" s="22" t="n"/>
      <c r="AG61" s="120" t="n"/>
      <c r="AH61" s="21" t="n"/>
      <c r="AL61" s="22" t="n"/>
      <c r="AM61" s="120" t="n"/>
      <c r="AN61" s="21" t="n"/>
      <c r="AR61" s="22" t="n"/>
      <c r="AS61" s="120" t="n"/>
    </row>
    <row r="62" outlineLevel="2">
      <c r="A62" s="8" t="n"/>
      <c r="B62" s="14" t="n"/>
      <c r="C62" s="120" t="n"/>
      <c r="D62" s="120" t="n"/>
      <c r="E62" s="120" t="n"/>
      <c r="F62" s="120" t="n"/>
      <c r="G62" s="120" t="n"/>
      <c r="I62" s="23" t="n"/>
      <c r="J62" s="24" t="n"/>
      <c r="K62" s="24" t="n"/>
      <c r="L62" s="24" t="n"/>
      <c r="M62" s="25" t="n"/>
      <c r="N62" s="120" t="n"/>
      <c r="O62" s="23" t="n"/>
      <c r="P62" s="24" t="n"/>
      <c r="Q62" s="24" t="n"/>
      <c r="R62" s="24" t="n"/>
      <c r="S62" s="25" t="n"/>
      <c r="T62" s="120" t="n"/>
      <c r="U62" s="23" t="n"/>
      <c r="V62" s="24" t="n"/>
      <c r="W62" s="24" t="n"/>
      <c r="X62" s="24" t="n"/>
      <c r="Y62" s="25" t="n"/>
      <c r="Z62" s="120" t="n"/>
      <c r="AB62" s="23" t="n"/>
      <c r="AC62" s="24" t="n"/>
      <c r="AD62" s="24" t="n"/>
      <c r="AE62" s="24" t="n"/>
      <c r="AF62" s="25" t="n"/>
      <c r="AG62" s="120" t="n"/>
      <c r="AH62" s="23" t="n"/>
      <c r="AI62" s="24" t="n"/>
      <c r="AJ62" s="24" t="n"/>
      <c r="AK62" s="24" t="n"/>
      <c r="AL62" s="25" t="n"/>
      <c r="AM62" s="120" t="n"/>
      <c r="AN62" s="23" t="n"/>
      <c r="AO62" s="24" t="n"/>
      <c r="AP62" s="24" t="n"/>
      <c r="AQ62" s="24" t="n"/>
      <c r="AR62" s="25" t="n"/>
      <c r="AS62" s="120" t="n"/>
    </row>
    <row r="63" outlineLevel="1">
      <c r="A63" s="8" t="n"/>
      <c r="B63" s="14" t="n"/>
      <c r="C63" s="120" t="n"/>
      <c r="D63" s="120" t="n"/>
      <c r="E63" s="120" t="n"/>
      <c r="F63" s="120" t="n"/>
      <c r="G63" s="120" t="n"/>
      <c r="I63" s="124" t="inlineStr">
        <is>
          <t>Projétil</t>
        </is>
      </c>
      <c r="J63" s="17" t="n"/>
      <c r="K63" s="68">
        <f>DADOS_INVOC!$PN$2</f>
        <v/>
      </c>
      <c r="L63" s="17" t="n"/>
      <c r="M63" s="68">
        <f>DADOS_INVOC!$PJ$2</f>
        <v/>
      </c>
      <c r="N63" s="120" t="n"/>
      <c r="O63" s="124" t="inlineStr">
        <is>
          <t>Projétil</t>
        </is>
      </c>
      <c r="P63" s="17" t="n"/>
      <c r="Q63" s="68">
        <f>DADOS_INVOC!$PN$3</f>
        <v/>
      </c>
      <c r="R63" s="17" t="n"/>
      <c r="S63" s="68">
        <f>DADOS_INVOC!$PJ$3</f>
        <v/>
      </c>
      <c r="T63" s="120" t="n"/>
      <c r="U63" s="124" t="inlineStr">
        <is>
          <t>Projétil</t>
        </is>
      </c>
      <c r="V63" s="17" t="n"/>
      <c r="W63" s="68">
        <f>DADOS_INVOC!$PN$4</f>
        <v/>
      </c>
      <c r="X63" s="17" t="n"/>
      <c r="Y63" s="68">
        <f>DADOS_INVOC!$PJ$4</f>
        <v/>
      </c>
      <c r="Z63" s="120" t="n"/>
      <c r="AB63" s="124" t="inlineStr">
        <is>
          <t>Projétil</t>
        </is>
      </c>
      <c r="AC63" s="17" t="n"/>
      <c r="AD63" s="68">
        <f>DADOS_INVOC!$PN$80</f>
        <v/>
      </c>
      <c r="AE63" s="17" t="n"/>
      <c r="AF63" s="68">
        <f>DADOS_INVOC!$PJ$80</f>
        <v/>
      </c>
      <c r="AG63" s="120" t="n"/>
      <c r="AH63" s="124" t="inlineStr">
        <is>
          <t>Projétil</t>
        </is>
      </c>
      <c r="AI63" s="17" t="n"/>
      <c r="AJ63" s="68">
        <f>DADOS_INVOC!$PN$81</f>
        <v/>
      </c>
      <c r="AK63" s="17" t="n"/>
      <c r="AL63" s="68">
        <f>DADOS_INVOC!$PJ$81</f>
        <v/>
      </c>
      <c r="AM63" s="120" t="n"/>
      <c r="AN63" s="124" t="inlineStr">
        <is>
          <t>Projétil</t>
        </is>
      </c>
      <c r="AO63" s="17" t="n"/>
      <c r="AP63" s="68">
        <f>DADOS_INVOC!$PN$82</f>
        <v/>
      </c>
      <c r="AQ63" s="17" t="n"/>
      <c r="AR63" s="68">
        <f>DADOS_INVOC!$PJ$82</f>
        <v/>
      </c>
      <c r="AS63" s="120" t="n"/>
    </row>
    <row r="64" outlineLevel="1">
      <c r="A64" s="8" t="n"/>
      <c r="B64" s="14" t="n"/>
      <c r="C64" s="120" t="n"/>
      <c r="D64" s="120" t="n"/>
      <c r="E64" s="120" t="n"/>
      <c r="F64" s="120" t="n"/>
      <c r="G64" s="120" t="n"/>
      <c r="I64" s="124" t="n"/>
      <c r="J64" s="17" t="n"/>
      <c r="K64" s="124" t="n"/>
      <c r="L64" s="16" t="n"/>
      <c r="M64" s="17" t="n"/>
      <c r="N64" s="120" t="n"/>
      <c r="O64" s="124" t="n"/>
      <c r="P64" s="17" t="n"/>
      <c r="Q64" s="124" t="n"/>
      <c r="R64" s="16" t="n"/>
      <c r="S64" s="17" t="n"/>
      <c r="T64" s="120" t="n"/>
      <c r="U64" s="124" t="n"/>
      <c r="V64" s="17" t="n"/>
      <c r="W64" s="124" t="n"/>
      <c r="X64" s="16" t="n"/>
      <c r="Y64" s="17" t="n"/>
      <c r="Z64" s="120" t="n"/>
      <c r="AB64" s="124" t="n"/>
      <c r="AC64" s="17" t="n"/>
      <c r="AD64" s="124" t="n"/>
      <c r="AE64" s="16" t="n"/>
      <c r="AF64" s="17" t="n"/>
      <c r="AG64" s="120" t="n"/>
      <c r="AH64" s="124" t="n"/>
      <c r="AI64" s="17" t="n"/>
      <c r="AJ64" s="124" t="n"/>
      <c r="AK64" s="16" t="n"/>
      <c r="AL64" s="17" t="n"/>
      <c r="AM64" s="120" t="n"/>
      <c r="AN64" s="124" t="n"/>
      <c r="AO64" s="17" t="n"/>
      <c r="AP64" s="124" t="n"/>
      <c r="AQ64" s="16" t="n"/>
      <c r="AR64" s="17" t="n"/>
      <c r="AS64" s="120" t="n"/>
    </row>
    <row r="65" outlineLevel="1">
      <c r="A65" s="8" t="n"/>
      <c r="B65" s="14" t="n"/>
      <c r="C65" s="120" t="n"/>
      <c r="D65" s="120" t="n"/>
      <c r="E65" s="120" t="n"/>
      <c r="F65" s="120" t="n"/>
      <c r="G65" s="120" t="n"/>
      <c r="I65" s="124">
        <f>DADOS_INVOC!$PK$2</f>
        <v/>
      </c>
      <c r="J65" s="17" t="n"/>
      <c r="K65" s="124">
        <f>DADOS_INVOC!$PM$2</f>
        <v/>
      </c>
      <c r="L65" s="16" t="n"/>
      <c r="M65" s="17" t="n"/>
      <c r="N65" s="120" t="n"/>
      <c r="O65" s="124">
        <f>DADOS_INVOC!$PK$3</f>
        <v/>
      </c>
      <c r="P65" s="17" t="n"/>
      <c r="Q65" s="124">
        <f>DADOS_INVOC!$PM$3</f>
        <v/>
      </c>
      <c r="R65" s="16" t="n"/>
      <c r="S65" s="17" t="n"/>
      <c r="T65" s="120" t="n"/>
      <c r="U65" s="124">
        <f>DADOS_INVOC!$PK$4</f>
        <v/>
      </c>
      <c r="V65" s="17" t="n"/>
      <c r="W65" s="124">
        <f>DADOS_INVOC!$PM$4</f>
        <v/>
      </c>
      <c r="X65" s="16" t="n"/>
      <c r="Y65" s="17" t="n"/>
      <c r="Z65" s="120" t="n"/>
      <c r="AB65" s="124">
        <f>DADOS_INVOC!$PK$80</f>
        <v/>
      </c>
      <c r="AC65" s="17" t="n"/>
      <c r="AD65" s="124">
        <f>DADOS_INVOC!$PM$80</f>
        <v/>
      </c>
      <c r="AE65" s="16" t="n"/>
      <c r="AF65" s="17" t="n"/>
      <c r="AG65" s="120" t="n"/>
      <c r="AH65" s="124">
        <f>DADOS_INVOC!$PK$81</f>
        <v/>
      </c>
      <c r="AI65" s="17" t="n"/>
      <c r="AJ65" s="124">
        <f>DADOS_INVOC!$PM$81</f>
        <v/>
      </c>
      <c r="AK65" s="16" t="n"/>
      <c r="AL65" s="17" t="n"/>
      <c r="AM65" s="120" t="n"/>
      <c r="AN65" s="124">
        <f>DADOS_INVOC!$PK$82</f>
        <v/>
      </c>
      <c r="AO65" s="17" t="n"/>
      <c r="AP65" s="124">
        <f>DADOS_INVOC!$PM$82</f>
        <v/>
      </c>
      <c r="AQ65" s="16" t="n"/>
      <c r="AR65" s="17" t="n"/>
      <c r="AS65" s="120" t="n"/>
    </row>
    <row r="66" outlineLevel="1">
      <c r="A66" s="8" t="n"/>
      <c r="B66" s="14" t="n"/>
      <c r="C66" s="120" t="n"/>
      <c r="D66" s="120" t="n"/>
      <c r="E66" s="120" t="n"/>
      <c r="F66" s="120" t="n"/>
      <c r="G66" s="120" t="n"/>
      <c r="I66" s="129">
        <f>DADOS_INVOC!$PS$2</f>
        <v/>
      </c>
      <c r="J66" s="16" t="n"/>
      <c r="K66" s="16" t="n"/>
      <c r="L66" s="16" t="n"/>
      <c r="M66" s="17" t="n"/>
      <c r="N66" s="120" t="n"/>
      <c r="O66" s="129">
        <f>DADOS_INVOC!$PS$3</f>
        <v/>
      </c>
      <c r="P66" s="16" t="n"/>
      <c r="Q66" s="16" t="n"/>
      <c r="R66" s="16" t="n"/>
      <c r="S66" s="17" t="n"/>
      <c r="T66" s="120" t="n"/>
      <c r="U66" s="129">
        <f>DADOS_INVOC!$PS$4</f>
        <v/>
      </c>
      <c r="V66" s="16" t="n"/>
      <c r="W66" s="16" t="n"/>
      <c r="X66" s="16" t="n"/>
      <c r="Y66" s="17" t="n"/>
      <c r="Z66" s="120" t="n"/>
      <c r="AB66" s="129">
        <f>DADOS_INVOC!$PS$80</f>
        <v/>
      </c>
      <c r="AC66" s="16" t="n"/>
      <c r="AD66" s="16" t="n"/>
      <c r="AE66" s="16" t="n"/>
      <c r="AF66" s="17" t="n"/>
      <c r="AG66" s="120" t="n"/>
      <c r="AH66" s="129">
        <f>DADOS_INVOC!$PS$81</f>
        <v/>
      </c>
      <c r="AI66" s="16" t="n"/>
      <c r="AJ66" s="16" t="n"/>
      <c r="AK66" s="16" t="n"/>
      <c r="AL66" s="17" t="n"/>
      <c r="AM66" s="120" t="n"/>
      <c r="AN66" s="129">
        <f>DADOS_INVOC!$PS$82</f>
        <v/>
      </c>
      <c r="AO66" s="16" t="n"/>
      <c r="AP66" s="16" t="n"/>
      <c r="AQ66" s="16" t="n"/>
      <c r="AR66" s="17" t="n"/>
      <c r="AS66" s="120" t="n"/>
    </row>
    <row r="67" hidden="1" outlineLevel="2">
      <c r="A67" s="8" t="n"/>
      <c r="B67" s="14" t="n"/>
      <c r="C67" s="120" t="n"/>
      <c r="D67" s="120" t="n"/>
      <c r="E67" s="120" t="n"/>
      <c r="F67" s="120" t="n"/>
      <c r="G67" s="120" t="n"/>
      <c r="I67" s="55" t="inlineStr">
        <is>
          <t>MELHORIAS</t>
        </is>
      </c>
      <c r="J67" s="130" t="n"/>
      <c r="K67" s="16" t="n"/>
      <c r="L67" s="17" t="n"/>
      <c r="M67" s="129">
        <f>DADOS_INVOC!$PV$2</f>
        <v/>
      </c>
      <c r="N67" s="120" t="n"/>
      <c r="O67" s="55" t="inlineStr">
        <is>
          <t>MELHORIAS</t>
        </is>
      </c>
      <c r="P67" s="130" t="n"/>
      <c r="Q67" s="16" t="n"/>
      <c r="R67" s="17" t="n"/>
      <c r="S67" s="129">
        <f>DADOS_INVOC!$PV$3</f>
        <v/>
      </c>
      <c r="T67" s="120" t="n"/>
      <c r="U67" s="55" t="inlineStr">
        <is>
          <t>MELHORIAS</t>
        </is>
      </c>
      <c r="V67" s="130" t="n"/>
      <c r="W67" s="16" t="n"/>
      <c r="X67" s="17" t="n"/>
      <c r="Y67" s="129">
        <f>DADOS_INVOC!$PV$4</f>
        <v/>
      </c>
      <c r="Z67" s="120" t="n"/>
      <c r="AB67" s="55" t="inlineStr">
        <is>
          <t>MELHORIAS</t>
        </is>
      </c>
      <c r="AC67" s="130" t="n"/>
      <c r="AD67" s="16" t="n"/>
      <c r="AE67" s="17" t="n"/>
      <c r="AF67" s="129">
        <f>DADOS_INVOC!$PV$80</f>
        <v/>
      </c>
      <c r="AG67" s="120" t="n"/>
      <c r="AH67" s="55" t="inlineStr">
        <is>
          <t>MELHORIAS</t>
        </is>
      </c>
      <c r="AI67" s="130" t="n"/>
      <c r="AJ67" s="16" t="n"/>
      <c r="AK67" s="17" t="n"/>
      <c r="AL67" s="129">
        <f>DADOS_INVOC!$PV$81</f>
        <v/>
      </c>
      <c r="AM67" s="120" t="n"/>
      <c r="AN67" s="55" t="inlineStr">
        <is>
          <t>MELHORIAS</t>
        </is>
      </c>
      <c r="AO67" s="130" t="n"/>
      <c r="AP67" s="16" t="n"/>
      <c r="AQ67" s="17" t="n"/>
      <c r="AR67" s="129">
        <f>DADOS_INVOC!$PV$82</f>
        <v/>
      </c>
      <c r="AS67" s="120" t="n"/>
    </row>
    <row r="68" hidden="1" outlineLevel="2">
      <c r="A68" s="8" t="n"/>
      <c r="B68" s="14" t="n"/>
      <c r="C68" s="120" t="n"/>
      <c r="D68" s="120" t="n"/>
      <c r="E68" s="120" t="n"/>
      <c r="F68" s="120" t="n"/>
      <c r="G68" s="120" t="n"/>
      <c r="I68" s="131" t="n"/>
      <c r="J68" s="130" t="n"/>
      <c r="K68" s="16" t="n"/>
      <c r="L68" s="17" t="n"/>
      <c r="M68" s="129">
        <f>DADOS_INVOC!$PW$2</f>
        <v/>
      </c>
      <c r="N68" s="120" t="n"/>
      <c r="O68" s="131" t="n"/>
      <c r="P68" s="130" t="n"/>
      <c r="Q68" s="16" t="n"/>
      <c r="R68" s="17" t="n"/>
      <c r="S68" s="129">
        <f>DADOS_INVOC!$PW$3</f>
        <v/>
      </c>
      <c r="T68" s="120" t="n"/>
      <c r="U68" s="131" t="n"/>
      <c r="V68" s="130" t="n"/>
      <c r="W68" s="16" t="n"/>
      <c r="X68" s="17" t="n"/>
      <c r="Y68" s="129">
        <f>DADOS_INVOC!$PW$4</f>
        <v/>
      </c>
      <c r="Z68" s="120" t="n"/>
      <c r="AB68" s="131" t="n"/>
      <c r="AC68" s="130" t="n"/>
      <c r="AD68" s="16" t="n"/>
      <c r="AE68" s="17" t="n"/>
      <c r="AF68" s="129">
        <f>DADOS_INVOC!$PW$80</f>
        <v/>
      </c>
      <c r="AG68" s="120" t="n"/>
      <c r="AH68" s="131" t="n"/>
      <c r="AI68" s="130" t="n"/>
      <c r="AJ68" s="16" t="n"/>
      <c r="AK68" s="17" t="n"/>
      <c r="AL68" s="129">
        <f>DADOS_INVOC!$PW$81</f>
        <v/>
      </c>
      <c r="AM68" s="120" t="n"/>
      <c r="AN68" s="131" t="n"/>
      <c r="AO68" s="130" t="n"/>
      <c r="AP68" s="16" t="n"/>
      <c r="AQ68" s="17" t="n"/>
      <c r="AR68" s="129">
        <f>DADOS_INVOC!$PW$82</f>
        <v/>
      </c>
      <c r="AS68" s="120" t="n"/>
    </row>
    <row r="69" hidden="1" outlineLevel="2">
      <c r="A69" s="8" t="n"/>
      <c r="B69" s="14" t="n"/>
      <c r="C69" s="120" t="n"/>
      <c r="D69" s="120" t="n"/>
      <c r="E69" s="120" t="n"/>
      <c r="F69" s="120" t="n"/>
      <c r="G69" s="120" t="n"/>
      <c r="I69" s="131" t="n"/>
      <c r="J69" s="130" t="n"/>
      <c r="K69" s="16" t="n"/>
      <c r="L69" s="17" t="n"/>
      <c r="M69" s="129">
        <f>DADOS_INVOC!$PX$2</f>
        <v/>
      </c>
      <c r="N69" s="120" t="n"/>
      <c r="O69" s="131" t="n"/>
      <c r="P69" s="130" t="n"/>
      <c r="Q69" s="16" t="n"/>
      <c r="R69" s="17" t="n"/>
      <c r="S69" s="129">
        <f>DADOS_INVOC!$PX$3</f>
        <v/>
      </c>
      <c r="T69" s="120" t="n"/>
      <c r="U69" s="131" t="n"/>
      <c r="V69" s="130" t="n"/>
      <c r="W69" s="16" t="n"/>
      <c r="X69" s="17" t="n"/>
      <c r="Y69" s="129">
        <f>DADOS_INVOC!$PX$4</f>
        <v/>
      </c>
      <c r="Z69" s="120" t="n"/>
      <c r="AB69" s="131" t="n"/>
      <c r="AC69" s="130" t="n"/>
      <c r="AD69" s="16" t="n"/>
      <c r="AE69" s="17" t="n"/>
      <c r="AF69" s="129">
        <f>DADOS_INVOC!$PX$80</f>
        <v/>
      </c>
      <c r="AG69" s="120" t="n"/>
      <c r="AH69" s="131" t="n"/>
      <c r="AI69" s="130" t="n"/>
      <c r="AJ69" s="16" t="n"/>
      <c r="AK69" s="17" t="n"/>
      <c r="AL69" s="129">
        <f>DADOS_INVOC!$PX$81</f>
        <v/>
      </c>
      <c r="AM69" s="120" t="n"/>
      <c r="AN69" s="131" t="n"/>
      <c r="AO69" s="130" t="n"/>
      <c r="AP69" s="16" t="n"/>
      <c r="AQ69" s="17" t="n"/>
      <c r="AR69" s="129">
        <f>DADOS_INVOC!$PX$82</f>
        <v/>
      </c>
      <c r="AS69" s="120" t="n"/>
    </row>
    <row r="70" hidden="1" outlineLevel="2">
      <c r="A70" s="8" t="n"/>
      <c r="B70" s="14" t="n"/>
      <c r="C70" s="120" t="n"/>
      <c r="D70" s="120" t="n"/>
      <c r="E70" s="120" t="n"/>
      <c r="F70" s="120" t="n"/>
      <c r="G70" s="120" t="n"/>
      <c r="I70" s="125" t="n"/>
      <c r="J70" s="130" t="n"/>
      <c r="K70" s="16" t="n"/>
      <c r="L70" s="17" t="n"/>
      <c r="M70" s="129">
        <f>DADOS_INVOC!$PY$2</f>
        <v/>
      </c>
      <c r="N70" s="120" t="n"/>
      <c r="O70" s="125" t="n"/>
      <c r="P70" s="130" t="n"/>
      <c r="Q70" s="16" t="n"/>
      <c r="R70" s="17" t="n"/>
      <c r="S70" s="129">
        <f>DADOS_INVOC!$PY$3</f>
        <v/>
      </c>
      <c r="T70" s="120" t="n"/>
      <c r="U70" s="125" t="n"/>
      <c r="V70" s="130" t="n"/>
      <c r="W70" s="16" t="n"/>
      <c r="X70" s="17" t="n"/>
      <c r="Y70" s="129">
        <f>DADOS_INVOC!$PY$4</f>
        <v/>
      </c>
      <c r="Z70" s="120" t="n"/>
      <c r="AB70" s="125" t="n"/>
      <c r="AC70" s="130" t="n"/>
      <c r="AD70" s="16" t="n"/>
      <c r="AE70" s="17" t="n"/>
      <c r="AF70" s="129">
        <f>DADOS_INVOC!$PY$80</f>
        <v/>
      </c>
      <c r="AG70" s="120" t="n"/>
      <c r="AH70" s="125" t="n"/>
      <c r="AI70" s="130" t="n"/>
      <c r="AJ70" s="16" t="n"/>
      <c r="AK70" s="17" t="n"/>
      <c r="AL70" s="129">
        <f>DADOS_INVOC!$PY$81</f>
        <v/>
      </c>
      <c r="AM70" s="120" t="n"/>
      <c r="AN70" s="125" t="n"/>
      <c r="AO70" s="130" t="n"/>
      <c r="AP70" s="16" t="n"/>
      <c r="AQ70" s="17" t="n"/>
      <c r="AR70" s="129">
        <f>DADOS_INVOC!$PY$82</f>
        <v/>
      </c>
      <c r="AS70" s="120" t="n"/>
    </row>
    <row r="71" hidden="1" outlineLevel="2">
      <c r="A71" s="8" t="n"/>
      <c r="B71" s="14" t="n"/>
      <c r="C71" s="120" t="n"/>
      <c r="D71" s="120" t="n"/>
      <c r="E71" s="120" t="n"/>
      <c r="F71" s="120" t="n"/>
      <c r="G71" s="120" t="n"/>
      <c r="I71" s="55" t="inlineStr">
        <is>
          <t>RESTRIÇÕES</t>
        </is>
      </c>
      <c r="J71" s="130" t="n"/>
      <c r="K71" s="16" t="n"/>
      <c r="L71" s="17" t="n"/>
      <c r="M71" s="129">
        <f>DADOS_INVOC!$PZ$2</f>
        <v/>
      </c>
      <c r="N71" s="120" t="n"/>
      <c r="O71" s="55" t="inlineStr">
        <is>
          <t>RESTRIÇÕES</t>
        </is>
      </c>
      <c r="P71" s="130" t="n"/>
      <c r="Q71" s="16" t="n"/>
      <c r="R71" s="17" t="n"/>
      <c r="S71" s="129">
        <f>DADOS_INVOC!$PZ$3</f>
        <v/>
      </c>
      <c r="T71" s="120" t="n"/>
      <c r="U71" s="55" t="inlineStr">
        <is>
          <t>RESTRIÇÕES</t>
        </is>
      </c>
      <c r="V71" s="130" t="n"/>
      <c r="W71" s="16" t="n"/>
      <c r="X71" s="17" t="n"/>
      <c r="Y71" s="129">
        <f>DADOS_INVOC!$PZ$4</f>
        <v/>
      </c>
      <c r="Z71" s="120" t="n"/>
      <c r="AB71" s="55" t="inlineStr">
        <is>
          <t>RESTRIÇÕES</t>
        </is>
      </c>
      <c r="AC71" s="130" t="n"/>
      <c r="AD71" s="16" t="n"/>
      <c r="AE71" s="17" t="n"/>
      <c r="AF71" s="129">
        <f>DADOS_INVOC!$PZ$80</f>
        <v/>
      </c>
      <c r="AG71" s="120" t="n"/>
      <c r="AH71" s="55" t="inlineStr">
        <is>
          <t>RESTRIÇÕES</t>
        </is>
      </c>
      <c r="AI71" s="130" t="n"/>
      <c r="AJ71" s="16" t="n"/>
      <c r="AK71" s="17" t="n"/>
      <c r="AL71" s="129">
        <f>DADOS_INVOC!$PZ$81</f>
        <v/>
      </c>
      <c r="AM71" s="120" t="n"/>
      <c r="AN71" s="55" t="inlineStr">
        <is>
          <t>RESTRIÇÕES</t>
        </is>
      </c>
      <c r="AO71" s="130" t="n"/>
      <c r="AP71" s="16" t="n"/>
      <c r="AQ71" s="17" t="n"/>
      <c r="AR71" s="129">
        <f>DADOS_INVOC!$PZ$82</f>
        <v/>
      </c>
      <c r="AS71" s="120" t="n"/>
    </row>
    <row r="72" hidden="1" outlineLevel="2">
      <c r="A72" s="8" t="n"/>
      <c r="B72" s="14" t="n"/>
      <c r="C72" s="120" t="n"/>
      <c r="D72" s="120" t="n"/>
      <c r="E72" s="120" t="n"/>
      <c r="F72" s="120" t="n"/>
      <c r="G72" s="120" t="n"/>
      <c r="I72" s="125" t="n"/>
      <c r="J72" s="130" t="n"/>
      <c r="K72" s="16" t="n"/>
      <c r="L72" s="17" t="n"/>
      <c r="M72" s="129">
        <f>DADOS_INVOC!$QA$2</f>
        <v/>
      </c>
      <c r="N72" s="120" t="n"/>
      <c r="O72" s="125" t="n"/>
      <c r="P72" s="130" t="n"/>
      <c r="Q72" s="16" t="n"/>
      <c r="R72" s="17" t="n"/>
      <c r="S72" s="129">
        <f>DADOS_INVOC!$QA$3</f>
        <v/>
      </c>
      <c r="T72" s="120" t="n"/>
      <c r="U72" s="125" t="n"/>
      <c r="V72" s="130" t="n"/>
      <c r="W72" s="16" t="n"/>
      <c r="X72" s="17" t="n"/>
      <c r="Y72" s="129">
        <f>DADOS_INVOC!$QA$4</f>
        <v/>
      </c>
      <c r="Z72" s="120" t="n"/>
      <c r="AB72" s="125" t="n"/>
      <c r="AC72" s="130" t="n"/>
      <c r="AD72" s="16" t="n"/>
      <c r="AE72" s="17" t="n"/>
      <c r="AF72" s="129">
        <f>DADOS_INVOC!$QA$80</f>
        <v/>
      </c>
      <c r="AG72" s="120" t="n"/>
      <c r="AH72" s="125" t="n"/>
      <c r="AI72" s="130" t="n"/>
      <c r="AJ72" s="16" t="n"/>
      <c r="AK72" s="17" t="n"/>
      <c r="AL72" s="129">
        <f>DADOS_INVOC!$QA$81</f>
        <v/>
      </c>
      <c r="AM72" s="120" t="n"/>
      <c r="AN72" s="125" t="n"/>
      <c r="AO72" s="130" t="n"/>
      <c r="AP72" s="16" t="n"/>
      <c r="AQ72" s="17" t="n"/>
      <c r="AR72" s="129">
        <f>DADOS_INVOC!$QA$82</f>
        <v/>
      </c>
      <c r="AS72" s="120" t="n"/>
    </row>
    <row r="73" hidden="1" outlineLevel="2">
      <c r="A73" s="8" t="n"/>
      <c r="B73" s="14" t="n"/>
      <c r="C73" s="120" t="n"/>
      <c r="D73" s="120" t="n"/>
      <c r="E73" s="120" t="n"/>
      <c r="F73" s="120" t="n"/>
      <c r="G73" s="120" t="n"/>
      <c r="I73" s="55" t="inlineStr">
        <is>
          <t>CONTA</t>
        </is>
      </c>
      <c r="J73" s="132">
        <f>DADOS_INVOC!$PT$2</f>
        <v/>
      </c>
      <c r="K73" s="16" t="n"/>
      <c r="L73" s="16" t="n"/>
      <c r="M73" s="17" t="n"/>
      <c r="N73" s="120" t="n"/>
      <c r="O73" s="55" t="inlineStr">
        <is>
          <t>CONTA</t>
        </is>
      </c>
      <c r="P73" s="132">
        <f>DADOS_INVOC!$PT$3</f>
        <v/>
      </c>
      <c r="Q73" s="16" t="n"/>
      <c r="R73" s="16" t="n"/>
      <c r="S73" s="17" t="n"/>
      <c r="T73" s="120" t="n"/>
      <c r="U73" s="55" t="inlineStr">
        <is>
          <t>CONTA</t>
        </is>
      </c>
      <c r="V73" s="132">
        <f>DADOS_INVOC!$PT$4</f>
        <v/>
      </c>
      <c r="W73" s="16" t="n"/>
      <c r="X73" s="16" t="n"/>
      <c r="Y73" s="17" t="n"/>
      <c r="Z73" s="120" t="n"/>
      <c r="AB73" s="55" t="inlineStr">
        <is>
          <t>CONTA</t>
        </is>
      </c>
      <c r="AC73" s="132">
        <f>DADOS_INVOC!$PT$80</f>
        <v/>
      </c>
      <c r="AD73" s="16" t="n"/>
      <c r="AE73" s="16" t="n"/>
      <c r="AF73" s="17" t="n"/>
      <c r="AG73" s="120" t="n"/>
      <c r="AH73" s="55" t="inlineStr">
        <is>
          <t>CONTA</t>
        </is>
      </c>
      <c r="AI73" s="132">
        <f>DADOS_INVOC!$PT$81</f>
        <v/>
      </c>
      <c r="AJ73" s="16" t="n"/>
      <c r="AK73" s="16" t="n"/>
      <c r="AL73" s="17" t="n"/>
      <c r="AM73" s="120" t="n"/>
      <c r="AN73" s="55" t="inlineStr">
        <is>
          <t>CONTA</t>
        </is>
      </c>
      <c r="AO73" s="132">
        <f>DADOS_INVOC!$PT$82</f>
        <v/>
      </c>
      <c r="AP73" s="16" t="n"/>
      <c r="AQ73" s="16" t="n"/>
      <c r="AR73" s="17" t="n"/>
      <c r="AS73" s="120" t="n"/>
    </row>
    <row r="74" hidden="1" outlineLevel="2">
      <c r="A74" s="8" t="n"/>
      <c r="B74" s="14" t="n"/>
      <c r="C74" s="120" t="n"/>
      <c r="D74" s="120" t="n"/>
      <c r="E74" s="120" t="n"/>
      <c r="F74" s="120" t="n"/>
      <c r="G74" s="120" t="n"/>
      <c r="I74" s="55" t="inlineStr">
        <is>
          <t>AMPLIAR</t>
        </is>
      </c>
      <c r="J74" s="132">
        <f>DADOS_INVOC!$PU$2</f>
        <v/>
      </c>
      <c r="K74" s="19" t="n"/>
      <c r="L74" s="19" t="n"/>
      <c r="M74" s="20" t="n"/>
      <c r="N74" s="120" t="n"/>
      <c r="O74" s="55" t="inlineStr">
        <is>
          <t>AMPLIAR</t>
        </is>
      </c>
      <c r="P74" s="132">
        <f>DADOS_INVOC!$PU$3</f>
        <v/>
      </c>
      <c r="Q74" s="19" t="n"/>
      <c r="R74" s="19" t="n"/>
      <c r="S74" s="20" t="n"/>
      <c r="T74" s="120" t="n"/>
      <c r="U74" s="55" t="inlineStr">
        <is>
          <t>AMPLIAR</t>
        </is>
      </c>
      <c r="V74" s="132">
        <f>DADOS_INVOC!$PU$4</f>
        <v/>
      </c>
      <c r="W74" s="19" t="n"/>
      <c r="X74" s="19" t="n"/>
      <c r="Y74" s="20" t="n"/>
      <c r="Z74" s="120" t="n"/>
      <c r="AB74" s="55" t="inlineStr">
        <is>
          <t>AMPLIAR</t>
        </is>
      </c>
      <c r="AC74" s="132">
        <f>DADOS_INVOC!$PU$80</f>
        <v/>
      </c>
      <c r="AD74" s="19" t="n"/>
      <c r="AE74" s="19" t="n"/>
      <c r="AF74" s="20" t="n"/>
      <c r="AG74" s="120" t="n"/>
      <c r="AH74" s="55" t="inlineStr">
        <is>
          <t>AMPLIAR</t>
        </is>
      </c>
      <c r="AI74" s="132">
        <f>DADOS_INVOC!$PU$81</f>
        <v/>
      </c>
      <c r="AJ74" s="19" t="n"/>
      <c r="AK74" s="19" t="n"/>
      <c r="AL74" s="20" t="n"/>
      <c r="AM74" s="120" t="n"/>
      <c r="AN74" s="55" t="inlineStr">
        <is>
          <t>AMPLIAR</t>
        </is>
      </c>
      <c r="AO74" s="132">
        <f>DADOS_INVOC!$PU$82</f>
        <v/>
      </c>
      <c r="AP74" s="19" t="n"/>
      <c r="AQ74" s="19" t="n"/>
      <c r="AR74" s="20" t="n"/>
      <c r="AS74" s="120" t="n"/>
    </row>
    <row r="75" hidden="1" outlineLevel="2">
      <c r="A75" s="8" t="n"/>
      <c r="B75" s="14" t="n"/>
      <c r="C75" s="120" t="n"/>
      <c r="D75" s="120" t="n"/>
      <c r="E75" s="120" t="n"/>
      <c r="F75" s="120" t="n"/>
      <c r="G75" s="120" t="n"/>
      <c r="I75" s="125" t="n"/>
      <c r="J75" s="23" t="n"/>
      <c r="K75" s="24" t="n"/>
      <c r="L75" s="24" t="n"/>
      <c r="M75" s="25" t="n"/>
      <c r="N75" s="120" t="n"/>
      <c r="O75" s="125" t="n"/>
      <c r="P75" s="23" t="n"/>
      <c r="Q75" s="24" t="n"/>
      <c r="R75" s="24" t="n"/>
      <c r="S75" s="25" t="n"/>
      <c r="T75" s="120" t="n"/>
      <c r="U75" s="125" t="n"/>
      <c r="V75" s="23" t="n"/>
      <c r="W75" s="24" t="n"/>
      <c r="X75" s="24" t="n"/>
      <c r="Y75" s="25" t="n"/>
      <c r="Z75" s="120" t="n"/>
      <c r="AB75" s="125" t="n"/>
      <c r="AC75" s="23" t="n"/>
      <c r="AD75" s="24" t="n"/>
      <c r="AE75" s="24" t="n"/>
      <c r="AF75" s="25" t="n"/>
      <c r="AG75" s="120" t="n"/>
      <c r="AH75" s="125" t="n"/>
      <c r="AI75" s="23" t="n"/>
      <c r="AJ75" s="24" t="n"/>
      <c r="AK75" s="24" t="n"/>
      <c r="AL75" s="25" t="n"/>
      <c r="AM75" s="120" t="n"/>
      <c r="AN75" s="125" t="n"/>
      <c r="AO75" s="23" t="n"/>
      <c r="AP75" s="24" t="n"/>
      <c r="AQ75" s="24" t="n"/>
      <c r="AR75" s="25" t="n"/>
      <c r="AS75" s="120" t="n"/>
    </row>
    <row r="76" hidden="1" outlineLevel="2">
      <c r="A76" s="8" t="n"/>
      <c r="B76" s="14" t="n"/>
      <c r="C76" s="120" t="n"/>
      <c r="D76" s="120" t="n"/>
      <c r="E76" s="120" t="n"/>
      <c r="F76" s="120" t="n"/>
      <c r="G76" s="120" t="n"/>
      <c r="I76" s="132">
        <f>DADOS_INVOC!$PH$2</f>
        <v/>
      </c>
      <c r="J76" s="19" t="n"/>
      <c r="K76" s="19" t="n"/>
      <c r="L76" s="19" t="n"/>
      <c r="M76" s="20" t="n"/>
      <c r="N76" s="120" t="n"/>
      <c r="O76" s="132">
        <f>DADOS_INVOC!$PH$3</f>
        <v/>
      </c>
      <c r="P76" s="19" t="n"/>
      <c r="Q76" s="19" t="n"/>
      <c r="R76" s="19" t="n"/>
      <c r="S76" s="20" t="n"/>
      <c r="T76" s="120" t="n"/>
      <c r="U76" s="132">
        <f>DADOS_INVOC!$PH$4</f>
        <v/>
      </c>
      <c r="V76" s="19" t="n"/>
      <c r="W76" s="19" t="n"/>
      <c r="X76" s="19" t="n"/>
      <c r="Y76" s="20" t="n"/>
      <c r="Z76" s="120" t="n"/>
      <c r="AB76" s="132">
        <f>DADOS_INVOC!$PH$80</f>
        <v/>
      </c>
      <c r="AC76" s="19" t="n"/>
      <c r="AD76" s="19" t="n"/>
      <c r="AE76" s="19" t="n"/>
      <c r="AF76" s="20" t="n"/>
      <c r="AG76" s="120" t="n"/>
      <c r="AH76" s="132">
        <f>DADOS_INVOC!$PH$81</f>
        <v/>
      </c>
      <c r="AI76" s="19" t="n"/>
      <c r="AJ76" s="19" t="n"/>
      <c r="AK76" s="19" t="n"/>
      <c r="AL76" s="20" t="n"/>
      <c r="AM76" s="120" t="n"/>
      <c r="AN76" s="132">
        <f>DADOS_INVOC!$PH$82</f>
        <v/>
      </c>
      <c r="AO76" s="19" t="n"/>
      <c r="AP76" s="19" t="n"/>
      <c r="AQ76" s="19" t="n"/>
      <c r="AR76" s="20" t="n"/>
      <c r="AS76" s="120" t="n"/>
    </row>
    <row r="77" hidden="1" outlineLevel="2">
      <c r="A77" s="8" t="n"/>
      <c r="B77" s="14" t="n"/>
      <c r="C77" s="120" t="n"/>
      <c r="D77" s="120" t="n"/>
      <c r="E77" s="120" t="n"/>
      <c r="F77" s="120" t="n"/>
      <c r="G77" s="120" t="n"/>
      <c r="I77" s="23" t="n"/>
      <c r="J77" s="24" t="n"/>
      <c r="K77" s="24" t="n"/>
      <c r="L77" s="24" t="n"/>
      <c r="M77" s="25" t="n"/>
      <c r="N77" s="120" t="n"/>
      <c r="O77" s="23" t="n"/>
      <c r="P77" s="24" t="n"/>
      <c r="Q77" s="24" t="n"/>
      <c r="R77" s="24" t="n"/>
      <c r="S77" s="25" t="n"/>
      <c r="T77" s="120" t="n"/>
      <c r="U77" s="23" t="n"/>
      <c r="V77" s="24" t="n"/>
      <c r="W77" s="24" t="n"/>
      <c r="X77" s="24" t="n"/>
      <c r="Y77" s="25" t="n"/>
      <c r="Z77" s="120" t="n"/>
      <c r="AB77" s="23" t="n"/>
      <c r="AC77" s="24" t="n"/>
      <c r="AD77" s="24" t="n"/>
      <c r="AE77" s="24" t="n"/>
      <c r="AF77" s="25" t="n"/>
      <c r="AG77" s="120" t="n"/>
      <c r="AH77" s="23" t="n"/>
      <c r="AI77" s="24" t="n"/>
      <c r="AJ77" s="24" t="n"/>
      <c r="AK77" s="24" t="n"/>
      <c r="AL77" s="25" t="n"/>
      <c r="AM77" s="120" t="n"/>
      <c r="AN77" s="23" t="n"/>
      <c r="AO77" s="24" t="n"/>
      <c r="AP77" s="24" t="n"/>
      <c r="AQ77" s="24" t="n"/>
      <c r="AR77" s="25" t="n"/>
      <c r="AS77" s="120" t="n"/>
    </row>
    <row r="78" outlineLevel="1">
      <c r="A78" s="8" t="n"/>
      <c r="B78" s="14" t="n"/>
      <c r="C78" s="120" t="n"/>
      <c r="D78" s="120" t="n"/>
      <c r="E78" s="120" t="n"/>
      <c r="F78" s="120" t="n"/>
      <c r="G78" s="120" t="n"/>
      <c r="I78" s="120" t="n"/>
      <c r="J78" s="120" t="n"/>
      <c r="K78" s="120" t="n"/>
      <c r="L78" s="120" t="n"/>
      <c r="M78" s="120" t="n"/>
      <c r="N78" s="120" t="n"/>
      <c r="O78" s="120" t="n"/>
      <c r="P78" s="120" t="n"/>
      <c r="Q78" s="120" t="n"/>
      <c r="R78" s="120" t="n"/>
      <c r="S78" s="120" t="n"/>
      <c r="T78" s="120" t="n"/>
      <c r="U78" s="120" t="n"/>
      <c r="V78" s="120" t="n"/>
      <c r="W78" s="120" t="n"/>
      <c r="X78" s="120" t="n"/>
      <c r="Y78" s="120" t="n"/>
      <c r="Z78" s="120" t="n"/>
      <c r="AB78" s="120" t="n"/>
      <c r="AC78" s="120" t="n"/>
      <c r="AD78" s="120" t="n"/>
      <c r="AE78" s="120" t="n"/>
      <c r="AF78" s="120" t="n"/>
      <c r="AG78" s="120" t="n"/>
      <c r="AH78" s="120" t="n"/>
      <c r="AI78" s="120" t="n"/>
      <c r="AJ78" s="120" t="n"/>
      <c r="AK78" s="120" t="n"/>
      <c r="AL78" s="120" t="n"/>
      <c r="AM78" s="120" t="n"/>
      <c r="AN78" s="120" t="n"/>
      <c r="AO78" s="120" t="n"/>
      <c r="AP78" s="120" t="n"/>
      <c r="AQ78" s="120" t="n"/>
      <c r="AR78" s="120" t="n"/>
      <c r="AS78" s="120" t="n"/>
    </row>
    <row r="79" outlineLevel="1">
      <c r="A79" s="8" t="n"/>
      <c r="B79" s="14" t="n"/>
      <c r="C79" s="120" t="n"/>
      <c r="D79" s="120" t="n"/>
      <c r="E79" s="120" t="n"/>
      <c r="F79" s="120" t="n"/>
      <c r="G79" s="120" t="n"/>
      <c r="I79" s="55">
        <f>DADOS_INVOC!$HR$2</f>
        <v/>
      </c>
      <c r="J79" s="16" t="n"/>
      <c r="K79" s="16" t="n"/>
      <c r="L79" s="16" t="n"/>
      <c r="M79" s="16" t="n"/>
      <c r="N79" s="16" t="n"/>
      <c r="O79" s="16" t="n"/>
      <c r="P79" s="16" t="n"/>
      <c r="Q79" s="16" t="n"/>
      <c r="R79" s="16" t="n"/>
      <c r="S79" s="16" t="n"/>
      <c r="T79" s="16" t="n"/>
      <c r="U79" s="16" t="n"/>
      <c r="V79" s="16" t="n"/>
      <c r="W79" s="16" t="n"/>
      <c r="X79" s="16" t="n"/>
      <c r="Y79" s="17" t="n"/>
      <c r="Z79" s="120" t="n"/>
      <c r="AB79" s="55">
        <f>DADOS_INVOC!$HR$8</f>
        <v/>
      </c>
      <c r="AC79" s="16" t="n"/>
      <c r="AD79" s="16" t="n"/>
      <c r="AE79" s="16" t="n"/>
      <c r="AF79" s="16" t="n"/>
      <c r="AG79" s="16" t="n"/>
      <c r="AH79" s="16" t="n"/>
      <c r="AI79" s="16" t="n"/>
      <c r="AJ79" s="16" t="n"/>
      <c r="AK79" s="16" t="n"/>
      <c r="AL79" s="16" t="n"/>
      <c r="AM79" s="16" t="n"/>
      <c r="AN79" s="16" t="n"/>
      <c r="AO79" s="16" t="n"/>
      <c r="AP79" s="16" t="n"/>
      <c r="AQ79" s="16" t="n"/>
      <c r="AR79" s="17" t="n"/>
      <c r="AS79" s="120" t="n"/>
    </row>
    <row r="80" outlineLevel="1">
      <c r="A80" s="8" t="n"/>
      <c r="B80" s="14" t="n"/>
      <c r="C80" s="120" t="n"/>
      <c r="D80" s="120" t="n"/>
      <c r="E80" s="120" t="n"/>
      <c r="F80" s="120" t="n"/>
      <c r="G80" s="120" t="n"/>
      <c r="I80" s="55" t="inlineStr">
        <is>
          <t>NV 1 · CE 1</t>
        </is>
      </c>
      <c r="J80" s="130" t="n"/>
      <c r="K80" s="16" t="n"/>
      <c r="L80" s="17" t="n"/>
      <c r="M80" s="137">
        <f>DADOS_INVOC!$IA$2</f>
        <v/>
      </c>
      <c r="N80" s="16" t="n"/>
      <c r="O80" s="16" t="n"/>
      <c r="P80" s="16" t="n"/>
      <c r="Q80" s="16" t="n"/>
      <c r="R80" s="16" t="n"/>
      <c r="S80" s="16" t="n"/>
      <c r="T80" s="16" t="n"/>
      <c r="U80" s="16" t="n"/>
      <c r="V80" s="16" t="n"/>
      <c r="W80" s="16" t="n"/>
      <c r="X80" s="16" t="n"/>
      <c r="Y80" s="17" t="n"/>
      <c r="Z80" s="120" t="n"/>
      <c r="AB80" s="55" t="inlineStr">
        <is>
          <t>NV 1 · CE 1</t>
        </is>
      </c>
      <c r="AC80" s="130" t="n"/>
      <c r="AD80" s="16" t="n"/>
      <c r="AE80" s="17" t="n"/>
      <c r="AF80" s="137">
        <f>DADOS_INVOC!$IA$8</f>
        <v/>
      </c>
      <c r="AG80" s="16" t="n"/>
      <c r="AH80" s="16" t="n"/>
      <c r="AI80" s="16" t="n"/>
      <c r="AJ80" s="16" t="n"/>
      <c r="AK80" s="16" t="n"/>
      <c r="AL80" s="16" t="n"/>
      <c r="AM80" s="16" t="n"/>
      <c r="AN80" s="16" t="n"/>
      <c r="AO80" s="16" t="n"/>
      <c r="AP80" s="16" t="n"/>
      <c r="AQ80" s="16" t="n"/>
      <c r="AR80" s="17" t="n"/>
      <c r="AS80" s="120" t="n"/>
    </row>
    <row r="81" outlineLevel="1">
      <c r="A81" s="8" t="n"/>
      <c r="B81" s="14" t="n"/>
      <c r="C81" s="120" t="n"/>
      <c r="D81" s="120" t="n"/>
      <c r="E81" s="120" t="n"/>
      <c r="F81" s="120" t="n"/>
      <c r="G81" s="120" t="n"/>
      <c r="I81" s="55" t="inlineStr">
        <is>
          <t>NV 6 · CE 1</t>
        </is>
      </c>
      <c r="J81" s="130" t="n"/>
      <c r="K81" s="16" t="n"/>
      <c r="L81" s="17" t="n"/>
      <c r="M81" s="137">
        <f>DADOS_INVOC!$IB$2</f>
        <v/>
      </c>
      <c r="N81" s="16" t="n"/>
      <c r="O81" s="16" t="n"/>
      <c r="P81" s="16" t="n"/>
      <c r="Q81" s="16" t="n"/>
      <c r="R81" s="16" t="n"/>
      <c r="S81" s="16" t="n"/>
      <c r="T81" s="16" t="n"/>
      <c r="U81" s="16" t="n"/>
      <c r="V81" s="16" t="n"/>
      <c r="W81" s="16" t="n"/>
      <c r="X81" s="16" t="n"/>
      <c r="Y81" s="17" t="n"/>
      <c r="Z81" s="120" t="n"/>
      <c r="AB81" s="55" t="inlineStr">
        <is>
          <t>NV 6 · CE 1</t>
        </is>
      </c>
      <c r="AC81" s="130" t="n"/>
      <c r="AD81" s="16" t="n"/>
      <c r="AE81" s="17" t="n"/>
      <c r="AF81" s="137">
        <f>DADOS_INVOC!$IB$8</f>
        <v/>
      </c>
      <c r="AG81" s="16" t="n"/>
      <c r="AH81" s="16" t="n"/>
      <c r="AI81" s="16" t="n"/>
      <c r="AJ81" s="16" t="n"/>
      <c r="AK81" s="16" t="n"/>
      <c r="AL81" s="16" t="n"/>
      <c r="AM81" s="16" t="n"/>
      <c r="AN81" s="16" t="n"/>
      <c r="AO81" s="16" t="n"/>
      <c r="AP81" s="16" t="n"/>
      <c r="AQ81" s="16" t="n"/>
      <c r="AR81" s="17" t="n"/>
      <c r="AS81" s="120" t="n"/>
    </row>
    <row r="82" outlineLevel="1">
      <c r="A82" s="8" t="n"/>
      <c r="B82" s="14" t="n"/>
      <c r="C82" s="120" t="n"/>
      <c r="D82" s="120" t="n"/>
      <c r="E82" s="120" t="n"/>
      <c r="F82" s="120" t="n"/>
      <c r="G82" s="120" t="n"/>
      <c r="I82" s="55" t="inlineStr">
        <is>
          <t>NV 10 · CE 2</t>
        </is>
      </c>
      <c r="J82" s="130" t="n"/>
      <c r="K82" s="16" t="n"/>
      <c r="L82" s="17" t="n"/>
      <c r="M82" s="137">
        <f>DADOS_INVOC!$IC$2</f>
        <v/>
      </c>
      <c r="N82" s="16" t="n"/>
      <c r="O82" s="16" t="n"/>
      <c r="P82" s="16" t="n"/>
      <c r="Q82" s="16" t="n"/>
      <c r="R82" s="16" t="n"/>
      <c r="S82" s="16" t="n"/>
      <c r="T82" s="16" t="n"/>
      <c r="U82" s="16" t="n"/>
      <c r="V82" s="16" t="n"/>
      <c r="W82" s="16" t="n"/>
      <c r="X82" s="16" t="n"/>
      <c r="Y82" s="17" t="n"/>
      <c r="Z82" s="120" t="n"/>
      <c r="AB82" s="55" t="inlineStr">
        <is>
          <t>NV 10 · CE 2</t>
        </is>
      </c>
      <c r="AC82" s="130" t="n"/>
      <c r="AD82" s="16" t="n"/>
      <c r="AE82" s="17" t="n"/>
      <c r="AF82" s="137">
        <f>DADOS_INVOC!$IC$8</f>
        <v/>
      </c>
      <c r="AG82" s="16" t="n"/>
      <c r="AH82" s="16" t="n"/>
      <c r="AI82" s="16" t="n"/>
      <c r="AJ82" s="16" t="n"/>
      <c r="AK82" s="16" t="n"/>
      <c r="AL82" s="16" t="n"/>
      <c r="AM82" s="16" t="n"/>
      <c r="AN82" s="16" t="n"/>
      <c r="AO82" s="16" t="n"/>
      <c r="AP82" s="16" t="n"/>
      <c r="AQ82" s="16" t="n"/>
      <c r="AR82" s="17" t="n"/>
      <c r="AS82" s="120" t="n"/>
    </row>
    <row r="83" outlineLevel="1">
      <c r="A83" s="8" t="n"/>
      <c r="B83" s="14" t="n"/>
      <c r="C83" s="120" t="n"/>
      <c r="D83" s="120" t="n"/>
      <c r="E83" s="120" t="n"/>
      <c r="F83" s="120" t="n"/>
      <c r="G83" s="120" t="n"/>
      <c r="I83" s="55" t="inlineStr">
        <is>
          <t>NV 14 · CE 3</t>
        </is>
      </c>
      <c r="J83" s="130" t="n"/>
      <c r="K83" s="16" t="n"/>
      <c r="L83" s="17" t="n"/>
      <c r="M83" s="137">
        <f>DADOS_INVOC!$ID$2</f>
        <v/>
      </c>
      <c r="N83" s="16" t="n"/>
      <c r="O83" s="16" t="n"/>
      <c r="P83" s="16" t="n"/>
      <c r="Q83" s="16" t="n"/>
      <c r="R83" s="16" t="n"/>
      <c r="S83" s="16" t="n"/>
      <c r="T83" s="16" t="n"/>
      <c r="U83" s="16" t="n"/>
      <c r="V83" s="16" t="n"/>
      <c r="W83" s="16" t="n"/>
      <c r="X83" s="16" t="n"/>
      <c r="Y83" s="17" t="n"/>
      <c r="Z83" s="120" t="n"/>
      <c r="AB83" s="55" t="inlineStr">
        <is>
          <t>NV 14 · CE 3</t>
        </is>
      </c>
      <c r="AC83" s="130" t="n"/>
      <c r="AD83" s="16" t="n"/>
      <c r="AE83" s="17" t="n"/>
      <c r="AF83" s="137">
        <f>DADOS_INVOC!$ID$8</f>
        <v/>
      </c>
      <c r="AG83" s="16" t="n"/>
      <c r="AH83" s="16" t="n"/>
      <c r="AI83" s="16" t="n"/>
      <c r="AJ83" s="16" t="n"/>
      <c r="AK83" s="16" t="n"/>
      <c r="AL83" s="16" t="n"/>
      <c r="AM83" s="16" t="n"/>
      <c r="AN83" s="16" t="n"/>
      <c r="AO83" s="16" t="n"/>
      <c r="AP83" s="16" t="n"/>
      <c r="AQ83" s="16" t="n"/>
      <c r="AR83" s="17" t="n"/>
      <c r="AS83" s="120" t="n"/>
    </row>
    <row r="84" outlineLevel="1">
      <c r="A84" s="8" t="n"/>
      <c r="B84" s="14" t="n"/>
      <c r="C84" s="120" t="n"/>
      <c r="D84" s="120" t="n"/>
      <c r="E84" s="120" t="n"/>
      <c r="F84" s="120" t="n"/>
      <c r="G84" s="120" t="n"/>
      <c r="I84" s="55" t="inlineStr">
        <is>
          <t>NV 18 · CE 3</t>
        </is>
      </c>
      <c r="J84" s="130" t="n"/>
      <c r="K84" s="16" t="n"/>
      <c r="L84" s="17" t="n"/>
      <c r="M84" s="137">
        <f>DADOS_INVOC!$IE$2</f>
        <v/>
      </c>
      <c r="N84" s="16" t="n"/>
      <c r="O84" s="16" t="n"/>
      <c r="P84" s="16" t="n"/>
      <c r="Q84" s="16" t="n"/>
      <c r="R84" s="16" t="n"/>
      <c r="S84" s="16" t="n"/>
      <c r="T84" s="16" t="n"/>
      <c r="U84" s="16" t="n"/>
      <c r="V84" s="16" t="n"/>
      <c r="W84" s="16" t="n"/>
      <c r="X84" s="16" t="n"/>
      <c r="Y84" s="17" t="n"/>
      <c r="Z84" s="120" t="n"/>
      <c r="AB84" s="55" t="inlineStr">
        <is>
          <t>NV 18 · CE 3</t>
        </is>
      </c>
      <c r="AC84" s="130" t="n"/>
      <c r="AD84" s="16" t="n"/>
      <c r="AE84" s="17" t="n"/>
      <c r="AF84" s="137">
        <f>DADOS_INVOC!$IE$8</f>
        <v/>
      </c>
      <c r="AG84" s="16" t="n"/>
      <c r="AH84" s="16" t="n"/>
      <c r="AI84" s="16" t="n"/>
      <c r="AJ84" s="16" t="n"/>
      <c r="AK84" s="16" t="n"/>
      <c r="AL84" s="16" t="n"/>
      <c r="AM84" s="16" t="n"/>
      <c r="AN84" s="16" t="n"/>
      <c r="AO84" s="16" t="n"/>
      <c r="AP84" s="16" t="n"/>
      <c r="AQ84" s="16" t="n"/>
      <c r="AR84" s="17" t="n"/>
      <c r="AS84" s="120" t="n"/>
    </row>
    <row r="85" outlineLevel="1">
      <c r="A85" s="8" t="n"/>
      <c r="B85" s="14" t="n"/>
      <c r="C85" s="120" t="n"/>
      <c r="D85" s="120" t="n"/>
      <c r="E85" s="120" t="n"/>
      <c r="F85" s="120" t="n"/>
      <c r="G85" s="120" t="n"/>
      <c r="I85" s="55" t="inlineStr">
        <is>
          <t>NV 22 · CE 3</t>
        </is>
      </c>
      <c r="J85" s="130" t="n"/>
      <c r="K85" s="16" t="n"/>
      <c r="L85" s="17" t="n"/>
      <c r="M85" s="137">
        <f>DADOS_INVOC!$IF$2</f>
        <v/>
      </c>
      <c r="N85" s="16" t="n"/>
      <c r="O85" s="16" t="n"/>
      <c r="P85" s="16" t="n"/>
      <c r="Q85" s="16" t="n"/>
      <c r="R85" s="16" t="n"/>
      <c r="S85" s="16" t="n"/>
      <c r="T85" s="16" t="n"/>
      <c r="U85" s="16" t="n"/>
      <c r="V85" s="16" t="n"/>
      <c r="W85" s="16" t="n"/>
      <c r="X85" s="16" t="n"/>
      <c r="Y85" s="17" t="n"/>
      <c r="Z85" s="120" t="n"/>
      <c r="AB85" s="55" t="inlineStr">
        <is>
          <t>NV 22 · CE 3</t>
        </is>
      </c>
      <c r="AC85" s="130" t="n"/>
      <c r="AD85" s="16" t="n"/>
      <c r="AE85" s="17" t="n"/>
      <c r="AF85" s="137">
        <f>DADOS_INVOC!$IF$8</f>
        <v/>
      </c>
      <c r="AG85" s="16" t="n"/>
      <c r="AH85" s="16" t="n"/>
      <c r="AI85" s="16" t="n"/>
      <c r="AJ85" s="16" t="n"/>
      <c r="AK85" s="16" t="n"/>
      <c r="AL85" s="16" t="n"/>
      <c r="AM85" s="16" t="n"/>
      <c r="AN85" s="16" t="n"/>
      <c r="AO85" s="16" t="n"/>
      <c r="AP85" s="16" t="n"/>
      <c r="AQ85" s="16" t="n"/>
      <c r="AR85" s="17" t="n"/>
      <c r="AS85" s="120" t="n"/>
    </row>
    <row r="86" outlineLevel="1">
      <c r="A86" s="8" t="n"/>
      <c r="B86" s="14" t="n"/>
      <c r="C86" s="120" t="n"/>
      <c r="D86" s="120" t="n"/>
      <c r="E86" s="120" t="n"/>
      <c r="F86" s="120" t="n"/>
      <c r="G86" s="120" t="n"/>
      <c r="I86" s="55" t="inlineStr">
        <is>
          <t>NV 26 · CE 3</t>
        </is>
      </c>
      <c r="J86" s="130" t="n"/>
      <c r="K86" s="16" t="n"/>
      <c r="L86" s="17" t="n"/>
      <c r="M86" s="137">
        <f>DADOS_INVOC!$IG$2</f>
        <v/>
      </c>
      <c r="N86" s="16" t="n"/>
      <c r="O86" s="16" t="n"/>
      <c r="P86" s="16" t="n"/>
      <c r="Q86" s="16" t="n"/>
      <c r="R86" s="16" t="n"/>
      <c r="S86" s="16" t="n"/>
      <c r="T86" s="16" t="n"/>
      <c r="U86" s="16" t="n"/>
      <c r="V86" s="16" t="n"/>
      <c r="W86" s="16" t="n"/>
      <c r="X86" s="16" t="n"/>
      <c r="Y86" s="17" t="n"/>
      <c r="Z86" s="120" t="n"/>
      <c r="AB86" s="55" t="inlineStr">
        <is>
          <t>NV 26 · CE 3</t>
        </is>
      </c>
      <c r="AC86" s="130" t="n"/>
      <c r="AD86" s="16" t="n"/>
      <c r="AE86" s="17" t="n"/>
      <c r="AF86" s="137">
        <f>DADOS_INVOC!$IG$8</f>
        <v/>
      </c>
      <c r="AG86" s="16" t="n"/>
      <c r="AH86" s="16" t="n"/>
      <c r="AI86" s="16" t="n"/>
      <c r="AJ86" s="16" t="n"/>
      <c r="AK86" s="16" t="n"/>
      <c r="AL86" s="16" t="n"/>
      <c r="AM86" s="16" t="n"/>
      <c r="AN86" s="16" t="n"/>
      <c r="AO86" s="16" t="n"/>
      <c r="AP86" s="16" t="n"/>
      <c r="AQ86" s="16" t="n"/>
      <c r="AR86" s="17" t="n"/>
      <c r="AS86" s="120" t="n"/>
    </row>
    <row r="87" outlineLevel="1">
      <c r="A87" s="8" t="n"/>
      <c r="B87" s="14" t="n"/>
      <c r="C87" s="120" t="n"/>
      <c r="D87" s="120" t="n"/>
      <c r="E87" s="120" t="n"/>
      <c r="F87" s="120" t="n"/>
      <c r="G87" s="120" t="n"/>
      <c r="I87" s="55" t="inlineStr">
        <is>
          <t>NV 30 · CE 3</t>
        </is>
      </c>
      <c r="J87" s="130" t="n"/>
      <c r="K87" s="16" t="n"/>
      <c r="L87" s="17" t="n"/>
      <c r="M87" s="137">
        <f>DADOS_INVOC!$IH$2</f>
        <v/>
      </c>
      <c r="N87" s="16" t="n"/>
      <c r="O87" s="16" t="n"/>
      <c r="P87" s="16" t="n"/>
      <c r="Q87" s="16" t="n"/>
      <c r="R87" s="16" t="n"/>
      <c r="S87" s="16" t="n"/>
      <c r="T87" s="16" t="n"/>
      <c r="U87" s="16" t="n"/>
      <c r="V87" s="16" t="n"/>
      <c r="W87" s="16" t="n"/>
      <c r="X87" s="16" t="n"/>
      <c r="Y87" s="17" t="n"/>
      <c r="Z87" s="120" t="n"/>
      <c r="AB87" s="55" t="inlineStr">
        <is>
          <t>NV 30 · CE 3</t>
        </is>
      </c>
      <c r="AC87" s="130" t="n"/>
      <c r="AD87" s="16" t="n"/>
      <c r="AE87" s="17" t="n"/>
      <c r="AF87" s="137">
        <f>DADOS_INVOC!$IH$8</f>
        <v/>
      </c>
      <c r="AG87" s="16" t="n"/>
      <c r="AH87" s="16" t="n"/>
      <c r="AI87" s="16" t="n"/>
      <c r="AJ87" s="16" t="n"/>
      <c r="AK87" s="16" t="n"/>
      <c r="AL87" s="16" t="n"/>
      <c r="AM87" s="16" t="n"/>
      <c r="AN87" s="16" t="n"/>
      <c r="AO87" s="16" t="n"/>
      <c r="AP87" s="16" t="n"/>
      <c r="AQ87" s="16" t="n"/>
      <c r="AR87" s="17" t="n"/>
      <c r="AS87" s="120" t="n"/>
    </row>
    <row r="88" outlineLevel="1">
      <c r="A88" s="8" t="n"/>
      <c r="B88" s="14" t="n"/>
      <c r="C88" s="120" t="n"/>
      <c r="D88" s="120" t="n"/>
      <c r="E88" s="120" t="n"/>
      <c r="F88" s="120" t="n"/>
      <c r="G88" s="120" t="n"/>
      <c r="I88" s="120" t="n"/>
      <c r="J88" s="120" t="n"/>
      <c r="K88" s="120" t="n"/>
      <c r="L88" s="120" t="n"/>
      <c r="M88" s="120" t="n"/>
      <c r="N88" s="120" t="n"/>
      <c r="O88" s="120" t="n"/>
      <c r="P88" s="120" t="n"/>
      <c r="Q88" s="120" t="n"/>
      <c r="R88" s="120" t="n"/>
      <c r="S88" s="120" t="n"/>
      <c r="T88" s="120" t="n"/>
      <c r="U88" s="120" t="n"/>
      <c r="V88" s="120" t="n"/>
      <c r="W88" s="120" t="n"/>
      <c r="X88" s="120" t="n"/>
      <c r="Y88" s="120" t="n"/>
      <c r="Z88" s="120" t="n"/>
      <c r="AB88" s="120" t="n"/>
      <c r="AC88" s="120" t="n"/>
      <c r="AD88" s="120" t="n"/>
      <c r="AE88" s="120" t="n"/>
      <c r="AF88" s="120" t="n"/>
      <c r="AG88" s="120" t="n"/>
      <c r="AH88" s="120" t="n"/>
      <c r="AI88" s="120" t="n"/>
      <c r="AJ88" s="120" t="n"/>
      <c r="AK88" s="120" t="n"/>
      <c r="AL88" s="120" t="n"/>
      <c r="AM88" s="120" t="n"/>
      <c r="AN88" s="120" t="n"/>
      <c r="AO88" s="120" t="n"/>
      <c r="AP88" s="120" t="n"/>
      <c r="AQ88" s="120" t="n"/>
      <c r="AR88" s="120" t="n"/>
      <c r="AS88" s="120" t="n"/>
    </row>
    <row r="89" outlineLevel="1">
      <c r="A89" s="8" t="n"/>
      <c r="B89" s="14" t="n"/>
      <c r="C89" s="120" t="n"/>
      <c r="D89" s="120" t="n"/>
      <c r="E89" s="120" t="n"/>
      <c r="F89" s="120" t="n"/>
      <c r="G89" s="120" t="n"/>
      <c r="I89" s="13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0" t="n"/>
      <c r="AB89" s="13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0" t="n"/>
    </row>
    <row r="90" hidden="1" outlineLevel="2">
      <c r="A90" s="8" t="n"/>
      <c r="B90" s="14" t="n"/>
      <c r="C90" s="120" t="n"/>
      <c r="D90" s="120" t="n"/>
      <c r="E90" s="120" t="n"/>
      <c r="F90" s="120" t="n"/>
      <c r="G90" s="120" t="n"/>
      <c r="I90" s="120" t="n"/>
      <c r="J90" s="120" t="n"/>
      <c r="K90" s="120" t="n"/>
      <c r="L90" s="120" t="n"/>
      <c r="M90" s="120" t="n"/>
      <c r="N90" s="120" t="n"/>
      <c r="O90" s="120" t="n"/>
      <c r="P90" s="120" t="n"/>
      <c r="Q90" s="120" t="n"/>
      <c r="R90" s="120" t="n"/>
      <c r="S90" s="120" t="n"/>
      <c r="T90" s="120" t="n"/>
      <c r="U90" s="120" t="n"/>
      <c r="V90" s="120" t="n"/>
      <c r="W90" s="120" t="n"/>
      <c r="X90" s="120" t="n"/>
      <c r="Y90" s="120" t="n"/>
      <c r="Z90" s="120" t="n"/>
      <c r="AB90" s="120" t="n"/>
      <c r="AC90" s="120" t="n"/>
      <c r="AD90" s="120" t="n"/>
      <c r="AE90" s="120" t="n"/>
      <c r="AF90" s="120" t="n"/>
      <c r="AG90" s="120" t="n"/>
      <c r="AH90" s="120" t="n"/>
      <c r="AI90" s="120" t="n"/>
      <c r="AJ90" s="120" t="n"/>
      <c r="AK90" s="120" t="n"/>
      <c r="AL90" s="120" t="n"/>
      <c r="AM90" s="120" t="n"/>
      <c r="AN90" s="120" t="n"/>
      <c r="AO90" s="120" t="n"/>
      <c r="AP90" s="120" t="n"/>
      <c r="AQ90" s="120" t="n"/>
      <c r="AR90" s="120" t="n"/>
      <c r="AS90" s="120" t="n"/>
    </row>
    <row r="91" hidden="1" outlineLevel="2">
      <c r="A91" s="8" t="n"/>
      <c r="B91" s="14" t="n"/>
      <c r="C91" s="120" t="n"/>
      <c r="D91" s="120" t="n"/>
      <c r="E91" s="120" t="n"/>
      <c r="F91" s="120" t="n"/>
      <c r="G91" s="120" t="n"/>
      <c r="I91" s="55">
        <f>DADOS_INVOC!$PI$5</f>
        <v/>
      </c>
      <c r="J91" s="16" t="n"/>
      <c r="K91" s="16" t="n"/>
      <c r="L91" s="16" t="n"/>
      <c r="M91" s="17" t="n"/>
      <c r="N91" s="120" t="n"/>
      <c r="O91" s="55">
        <f>DADOS_INVOC!$PI$6</f>
        <v/>
      </c>
      <c r="P91" s="16" t="n"/>
      <c r="Q91" s="16" t="n"/>
      <c r="R91" s="16" t="n"/>
      <c r="S91" s="17" t="n"/>
      <c r="T91" s="120" t="n"/>
      <c r="U91" s="55">
        <f>DADOS_INVOC!$PI$7</f>
        <v/>
      </c>
      <c r="V91" s="16" t="n"/>
      <c r="W91" s="16" t="n"/>
      <c r="X91" s="16" t="n"/>
      <c r="Y91" s="17" t="n"/>
      <c r="Z91" s="120" t="n"/>
      <c r="AB91" s="55">
        <f>DADOS_INVOC!$PI$83</f>
        <v/>
      </c>
      <c r="AC91" s="16" t="n"/>
      <c r="AD91" s="16" t="n"/>
      <c r="AE91" s="16" t="n"/>
      <c r="AF91" s="17" t="n"/>
      <c r="AG91" s="120" t="n"/>
      <c r="AH91" s="55">
        <f>DADOS_INVOC!$PI$84</f>
        <v/>
      </c>
      <c r="AI91" s="16" t="n"/>
      <c r="AJ91" s="16" t="n"/>
      <c r="AK91" s="16" t="n"/>
      <c r="AL91" s="17" t="n"/>
      <c r="AM91" s="120" t="n"/>
      <c r="AN91" s="55">
        <f>DADOS_INVOC!$PI$85</f>
        <v/>
      </c>
      <c r="AO91" s="16" t="n"/>
      <c r="AP91" s="16" t="n"/>
      <c r="AQ91" s="16" t="n"/>
      <c r="AR91" s="17" t="n"/>
      <c r="AS91" s="120" t="n"/>
    </row>
    <row r="92" hidden="1" outlineLevel="2">
      <c r="A92" s="8" t="n"/>
      <c r="B92" s="14" t="n"/>
      <c r="C92" s="120" t="n"/>
      <c r="D92" s="120" t="n"/>
      <c r="E92" s="120" t="n"/>
      <c r="F92" s="120" t="n"/>
      <c r="G92" s="120" t="n"/>
      <c r="I92" s="127" t="n">
        <v>0</v>
      </c>
      <c r="J92" s="115" t="n"/>
      <c r="K92" s="16" t="n"/>
      <c r="L92" s="17" t="n"/>
      <c r="M92" s="128">
        <f>DADOS_INVOC!$PG$5</f>
        <v/>
      </c>
      <c r="N92" s="120" t="n"/>
      <c r="O92" s="127" t="n">
        <v>1</v>
      </c>
      <c r="P92" s="115" t="n"/>
      <c r="Q92" s="16" t="n"/>
      <c r="R92" s="17" t="n"/>
      <c r="S92" s="128">
        <f>DADOS_INVOC!$PG$6</f>
        <v/>
      </c>
      <c r="T92" s="120" t="n"/>
      <c r="U92" s="127" t="n">
        <v>1</v>
      </c>
      <c r="V92" s="115" t="n"/>
      <c r="W92" s="16" t="n"/>
      <c r="X92" s="17" t="n"/>
      <c r="Y92" s="128">
        <f>DADOS_INVOC!$PG$7</f>
        <v/>
      </c>
      <c r="Z92" s="120" t="n"/>
      <c r="AB92" s="127" t="n">
        <v>0</v>
      </c>
      <c r="AC92" s="115" t="n"/>
      <c r="AD92" s="16" t="n"/>
      <c r="AE92" s="17" t="n"/>
      <c r="AF92" s="128">
        <f>DADOS_INVOC!$PG$83</f>
        <v/>
      </c>
      <c r="AG92" s="120" t="n"/>
      <c r="AH92" s="127" t="n">
        <v>1</v>
      </c>
      <c r="AI92" s="115" t="n"/>
      <c r="AJ92" s="16" t="n"/>
      <c r="AK92" s="17" t="n"/>
      <c r="AL92" s="128">
        <f>DADOS_INVOC!$PG$84</f>
        <v/>
      </c>
      <c r="AM92" s="120" t="n"/>
      <c r="AN92" s="127" t="n">
        <v>1</v>
      </c>
      <c r="AO92" s="115" t="n"/>
      <c r="AP92" s="16" t="n"/>
      <c r="AQ92" s="17" t="n"/>
      <c r="AR92" s="128">
        <f>DADOS_INVOC!$PG$85</f>
        <v/>
      </c>
      <c r="AS92" s="120" t="n"/>
    </row>
    <row r="93" hidden="1" outlineLevel="3">
      <c r="A93" s="8" t="n"/>
      <c r="B93" s="14" t="n"/>
      <c r="C93" s="120" t="n"/>
      <c r="D93" s="120" t="n"/>
      <c r="E93" s="120" t="n"/>
      <c r="F93" s="120" t="n"/>
      <c r="G93" s="120" t="n"/>
      <c r="I93" s="55" t="inlineStr">
        <is>
          <t>COMO É</t>
        </is>
      </c>
      <c r="J93" s="16" t="n"/>
      <c r="K93" s="16" t="n"/>
      <c r="L93" s="16" t="n"/>
      <c r="M93" s="17" t="n"/>
      <c r="N93" s="120" t="n"/>
      <c r="O93" s="55" t="inlineStr">
        <is>
          <t>COMO É</t>
        </is>
      </c>
      <c r="P93" s="16" t="n"/>
      <c r="Q93" s="16" t="n"/>
      <c r="R93" s="16" t="n"/>
      <c r="S93" s="17" t="n"/>
      <c r="T93" s="120" t="n"/>
      <c r="U93" s="55" t="inlineStr">
        <is>
          <t>COMO É</t>
        </is>
      </c>
      <c r="V93" s="16" t="n"/>
      <c r="W93" s="16" t="n"/>
      <c r="X93" s="16" t="n"/>
      <c r="Y93" s="17" t="n"/>
      <c r="Z93" s="120" t="n"/>
      <c r="AB93" s="55" t="inlineStr">
        <is>
          <t>COMO É</t>
        </is>
      </c>
      <c r="AC93" s="16" t="n"/>
      <c r="AD93" s="16" t="n"/>
      <c r="AE93" s="16" t="n"/>
      <c r="AF93" s="17" t="n"/>
      <c r="AG93" s="120" t="n"/>
      <c r="AH93" s="55" t="inlineStr">
        <is>
          <t>COMO É</t>
        </is>
      </c>
      <c r="AI93" s="16" t="n"/>
      <c r="AJ93" s="16" t="n"/>
      <c r="AK93" s="16" t="n"/>
      <c r="AL93" s="17" t="n"/>
      <c r="AM93" s="120" t="n"/>
      <c r="AN93" s="55" t="inlineStr">
        <is>
          <t>COMO É</t>
        </is>
      </c>
      <c r="AO93" s="16" t="n"/>
      <c r="AP93" s="16" t="n"/>
      <c r="AQ93" s="16" t="n"/>
      <c r="AR93" s="17" t="n"/>
      <c r="AS93" s="120" t="n"/>
    </row>
    <row r="94" hidden="1" outlineLevel="3">
      <c r="A94" s="8" t="n"/>
      <c r="B94" s="14" t="n"/>
      <c r="C94" s="120" t="n"/>
      <c r="D94" s="120" t="n"/>
      <c r="E94" s="120" t="n"/>
      <c r="F94" s="120" t="n"/>
      <c r="G94" s="120" t="n"/>
      <c r="I94" s="116" t="n"/>
      <c r="J94" s="19" t="n"/>
      <c r="K94" s="19" t="n"/>
      <c r="L94" s="19" t="n"/>
      <c r="M94" s="20" t="n"/>
      <c r="N94" s="120" t="n"/>
      <c r="O94" s="116" t="n"/>
      <c r="P94" s="19" t="n"/>
      <c r="Q94" s="19" t="n"/>
      <c r="R94" s="19" t="n"/>
      <c r="S94" s="20" t="n"/>
      <c r="T94" s="120" t="n"/>
      <c r="U94" s="116" t="n"/>
      <c r="V94" s="19" t="n"/>
      <c r="W94" s="19" t="n"/>
      <c r="X94" s="19" t="n"/>
      <c r="Y94" s="20" t="n"/>
      <c r="Z94" s="120" t="n"/>
      <c r="AB94" s="116" t="n"/>
      <c r="AC94" s="19" t="n"/>
      <c r="AD94" s="19" t="n"/>
      <c r="AE94" s="19" t="n"/>
      <c r="AF94" s="20" t="n"/>
      <c r="AG94" s="120" t="n"/>
      <c r="AH94" s="116" t="n"/>
      <c r="AI94" s="19" t="n"/>
      <c r="AJ94" s="19" t="n"/>
      <c r="AK94" s="19" t="n"/>
      <c r="AL94" s="20" t="n"/>
      <c r="AM94" s="120" t="n"/>
      <c r="AN94" s="116" t="n"/>
      <c r="AO94" s="19" t="n"/>
      <c r="AP94" s="19" t="n"/>
      <c r="AQ94" s="19" t="n"/>
      <c r="AR94" s="20" t="n"/>
      <c r="AS94" s="120" t="n"/>
    </row>
    <row r="95" hidden="1" outlineLevel="3">
      <c r="A95" s="8" t="n"/>
      <c r="B95" s="14" t="n"/>
      <c r="C95" s="120" t="n"/>
      <c r="D95" s="120" t="n"/>
      <c r="E95" s="120" t="n"/>
      <c r="F95" s="120" t="n"/>
      <c r="G95" s="120" t="n"/>
      <c r="I95" s="21" t="n"/>
      <c r="M95" s="22" t="n"/>
      <c r="N95" s="120" t="n"/>
      <c r="O95" s="21" t="n"/>
      <c r="S95" s="22" t="n"/>
      <c r="T95" s="120" t="n"/>
      <c r="U95" s="21" t="n"/>
      <c r="Y95" s="22" t="n"/>
      <c r="Z95" s="120" t="n"/>
      <c r="AB95" s="21" t="n"/>
      <c r="AF95" s="22" t="n"/>
      <c r="AG95" s="120" t="n"/>
      <c r="AH95" s="21" t="n"/>
      <c r="AL95" s="22" t="n"/>
      <c r="AM95" s="120" t="n"/>
      <c r="AN95" s="21" t="n"/>
      <c r="AR95" s="22" t="n"/>
      <c r="AS95" s="120" t="n"/>
    </row>
    <row r="96" hidden="1" outlineLevel="3">
      <c r="A96" s="8" t="n"/>
      <c r="B96" s="14" t="n"/>
      <c r="C96" s="120" t="n"/>
      <c r="D96" s="120" t="n"/>
      <c r="E96" s="120" t="n"/>
      <c r="F96" s="120" t="n"/>
      <c r="G96" s="120" t="n"/>
      <c r="I96" s="23" t="n"/>
      <c r="J96" s="24" t="n"/>
      <c r="K96" s="24" t="n"/>
      <c r="L96" s="24" t="n"/>
      <c r="M96" s="25" t="n"/>
      <c r="N96" s="120" t="n"/>
      <c r="O96" s="23" t="n"/>
      <c r="P96" s="24" t="n"/>
      <c r="Q96" s="24" t="n"/>
      <c r="R96" s="24" t="n"/>
      <c r="S96" s="25" t="n"/>
      <c r="T96" s="120" t="n"/>
      <c r="U96" s="23" t="n"/>
      <c r="V96" s="24" t="n"/>
      <c r="W96" s="24" t="n"/>
      <c r="X96" s="24" t="n"/>
      <c r="Y96" s="25" t="n"/>
      <c r="Z96" s="120" t="n"/>
      <c r="AB96" s="23" t="n"/>
      <c r="AC96" s="24" t="n"/>
      <c r="AD96" s="24" t="n"/>
      <c r="AE96" s="24" t="n"/>
      <c r="AF96" s="25" t="n"/>
      <c r="AG96" s="120" t="n"/>
      <c r="AH96" s="23" t="n"/>
      <c r="AI96" s="24" t="n"/>
      <c r="AJ96" s="24" t="n"/>
      <c r="AK96" s="24" t="n"/>
      <c r="AL96" s="25" t="n"/>
      <c r="AM96" s="120" t="n"/>
      <c r="AN96" s="23" t="n"/>
      <c r="AO96" s="24" t="n"/>
      <c r="AP96" s="24" t="n"/>
      <c r="AQ96" s="24" t="n"/>
      <c r="AR96" s="25" t="n"/>
      <c r="AS96" s="120" t="n"/>
    </row>
    <row r="97" hidden="1" outlineLevel="2">
      <c r="A97" s="8" t="n"/>
      <c r="B97" s="14" t="n"/>
      <c r="C97" s="120" t="n"/>
      <c r="D97" s="120" t="n"/>
      <c r="E97" s="120" t="n"/>
      <c r="F97" s="120" t="n"/>
      <c r="G97" s="120" t="n"/>
      <c r="I97" s="124" t="inlineStr">
        <is>
          <t>Projétil</t>
        </is>
      </c>
      <c r="J97" s="17" t="n"/>
      <c r="K97" s="68">
        <f>DADOS_INVOC!$PN$5</f>
        <v/>
      </c>
      <c r="L97" s="17" t="n"/>
      <c r="M97" s="68">
        <f>DADOS_INVOC!$PJ$5</f>
        <v/>
      </c>
      <c r="N97" s="120" t="n"/>
      <c r="O97" s="124" t="inlineStr">
        <is>
          <t>Projétil</t>
        </is>
      </c>
      <c r="P97" s="17" t="n"/>
      <c r="Q97" s="68">
        <f>DADOS_INVOC!$PN$6</f>
        <v/>
      </c>
      <c r="R97" s="17" t="n"/>
      <c r="S97" s="68">
        <f>DADOS_INVOC!$PJ$6</f>
        <v/>
      </c>
      <c r="T97" s="120" t="n"/>
      <c r="U97" s="124" t="inlineStr">
        <is>
          <t>Projétil</t>
        </is>
      </c>
      <c r="V97" s="17" t="n"/>
      <c r="W97" s="68">
        <f>DADOS_INVOC!$PN$7</f>
        <v/>
      </c>
      <c r="X97" s="17" t="n"/>
      <c r="Y97" s="68">
        <f>DADOS_INVOC!$PJ$7</f>
        <v/>
      </c>
      <c r="Z97" s="120" t="n"/>
      <c r="AB97" s="124" t="inlineStr">
        <is>
          <t>Projétil</t>
        </is>
      </c>
      <c r="AC97" s="17" t="n"/>
      <c r="AD97" s="68">
        <f>DADOS_INVOC!$PN$83</f>
        <v/>
      </c>
      <c r="AE97" s="17" t="n"/>
      <c r="AF97" s="68">
        <f>DADOS_INVOC!$PJ$83</f>
        <v/>
      </c>
      <c r="AG97" s="120" t="n"/>
      <c r="AH97" s="124" t="inlineStr">
        <is>
          <t>Projétil</t>
        </is>
      </c>
      <c r="AI97" s="17" t="n"/>
      <c r="AJ97" s="68">
        <f>DADOS_INVOC!$PN$84</f>
        <v/>
      </c>
      <c r="AK97" s="17" t="n"/>
      <c r="AL97" s="68">
        <f>DADOS_INVOC!$PJ$84</f>
        <v/>
      </c>
      <c r="AM97" s="120" t="n"/>
      <c r="AN97" s="124" t="inlineStr">
        <is>
          <t>Projétil</t>
        </is>
      </c>
      <c r="AO97" s="17" t="n"/>
      <c r="AP97" s="68">
        <f>DADOS_INVOC!$PN$85</f>
        <v/>
      </c>
      <c r="AQ97" s="17" t="n"/>
      <c r="AR97" s="68">
        <f>DADOS_INVOC!$PJ$85</f>
        <v/>
      </c>
      <c r="AS97" s="120" t="n"/>
    </row>
    <row r="98" hidden="1" outlineLevel="2">
      <c r="A98" s="8" t="n"/>
      <c r="B98" s="14" t="n"/>
      <c r="C98" s="120" t="n"/>
      <c r="D98" s="120" t="n"/>
      <c r="E98" s="120" t="n"/>
      <c r="F98" s="120" t="n"/>
      <c r="G98" s="120" t="n"/>
      <c r="I98" s="124" t="n"/>
      <c r="J98" s="17" t="n"/>
      <c r="K98" s="124" t="n"/>
      <c r="L98" s="16" t="n"/>
      <c r="M98" s="17" t="n"/>
      <c r="N98" s="120" t="n"/>
      <c r="O98" s="124" t="n"/>
      <c r="P98" s="17" t="n"/>
      <c r="Q98" s="124" t="n"/>
      <c r="R98" s="16" t="n"/>
      <c r="S98" s="17" t="n"/>
      <c r="T98" s="120" t="n"/>
      <c r="U98" s="124" t="n"/>
      <c r="V98" s="17" t="n"/>
      <c r="W98" s="124" t="n"/>
      <c r="X98" s="16" t="n"/>
      <c r="Y98" s="17" t="n"/>
      <c r="Z98" s="120" t="n"/>
      <c r="AB98" s="124" t="n"/>
      <c r="AC98" s="17" t="n"/>
      <c r="AD98" s="124" t="n"/>
      <c r="AE98" s="16" t="n"/>
      <c r="AF98" s="17" t="n"/>
      <c r="AG98" s="120" t="n"/>
      <c r="AH98" s="124" t="n"/>
      <c r="AI98" s="17" t="n"/>
      <c r="AJ98" s="124" t="n"/>
      <c r="AK98" s="16" t="n"/>
      <c r="AL98" s="17" t="n"/>
      <c r="AM98" s="120" t="n"/>
      <c r="AN98" s="124" t="n"/>
      <c r="AO98" s="17" t="n"/>
      <c r="AP98" s="124" t="n"/>
      <c r="AQ98" s="16" t="n"/>
      <c r="AR98" s="17" t="n"/>
      <c r="AS98" s="120" t="n"/>
    </row>
    <row r="99" hidden="1" outlineLevel="2">
      <c r="A99" s="8" t="n"/>
      <c r="B99" s="14" t="n"/>
      <c r="C99" s="120" t="n"/>
      <c r="D99" s="120" t="n"/>
      <c r="E99" s="120" t="n"/>
      <c r="F99" s="120" t="n"/>
      <c r="G99" s="120" t="n"/>
      <c r="I99" s="124">
        <f>DADOS_INVOC!$PK$5</f>
        <v/>
      </c>
      <c r="J99" s="17" t="n"/>
      <c r="K99" s="124">
        <f>DADOS_INVOC!$PM$5</f>
        <v/>
      </c>
      <c r="L99" s="16" t="n"/>
      <c r="M99" s="17" t="n"/>
      <c r="N99" s="120" t="n"/>
      <c r="O99" s="124">
        <f>DADOS_INVOC!$PK$6</f>
        <v/>
      </c>
      <c r="P99" s="17" t="n"/>
      <c r="Q99" s="124">
        <f>DADOS_INVOC!$PM$6</f>
        <v/>
      </c>
      <c r="R99" s="16" t="n"/>
      <c r="S99" s="17" t="n"/>
      <c r="T99" s="120" t="n"/>
      <c r="U99" s="124">
        <f>DADOS_INVOC!$PK$7</f>
        <v/>
      </c>
      <c r="V99" s="17" t="n"/>
      <c r="W99" s="124">
        <f>DADOS_INVOC!$PM$7</f>
        <v/>
      </c>
      <c r="X99" s="16" t="n"/>
      <c r="Y99" s="17" t="n"/>
      <c r="Z99" s="120" t="n"/>
      <c r="AB99" s="124">
        <f>DADOS_INVOC!$PK$83</f>
        <v/>
      </c>
      <c r="AC99" s="17" t="n"/>
      <c r="AD99" s="124">
        <f>DADOS_INVOC!$PM$83</f>
        <v/>
      </c>
      <c r="AE99" s="16" t="n"/>
      <c r="AF99" s="17" t="n"/>
      <c r="AG99" s="120" t="n"/>
      <c r="AH99" s="124">
        <f>DADOS_INVOC!$PK$84</f>
        <v/>
      </c>
      <c r="AI99" s="17" t="n"/>
      <c r="AJ99" s="124">
        <f>DADOS_INVOC!$PM$84</f>
        <v/>
      </c>
      <c r="AK99" s="16" t="n"/>
      <c r="AL99" s="17" t="n"/>
      <c r="AM99" s="120" t="n"/>
      <c r="AN99" s="124">
        <f>DADOS_INVOC!$PK$85</f>
        <v/>
      </c>
      <c r="AO99" s="17" t="n"/>
      <c r="AP99" s="124">
        <f>DADOS_INVOC!$PM$85</f>
        <v/>
      </c>
      <c r="AQ99" s="16" t="n"/>
      <c r="AR99" s="17" t="n"/>
      <c r="AS99" s="120" t="n"/>
    </row>
    <row r="100" hidden="1" outlineLevel="2">
      <c r="A100" s="8" t="n"/>
      <c r="B100" s="14" t="n"/>
      <c r="C100" s="120" t="n"/>
      <c r="D100" s="120" t="n"/>
      <c r="E100" s="120" t="n"/>
      <c r="F100" s="120" t="n"/>
      <c r="G100" s="120" t="n"/>
      <c r="I100" s="129">
        <f>DADOS_INVOC!$PS$5</f>
        <v/>
      </c>
      <c r="J100" s="16" t="n"/>
      <c r="K100" s="16" t="n"/>
      <c r="L100" s="16" t="n"/>
      <c r="M100" s="17" t="n"/>
      <c r="N100" s="120" t="n"/>
      <c r="O100" s="129">
        <f>DADOS_INVOC!$PS$6</f>
        <v/>
      </c>
      <c r="P100" s="16" t="n"/>
      <c r="Q100" s="16" t="n"/>
      <c r="R100" s="16" t="n"/>
      <c r="S100" s="17" t="n"/>
      <c r="T100" s="120" t="n"/>
      <c r="U100" s="129">
        <f>DADOS_INVOC!$PS$7</f>
        <v/>
      </c>
      <c r="V100" s="16" t="n"/>
      <c r="W100" s="16" t="n"/>
      <c r="X100" s="16" t="n"/>
      <c r="Y100" s="17" t="n"/>
      <c r="Z100" s="120" t="n"/>
      <c r="AB100" s="129">
        <f>DADOS_INVOC!$PS$83</f>
        <v/>
      </c>
      <c r="AC100" s="16" t="n"/>
      <c r="AD100" s="16" t="n"/>
      <c r="AE100" s="16" t="n"/>
      <c r="AF100" s="17" t="n"/>
      <c r="AG100" s="120" t="n"/>
      <c r="AH100" s="129">
        <f>DADOS_INVOC!$PS$84</f>
        <v/>
      </c>
      <c r="AI100" s="16" t="n"/>
      <c r="AJ100" s="16" t="n"/>
      <c r="AK100" s="16" t="n"/>
      <c r="AL100" s="17" t="n"/>
      <c r="AM100" s="120" t="n"/>
      <c r="AN100" s="129">
        <f>DADOS_INVOC!$PS$85</f>
        <v/>
      </c>
      <c r="AO100" s="16" t="n"/>
      <c r="AP100" s="16" t="n"/>
      <c r="AQ100" s="16" t="n"/>
      <c r="AR100" s="17" t="n"/>
      <c r="AS100" s="120" t="n"/>
    </row>
    <row r="101" hidden="1" outlineLevel="3">
      <c r="A101" s="8" t="n"/>
      <c r="B101" s="14" t="n"/>
      <c r="C101" s="120" t="n"/>
      <c r="D101" s="120" t="n"/>
      <c r="E101" s="120" t="n"/>
      <c r="F101" s="120" t="n"/>
      <c r="G101" s="120" t="n"/>
      <c r="I101" s="55" t="inlineStr">
        <is>
          <t>MELHORIAS</t>
        </is>
      </c>
      <c r="J101" s="130" t="n"/>
      <c r="K101" s="16" t="n"/>
      <c r="L101" s="17" t="n"/>
      <c r="M101" s="129">
        <f>DADOS_INVOC!$PV$5</f>
        <v/>
      </c>
      <c r="N101" s="120" t="n"/>
      <c r="O101" s="55" t="inlineStr">
        <is>
          <t>MELHORIAS</t>
        </is>
      </c>
      <c r="P101" s="130" t="n"/>
      <c r="Q101" s="16" t="n"/>
      <c r="R101" s="17" t="n"/>
      <c r="S101" s="129">
        <f>DADOS_INVOC!$PV$6</f>
        <v/>
      </c>
      <c r="T101" s="120" t="n"/>
      <c r="U101" s="55" t="inlineStr">
        <is>
          <t>MELHORIAS</t>
        </is>
      </c>
      <c r="V101" s="130" t="n"/>
      <c r="W101" s="16" t="n"/>
      <c r="X101" s="17" t="n"/>
      <c r="Y101" s="129">
        <f>DADOS_INVOC!$PV$7</f>
        <v/>
      </c>
      <c r="Z101" s="120" t="n"/>
      <c r="AB101" s="55" t="inlineStr">
        <is>
          <t>MELHORIAS</t>
        </is>
      </c>
      <c r="AC101" s="130" t="n"/>
      <c r="AD101" s="16" t="n"/>
      <c r="AE101" s="17" t="n"/>
      <c r="AF101" s="129">
        <f>DADOS_INVOC!$PV$83</f>
        <v/>
      </c>
      <c r="AG101" s="120" t="n"/>
      <c r="AH101" s="55" t="inlineStr">
        <is>
          <t>MELHORIAS</t>
        </is>
      </c>
      <c r="AI101" s="130" t="n"/>
      <c r="AJ101" s="16" t="n"/>
      <c r="AK101" s="17" t="n"/>
      <c r="AL101" s="129">
        <f>DADOS_INVOC!$PV$84</f>
        <v/>
      </c>
      <c r="AM101" s="120" t="n"/>
      <c r="AN101" s="55" t="inlineStr">
        <is>
          <t>MELHORIAS</t>
        </is>
      </c>
      <c r="AO101" s="130" t="n"/>
      <c r="AP101" s="16" t="n"/>
      <c r="AQ101" s="17" t="n"/>
      <c r="AR101" s="129">
        <f>DADOS_INVOC!$PV$85</f>
        <v/>
      </c>
      <c r="AS101" s="120" t="n"/>
    </row>
    <row r="102" hidden="1" outlineLevel="3">
      <c r="A102" s="8" t="n"/>
      <c r="B102" s="14" t="n"/>
      <c r="C102" s="120" t="n"/>
      <c r="D102" s="120" t="n"/>
      <c r="E102" s="120" t="n"/>
      <c r="F102" s="120" t="n"/>
      <c r="G102" s="120" t="n"/>
      <c r="I102" s="131" t="n"/>
      <c r="J102" s="130" t="n"/>
      <c r="K102" s="16" t="n"/>
      <c r="L102" s="17" t="n"/>
      <c r="M102" s="129">
        <f>DADOS_INVOC!$PW$5</f>
        <v/>
      </c>
      <c r="N102" s="120" t="n"/>
      <c r="O102" s="131" t="n"/>
      <c r="P102" s="130" t="n"/>
      <c r="Q102" s="16" t="n"/>
      <c r="R102" s="17" t="n"/>
      <c r="S102" s="129">
        <f>DADOS_INVOC!$PW$6</f>
        <v/>
      </c>
      <c r="T102" s="120" t="n"/>
      <c r="U102" s="131" t="n"/>
      <c r="V102" s="130" t="n"/>
      <c r="W102" s="16" t="n"/>
      <c r="X102" s="17" t="n"/>
      <c r="Y102" s="129">
        <f>DADOS_INVOC!$PW$7</f>
        <v/>
      </c>
      <c r="Z102" s="120" t="n"/>
      <c r="AB102" s="131" t="n"/>
      <c r="AC102" s="130" t="n"/>
      <c r="AD102" s="16" t="n"/>
      <c r="AE102" s="17" t="n"/>
      <c r="AF102" s="129">
        <f>DADOS_INVOC!$PW$83</f>
        <v/>
      </c>
      <c r="AG102" s="120" t="n"/>
      <c r="AH102" s="131" t="n"/>
      <c r="AI102" s="130" t="n"/>
      <c r="AJ102" s="16" t="n"/>
      <c r="AK102" s="17" t="n"/>
      <c r="AL102" s="129">
        <f>DADOS_INVOC!$PW$84</f>
        <v/>
      </c>
      <c r="AM102" s="120" t="n"/>
      <c r="AN102" s="131" t="n"/>
      <c r="AO102" s="130" t="n"/>
      <c r="AP102" s="16" t="n"/>
      <c r="AQ102" s="17" t="n"/>
      <c r="AR102" s="129">
        <f>DADOS_INVOC!$PW$85</f>
        <v/>
      </c>
      <c r="AS102" s="120" t="n"/>
    </row>
    <row r="103" hidden="1" outlineLevel="3">
      <c r="A103" s="8" t="n"/>
      <c r="B103" s="14" t="n"/>
      <c r="C103" s="120" t="n"/>
      <c r="D103" s="120" t="n"/>
      <c r="E103" s="120" t="n"/>
      <c r="F103" s="120" t="n"/>
      <c r="G103" s="120" t="n"/>
      <c r="I103" s="131" t="n"/>
      <c r="J103" s="130" t="n"/>
      <c r="K103" s="16" t="n"/>
      <c r="L103" s="17" t="n"/>
      <c r="M103" s="129">
        <f>DADOS_INVOC!$PX$5</f>
        <v/>
      </c>
      <c r="N103" s="120" t="n"/>
      <c r="O103" s="131" t="n"/>
      <c r="P103" s="130" t="n"/>
      <c r="Q103" s="16" t="n"/>
      <c r="R103" s="17" t="n"/>
      <c r="S103" s="129">
        <f>DADOS_INVOC!$PX$6</f>
        <v/>
      </c>
      <c r="T103" s="120" t="n"/>
      <c r="U103" s="131" t="n"/>
      <c r="V103" s="130" t="n"/>
      <c r="W103" s="16" t="n"/>
      <c r="X103" s="17" t="n"/>
      <c r="Y103" s="129">
        <f>DADOS_INVOC!$PX$7</f>
        <v/>
      </c>
      <c r="Z103" s="120" t="n"/>
      <c r="AB103" s="131" t="n"/>
      <c r="AC103" s="130" t="n"/>
      <c r="AD103" s="16" t="n"/>
      <c r="AE103" s="17" t="n"/>
      <c r="AF103" s="129">
        <f>DADOS_INVOC!$PX$83</f>
        <v/>
      </c>
      <c r="AG103" s="120" t="n"/>
      <c r="AH103" s="131" t="n"/>
      <c r="AI103" s="130" t="n"/>
      <c r="AJ103" s="16" t="n"/>
      <c r="AK103" s="17" t="n"/>
      <c r="AL103" s="129">
        <f>DADOS_INVOC!$PX$84</f>
        <v/>
      </c>
      <c r="AM103" s="120" t="n"/>
      <c r="AN103" s="131" t="n"/>
      <c r="AO103" s="130" t="n"/>
      <c r="AP103" s="16" t="n"/>
      <c r="AQ103" s="17" t="n"/>
      <c r="AR103" s="129">
        <f>DADOS_INVOC!$PX$85</f>
        <v/>
      </c>
      <c r="AS103" s="120" t="n"/>
    </row>
    <row r="104" hidden="1" outlineLevel="3">
      <c r="A104" s="8" t="n"/>
      <c r="B104" s="14" t="n"/>
      <c r="C104" s="120" t="n"/>
      <c r="D104" s="120" t="n"/>
      <c r="E104" s="120" t="n"/>
      <c r="F104" s="120" t="n"/>
      <c r="G104" s="120" t="n"/>
      <c r="I104" s="125" t="n"/>
      <c r="J104" s="130" t="n"/>
      <c r="K104" s="16" t="n"/>
      <c r="L104" s="17" t="n"/>
      <c r="M104" s="129">
        <f>DADOS_INVOC!$PY$5</f>
        <v/>
      </c>
      <c r="N104" s="120" t="n"/>
      <c r="O104" s="125" t="n"/>
      <c r="P104" s="130" t="n"/>
      <c r="Q104" s="16" t="n"/>
      <c r="R104" s="17" t="n"/>
      <c r="S104" s="129">
        <f>DADOS_INVOC!$PY$6</f>
        <v/>
      </c>
      <c r="T104" s="120" t="n"/>
      <c r="U104" s="125" t="n"/>
      <c r="V104" s="130" t="n"/>
      <c r="W104" s="16" t="n"/>
      <c r="X104" s="17" t="n"/>
      <c r="Y104" s="129">
        <f>DADOS_INVOC!$PY$7</f>
        <v/>
      </c>
      <c r="Z104" s="120" t="n"/>
      <c r="AB104" s="125" t="n"/>
      <c r="AC104" s="130" t="n"/>
      <c r="AD104" s="16" t="n"/>
      <c r="AE104" s="17" t="n"/>
      <c r="AF104" s="129">
        <f>DADOS_INVOC!$PY$83</f>
        <v/>
      </c>
      <c r="AG104" s="120" t="n"/>
      <c r="AH104" s="125" t="n"/>
      <c r="AI104" s="130" t="n"/>
      <c r="AJ104" s="16" t="n"/>
      <c r="AK104" s="17" t="n"/>
      <c r="AL104" s="129">
        <f>DADOS_INVOC!$PY$84</f>
        <v/>
      </c>
      <c r="AM104" s="120" t="n"/>
      <c r="AN104" s="125" t="n"/>
      <c r="AO104" s="130" t="n"/>
      <c r="AP104" s="16" t="n"/>
      <c r="AQ104" s="17" t="n"/>
      <c r="AR104" s="129">
        <f>DADOS_INVOC!$PY$85</f>
        <v/>
      </c>
      <c r="AS104" s="120" t="n"/>
    </row>
    <row r="105" hidden="1" outlineLevel="3">
      <c r="A105" s="8" t="n"/>
      <c r="B105" s="14" t="n"/>
      <c r="C105" s="120" t="n"/>
      <c r="D105" s="120" t="n"/>
      <c r="E105" s="120" t="n"/>
      <c r="F105" s="120" t="n"/>
      <c r="G105" s="120" t="n"/>
      <c r="I105" s="55" t="inlineStr">
        <is>
          <t>RESTRIÇÕES</t>
        </is>
      </c>
      <c r="J105" s="130" t="n"/>
      <c r="K105" s="16" t="n"/>
      <c r="L105" s="17" t="n"/>
      <c r="M105" s="129">
        <f>DADOS_INVOC!$PZ$5</f>
        <v/>
      </c>
      <c r="N105" s="120" t="n"/>
      <c r="O105" s="55" t="inlineStr">
        <is>
          <t>RESTRIÇÕES</t>
        </is>
      </c>
      <c r="P105" s="130" t="n"/>
      <c r="Q105" s="16" t="n"/>
      <c r="R105" s="17" t="n"/>
      <c r="S105" s="129">
        <f>DADOS_INVOC!$PZ$6</f>
        <v/>
      </c>
      <c r="T105" s="120" t="n"/>
      <c r="U105" s="55" t="inlineStr">
        <is>
          <t>RESTRIÇÕES</t>
        </is>
      </c>
      <c r="V105" s="130" t="n"/>
      <c r="W105" s="16" t="n"/>
      <c r="X105" s="17" t="n"/>
      <c r="Y105" s="129">
        <f>DADOS_INVOC!$PZ$7</f>
        <v/>
      </c>
      <c r="Z105" s="120" t="n"/>
      <c r="AB105" s="55" t="inlineStr">
        <is>
          <t>RESTRIÇÕES</t>
        </is>
      </c>
      <c r="AC105" s="130" t="n"/>
      <c r="AD105" s="16" t="n"/>
      <c r="AE105" s="17" t="n"/>
      <c r="AF105" s="129">
        <f>DADOS_INVOC!$PZ$83</f>
        <v/>
      </c>
      <c r="AG105" s="120" t="n"/>
      <c r="AH105" s="55" t="inlineStr">
        <is>
          <t>RESTRIÇÕES</t>
        </is>
      </c>
      <c r="AI105" s="130" t="n"/>
      <c r="AJ105" s="16" t="n"/>
      <c r="AK105" s="17" t="n"/>
      <c r="AL105" s="129">
        <f>DADOS_INVOC!$PZ$84</f>
        <v/>
      </c>
      <c r="AM105" s="120" t="n"/>
      <c r="AN105" s="55" t="inlineStr">
        <is>
          <t>RESTRIÇÕES</t>
        </is>
      </c>
      <c r="AO105" s="130" t="n"/>
      <c r="AP105" s="16" t="n"/>
      <c r="AQ105" s="17" t="n"/>
      <c r="AR105" s="129">
        <f>DADOS_INVOC!$PZ$85</f>
        <v/>
      </c>
      <c r="AS105" s="120" t="n"/>
    </row>
    <row r="106" hidden="1" outlineLevel="3">
      <c r="A106" s="8" t="n"/>
      <c r="B106" s="14" t="n"/>
      <c r="C106" s="120" t="n"/>
      <c r="D106" s="120" t="n"/>
      <c r="E106" s="120" t="n"/>
      <c r="F106" s="120" t="n"/>
      <c r="G106" s="120" t="n"/>
      <c r="I106" s="125" t="n"/>
      <c r="J106" s="130" t="n"/>
      <c r="K106" s="16" t="n"/>
      <c r="L106" s="17" t="n"/>
      <c r="M106" s="129">
        <f>DADOS_INVOC!$QA$5</f>
        <v/>
      </c>
      <c r="N106" s="120" t="n"/>
      <c r="O106" s="125" t="n"/>
      <c r="P106" s="130" t="n"/>
      <c r="Q106" s="16" t="n"/>
      <c r="R106" s="17" t="n"/>
      <c r="S106" s="129">
        <f>DADOS_INVOC!$QA$6</f>
        <v/>
      </c>
      <c r="T106" s="120" t="n"/>
      <c r="U106" s="125" t="n"/>
      <c r="V106" s="130" t="n"/>
      <c r="W106" s="16" t="n"/>
      <c r="X106" s="17" t="n"/>
      <c r="Y106" s="129">
        <f>DADOS_INVOC!$QA$7</f>
        <v/>
      </c>
      <c r="Z106" s="120" t="n"/>
      <c r="AB106" s="125" t="n"/>
      <c r="AC106" s="130" t="n"/>
      <c r="AD106" s="16" t="n"/>
      <c r="AE106" s="17" t="n"/>
      <c r="AF106" s="129">
        <f>DADOS_INVOC!$QA$83</f>
        <v/>
      </c>
      <c r="AG106" s="120" t="n"/>
      <c r="AH106" s="125" t="n"/>
      <c r="AI106" s="130" t="n"/>
      <c r="AJ106" s="16" t="n"/>
      <c r="AK106" s="17" t="n"/>
      <c r="AL106" s="129">
        <f>DADOS_INVOC!$QA$84</f>
        <v/>
      </c>
      <c r="AM106" s="120" t="n"/>
      <c r="AN106" s="125" t="n"/>
      <c r="AO106" s="130" t="n"/>
      <c r="AP106" s="16" t="n"/>
      <c r="AQ106" s="17" t="n"/>
      <c r="AR106" s="129">
        <f>DADOS_INVOC!$QA$85</f>
        <v/>
      </c>
      <c r="AS106" s="120" t="n"/>
    </row>
    <row r="107" hidden="1" outlineLevel="3">
      <c r="A107" s="8" t="n"/>
      <c r="B107" s="14" t="n"/>
      <c r="C107" s="120" t="n"/>
      <c r="D107" s="120" t="n"/>
      <c r="E107" s="120" t="n"/>
      <c r="F107" s="120" t="n"/>
      <c r="G107" s="120" t="n"/>
      <c r="I107" s="55" t="inlineStr">
        <is>
          <t>CONTA</t>
        </is>
      </c>
      <c r="J107" s="132">
        <f>DADOS_INVOC!$PT$5</f>
        <v/>
      </c>
      <c r="K107" s="16" t="n"/>
      <c r="L107" s="16" t="n"/>
      <c r="M107" s="17" t="n"/>
      <c r="N107" s="120" t="n"/>
      <c r="O107" s="55" t="inlineStr">
        <is>
          <t>CONTA</t>
        </is>
      </c>
      <c r="P107" s="132">
        <f>DADOS_INVOC!$PT$6</f>
        <v/>
      </c>
      <c r="Q107" s="16" t="n"/>
      <c r="R107" s="16" t="n"/>
      <c r="S107" s="17" t="n"/>
      <c r="T107" s="120" t="n"/>
      <c r="U107" s="55" t="inlineStr">
        <is>
          <t>CONTA</t>
        </is>
      </c>
      <c r="V107" s="132">
        <f>DADOS_INVOC!$PT$7</f>
        <v/>
      </c>
      <c r="W107" s="16" t="n"/>
      <c r="X107" s="16" t="n"/>
      <c r="Y107" s="17" t="n"/>
      <c r="Z107" s="120" t="n"/>
      <c r="AB107" s="55" t="inlineStr">
        <is>
          <t>CONTA</t>
        </is>
      </c>
      <c r="AC107" s="132">
        <f>DADOS_INVOC!$PT$83</f>
        <v/>
      </c>
      <c r="AD107" s="16" t="n"/>
      <c r="AE107" s="16" t="n"/>
      <c r="AF107" s="17" t="n"/>
      <c r="AG107" s="120" t="n"/>
      <c r="AH107" s="55" t="inlineStr">
        <is>
          <t>CONTA</t>
        </is>
      </c>
      <c r="AI107" s="132">
        <f>DADOS_INVOC!$PT$84</f>
        <v/>
      </c>
      <c r="AJ107" s="16" t="n"/>
      <c r="AK107" s="16" t="n"/>
      <c r="AL107" s="17" t="n"/>
      <c r="AM107" s="120" t="n"/>
      <c r="AN107" s="55" t="inlineStr">
        <is>
          <t>CONTA</t>
        </is>
      </c>
      <c r="AO107" s="132">
        <f>DADOS_INVOC!$PT$85</f>
        <v/>
      </c>
      <c r="AP107" s="16" t="n"/>
      <c r="AQ107" s="16" t="n"/>
      <c r="AR107" s="17" t="n"/>
      <c r="AS107" s="120" t="n"/>
    </row>
    <row r="108" hidden="1" outlineLevel="3">
      <c r="A108" s="8" t="n"/>
      <c r="B108" s="14" t="n"/>
      <c r="C108" s="120" t="n"/>
      <c r="D108" s="120" t="n"/>
      <c r="E108" s="120" t="n"/>
      <c r="F108" s="120" t="n"/>
      <c r="G108" s="120" t="n"/>
      <c r="I108" s="55" t="inlineStr">
        <is>
          <t>AMPLIAR</t>
        </is>
      </c>
      <c r="J108" s="132">
        <f>DADOS_INVOC!$PU$5</f>
        <v/>
      </c>
      <c r="K108" s="19" t="n"/>
      <c r="L108" s="19" t="n"/>
      <c r="M108" s="20" t="n"/>
      <c r="N108" s="120" t="n"/>
      <c r="O108" s="55" t="inlineStr">
        <is>
          <t>AMPLIAR</t>
        </is>
      </c>
      <c r="P108" s="132">
        <f>DADOS_INVOC!$PU$6</f>
        <v/>
      </c>
      <c r="Q108" s="19" t="n"/>
      <c r="R108" s="19" t="n"/>
      <c r="S108" s="20" t="n"/>
      <c r="T108" s="120" t="n"/>
      <c r="U108" s="55" t="inlineStr">
        <is>
          <t>AMPLIAR</t>
        </is>
      </c>
      <c r="V108" s="132">
        <f>DADOS_INVOC!$PU$7</f>
        <v/>
      </c>
      <c r="W108" s="19" t="n"/>
      <c r="X108" s="19" t="n"/>
      <c r="Y108" s="20" t="n"/>
      <c r="Z108" s="120" t="n"/>
      <c r="AB108" s="55" t="inlineStr">
        <is>
          <t>AMPLIAR</t>
        </is>
      </c>
      <c r="AC108" s="132">
        <f>DADOS_INVOC!$PU$83</f>
        <v/>
      </c>
      <c r="AD108" s="19" t="n"/>
      <c r="AE108" s="19" t="n"/>
      <c r="AF108" s="20" t="n"/>
      <c r="AG108" s="120" t="n"/>
      <c r="AH108" s="55" t="inlineStr">
        <is>
          <t>AMPLIAR</t>
        </is>
      </c>
      <c r="AI108" s="132">
        <f>DADOS_INVOC!$PU$84</f>
        <v/>
      </c>
      <c r="AJ108" s="19" t="n"/>
      <c r="AK108" s="19" t="n"/>
      <c r="AL108" s="20" t="n"/>
      <c r="AM108" s="120" t="n"/>
      <c r="AN108" s="55" t="inlineStr">
        <is>
          <t>AMPLIAR</t>
        </is>
      </c>
      <c r="AO108" s="132">
        <f>DADOS_INVOC!$PU$85</f>
        <v/>
      </c>
      <c r="AP108" s="19" t="n"/>
      <c r="AQ108" s="19" t="n"/>
      <c r="AR108" s="20" t="n"/>
      <c r="AS108" s="120" t="n"/>
    </row>
    <row r="109" hidden="1" outlineLevel="3">
      <c r="A109" s="8" t="n"/>
      <c r="B109" s="14" t="n"/>
      <c r="C109" s="120" t="n"/>
      <c r="D109" s="120" t="n"/>
      <c r="E109" s="120" t="n"/>
      <c r="F109" s="120" t="n"/>
      <c r="G109" s="120" t="n"/>
      <c r="I109" s="125" t="n"/>
      <c r="J109" s="23" t="n"/>
      <c r="K109" s="24" t="n"/>
      <c r="L109" s="24" t="n"/>
      <c r="M109" s="25" t="n"/>
      <c r="N109" s="120" t="n"/>
      <c r="O109" s="125" t="n"/>
      <c r="P109" s="23" t="n"/>
      <c r="Q109" s="24" t="n"/>
      <c r="R109" s="24" t="n"/>
      <c r="S109" s="25" t="n"/>
      <c r="T109" s="120" t="n"/>
      <c r="U109" s="125" t="n"/>
      <c r="V109" s="23" t="n"/>
      <c r="W109" s="24" t="n"/>
      <c r="X109" s="24" t="n"/>
      <c r="Y109" s="25" t="n"/>
      <c r="Z109" s="120" t="n"/>
      <c r="AB109" s="125" t="n"/>
      <c r="AC109" s="23" t="n"/>
      <c r="AD109" s="24" t="n"/>
      <c r="AE109" s="24" t="n"/>
      <c r="AF109" s="25" t="n"/>
      <c r="AG109" s="120" t="n"/>
      <c r="AH109" s="125" t="n"/>
      <c r="AI109" s="23" t="n"/>
      <c r="AJ109" s="24" t="n"/>
      <c r="AK109" s="24" t="n"/>
      <c r="AL109" s="25" t="n"/>
      <c r="AM109" s="120" t="n"/>
      <c r="AN109" s="125" t="n"/>
      <c r="AO109" s="23" t="n"/>
      <c r="AP109" s="24" t="n"/>
      <c r="AQ109" s="24" t="n"/>
      <c r="AR109" s="25" t="n"/>
      <c r="AS109" s="120" t="n"/>
    </row>
    <row r="110" hidden="1" outlineLevel="3">
      <c r="A110" s="8" t="n"/>
      <c r="B110" s="14" t="n"/>
      <c r="C110" s="120" t="n"/>
      <c r="D110" s="120" t="n"/>
      <c r="E110" s="120" t="n"/>
      <c r="F110" s="120" t="n"/>
      <c r="G110" s="120" t="n"/>
      <c r="I110" s="132">
        <f>DADOS_INVOC!$PH$5</f>
        <v/>
      </c>
      <c r="J110" s="19" t="n"/>
      <c r="K110" s="19" t="n"/>
      <c r="L110" s="19" t="n"/>
      <c r="M110" s="20" t="n"/>
      <c r="N110" s="120" t="n"/>
      <c r="O110" s="132">
        <f>DADOS_INVOC!$PH$6</f>
        <v/>
      </c>
      <c r="P110" s="19" t="n"/>
      <c r="Q110" s="19" t="n"/>
      <c r="R110" s="19" t="n"/>
      <c r="S110" s="20" t="n"/>
      <c r="T110" s="120" t="n"/>
      <c r="U110" s="132">
        <f>DADOS_INVOC!$PH$7</f>
        <v/>
      </c>
      <c r="V110" s="19" t="n"/>
      <c r="W110" s="19" t="n"/>
      <c r="X110" s="19" t="n"/>
      <c r="Y110" s="20" t="n"/>
      <c r="Z110" s="120" t="n"/>
      <c r="AB110" s="132">
        <f>DADOS_INVOC!$PH$83</f>
        <v/>
      </c>
      <c r="AC110" s="19" t="n"/>
      <c r="AD110" s="19" t="n"/>
      <c r="AE110" s="19" t="n"/>
      <c r="AF110" s="20" t="n"/>
      <c r="AG110" s="120" t="n"/>
      <c r="AH110" s="132">
        <f>DADOS_INVOC!$PH$84</f>
        <v/>
      </c>
      <c r="AI110" s="19" t="n"/>
      <c r="AJ110" s="19" t="n"/>
      <c r="AK110" s="19" t="n"/>
      <c r="AL110" s="20" t="n"/>
      <c r="AM110" s="120" t="n"/>
      <c r="AN110" s="132">
        <f>DADOS_INVOC!$PH$85</f>
        <v/>
      </c>
      <c r="AO110" s="19" t="n"/>
      <c r="AP110" s="19" t="n"/>
      <c r="AQ110" s="19" t="n"/>
      <c r="AR110" s="20" t="n"/>
      <c r="AS110" s="120" t="n"/>
    </row>
    <row r="111" hidden="1" outlineLevel="3">
      <c r="A111" s="8" t="n"/>
      <c r="B111" s="14" t="n"/>
      <c r="C111" s="120" t="n"/>
      <c r="D111" s="120" t="n"/>
      <c r="E111" s="120" t="n"/>
      <c r="F111" s="120" t="n"/>
      <c r="G111" s="120" t="n"/>
      <c r="I111" s="23" t="n"/>
      <c r="J111" s="24" t="n"/>
      <c r="K111" s="24" t="n"/>
      <c r="L111" s="24" t="n"/>
      <c r="M111" s="25" t="n"/>
      <c r="N111" s="120" t="n"/>
      <c r="O111" s="23" t="n"/>
      <c r="P111" s="24" t="n"/>
      <c r="Q111" s="24" t="n"/>
      <c r="R111" s="24" t="n"/>
      <c r="S111" s="25" t="n"/>
      <c r="T111" s="120" t="n"/>
      <c r="U111" s="23" t="n"/>
      <c r="V111" s="24" t="n"/>
      <c r="W111" s="24" t="n"/>
      <c r="X111" s="24" t="n"/>
      <c r="Y111" s="25" t="n"/>
      <c r="Z111" s="120" t="n"/>
      <c r="AB111" s="23" t="n"/>
      <c r="AC111" s="24" t="n"/>
      <c r="AD111" s="24" t="n"/>
      <c r="AE111" s="24" t="n"/>
      <c r="AF111" s="25" t="n"/>
      <c r="AG111" s="120" t="n"/>
      <c r="AH111" s="23" t="n"/>
      <c r="AI111" s="24" t="n"/>
      <c r="AJ111" s="24" t="n"/>
      <c r="AK111" s="24" t="n"/>
      <c r="AL111" s="25" t="n"/>
      <c r="AM111" s="120" t="n"/>
      <c r="AN111" s="23" t="n"/>
      <c r="AO111" s="24" t="n"/>
      <c r="AP111" s="24" t="n"/>
      <c r="AQ111" s="24" t="n"/>
      <c r="AR111" s="25" t="n"/>
      <c r="AS111" s="120" t="n"/>
    </row>
    <row r="112" hidden="1" outlineLevel="2">
      <c r="A112" s="8" t="n"/>
      <c r="B112" s="14" t="n"/>
      <c r="C112" s="120" t="n"/>
      <c r="D112" s="120" t="n"/>
      <c r="E112" s="120" t="n"/>
      <c r="F112" s="120" t="n"/>
      <c r="G112" s="120" t="n"/>
      <c r="I112" s="120" t="n"/>
      <c r="J112" s="120" t="n"/>
      <c r="K112" s="120" t="n"/>
      <c r="L112" s="120" t="n"/>
      <c r="M112" s="120" t="n"/>
      <c r="N112" s="120" t="n"/>
      <c r="O112" s="120" t="n"/>
      <c r="P112" s="120" t="n"/>
      <c r="Q112" s="120" t="n"/>
      <c r="R112" s="120" t="n"/>
      <c r="S112" s="120" t="n"/>
      <c r="T112" s="120" t="n"/>
      <c r="U112" s="120" t="n"/>
      <c r="V112" s="120" t="n"/>
      <c r="W112" s="120" t="n"/>
      <c r="X112" s="120" t="n"/>
      <c r="Y112" s="120" t="n"/>
      <c r="Z112" s="120" t="n"/>
      <c r="AB112" s="120" t="n"/>
      <c r="AC112" s="120" t="n"/>
      <c r="AD112" s="120" t="n"/>
      <c r="AE112" s="120" t="n"/>
      <c r="AF112" s="120" t="n"/>
      <c r="AG112" s="120" t="n"/>
      <c r="AH112" s="120" t="n"/>
      <c r="AI112" s="120" t="n"/>
      <c r="AJ112" s="120" t="n"/>
      <c r="AK112" s="120" t="n"/>
      <c r="AL112" s="120" t="n"/>
      <c r="AM112" s="120" t="n"/>
      <c r="AN112" s="120" t="n"/>
      <c r="AO112" s="120" t="n"/>
      <c r="AP112" s="120" t="n"/>
      <c r="AQ112" s="120" t="n"/>
      <c r="AR112" s="120" t="n"/>
      <c r="AS112" s="120" t="n"/>
    </row>
    <row r="113" hidden="1" outlineLevel="2">
      <c r="A113" s="8" t="n"/>
      <c r="B113" s="14" t="n"/>
      <c r="C113" s="120" t="n"/>
      <c r="D113" s="120" t="n"/>
      <c r="E113" s="120" t="n"/>
      <c r="F113" s="120" t="n"/>
      <c r="G113" s="120" t="n"/>
      <c r="I113" s="55">
        <f>DADOS_INVOC!$PI$8</f>
        <v/>
      </c>
      <c r="J113" s="16" t="n"/>
      <c r="K113" s="16" t="n"/>
      <c r="L113" s="16" t="n"/>
      <c r="M113" s="17" t="n"/>
      <c r="N113" s="120" t="n"/>
      <c r="O113" s="55">
        <f>DADOS_INVOC!$PI$9</f>
        <v/>
      </c>
      <c r="P113" s="16" t="n"/>
      <c r="Q113" s="16" t="n"/>
      <c r="R113" s="16" t="n"/>
      <c r="S113" s="17" t="n"/>
      <c r="T113" s="120" t="n"/>
      <c r="U113" s="55">
        <f>DADOS_INVOC!$PI$10</f>
        <v/>
      </c>
      <c r="V113" s="16" t="n"/>
      <c r="W113" s="16" t="n"/>
      <c r="X113" s="16" t="n"/>
      <c r="Y113" s="17" t="n"/>
      <c r="Z113" s="120" t="n"/>
      <c r="AB113" s="55">
        <f>DADOS_INVOC!$PI$86</f>
        <v/>
      </c>
      <c r="AC113" s="16" t="n"/>
      <c r="AD113" s="16" t="n"/>
      <c r="AE113" s="16" t="n"/>
      <c r="AF113" s="17" t="n"/>
      <c r="AG113" s="120" t="n"/>
      <c r="AH113" s="55">
        <f>DADOS_INVOC!$PI$87</f>
        <v/>
      </c>
      <c r="AI113" s="16" t="n"/>
      <c r="AJ113" s="16" t="n"/>
      <c r="AK113" s="16" t="n"/>
      <c r="AL113" s="17" t="n"/>
      <c r="AM113" s="120" t="n"/>
      <c r="AN113" s="55">
        <f>DADOS_INVOC!$PI$88</f>
        <v/>
      </c>
      <c r="AO113" s="16" t="n"/>
      <c r="AP113" s="16" t="n"/>
      <c r="AQ113" s="16" t="n"/>
      <c r="AR113" s="17" t="n"/>
      <c r="AS113" s="120" t="n"/>
    </row>
    <row r="114" hidden="1" outlineLevel="2">
      <c r="A114" s="8" t="n"/>
      <c r="B114" s="14" t="n"/>
      <c r="C114" s="120" t="n"/>
      <c r="D114" s="120" t="n"/>
      <c r="E114" s="120" t="n"/>
      <c r="F114" s="120" t="n"/>
      <c r="G114" s="120" t="n"/>
      <c r="I114" s="127" t="n">
        <v>1</v>
      </c>
      <c r="J114" s="115" t="n"/>
      <c r="K114" s="16" t="n"/>
      <c r="L114" s="17" t="n"/>
      <c r="M114" s="128">
        <f>DADOS_INVOC!$PG$8</f>
        <v/>
      </c>
      <c r="N114" s="120" t="n"/>
      <c r="O114" s="127" t="n">
        <v>1</v>
      </c>
      <c r="P114" s="115" t="n"/>
      <c r="Q114" s="16" t="n"/>
      <c r="R114" s="17" t="n"/>
      <c r="S114" s="128">
        <f>DADOS_INVOC!$PG$9</f>
        <v/>
      </c>
      <c r="T114" s="120" t="n"/>
      <c r="U114" s="127" t="n">
        <v>1</v>
      </c>
      <c r="V114" s="115" t="n"/>
      <c r="W114" s="16" t="n"/>
      <c r="X114" s="17" t="n"/>
      <c r="Y114" s="128">
        <f>DADOS_INVOC!$PG$10</f>
        <v/>
      </c>
      <c r="Z114" s="120" t="n"/>
      <c r="AB114" s="127" t="n">
        <v>1</v>
      </c>
      <c r="AC114" s="115" t="n"/>
      <c r="AD114" s="16" t="n"/>
      <c r="AE114" s="17" t="n"/>
      <c r="AF114" s="128">
        <f>DADOS_INVOC!$PG$86</f>
        <v/>
      </c>
      <c r="AG114" s="120" t="n"/>
      <c r="AH114" s="127" t="n">
        <v>1</v>
      </c>
      <c r="AI114" s="115" t="n"/>
      <c r="AJ114" s="16" t="n"/>
      <c r="AK114" s="17" t="n"/>
      <c r="AL114" s="128">
        <f>DADOS_INVOC!$PG$87</f>
        <v/>
      </c>
      <c r="AM114" s="120" t="n"/>
      <c r="AN114" s="127" t="n">
        <v>1</v>
      </c>
      <c r="AO114" s="115" t="n"/>
      <c r="AP114" s="16" t="n"/>
      <c r="AQ114" s="17" t="n"/>
      <c r="AR114" s="128">
        <f>DADOS_INVOC!$PG$88</f>
        <v/>
      </c>
      <c r="AS114" s="120" t="n"/>
    </row>
    <row r="115" hidden="1" outlineLevel="3">
      <c r="A115" s="8" t="n"/>
      <c r="B115" s="14" t="n"/>
      <c r="C115" s="120" t="n"/>
      <c r="D115" s="120" t="n"/>
      <c r="E115" s="120" t="n"/>
      <c r="F115" s="120" t="n"/>
      <c r="G115" s="120" t="n"/>
      <c r="I115" s="55" t="inlineStr">
        <is>
          <t>COMO É</t>
        </is>
      </c>
      <c r="J115" s="16" t="n"/>
      <c r="K115" s="16" t="n"/>
      <c r="L115" s="16" t="n"/>
      <c r="M115" s="17" t="n"/>
      <c r="N115" s="120" t="n"/>
      <c r="O115" s="55" t="inlineStr">
        <is>
          <t>COMO É</t>
        </is>
      </c>
      <c r="P115" s="16" t="n"/>
      <c r="Q115" s="16" t="n"/>
      <c r="R115" s="16" t="n"/>
      <c r="S115" s="17" t="n"/>
      <c r="T115" s="120" t="n"/>
      <c r="U115" s="55" t="inlineStr">
        <is>
          <t>COMO É</t>
        </is>
      </c>
      <c r="V115" s="16" t="n"/>
      <c r="W115" s="16" t="n"/>
      <c r="X115" s="16" t="n"/>
      <c r="Y115" s="17" t="n"/>
      <c r="Z115" s="120" t="n"/>
      <c r="AB115" s="55" t="inlineStr">
        <is>
          <t>COMO É</t>
        </is>
      </c>
      <c r="AC115" s="16" t="n"/>
      <c r="AD115" s="16" t="n"/>
      <c r="AE115" s="16" t="n"/>
      <c r="AF115" s="17" t="n"/>
      <c r="AG115" s="120" t="n"/>
      <c r="AH115" s="55" t="inlineStr">
        <is>
          <t>COMO É</t>
        </is>
      </c>
      <c r="AI115" s="16" t="n"/>
      <c r="AJ115" s="16" t="n"/>
      <c r="AK115" s="16" t="n"/>
      <c r="AL115" s="17" t="n"/>
      <c r="AM115" s="120" t="n"/>
      <c r="AN115" s="55" t="inlineStr">
        <is>
          <t>COMO É</t>
        </is>
      </c>
      <c r="AO115" s="16" t="n"/>
      <c r="AP115" s="16" t="n"/>
      <c r="AQ115" s="16" t="n"/>
      <c r="AR115" s="17" t="n"/>
      <c r="AS115" s="120" t="n"/>
    </row>
    <row r="116" hidden="1" outlineLevel="3">
      <c r="A116" s="8" t="n"/>
      <c r="B116" s="14" t="n"/>
      <c r="C116" s="120" t="n"/>
      <c r="D116" s="120" t="n"/>
      <c r="E116" s="120" t="n"/>
      <c r="F116" s="120" t="n"/>
      <c r="G116" s="120" t="n"/>
      <c r="I116" s="116" t="n"/>
      <c r="J116" s="19" t="n"/>
      <c r="K116" s="19" t="n"/>
      <c r="L116" s="19" t="n"/>
      <c r="M116" s="20" t="n"/>
      <c r="N116" s="120" t="n"/>
      <c r="O116" s="116" t="n"/>
      <c r="P116" s="19" t="n"/>
      <c r="Q116" s="19" t="n"/>
      <c r="R116" s="19" t="n"/>
      <c r="S116" s="20" t="n"/>
      <c r="T116" s="120" t="n"/>
      <c r="U116" s="116" t="n"/>
      <c r="V116" s="19" t="n"/>
      <c r="W116" s="19" t="n"/>
      <c r="X116" s="19" t="n"/>
      <c r="Y116" s="20" t="n"/>
      <c r="Z116" s="120" t="n"/>
      <c r="AB116" s="116" t="n"/>
      <c r="AC116" s="19" t="n"/>
      <c r="AD116" s="19" t="n"/>
      <c r="AE116" s="19" t="n"/>
      <c r="AF116" s="20" t="n"/>
      <c r="AG116" s="120" t="n"/>
      <c r="AH116" s="116" t="n"/>
      <c r="AI116" s="19" t="n"/>
      <c r="AJ116" s="19" t="n"/>
      <c r="AK116" s="19" t="n"/>
      <c r="AL116" s="20" t="n"/>
      <c r="AM116" s="120" t="n"/>
      <c r="AN116" s="116" t="n"/>
      <c r="AO116" s="19" t="n"/>
      <c r="AP116" s="19" t="n"/>
      <c r="AQ116" s="19" t="n"/>
      <c r="AR116" s="20" t="n"/>
      <c r="AS116" s="120" t="n"/>
    </row>
    <row r="117" hidden="1" outlineLevel="3">
      <c r="A117" s="8" t="n"/>
      <c r="B117" s="14" t="n"/>
      <c r="C117" s="120" t="n"/>
      <c r="D117" s="120" t="n"/>
      <c r="E117" s="120" t="n"/>
      <c r="F117" s="120" t="n"/>
      <c r="G117" s="120" t="n"/>
      <c r="I117" s="21" t="n"/>
      <c r="M117" s="22" t="n"/>
      <c r="N117" s="120" t="n"/>
      <c r="O117" s="21" t="n"/>
      <c r="S117" s="22" t="n"/>
      <c r="T117" s="120" t="n"/>
      <c r="U117" s="21" t="n"/>
      <c r="Y117" s="22" t="n"/>
      <c r="Z117" s="120" t="n"/>
      <c r="AB117" s="21" t="n"/>
      <c r="AF117" s="22" t="n"/>
      <c r="AG117" s="120" t="n"/>
      <c r="AH117" s="21" t="n"/>
      <c r="AL117" s="22" t="n"/>
      <c r="AM117" s="120" t="n"/>
      <c r="AN117" s="21" t="n"/>
      <c r="AR117" s="22" t="n"/>
      <c r="AS117" s="120" t="n"/>
    </row>
    <row r="118" hidden="1" outlineLevel="3">
      <c r="A118" s="8" t="n"/>
      <c r="B118" s="14" t="n"/>
      <c r="C118" s="120" t="n"/>
      <c r="D118" s="120" t="n"/>
      <c r="E118" s="120" t="n"/>
      <c r="F118" s="120" t="n"/>
      <c r="G118" s="120" t="n"/>
      <c r="I118" s="23" t="n"/>
      <c r="J118" s="24" t="n"/>
      <c r="K118" s="24" t="n"/>
      <c r="L118" s="24" t="n"/>
      <c r="M118" s="25" t="n"/>
      <c r="N118" s="120" t="n"/>
      <c r="O118" s="23" t="n"/>
      <c r="P118" s="24" t="n"/>
      <c r="Q118" s="24" t="n"/>
      <c r="R118" s="24" t="n"/>
      <c r="S118" s="25" t="n"/>
      <c r="T118" s="120" t="n"/>
      <c r="U118" s="23" t="n"/>
      <c r="V118" s="24" t="n"/>
      <c r="W118" s="24" t="n"/>
      <c r="X118" s="24" t="n"/>
      <c r="Y118" s="25" t="n"/>
      <c r="Z118" s="120" t="n"/>
      <c r="AB118" s="23" t="n"/>
      <c r="AC118" s="24" t="n"/>
      <c r="AD118" s="24" t="n"/>
      <c r="AE118" s="24" t="n"/>
      <c r="AF118" s="25" t="n"/>
      <c r="AG118" s="120" t="n"/>
      <c r="AH118" s="23" t="n"/>
      <c r="AI118" s="24" t="n"/>
      <c r="AJ118" s="24" t="n"/>
      <c r="AK118" s="24" t="n"/>
      <c r="AL118" s="25" t="n"/>
      <c r="AM118" s="120" t="n"/>
      <c r="AN118" s="23" t="n"/>
      <c r="AO118" s="24" t="n"/>
      <c r="AP118" s="24" t="n"/>
      <c r="AQ118" s="24" t="n"/>
      <c r="AR118" s="25" t="n"/>
      <c r="AS118" s="120" t="n"/>
    </row>
    <row r="119" hidden="1" outlineLevel="2">
      <c r="A119" s="8" t="n"/>
      <c r="B119" s="14" t="n"/>
      <c r="C119" s="120" t="n"/>
      <c r="D119" s="120" t="n"/>
      <c r="E119" s="120" t="n"/>
      <c r="F119" s="120" t="n"/>
      <c r="G119" s="120" t="n"/>
      <c r="I119" s="124" t="inlineStr">
        <is>
          <t>Projétil</t>
        </is>
      </c>
      <c r="J119" s="17" t="n"/>
      <c r="K119" s="68">
        <f>DADOS_INVOC!$PN$8</f>
        <v/>
      </c>
      <c r="L119" s="17" t="n"/>
      <c r="M119" s="68">
        <f>DADOS_INVOC!$PJ$8</f>
        <v/>
      </c>
      <c r="N119" s="120" t="n"/>
      <c r="O119" s="124" t="inlineStr">
        <is>
          <t>Projétil</t>
        </is>
      </c>
      <c r="P119" s="17" t="n"/>
      <c r="Q119" s="68">
        <f>DADOS_INVOC!$PN$9</f>
        <v/>
      </c>
      <c r="R119" s="17" t="n"/>
      <c r="S119" s="68">
        <f>DADOS_INVOC!$PJ$9</f>
        <v/>
      </c>
      <c r="T119" s="120" t="n"/>
      <c r="U119" s="124" t="inlineStr">
        <is>
          <t>Projétil</t>
        </is>
      </c>
      <c r="V119" s="17" t="n"/>
      <c r="W119" s="68">
        <f>DADOS_INVOC!$PN$10</f>
        <v/>
      </c>
      <c r="X119" s="17" t="n"/>
      <c r="Y119" s="68">
        <f>DADOS_INVOC!$PJ$10</f>
        <v/>
      </c>
      <c r="Z119" s="120" t="n"/>
      <c r="AB119" s="124" t="inlineStr">
        <is>
          <t>Projétil</t>
        </is>
      </c>
      <c r="AC119" s="17" t="n"/>
      <c r="AD119" s="68">
        <f>DADOS_INVOC!$PN$86</f>
        <v/>
      </c>
      <c r="AE119" s="17" t="n"/>
      <c r="AF119" s="68">
        <f>DADOS_INVOC!$PJ$86</f>
        <v/>
      </c>
      <c r="AG119" s="120" t="n"/>
      <c r="AH119" s="124" t="inlineStr">
        <is>
          <t>Projétil</t>
        </is>
      </c>
      <c r="AI119" s="17" t="n"/>
      <c r="AJ119" s="68">
        <f>DADOS_INVOC!$PN$87</f>
        <v/>
      </c>
      <c r="AK119" s="17" t="n"/>
      <c r="AL119" s="68">
        <f>DADOS_INVOC!$PJ$87</f>
        <v/>
      </c>
      <c r="AM119" s="120" t="n"/>
      <c r="AN119" s="124" t="inlineStr">
        <is>
          <t>Projétil</t>
        </is>
      </c>
      <c r="AO119" s="17" t="n"/>
      <c r="AP119" s="68">
        <f>DADOS_INVOC!$PN$88</f>
        <v/>
      </c>
      <c r="AQ119" s="17" t="n"/>
      <c r="AR119" s="68">
        <f>DADOS_INVOC!$PJ$88</f>
        <v/>
      </c>
      <c r="AS119" s="120" t="n"/>
    </row>
    <row r="120" hidden="1" outlineLevel="2">
      <c r="A120" s="8" t="n"/>
      <c r="B120" s="14" t="n"/>
      <c r="C120" s="120" t="n"/>
      <c r="D120" s="120" t="n"/>
      <c r="E120" s="120" t="n"/>
      <c r="F120" s="120" t="n"/>
      <c r="G120" s="120" t="n"/>
      <c r="I120" s="124" t="n"/>
      <c r="J120" s="17" t="n"/>
      <c r="K120" s="124" t="n"/>
      <c r="L120" s="16" t="n"/>
      <c r="M120" s="17" t="n"/>
      <c r="N120" s="120" t="n"/>
      <c r="O120" s="124" t="n"/>
      <c r="P120" s="17" t="n"/>
      <c r="Q120" s="124" t="n"/>
      <c r="R120" s="16" t="n"/>
      <c r="S120" s="17" t="n"/>
      <c r="T120" s="120" t="n"/>
      <c r="U120" s="124" t="n"/>
      <c r="V120" s="17" t="n"/>
      <c r="W120" s="124" t="n"/>
      <c r="X120" s="16" t="n"/>
      <c r="Y120" s="17" t="n"/>
      <c r="Z120" s="120" t="n"/>
      <c r="AB120" s="124" t="n"/>
      <c r="AC120" s="17" t="n"/>
      <c r="AD120" s="124" t="n"/>
      <c r="AE120" s="16" t="n"/>
      <c r="AF120" s="17" t="n"/>
      <c r="AG120" s="120" t="n"/>
      <c r="AH120" s="124" t="n"/>
      <c r="AI120" s="17" t="n"/>
      <c r="AJ120" s="124" t="n"/>
      <c r="AK120" s="16" t="n"/>
      <c r="AL120" s="17" t="n"/>
      <c r="AM120" s="120" t="n"/>
      <c r="AN120" s="124" t="n"/>
      <c r="AO120" s="17" t="n"/>
      <c r="AP120" s="124" t="n"/>
      <c r="AQ120" s="16" t="n"/>
      <c r="AR120" s="17" t="n"/>
      <c r="AS120" s="120" t="n"/>
    </row>
    <row r="121" hidden="1" outlineLevel="2">
      <c r="A121" s="8" t="n"/>
      <c r="B121" s="14" t="n"/>
      <c r="C121" s="120" t="n"/>
      <c r="D121" s="120" t="n"/>
      <c r="E121" s="120" t="n"/>
      <c r="F121" s="120" t="n"/>
      <c r="G121" s="120" t="n"/>
      <c r="I121" s="124">
        <f>DADOS_INVOC!$PK$8</f>
        <v/>
      </c>
      <c r="J121" s="17" t="n"/>
      <c r="K121" s="124">
        <f>DADOS_INVOC!$PM$8</f>
        <v/>
      </c>
      <c r="L121" s="16" t="n"/>
      <c r="M121" s="17" t="n"/>
      <c r="N121" s="120" t="n"/>
      <c r="O121" s="124">
        <f>DADOS_INVOC!$PK$9</f>
        <v/>
      </c>
      <c r="P121" s="17" t="n"/>
      <c r="Q121" s="124">
        <f>DADOS_INVOC!$PM$9</f>
        <v/>
      </c>
      <c r="R121" s="16" t="n"/>
      <c r="S121" s="17" t="n"/>
      <c r="T121" s="120" t="n"/>
      <c r="U121" s="124">
        <f>DADOS_INVOC!$PK$10</f>
        <v/>
      </c>
      <c r="V121" s="17" t="n"/>
      <c r="W121" s="124">
        <f>DADOS_INVOC!$PM$10</f>
        <v/>
      </c>
      <c r="X121" s="16" t="n"/>
      <c r="Y121" s="17" t="n"/>
      <c r="Z121" s="120" t="n"/>
      <c r="AB121" s="124">
        <f>DADOS_INVOC!$PK$86</f>
        <v/>
      </c>
      <c r="AC121" s="17" t="n"/>
      <c r="AD121" s="124">
        <f>DADOS_INVOC!$PM$86</f>
        <v/>
      </c>
      <c r="AE121" s="16" t="n"/>
      <c r="AF121" s="17" t="n"/>
      <c r="AG121" s="120" t="n"/>
      <c r="AH121" s="124">
        <f>DADOS_INVOC!$PK$87</f>
        <v/>
      </c>
      <c r="AI121" s="17" t="n"/>
      <c r="AJ121" s="124">
        <f>DADOS_INVOC!$PM$87</f>
        <v/>
      </c>
      <c r="AK121" s="16" t="n"/>
      <c r="AL121" s="17" t="n"/>
      <c r="AM121" s="120" t="n"/>
      <c r="AN121" s="124">
        <f>DADOS_INVOC!$PK$88</f>
        <v/>
      </c>
      <c r="AO121" s="17" t="n"/>
      <c r="AP121" s="124">
        <f>DADOS_INVOC!$PM$88</f>
        <v/>
      </c>
      <c r="AQ121" s="16" t="n"/>
      <c r="AR121" s="17" t="n"/>
      <c r="AS121" s="120" t="n"/>
    </row>
    <row r="122" hidden="1" outlineLevel="2">
      <c r="A122" s="8" t="n"/>
      <c r="B122" s="14" t="n"/>
      <c r="C122" s="120" t="n"/>
      <c r="D122" s="120" t="n"/>
      <c r="E122" s="120" t="n"/>
      <c r="F122" s="120" t="n"/>
      <c r="G122" s="120" t="n"/>
      <c r="I122" s="129">
        <f>DADOS_INVOC!$PS$8</f>
        <v/>
      </c>
      <c r="J122" s="16" t="n"/>
      <c r="K122" s="16" t="n"/>
      <c r="L122" s="16" t="n"/>
      <c r="M122" s="17" t="n"/>
      <c r="N122" s="120" t="n"/>
      <c r="O122" s="129">
        <f>DADOS_INVOC!$PS$9</f>
        <v/>
      </c>
      <c r="P122" s="16" t="n"/>
      <c r="Q122" s="16" t="n"/>
      <c r="R122" s="16" t="n"/>
      <c r="S122" s="17" t="n"/>
      <c r="T122" s="120" t="n"/>
      <c r="U122" s="129">
        <f>DADOS_INVOC!$PS$10</f>
        <v/>
      </c>
      <c r="V122" s="16" t="n"/>
      <c r="W122" s="16" t="n"/>
      <c r="X122" s="16" t="n"/>
      <c r="Y122" s="17" t="n"/>
      <c r="Z122" s="120" t="n"/>
      <c r="AB122" s="129">
        <f>DADOS_INVOC!$PS$86</f>
        <v/>
      </c>
      <c r="AC122" s="16" t="n"/>
      <c r="AD122" s="16" t="n"/>
      <c r="AE122" s="16" t="n"/>
      <c r="AF122" s="17" t="n"/>
      <c r="AG122" s="120" t="n"/>
      <c r="AH122" s="129">
        <f>DADOS_INVOC!$PS$87</f>
        <v/>
      </c>
      <c r="AI122" s="16" t="n"/>
      <c r="AJ122" s="16" t="n"/>
      <c r="AK122" s="16" t="n"/>
      <c r="AL122" s="17" t="n"/>
      <c r="AM122" s="120" t="n"/>
      <c r="AN122" s="129">
        <f>DADOS_INVOC!$PS$88</f>
        <v/>
      </c>
      <c r="AO122" s="16" t="n"/>
      <c r="AP122" s="16" t="n"/>
      <c r="AQ122" s="16" t="n"/>
      <c r="AR122" s="17" t="n"/>
      <c r="AS122" s="120" t="n"/>
    </row>
    <row r="123" hidden="1" outlineLevel="3">
      <c r="A123" s="8" t="n"/>
      <c r="B123" s="14" t="n"/>
      <c r="C123" s="120" t="n"/>
      <c r="D123" s="120" t="n"/>
      <c r="E123" s="120" t="n"/>
      <c r="F123" s="120" t="n"/>
      <c r="G123" s="120" t="n"/>
      <c r="I123" s="55" t="inlineStr">
        <is>
          <t>MELHORIAS</t>
        </is>
      </c>
      <c r="J123" s="130" t="n"/>
      <c r="K123" s="16" t="n"/>
      <c r="L123" s="17" t="n"/>
      <c r="M123" s="129">
        <f>DADOS_INVOC!$PV$8</f>
        <v/>
      </c>
      <c r="N123" s="120" t="n"/>
      <c r="O123" s="55" t="inlineStr">
        <is>
          <t>MELHORIAS</t>
        </is>
      </c>
      <c r="P123" s="130" t="n"/>
      <c r="Q123" s="16" t="n"/>
      <c r="R123" s="17" t="n"/>
      <c r="S123" s="129">
        <f>DADOS_INVOC!$PV$9</f>
        <v/>
      </c>
      <c r="T123" s="120" t="n"/>
      <c r="U123" s="55" t="inlineStr">
        <is>
          <t>MELHORIAS</t>
        </is>
      </c>
      <c r="V123" s="130" t="n"/>
      <c r="W123" s="16" t="n"/>
      <c r="X123" s="17" t="n"/>
      <c r="Y123" s="129">
        <f>DADOS_INVOC!$PV$10</f>
        <v/>
      </c>
      <c r="Z123" s="120" t="n"/>
      <c r="AB123" s="55" t="inlineStr">
        <is>
          <t>MELHORIAS</t>
        </is>
      </c>
      <c r="AC123" s="130" t="n"/>
      <c r="AD123" s="16" t="n"/>
      <c r="AE123" s="17" t="n"/>
      <c r="AF123" s="129">
        <f>DADOS_INVOC!$PV$86</f>
        <v/>
      </c>
      <c r="AG123" s="120" t="n"/>
      <c r="AH123" s="55" t="inlineStr">
        <is>
          <t>MELHORIAS</t>
        </is>
      </c>
      <c r="AI123" s="130" t="n"/>
      <c r="AJ123" s="16" t="n"/>
      <c r="AK123" s="17" t="n"/>
      <c r="AL123" s="129">
        <f>DADOS_INVOC!$PV$87</f>
        <v/>
      </c>
      <c r="AM123" s="120" t="n"/>
      <c r="AN123" s="55" t="inlineStr">
        <is>
          <t>MELHORIAS</t>
        </is>
      </c>
      <c r="AO123" s="130" t="n"/>
      <c r="AP123" s="16" t="n"/>
      <c r="AQ123" s="17" t="n"/>
      <c r="AR123" s="129">
        <f>DADOS_INVOC!$PV$88</f>
        <v/>
      </c>
      <c r="AS123" s="120" t="n"/>
    </row>
    <row r="124" hidden="1" outlineLevel="3">
      <c r="A124" s="8" t="n"/>
      <c r="B124" s="14" t="n"/>
      <c r="C124" s="120" t="n"/>
      <c r="D124" s="120" t="n"/>
      <c r="E124" s="120" t="n"/>
      <c r="F124" s="120" t="n"/>
      <c r="G124" s="120" t="n"/>
      <c r="I124" s="131" t="n"/>
      <c r="J124" s="130" t="n"/>
      <c r="K124" s="16" t="n"/>
      <c r="L124" s="17" t="n"/>
      <c r="M124" s="129">
        <f>DADOS_INVOC!$PW$8</f>
        <v/>
      </c>
      <c r="N124" s="120" t="n"/>
      <c r="O124" s="131" t="n"/>
      <c r="P124" s="130" t="n"/>
      <c r="Q124" s="16" t="n"/>
      <c r="R124" s="17" t="n"/>
      <c r="S124" s="129">
        <f>DADOS_INVOC!$PW$9</f>
        <v/>
      </c>
      <c r="T124" s="120" t="n"/>
      <c r="U124" s="131" t="n"/>
      <c r="V124" s="130" t="n"/>
      <c r="W124" s="16" t="n"/>
      <c r="X124" s="17" t="n"/>
      <c r="Y124" s="129">
        <f>DADOS_INVOC!$PW$10</f>
        <v/>
      </c>
      <c r="Z124" s="120" t="n"/>
      <c r="AB124" s="131" t="n"/>
      <c r="AC124" s="130" t="n"/>
      <c r="AD124" s="16" t="n"/>
      <c r="AE124" s="17" t="n"/>
      <c r="AF124" s="129">
        <f>DADOS_INVOC!$PW$86</f>
        <v/>
      </c>
      <c r="AG124" s="120" t="n"/>
      <c r="AH124" s="131" t="n"/>
      <c r="AI124" s="130" t="n"/>
      <c r="AJ124" s="16" t="n"/>
      <c r="AK124" s="17" t="n"/>
      <c r="AL124" s="129">
        <f>DADOS_INVOC!$PW$87</f>
        <v/>
      </c>
      <c r="AM124" s="120" t="n"/>
      <c r="AN124" s="131" t="n"/>
      <c r="AO124" s="130" t="n"/>
      <c r="AP124" s="16" t="n"/>
      <c r="AQ124" s="17" t="n"/>
      <c r="AR124" s="129">
        <f>DADOS_INVOC!$PW$88</f>
        <v/>
      </c>
      <c r="AS124" s="120" t="n"/>
    </row>
    <row r="125" hidden="1" outlineLevel="3">
      <c r="A125" s="8" t="n"/>
      <c r="B125" s="14" t="n"/>
      <c r="C125" s="120" t="n"/>
      <c r="D125" s="120" t="n"/>
      <c r="E125" s="120" t="n"/>
      <c r="F125" s="120" t="n"/>
      <c r="G125" s="120" t="n"/>
      <c r="I125" s="131" t="n"/>
      <c r="J125" s="130" t="n"/>
      <c r="K125" s="16" t="n"/>
      <c r="L125" s="17" t="n"/>
      <c r="M125" s="129">
        <f>DADOS_INVOC!$PX$8</f>
        <v/>
      </c>
      <c r="N125" s="120" t="n"/>
      <c r="O125" s="131" t="n"/>
      <c r="P125" s="130" t="n"/>
      <c r="Q125" s="16" t="n"/>
      <c r="R125" s="17" t="n"/>
      <c r="S125" s="129">
        <f>DADOS_INVOC!$PX$9</f>
        <v/>
      </c>
      <c r="T125" s="120" t="n"/>
      <c r="U125" s="131" t="n"/>
      <c r="V125" s="130" t="n"/>
      <c r="W125" s="16" t="n"/>
      <c r="X125" s="17" t="n"/>
      <c r="Y125" s="129">
        <f>DADOS_INVOC!$PX$10</f>
        <v/>
      </c>
      <c r="Z125" s="120" t="n"/>
      <c r="AB125" s="131" t="n"/>
      <c r="AC125" s="130" t="n"/>
      <c r="AD125" s="16" t="n"/>
      <c r="AE125" s="17" t="n"/>
      <c r="AF125" s="129">
        <f>DADOS_INVOC!$PX$86</f>
        <v/>
      </c>
      <c r="AG125" s="120" t="n"/>
      <c r="AH125" s="131" t="n"/>
      <c r="AI125" s="130" t="n"/>
      <c r="AJ125" s="16" t="n"/>
      <c r="AK125" s="17" t="n"/>
      <c r="AL125" s="129">
        <f>DADOS_INVOC!$PX$87</f>
        <v/>
      </c>
      <c r="AM125" s="120" t="n"/>
      <c r="AN125" s="131" t="n"/>
      <c r="AO125" s="130" t="n"/>
      <c r="AP125" s="16" t="n"/>
      <c r="AQ125" s="17" t="n"/>
      <c r="AR125" s="129">
        <f>DADOS_INVOC!$PX$88</f>
        <v/>
      </c>
      <c r="AS125" s="120" t="n"/>
    </row>
    <row r="126" hidden="1" outlineLevel="3">
      <c r="A126" s="8" t="n"/>
      <c r="B126" s="14" t="n"/>
      <c r="C126" s="120" t="n"/>
      <c r="D126" s="120" t="n"/>
      <c r="E126" s="120" t="n"/>
      <c r="F126" s="120" t="n"/>
      <c r="G126" s="120" t="n"/>
      <c r="I126" s="125" t="n"/>
      <c r="J126" s="130" t="n"/>
      <c r="K126" s="16" t="n"/>
      <c r="L126" s="17" t="n"/>
      <c r="M126" s="129">
        <f>DADOS_INVOC!$PY$8</f>
        <v/>
      </c>
      <c r="N126" s="120" t="n"/>
      <c r="O126" s="125" t="n"/>
      <c r="P126" s="130" t="n"/>
      <c r="Q126" s="16" t="n"/>
      <c r="R126" s="17" t="n"/>
      <c r="S126" s="129">
        <f>DADOS_INVOC!$PY$9</f>
        <v/>
      </c>
      <c r="T126" s="120" t="n"/>
      <c r="U126" s="125" t="n"/>
      <c r="V126" s="130" t="n"/>
      <c r="W126" s="16" t="n"/>
      <c r="X126" s="17" t="n"/>
      <c r="Y126" s="129">
        <f>DADOS_INVOC!$PY$10</f>
        <v/>
      </c>
      <c r="Z126" s="120" t="n"/>
      <c r="AB126" s="125" t="n"/>
      <c r="AC126" s="130" t="n"/>
      <c r="AD126" s="16" t="n"/>
      <c r="AE126" s="17" t="n"/>
      <c r="AF126" s="129">
        <f>DADOS_INVOC!$PY$86</f>
        <v/>
      </c>
      <c r="AG126" s="120" t="n"/>
      <c r="AH126" s="125" t="n"/>
      <c r="AI126" s="130" t="n"/>
      <c r="AJ126" s="16" t="n"/>
      <c r="AK126" s="17" t="n"/>
      <c r="AL126" s="129">
        <f>DADOS_INVOC!$PY$87</f>
        <v/>
      </c>
      <c r="AM126" s="120" t="n"/>
      <c r="AN126" s="125" t="n"/>
      <c r="AO126" s="130" t="n"/>
      <c r="AP126" s="16" t="n"/>
      <c r="AQ126" s="17" t="n"/>
      <c r="AR126" s="129">
        <f>DADOS_INVOC!$PY$88</f>
        <v/>
      </c>
      <c r="AS126" s="120" t="n"/>
    </row>
    <row r="127" hidden="1" outlineLevel="3">
      <c r="A127" s="8" t="n"/>
      <c r="B127" s="14" t="n"/>
      <c r="C127" s="120" t="n"/>
      <c r="D127" s="120" t="n"/>
      <c r="E127" s="120" t="n"/>
      <c r="F127" s="120" t="n"/>
      <c r="G127" s="120" t="n"/>
      <c r="I127" s="55" t="inlineStr">
        <is>
          <t>RESTRIÇÕES</t>
        </is>
      </c>
      <c r="J127" s="130" t="n"/>
      <c r="K127" s="16" t="n"/>
      <c r="L127" s="17" t="n"/>
      <c r="M127" s="129">
        <f>DADOS_INVOC!$PZ$8</f>
        <v/>
      </c>
      <c r="N127" s="120" t="n"/>
      <c r="O127" s="55" t="inlineStr">
        <is>
          <t>RESTRIÇÕES</t>
        </is>
      </c>
      <c r="P127" s="130" t="n"/>
      <c r="Q127" s="16" t="n"/>
      <c r="R127" s="17" t="n"/>
      <c r="S127" s="129">
        <f>DADOS_INVOC!$PZ$9</f>
        <v/>
      </c>
      <c r="T127" s="120" t="n"/>
      <c r="U127" s="55" t="inlineStr">
        <is>
          <t>RESTRIÇÕES</t>
        </is>
      </c>
      <c r="V127" s="130" t="n"/>
      <c r="W127" s="16" t="n"/>
      <c r="X127" s="17" t="n"/>
      <c r="Y127" s="129">
        <f>DADOS_INVOC!$PZ$10</f>
        <v/>
      </c>
      <c r="Z127" s="120" t="n"/>
      <c r="AB127" s="55" t="inlineStr">
        <is>
          <t>RESTRIÇÕES</t>
        </is>
      </c>
      <c r="AC127" s="130" t="n"/>
      <c r="AD127" s="16" t="n"/>
      <c r="AE127" s="17" t="n"/>
      <c r="AF127" s="129">
        <f>DADOS_INVOC!$PZ$86</f>
        <v/>
      </c>
      <c r="AG127" s="120" t="n"/>
      <c r="AH127" s="55" t="inlineStr">
        <is>
          <t>RESTRIÇÕES</t>
        </is>
      </c>
      <c r="AI127" s="130" t="n"/>
      <c r="AJ127" s="16" t="n"/>
      <c r="AK127" s="17" t="n"/>
      <c r="AL127" s="129">
        <f>DADOS_INVOC!$PZ$87</f>
        <v/>
      </c>
      <c r="AM127" s="120" t="n"/>
      <c r="AN127" s="55" t="inlineStr">
        <is>
          <t>RESTRIÇÕES</t>
        </is>
      </c>
      <c r="AO127" s="130" t="n"/>
      <c r="AP127" s="16" t="n"/>
      <c r="AQ127" s="17" t="n"/>
      <c r="AR127" s="129">
        <f>DADOS_INVOC!$PZ$88</f>
        <v/>
      </c>
      <c r="AS127" s="120" t="n"/>
    </row>
    <row r="128" hidden="1" outlineLevel="3">
      <c r="A128" s="8" t="n"/>
      <c r="B128" s="14" t="n"/>
      <c r="C128" s="120" t="n"/>
      <c r="D128" s="120" t="n"/>
      <c r="E128" s="120" t="n"/>
      <c r="F128" s="120" t="n"/>
      <c r="G128" s="120" t="n"/>
      <c r="I128" s="125" t="n"/>
      <c r="J128" s="130" t="n"/>
      <c r="K128" s="16" t="n"/>
      <c r="L128" s="17" t="n"/>
      <c r="M128" s="129">
        <f>DADOS_INVOC!$QA$8</f>
        <v/>
      </c>
      <c r="N128" s="120" t="n"/>
      <c r="O128" s="125" t="n"/>
      <c r="P128" s="130" t="n"/>
      <c r="Q128" s="16" t="n"/>
      <c r="R128" s="17" t="n"/>
      <c r="S128" s="129">
        <f>DADOS_INVOC!$QA$9</f>
        <v/>
      </c>
      <c r="T128" s="120" t="n"/>
      <c r="U128" s="125" t="n"/>
      <c r="V128" s="130" t="n"/>
      <c r="W128" s="16" t="n"/>
      <c r="X128" s="17" t="n"/>
      <c r="Y128" s="129">
        <f>DADOS_INVOC!$QA$10</f>
        <v/>
      </c>
      <c r="Z128" s="120" t="n"/>
      <c r="AB128" s="125" t="n"/>
      <c r="AC128" s="130" t="n"/>
      <c r="AD128" s="16" t="n"/>
      <c r="AE128" s="17" t="n"/>
      <c r="AF128" s="129">
        <f>DADOS_INVOC!$QA$86</f>
        <v/>
      </c>
      <c r="AG128" s="120" t="n"/>
      <c r="AH128" s="125" t="n"/>
      <c r="AI128" s="130" t="n"/>
      <c r="AJ128" s="16" t="n"/>
      <c r="AK128" s="17" t="n"/>
      <c r="AL128" s="129">
        <f>DADOS_INVOC!$QA$87</f>
        <v/>
      </c>
      <c r="AM128" s="120" t="n"/>
      <c r="AN128" s="125" t="n"/>
      <c r="AO128" s="130" t="n"/>
      <c r="AP128" s="16" t="n"/>
      <c r="AQ128" s="17" t="n"/>
      <c r="AR128" s="129">
        <f>DADOS_INVOC!$QA$88</f>
        <v/>
      </c>
      <c r="AS128" s="120" t="n"/>
    </row>
    <row r="129" hidden="1" outlineLevel="3">
      <c r="A129" s="8" t="n"/>
      <c r="B129" s="14" t="n"/>
      <c r="C129" s="120" t="n"/>
      <c r="D129" s="120" t="n"/>
      <c r="E129" s="120" t="n"/>
      <c r="F129" s="120" t="n"/>
      <c r="G129" s="120" t="n"/>
      <c r="I129" s="55" t="inlineStr">
        <is>
          <t>CONTA</t>
        </is>
      </c>
      <c r="J129" s="132">
        <f>DADOS_INVOC!$PT$8</f>
        <v/>
      </c>
      <c r="K129" s="16" t="n"/>
      <c r="L129" s="16" t="n"/>
      <c r="M129" s="17" t="n"/>
      <c r="N129" s="120" t="n"/>
      <c r="O129" s="55" t="inlineStr">
        <is>
          <t>CONTA</t>
        </is>
      </c>
      <c r="P129" s="132">
        <f>DADOS_INVOC!$PT$9</f>
        <v/>
      </c>
      <c r="Q129" s="16" t="n"/>
      <c r="R129" s="16" t="n"/>
      <c r="S129" s="17" t="n"/>
      <c r="T129" s="120" t="n"/>
      <c r="U129" s="55" t="inlineStr">
        <is>
          <t>CONTA</t>
        </is>
      </c>
      <c r="V129" s="132">
        <f>DADOS_INVOC!$PT$10</f>
        <v/>
      </c>
      <c r="W129" s="16" t="n"/>
      <c r="X129" s="16" t="n"/>
      <c r="Y129" s="17" t="n"/>
      <c r="Z129" s="120" t="n"/>
      <c r="AB129" s="55" t="inlineStr">
        <is>
          <t>CONTA</t>
        </is>
      </c>
      <c r="AC129" s="132">
        <f>DADOS_INVOC!$PT$86</f>
        <v/>
      </c>
      <c r="AD129" s="16" t="n"/>
      <c r="AE129" s="16" t="n"/>
      <c r="AF129" s="17" t="n"/>
      <c r="AG129" s="120" t="n"/>
      <c r="AH129" s="55" t="inlineStr">
        <is>
          <t>CONTA</t>
        </is>
      </c>
      <c r="AI129" s="132">
        <f>DADOS_INVOC!$PT$87</f>
        <v/>
      </c>
      <c r="AJ129" s="16" t="n"/>
      <c r="AK129" s="16" t="n"/>
      <c r="AL129" s="17" t="n"/>
      <c r="AM129" s="120" t="n"/>
      <c r="AN129" s="55" t="inlineStr">
        <is>
          <t>CONTA</t>
        </is>
      </c>
      <c r="AO129" s="132">
        <f>DADOS_INVOC!$PT$88</f>
        <v/>
      </c>
      <c r="AP129" s="16" t="n"/>
      <c r="AQ129" s="16" t="n"/>
      <c r="AR129" s="17" t="n"/>
      <c r="AS129" s="120" t="n"/>
    </row>
    <row r="130" hidden="1" outlineLevel="3">
      <c r="A130" s="8" t="n"/>
      <c r="B130" s="14" t="n"/>
      <c r="C130" s="120" t="n"/>
      <c r="D130" s="120" t="n"/>
      <c r="E130" s="120" t="n"/>
      <c r="F130" s="120" t="n"/>
      <c r="G130" s="120" t="n"/>
      <c r="I130" s="55" t="inlineStr">
        <is>
          <t>AMPLIAR</t>
        </is>
      </c>
      <c r="J130" s="132">
        <f>DADOS_INVOC!$PU$8</f>
        <v/>
      </c>
      <c r="K130" s="19" t="n"/>
      <c r="L130" s="19" t="n"/>
      <c r="M130" s="20" t="n"/>
      <c r="N130" s="120" t="n"/>
      <c r="O130" s="55" t="inlineStr">
        <is>
          <t>AMPLIAR</t>
        </is>
      </c>
      <c r="P130" s="132">
        <f>DADOS_INVOC!$PU$9</f>
        <v/>
      </c>
      <c r="Q130" s="19" t="n"/>
      <c r="R130" s="19" t="n"/>
      <c r="S130" s="20" t="n"/>
      <c r="T130" s="120" t="n"/>
      <c r="U130" s="55" t="inlineStr">
        <is>
          <t>AMPLIAR</t>
        </is>
      </c>
      <c r="V130" s="132">
        <f>DADOS_INVOC!$PU$10</f>
        <v/>
      </c>
      <c r="W130" s="19" t="n"/>
      <c r="X130" s="19" t="n"/>
      <c r="Y130" s="20" t="n"/>
      <c r="Z130" s="120" t="n"/>
      <c r="AB130" s="55" t="inlineStr">
        <is>
          <t>AMPLIAR</t>
        </is>
      </c>
      <c r="AC130" s="132">
        <f>DADOS_INVOC!$PU$86</f>
        <v/>
      </c>
      <c r="AD130" s="19" t="n"/>
      <c r="AE130" s="19" t="n"/>
      <c r="AF130" s="20" t="n"/>
      <c r="AG130" s="120" t="n"/>
      <c r="AH130" s="55" t="inlineStr">
        <is>
          <t>AMPLIAR</t>
        </is>
      </c>
      <c r="AI130" s="132">
        <f>DADOS_INVOC!$PU$87</f>
        <v/>
      </c>
      <c r="AJ130" s="19" t="n"/>
      <c r="AK130" s="19" t="n"/>
      <c r="AL130" s="20" t="n"/>
      <c r="AM130" s="120" t="n"/>
      <c r="AN130" s="55" t="inlineStr">
        <is>
          <t>AMPLIAR</t>
        </is>
      </c>
      <c r="AO130" s="132">
        <f>DADOS_INVOC!$PU$88</f>
        <v/>
      </c>
      <c r="AP130" s="19" t="n"/>
      <c r="AQ130" s="19" t="n"/>
      <c r="AR130" s="20" t="n"/>
      <c r="AS130" s="120" t="n"/>
    </row>
    <row r="131" hidden="1" outlineLevel="3">
      <c r="A131" s="8" t="n"/>
      <c r="B131" s="14" t="n"/>
      <c r="C131" s="120" t="n"/>
      <c r="D131" s="120" t="n"/>
      <c r="E131" s="120" t="n"/>
      <c r="F131" s="120" t="n"/>
      <c r="G131" s="120" t="n"/>
      <c r="I131" s="125" t="n"/>
      <c r="J131" s="23" t="n"/>
      <c r="K131" s="24" t="n"/>
      <c r="L131" s="24" t="n"/>
      <c r="M131" s="25" t="n"/>
      <c r="N131" s="120" t="n"/>
      <c r="O131" s="125" t="n"/>
      <c r="P131" s="23" t="n"/>
      <c r="Q131" s="24" t="n"/>
      <c r="R131" s="24" t="n"/>
      <c r="S131" s="25" t="n"/>
      <c r="T131" s="120" t="n"/>
      <c r="U131" s="125" t="n"/>
      <c r="V131" s="23" t="n"/>
      <c r="W131" s="24" t="n"/>
      <c r="X131" s="24" t="n"/>
      <c r="Y131" s="25" t="n"/>
      <c r="Z131" s="120" t="n"/>
      <c r="AB131" s="125" t="n"/>
      <c r="AC131" s="23" t="n"/>
      <c r="AD131" s="24" t="n"/>
      <c r="AE131" s="24" t="n"/>
      <c r="AF131" s="25" t="n"/>
      <c r="AG131" s="120" t="n"/>
      <c r="AH131" s="125" t="n"/>
      <c r="AI131" s="23" t="n"/>
      <c r="AJ131" s="24" t="n"/>
      <c r="AK131" s="24" t="n"/>
      <c r="AL131" s="25" t="n"/>
      <c r="AM131" s="120" t="n"/>
      <c r="AN131" s="125" t="n"/>
      <c r="AO131" s="23" t="n"/>
      <c r="AP131" s="24" t="n"/>
      <c r="AQ131" s="24" t="n"/>
      <c r="AR131" s="25" t="n"/>
      <c r="AS131" s="120" t="n"/>
    </row>
    <row r="132" hidden="1" outlineLevel="3">
      <c r="A132" s="8" t="n"/>
      <c r="B132" s="14" t="n"/>
      <c r="C132" s="120" t="n"/>
      <c r="D132" s="120" t="n"/>
      <c r="E132" s="120" t="n"/>
      <c r="F132" s="120" t="n"/>
      <c r="G132" s="120" t="n"/>
      <c r="I132" s="132">
        <f>DADOS_INVOC!$PH$8</f>
        <v/>
      </c>
      <c r="J132" s="19" t="n"/>
      <c r="K132" s="19" t="n"/>
      <c r="L132" s="19" t="n"/>
      <c r="M132" s="20" t="n"/>
      <c r="N132" s="120" t="n"/>
      <c r="O132" s="132">
        <f>DADOS_INVOC!$PH$9</f>
        <v/>
      </c>
      <c r="P132" s="19" t="n"/>
      <c r="Q132" s="19" t="n"/>
      <c r="R132" s="19" t="n"/>
      <c r="S132" s="20" t="n"/>
      <c r="T132" s="120" t="n"/>
      <c r="U132" s="132">
        <f>DADOS_INVOC!$PH$10</f>
        <v/>
      </c>
      <c r="V132" s="19" t="n"/>
      <c r="W132" s="19" t="n"/>
      <c r="X132" s="19" t="n"/>
      <c r="Y132" s="20" t="n"/>
      <c r="Z132" s="120" t="n"/>
      <c r="AB132" s="132">
        <f>DADOS_INVOC!$PH$86</f>
        <v/>
      </c>
      <c r="AC132" s="19" t="n"/>
      <c r="AD132" s="19" t="n"/>
      <c r="AE132" s="19" t="n"/>
      <c r="AF132" s="20" t="n"/>
      <c r="AG132" s="120" t="n"/>
      <c r="AH132" s="132">
        <f>DADOS_INVOC!$PH$87</f>
        <v/>
      </c>
      <c r="AI132" s="19" t="n"/>
      <c r="AJ132" s="19" t="n"/>
      <c r="AK132" s="19" t="n"/>
      <c r="AL132" s="20" t="n"/>
      <c r="AM132" s="120" t="n"/>
      <c r="AN132" s="132">
        <f>DADOS_INVOC!$PH$88</f>
        <v/>
      </c>
      <c r="AO132" s="19" t="n"/>
      <c r="AP132" s="19" t="n"/>
      <c r="AQ132" s="19" t="n"/>
      <c r="AR132" s="20" t="n"/>
      <c r="AS132" s="120" t="n"/>
    </row>
    <row r="133" hidden="1" outlineLevel="3">
      <c r="A133" s="8" t="n"/>
      <c r="B133" s="14" t="n"/>
      <c r="C133" s="120" t="n"/>
      <c r="D133" s="120" t="n"/>
      <c r="E133" s="120" t="n"/>
      <c r="F133" s="120" t="n"/>
      <c r="G133" s="120" t="n"/>
      <c r="I133" s="23" t="n"/>
      <c r="J133" s="24" t="n"/>
      <c r="K133" s="24" t="n"/>
      <c r="L133" s="24" t="n"/>
      <c r="M133" s="25" t="n"/>
      <c r="N133" s="120" t="n"/>
      <c r="O133" s="23" t="n"/>
      <c r="P133" s="24" t="n"/>
      <c r="Q133" s="24" t="n"/>
      <c r="R133" s="24" t="n"/>
      <c r="S133" s="25" t="n"/>
      <c r="T133" s="120" t="n"/>
      <c r="U133" s="23" t="n"/>
      <c r="V133" s="24" t="n"/>
      <c r="W133" s="24" t="n"/>
      <c r="X133" s="24" t="n"/>
      <c r="Y133" s="25" t="n"/>
      <c r="Z133" s="120" t="n"/>
      <c r="AB133" s="23" t="n"/>
      <c r="AC133" s="24" t="n"/>
      <c r="AD133" s="24" t="n"/>
      <c r="AE133" s="24" t="n"/>
      <c r="AF133" s="25" t="n"/>
      <c r="AG133" s="120" t="n"/>
      <c r="AH133" s="23" t="n"/>
      <c r="AI133" s="24" t="n"/>
      <c r="AJ133" s="24" t="n"/>
      <c r="AK133" s="24" t="n"/>
      <c r="AL133" s="25" t="n"/>
      <c r="AM133" s="120" t="n"/>
      <c r="AN133" s="23" t="n"/>
      <c r="AO133" s="24" t="n"/>
      <c r="AP133" s="24" t="n"/>
      <c r="AQ133" s="24" t="n"/>
      <c r="AR133" s="25" t="n"/>
      <c r="AS133" s="120" t="n"/>
    </row>
    <row r="134" hidden="1" outlineLevel="2">
      <c r="A134" s="8" t="n"/>
      <c r="B134" s="14" t="n"/>
      <c r="C134" s="120" t="n"/>
      <c r="D134" s="120" t="n"/>
      <c r="E134" s="120" t="n"/>
      <c r="F134" s="120" t="n"/>
      <c r="G134" s="120" t="n"/>
      <c r="I134" s="120" t="n"/>
      <c r="J134" s="120" t="n"/>
      <c r="K134" s="120" t="n"/>
      <c r="L134" s="120" t="n"/>
      <c r="M134" s="120" t="n"/>
      <c r="N134" s="120" t="n"/>
      <c r="O134" s="120" t="n"/>
      <c r="P134" s="120" t="n"/>
      <c r="Q134" s="120" t="n"/>
      <c r="R134" s="120" t="n"/>
      <c r="S134" s="120" t="n"/>
      <c r="T134" s="120" t="n"/>
      <c r="U134" s="120" t="n"/>
      <c r="V134" s="120" t="n"/>
      <c r="W134" s="120" t="n"/>
      <c r="X134" s="120" t="n"/>
      <c r="Y134" s="120" t="n"/>
      <c r="Z134" s="120" t="n"/>
      <c r="AB134" s="120" t="n"/>
      <c r="AC134" s="120" t="n"/>
      <c r="AD134" s="120" t="n"/>
      <c r="AE134" s="120" t="n"/>
      <c r="AF134" s="120" t="n"/>
      <c r="AG134" s="120" t="n"/>
      <c r="AH134" s="120" t="n"/>
      <c r="AI134" s="120" t="n"/>
      <c r="AJ134" s="120" t="n"/>
      <c r="AK134" s="120" t="n"/>
      <c r="AL134" s="120" t="n"/>
      <c r="AM134" s="120" t="n"/>
      <c r="AN134" s="120" t="n"/>
      <c r="AO134" s="120" t="n"/>
      <c r="AP134" s="120" t="n"/>
      <c r="AQ134" s="120" t="n"/>
      <c r="AR134" s="120" t="n"/>
      <c r="AS134" s="120" t="n"/>
    </row>
    <row r="135" hidden="1" outlineLevel="2">
      <c r="A135" s="8" t="n"/>
      <c r="B135" s="14" t="n"/>
      <c r="C135" s="120" t="n"/>
      <c r="D135" s="120" t="n"/>
      <c r="E135" s="120" t="n"/>
      <c r="F135" s="120" t="n"/>
      <c r="G135" s="120" t="n"/>
      <c r="I135" s="55">
        <f>DADOS_INVOC!$PI$11</f>
        <v/>
      </c>
      <c r="J135" s="16" t="n"/>
      <c r="K135" s="16" t="n"/>
      <c r="L135" s="16" t="n"/>
      <c r="M135" s="17" t="n"/>
      <c r="N135" s="120" t="n"/>
      <c r="O135" s="120" t="n"/>
      <c r="P135" s="120" t="n"/>
      <c r="Q135" s="120" t="n"/>
      <c r="R135" s="120" t="n"/>
      <c r="S135" s="120" t="n"/>
      <c r="T135" s="120" t="n"/>
      <c r="U135" s="120" t="n"/>
      <c r="V135" s="120" t="n"/>
      <c r="W135" s="120" t="n"/>
      <c r="X135" s="120" t="n"/>
      <c r="Y135" s="120" t="n"/>
      <c r="Z135" s="120" t="n"/>
      <c r="AB135" s="55">
        <f>DADOS_INVOC!$PI$89</f>
        <v/>
      </c>
      <c r="AC135" s="16" t="n"/>
      <c r="AD135" s="16" t="n"/>
      <c r="AE135" s="16" t="n"/>
      <c r="AF135" s="17" t="n"/>
      <c r="AG135" s="120" t="n"/>
      <c r="AH135" s="120" t="n"/>
      <c r="AI135" s="120" t="n"/>
      <c r="AJ135" s="120" t="n"/>
      <c r="AK135" s="120" t="n"/>
      <c r="AL135" s="120" t="n"/>
      <c r="AM135" s="120" t="n"/>
      <c r="AN135" s="120" t="n"/>
      <c r="AO135" s="120" t="n"/>
      <c r="AP135" s="120" t="n"/>
      <c r="AQ135" s="120" t="n"/>
      <c r="AR135" s="120" t="n"/>
      <c r="AS135" s="120" t="n"/>
    </row>
    <row r="136" hidden="1" outlineLevel="2">
      <c r="A136" s="8" t="n"/>
      <c r="B136" s="14" t="n"/>
      <c r="C136" s="120" t="n"/>
      <c r="D136" s="120" t="n"/>
      <c r="E136" s="120" t="n"/>
      <c r="F136" s="120" t="n"/>
      <c r="G136" s="120" t="n"/>
      <c r="I136" s="127" t="n">
        <v>1</v>
      </c>
      <c r="J136" s="115" t="n"/>
      <c r="K136" s="16" t="n"/>
      <c r="L136" s="17" t="n"/>
      <c r="M136" s="128">
        <f>DADOS_INVOC!$PG$11</f>
        <v/>
      </c>
      <c r="N136" s="120" t="n"/>
      <c r="O136" s="120" t="n"/>
      <c r="P136" s="120" t="n"/>
      <c r="Q136" s="120" t="n"/>
      <c r="R136" s="120" t="n"/>
      <c r="S136" s="120" t="n"/>
      <c r="T136" s="120" t="n"/>
      <c r="U136" s="120" t="n"/>
      <c r="V136" s="120" t="n"/>
      <c r="W136" s="120" t="n"/>
      <c r="X136" s="120" t="n"/>
      <c r="Y136" s="120" t="n"/>
      <c r="Z136" s="120" t="n"/>
      <c r="AB136" s="127" t="n">
        <v>1</v>
      </c>
      <c r="AC136" s="115" t="n"/>
      <c r="AD136" s="16" t="n"/>
      <c r="AE136" s="17" t="n"/>
      <c r="AF136" s="128">
        <f>DADOS_INVOC!$PG$89</f>
        <v/>
      </c>
      <c r="AG136" s="120" t="n"/>
      <c r="AH136" s="120" t="n"/>
      <c r="AI136" s="120" t="n"/>
      <c r="AJ136" s="120" t="n"/>
      <c r="AK136" s="120" t="n"/>
      <c r="AL136" s="120" t="n"/>
      <c r="AM136" s="120" t="n"/>
      <c r="AN136" s="120" t="n"/>
      <c r="AO136" s="120" t="n"/>
      <c r="AP136" s="120" t="n"/>
      <c r="AQ136" s="120" t="n"/>
      <c r="AR136" s="120" t="n"/>
      <c r="AS136" s="120" t="n"/>
    </row>
    <row r="137" hidden="1" outlineLevel="3">
      <c r="A137" s="8" t="n"/>
      <c r="B137" s="14" t="n"/>
      <c r="C137" s="120" t="n"/>
      <c r="D137" s="120" t="n"/>
      <c r="E137" s="120" t="n"/>
      <c r="F137" s="120" t="n"/>
      <c r="G137" s="120" t="n"/>
      <c r="I137" s="55" t="inlineStr">
        <is>
          <t>COMO É</t>
        </is>
      </c>
      <c r="J137" s="16" t="n"/>
      <c r="K137" s="16" t="n"/>
      <c r="L137" s="16" t="n"/>
      <c r="M137" s="17" t="n"/>
      <c r="N137" s="120" t="n"/>
      <c r="O137" s="120" t="n"/>
      <c r="P137" s="120" t="n"/>
      <c r="Q137" s="120" t="n"/>
      <c r="R137" s="120" t="n"/>
      <c r="S137" s="120" t="n"/>
      <c r="T137" s="120" t="n"/>
      <c r="U137" s="120" t="n"/>
      <c r="V137" s="120" t="n"/>
      <c r="W137" s="120" t="n"/>
      <c r="X137" s="120" t="n"/>
      <c r="Y137" s="120" t="n"/>
      <c r="Z137" s="120" t="n"/>
      <c r="AB137" s="55" t="inlineStr">
        <is>
          <t>COMO É</t>
        </is>
      </c>
      <c r="AC137" s="16" t="n"/>
      <c r="AD137" s="16" t="n"/>
      <c r="AE137" s="16" t="n"/>
      <c r="AF137" s="17" t="n"/>
      <c r="AG137" s="120" t="n"/>
      <c r="AH137" s="120" t="n"/>
      <c r="AI137" s="120" t="n"/>
      <c r="AJ137" s="120" t="n"/>
      <c r="AK137" s="120" t="n"/>
      <c r="AL137" s="120" t="n"/>
      <c r="AM137" s="120" t="n"/>
      <c r="AN137" s="120" t="n"/>
      <c r="AO137" s="120" t="n"/>
      <c r="AP137" s="120" t="n"/>
      <c r="AQ137" s="120" t="n"/>
      <c r="AR137" s="120" t="n"/>
      <c r="AS137" s="120" t="n"/>
    </row>
    <row r="138" hidden="1" outlineLevel="3">
      <c r="A138" s="8" t="n"/>
      <c r="B138" s="14" t="n"/>
      <c r="C138" s="120" t="n"/>
      <c r="D138" s="120" t="n"/>
      <c r="E138" s="120" t="n"/>
      <c r="F138" s="120" t="n"/>
      <c r="G138" s="120" t="n"/>
      <c r="I138" s="116" t="n"/>
      <c r="J138" s="19" t="n"/>
      <c r="K138" s="19" t="n"/>
      <c r="L138" s="19" t="n"/>
      <c r="M138" s="20" t="n"/>
      <c r="N138" s="120" t="n"/>
      <c r="O138" s="120" t="n"/>
      <c r="P138" s="120" t="n"/>
      <c r="Q138" s="120" t="n"/>
      <c r="R138" s="120" t="n"/>
      <c r="S138" s="120" t="n"/>
      <c r="T138" s="120" t="n"/>
      <c r="U138" s="120" t="n"/>
      <c r="V138" s="120" t="n"/>
      <c r="W138" s="120" t="n"/>
      <c r="X138" s="120" t="n"/>
      <c r="Y138" s="120" t="n"/>
      <c r="Z138" s="120" t="n"/>
      <c r="AB138" s="116" t="n"/>
      <c r="AC138" s="19" t="n"/>
      <c r="AD138" s="19" t="n"/>
      <c r="AE138" s="19" t="n"/>
      <c r="AF138" s="20" t="n"/>
      <c r="AG138" s="120" t="n"/>
      <c r="AH138" s="120" t="n"/>
      <c r="AI138" s="120" t="n"/>
      <c r="AJ138" s="120" t="n"/>
      <c r="AK138" s="120" t="n"/>
      <c r="AL138" s="120" t="n"/>
      <c r="AM138" s="120" t="n"/>
      <c r="AN138" s="120" t="n"/>
      <c r="AO138" s="120" t="n"/>
      <c r="AP138" s="120" t="n"/>
      <c r="AQ138" s="120" t="n"/>
      <c r="AR138" s="120" t="n"/>
      <c r="AS138" s="120" t="n"/>
    </row>
    <row r="139" hidden="1" outlineLevel="3">
      <c r="A139" s="8" t="n"/>
      <c r="B139" s="14" t="n"/>
      <c r="C139" s="120" t="n"/>
      <c r="D139" s="120" t="n"/>
      <c r="E139" s="120" t="n"/>
      <c r="F139" s="120" t="n"/>
      <c r="G139" s="120" t="n"/>
      <c r="I139" s="21" t="n"/>
      <c r="M139" s="22" t="n"/>
      <c r="N139" s="120" t="n"/>
      <c r="O139" s="120" t="n"/>
      <c r="P139" s="120" t="n"/>
      <c r="Q139" s="120" t="n"/>
      <c r="R139" s="120" t="n"/>
      <c r="S139" s="120" t="n"/>
      <c r="T139" s="120" t="n"/>
      <c r="U139" s="120" t="n"/>
      <c r="V139" s="120" t="n"/>
      <c r="W139" s="120" t="n"/>
      <c r="X139" s="120" t="n"/>
      <c r="Y139" s="120" t="n"/>
      <c r="Z139" s="120" t="n"/>
      <c r="AB139" s="21" t="n"/>
      <c r="AF139" s="22" t="n"/>
      <c r="AG139" s="120" t="n"/>
      <c r="AH139" s="120" t="n"/>
      <c r="AI139" s="120" t="n"/>
      <c r="AJ139" s="120" t="n"/>
      <c r="AK139" s="120" t="n"/>
      <c r="AL139" s="120" t="n"/>
      <c r="AM139" s="120" t="n"/>
      <c r="AN139" s="120" t="n"/>
      <c r="AO139" s="120" t="n"/>
      <c r="AP139" s="120" t="n"/>
      <c r="AQ139" s="120" t="n"/>
      <c r="AR139" s="120" t="n"/>
      <c r="AS139" s="120" t="n"/>
    </row>
    <row r="140" hidden="1" outlineLevel="3">
      <c r="A140" s="8" t="n"/>
      <c r="B140" s="14" t="n"/>
      <c r="C140" s="120" t="n"/>
      <c r="D140" s="120" t="n"/>
      <c r="E140" s="120" t="n"/>
      <c r="F140" s="120" t="n"/>
      <c r="G140" s="120" t="n"/>
      <c r="I140" s="23" t="n"/>
      <c r="J140" s="24" t="n"/>
      <c r="K140" s="24" t="n"/>
      <c r="L140" s="24" t="n"/>
      <c r="M140" s="25" t="n"/>
      <c r="N140" s="120" t="n"/>
      <c r="O140" s="120" t="n"/>
      <c r="P140" s="120" t="n"/>
      <c r="Q140" s="120" t="n"/>
      <c r="R140" s="120" t="n"/>
      <c r="S140" s="120" t="n"/>
      <c r="T140" s="120" t="n"/>
      <c r="U140" s="120" t="n"/>
      <c r="V140" s="120" t="n"/>
      <c r="W140" s="120" t="n"/>
      <c r="X140" s="120" t="n"/>
      <c r="Y140" s="120" t="n"/>
      <c r="Z140" s="120" t="n"/>
      <c r="AB140" s="23" t="n"/>
      <c r="AC140" s="24" t="n"/>
      <c r="AD140" s="24" t="n"/>
      <c r="AE140" s="24" t="n"/>
      <c r="AF140" s="25" t="n"/>
      <c r="AG140" s="120" t="n"/>
      <c r="AH140" s="120" t="n"/>
      <c r="AI140" s="120" t="n"/>
      <c r="AJ140" s="120" t="n"/>
      <c r="AK140" s="120" t="n"/>
      <c r="AL140" s="120" t="n"/>
      <c r="AM140" s="120" t="n"/>
      <c r="AN140" s="120" t="n"/>
      <c r="AO140" s="120" t="n"/>
      <c r="AP140" s="120" t="n"/>
      <c r="AQ140" s="120" t="n"/>
      <c r="AR140" s="120" t="n"/>
      <c r="AS140" s="120" t="n"/>
    </row>
    <row r="141" hidden="1" outlineLevel="2">
      <c r="A141" s="8" t="n"/>
      <c r="B141" s="14" t="n"/>
      <c r="C141" s="120" t="n"/>
      <c r="D141" s="120" t="n"/>
      <c r="E141" s="120" t="n"/>
      <c r="F141" s="120" t="n"/>
      <c r="G141" s="120" t="n"/>
      <c r="I141" s="124" t="inlineStr">
        <is>
          <t>Projétil</t>
        </is>
      </c>
      <c r="J141" s="17" t="n"/>
      <c r="K141" s="68">
        <f>DADOS_INVOC!$PN$11</f>
        <v/>
      </c>
      <c r="L141" s="17" t="n"/>
      <c r="M141" s="68">
        <f>DADOS_INVOC!$PJ$11</f>
        <v/>
      </c>
      <c r="N141" s="120" t="n"/>
      <c r="O141" s="120" t="n"/>
      <c r="P141" s="120" t="n"/>
      <c r="Q141" s="120" t="n"/>
      <c r="R141" s="120" t="n"/>
      <c r="S141" s="120" t="n"/>
      <c r="T141" s="120" t="n"/>
      <c r="U141" s="120" t="n"/>
      <c r="V141" s="120" t="n"/>
      <c r="W141" s="120" t="n"/>
      <c r="X141" s="120" t="n"/>
      <c r="Y141" s="120" t="n"/>
      <c r="Z141" s="120" t="n"/>
      <c r="AB141" s="124" t="inlineStr">
        <is>
          <t>Projétil</t>
        </is>
      </c>
      <c r="AC141" s="17" t="n"/>
      <c r="AD141" s="68">
        <f>DADOS_INVOC!$PN$89</f>
        <v/>
      </c>
      <c r="AE141" s="17" t="n"/>
      <c r="AF141" s="68">
        <f>DADOS_INVOC!$PJ$89</f>
        <v/>
      </c>
      <c r="AG141" s="120" t="n"/>
      <c r="AH141" s="120" t="n"/>
      <c r="AI141" s="120" t="n"/>
      <c r="AJ141" s="120" t="n"/>
      <c r="AK141" s="120" t="n"/>
      <c r="AL141" s="120" t="n"/>
      <c r="AM141" s="120" t="n"/>
      <c r="AN141" s="120" t="n"/>
      <c r="AO141" s="120" t="n"/>
      <c r="AP141" s="120" t="n"/>
      <c r="AQ141" s="120" t="n"/>
      <c r="AR141" s="120" t="n"/>
      <c r="AS141" s="120" t="n"/>
    </row>
    <row r="142" hidden="1" outlineLevel="2">
      <c r="A142" s="8" t="n"/>
      <c r="B142" s="14" t="n"/>
      <c r="C142" s="120" t="n"/>
      <c r="D142" s="120" t="n"/>
      <c r="E142" s="120" t="n"/>
      <c r="F142" s="120" t="n"/>
      <c r="G142" s="120" t="n"/>
      <c r="I142" s="124" t="n"/>
      <c r="J142" s="17" t="n"/>
      <c r="K142" s="124" t="n"/>
      <c r="L142" s="16" t="n"/>
      <c r="M142" s="17" t="n"/>
      <c r="N142" s="120" t="n"/>
      <c r="O142" s="120" t="n"/>
      <c r="P142" s="120" t="n"/>
      <c r="Q142" s="120" t="n"/>
      <c r="R142" s="120" t="n"/>
      <c r="S142" s="120" t="n"/>
      <c r="T142" s="120" t="n"/>
      <c r="U142" s="120" t="n"/>
      <c r="V142" s="120" t="n"/>
      <c r="W142" s="120" t="n"/>
      <c r="X142" s="120" t="n"/>
      <c r="Y142" s="120" t="n"/>
      <c r="Z142" s="120" t="n"/>
      <c r="AB142" s="124" t="n"/>
      <c r="AC142" s="17" t="n"/>
      <c r="AD142" s="124" t="n"/>
      <c r="AE142" s="16" t="n"/>
      <c r="AF142" s="17" t="n"/>
      <c r="AG142" s="120" t="n"/>
      <c r="AH142" s="120" t="n"/>
      <c r="AI142" s="120" t="n"/>
      <c r="AJ142" s="120" t="n"/>
      <c r="AK142" s="120" t="n"/>
      <c r="AL142" s="120" t="n"/>
      <c r="AM142" s="120" t="n"/>
      <c r="AN142" s="120" t="n"/>
      <c r="AO142" s="120" t="n"/>
      <c r="AP142" s="120" t="n"/>
      <c r="AQ142" s="120" t="n"/>
      <c r="AR142" s="120" t="n"/>
      <c r="AS142" s="120" t="n"/>
    </row>
    <row r="143" hidden="1" outlineLevel="2">
      <c r="A143" s="8" t="n"/>
      <c r="B143" s="14" t="n"/>
      <c r="C143" s="120" t="n"/>
      <c r="D143" s="120" t="n"/>
      <c r="E143" s="120" t="n"/>
      <c r="F143" s="120" t="n"/>
      <c r="G143" s="120" t="n"/>
      <c r="I143" s="124">
        <f>DADOS_INVOC!$PK$11</f>
        <v/>
      </c>
      <c r="J143" s="17" t="n"/>
      <c r="K143" s="124">
        <f>DADOS_INVOC!$PM$11</f>
        <v/>
      </c>
      <c r="L143" s="16" t="n"/>
      <c r="M143" s="17" t="n"/>
      <c r="N143" s="120" t="n"/>
      <c r="O143" s="120" t="n"/>
      <c r="P143" s="120" t="n"/>
      <c r="Q143" s="120" t="n"/>
      <c r="R143" s="120" t="n"/>
      <c r="S143" s="120" t="n"/>
      <c r="T143" s="120" t="n"/>
      <c r="U143" s="120" t="n"/>
      <c r="V143" s="120" t="n"/>
      <c r="W143" s="120" t="n"/>
      <c r="X143" s="120" t="n"/>
      <c r="Y143" s="120" t="n"/>
      <c r="Z143" s="120" t="n"/>
      <c r="AB143" s="124">
        <f>DADOS_INVOC!$PK$89</f>
        <v/>
      </c>
      <c r="AC143" s="17" t="n"/>
      <c r="AD143" s="124">
        <f>DADOS_INVOC!$PM$89</f>
        <v/>
      </c>
      <c r="AE143" s="16" t="n"/>
      <c r="AF143" s="17" t="n"/>
      <c r="AG143" s="120" t="n"/>
      <c r="AH143" s="120" t="n"/>
      <c r="AI143" s="120" t="n"/>
      <c r="AJ143" s="120" t="n"/>
      <c r="AK143" s="120" t="n"/>
      <c r="AL143" s="120" t="n"/>
      <c r="AM143" s="120" t="n"/>
      <c r="AN143" s="120" t="n"/>
      <c r="AO143" s="120" t="n"/>
      <c r="AP143" s="120" t="n"/>
      <c r="AQ143" s="120" t="n"/>
      <c r="AR143" s="120" t="n"/>
      <c r="AS143" s="120" t="n"/>
    </row>
    <row r="144" hidden="1" outlineLevel="2">
      <c r="A144" s="8" t="n"/>
      <c r="B144" s="14" t="n"/>
      <c r="C144" s="120" t="n"/>
      <c r="D144" s="120" t="n"/>
      <c r="E144" s="120" t="n"/>
      <c r="F144" s="120" t="n"/>
      <c r="G144" s="120" t="n"/>
      <c r="I144" s="129">
        <f>DADOS_INVOC!$PS$11</f>
        <v/>
      </c>
      <c r="J144" s="16" t="n"/>
      <c r="K144" s="16" t="n"/>
      <c r="L144" s="16" t="n"/>
      <c r="M144" s="17" t="n"/>
      <c r="N144" s="120" t="n"/>
      <c r="O144" s="120" t="n"/>
      <c r="P144" s="120" t="n"/>
      <c r="Q144" s="120" t="n"/>
      <c r="R144" s="120" t="n"/>
      <c r="S144" s="120" t="n"/>
      <c r="T144" s="120" t="n"/>
      <c r="U144" s="120" t="n"/>
      <c r="V144" s="120" t="n"/>
      <c r="W144" s="120" t="n"/>
      <c r="X144" s="120" t="n"/>
      <c r="Y144" s="120" t="n"/>
      <c r="Z144" s="120" t="n"/>
      <c r="AB144" s="129">
        <f>DADOS_INVOC!$PS$89</f>
        <v/>
      </c>
      <c r="AC144" s="16" t="n"/>
      <c r="AD144" s="16" t="n"/>
      <c r="AE144" s="16" t="n"/>
      <c r="AF144" s="17" t="n"/>
      <c r="AG144" s="120" t="n"/>
      <c r="AH144" s="120" t="n"/>
      <c r="AI144" s="120" t="n"/>
      <c r="AJ144" s="120" t="n"/>
      <c r="AK144" s="120" t="n"/>
      <c r="AL144" s="120" t="n"/>
      <c r="AM144" s="120" t="n"/>
      <c r="AN144" s="120" t="n"/>
      <c r="AO144" s="120" t="n"/>
      <c r="AP144" s="120" t="n"/>
      <c r="AQ144" s="120" t="n"/>
      <c r="AR144" s="120" t="n"/>
      <c r="AS144" s="120" t="n"/>
    </row>
    <row r="145" hidden="1" outlineLevel="3">
      <c r="A145" s="8" t="n"/>
      <c r="B145" s="14" t="n"/>
      <c r="C145" s="120" t="n"/>
      <c r="D145" s="120" t="n"/>
      <c r="E145" s="120" t="n"/>
      <c r="F145" s="120" t="n"/>
      <c r="G145" s="120" t="n"/>
      <c r="I145" s="55" t="inlineStr">
        <is>
          <t>MELHORIAS</t>
        </is>
      </c>
      <c r="J145" s="130" t="n"/>
      <c r="K145" s="16" t="n"/>
      <c r="L145" s="17" t="n"/>
      <c r="M145" s="129">
        <f>DADOS_INVOC!$PV$11</f>
        <v/>
      </c>
      <c r="N145" s="120" t="n"/>
      <c r="O145" s="120" t="n"/>
      <c r="P145" s="120" t="n"/>
      <c r="Q145" s="120" t="n"/>
      <c r="R145" s="120" t="n"/>
      <c r="S145" s="120" t="n"/>
      <c r="T145" s="120" t="n"/>
      <c r="U145" s="120" t="n"/>
      <c r="V145" s="120" t="n"/>
      <c r="W145" s="120" t="n"/>
      <c r="X145" s="120" t="n"/>
      <c r="Y145" s="120" t="n"/>
      <c r="Z145" s="120" t="n"/>
      <c r="AB145" s="55" t="inlineStr">
        <is>
          <t>MELHORIAS</t>
        </is>
      </c>
      <c r="AC145" s="130" t="n"/>
      <c r="AD145" s="16" t="n"/>
      <c r="AE145" s="17" t="n"/>
      <c r="AF145" s="129">
        <f>DADOS_INVOC!$PV$89</f>
        <v/>
      </c>
      <c r="AG145" s="120" t="n"/>
      <c r="AH145" s="120" t="n"/>
      <c r="AI145" s="120" t="n"/>
      <c r="AJ145" s="120" t="n"/>
      <c r="AK145" s="120" t="n"/>
      <c r="AL145" s="120" t="n"/>
      <c r="AM145" s="120" t="n"/>
      <c r="AN145" s="120" t="n"/>
      <c r="AO145" s="120" t="n"/>
      <c r="AP145" s="120" t="n"/>
      <c r="AQ145" s="120" t="n"/>
      <c r="AR145" s="120" t="n"/>
      <c r="AS145" s="120" t="n"/>
    </row>
    <row r="146" hidden="1" outlineLevel="3">
      <c r="A146" s="8" t="n"/>
      <c r="B146" s="14" t="n"/>
      <c r="C146" s="120" t="n"/>
      <c r="D146" s="120" t="n"/>
      <c r="E146" s="120" t="n"/>
      <c r="F146" s="120" t="n"/>
      <c r="G146" s="120" t="n"/>
      <c r="I146" s="131" t="n"/>
      <c r="J146" s="130" t="n"/>
      <c r="K146" s="16" t="n"/>
      <c r="L146" s="17" t="n"/>
      <c r="M146" s="129">
        <f>DADOS_INVOC!$PW$11</f>
        <v/>
      </c>
      <c r="N146" s="120" t="n"/>
      <c r="O146" s="120" t="n"/>
      <c r="P146" s="120" t="n"/>
      <c r="Q146" s="120" t="n"/>
      <c r="R146" s="120" t="n"/>
      <c r="S146" s="120" t="n"/>
      <c r="T146" s="120" t="n"/>
      <c r="U146" s="120" t="n"/>
      <c r="V146" s="120" t="n"/>
      <c r="W146" s="120" t="n"/>
      <c r="X146" s="120" t="n"/>
      <c r="Y146" s="120" t="n"/>
      <c r="Z146" s="120" t="n"/>
      <c r="AB146" s="131" t="n"/>
      <c r="AC146" s="130" t="n"/>
      <c r="AD146" s="16" t="n"/>
      <c r="AE146" s="17" t="n"/>
      <c r="AF146" s="129">
        <f>DADOS_INVOC!$PW$89</f>
        <v/>
      </c>
      <c r="AG146" s="120" t="n"/>
      <c r="AH146" s="120" t="n"/>
      <c r="AI146" s="120" t="n"/>
      <c r="AJ146" s="120" t="n"/>
      <c r="AK146" s="120" t="n"/>
      <c r="AL146" s="120" t="n"/>
      <c r="AM146" s="120" t="n"/>
      <c r="AN146" s="120" t="n"/>
      <c r="AO146" s="120" t="n"/>
      <c r="AP146" s="120" t="n"/>
      <c r="AQ146" s="120" t="n"/>
      <c r="AR146" s="120" t="n"/>
      <c r="AS146" s="120" t="n"/>
    </row>
    <row r="147" hidden="1" outlineLevel="3">
      <c r="A147" s="8" t="n"/>
      <c r="B147" s="14" t="n"/>
      <c r="C147" s="120" t="n"/>
      <c r="D147" s="120" t="n"/>
      <c r="E147" s="120" t="n"/>
      <c r="F147" s="120" t="n"/>
      <c r="G147" s="120" t="n"/>
      <c r="I147" s="131" t="n"/>
      <c r="J147" s="130" t="n"/>
      <c r="K147" s="16" t="n"/>
      <c r="L147" s="17" t="n"/>
      <c r="M147" s="129">
        <f>DADOS_INVOC!$PX$11</f>
        <v/>
      </c>
      <c r="N147" s="120" t="n"/>
      <c r="O147" s="120" t="n"/>
      <c r="P147" s="120" t="n"/>
      <c r="Q147" s="120" t="n"/>
      <c r="R147" s="120" t="n"/>
      <c r="S147" s="120" t="n"/>
      <c r="T147" s="120" t="n"/>
      <c r="U147" s="120" t="n"/>
      <c r="V147" s="120" t="n"/>
      <c r="W147" s="120" t="n"/>
      <c r="X147" s="120" t="n"/>
      <c r="Y147" s="120" t="n"/>
      <c r="Z147" s="120" t="n"/>
      <c r="AB147" s="131" t="n"/>
      <c r="AC147" s="130" t="n"/>
      <c r="AD147" s="16" t="n"/>
      <c r="AE147" s="17" t="n"/>
      <c r="AF147" s="129">
        <f>DADOS_INVOC!$PX$89</f>
        <v/>
      </c>
      <c r="AG147" s="120" t="n"/>
      <c r="AH147" s="120" t="n"/>
      <c r="AI147" s="120" t="n"/>
      <c r="AJ147" s="120" t="n"/>
      <c r="AK147" s="120" t="n"/>
      <c r="AL147" s="120" t="n"/>
      <c r="AM147" s="120" t="n"/>
      <c r="AN147" s="120" t="n"/>
      <c r="AO147" s="120" t="n"/>
      <c r="AP147" s="120" t="n"/>
      <c r="AQ147" s="120" t="n"/>
      <c r="AR147" s="120" t="n"/>
      <c r="AS147" s="120" t="n"/>
    </row>
    <row r="148" hidden="1" outlineLevel="3">
      <c r="A148" s="8" t="n"/>
      <c r="B148" s="14" t="n"/>
      <c r="C148" s="120" t="n"/>
      <c r="D148" s="120" t="n"/>
      <c r="E148" s="120" t="n"/>
      <c r="F148" s="120" t="n"/>
      <c r="G148" s="120" t="n"/>
      <c r="I148" s="125" t="n"/>
      <c r="J148" s="130" t="n"/>
      <c r="K148" s="16" t="n"/>
      <c r="L148" s="17" t="n"/>
      <c r="M148" s="129">
        <f>DADOS_INVOC!$PY$11</f>
        <v/>
      </c>
      <c r="N148" s="120" t="n"/>
      <c r="O148" s="120" t="n"/>
      <c r="P148" s="120" t="n"/>
      <c r="Q148" s="120" t="n"/>
      <c r="R148" s="120" t="n"/>
      <c r="S148" s="120" t="n"/>
      <c r="T148" s="120" t="n"/>
      <c r="U148" s="120" t="n"/>
      <c r="V148" s="120" t="n"/>
      <c r="W148" s="120" t="n"/>
      <c r="X148" s="120" t="n"/>
      <c r="Y148" s="120" t="n"/>
      <c r="Z148" s="120" t="n"/>
      <c r="AB148" s="125" t="n"/>
      <c r="AC148" s="130" t="n"/>
      <c r="AD148" s="16" t="n"/>
      <c r="AE148" s="17" t="n"/>
      <c r="AF148" s="129">
        <f>DADOS_INVOC!$PY$89</f>
        <v/>
      </c>
      <c r="AG148" s="120" t="n"/>
      <c r="AH148" s="120" t="n"/>
      <c r="AI148" s="120" t="n"/>
      <c r="AJ148" s="120" t="n"/>
      <c r="AK148" s="120" t="n"/>
      <c r="AL148" s="120" t="n"/>
      <c r="AM148" s="120" t="n"/>
      <c r="AN148" s="120" t="n"/>
      <c r="AO148" s="120" t="n"/>
      <c r="AP148" s="120" t="n"/>
      <c r="AQ148" s="120" t="n"/>
      <c r="AR148" s="120" t="n"/>
      <c r="AS148" s="120" t="n"/>
    </row>
    <row r="149" hidden="1" outlineLevel="3">
      <c r="A149" s="8" t="n"/>
      <c r="B149" s="14" t="n"/>
      <c r="C149" s="120" t="n"/>
      <c r="D149" s="120" t="n"/>
      <c r="E149" s="120" t="n"/>
      <c r="F149" s="120" t="n"/>
      <c r="G149" s="120" t="n"/>
      <c r="I149" s="55" t="inlineStr">
        <is>
          <t>RESTRIÇÕES</t>
        </is>
      </c>
      <c r="J149" s="130" t="n"/>
      <c r="K149" s="16" t="n"/>
      <c r="L149" s="17" t="n"/>
      <c r="M149" s="129">
        <f>DADOS_INVOC!$PZ$11</f>
        <v/>
      </c>
      <c r="N149" s="120" t="n"/>
      <c r="O149" s="120" t="n"/>
      <c r="P149" s="120" t="n"/>
      <c r="Q149" s="120" t="n"/>
      <c r="R149" s="120" t="n"/>
      <c r="S149" s="120" t="n"/>
      <c r="T149" s="120" t="n"/>
      <c r="U149" s="120" t="n"/>
      <c r="V149" s="120" t="n"/>
      <c r="W149" s="120" t="n"/>
      <c r="X149" s="120" t="n"/>
      <c r="Y149" s="120" t="n"/>
      <c r="Z149" s="120" t="n"/>
      <c r="AB149" s="55" t="inlineStr">
        <is>
          <t>RESTRIÇÕES</t>
        </is>
      </c>
      <c r="AC149" s="130" t="n"/>
      <c r="AD149" s="16" t="n"/>
      <c r="AE149" s="17" t="n"/>
      <c r="AF149" s="129">
        <f>DADOS_INVOC!$PZ$89</f>
        <v/>
      </c>
      <c r="AG149" s="120" t="n"/>
      <c r="AH149" s="120" t="n"/>
      <c r="AI149" s="120" t="n"/>
      <c r="AJ149" s="120" t="n"/>
      <c r="AK149" s="120" t="n"/>
      <c r="AL149" s="120" t="n"/>
      <c r="AM149" s="120" t="n"/>
      <c r="AN149" s="120" t="n"/>
      <c r="AO149" s="120" t="n"/>
      <c r="AP149" s="120" t="n"/>
      <c r="AQ149" s="120" t="n"/>
      <c r="AR149" s="120" t="n"/>
      <c r="AS149" s="120" t="n"/>
    </row>
    <row r="150" hidden="1" outlineLevel="3">
      <c r="A150" s="8" t="n"/>
      <c r="B150" s="14" t="n"/>
      <c r="C150" s="120" t="n"/>
      <c r="D150" s="120" t="n"/>
      <c r="E150" s="120" t="n"/>
      <c r="F150" s="120" t="n"/>
      <c r="G150" s="120" t="n"/>
      <c r="I150" s="125" t="n"/>
      <c r="J150" s="130" t="n"/>
      <c r="K150" s="16" t="n"/>
      <c r="L150" s="17" t="n"/>
      <c r="M150" s="129">
        <f>DADOS_INVOC!$QA$11</f>
        <v/>
      </c>
      <c r="N150" s="120" t="n"/>
      <c r="O150" s="120" t="n"/>
      <c r="P150" s="120" t="n"/>
      <c r="Q150" s="120" t="n"/>
      <c r="R150" s="120" t="n"/>
      <c r="S150" s="120" t="n"/>
      <c r="T150" s="120" t="n"/>
      <c r="U150" s="120" t="n"/>
      <c r="V150" s="120" t="n"/>
      <c r="W150" s="120" t="n"/>
      <c r="X150" s="120" t="n"/>
      <c r="Y150" s="120" t="n"/>
      <c r="Z150" s="120" t="n"/>
      <c r="AB150" s="125" t="n"/>
      <c r="AC150" s="130" t="n"/>
      <c r="AD150" s="16" t="n"/>
      <c r="AE150" s="17" t="n"/>
      <c r="AF150" s="129">
        <f>DADOS_INVOC!$QA$89</f>
        <v/>
      </c>
      <c r="AG150" s="120" t="n"/>
      <c r="AH150" s="120" t="n"/>
      <c r="AI150" s="120" t="n"/>
      <c r="AJ150" s="120" t="n"/>
      <c r="AK150" s="120" t="n"/>
      <c r="AL150" s="120" t="n"/>
      <c r="AM150" s="120" t="n"/>
      <c r="AN150" s="120" t="n"/>
      <c r="AO150" s="120" t="n"/>
      <c r="AP150" s="120" t="n"/>
      <c r="AQ150" s="120" t="n"/>
      <c r="AR150" s="120" t="n"/>
      <c r="AS150" s="120" t="n"/>
    </row>
    <row r="151" hidden="1" outlineLevel="3">
      <c r="A151" s="8" t="n"/>
      <c r="B151" s="14" t="n"/>
      <c r="C151" s="120" t="n"/>
      <c r="D151" s="120" t="n"/>
      <c r="E151" s="120" t="n"/>
      <c r="F151" s="120" t="n"/>
      <c r="G151" s="120" t="n"/>
      <c r="I151" s="55" t="inlineStr">
        <is>
          <t>CONTA</t>
        </is>
      </c>
      <c r="J151" s="132">
        <f>DADOS_INVOC!$PT$11</f>
        <v/>
      </c>
      <c r="K151" s="16" t="n"/>
      <c r="L151" s="16" t="n"/>
      <c r="M151" s="17" t="n"/>
      <c r="N151" s="120" t="n"/>
      <c r="O151" s="120" t="n"/>
      <c r="P151" s="120" t="n"/>
      <c r="Q151" s="120" t="n"/>
      <c r="R151" s="120" t="n"/>
      <c r="S151" s="120" t="n"/>
      <c r="T151" s="120" t="n"/>
      <c r="U151" s="120" t="n"/>
      <c r="V151" s="120" t="n"/>
      <c r="W151" s="120" t="n"/>
      <c r="X151" s="120" t="n"/>
      <c r="Y151" s="120" t="n"/>
      <c r="Z151" s="120" t="n"/>
      <c r="AB151" s="55" t="inlineStr">
        <is>
          <t>CONTA</t>
        </is>
      </c>
      <c r="AC151" s="132">
        <f>DADOS_INVOC!$PT$89</f>
        <v/>
      </c>
      <c r="AD151" s="16" t="n"/>
      <c r="AE151" s="16" t="n"/>
      <c r="AF151" s="17" t="n"/>
      <c r="AG151" s="120" t="n"/>
      <c r="AH151" s="120" t="n"/>
      <c r="AI151" s="120" t="n"/>
      <c r="AJ151" s="120" t="n"/>
      <c r="AK151" s="120" t="n"/>
      <c r="AL151" s="120" t="n"/>
      <c r="AM151" s="120" t="n"/>
      <c r="AN151" s="120" t="n"/>
      <c r="AO151" s="120" t="n"/>
      <c r="AP151" s="120" t="n"/>
      <c r="AQ151" s="120" t="n"/>
      <c r="AR151" s="120" t="n"/>
      <c r="AS151" s="120" t="n"/>
    </row>
    <row r="152" hidden="1" outlineLevel="3">
      <c r="A152" s="8" t="n"/>
      <c r="B152" s="14" t="n"/>
      <c r="C152" s="120" t="n"/>
      <c r="D152" s="120" t="n"/>
      <c r="E152" s="120" t="n"/>
      <c r="F152" s="120" t="n"/>
      <c r="G152" s="120" t="n"/>
      <c r="I152" s="55" t="inlineStr">
        <is>
          <t>AMPLIAR</t>
        </is>
      </c>
      <c r="J152" s="132">
        <f>DADOS_INVOC!$PU$11</f>
        <v/>
      </c>
      <c r="K152" s="19" t="n"/>
      <c r="L152" s="19" t="n"/>
      <c r="M152" s="20" t="n"/>
      <c r="N152" s="120" t="n"/>
      <c r="O152" s="120" t="n"/>
      <c r="P152" s="120" t="n"/>
      <c r="Q152" s="120" t="n"/>
      <c r="R152" s="120" t="n"/>
      <c r="S152" s="120" t="n"/>
      <c r="T152" s="120" t="n"/>
      <c r="U152" s="120" t="n"/>
      <c r="V152" s="120" t="n"/>
      <c r="W152" s="120" t="n"/>
      <c r="X152" s="120" t="n"/>
      <c r="Y152" s="120" t="n"/>
      <c r="Z152" s="120" t="n"/>
      <c r="AB152" s="55" t="inlineStr">
        <is>
          <t>AMPLIAR</t>
        </is>
      </c>
      <c r="AC152" s="132">
        <f>DADOS_INVOC!$PU$89</f>
        <v/>
      </c>
      <c r="AD152" s="19" t="n"/>
      <c r="AE152" s="19" t="n"/>
      <c r="AF152" s="20" t="n"/>
      <c r="AG152" s="120" t="n"/>
      <c r="AH152" s="120" t="n"/>
      <c r="AI152" s="120" t="n"/>
      <c r="AJ152" s="120" t="n"/>
      <c r="AK152" s="120" t="n"/>
      <c r="AL152" s="120" t="n"/>
      <c r="AM152" s="120" t="n"/>
      <c r="AN152" s="120" t="n"/>
      <c r="AO152" s="120" t="n"/>
      <c r="AP152" s="120" t="n"/>
      <c r="AQ152" s="120" t="n"/>
      <c r="AR152" s="120" t="n"/>
      <c r="AS152" s="120" t="n"/>
    </row>
    <row r="153" hidden="1" outlineLevel="3">
      <c r="A153" s="8" t="n"/>
      <c r="B153" s="14" t="n"/>
      <c r="C153" s="120" t="n"/>
      <c r="D153" s="120" t="n"/>
      <c r="E153" s="120" t="n"/>
      <c r="F153" s="120" t="n"/>
      <c r="G153" s="120" t="n"/>
      <c r="I153" s="125" t="n"/>
      <c r="J153" s="23" t="n"/>
      <c r="K153" s="24" t="n"/>
      <c r="L153" s="24" t="n"/>
      <c r="M153" s="25" t="n"/>
      <c r="N153" s="120" t="n"/>
      <c r="O153" s="120" t="n"/>
      <c r="P153" s="120" t="n"/>
      <c r="Q153" s="120" t="n"/>
      <c r="R153" s="120" t="n"/>
      <c r="S153" s="120" t="n"/>
      <c r="T153" s="120" t="n"/>
      <c r="U153" s="120" t="n"/>
      <c r="V153" s="120" t="n"/>
      <c r="W153" s="120" t="n"/>
      <c r="X153" s="120" t="n"/>
      <c r="Y153" s="120" t="n"/>
      <c r="Z153" s="120" t="n"/>
      <c r="AB153" s="125" t="n"/>
      <c r="AC153" s="23" t="n"/>
      <c r="AD153" s="24" t="n"/>
      <c r="AE153" s="24" t="n"/>
      <c r="AF153" s="25" t="n"/>
      <c r="AG153" s="120" t="n"/>
      <c r="AH153" s="120" t="n"/>
      <c r="AI153" s="120" t="n"/>
      <c r="AJ153" s="120" t="n"/>
      <c r="AK153" s="120" t="n"/>
      <c r="AL153" s="120" t="n"/>
      <c r="AM153" s="120" t="n"/>
      <c r="AN153" s="120" t="n"/>
      <c r="AO153" s="120" t="n"/>
      <c r="AP153" s="120" t="n"/>
      <c r="AQ153" s="120" t="n"/>
      <c r="AR153" s="120" t="n"/>
      <c r="AS153" s="120" t="n"/>
    </row>
    <row r="154" hidden="1" outlineLevel="3">
      <c r="A154" s="8" t="n"/>
      <c r="B154" s="14" t="n"/>
      <c r="C154" s="120" t="n"/>
      <c r="D154" s="120" t="n"/>
      <c r="E154" s="120" t="n"/>
      <c r="F154" s="120" t="n"/>
      <c r="G154" s="120" t="n"/>
      <c r="I154" s="132">
        <f>DADOS_INVOC!$PH$11</f>
        <v/>
      </c>
      <c r="J154" s="19" t="n"/>
      <c r="K154" s="19" t="n"/>
      <c r="L154" s="19" t="n"/>
      <c r="M154" s="20" t="n"/>
      <c r="N154" s="120" t="n"/>
      <c r="O154" s="120" t="n"/>
      <c r="P154" s="120" t="n"/>
      <c r="Q154" s="120" t="n"/>
      <c r="R154" s="120" t="n"/>
      <c r="S154" s="120" t="n"/>
      <c r="T154" s="120" t="n"/>
      <c r="U154" s="120" t="n"/>
      <c r="V154" s="120" t="n"/>
      <c r="W154" s="120" t="n"/>
      <c r="X154" s="120" t="n"/>
      <c r="Y154" s="120" t="n"/>
      <c r="Z154" s="120" t="n"/>
      <c r="AB154" s="132">
        <f>DADOS_INVOC!$PH$89</f>
        <v/>
      </c>
      <c r="AC154" s="19" t="n"/>
      <c r="AD154" s="19" t="n"/>
      <c r="AE154" s="19" t="n"/>
      <c r="AF154" s="20" t="n"/>
      <c r="AG154" s="120" t="n"/>
      <c r="AH154" s="120" t="n"/>
      <c r="AI154" s="120" t="n"/>
      <c r="AJ154" s="120" t="n"/>
      <c r="AK154" s="120" t="n"/>
      <c r="AL154" s="120" t="n"/>
      <c r="AM154" s="120" t="n"/>
      <c r="AN154" s="120" t="n"/>
      <c r="AO154" s="120" t="n"/>
      <c r="AP154" s="120" t="n"/>
      <c r="AQ154" s="120" t="n"/>
      <c r="AR154" s="120" t="n"/>
      <c r="AS154" s="120" t="n"/>
    </row>
    <row r="155" hidden="1" outlineLevel="3">
      <c r="A155" s="8" t="n"/>
      <c r="B155" s="14" t="n"/>
      <c r="C155" s="120" t="n"/>
      <c r="D155" s="120" t="n"/>
      <c r="E155" s="120" t="n"/>
      <c r="F155" s="120" t="n"/>
      <c r="G155" s="120" t="n"/>
      <c r="I155" s="23" t="n"/>
      <c r="J155" s="24" t="n"/>
      <c r="K155" s="24" t="n"/>
      <c r="L155" s="24" t="n"/>
      <c r="M155" s="25" t="n"/>
      <c r="N155" s="120" t="n"/>
      <c r="O155" s="120" t="n"/>
      <c r="P155" s="120" t="n"/>
      <c r="Q155" s="120" t="n"/>
      <c r="R155" s="120" t="n"/>
      <c r="S155" s="120" t="n"/>
      <c r="T155" s="120" t="n"/>
      <c r="U155" s="120" t="n"/>
      <c r="V155" s="120" t="n"/>
      <c r="W155" s="120" t="n"/>
      <c r="X155" s="120" t="n"/>
      <c r="Y155" s="120" t="n"/>
      <c r="Z155" s="120" t="n"/>
      <c r="AB155" s="23" t="n"/>
      <c r="AC155" s="24" t="n"/>
      <c r="AD155" s="24" t="n"/>
      <c r="AE155" s="24" t="n"/>
      <c r="AF155" s="25" t="n"/>
      <c r="AG155" s="120" t="n"/>
      <c r="AH155" s="120" t="n"/>
      <c r="AI155" s="120" t="n"/>
      <c r="AJ155" s="120" t="n"/>
      <c r="AK155" s="120" t="n"/>
      <c r="AL155" s="120" t="n"/>
      <c r="AM155" s="120" t="n"/>
      <c r="AN155" s="120" t="n"/>
      <c r="AO155" s="120" t="n"/>
      <c r="AP155" s="120" t="n"/>
      <c r="AQ155" s="120" t="n"/>
      <c r="AR155" s="120" t="n"/>
      <c r="AS155" s="120" t="n"/>
    </row>
    <row r="156" outlineLevel="1">
      <c r="A156" s="8" t="n"/>
      <c r="B156" s="14" t="n"/>
      <c r="C156" s="120" t="n"/>
      <c r="D156" s="120" t="n"/>
      <c r="E156" s="120" t="n"/>
      <c r="F156" s="120" t="n"/>
      <c r="G156" s="120" t="n"/>
      <c r="I156" s="120" t="n"/>
      <c r="J156" s="120" t="n"/>
      <c r="K156" s="120" t="n"/>
      <c r="L156" s="120" t="n"/>
      <c r="M156" s="120" t="n"/>
      <c r="N156" s="120" t="n"/>
      <c r="O156" s="120" t="n"/>
      <c r="P156" s="120" t="n"/>
      <c r="Q156" s="120" t="n"/>
      <c r="R156" s="120" t="n"/>
      <c r="S156" s="120" t="n"/>
      <c r="T156" s="120" t="n"/>
      <c r="U156" s="120" t="n"/>
      <c r="V156" s="120" t="n"/>
      <c r="W156" s="120" t="n"/>
      <c r="X156" s="120" t="n"/>
      <c r="Y156" s="120" t="n"/>
      <c r="Z156" s="120" t="n"/>
      <c r="AB156" s="120" t="n"/>
      <c r="AC156" s="120" t="n"/>
      <c r="AD156" s="120" t="n"/>
      <c r="AE156" s="120" t="n"/>
      <c r="AF156" s="120" t="n"/>
      <c r="AG156" s="120" t="n"/>
      <c r="AH156" s="120" t="n"/>
      <c r="AI156" s="120" t="n"/>
      <c r="AJ156" s="120" t="n"/>
      <c r="AK156" s="120" t="n"/>
      <c r="AL156" s="120" t="n"/>
      <c r="AM156" s="120" t="n"/>
      <c r="AN156" s="120" t="n"/>
      <c r="AO156" s="120" t="n"/>
      <c r="AP156" s="120" t="n"/>
      <c r="AQ156" s="120" t="n"/>
      <c r="AR156" s="120" t="n"/>
      <c r="AS156" s="120" t="n"/>
    </row>
    <row r="157" outlineLevel="1">
      <c r="A157" s="8" t="n"/>
      <c r="B157" s="14" t="n"/>
      <c r="C157" s="120" t="n"/>
      <c r="D157" s="120" t="n"/>
      <c r="E157" s="120" t="n"/>
      <c r="F157" s="120" t="n"/>
      <c r="G157" s="120" t="n"/>
      <c r="I157" s="13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0" t="n"/>
      <c r="AB157" s="13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0" t="n"/>
    </row>
    <row r="158" hidden="1" outlineLevel="2">
      <c r="A158" s="8" t="n"/>
      <c r="B158" s="14" t="n"/>
      <c r="C158" s="120" t="n"/>
      <c r="D158" s="120" t="n"/>
      <c r="E158" s="120" t="n"/>
      <c r="F158" s="120" t="n"/>
      <c r="G158" s="120" t="n"/>
      <c r="I158" s="120" t="n"/>
      <c r="J158" s="120" t="n"/>
      <c r="K158" s="120" t="n"/>
      <c r="L158" s="120" t="n"/>
      <c r="M158" s="120" t="n"/>
      <c r="N158" s="120" t="n"/>
      <c r="O158" s="120" t="n"/>
      <c r="P158" s="120" t="n"/>
      <c r="Q158" s="120" t="n"/>
      <c r="R158" s="120" t="n"/>
      <c r="S158" s="120" t="n"/>
      <c r="T158" s="120" t="n"/>
      <c r="U158" s="120" t="n"/>
      <c r="V158" s="120" t="n"/>
      <c r="W158" s="120" t="n"/>
      <c r="X158" s="120" t="n"/>
      <c r="Y158" s="120" t="n"/>
      <c r="Z158" s="120" t="n"/>
      <c r="AB158" s="120" t="n"/>
      <c r="AC158" s="120" t="n"/>
      <c r="AD158" s="120" t="n"/>
      <c r="AE158" s="120" t="n"/>
      <c r="AF158" s="120" t="n"/>
      <c r="AG158" s="120" t="n"/>
      <c r="AH158" s="120" t="n"/>
      <c r="AI158" s="120" t="n"/>
      <c r="AJ158" s="120" t="n"/>
      <c r="AK158" s="120" t="n"/>
      <c r="AL158" s="120" t="n"/>
      <c r="AM158" s="120" t="n"/>
      <c r="AN158" s="120" t="n"/>
      <c r="AO158" s="120" t="n"/>
      <c r="AP158" s="120" t="n"/>
      <c r="AQ158" s="120" t="n"/>
      <c r="AR158" s="120" t="n"/>
      <c r="AS158" s="120" t="n"/>
    </row>
    <row r="159" hidden="1" outlineLevel="2">
      <c r="A159" s="8" t="n"/>
      <c r="B159" s="14" t="n"/>
      <c r="C159" s="120" t="n"/>
      <c r="D159" s="120" t="n"/>
      <c r="E159" s="120" t="n"/>
      <c r="F159" s="120" t="n"/>
      <c r="G159" s="120" t="n"/>
      <c r="I159" s="55">
        <f>DADOS_INVOC!$PI$12</f>
        <v/>
      </c>
      <c r="J159" s="16" t="n"/>
      <c r="K159" s="16" t="n"/>
      <c r="L159" s="16" t="n"/>
      <c r="M159" s="17" t="n"/>
      <c r="N159" s="120" t="n"/>
      <c r="O159" s="55">
        <f>DADOS_INVOC!$PI$13</f>
        <v/>
      </c>
      <c r="P159" s="16" t="n"/>
      <c r="Q159" s="16" t="n"/>
      <c r="R159" s="16" t="n"/>
      <c r="S159" s="17" t="n"/>
      <c r="T159" s="120" t="n"/>
      <c r="U159" s="55">
        <f>DADOS_INVOC!$PI$14</f>
        <v/>
      </c>
      <c r="V159" s="16" t="n"/>
      <c r="W159" s="16" t="n"/>
      <c r="X159" s="16" t="n"/>
      <c r="Y159" s="17" t="n"/>
      <c r="Z159" s="120" t="n"/>
      <c r="AB159" s="55">
        <f>DADOS_INVOC!$PI$90</f>
        <v/>
      </c>
      <c r="AC159" s="16" t="n"/>
      <c r="AD159" s="16" t="n"/>
      <c r="AE159" s="16" t="n"/>
      <c r="AF159" s="17" t="n"/>
      <c r="AG159" s="120" t="n"/>
      <c r="AH159" s="55">
        <f>DADOS_INVOC!$PI$91</f>
        <v/>
      </c>
      <c r="AI159" s="16" t="n"/>
      <c r="AJ159" s="16" t="n"/>
      <c r="AK159" s="16" t="n"/>
      <c r="AL159" s="17" t="n"/>
      <c r="AM159" s="120" t="n"/>
      <c r="AN159" s="55">
        <f>DADOS_INVOC!$PI$92</f>
        <v/>
      </c>
      <c r="AO159" s="16" t="n"/>
      <c r="AP159" s="16" t="n"/>
      <c r="AQ159" s="16" t="n"/>
      <c r="AR159" s="17" t="n"/>
      <c r="AS159" s="120" t="n"/>
    </row>
    <row r="160" hidden="1" outlineLevel="2">
      <c r="A160" s="8" t="n"/>
      <c r="B160" s="14" t="n"/>
      <c r="C160" s="120" t="n"/>
      <c r="D160" s="120" t="n"/>
      <c r="E160" s="120" t="n"/>
      <c r="F160" s="120" t="n"/>
      <c r="G160" s="120" t="n"/>
      <c r="I160" s="127" t="n">
        <v>1</v>
      </c>
      <c r="J160" s="115" t="n"/>
      <c r="K160" s="16" t="n"/>
      <c r="L160" s="17" t="n"/>
      <c r="M160" s="128">
        <f>DADOS_INVOC!$PG$12</f>
        <v/>
      </c>
      <c r="N160" s="120" t="n"/>
      <c r="O160" s="127" t="n">
        <v>1</v>
      </c>
      <c r="P160" s="115" t="n"/>
      <c r="Q160" s="16" t="n"/>
      <c r="R160" s="17" t="n"/>
      <c r="S160" s="128">
        <f>DADOS_INVOC!$PG$13</f>
        <v/>
      </c>
      <c r="T160" s="120" t="n"/>
      <c r="U160" s="127" t="n">
        <v>1</v>
      </c>
      <c r="V160" s="115" t="n"/>
      <c r="W160" s="16" t="n"/>
      <c r="X160" s="17" t="n"/>
      <c r="Y160" s="128">
        <f>DADOS_INVOC!$PG$14</f>
        <v/>
      </c>
      <c r="Z160" s="120" t="n"/>
      <c r="AB160" s="127" t="n">
        <v>1</v>
      </c>
      <c r="AC160" s="115" t="n"/>
      <c r="AD160" s="16" t="n"/>
      <c r="AE160" s="17" t="n"/>
      <c r="AF160" s="128">
        <f>DADOS_INVOC!$PG$90</f>
        <v/>
      </c>
      <c r="AG160" s="120" t="n"/>
      <c r="AH160" s="127" t="n">
        <v>1</v>
      </c>
      <c r="AI160" s="115" t="n"/>
      <c r="AJ160" s="16" t="n"/>
      <c r="AK160" s="17" t="n"/>
      <c r="AL160" s="128">
        <f>DADOS_INVOC!$PG$91</f>
        <v/>
      </c>
      <c r="AM160" s="120" t="n"/>
      <c r="AN160" s="127" t="n">
        <v>1</v>
      </c>
      <c r="AO160" s="115" t="n"/>
      <c r="AP160" s="16" t="n"/>
      <c r="AQ160" s="17" t="n"/>
      <c r="AR160" s="128">
        <f>DADOS_INVOC!$PG$92</f>
        <v/>
      </c>
      <c r="AS160" s="120" t="n"/>
    </row>
    <row r="161" hidden="1" outlineLevel="3">
      <c r="A161" s="8" t="n"/>
      <c r="B161" s="14" t="n"/>
      <c r="C161" s="120" t="n"/>
      <c r="D161" s="120" t="n"/>
      <c r="E161" s="120" t="n"/>
      <c r="F161" s="120" t="n"/>
      <c r="G161" s="120" t="n"/>
      <c r="I161" s="55" t="inlineStr">
        <is>
          <t>COMO É</t>
        </is>
      </c>
      <c r="J161" s="16" t="n"/>
      <c r="K161" s="16" t="n"/>
      <c r="L161" s="16" t="n"/>
      <c r="M161" s="17" t="n"/>
      <c r="N161" s="120" t="n"/>
      <c r="O161" s="55" t="inlineStr">
        <is>
          <t>COMO É</t>
        </is>
      </c>
      <c r="P161" s="16" t="n"/>
      <c r="Q161" s="16" t="n"/>
      <c r="R161" s="16" t="n"/>
      <c r="S161" s="17" t="n"/>
      <c r="T161" s="120" t="n"/>
      <c r="U161" s="55" t="inlineStr">
        <is>
          <t>COMO É</t>
        </is>
      </c>
      <c r="V161" s="16" t="n"/>
      <c r="W161" s="16" t="n"/>
      <c r="X161" s="16" t="n"/>
      <c r="Y161" s="17" t="n"/>
      <c r="Z161" s="120" t="n"/>
      <c r="AB161" s="55" t="inlineStr">
        <is>
          <t>COMO É</t>
        </is>
      </c>
      <c r="AC161" s="16" t="n"/>
      <c r="AD161" s="16" t="n"/>
      <c r="AE161" s="16" t="n"/>
      <c r="AF161" s="17" t="n"/>
      <c r="AG161" s="120" t="n"/>
      <c r="AH161" s="55" t="inlineStr">
        <is>
          <t>COMO É</t>
        </is>
      </c>
      <c r="AI161" s="16" t="n"/>
      <c r="AJ161" s="16" t="n"/>
      <c r="AK161" s="16" t="n"/>
      <c r="AL161" s="17" t="n"/>
      <c r="AM161" s="120" t="n"/>
      <c r="AN161" s="55" t="inlineStr">
        <is>
          <t>COMO É</t>
        </is>
      </c>
      <c r="AO161" s="16" t="n"/>
      <c r="AP161" s="16" t="n"/>
      <c r="AQ161" s="16" t="n"/>
      <c r="AR161" s="17" t="n"/>
      <c r="AS161" s="120" t="n"/>
    </row>
    <row r="162" hidden="1" outlineLevel="3">
      <c r="A162" s="8" t="n"/>
      <c r="B162" s="14" t="n"/>
      <c r="C162" s="120" t="n"/>
      <c r="D162" s="120" t="n"/>
      <c r="E162" s="120" t="n"/>
      <c r="F162" s="120" t="n"/>
      <c r="G162" s="120" t="n"/>
      <c r="I162" s="116" t="n"/>
      <c r="J162" s="19" t="n"/>
      <c r="K162" s="19" t="n"/>
      <c r="L162" s="19" t="n"/>
      <c r="M162" s="20" t="n"/>
      <c r="N162" s="120" t="n"/>
      <c r="O162" s="116" t="n"/>
      <c r="P162" s="19" t="n"/>
      <c r="Q162" s="19" t="n"/>
      <c r="R162" s="19" t="n"/>
      <c r="S162" s="20" t="n"/>
      <c r="T162" s="120" t="n"/>
      <c r="U162" s="116" t="n"/>
      <c r="V162" s="19" t="n"/>
      <c r="W162" s="19" t="n"/>
      <c r="X162" s="19" t="n"/>
      <c r="Y162" s="20" t="n"/>
      <c r="Z162" s="120" t="n"/>
      <c r="AB162" s="116" t="n"/>
      <c r="AC162" s="19" t="n"/>
      <c r="AD162" s="19" t="n"/>
      <c r="AE162" s="19" t="n"/>
      <c r="AF162" s="20" t="n"/>
      <c r="AG162" s="120" t="n"/>
      <c r="AH162" s="116" t="n"/>
      <c r="AI162" s="19" t="n"/>
      <c r="AJ162" s="19" t="n"/>
      <c r="AK162" s="19" t="n"/>
      <c r="AL162" s="20" t="n"/>
      <c r="AM162" s="120" t="n"/>
      <c r="AN162" s="116" t="n"/>
      <c r="AO162" s="19" t="n"/>
      <c r="AP162" s="19" t="n"/>
      <c r="AQ162" s="19" t="n"/>
      <c r="AR162" s="20" t="n"/>
      <c r="AS162" s="120" t="n"/>
    </row>
    <row r="163" hidden="1" outlineLevel="3">
      <c r="A163" s="8" t="n"/>
      <c r="B163" s="14" t="n"/>
      <c r="C163" s="120" t="n"/>
      <c r="D163" s="120" t="n"/>
      <c r="E163" s="120" t="n"/>
      <c r="F163" s="120" t="n"/>
      <c r="G163" s="120" t="n"/>
      <c r="I163" s="21" t="n"/>
      <c r="M163" s="22" t="n"/>
      <c r="N163" s="120" t="n"/>
      <c r="O163" s="21" t="n"/>
      <c r="S163" s="22" t="n"/>
      <c r="T163" s="120" t="n"/>
      <c r="U163" s="21" t="n"/>
      <c r="Y163" s="22" t="n"/>
      <c r="Z163" s="120" t="n"/>
      <c r="AB163" s="21" t="n"/>
      <c r="AF163" s="22" t="n"/>
      <c r="AG163" s="120" t="n"/>
      <c r="AH163" s="21" t="n"/>
      <c r="AL163" s="22" t="n"/>
      <c r="AM163" s="120" t="n"/>
      <c r="AN163" s="21" t="n"/>
      <c r="AR163" s="22" t="n"/>
      <c r="AS163" s="120" t="n"/>
    </row>
    <row r="164" hidden="1" outlineLevel="3">
      <c r="A164" s="8" t="n"/>
      <c r="B164" s="14" t="n"/>
      <c r="C164" s="120" t="n"/>
      <c r="D164" s="120" t="n"/>
      <c r="E164" s="120" t="n"/>
      <c r="F164" s="120" t="n"/>
      <c r="G164" s="120" t="n"/>
      <c r="I164" s="23" t="n"/>
      <c r="J164" s="24" t="n"/>
      <c r="K164" s="24" t="n"/>
      <c r="L164" s="24" t="n"/>
      <c r="M164" s="25" t="n"/>
      <c r="N164" s="120" t="n"/>
      <c r="O164" s="23" t="n"/>
      <c r="P164" s="24" t="n"/>
      <c r="Q164" s="24" t="n"/>
      <c r="R164" s="24" t="n"/>
      <c r="S164" s="25" t="n"/>
      <c r="T164" s="120" t="n"/>
      <c r="U164" s="23" t="n"/>
      <c r="V164" s="24" t="n"/>
      <c r="W164" s="24" t="n"/>
      <c r="X164" s="24" t="n"/>
      <c r="Y164" s="25" t="n"/>
      <c r="Z164" s="120" t="n"/>
      <c r="AB164" s="23" t="n"/>
      <c r="AC164" s="24" t="n"/>
      <c r="AD164" s="24" t="n"/>
      <c r="AE164" s="24" t="n"/>
      <c r="AF164" s="25" t="n"/>
      <c r="AG164" s="120" t="n"/>
      <c r="AH164" s="23" t="n"/>
      <c r="AI164" s="24" t="n"/>
      <c r="AJ164" s="24" t="n"/>
      <c r="AK164" s="24" t="n"/>
      <c r="AL164" s="25" t="n"/>
      <c r="AM164" s="120" t="n"/>
      <c r="AN164" s="23" t="n"/>
      <c r="AO164" s="24" t="n"/>
      <c r="AP164" s="24" t="n"/>
      <c r="AQ164" s="24" t="n"/>
      <c r="AR164" s="25" t="n"/>
      <c r="AS164" s="120" t="n"/>
    </row>
    <row r="165" hidden="1" outlineLevel="2">
      <c r="A165" s="8" t="n"/>
      <c r="B165" s="14" t="n"/>
      <c r="C165" s="120" t="n"/>
      <c r="D165" s="120" t="n"/>
      <c r="E165" s="120" t="n"/>
      <c r="F165" s="120" t="n"/>
      <c r="G165" s="120" t="n"/>
      <c r="I165" s="124" t="inlineStr">
        <is>
          <t>Projétil</t>
        </is>
      </c>
      <c r="J165" s="17" t="n"/>
      <c r="K165" s="68">
        <f>DADOS_INVOC!$PN$12</f>
        <v/>
      </c>
      <c r="L165" s="17" t="n"/>
      <c r="M165" s="68">
        <f>DADOS_INVOC!$PJ$12</f>
        <v/>
      </c>
      <c r="N165" s="120" t="n"/>
      <c r="O165" s="124" t="inlineStr">
        <is>
          <t>Projétil</t>
        </is>
      </c>
      <c r="P165" s="17" t="n"/>
      <c r="Q165" s="68">
        <f>DADOS_INVOC!$PN$13</f>
        <v/>
      </c>
      <c r="R165" s="17" t="n"/>
      <c r="S165" s="68">
        <f>DADOS_INVOC!$PJ$13</f>
        <v/>
      </c>
      <c r="T165" s="120" t="n"/>
      <c r="U165" s="124" t="inlineStr">
        <is>
          <t>Projétil</t>
        </is>
      </c>
      <c r="V165" s="17" t="n"/>
      <c r="W165" s="68">
        <f>DADOS_INVOC!$PN$14</f>
        <v/>
      </c>
      <c r="X165" s="17" t="n"/>
      <c r="Y165" s="68">
        <f>DADOS_INVOC!$PJ$14</f>
        <v/>
      </c>
      <c r="Z165" s="120" t="n"/>
      <c r="AB165" s="124" t="inlineStr">
        <is>
          <t>Projétil</t>
        </is>
      </c>
      <c r="AC165" s="17" t="n"/>
      <c r="AD165" s="68">
        <f>DADOS_INVOC!$PN$90</f>
        <v/>
      </c>
      <c r="AE165" s="17" t="n"/>
      <c r="AF165" s="68">
        <f>DADOS_INVOC!$PJ$90</f>
        <v/>
      </c>
      <c r="AG165" s="120" t="n"/>
      <c r="AH165" s="124" t="inlineStr">
        <is>
          <t>Projétil</t>
        </is>
      </c>
      <c r="AI165" s="17" t="n"/>
      <c r="AJ165" s="68">
        <f>DADOS_INVOC!$PN$91</f>
        <v/>
      </c>
      <c r="AK165" s="17" t="n"/>
      <c r="AL165" s="68">
        <f>DADOS_INVOC!$PJ$91</f>
        <v/>
      </c>
      <c r="AM165" s="120" t="n"/>
      <c r="AN165" s="124" t="inlineStr">
        <is>
          <t>Projétil</t>
        </is>
      </c>
      <c r="AO165" s="17" t="n"/>
      <c r="AP165" s="68">
        <f>DADOS_INVOC!$PN$92</f>
        <v/>
      </c>
      <c r="AQ165" s="17" t="n"/>
      <c r="AR165" s="68">
        <f>DADOS_INVOC!$PJ$92</f>
        <v/>
      </c>
      <c r="AS165" s="120" t="n"/>
    </row>
    <row r="166" hidden="1" outlineLevel="2">
      <c r="A166" s="8" t="n"/>
      <c r="B166" s="14" t="n"/>
      <c r="C166" s="120" t="n"/>
      <c r="D166" s="120" t="n"/>
      <c r="E166" s="120" t="n"/>
      <c r="F166" s="120" t="n"/>
      <c r="G166" s="120" t="n"/>
      <c r="I166" s="124" t="n"/>
      <c r="J166" s="17" t="n"/>
      <c r="K166" s="124" t="n"/>
      <c r="L166" s="16" t="n"/>
      <c r="M166" s="17" t="n"/>
      <c r="N166" s="120" t="n"/>
      <c r="O166" s="124" t="n"/>
      <c r="P166" s="17" t="n"/>
      <c r="Q166" s="124" t="n"/>
      <c r="R166" s="16" t="n"/>
      <c r="S166" s="17" t="n"/>
      <c r="T166" s="120" t="n"/>
      <c r="U166" s="124" t="n"/>
      <c r="V166" s="17" t="n"/>
      <c r="W166" s="124" t="n"/>
      <c r="X166" s="16" t="n"/>
      <c r="Y166" s="17" t="n"/>
      <c r="Z166" s="120" t="n"/>
      <c r="AB166" s="124" t="n"/>
      <c r="AC166" s="17" t="n"/>
      <c r="AD166" s="124" t="n"/>
      <c r="AE166" s="16" t="n"/>
      <c r="AF166" s="17" t="n"/>
      <c r="AG166" s="120" t="n"/>
      <c r="AH166" s="124" t="n"/>
      <c r="AI166" s="17" t="n"/>
      <c r="AJ166" s="124" t="n"/>
      <c r="AK166" s="16" t="n"/>
      <c r="AL166" s="17" t="n"/>
      <c r="AM166" s="120" t="n"/>
      <c r="AN166" s="124" t="n"/>
      <c r="AO166" s="17" t="n"/>
      <c r="AP166" s="124" t="n"/>
      <c r="AQ166" s="16" t="n"/>
      <c r="AR166" s="17" t="n"/>
      <c r="AS166" s="120" t="n"/>
    </row>
    <row r="167" hidden="1" outlineLevel="2">
      <c r="A167" s="8" t="n"/>
      <c r="B167" s="14" t="n"/>
      <c r="C167" s="120" t="n"/>
      <c r="D167" s="120" t="n"/>
      <c r="E167" s="120" t="n"/>
      <c r="F167" s="120" t="n"/>
      <c r="G167" s="120" t="n"/>
      <c r="I167" s="124">
        <f>DADOS_INVOC!$PK$12</f>
        <v/>
      </c>
      <c r="J167" s="17" t="n"/>
      <c r="K167" s="124">
        <f>DADOS_INVOC!$PM$12</f>
        <v/>
      </c>
      <c r="L167" s="16" t="n"/>
      <c r="M167" s="17" t="n"/>
      <c r="N167" s="120" t="n"/>
      <c r="O167" s="124">
        <f>DADOS_INVOC!$PK$13</f>
        <v/>
      </c>
      <c r="P167" s="17" t="n"/>
      <c r="Q167" s="124">
        <f>DADOS_INVOC!$PM$13</f>
        <v/>
      </c>
      <c r="R167" s="16" t="n"/>
      <c r="S167" s="17" t="n"/>
      <c r="T167" s="120" t="n"/>
      <c r="U167" s="124">
        <f>DADOS_INVOC!$PK$14</f>
        <v/>
      </c>
      <c r="V167" s="17" t="n"/>
      <c r="W167" s="124">
        <f>DADOS_INVOC!$PM$14</f>
        <v/>
      </c>
      <c r="X167" s="16" t="n"/>
      <c r="Y167" s="17" t="n"/>
      <c r="Z167" s="120" t="n"/>
      <c r="AB167" s="124">
        <f>DADOS_INVOC!$PK$90</f>
        <v/>
      </c>
      <c r="AC167" s="17" t="n"/>
      <c r="AD167" s="124">
        <f>DADOS_INVOC!$PM$90</f>
        <v/>
      </c>
      <c r="AE167" s="16" t="n"/>
      <c r="AF167" s="17" t="n"/>
      <c r="AG167" s="120" t="n"/>
      <c r="AH167" s="124">
        <f>DADOS_INVOC!$PK$91</f>
        <v/>
      </c>
      <c r="AI167" s="17" t="n"/>
      <c r="AJ167" s="124">
        <f>DADOS_INVOC!$PM$91</f>
        <v/>
      </c>
      <c r="AK167" s="16" t="n"/>
      <c r="AL167" s="17" t="n"/>
      <c r="AM167" s="120" t="n"/>
      <c r="AN167" s="124">
        <f>DADOS_INVOC!$PK$92</f>
        <v/>
      </c>
      <c r="AO167" s="17" t="n"/>
      <c r="AP167" s="124">
        <f>DADOS_INVOC!$PM$92</f>
        <v/>
      </c>
      <c r="AQ167" s="16" t="n"/>
      <c r="AR167" s="17" t="n"/>
      <c r="AS167" s="120" t="n"/>
    </row>
    <row r="168" hidden="1" outlineLevel="2">
      <c r="A168" s="8" t="n"/>
      <c r="B168" s="14" t="n"/>
      <c r="C168" s="120" t="n"/>
      <c r="D168" s="120" t="n"/>
      <c r="E168" s="120" t="n"/>
      <c r="F168" s="120" t="n"/>
      <c r="G168" s="120" t="n"/>
      <c r="I168" s="129">
        <f>DADOS_INVOC!$PS$12</f>
        <v/>
      </c>
      <c r="J168" s="16" t="n"/>
      <c r="K168" s="16" t="n"/>
      <c r="L168" s="16" t="n"/>
      <c r="M168" s="17" t="n"/>
      <c r="N168" s="120" t="n"/>
      <c r="O168" s="129">
        <f>DADOS_INVOC!$PS$13</f>
        <v/>
      </c>
      <c r="P168" s="16" t="n"/>
      <c r="Q168" s="16" t="n"/>
      <c r="R168" s="16" t="n"/>
      <c r="S168" s="17" t="n"/>
      <c r="T168" s="120" t="n"/>
      <c r="U168" s="129">
        <f>DADOS_INVOC!$PS$14</f>
        <v/>
      </c>
      <c r="V168" s="16" t="n"/>
      <c r="W168" s="16" t="n"/>
      <c r="X168" s="16" t="n"/>
      <c r="Y168" s="17" t="n"/>
      <c r="Z168" s="120" t="n"/>
      <c r="AB168" s="129">
        <f>DADOS_INVOC!$PS$90</f>
        <v/>
      </c>
      <c r="AC168" s="16" t="n"/>
      <c r="AD168" s="16" t="n"/>
      <c r="AE168" s="16" t="n"/>
      <c r="AF168" s="17" t="n"/>
      <c r="AG168" s="120" t="n"/>
      <c r="AH168" s="129">
        <f>DADOS_INVOC!$PS$91</f>
        <v/>
      </c>
      <c r="AI168" s="16" t="n"/>
      <c r="AJ168" s="16" t="n"/>
      <c r="AK168" s="16" t="n"/>
      <c r="AL168" s="17" t="n"/>
      <c r="AM168" s="120" t="n"/>
      <c r="AN168" s="129">
        <f>DADOS_INVOC!$PS$92</f>
        <v/>
      </c>
      <c r="AO168" s="16" t="n"/>
      <c r="AP168" s="16" t="n"/>
      <c r="AQ168" s="16" t="n"/>
      <c r="AR168" s="17" t="n"/>
      <c r="AS168" s="120" t="n"/>
    </row>
    <row r="169" hidden="1" outlineLevel="3">
      <c r="A169" s="8" t="n"/>
      <c r="B169" s="14" t="n"/>
      <c r="C169" s="120" t="n"/>
      <c r="D169" s="120" t="n"/>
      <c r="E169" s="120" t="n"/>
      <c r="F169" s="120" t="n"/>
      <c r="G169" s="120" t="n"/>
      <c r="I169" s="55" t="inlineStr">
        <is>
          <t>MELHORIAS</t>
        </is>
      </c>
      <c r="J169" s="130" t="n"/>
      <c r="K169" s="16" t="n"/>
      <c r="L169" s="17" t="n"/>
      <c r="M169" s="129">
        <f>DADOS_INVOC!$PV$12</f>
        <v/>
      </c>
      <c r="N169" s="120" t="n"/>
      <c r="O169" s="55" t="inlineStr">
        <is>
          <t>MELHORIAS</t>
        </is>
      </c>
      <c r="P169" s="130" t="n"/>
      <c r="Q169" s="16" t="n"/>
      <c r="R169" s="17" t="n"/>
      <c r="S169" s="129">
        <f>DADOS_INVOC!$PV$13</f>
        <v/>
      </c>
      <c r="T169" s="120" t="n"/>
      <c r="U169" s="55" t="inlineStr">
        <is>
          <t>MELHORIAS</t>
        </is>
      </c>
      <c r="V169" s="130" t="n"/>
      <c r="W169" s="16" t="n"/>
      <c r="X169" s="17" t="n"/>
      <c r="Y169" s="129">
        <f>DADOS_INVOC!$PV$14</f>
        <v/>
      </c>
      <c r="Z169" s="120" t="n"/>
      <c r="AB169" s="55" t="inlineStr">
        <is>
          <t>MELHORIAS</t>
        </is>
      </c>
      <c r="AC169" s="130" t="n"/>
      <c r="AD169" s="16" t="n"/>
      <c r="AE169" s="17" t="n"/>
      <c r="AF169" s="129">
        <f>DADOS_INVOC!$PV$90</f>
        <v/>
      </c>
      <c r="AG169" s="120" t="n"/>
      <c r="AH169" s="55" t="inlineStr">
        <is>
          <t>MELHORIAS</t>
        </is>
      </c>
      <c r="AI169" s="130" t="n"/>
      <c r="AJ169" s="16" t="n"/>
      <c r="AK169" s="17" t="n"/>
      <c r="AL169" s="129">
        <f>DADOS_INVOC!$PV$91</f>
        <v/>
      </c>
      <c r="AM169" s="120" t="n"/>
      <c r="AN169" s="55" t="inlineStr">
        <is>
          <t>MELHORIAS</t>
        </is>
      </c>
      <c r="AO169" s="130" t="n"/>
      <c r="AP169" s="16" t="n"/>
      <c r="AQ169" s="17" t="n"/>
      <c r="AR169" s="129">
        <f>DADOS_INVOC!$PV$92</f>
        <v/>
      </c>
      <c r="AS169" s="120" t="n"/>
    </row>
    <row r="170" hidden="1" outlineLevel="3">
      <c r="A170" s="8" t="n"/>
      <c r="B170" s="14" t="n"/>
      <c r="C170" s="120" t="n"/>
      <c r="D170" s="120" t="n"/>
      <c r="E170" s="120" t="n"/>
      <c r="F170" s="120" t="n"/>
      <c r="G170" s="120" t="n"/>
      <c r="I170" s="131" t="n"/>
      <c r="J170" s="130" t="n"/>
      <c r="K170" s="16" t="n"/>
      <c r="L170" s="17" t="n"/>
      <c r="M170" s="129">
        <f>DADOS_INVOC!$PW$12</f>
        <v/>
      </c>
      <c r="N170" s="120" t="n"/>
      <c r="O170" s="131" t="n"/>
      <c r="P170" s="130" t="n"/>
      <c r="Q170" s="16" t="n"/>
      <c r="R170" s="17" t="n"/>
      <c r="S170" s="129">
        <f>DADOS_INVOC!$PW$13</f>
        <v/>
      </c>
      <c r="T170" s="120" t="n"/>
      <c r="U170" s="131" t="n"/>
      <c r="V170" s="130" t="n"/>
      <c r="W170" s="16" t="n"/>
      <c r="X170" s="17" t="n"/>
      <c r="Y170" s="129">
        <f>DADOS_INVOC!$PW$14</f>
        <v/>
      </c>
      <c r="Z170" s="120" t="n"/>
      <c r="AB170" s="131" t="n"/>
      <c r="AC170" s="130" t="n"/>
      <c r="AD170" s="16" t="n"/>
      <c r="AE170" s="17" t="n"/>
      <c r="AF170" s="129">
        <f>DADOS_INVOC!$PW$90</f>
        <v/>
      </c>
      <c r="AG170" s="120" t="n"/>
      <c r="AH170" s="131" t="n"/>
      <c r="AI170" s="130" t="n"/>
      <c r="AJ170" s="16" t="n"/>
      <c r="AK170" s="17" t="n"/>
      <c r="AL170" s="129">
        <f>DADOS_INVOC!$PW$91</f>
        <v/>
      </c>
      <c r="AM170" s="120" t="n"/>
      <c r="AN170" s="131" t="n"/>
      <c r="AO170" s="130" t="n"/>
      <c r="AP170" s="16" t="n"/>
      <c r="AQ170" s="17" t="n"/>
      <c r="AR170" s="129">
        <f>DADOS_INVOC!$PW$92</f>
        <v/>
      </c>
      <c r="AS170" s="120" t="n"/>
    </row>
    <row r="171" hidden="1" outlineLevel="3">
      <c r="A171" s="8" t="n"/>
      <c r="B171" s="14" t="n"/>
      <c r="C171" s="120" t="n"/>
      <c r="D171" s="120" t="n"/>
      <c r="E171" s="120" t="n"/>
      <c r="F171" s="120" t="n"/>
      <c r="G171" s="120" t="n"/>
      <c r="I171" s="131" t="n"/>
      <c r="J171" s="130" t="n"/>
      <c r="K171" s="16" t="n"/>
      <c r="L171" s="17" t="n"/>
      <c r="M171" s="129">
        <f>DADOS_INVOC!$PX$12</f>
        <v/>
      </c>
      <c r="N171" s="120" t="n"/>
      <c r="O171" s="131" t="n"/>
      <c r="P171" s="130" t="n"/>
      <c r="Q171" s="16" t="n"/>
      <c r="R171" s="17" t="n"/>
      <c r="S171" s="129">
        <f>DADOS_INVOC!$PX$13</f>
        <v/>
      </c>
      <c r="T171" s="120" t="n"/>
      <c r="U171" s="131" t="n"/>
      <c r="V171" s="130" t="n"/>
      <c r="W171" s="16" t="n"/>
      <c r="X171" s="17" t="n"/>
      <c r="Y171" s="129">
        <f>DADOS_INVOC!$PX$14</f>
        <v/>
      </c>
      <c r="Z171" s="120" t="n"/>
      <c r="AB171" s="131" t="n"/>
      <c r="AC171" s="130" t="n"/>
      <c r="AD171" s="16" t="n"/>
      <c r="AE171" s="17" t="n"/>
      <c r="AF171" s="129">
        <f>DADOS_INVOC!$PX$90</f>
        <v/>
      </c>
      <c r="AG171" s="120" t="n"/>
      <c r="AH171" s="131" t="n"/>
      <c r="AI171" s="130" t="n"/>
      <c r="AJ171" s="16" t="n"/>
      <c r="AK171" s="17" t="n"/>
      <c r="AL171" s="129">
        <f>DADOS_INVOC!$PX$91</f>
        <v/>
      </c>
      <c r="AM171" s="120" t="n"/>
      <c r="AN171" s="131" t="n"/>
      <c r="AO171" s="130" t="n"/>
      <c r="AP171" s="16" t="n"/>
      <c r="AQ171" s="17" t="n"/>
      <c r="AR171" s="129">
        <f>DADOS_INVOC!$PX$92</f>
        <v/>
      </c>
      <c r="AS171" s="120" t="n"/>
    </row>
    <row r="172" hidden="1" outlineLevel="3">
      <c r="A172" s="8" t="n"/>
      <c r="B172" s="14" t="n"/>
      <c r="C172" s="120" t="n"/>
      <c r="D172" s="120" t="n"/>
      <c r="E172" s="120" t="n"/>
      <c r="F172" s="120" t="n"/>
      <c r="G172" s="120" t="n"/>
      <c r="I172" s="125" t="n"/>
      <c r="J172" s="130" t="n"/>
      <c r="K172" s="16" t="n"/>
      <c r="L172" s="17" t="n"/>
      <c r="M172" s="129">
        <f>DADOS_INVOC!$PY$12</f>
        <v/>
      </c>
      <c r="N172" s="120" t="n"/>
      <c r="O172" s="125" t="n"/>
      <c r="P172" s="130" t="n"/>
      <c r="Q172" s="16" t="n"/>
      <c r="R172" s="17" t="n"/>
      <c r="S172" s="129">
        <f>DADOS_INVOC!$PY$13</f>
        <v/>
      </c>
      <c r="T172" s="120" t="n"/>
      <c r="U172" s="125" t="n"/>
      <c r="V172" s="130" t="n"/>
      <c r="W172" s="16" t="n"/>
      <c r="X172" s="17" t="n"/>
      <c r="Y172" s="129">
        <f>DADOS_INVOC!$PY$14</f>
        <v/>
      </c>
      <c r="Z172" s="120" t="n"/>
      <c r="AB172" s="125" t="n"/>
      <c r="AC172" s="130" t="n"/>
      <c r="AD172" s="16" t="n"/>
      <c r="AE172" s="17" t="n"/>
      <c r="AF172" s="129">
        <f>DADOS_INVOC!$PY$90</f>
        <v/>
      </c>
      <c r="AG172" s="120" t="n"/>
      <c r="AH172" s="125" t="n"/>
      <c r="AI172" s="130" t="n"/>
      <c r="AJ172" s="16" t="n"/>
      <c r="AK172" s="17" t="n"/>
      <c r="AL172" s="129">
        <f>DADOS_INVOC!$PY$91</f>
        <v/>
      </c>
      <c r="AM172" s="120" t="n"/>
      <c r="AN172" s="125" t="n"/>
      <c r="AO172" s="130" t="n"/>
      <c r="AP172" s="16" t="n"/>
      <c r="AQ172" s="17" t="n"/>
      <c r="AR172" s="129">
        <f>DADOS_INVOC!$PY$92</f>
        <v/>
      </c>
      <c r="AS172" s="120" t="n"/>
    </row>
    <row r="173" hidden="1" outlineLevel="3">
      <c r="A173" s="8" t="n"/>
      <c r="B173" s="14" t="n"/>
      <c r="C173" s="120" t="n"/>
      <c r="D173" s="120" t="n"/>
      <c r="E173" s="120" t="n"/>
      <c r="F173" s="120" t="n"/>
      <c r="G173" s="120" t="n"/>
      <c r="I173" s="55" t="inlineStr">
        <is>
          <t>RESTRIÇÕES</t>
        </is>
      </c>
      <c r="J173" s="130" t="n"/>
      <c r="K173" s="16" t="n"/>
      <c r="L173" s="17" t="n"/>
      <c r="M173" s="129">
        <f>DADOS_INVOC!$PZ$12</f>
        <v/>
      </c>
      <c r="N173" s="120" t="n"/>
      <c r="O173" s="55" t="inlineStr">
        <is>
          <t>RESTRIÇÕES</t>
        </is>
      </c>
      <c r="P173" s="130" t="n"/>
      <c r="Q173" s="16" t="n"/>
      <c r="R173" s="17" t="n"/>
      <c r="S173" s="129">
        <f>DADOS_INVOC!$PZ$13</f>
        <v/>
      </c>
      <c r="T173" s="120" t="n"/>
      <c r="U173" s="55" t="inlineStr">
        <is>
          <t>RESTRIÇÕES</t>
        </is>
      </c>
      <c r="V173" s="130" t="n"/>
      <c r="W173" s="16" t="n"/>
      <c r="X173" s="17" t="n"/>
      <c r="Y173" s="129">
        <f>DADOS_INVOC!$PZ$14</f>
        <v/>
      </c>
      <c r="Z173" s="120" t="n"/>
      <c r="AB173" s="55" t="inlineStr">
        <is>
          <t>RESTRIÇÕES</t>
        </is>
      </c>
      <c r="AC173" s="130" t="n"/>
      <c r="AD173" s="16" t="n"/>
      <c r="AE173" s="17" t="n"/>
      <c r="AF173" s="129">
        <f>DADOS_INVOC!$PZ$90</f>
        <v/>
      </c>
      <c r="AG173" s="120" t="n"/>
      <c r="AH173" s="55" t="inlineStr">
        <is>
          <t>RESTRIÇÕES</t>
        </is>
      </c>
      <c r="AI173" s="130" t="n"/>
      <c r="AJ173" s="16" t="n"/>
      <c r="AK173" s="17" t="n"/>
      <c r="AL173" s="129">
        <f>DADOS_INVOC!$PZ$91</f>
        <v/>
      </c>
      <c r="AM173" s="120" t="n"/>
      <c r="AN173" s="55" t="inlineStr">
        <is>
          <t>RESTRIÇÕES</t>
        </is>
      </c>
      <c r="AO173" s="130" t="n"/>
      <c r="AP173" s="16" t="n"/>
      <c r="AQ173" s="17" t="n"/>
      <c r="AR173" s="129">
        <f>DADOS_INVOC!$PZ$92</f>
        <v/>
      </c>
      <c r="AS173" s="120" t="n"/>
    </row>
    <row r="174" hidden="1" outlineLevel="3">
      <c r="A174" s="8" t="n"/>
      <c r="B174" s="14" t="n"/>
      <c r="C174" s="120" t="n"/>
      <c r="D174" s="120" t="n"/>
      <c r="E174" s="120" t="n"/>
      <c r="F174" s="120" t="n"/>
      <c r="G174" s="120" t="n"/>
      <c r="I174" s="125" t="n"/>
      <c r="J174" s="130" t="n"/>
      <c r="K174" s="16" t="n"/>
      <c r="L174" s="17" t="n"/>
      <c r="M174" s="129">
        <f>DADOS_INVOC!$QA$12</f>
        <v/>
      </c>
      <c r="N174" s="120" t="n"/>
      <c r="O174" s="125" t="n"/>
      <c r="P174" s="130" t="n"/>
      <c r="Q174" s="16" t="n"/>
      <c r="R174" s="17" t="n"/>
      <c r="S174" s="129">
        <f>DADOS_INVOC!$QA$13</f>
        <v/>
      </c>
      <c r="T174" s="120" t="n"/>
      <c r="U174" s="125" t="n"/>
      <c r="V174" s="130" t="n"/>
      <c r="W174" s="16" t="n"/>
      <c r="X174" s="17" t="n"/>
      <c r="Y174" s="129">
        <f>DADOS_INVOC!$QA$14</f>
        <v/>
      </c>
      <c r="Z174" s="120" t="n"/>
      <c r="AB174" s="125" t="n"/>
      <c r="AC174" s="130" t="n"/>
      <c r="AD174" s="16" t="n"/>
      <c r="AE174" s="17" t="n"/>
      <c r="AF174" s="129">
        <f>DADOS_INVOC!$QA$90</f>
        <v/>
      </c>
      <c r="AG174" s="120" t="n"/>
      <c r="AH174" s="125" t="n"/>
      <c r="AI174" s="130" t="n"/>
      <c r="AJ174" s="16" t="n"/>
      <c r="AK174" s="17" t="n"/>
      <c r="AL174" s="129">
        <f>DADOS_INVOC!$QA$91</f>
        <v/>
      </c>
      <c r="AM174" s="120" t="n"/>
      <c r="AN174" s="125" t="n"/>
      <c r="AO174" s="130" t="n"/>
      <c r="AP174" s="16" t="n"/>
      <c r="AQ174" s="17" t="n"/>
      <c r="AR174" s="129">
        <f>DADOS_INVOC!$QA$92</f>
        <v/>
      </c>
      <c r="AS174" s="120" t="n"/>
    </row>
    <row r="175" hidden="1" outlineLevel="3">
      <c r="A175" s="8" t="n"/>
      <c r="B175" s="14" t="n"/>
      <c r="C175" s="120" t="n"/>
      <c r="D175" s="120" t="n"/>
      <c r="E175" s="120" t="n"/>
      <c r="F175" s="120" t="n"/>
      <c r="G175" s="120" t="n"/>
      <c r="I175" s="55" t="inlineStr">
        <is>
          <t>CONTA</t>
        </is>
      </c>
      <c r="J175" s="132">
        <f>DADOS_INVOC!$PT$12</f>
        <v/>
      </c>
      <c r="K175" s="16" t="n"/>
      <c r="L175" s="16" t="n"/>
      <c r="M175" s="17" t="n"/>
      <c r="N175" s="120" t="n"/>
      <c r="O175" s="55" t="inlineStr">
        <is>
          <t>CONTA</t>
        </is>
      </c>
      <c r="P175" s="132">
        <f>DADOS_INVOC!$PT$13</f>
        <v/>
      </c>
      <c r="Q175" s="16" t="n"/>
      <c r="R175" s="16" t="n"/>
      <c r="S175" s="17" t="n"/>
      <c r="T175" s="120" t="n"/>
      <c r="U175" s="55" t="inlineStr">
        <is>
          <t>CONTA</t>
        </is>
      </c>
      <c r="V175" s="132">
        <f>DADOS_INVOC!$PT$14</f>
        <v/>
      </c>
      <c r="W175" s="16" t="n"/>
      <c r="X175" s="16" t="n"/>
      <c r="Y175" s="17" t="n"/>
      <c r="Z175" s="120" t="n"/>
      <c r="AB175" s="55" t="inlineStr">
        <is>
          <t>CONTA</t>
        </is>
      </c>
      <c r="AC175" s="132">
        <f>DADOS_INVOC!$PT$90</f>
        <v/>
      </c>
      <c r="AD175" s="16" t="n"/>
      <c r="AE175" s="16" t="n"/>
      <c r="AF175" s="17" t="n"/>
      <c r="AG175" s="120" t="n"/>
      <c r="AH175" s="55" t="inlineStr">
        <is>
          <t>CONTA</t>
        </is>
      </c>
      <c r="AI175" s="132">
        <f>DADOS_INVOC!$PT$91</f>
        <v/>
      </c>
      <c r="AJ175" s="16" t="n"/>
      <c r="AK175" s="16" t="n"/>
      <c r="AL175" s="17" t="n"/>
      <c r="AM175" s="120" t="n"/>
      <c r="AN175" s="55" t="inlineStr">
        <is>
          <t>CONTA</t>
        </is>
      </c>
      <c r="AO175" s="132">
        <f>DADOS_INVOC!$PT$92</f>
        <v/>
      </c>
      <c r="AP175" s="16" t="n"/>
      <c r="AQ175" s="16" t="n"/>
      <c r="AR175" s="17" t="n"/>
      <c r="AS175" s="120" t="n"/>
    </row>
    <row r="176" hidden="1" outlineLevel="3">
      <c r="A176" s="8" t="n"/>
      <c r="B176" s="14" t="n"/>
      <c r="C176" s="120" t="n"/>
      <c r="D176" s="120" t="n"/>
      <c r="E176" s="120" t="n"/>
      <c r="F176" s="120" t="n"/>
      <c r="G176" s="120" t="n"/>
      <c r="I176" s="55" t="inlineStr">
        <is>
          <t>AMPLIAR</t>
        </is>
      </c>
      <c r="J176" s="132">
        <f>DADOS_INVOC!$PU$12</f>
        <v/>
      </c>
      <c r="K176" s="19" t="n"/>
      <c r="L176" s="19" t="n"/>
      <c r="M176" s="20" t="n"/>
      <c r="N176" s="120" t="n"/>
      <c r="O176" s="55" t="inlineStr">
        <is>
          <t>AMPLIAR</t>
        </is>
      </c>
      <c r="P176" s="132">
        <f>DADOS_INVOC!$PU$13</f>
        <v/>
      </c>
      <c r="Q176" s="19" t="n"/>
      <c r="R176" s="19" t="n"/>
      <c r="S176" s="20" t="n"/>
      <c r="T176" s="120" t="n"/>
      <c r="U176" s="55" t="inlineStr">
        <is>
          <t>AMPLIAR</t>
        </is>
      </c>
      <c r="V176" s="132">
        <f>DADOS_INVOC!$PU$14</f>
        <v/>
      </c>
      <c r="W176" s="19" t="n"/>
      <c r="X176" s="19" t="n"/>
      <c r="Y176" s="20" t="n"/>
      <c r="Z176" s="120" t="n"/>
      <c r="AB176" s="55" t="inlineStr">
        <is>
          <t>AMPLIAR</t>
        </is>
      </c>
      <c r="AC176" s="132">
        <f>DADOS_INVOC!$PU$90</f>
        <v/>
      </c>
      <c r="AD176" s="19" t="n"/>
      <c r="AE176" s="19" t="n"/>
      <c r="AF176" s="20" t="n"/>
      <c r="AG176" s="120" t="n"/>
      <c r="AH176" s="55" t="inlineStr">
        <is>
          <t>AMPLIAR</t>
        </is>
      </c>
      <c r="AI176" s="132">
        <f>DADOS_INVOC!$PU$91</f>
        <v/>
      </c>
      <c r="AJ176" s="19" t="n"/>
      <c r="AK176" s="19" t="n"/>
      <c r="AL176" s="20" t="n"/>
      <c r="AM176" s="120" t="n"/>
      <c r="AN176" s="55" t="inlineStr">
        <is>
          <t>AMPLIAR</t>
        </is>
      </c>
      <c r="AO176" s="132">
        <f>DADOS_INVOC!$PU$92</f>
        <v/>
      </c>
      <c r="AP176" s="19" t="n"/>
      <c r="AQ176" s="19" t="n"/>
      <c r="AR176" s="20" t="n"/>
      <c r="AS176" s="120" t="n"/>
    </row>
    <row r="177" hidden="1" outlineLevel="3">
      <c r="A177" s="8" t="n"/>
      <c r="B177" s="14" t="n"/>
      <c r="C177" s="120" t="n"/>
      <c r="D177" s="120" t="n"/>
      <c r="E177" s="120" t="n"/>
      <c r="F177" s="120" t="n"/>
      <c r="G177" s="120" t="n"/>
      <c r="I177" s="125" t="n"/>
      <c r="J177" s="23" t="n"/>
      <c r="K177" s="24" t="n"/>
      <c r="L177" s="24" t="n"/>
      <c r="M177" s="25" t="n"/>
      <c r="N177" s="120" t="n"/>
      <c r="O177" s="125" t="n"/>
      <c r="P177" s="23" t="n"/>
      <c r="Q177" s="24" t="n"/>
      <c r="R177" s="24" t="n"/>
      <c r="S177" s="25" t="n"/>
      <c r="T177" s="120" t="n"/>
      <c r="U177" s="125" t="n"/>
      <c r="V177" s="23" t="n"/>
      <c r="W177" s="24" t="n"/>
      <c r="X177" s="24" t="n"/>
      <c r="Y177" s="25" t="n"/>
      <c r="Z177" s="120" t="n"/>
      <c r="AB177" s="125" t="n"/>
      <c r="AC177" s="23" t="n"/>
      <c r="AD177" s="24" t="n"/>
      <c r="AE177" s="24" t="n"/>
      <c r="AF177" s="25" t="n"/>
      <c r="AG177" s="120" t="n"/>
      <c r="AH177" s="125" t="n"/>
      <c r="AI177" s="23" t="n"/>
      <c r="AJ177" s="24" t="n"/>
      <c r="AK177" s="24" t="n"/>
      <c r="AL177" s="25" t="n"/>
      <c r="AM177" s="120" t="n"/>
      <c r="AN177" s="125" t="n"/>
      <c r="AO177" s="23" t="n"/>
      <c r="AP177" s="24" t="n"/>
      <c r="AQ177" s="24" t="n"/>
      <c r="AR177" s="25" t="n"/>
      <c r="AS177" s="120" t="n"/>
    </row>
    <row r="178" hidden="1" outlineLevel="3">
      <c r="A178" s="8" t="n"/>
      <c r="B178" s="14" t="n"/>
      <c r="C178" s="120" t="n"/>
      <c r="D178" s="120" t="n"/>
      <c r="E178" s="120" t="n"/>
      <c r="F178" s="120" t="n"/>
      <c r="G178" s="120" t="n"/>
      <c r="I178" s="132">
        <f>DADOS_INVOC!$PH$12</f>
        <v/>
      </c>
      <c r="J178" s="19" t="n"/>
      <c r="K178" s="19" t="n"/>
      <c r="L178" s="19" t="n"/>
      <c r="M178" s="20" t="n"/>
      <c r="N178" s="120" t="n"/>
      <c r="O178" s="132">
        <f>DADOS_INVOC!$PH$13</f>
        <v/>
      </c>
      <c r="P178" s="19" t="n"/>
      <c r="Q178" s="19" t="n"/>
      <c r="R178" s="19" t="n"/>
      <c r="S178" s="20" t="n"/>
      <c r="T178" s="120" t="n"/>
      <c r="U178" s="132">
        <f>DADOS_INVOC!$PH$14</f>
        <v/>
      </c>
      <c r="V178" s="19" t="n"/>
      <c r="W178" s="19" t="n"/>
      <c r="X178" s="19" t="n"/>
      <c r="Y178" s="20" t="n"/>
      <c r="Z178" s="120" t="n"/>
      <c r="AB178" s="132">
        <f>DADOS_INVOC!$PH$90</f>
        <v/>
      </c>
      <c r="AC178" s="19" t="n"/>
      <c r="AD178" s="19" t="n"/>
      <c r="AE178" s="19" t="n"/>
      <c r="AF178" s="20" t="n"/>
      <c r="AG178" s="120" t="n"/>
      <c r="AH178" s="132">
        <f>DADOS_INVOC!$PH$91</f>
        <v/>
      </c>
      <c r="AI178" s="19" t="n"/>
      <c r="AJ178" s="19" t="n"/>
      <c r="AK178" s="19" t="n"/>
      <c r="AL178" s="20" t="n"/>
      <c r="AM178" s="120" t="n"/>
      <c r="AN178" s="132">
        <f>DADOS_INVOC!$PH$92</f>
        <v/>
      </c>
      <c r="AO178" s="19" t="n"/>
      <c r="AP178" s="19" t="n"/>
      <c r="AQ178" s="19" t="n"/>
      <c r="AR178" s="20" t="n"/>
      <c r="AS178" s="120" t="n"/>
    </row>
    <row r="179" hidden="1" outlineLevel="3">
      <c r="A179" s="8" t="n"/>
      <c r="B179" s="14" t="n"/>
      <c r="C179" s="120" t="n"/>
      <c r="D179" s="120" t="n"/>
      <c r="E179" s="120" t="n"/>
      <c r="F179" s="120" t="n"/>
      <c r="G179" s="120" t="n"/>
      <c r="I179" s="23" t="n"/>
      <c r="J179" s="24" t="n"/>
      <c r="K179" s="24" t="n"/>
      <c r="L179" s="24" t="n"/>
      <c r="M179" s="25" t="n"/>
      <c r="N179" s="120" t="n"/>
      <c r="O179" s="23" t="n"/>
      <c r="P179" s="24" t="n"/>
      <c r="Q179" s="24" t="n"/>
      <c r="R179" s="24" t="n"/>
      <c r="S179" s="25" t="n"/>
      <c r="T179" s="120" t="n"/>
      <c r="U179" s="23" t="n"/>
      <c r="V179" s="24" t="n"/>
      <c r="W179" s="24" t="n"/>
      <c r="X179" s="24" t="n"/>
      <c r="Y179" s="25" t="n"/>
      <c r="Z179" s="120" t="n"/>
      <c r="AB179" s="23" t="n"/>
      <c r="AC179" s="24" t="n"/>
      <c r="AD179" s="24" t="n"/>
      <c r="AE179" s="24" t="n"/>
      <c r="AF179" s="25" t="n"/>
      <c r="AG179" s="120" t="n"/>
      <c r="AH179" s="23" t="n"/>
      <c r="AI179" s="24" t="n"/>
      <c r="AJ179" s="24" t="n"/>
      <c r="AK179" s="24" t="n"/>
      <c r="AL179" s="25" t="n"/>
      <c r="AM179" s="120" t="n"/>
      <c r="AN179" s="23" t="n"/>
      <c r="AO179" s="24" t="n"/>
      <c r="AP179" s="24" t="n"/>
      <c r="AQ179" s="24" t="n"/>
      <c r="AR179" s="25" t="n"/>
      <c r="AS179" s="120" t="n"/>
    </row>
    <row r="180" hidden="1" outlineLevel="2">
      <c r="A180" s="8" t="n"/>
      <c r="B180" s="14" t="n"/>
      <c r="C180" s="120" t="n"/>
      <c r="D180" s="120" t="n"/>
      <c r="E180" s="120" t="n"/>
      <c r="F180" s="120" t="n"/>
      <c r="G180" s="120" t="n"/>
      <c r="I180" s="120" t="n"/>
      <c r="J180" s="120" t="n"/>
      <c r="K180" s="120" t="n"/>
      <c r="L180" s="120" t="n"/>
      <c r="M180" s="120" t="n"/>
      <c r="N180" s="120" t="n"/>
      <c r="O180" s="120" t="n"/>
      <c r="P180" s="120" t="n"/>
      <c r="Q180" s="120" t="n"/>
      <c r="R180" s="120" t="n"/>
      <c r="S180" s="120" t="n"/>
      <c r="T180" s="120" t="n"/>
      <c r="U180" s="120" t="n"/>
      <c r="V180" s="120" t="n"/>
      <c r="W180" s="120" t="n"/>
      <c r="X180" s="120" t="n"/>
      <c r="Y180" s="120" t="n"/>
      <c r="Z180" s="120" t="n"/>
      <c r="AB180" s="120" t="n"/>
      <c r="AC180" s="120" t="n"/>
      <c r="AD180" s="120" t="n"/>
      <c r="AE180" s="120" t="n"/>
      <c r="AF180" s="120" t="n"/>
      <c r="AG180" s="120" t="n"/>
      <c r="AH180" s="120" t="n"/>
      <c r="AI180" s="120" t="n"/>
      <c r="AJ180" s="120" t="n"/>
      <c r="AK180" s="120" t="n"/>
      <c r="AL180" s="120" t="n"/>
      <c r="AM180" s="120" t="n"/>
      <c r="AN180" s="120" t="n"/>
      <c r="AO180" s="120" t="n"/>
      <c r="AP180" s="120" t="n"/>
      <c r="AQ180" s="120" t="n"/>
      <c r="AR180" s="120" t="n"/>
      <c r="AS180" s="120" t="n"/>
    </row>
    <row r="181" hidden="1" outlineLevel="2">
      <c r="A181" s="8" t="n"/>
      <c r="B181" s="14" t="n"/>
      <c r="C181" s="120" t="n"/>
      <c r="D181" s="120" t="n"/>
      <c r="E181" s="120" t="n"/>
      <c r="F181" s="120" t="n"/>
      <c r="G181" s="120"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0"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0" t="n"/>
    </row>
    <row r="182" hidden="1" outlineLevel="2">
      <c r="A182" s="8" t="n"/>
      <c r="B182" s="14" t="n"/>
      <c r="C182" s="120" t="n"/>
      <c r="D182" s="120" t="n"/>
      <c r="E182" s="120" t="n"/>
      <c r="F182" s="120" t="n"/>
      <c r="G182" s="120" t="n"/>
      <c r="I182" s="55" t="inlineStr">
        <is>
          <t>TRILHA · CE 1</t>
        </is>
      </c>
      <c r="J182" s="130" t="n"/>
      <c r="K182" s="16" t="n"/>
      <c r="L182" s="17" t="n"/>
      <c r="M182" s="137">
        <f>DADOS_INVOC!$II$2</f>
        <v/>
      </c>
      <c r="N182" s="16" t="n"/>
      <c r="O182" s="16" t="n"/>
      <c r="P182" s="16" t="n"/>
      <c r="Q182" s="16" t="n"/>
      <c r="R182" s="16" t="n"/>
      <c r="S182" s="16" t="n"/>
      <c r="T182" s="16" t="n"/>
      <c r="U182" s="16" t="n"/>
      <c r="V182" s="16" t="n"/>
      <c r="W182" s="16" t="n"/>
      <c r="X182" s="16" t="n"/>
      <c r="Y182" s="17" t="n"/>
      <c r="Z182" s="120" t="n"/>
      <c r="AB182" s="55" t="inlineStr">
        <is>
          <t>TRILHA · CE 1</t>
        </is>
      </c>
      <c r="AC182" s="130" t="n"/>
      <c r="AD182" s="16" t="n"/>
      <c r="AE182" s="17" t="n"/>
      <c r="AF182" s="137">
        <f>DADOS_INVOC!$II$8</f>
        <v/>
      </c>
      <c r="AG182" s="16" t="n"/>
      <c r="AH182" s="16" t="n"/>
      <c r="AI182" s="16" t="n"/>
      <c r="AJ182" s="16" t="n"/>
      <c r="AK182" s="16" t="n"/>
      <c r="AL182" s="16" t="n"/>
      <c r="AM182" s="16" t="n"/>
      <c r="AN182" s="16" t="n"/>
      <c r="AO182" s="16" t="n"/>
      <c r="AP182" s="16" t="n"/>
      <c r="AQ182" s="16" t="n"/>
      <c r="AR182" s="17" t="n"/>
      <c r="AS182" s="120" t="n"/>
    </row>
    <row r="183" hidden="1" outlineLevel="2">
      <c r="A183" s="8" t="n"/>
      <c r="B183" s="14" t="n"/>
      <c r="C183" s="120" t="n"/>
      <c r="D183" s="120" t="n"/>
      <c r="E183" s="120" t="n"/>
      <c r="F183" s="120" t="n"/>
      <c r="G183" s="120" t="n"/>
      <c r="I183" s="55" t="inlineStr">
        <is>
          <t>TRILHA · CE 1</t>
        </is>
      </c>
      <c r="J183" s="130" t="n"/>
      <c r="K183" s="16" t="n"/>
      <c r="L183" s="17" t="n"/>
      <c r="M183" s="137">
        <f>DADOS_INVOC!$IJ$2</f>
        <v/>
      </c>
      <c r="N183" s="16" t="n"/>
      <c r="O183" s="16" t="n"/>
      <c r="P183" s="16" t="n"/>
      <c r="Q183" s="16" t="n"/>
      <c r="R183" s="16" t="n"/>
      <c r="S183" s="16" t="n"/>
      <c r="T183" s="16" t="n"/>
      <c r="U183" s="16" t="n"/>
      <c r="V183" s="16" t="n"/>
      <c r="W183" s="16" t="n"/>
      <c r="X183" s="16" t="n"/>
      <c r="Y183" s="17" t="n"/>
      <c r="Z183" s="120" t="n"/>
      <c r="AB183" s="55" t="inlineStr">
        <is>
          <t>TRILHA · CE 1</t>
        </is>
      </c>
      <c r="AC183" s="130" t="n"/>
      <c r="AD183" s="16" t="n"/>
      <c r="AE183" s="17" t="n"/>
      <c r="AF183" s="137">
        <f>DADOS_INVOC!$IJ$8</f>
        <v/>
      </c>
      <c r="AG183" s="16" t="n"/>
      <c r="AH183" s="16" t="n"/>
      <c r="AI183" s="16" t="n"/>
      <c r="AJ183" s="16" t="n"/>
      <c r="AK183" s="16" t="n"/>
      <c r="AL183" s="16" t="n"/>
      <c r="AM183" s="16" t="n"/>
      <c r="AN183" s="16" t="n"/>
      <c r="AO183" s="16" t="n"/>
      <c r="AP183" s="16" t="n"/>
      <c r="AQ183" s="16" t="n"/>
      <c r="AR183" s="17" t="n"/>
      <c r="AS183" s="120" t="n"/>
    </row>
    <row r="184" hidden="1" outlineLevel="2">
      <c r="A184" s="8" t="n"/>
      <c r="B184" s="14" t="n"/>
      <c r="C184" s="120" t="n"/>
      <c r="D184" s="120" t="n"/>
      <c r="E184" s="120" t="n"/>
      <c r="F184" s="120" t="n"/>
      <c r="G184" s="120" t="n"/>
      <c r="I184" s="55" t="inlineStr">
        <is>
          <t>TRILHA · CE 1</t>
        </is>
      </c>
      <c r="J184" s="130" t="n"/>
      <c r="K184" s="16" t="n"/>
      <c r="L184" s="17" t="n"/>
      <c r="M184" s="137">
        <f>DADOS_INVOC!$IK$2</f>
        <v/>
      </c>
      <c r="N184" s="16" t="n"/>
      <c r="O184" s="16" t="n"/>
      <c r="P184" s="16" t="n"/>
      <c r="Q184" s="16" t="n"/>
      <c r="R184" s="16" t="n"/>
      <c r="S184" s="16" t="n"/>
      <c r="T184" s="16" t="n"/>
      <c r="U184" s="16" t="n"/>
      <c r="V184" s="16" t="n"/>
      <c r="W184" s="16" t="n"/>
      <c r="X184" s="16" t="n"/>
      <c r="Y184" s="17" t="n"/>
      <c r="Z184" s="120" t="n"/>
      <c r="AB184" s="55" t="inlineStr">
        <is>
          <t>TRILHA · CE 1</t>
        </is>
      </c>
      <c r="AC184" s="130" t="n"/>
      <c r="AD184" s="16" t="n"/>
      <c r="AE184" s="17" t="n"/>
      <c r="AF184" s="137">
        <f>DADOS_INVOC!$IK$8</f>
        <v/>
      </c>
      <c r="AG184" s="16" t="n"/>
      <c r="AH184" s="16" t="n"/>
      <c r="AI184" s="16" t="n"/>
      <c r="AJ184" s="16" t="n"/>
      <c r="AK184" s="16" t="n"/>
      <c r="AL184" s="16" t="n"/>
      <c r="AM184" s="16" t="n"/>
      <c r="AN184" s="16" t="n"/>
      <c r="AO184" s="16" t="n"/>
      <c r="AP184" s="16" t="n"/>
      <c r="AQ184" s="16" t="n"/>
      <c r="AR184" s="17" t="n"/>
      <c r="AS184" s="120" t="n"/>
    </row>
    <row r="185" outlineLevel="1">
      <c r="A185" s="8" t="n"/>
      <c r="B185" s="14" t="n"/>
      <c r="C185" s="120" t="n"/>
      <c r="D185" s="120" t="n"/>
      <c r="E185" s="120" t="n"/>
      <c r="F185" s="120" t="n"/>
      <c r="G185" s="120" t="n"/>
      <c r="I185" s="120" t="n"/>
      <c r="J185" s="120" t="n"/>
      <c r="K185" s="120" t="n"/>
      <c r="L185" s="120" t="n"/>
      <c r="M185" s="120" t="n"/>
      <c r="N185" s="120" t="n"/>
      <c r="O185" s="120" t="n"/>
      <c r="P185" s="120" t="n"/>
      <c r="Q185" s="120" t="n"/>
      <c r="R185" s="120" t="n"/>
      <c r="S185" s="120" t="n"/>
      <c r="T185" s="120" t="n"/>
      <c r="U185" s="120" t="n"/>
      <c r="V185" s="120" t="n"/>
      <c r="W185" s="120" t="n"/>
      <c r="X185" s="120" t="n"/>
      <c r="Y185" s="120" t="n"/>
      <c r="Z185" s="120" t="n"/>
      <c r="AB185" s="120" t="n"/>
      <c r="AC185" s="120" t="n"/>
      <c r="AD185" s="120" t="n"/>
      <c r="AE185" s="120" t="n"/>
      <c r="AF185" s="120" t="n"/>
      <c r="AG185" s="120" t="n"/>
      <c r="AH185" s="120" t="n"/>
      <c r="AI185" s="120" t="n"/>
      <c r="AJ185" s="120" t="n"/>
      <c r="AK185" s="120" t="n"/>
      <c r="AL185" s="120" t="n"/>
      <c r="AM185" s="120" t="n"/>
      <c r="AN185" s="120" t="n"/>
      <c r="AO185" s="120" t="n"/>
      <c r="AP185" s="120" t="n"/>
      <c r="AQ185" s="120" t="n"/>
      <c r="AR185" s="120" t="n"/>
      <c r="AS185" s="120" t="n"/>
    </row>
    <row r="186" outlineLevel="1">
      <c r="A186" s="8" t="n"/>
      <c r="B186" s="14" t="n"/>
      <c r="C186" s="120" t="n"/>
      <c r="D186" s="120" t="n"/>
      <c r="E186" s="120" t="n"/>
      <c r="F186" s="120" t="n"/>
      <c r="G186" s="120" t="n"/>
      <c r="I186" s="13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0" t="n"/>
      <c r="AB186" s="13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0" t="n"/>
    </row>
    <row r="187" hidden="1" outlineLevel="2">
      <c r="A187" s="8" t="n"/>
      <c r="B187" s="14" t="n"/>
      <c r="C187" s="120" t="n"/>
      <c r="D187" s="120" t="n"/>
      <c r="E187" s="120" t="n"/>
      <c r="F187" s="120" t="n"/>
      <c r="G187" s="120" t="n"/>
      <c r="I187" s="120" t="n"/>
      <c r="J187" s="120" t="n"/>
      <c r="K187" s="120" t="n"/>
      <c r="L187" s="120" t="n"/>
      <c r="M187" s="120" t="n"/>
      <c r="N187" s="120" t="n"/>
      <c r="O187" s="120" t="n"/>
      <c r="P187" s="120" t="n"/>
      <c r="Q187" s="120" t="n"/>
      <c r="R187" s="120" t="n"/>
      <c r="S187" s="120" t="n"/>
      <c r="T187" s="120" t="n"/>
      <c r="U187" s="120" t="n"/>
      <c r="V187" s="120" t="n"/>
      <c r="W187" s="120" t="n"/>
      <c r="X187" s="120" t="n"/>
      <c r="Y187" s="120" t="n"/>
      <c r="Z187" s="120" t="n"/>
      <c r="AB187" s="120" t="n"/>
      <c r="AC187" s="120" t="n"/>
      <c r="AD187" s="120" t="n"/>
      <c r="AE187" s="120" t="n"/>
      <c r="AF187" s="120" t="n"/>
      <c r="AG187" s="120" t="n"/>
      <c r="AH187" s="120" t="n"/>
      <c r="AI187" s="120" t="n"/>
      <c r="AJ187" s="120" t="n"/>
      <c r="AK187" s="120" t="n"/>
      <c r="AL187" s="120" t="n"/>
      <c r="AM187" s="120" t="n"/>
      <c r="AN187" s="120" t="n"/>
      <c r="AO187" s="120" t="n"/>
      <c r="AP187" s="120" t="n"/>
      <c r="AQ187" s="120" t="n"/>
      <c r="AR187" s="120" t="n"/>
      <c r="AS187" s="120" t="n"/>
    </row>
    <row r="188" hidden="1" outlineLevel="2">
      <c r="A188" s="8" t="n"/>
      <c r="B188" s="14" t="n"/>
      <c r="C188" s="120" t="n"/>
      <c r="D188" s="120" t="n"/>
      <c r="E188" s="120" t="n"/>
      <c r="F188" s="120" t="n"/>
      <c r="G188" s="120" t="n"/>
      <c r="I188" s="55" t="inlineStr">
        <is>
          <t>LIBERAÇÃO MÁXIMA 1</t>
        </is>
      </c>
      <c r="J188" s="16" t="n"/>
      <c r="K188" s="16" t="n"/>
      <c r="L188" s="16" t="n"/>
      <c r="M188" s="17" t="n"/>
      <c r="N188" s="120" t="n"/>
      <c r="O188" s="55" t="inlineStr">
        <is>
          <t>LIBERAÇÃO MÁXIMA 2</t>
        </is>
      </c>
      <c r="P188" s="16" t="n"/>
      <c r="Q188" s="16" t="n"/>
      <c r="R188" s="16" t="n"/>
      <c r="S188" s="17" t="n"/>
      <c r="T188" s="120" t="n"/>
      <c r="U188" s="55" t="inlineStr">
        <is>
          <t>LIBERAÇÃO MÁXIMA 3</t>
        </is>
      </c>
      <c r="V188" s="16" t="n"/>
      <c r="W188" s="16" t="n"/>
      <c r="X188" s="16" t="n"/>
      <c r="Y188" s="17" t="n"/>
      <c r="Z188" s="120" t="n"/>
      <c r="AB188" s="55" t="inlineStr">
        <is>
          <t>LIBERAÇÃO MÁXIMA 1</t>
        </is>
      </c>
      <c r="AC188" s="16" t="n"/>
      <c r="AD188" s="16" t="n"/>
      <c r="AE188" s="16" t="n"/>
      <c r="AF188" s="17" t="n"/>
      <c r="AG188" s="120" t="n"/>
      <c r="AH188" s="55" t="inlineStr">
        <is>
          <t>LIBERAÇÃO MÁXIMA 2</t>
        </is>
      </c>
      <c r="AI188" s="16" t="n"/>
      <c r="AJ188" s="16" t="n"/>
      <c r="AK188" s="16" t="n"/>
      <c r="AL188" s="17" t="n"/>
      <c r="AM188" s="120" t="n"/>
      <c r="AN188" s="55" t="inlineStr">
        <is>
          <t>LIBERAÇÃO MÁXIMA 3</t>
        </is>
      </c>
      <c r="AO188" s="16" t="n"/>
      <c r="AP188" s="16" t="n"/>
      <c r="AQ188" s="16" t="n"/>
      <c r="AR188" s="17" t="n"/>
      <c r="AS188" s="120" t="n"/>
    </row>
    <row r="189" hidden="1" outlineLevel="2">
      <c r="A189" s="8" t="n"/>
      <c r="B189" s="14" t="n"/>
      <c r="C189" s="120" t="n"/>
      <c r="D189" s="120" t="n"/>
      <c r="E189" s="120" t="n"/>
      <c r="F189" s="120" t="n"/>
      <c r="G189" s="120" t="n"/>
      <c r="I189" s="127" t="n">
        <v>3</v>
      </c>
      <c r="J189" s="115" t="n"/>
      <c r="K189" s="16" t="n"/>
      <c r="L189" s="17" t="n"/>
      <c r="M189" s="128">
        <f>DADOS_INVOC!$IL$2</f>
        <v/>
      </c>
      <c r="N189" s="120" t="n"/>
      <c r="O189" s="127" t="n">
        <v>3</v>
      </c>
      <c r="P189" s="115" t="n"/>
      <c r="Q189" s="16" t="n"/>
      <c r="R189" s="17" t="n"/>
      <c r="S189" s="128">
        <f>DADOS_INVOC!$IM$2</f>
        <v/>
      </c>
      <c r="T189" s="120" t="n"/>
      <c r="U189" s="127" t="n">
        <v>3</v>
      </c>
      <c r="V189" s="115" t="n"/>
      <c r="W189" s="16" t="n"/>
      <c r="X189" s="17" t="n"/>
      <c r="Y189" s="128">
        <f>DADOS_INVOC!$IN$2</f>
        <v/>
      </c>
      <c r="Z189" s="120" t="n"/>
      <c r="AB189" s="127" t="n">
        <v>3</v>
      </c>
      <c r="AC189" s="115" t="n"/>
      <c r="AD189" s="16" t="n"/>
      <c r="AE189" s="17" t="n"/>
      <c r="AF189" s="128">
        <f>DADOS_INVOC!$IL$8</f>
        <v/>
      </c>
      <c r="AG189" s="120" t="n"/>
      <c r="AH189" s="127" t="n">
        <v>3</v>
      </c>
      <c r="AI189" s="115" t="n"/>
      <c r="AJ189" s="16" t="n"/>
      <c r="AK189" s="17" t="n"/>
      <c r="AL189" s="128">
        <f>DADOS_INVOC!$IM$8</f>
        <v/>
      </c>
      <c r="AM189" s="120" t="n"/>
      <c r="AN189" s="127" t="n">
        <v>3</v>
      </c>
      <c r="AO189" s="115" t="n"/>
      <c r="AP189" s="16" t="n"/>
      <c r="AQ189" s="17" t="n"/>
      <c r="AR189" s="128">
        <f>DADOS_INVOC!$IN$8</f>
        <v/>
      </c>
      <c r="AS189" s="120" t="n"/>
    </row>
    <row r="190" hidden="1" outlineLevel="2">
      <c r="A190" s="8" t="n"/>
      <c r="B190" s="14" t="n"/>
      <c r="C190" s="120" t="n"/>
      <c r="D190" s="120" t="n"/>
      <c r="E190" s="120" t="n"/>
      <c r="F190" s="120" t="n"/>
      <c r="G190" s="120" t="n"/>
      <c r="I190" s="116" t="n"/>
      <c r="J190" s="19" t="n"/>
      <c r="K190" s="19" t="n"/>
      <c r="L190" s="19" t="n"/>
      <c r="M190" s="20" t="n"/>
      <c r="N190" s="120" t="n"/>
      <c r="O190" s="116" t="n"/>
      <c r="P190" s="19" t="n"/>
      <c r="Q190" s="19" t="n"/>
      <c r="R190" s="19" t="n"/>
      <c r="S190" s="20" t="n"/>
      <c r="T190" s="120" t="n"/>
      <c r="U190" s="116" t="n"/>
      <c r="V190" s="19" t="n"/>
      <c r="W190" s="19" t="n"/>
      <c r="X190" s="19" t="n"/>
      <c r="Y190" s="20" t="n"/>
      <c r="Z190" s="120" t="n"/>
      <c r="AB190" s="116" t="n"/>
      <c r="AC190" s="19" t="n"/>
      <c r="AD190" s="19" t="n"/>
      <c r="AE190" s="19" t="n"/>
      <c r="AF190" s="20" t="n"/>
      <c r="AG190" s="120" t="n"/>
      <c r="AH190" s="116" t="n"/>
      <c r="AI190" s="19" t="n"/>
      <c r="AJ190" s="19" t="n"/>
      <c r="AK190" s="19" t="n"/>
      <c r="AL190" s="20" t="n"/>
      <c r="AM190" s="120" t="n"/>
      <c r="AN190" s="116" t="n"/>
      <c r="AO190" s="19" t="n"/>
      <c r="AP190" s="19" t="n"/>
      <c r="AQ190" s="19" t="n"/>
      <c r="AR190" s="20" t="n"/>
      <c r="AS190" s="120" t="n"/>
    </row>
    <row r="191" hidden="1" outlineLevel="2">
      <c r="A191" s="8" t="n"/>
      <c r="B191" s="14" t="n"/>
      <c r="C191" s="120" t="n"/>
      <c r="D191" s="120" t="n"/>
      <c r="E191" s="120" t="n"/>
      <c r="F191" s="120" t="n"/>
      <c r="G191" s="120" t="n"/>
      <c r="I191" s="21" t="n"/>
      <c r="M191" s="22" t="n"/>
      <c r="N191" s="120" t="n"/>
      <c r="O191" s="21" t="n"/>
      <c r="S191" s="22" t="n"/>
      <c r="T191" s="120" t="n"/>
      <c r="U191" s="21" t="n"/>
      <c r="Y191" s="22" t="n"/>
      <c r="Z191" s="120" t="n"/>
      <c r="AB191" s="21" t="n"/>
      <c r="AF191" s="22" t="n"/>
      <c r="AG191" s="120" t="n"/>
      <c r="AH191" s="21" t="n"/>
      <c r="AL191" s="22" t="n"/>
      <c r="AM191" s="120" t="n"/>
      <c r="AN191" s="21" t="n"/>
      <c r="AR191" s="22" t="n"/>
      <c r="AS191" s="120" t="n"/>
    </row>
    <row r="192" hidden="1" outlineLevel="2">
      <c r="A192" s="8" t="n"/>
      <c r="B192" s="14" t="n"/>
      <c r="C192" s="120" t="n"/>
      <c r="D192" s="120" t="n"/>
      <c r="E192" s="120" t="n"/>
      <c r="F192" s="120" t="n"/>
      <c r="G192" s="120" t="n"/>
      <c r="I192" s="21" t="n"/>
      <c r="M192" s="22" t="n"/>
      <c r="N192" s="120" t="n"/>
      <c r="O192" s="21" t="n"/>
      <c r="S192" s="22" t="n"/>
      <c r="T192" s="120" t="n"/>
      <c r="U192" s="21" t="n"/>
      <c r="Y192" s="22" t="n"/>
      <c r="Z192" s="120" t="n"/>
      <c r="AB192" s="21" t="n"/>
      <c r="AF192" s="22" t="n"/>
      <c r="AG192" s="120" t="n"/>
      <c r="AH192" s="21" t="n"/>
      <c r="AL192" s="22" t="n"/>
      <c r="AM192" s="120" t="n"/>
      <c r="AN192" s="21" t="n"/>
      <c r="AR192" s="22" t="n"/>
      <c r="AS192" s="120" t="n"/>
    </row>
    <row r="193" hidden="1" outlineLevel="2">
      <c r="A193" s="8" t="n"/>
      <c r="B193" s="14" t="n"/>
      <c r="C193" s="120" t="n"/>
      <c r="D193" s="120" t="n"/>
      <c r="E193" s="120" t="n"/>
      <c r="F193" s="120" t="n"/>
      <c r="G193" s="120" t="n"/>
      <c r="I193" s="23" t="n"/>
      <c r="J193" s="24" t="n"/>
      <c r="K193" s="24" t="n"/>
      <c r="L193" s="24" t="n"/>
      <c r="M193" s="25" t="n"/>
      <c r="N193" s="120" t="n"/>
      <c r="O193" s="23" t="n"/>
      <c r="P193" s="24" t="n"/>
      <c r="Q193" s="24" t="n"/>
      <c r="R193" s="24" t="n"/>
      <c r="S193" s="25" t="n"/>
      <c r="T193" s="120" t="n"/>
      <c r="U193" s="23" t="n"/>
      <c r="V193" s="24" t="n"/>
      <c r="W193" s="24" t="n"/>
      <c r="X193" s="24" t="n"/>
      <c r="Y193" s="25" t="n"/>
      <c r="Z193" s="120" t="n"/>
      <c r="AB193" s="23" t="n"/>
      <c r="AC193" s="24" t="n"/>
      <c r="AD193" s="24" t="n"/>
      <c r="AE193" s="24" t="n"/>
      <c r="AF193" s="25" t="n"/>
      <c r="AG193" s="120" t="n"/>
      <c r="AH193" s="23" t="n"/>
      <c r="AI193" s="24" t="n"/>
      <c r="AJ193" s="24" t="n"/>
      <c r="AK193" s="24" t="n"/>
      <c r="AL193" s="25" t="n"/>
      <c r="AM193" s="120" t="n"/>
      <c r="AN193" s="23" t="n"/>
      <c r="AO193" s="24" t="n"/>
      <c r="AP193" s="24" t="n"/>
      <c r="AQ193" s="24" t="n"/>
      <c r="AR193" s="25" t="n"/>
      <c r="AS193" s="120" t="n"/>
    </row>
    <row r="194" hidden="1" outlineLevel="2">
      <c r="A194" s="8" t="n"/>
      <c r="B194" s="14" t="n"/>
      <c r="C194" s="120" t="n"/>
      <c r="D194" s="120" t="n"/>
      <c r="E194" s="120" t="n"/>
      <c r="F194" s="120" t="n"/>
      <c r="G194" s="120" t="n"/>
      <c r="I194" s="68">
        <f>DADOS_INVOC!$IO$2</f>
        <v/>
      </c>
      <c r="J194" s="16" t="n"/>
      <c r="K194" s="16" t="n"/>
      <c r="L194" s="16" t="n"/>
      <c r="M194" s="17" t="n"/>
      <c r="N194" s="120" t="n"/>
      <c r="O194" s="68">
        <f>DADOS_INVOC!$IP$2</f>
        <v/>
      </c>
      <c r="P194" s="16" t="n"/>
      <c r="Q194" s="16" t="n"/>
      <c r="R194" s="16" t="n"/>
      <c r="S194" s="17" t="n"/>
      <c r="T194" s="120" t="n"/>
      <c r="U194" s="68">
        <f>DADOS_INVOC!$IQ$2</f>
        <v/>
      </c>
      <c r="V194" s="16" t="n"/>
      <c r="W194" s="16" t="n"/>
      <c r="X194" s="16" t="n"/>
      <c r="Y194" s="17" t="n"/>
      <c r="Z194" s="120" t="n"/>
      <c r="AB194" s="68">
        <f>DADOS_INVOC!$IO$8</f>
        <v/>
      </c>
      <c r="AC194" s="16" t="n"/>
      <c r="AD194" s="16" t="n"/>
      <c r="AE194" s="16" t="n"/>
      <c r="AF194" s="17" t="n"/>
      <c r="AG194" s="120" t="n"/>
      <c r="AH194" s="68">
        <f>DADOS_INVOC!$IP$8</f>
        <v/>
      </c>
      <c r="AI194" s="16" t="n"/>
      <c r="AJ194" s="16" t="n"/>
      <c r="AK194" s="16" t="n"/>
      <c r="AL194" s="17" t="n"/>
      <c r="AM194" s="120" t="n"/>
      <c r="AN194" s="68">
        <f>DADOS_INVOC!$IQ$8</f>
        <v/>
      </c>
      <c r="AO194" s="16" t="n"/>
      <c r="AP194" s="16" t="n"/>
      <c r="AQ194" s="16" t="n"/>
      <c r="AR194" s="17" t="n"/>
      <c r="AS194" s="120" t="n"/>
    </row>
    <row r="195" hidden="1" outlineLevel="2">
      <c r="A195" s="8" t="n"/>
      <c r="B195" s="14" t="n"/>
      <c r="C195" s="120" t="n"/>
      <c r="D195" s="120" t="n"/>
      <c r="E195" s="120" t="n"/>
      <c r="F195" s="120" t="n"/>
      <c r="G195" s="120" t="n"/>
      <c r="I195" s="124" t="inlineStr">
        <is>
          <t>Sua Ação Completa + a básica dela</t>
        </is>
      </c>
      <c r="J195" s="16" t="n"/>
      <c r="K195" s="16" t="n"/>
      <c r="L195" s="16" t="n"/>
      <c r="M195" s="17" t="n"/>
      <c r="N195" s="120" t="n"/>
      <c r="O195" s="124" t="inlineStr">
        <is>
          <t>Sua Ação Completa + a básica dela</t>
        </is>
      </c>
      <c r="P195" s="16" t="n"/>
      <c r="Q195" s="16" t="n"/>
      <c r="R195" s="16" t="n"/>
      <c r="S195" s="17" t="n"/>
      <c r="T195" s="120" t="n"/>
      <c r="U195" s="124" t="inlineStr">
        <is>
          <t>Sua Ação Completa + a básica dela</t>
        </is>
      </c>
      <c r="V195" s="16" t="n"/>
      <c r="W195" s="16" t="n"/>
      <c r="X195" s="16" t="n"/>
      <c r="Y195" s="17" t="n"/>
      <c r="Z195" s="120" t="n"/>
      <c r="AB195" s="124" t="inlineStr">
        <is>
          <t>Sua Ação Completa + a básica dela</t>
        </is>
      </c>
      <c r="AC195" s="16" t="n"/>
      <c r="AD195" s="16" t="n"/>
      <c r="AE195" s="16" t="n"/>
      <c r="AF195" s="17" t="n"/>
      <c r="AG195" s="120" t="n"/>
      <c r="AH195" s="124" t="inlineStr">
        <is>
          <t>Sua Ação Completa + a básica dela</t>
        </is>
      </c>
      <c r="AI195" s="16" t="n"/>
      <c r="AJ195" s="16" t="n"/>
      <c r="AK195" s="16" t="n"/>
      <c r="AL195" s="17" t="n"/>
      <c r="AM195" s="120" t="n"/>
      <c r="AN195" s="124" t="inlineStr">
        <is>
          <t>Sua Ação Completa + a básica dela</t>
        </is>
      </c>
      <c r="AO195" s="16" t="n"/>
      <c r="AP195" s="16" t="n"/>
      <c r="AQ195" s="16" t="n"/>
      <c r="AR195" s="17" t="n"/>
      <c r="AS195" s="120" t="n"/>
    </row>
    <row r="196" hidden="1" outlineLevel="2">
      <c r="A196" s="8" t="n"/>
      <c r="B196" s="14" t="n"/>
      <c r="C196" s="120" t="n"/>
      <c r="D196" s="120" t="n"/>
      <c r="E196" s="120" t="n"/>
      <c r="F196" s="120" t="n"/>
      <c r="G196" s="120" t="n"/>
      <c r="I196" s="120" t="n"/>
      <c r="J196" s="120" t="n"/>
      <c r="K196" s="120" t="n"/>
      <c r="L196" s="120" t="n"/>
      <c r="M196" s="120" t="n"/>
      <c r="N196" s="120" t="n"/>
      <c r="O196" s="120" t="n"/>
      <c r="P196" s="120" t="n"/>
      <c r="Q196" s="120" t="n"/>
      <c r="R196" s="120" t="n"/>
      <c r="S196" s="120" t="n"/>
      <c r="T196" s="120" t="n"/>
      <c r="U196" s="120" t="n"/>
      <c r="V196" s="120" t="n"/>
      <c r="W196" s="120" t="n"/>
      <c r="X196" s="120" t="n"/>
      <c r="Y196" s="120" t="n"/>
      <c r="Z196" s="120" t="n"/>
      <c r="AB196" s="120" t="n"/>
      <c r="AC196" s="120" t="n"/>
      <c r="AD196" s="120" t="n"/>
      <c r="AE196" s="120" t="n"/>
      <c r="AF196" s="120" t="n"/>
      <c r="AG196" s="120" t="n"/>
      <c r="AH196" s="120" t="n"/>
      <c r="AI196" s="120" t="n"/>
      <c r="AJ196" s="120" t="n"/>
      <c r="AK196" s="120" t="n"/>
      <c r="AL196" s="120" t="n"/>
      <c r="AM196" s="120" t="n"/>
      <c r="AN196" s="120" t="n"/>
      <c r="AO196" s="120" t="n"/>
      <c r="AP196" s="120" t="n"/>
      <c r="AQ196" s="120" t="n"/>
      <c r="AR196" s="120" t="n"/>
      <c r="AS196" s="120" t="n"/>
    </row>
    <row r="197" hidden="1" outlineLevel="2">
      <c r="A197" s="8" t="n"/>
      <c r="B197" s="14" t="n"/>
      <c r="C197" s="120" t="n"/>
      <c r="D197" s="120" t="n"/>
      <c r="E197" s="120" t="n"/>
      <c r="F197" s="120" t="n"/>
      <c r="G197" s="120" t="n"/>
      <c r="I197" s="55" t="inlineStr">
        <is>
          <t>TÉCNICA MÁXIMA</t>
        </is>
      </c>
      <c r="J197" s="16" t="n"/>
      <c r="K197" s="16" t="n"/>
      <c r="L197" s="16" t="n"/>
      <c r="M197" s="17" t="n"/>
      <c r="N197" s="120" t="n"/>
      <c r="O197" s="55" t="inlineStr">
        <is>
          <t>EXPANSÃO DE DOMÍNIO</t>
        </is>
      </c>
      <c r="P197" s="16" t="n"/>
      <c r="Q197" s="16" t="n"/>
      <c r="R197" s="16" t="n"/>
      <c r="S197" s="17" t="n"/>
      <c r="T197" s="120" t="n"/>
      <c r="U197" s="120" t="n"/>
      <c r="V197" s="120" t="n"/>
      <c r="W197" s="120" t="n"/>
      <c r="X197" s="120" t="n"/>
      <c r="Y197" s="120" t="n"/>
      <c r="Z197" s="120" t="n"/>
      <c r="AB197" s="55" t="inlineStr">
        <is>
          <t>TÉCNICA MÁXIMA</t>
        </is>
      </c>
      <c r="AC197" s="16" t="n"/>
      <c r="AD197" s="16" t="n"/>
      <c r="AE197" s="16" t="n"/>
      <c r="AF197" s="17" t="n"/>
      <c r="AG197" s="120" t="n"/>
      <c r="AH197" s="55" t="inlineStr">
        <is>
          <t>EXPANSÃO DE DOMÍNIO</t>
        </is>
      </c>
      <c r="AI197" s="16" t="n"/>
      <c r="AJ197" s="16" t="n"/>
      <c r="AK197" s="16" t="n"/>
      <c r="AL197" s="17" t="n"/>
      <c r="AM197" s="120" t="n"/>
      <c r="AN197" s="120" t="n"/>
      <c r="AO197" s="120" t="n"/>
      <c r="AP197" s="120" t="n"/>
      <c r="AQ197" s="120" t="n"/>
      <c r="AR197" s="120" t="n"/>
      <c r="AS197" s="120" t="n"/>
    </row>
    <row r="198" hidden="1" outlineLevel="2">
      <c r="A198" s="8" t="n"/>
      <c r="B198" s="14" t="n"/>
      <c r="C198" s="120" t="n"/>
      <c r="D198" s="120" t="n"/>
      <c r="E198" s="120" t="n"/>
      <c r="F198" s="120" t="n"/>
      <c r="G198" s="120" t="n"/>
      <c r="I198" s="115" t="n"/>
      <c r="J198" s="16" t="n"/>
      <c r="K198" s="16" t="n"/>
      <c r="L198" s="17" t="n"/>
      <c r="M198" s="128">
        <f>DADOS_INVOC!$IR$2</f>
        <v/>
      </c>
      <c r="N198" s="120" t="n"/>
      <c r="O198" s="115" t="n"/>
      <c r="P198" s="16" t="n"/>
      <c r="Q198" s="16" t="n"/>
      <c r="R198" s="17" t="n"/>
      <c r="S198" s="128">
        <f>DADOS_INVOC!$IT$2</f>
        <v/>
      </c>
      <c r="T198" s="120" t="n"/>
      <c r="U198" s="120" t="n"/>
      <c r="V198" s="120" t="n"/>
      <c r="W198" s="120" t="n"/>
      <c r="X198" s="120" t="n"/>
      <c r="Y198" s="120" t="n"/>
      <c r="Z198" s="120" t="n"/>
      <c r="AB198" s="115" t="n"/>
      <c r="AC198" s="16" t="n"/>
      <c r="AD198" s="16" t="n"/>
      <c r="AE198" s="17" t="n"/>
      <c r="AF198" s="128">
        <f>DADOS_INVOC!$IR$8</f>
        <v/>
      </c>
      <c r="AG198" s="120" t="n"/>
      <c r="AH198" s="115" t="n"/>
      <c r="AI198" s="16" t="n"/>
      <c r="AJ198" s="16" t="n"/>
      <c r="AK198" s="17" t="n"/>
      <c r="AL198" s="128">
        <f>DADOS_INVOC!$IT$8</f>
        <v/>
      </c>
      <c r="AM198" s="120" t="n"/>
      <c r="AN198" s="120" t="n"/>
      <c r="AO198" s="120" t="n"/>
      <c r="AP198" s="120" t="n"/>
      <c r="AQ198" s="120" t="n"/>
      <c r="AR198" s="120" t="n"/>
      <c r="AS198" s="120" t="n"/>
    </row>
    <row r="199" hidden="1" outlineLevel="2">
      <c r="A199" s="8" t="n"/>
      <c r="B199" s="14" t="n"/>
      <c r="C199" s="120" t="n"/>
      <c r="D199" s="120" t="n"/>
      <c r="E199" s="120" t="n"/>
      <c r="F199" s="120" t="n"/>
      <c r="G199" s="120" t="n"/>
      <c r="I199" s="116" t="n"/>
      <c r="J199" s="19" t="n"/>
      <c r="K199" s="19" t="n"/>
      <c r="L199" s="19" t="n"/>
      <c r="M199" s="20" t="n"/>
      <c r="N199" s="120" t="n"/>
      <c r="O199" s="116" t="n"/>
      <c r="P199" s="19" t="n"/>
      <c r="Q199" s="19" t="n"/>
      <c r="R199" s="19" t="n"/>
      <c r="S199" s="20" t="n"/>
      <c r="T199" s="120" t="n"/>
      <c r="U199" s="120" t="n"/>
      <c r="V199" s="120" t="n"/>
      <c r="W199" s="120" t="n"/>
      <c r="X199" s="120" t="n"/>
      <c r="Y199" s="120" t="n"/>
      <c r="Z199" s="120" t="n"/>
      <c r="AB199" s="116" t="n"/>
      <c r="AC199" s="19" t="n"/>
      <c r="AD199" s="19" t="n"/>
      <c r="AE199" s="19" t="n"/>
      <c r="AF199" s="20" t="n"/>
      <c r="AG199" s="120" t="n"/>
      <c r="AH199" s="116" t="n"/>
      <c r="AI199" s="19" t="n"/>
      <c r="AJ199" s="19" t="n"/>
      <c r="AK199" s="19" t="n"/>
      <c r="AL199" s="20" t="n"/>
      <c r="AM199" s="120" t="n"/>
      <c r="AN199" s="120" t="n"/>
      <c r="AO199" s="120" t="n"/>
      <c r="AP199" s="120" t="n"/>
      <c r="AQ199" s="120" t="n"/>
      <c r="AR199" s="120" t="n"/>
      <c r="AS199" s="120" t="n"/>
    </row>
    <row r="200" hidden="1" outlineLevel="2">
      <c r="A200" s="8" t="n"/>
      <c r="B200" s="14" t="n"/>
      <c r="C200" s="120" t="n"/>
      <c r="D200" s="120" t="n"/>
      <c r="E200" s="120" t="n"/>
      <c r="F200" s="120" t="n"/>
      <c r="G200" s="120" t="n"/>
      <c r="I200" s="21" t="n"/>
      <c r="M200" s="22" t="n"/>
      <c r="N200" s="120" t="n"/>
      <c r="O200" s="21" t="n"/>
      <c r="S200" s="22" t="n"/>
      <c r="T200" s="120" t="n"/>
      <c r="U200" s="120" t="n"/>
      <c r="V200" s="120" t="n"/>
      <c r="W200" s="120" t="n"/>
      <c r="X200" s="120" t="n"/>
      <c r="Y200" s="120" t="n"/>
      <c r="Z200" s="120" t="n"/>
      <c r="AB200" s="21" t="n"/>
      <c r="AF200" s="22" t="n"/>
      <c r="AG200" s="120" t="n"/>
      <c r="AH200" s="21" t="n"/>
      <c r="AL200" s="22" t="n"/>
      <c r="AM200" s="120" t="n"/>
      <c r="AN200" s="120" t="n"/>
      <c r="AO200" s="120" t="n"/>
      <c r="AP200" s="120" t="n"/>
      <c r="AQ200" s="120" t="n"/>
      <c r="AR200" s="120" t="n"/>
      <c r="AS200" s="120" t="n"/>
    </row>
    <row r="201" hidden="1" outlineLevel="2">
      <c r="A201" s="8" t="n"/>
      <c r="B201" s="14" t="n"/>
      <c r="C201" s="120" t="n"/>
      <c r="D201" s="120" t="n"/>
      <c r="E201" s="120" t="n"/>
      <c r="F201" s="120" t="n"/>
      <c r="G201" s="120" t="n"/>
      <c r="I201" s="21" t="n"/>
      <c r="M201" s="22" t="n"/>
      <c r="N201" s="120" t="n"/>
      <c r="O201" s="21" t="n"/>
      <c r="S201" s="22" t="n"/>
      <c r="T201" s="120" t="n"/>
      <c r="U201" s="120" t="n"/>
      <c r="V201" s="120" t="n"/>
      <c r="W201" s="120" t="n"/>
      <c r="X201" s="120" t="n"/>
      <c r="Y201" s="120" t="n"/>
      <c r="Z201" s="120" t="n"/>
      <c r="AB201" s="21" t="n"/>
      <c r="AF201" s="22" t="n"/>
      <c r="AG201" s="120" t="n"/>
      <c r="AH201" s="21" t="n"/>
      <c r="AL201" s="22" t="n"/>
      <c r="AM201" s="120" t="n"/>
      <c r="AN201" s="120" t="n"/>
      <c r="AO201" s="120" t="n"/>
      <c r="AP201" s="120" t="n"/>
      <c r="AQ201" s="120" t="n"/>
      <c r="AR201" s="120" t="n"/>
      <c r="AS201" s="120" t="n"/>
    </row>
    <row r="202" hidden="1" outlineLevel="2">
      <c r="A202" s="8" t="n"/>
      <c r="B202" s="14" t="n"/>
      <c r="C202" s="120" t="n"/>
      <c r="D202" s="120" t="n"/>
      <c r="E202" s="120" t="n"/>
      <c r="F202" s="120" t="n"/>
      <c r="G202" s="120" t="n"/>
      <c r="I202" s="23" t="n"/>
      <c r="J202" s="24" t="n"/>
      <c r="K202" s="24" t="n"/>
      <c r="L202" s="24" t="n"/>
      <c r="M202" s="25" t="n"/>
      <c r="N202" s="120" t="n"/>
      <c r="O202" s="23" t="n"/>
      <c r="P202" s="24" t="n"/>
      <c r="Q202" s="24" t="n"/>
      <c r="R202" s="24" t="n"/>
      <c r="S202" s="25" t="n"/>
      <c r="T202" s="120" t="n"/>
      <c r="U202" s="120" t="n"/>
      <c r="V202" s="120" t="n"/>
      <c r="W202" s="120" t="n"/>
      <c r="X202" s="120" t="n"/>
      <c r="Y202" s="120" t="n"/>
      <c r="Z202" s="120" t="n"/>
      <c r="AB202" s="23" t="n"/>
      <c r="AC202" s="24" t="n"/>
      <c r="AD202" s="24" t="n"/>
      <c r="AE202" s="24" t="n"/>
      <c r="AF202" s="25" t="n"/>
      <c r="AG202" s="120" t="n"/>
      <c r="AH202" s="23" t="n"/>
      <c r="AI202" s="24" t="n"/>
      <c r="AJ202" s="24" t="n"/>
      <c r="AK202" s="24" t="n"/>
      <c r="AL202" s="25" t="n"/>
      <c r="AM202" s="120" t="n"/>
      <c r="AN202" s="120" t="n"/>
      <c r="AO202" s="120" t="n"/>
      <c r="AP202" s="120" t="n"/>
      <c r="AQ202" s="120" t="n"/>
      <c r="AR202" s="120" t="n"/>
      <c r="AS202" s="120" t="n"/>
    </row>
    <row r="203" hidden="1" outlineLevel="2">
      <c r="A203" s="8" t="n"/>
      <c r="B203" s="14" t="n"/>
      <c r="C203" s="120" t="n"/>
      <c r="D203" s="120" t="n"/>
      <c r="E203" s="120" t="n"/>
      <c r="F203" s="120" t="n"/>
      <c r="G203" s="120" t="n"/>
      <c r="I203" s="68">
        <f>DADOS_INVOC!$IS$2</f>
        <v/>
      </c>
      <c r="J203" s="16" t="n"/>
      <c r="K203" s="16" t="n"/>
      <c r="L203" s="16" t="n"/>
      <c r="M203" s="17" t="n"/>
      <c r="N203" s="120" t="n"/>
      <c r="O203" s="124" t="n"/>
      <c r="P203" s="17" t="n"/>
      <c r="Q203" s="68">
        <f>DADOS_INVOC!$IU$2</f>
        <v/>
      </c>
      <c r="R203" s="16" t="n"/>
      <c r="S203" s="17" t="n"/>
      <c r="T203" s="120" t="n"/>
      <c r="U203" s="120" t="n"/>
      <c r="V203" s="120" t="n"/>
      <c r="W203" s="120" t="n"/>
      <c r="X203" s="120" t="n"/>
      <c r="Y203" s="120" t="n"/>
      <c r="Z203" s="120" t="n"/>
      <c r="AB203" s="68">
        <f>DADOS_INVOC!$IS$8</f>
        <v/>
      </c>
      <c r="AC203" s="16" t="n"/>
      <c r="AD203" s="16" t="n"/>
      <c r="AE203" s="16" t="n"/>
      <c r="AF203" s="17" t="n"/>
      <c r="AG203" s="120" t="n"/>
      <c r="AH203" s="124" t="n"/>
      <c r="AI203" s="17" t="n"/>
      <c r="AJ203" s="68">
        <f>DADOS_INVOC!$IU$8</f>
        <v/>
      </c>
      <c r="AK203" s="16" t="n"/>
      <c r="AL203" s="17" t="n"/>
      <c r="AM203" s="120" t="n"/>
      <c r="AN203" s="120" t="n"/>
      <c r="AO203" s="120" t="n"/>
      <c r="AP203" s="120" t="n"/>
      <c r="AQ203" s="120" t="n"/>
      <c r="AR203" s="120" t="n"/>
      <c r="AS203" s="120" t="n"/>
    </row>
    <row r="204" hidden="1" outlineLevel="2">
      <c r="A204" s="8" t="n"/>
      <c r="B204" s="14" t="n"/>
      <c r="C204" s="120" t="n"/>
      <c r="D204" s="120" t="n"/>
      <c r="E204" s="120" t="n"/>
      <c r="F204" s="120" t="n"/>
      <c r="G204" s="120" t="n"/>
      <c r="I204" s="124" t="inlineStr">
        <is>
          <t>Sua Ação Completa + a básica dela</t>
        </is>
      </c>
      <c r="J204" s="16" t="n"/>
      <c r="K204" s="16" t="n"/>
      <c r="L204" s="16" t="n"/>
      <c r="M204" s="17" t="n"/>
      <c r="N204" s="120" t="n"/>
      <c r="O204" s="129">
        <f>DADOS_INVOC!$IV$2</f>
        <v/>
      </c>
      <c r="P204" s="16" t="n"/>
      <c r="Q204" s="16" t="n"/>
      <c r="R204" s="16" t="n"/>
      <c r="S204" s="17" t="n"/>
      <c r="T204" s="120" t="n"/>
      <c r="U204" s="120" t="n"/>
      <c r="V204" s="120" t="n"/>
      <c r="W204" s="120" t="n"/>
      <c r="X204" s="120" t="n"/>
      <c r="Y204" s="120" t="n"/>
      <c r="Z204" s="120" t="n"/>
      <c r="AB204" s="124" t="inlineStr">
        <is>
          <t>Sua Ação Completa + a básica dela</t>
        </is>
      </c>
      <c r="AC204" s="16" t="n"/>
      <c r="AD204" s="16" t="n"/>
      <c r="AE204" s="16" t="n"/>
      <c r="AF204" s="17" t="n"/>
      <c r="AG204" s="120" t="n"/>
      <c r="AH204" s="129">
        <f>DADOS_INVOC!$IV$8</f>
        <v/>
      </c>
      <c r="AI204" s="16" t="n"/>
      <c r="AJ204" s="16" t="n"/>
      <c r="AK204" s="16" t="n"/>
      <c r="AL204" s="17" t="n"/>
      <c r="AM204" s="120" t="n"/>
      <c r="AN204" s="120" t="n"/>
      <c r="AO204" s="120" t="n"/>
      <c r="AP204" s="120" t="n"/>
      <c r="AQ204" s="120" t="n"/>
      <c r="AR204" s="120" t="n"/>
      <c r="AS204" s="120" t="n"/>
    </row>
    <row r="205">
      <c r="A205" s="8" t="n"/>
      <c r="B205" s="14" t="n"/>
      <c r="C205" s="120" t="n"/>
      <c r="D205" s="120" t="n"/>
      <c r="E205" s="120" t="n"/>
      <c r="F205" s="120" t="n"/>
      <c r="G205" s="120" t="n"/>
      <c r="H205" s="120" t="n"/>
      <c r="I205" s="120" t="n"/>
      <c r="J205" s="120" t="n"/>
      <c r="K205" s="120" t="n"/>
      <c r="L205" s="120" t="n"/>
      <c r="M205" s="120" t="n"/>
      <c r="N205" s="120" t="n"/>
      <c r="O205" s="120" t="n"/>
      <c r="P205" s="120" t="n"/>
      <c r="Q205" s="120" t="n"/>
      <c r="R205" s="120" t="n"/>
      <c r="S205" s="120" t="n"/>
      <c r="T205" s="120" t="n"/>
      <c r="U205" s="120" t="n"/>
      <c r="V205" s="120" t="n"/>
      <c r="W205" s="120" t="n"/>
      <c r="X205" s="120" t="n"/>
      <c r="Y205" s="120" t="n"/>
      <c r="Z205" s="120" t="n"/>
      <c r="AA205" s="120" t="n"/>
      <c r="AB205" s="120" t="n"/>
      <c r="AC205" s="120" t="n"/>
      <c r="AD205" s="120" t="n"/>
      <c r="AE205" s="120" t="n"/>
      <c r="AF205" s="120" t="n"/>
      <c r="AG205" s="120" t="n"/>
      <c r="AH205" s="120" t="n"/>
      <c r="AI205" s="120" t="n"/>
      <c r="AJ205" s="120" t="n"/>
      <c r="AK205" s="120" t="n"/>
      <c r="AL205" s="120" t="n"/>
      <c r="AM205" s="120" t="n"/>
      <c r="AN205" s="120" t="n"/>
      <c r="AO205" s="120" t="n"/>
      <c r="AP205" s="120" t="n"/>
      <c r="AQ205" s="120" t="n"/>
      <c r="AR205" s="120" t="n"/>
      <c r="AS205" s="120" t="n"/>
    </row>
    <row r="206">
      <c r="A206" s="8" t="n"/>
      <c r="B206" s="14" t="n"/>
      <c r="C206" s="120" t="n"/>
      <c r="D206" s="120" t="n"/>
      <c r="E206" s="120" t="n"/>
      <c r="F206" s="120" t="n"/>
      <c r="G206" s="120" t="n"/>
      <c r="H206" s="120" t="n"/>
      <c r="I206" s="120" t="n"/>
      <c r="J206" s="120" t="n"/>
      <c r="K206" s="120" t="n"/>
      <c r="L206" s="120" t="n"/>
      <c r="M206" s="120" t="n"/>
      <c r="N206" s="120" t="n"/>
      <c r="O206" s="120" t="n"/>
      <c r="P206" s="120" t="n"/>
      <c r="Q206" s="120" t="n"/>
      <c r="R206" s="120" t="n"/>
      <c r="S206" s="120" t="n"/>
      <c r="T206" s="120" t="n"/>
      <c r="U206" s="120" t="n"/>
      <c r="V206" s="120" t="n"/>
      <c r="W206" s="120" t="n"/>
      <c r="X206" s="120" t="n"/>
      <c r="Y206" s="120" t="n"/>
      <c r="Z206" s="120" t="n"/>
      <c r="AA206" s="120" t="n"/>
      <c r="AB206" s="120" t="n"/>
      <c r="AC206" s="120" t="n"/>
      <c r="AD206" s="120" t="n"/>
      <c r="AE206" s="120" t="n"/>
      <c r="AF206" s="120" t="n"/>
      <c r="AG206" s="120" t="n"/>
      <c r="AH206" s="120" t="n"/>
      <c r="AI206" s="120" t="n"/>
      <c r="AJ206" s="120" t="n"/>
      <c r="AK206" s="120" t="n"/>
      <c r="AL206" s="120" t="n"/>
      <c r="AM206" s="120" t="n"/>
      <c r="AN206" s="120" t="n"/>
      <c r="AO206" s="120" t="n"/>
      <c r="AP206" s="120" t="n"/>
      <c r="AQ206" s="120" t="n"/>
      <c r="AR206" s="120" t="n"/>
      <c r="AS206" s="120" t="n"/>
    </row>
    <row r="207">
      <c r="A207" s="8" t="n"/>
      <c r="B207" s="14" t="n"/>
      <c r="C207" s="120" t="n"/>
      <c r="D207" s="120" t="n"/>
      <c r="E207" s="120" t="n"/>
      <c r="F207" s="120" t="n"/>
      <c r="G207" s="120" t="n"/>
      <c r="H207" s="138" t="n">
        <v>2</v>
      </c>
      <c r="I207" s="139" t="n">
        <v>2</v>
      </c>
      <c r="J207" s="123">
        <f>DADOS_INVOC!$GS$3</f>
        <v/>
      </c>
      <c r="K207" s="19" t="n"/>
      <c r="L207" s="19" t="n"/>
      <c r="M207" s="19" t="n"/>
      <c r="N207" s="19" t="n"/>
      <c r="O207" s="19" t="n"/>
      <c r="P207" s="19" t="n"/>
      <c r="Q207" s="19" t="n"/>
      <c r="R207" s="19" t="n"/>
      <c r="S207" s="19" t="n"/>
      <c r="T207" s="19" t="n"/>
      <c r="U207" s="19" t="n"/>
      <c r="V207" s="19" t="n"/>
      <c r="W207" s="19" t="n"/>
      <c r="X207" s="19" t="n"/>
      <c r="Y207" s="20" t="n"/>
      <c r="Z207" s="120" t="n"/>
      <c r="AA207" s="138" t="n">
        <v>8</v>
      </c>
      <c r="AB207" s="139" t="n">
        <v>8</v>
      </c>
      <c r="AC207" s="123">
        <f>DADOS_INVOC!$GS$9</f>
        <v/>
      </c>
      <c r="AD207" s="19" t="n"/>
      <c r="AE207" s="19" t="n"/>
      <c r="AF207" s="19" t="n"/>
      <c r="AG207" s="19" t="n"/>
      <c r="AH207" s="19" t="n"/>
      <c r="AI207" s="19" t="n"/>
      <c r="AJ207" s="19" t="n"/>
      <c r="AK207" s="19" t="n"/>
      <c r="AL207" s="19" t="n"/>
      <c r="AM207" s="19" t="n"/>
      <c r="AN207" s="19" t="n"/>
      <c r="AO207" s="19" t="n"/>
      <c r="AP207" s="19" t="n"/>
      <c r="AQ207" s="19" t="n"/>
      <c r="AR207" s="20" t="n"/>
      <c r="AS207" s="120" t="n"/>
    </row>
    <row r="208">
      <c r="A208" s="8" t="n"/>
      <c r="B208" s="14" t="n"/>
      <c r="C208" s="120" t="n"/>
      <c r="D208" s="120" t="n"/>
      <c r="E208" s="120" t="n"/>
      <c r="F208" s="120" t="n"/>
      <c r="G208" s="120" t="n"/>
      <c r="I208" s="125" t="n"/>
      <c r="J208" s="23" t="n"/>
      <c r="K208" s="24" t="n"/>
      <c r="L208" s="24" t="n"/>
      <c r="M208" s="24" t="n"/>
      <c r="N208" s="24" t="n"/>
      <c r="O208" s="24" t="n"/>
      <c r="P208" s="24" t="n"/>
      <c r="Q208" s="24" t="n"/>
      <c r="R208" s="24" t="n"/>
      <c r="S208" s="24" t="n"/>
      <c r="T208" s="24" t="n"/>
      <c r="U208" s="24" t="n"/>
      <c r="V208" s="24" t="n"/>
      <c r="W208" s="24" t="n"/>
      <c r="X208" s="24" t="n"/>
      <c r="Y208" s="25" t="n"/>
      <c r="Z208" s="120"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20" t="n"/>
    </row>
    <row r="209" hidden="1" outlineLevel="1">
      <c r="A209" s="8" t="n"/>
      <c r="B209" s="14" t="n"/>
      <c r="C209" s="120" t="n"/>
      <c r="D209" s="120" t="n"/>
      <c r="E209" s="120" t="n"/>
      <c r="F209" s="120" t="n"/>
      <c r="G209" s="120" t="n"/>
      <c r="H209" s="140">
        <f>DADOS_INVOC!$GT$3</f>
        <v/>
      </c>
      <c r="I209" s="120" t="n"/>
      <c r="J209" s="120" t="n"/>
      <c r="K209" s="120" t="n"/>
      <c r="L209" s="120" t="n"/>
      <c r="M209" s="120" t="n"/>
      <c r="N209" s="120" t="n"/>
      <c r="O209" s="120" t="n"/>
      <c r="P209" s="120" t="n"/>
      <c r="Q209" s="120" t="n"/>
      <c r="R209" s="120" t="n"/>
      <c r="S209" s="120" t="n"/>
      <c r="T209" s="120" t="n"/>
      <c r="U209" s="120" t="n"/>
      <c r="V209" s="120" t="n"/>
      <c r="W209" s="120" t="n"/>
      <c r="X209" s="120" t="n"/>
      <c r="Y209" s="120" t="n"/>
      <c r="Z209" s="120" t="n"/>
      <c r="AA209" s="140">
        <f>DADOS_INVOC!$GT$9</f>
        <v/>
      </c>
      <c r="AB209" s="120" t="n"/>
      <c r="AC209" s="120" t="n"/>
      <c r="AD209" s="120" t="n"/>
      <c r="AE209" s="120" t="n"/>
      <c r="AF209" s="120" t="n"/>
      <c r="AG209" s="120" t="n"/>
      <c r="AH209" s="120" t="n"/>
      <c r="AI209" s="120" t="n"/>
      <c r="AJ209" s="120" t="n"/>
      <c r="AK209" s="120" t="n"/>
      <c r="AL209" s="120" t="n"/>
      <c r="AM209" s="120" t="n"/>
      <c r="AN209" s="120" t="n"/>
      <c r="AO209" s="120" t="n"/>
      <c r="AP209" s="120" t="n"/>
      <c r="AQ209" s="120" t="n"/>
      <c r="AR209" s="120" t="n"/>
      <c r="AS209" s="120" t="n"/>
    </row>
    <row r="210" hidden="1" outlineLevel="1">
      <c r="A210" s="8" t="n"/>
      <c r="B210" s="14" t="n"/>
      <c r="C210" s="120" t="n"/>
      <c r="D210" s="120" t="n"/>
      <c r="E210" s="120" t="n"/>
      <c r="F210" s="120" t="n"/>
      <c r="G210" s="120" t="n"/>
      <c r="I210" s="55" t="inlineStr">
        <is>
          <t>NOME</t>
        </is>
      </c>
      <c r="J210" s="16" t="n"/>
      <c r="K210" s="16" t="n"/>
      <c r="L210" s="16" t="n"/>
      <c r="M210" s="17" t="n"/>
      <c r="N210" s="120" t="n"/>
      <c r="O210" s="55" t="inlineStr">
        <is>
          <t>NÍVEL</t>
        </is>
      </c>
      <c r="P210" s="55" t="inlineStr">
        <is>
          <t>CLASSE</t>
        </is>
      </c>
      <c r="Q210" s="55" t="inlineStr">
        <is>
          <t>MAESTRIA</t>
        </is>
      </c>
      <c r="R210" s="55" t="inlineStr">
        <is>
          <t>ENTRADA</t>
        </is>
      </c>
      <c r="S210" s="55" t="inlineStr">
        <is>
          <t>RETORNO</t>
        </is>
      </c>
      <c r="T210" s="120" t="n"/>
      <c r="U210" s="55" t="inlineStr">
        <is>
          <t>VIDA ATUAL</t>
        </is>
      </c>
      <c r="V210" s="55" t="inlineStr">
        <is>
          <t>VIDA MÁXIMA</t>
        </is>
      </c>
      <c r="W210" s="55" t="inlineStr">
        <is>
          <t>TEMPORÁRIA</t>
        </is>
      </c>
      <c r="X210" s="55" t="inlineStr">
        <is>
          <t>± PERDA / GANHO</t>
        </is>
      </c>
      <c r="Y210" s="55">
        <f>DADOS_INVOC!$HN$3</f>
        <v/>
      </c>
      <c r="Z210" s="120" t="n"/>
      <c r="AB210" s="55" t="inlineStr">
        <is>
          <t>NOME</t>
        </is>
      </c>
      <c r="AC210" s="16" t="n"/>
      <c r="AD210" s="16" t="n"/>
      <c r="AE210" s="16" t="n"/>
      <c r="AF210" s="17" t="n"/>
      <c r="AG210" s="120" t="n"/>
      <c r="AH210" s="55" t="inlineStr">
        <is>
          <t>NÍVEL</t>
        </is>
      </c>
      <c r="AI210" s="55" t="inlineStr">
        <is>
          <t>CLASSE</t>
        </is>
      </c>
      <c r="AJ210" s="55" t="inlineStr">
        <is>
          <t>MAESTRIA</t>
        </is>
      </c>
      <c r="AK210" s="55" t="inlineStr">
        <is>
          <t>ENTRADA</t>
        </is>
      </c>
      <c r="AL210" s="55" t="inlineStr">
        <is>
          <t>RETORNO</t>
        </is>
      </c>
      <c r="AM210" s="120" t="n"/>
      <c r="AN210" s="55" t="inlineStr">
        <is>
          <t>VIDA ATUAL</t>
        </is>
      </c>
      <c r="AO210" s="55" t="inlineStr">
        <is>
          <t>VIDA MÁXIMA</t>
        </is>
      </c>
      <c r="AP210" s="55" t="inlineStr">
        <is>
          <t>TEMPORÁRIA</t>
        </is>
      </c>
      <c r="AQ210" s="55" t="inlineStr">
        <is>
          <t>± PERDA / GANHO</t>
        </is>
      </c>
      <c r="AR210" s="55">
        <f>DADOS_INVOC!$HN$9</f>
        <v/>
      </c>
      <c r="AS210" s="120" t="n"/>
    </row>
    <row r="211" hidden="1" outlineLevel="1">
      <c r="A211" s="8" t="n"/>
      <c r="B211" s="14" t="n"/>
      <c r="C211" s="120" t="n"/>
      <c r="D211" s="120" t="n"/>
      <c r="E211" s="120" t="n"/>
      <c r="F211" s="120" t="n"/>
      <c r="G211" s="120" t="n"/>
      <c r="I211" s="83" t="n"/>
      <c r="J211" s="19" t="n"/>
      <c r="K211" s="19" t="n"/>
      <c r="L211" s="19" t="n"/>
      <c r="M211" s="20" t="n"/>
      <c r="N211" s="120" t="n"/>
      <c r="O211" s="92">
        <f>DADOS_INVOC!$FG$3</f>
        <v/>
      </c>
      <c r="P211" s="92">
        <f>DADOS_INVOC!$FH$3</f>
        <v/>
      </c>
      <c r="Q211" s="92">
        <f>DADOS_INVOC!$GU$3</f>
        <v/>
      </c>
      <c r="R211" s="92">
        <f>DADOS_INVOC!$GV$3</f>
        <v/>
      </c>
      <c r="S211" s="92">
        <f>DADOS_INVOC!$GW$3</f>
        <v/>
      </c>
      <c r="T211" s="120" t="n"/>
      <c r="U211" s="92" t="n"/>
      <c r="V211" s="92">
        <f>DADOS_INVOC!$FX$3</f>
        <v/>
      </c>
      <c r="W211" s="92" t="n"/>
      <c r="X211" s="92" t="n"/>
      <c r="Y211" s="92" t="n"/>
      <c r="Z211" s="120" t="n"/>
      <c r="AB211" s="83" t="n"/>
      <c r="AC211" s="19" t="n"/>
      <c r="AD211" s="19" t="n"/>
      <c r="AE211" s="19" t="n"/>
      <c r="AF211" s="20" t="n"/>
      <c r="AG211" s="120" t="n"/>
      <c r="AH211" s="92">
        <f>DADOS_INVOC!$FG$9</f>
        <v/>
      </c>
      <c r="AI211" s="92">
        <f>DADOS_INVOC!$FH$9</f>
        <v/>
      </c>
      <c r="AJ211" s="92">
        <f>DADOS_INVOC!$GU$9</f>
        <v/>
      </c>
      <c r="AK211" s="92">
        <f>DADOS_INVOC!$GV$9</f>
        <v/>
      </c>
      <c r="AL211" s="92">
        <f>DADOS_INVOC!$GW$9</f>
        <v/>
      </c>
      <c r="AM211" s="120" t="n"/>
      <c r="AN211" s="92" t="n"/>
      <c r="AO211" s="92">
        <f>DADOS_INVOC!$FX$9</f>
        <v/>
      </c>
      <c r="AP211" s="92" t="n"/>
      <c r="AQ211" s="92" t="n"/>
      <c r="AR211" s="92" t="n"/>
      <c r="AS211" s="120" t="n"/>
    </row>
    <row r="212" hidden="1" outlineLevel="1">
      <c r="A212" s="8" t="n"/>
      <c r="B212" s="14" t="n"/>
      <c r="C212" s="120" t="n"/>
      <c r="D212" s="120" t="n"/>
      <c r="E212" s="120" t="n"/>
      <c r="F212" s="120" t="n"/>
      <c r="G212" s="120" t="n"/>
      <c r="I212" s="23" t="n"/>
      <c r="J212" s="24" t="n"/>
      <c r="K212" s="24" t="n"/>
      <c r="L212" s="24" t="n"/>
      <c r="M212" s="25" t="n"/>
      <c r="N212" s="120" t="n"/>
      <c r="O212" s="125" t="n"/>
      <c r="P212" s="125" t="n"/>
      <c r="Q212" s="125" t="n"/>
      <c r="R212" s="125" t="n"/>
      <c r="S212" s="125" t="n"/>
      <c r="T212" s="120" t="n"/>
      <c r="U212" s="125" t="n"/>
      <c r="V212" s="125" t="n"/>
      <c r="W212" s="125" t="n"/>
      <c r="X212" s="125" t="n"/>
      <c r="Y212" s="125" t="n"/>
      <c r="Z212" s="120" t="n"/>
      <c r="AB212" s="23" t="n"/>
      <c r="AC212" s="24" t="n"/>
      <c r="AD212" s="24" t="n"/>
      <c r="AE212" s="24" t="n"/>
      <c r="AF212" s="25" t="n"/>
      <c r="AG212" s="120" t="n"/>
      <c r="AH212" s="125" t="n"/>
      <c r="AI212" s="125" t="n"/>
      <c r="AJ212" s="125" t="n"/>
      <c r="AK212" s="125" t="n"/>
      <c r="AL212" s="125" t="n"/>
      <c r="AM212" s="120" t="n"/>
      <c r="AN212" s="125" t="n"/>
      <c r="AO212" s="125" t="n"/>
      <c r="AP212" s="125" t="n"/>
      <c r="AQ212" s="125" t="n"/>
      <c r="AR212" s="125" t="n"/>
      <c r="AS212" s="120" t="n"/>
    </row>
    <row r="213" hidden="1" outlineLevel="1">
      <c r="A213" s="8" t="n"/>
      <c r="B213" s="14" t="n"/>
      <c r="C213" s="120" t="n"/>
      <c r="D213" s="120" t="n"/>
      <c r="E213" s="120" t="n"/>
      <c r="F213" s="120" t="n"/>
      <c r="G213" s="120" t="n"/>
      <c r="I213" s="141" t="inlineStr">
        <is>
          <t>FOTO
式神</t>
        </is>
      </c>
      <c r="J213" s="19" t="n"/>
      <c r="K213" s="19" t="n"/>
      <c r="L213" s="19" t="n"/>
      <c r="M213" s="20" t="n"/>
      <c r="N213" s="120" t="n"/>
      <c r="O213" s="120" t="n"/>
      <c r="P213" s="120" t="n"/>
      <c r="Q213" s="120" t="n"/>
      <c r="R213" s="120" t="n"/>
      <c r="S213" s="120" t="n"/>
      <c r="T213" s="120" t="n"/>
      <c r="U213" s="130">
        <f>IFERROR(SPARKLINE(DADOS_INVOC!$FY$3,{"charttype","bar";"max",MAX(1,DADOS_INVOC!$FX$3);"color1",DADOS_INVOC!$CW$12}),"")</f>
        <v/>
      </c>
      <c r="V213" s="16" t="n"/>
      <c r="W213" s="16" t="n"/>
      <c r="X213" s="16" t="n"/>
      <c r="Y213" s="17" t="n"/>
      <c r="Z213" s="120" t="n"/>
      <c r="AB213" s="141" t="inlineStr">
        <is>
          <t>FOTO
式神</t>
        </is>
      </c>
      <c r="AC213" s="19" t="n"/>
      <c r="AD213" s="19" t="n"/>
      <c r="AE213" s="19" t="n"/>
      <c r="AF213" s="20" t="n"/>
      <c r="AG213" s="120" t="n"/>
      <c r="AH213" s="120" t="n"/>
      <c r="AI213" s="120" t="n"/>
      <c r="AJ213" s="120" t="n"/>
      <c r="AK213" s="120" t="n"/>
      <c r="AL213" s="120" t="n"/>
      <c r="AM213" s="120" t="n"/>
      <c r="AN213" s="130">
        <f>IFERROR(SPARKLINE(DADOS_INVOC!$FY$9,{"charttype","bar";"max",MAX(1,DADOS_INVOC!$FX$9);"color1",DADOS_INVOC!$CW$12}),"")</f>
        <v/>
      </c>
      <c r="AO213" s="16" t="n"/>
      <c r="AP213" s="16" t="n"/>
      <c r="AQ213" s="16" t="n"/>
      <c r="AR213" s="17" t="n"/>
      <c r="AS213" s="120" t="n"/>
    </row>
    <row r="214" hidden="1" outlineLevel="1">
      <c r="A214" s="8" t="n"/>
      <c r="B214" s="14" t="n"/>
      <c r="C214" s="120" t="n"/>
      <c r="D214" s="120" t="n"/>
      <c r="E214" s="120" t="n"/>
      <c r="F214" s="120" t="n"/>
      <c r="G214" s="120" t="n"/>
      <c r="I214" s="21" t="n"/>
      <c r="M214" s="22" t="n"/>
      <c r="N214" s="120" t="n"/>
      <c r="O214" s="55">
        <f>DADOS_INVOC!$GX$3</f>
        <v/>
      </c>
      <c r="P214" s="16" t="n"/>
      <c r="Q214" s="16" t="n"/>
      <c r="R214" s="16" t="n"/>
      <c r="S214" s="17" t="n"/>
      <c r="T214" s="120" t="n"/>
      <c r="U214" s="120" t="n"/>
      <c r="V214" s="120" t="n"/>
      <c r="W214" s="120" t="n"/>
      <c r="X214" s="120" t="n"/>
      <c r="Y214" s="120" t="n"/>
      <c r="Z214" s="120" t="n"/>
      <c r="AB214" s="21" t="n"/>
      <c r="AF214" s="22" t="n"/>
      <c r="AG214" s="120" t="n"/>
      <c r="AH214" s="55">
        <f>DADOS_INVOC!$GX$9</f>
        <v/>
      </c>
      <c r="AI214" s="16" t="n"/>
      <c r="AJ214" s="16" t="n"/>
      <c r="AK214" s="16" t="n"/>
      <c r="AL214" s="17" t="n"/>
      <c r="AM214" s="120" t="n"/>
      <c r="AN214" s="120" t="n"/>
      <c r="AO214" s="120" t="n"/>
      <c r="AP214" s="120" t="n"/>
      <c r="AQ214" s="120" t="n"/>
      <c r="AR214" s="120" t="n"/>
      <c r="AS214" s="120" t="n"/>
    </row>
    <row r="215" hidden="1" outlineLevel="1">
      <c r="A215" s="8" t="n"/>
      <c r="B215" s="14" t="n"/>
      <c r="C215" s="120" t="n"/>
      <c r="D215" s="120" t="n"/>
      <c r="E215" s="120" t="n"/>
      <c r="F215" s="120" t="n"/>
      <c r="G215" s="120" t="n"/>
      <c r="I215" s="21" t="n"/>
      <c r="M215" s="22" t="n"/>
      <c r="N215" s="120" t="n"/>
      <c r="O215" s="55" t="inlineStr">
        <is>
          <t>FOR</t>
        </is>
      </c>
      <c r="P215" s="55" t="inlineStr">
        <is>
          <t>DES</t>
        </is>
      </c>
      <c r="Q215" s="55" t="inlineStr">
        <is>
          <t>CON</t>
        </is>
      </c>
      <c r="R215" s="55" t="inlineStr">
        <is>
          <t>INT</t>
        </is>
      </c>
      <c r="S215" s="55" t="inlineStr">
        <is>
          <t>ESS</t>
        </is>
      </c>
      <c r="T215" s="120" t="n"/>
      <c r="U215" s="55" t="inlineStr">
        <is>
          <t>CONDIÇÕES E USOS GASTOS</t>
        </is>
      </c>
      <c r="V215" s="16" t="n"/>
      <c r="W215" s="16" t="n"/>
      <c r="X215" s="16" t="n"/>
      <c r="Y215" s="17" t="n"/>
      <c r="Z215" s="120" t="n"/>
      <c r="AB215" s="21" t="n"/>
      <c r="AF215" s="22" t="n"/>
      <c r="AG215" s="120" t="n"/>
      <c r="AH215" s="55" t="inlineStr">
        <is>
          <t>FOR</t>
        </is>
      </c>
      <c r="AI215" s="55" t="inlineStr">
        <is>
          <t>DES</t>
        </is>
      </c>
      <c r="AJ215" s="55" t="inlineStr">
        <is>
          <t>CON</t>
        </is>
      </c>
      <c r="AK215" s="55" t="inlineStr">
        <is>
          <t>INT</t>
        </is>
      </c>
      <c r="AL215" s="55" t="inlineStr">
        <is>
          <t>ESS</t>
        </is>
      </c>
      <c r="AM215" s="120" t="n"/>
      <c r="AN215" s="55" t="inlineStr">
        <is>
          <t>CONDIÇÕES E USOS GASTOS</t>
        </is>
      </c>
      <c r="AO215" s="16" t="n"/>
      <c r="AP215" s="16" t="n"/>
      <c r="AQ215" s="16" t="n"/>
      <c r="AR215" s="17" t="n"/>
      <c r="AS215" s="120" t="n"/>
    </row>
    <row r="216" hidden="1" outlineLevel="1">
      <c r="A216" s="8" t="n"/>
      <c r="B216" s="14" t="n"/>
      <c r="C216" s="120" t="n"/>
      <c r="D216" s="120" t="n"/>
      <c r="E216" s="120" t="n"/>
      <c r="F216" s="120" t="n"/>
      <c r="G216" s="120" t="n"/>
      <c r="I216" s="21" t="n"/>
      <c r="M216" s="22" t="n"/>
      <c r="N216" s="120" t="n"/>
      <c r="O216" s="92">
        <f>DADOS_INVOC!$FJ$3</f>
        <v/>
      </c>
      <c r="P216" s="92">
        <f>DADOS_INVOC!$FK$3</f>
        <v/>
      </c>
      <c r="Q216" s="92">
        <f>DADOS_INVOC!$FL$3</f>
        <v/>
      </c>
      <c r="R216" s="92">
        <f>DADOS_INVOC!$FM$3</f>
        <v/>
      </c>
      <c r="S216" s="92">
        <f>DADOS_INVOC!$FN$3</f>
        <v/>
      </c>
      <c r="T216" s="120" t="n"/>
      <c r="U216" s="116" t="n"/>
      <c r="V216" s="19" t="n"/>
      <c r="W216" s="19" t="n"/>
      <c r="X216" s="19" t="n"/>
      <c r="Y216" s="20" t="n"/>
      <c r="Z216" s="120" t="n"/>
      <c r="AB216" s="21" t="n"/>
      <c r="AF216" s="22" t="n"/>
      <c r="AG216" s="120" t="n"/>
      <c r="AH216" s="92">
        <f>DADOS_INVOC!$FJ$9</f>
        <v/>
      </c>
      <c r="AI216" s="92">
        <f>DADOS_INVOC!$FK$9</f>
        <v/>
      </c>
      <c r="AJ216" s="92">
        <f>DADOS_INVOC!$FL$9</f>
        <v/>
      </c>
      <c r="AK216" s="92">
        <f>DADOS_INVOC!$FM$9</f>
        <v/>
      </c>
      <c r="AL216" s="92">
        <f>DADOS_INVOC!$FN$9</f>
        <v/>
      </c>
      <c r="AM216" s="120" t="n"/>
      <c r="AN216" s="116" t="n"/>
      <c r="AO216" s="19" t="n"/>
      <c r="AP216" s="19" t="n"/>
      <c r="AQ216" s="19" t="n"/>
      <c r="AR216" s="20" t="n"/>
      <c r="AS216" s="120" t="n"/>
    </row>
    <row r="217" hidden="1" outlineLevel="1">
      <c r="A217" s="8" t="n"/>
      <c r="B217" s="14" t="n"/>
      <c r="C217" s="120" t="n"/>
      <c r="D217" s="120" t="n"/>
      <c r="E217" s="120" t="n"/>
      <c r="F217" s="120" t="n"/>
      <c r="G217" s="120" t="n"/>
      <c r="I217" s="21" t="n"/>
      <c r="M217" s="22" t="n"/>
      <c r="N217" s="120" t="n"/>
      <c r="O217" s="125" t="n"/>
      <c r="P217" s="125" t="n"/>
      <c r="Q217" s="125" t="n"/>
      <c r="R217" s="125" t="n"/>
      <c r="S217" s="125" t="n"/>
      <c r="T217" s="120" t="n"/>
      <c r="U217" s="21" t="n"/>
      <c r="Y217" s="22" t="n"/>
      <c r="Z217" s="120" t="n"/>
      <c r="AB217" s="21" t="n"/>
      <c r="AF217" s="22" t="n"/>
      <c r="AG217" s="120" t="n"/>
      <c r="AH217" s="125" t="n"/>
      <c r="AI217" s="125" t="n"/>
      <c r="AJ217" s="125" t="n"/>
      <c r="AK217" s="125" t="n"/>
      <c r="AL217" s="125" t="n"/>
      <c r="AM217" s="120" t="n"/>
      <c r="AN217" s="21" t="n"/>
      <c r="AR217" s="22" t="n"/>
      <c r="AS217" s="120" t="n"/>
    </row>
    <row r="218" hidden="1" outlineLevel="1">
      <c r="A218" s="8" t="n"/>
      <c r="B218" s="14" t="n"/>
      <c r="C218" s="120" t="n"/>
      <c r="D218" s="120" t="n"/>
      <c r="E218" s="120" t="n"/>
      <c r="F218" s="120" t="n"/>
      <c r="G218" s="120" t="n"/>
      <c r="I218" s="21" t="n"/>
      <c r="M218" s="22" t="n"/>
      <c r="N218" s="120" t="n"/>
      <c r="O218" s="142" t="n">
        <v>0</v>
      </c>
      <c r="P218" s="142" t="n">
        <v>0</v>
      </c>
      <c r="Q218" s="142" t="n">
        <v>0</v>
      </c>
      <c r="R218" s="142" t="n">
        <v>0</v>
      </c>
      <c r="S218" s="142" t="n">
        <v>0</v>
      </c>
      <c r="T218" s="120" t="n"/>
      <c r="U218" s="21" t="n"/>
      <c r="Y218" s="22" t="n"/>
      <c r="Z218" s="120" t="n"/>
      <c r="AB218" s="21" t="n"/>
      <c r="AF218" s="22" t="n"/>
      <c r="AG218" s="120" t="n"/>
      <c r="AH218" s="142" t="n">
        <v>0</v>
      </c>
      <c r="AI218" s="142" t="n">
        <v>0</v>
      </c>
      <c r="AJ218" s="142" t="n">
        <v>0</v>
      </c>
      <c r="AK218" s="142" t="n">
        <v>0</v>
      </c>
      <c r="AL218" s="142" t="n">
        <v>0</v>
      </c>
      <c r="AM218" s="120" t="n"/>
      <c r="AN218" s="21" t="n"/>
      <c r="AR218" s="22" t="n"/>
      <c r="AS218" s="120" t="n"/>
    </row>
    <row r="219" hidden="1" outlineLevel="1">
      <c r="A219" s="8" t="n"/>
      <c r="B219" s="14" t="n"/>
      <c r="C219" s="120" t="n"/>
      <c r="D219" s="120" t="n"/>
      <c r="E219" s="120" t="n"/>
      <c r="F219" s="120" t="n"/>
      <c r="G219" s="120" t="n"/>
      <c r="I219" s="21" t="n"/>
      <c r="M219" s="22" t="n"/>
      <c r="N219" s="120" t="n"/>
      <c r="O219" s="144" t="n">
        <v>0</v>
      </c>
      <c r="P219" s="144" t="n">
        <v>0</v>
      </c>
      <c r="Q219" s="144" t="n">
        <v>0</v>
      </c>
      <c r="R219" s="144" t="n">
        <v>0</v>
      </c>
      <c r="S219" s="144" t="n">
        <v>0</v>
      </c>
      <c r="T219" s="120" t="n"/>
      <c r="U219" s="21" t="n"/>
      <c r="Y219" s="22" t="n"/>
      <c r="Z219" s="120" t="n"/>
      <c r="AB219" s="21" t="n"/>
      <c r="AF219" s="22" t="n"/>
      <c r="AG219" s="120" t="n"/>
      <c r="AH219" s="144" t="n">
        <v>0</v>
      </c>
      <c r="AI219" s="144" t="n">
        <v>0</v>
      </c>
      <c r="AJ219" s="144" t="n">
        <v>0</v>
      </c>
      <c r="AK219" s="144" t="n">
        <v>0</v>
      </c>
      <c r="AL219" s="144" t="n">
        <v>0</v>
      </c>
      <c r="AM219" s="120" t="n"/>
      <c r="AN219" s="21" t="n"/>
      <c r="AR219" s="22" t="n"/>
      <c r="AS219" s="120" t="n"/>
    </row>
    <row r="220" hidden="1" outlineLevel="1">
      <c r="A220" s="8" t="n"/>
      <c r="B220" s="14" t="n"/>
      <c r="C220" s="120" t="n"/>
      <c r="D220" s="120" t="n"/>
      <c r="E220" s="120" t="n"/>
      <c r="F220" s="120" t="n"/>
      <c r="G220" s="120" t="n"/>
      <c r="I220" s="21" t="n"/>
      <c r="M220" s="22" t="n"/>
      <c r="N220" s="120" t="n"/>
      <c r="O220" s="120" t="n"/>
      <c r="P220" s="120" t="n"/>
      <c r="Q220" s="120" t="n"/>
      <c r="R220" s="120" t="n"/>
      <c r="S220" s="120" t="n"/>
      <c r="T220" s="120" t="n"/>
      <c r="U220" s="21" t="n"/>
      <c r="Y220" s="22" t="n"/>
      <c r="Z220" s="120" t="n"/>
      <c r="AB220" s="21" t="n"/>
      <c r="AF220" s="22" t="n"/>
      <c r="AG220" s="120" t="n"/>
      <c r="AH220" s="120" t="n"/>
      <c r="AI220" s="120" t="n"/>
      <c r="AJ220" s="120" t="n"/>
      <c r="AK220" s="120" t="n"/>
      <c r="AL220" s="120" t="n"/>
      <c r="AM220" s="120" t="n"/>
      <c r="AN220" s="21" t="n"/>
      <c r="AR220" s="22" t="n"/>
      <c r="AS220" s="120" t="n"/>
    </row>
    <row r="221" hidden="1" outlineLevel="1">
      <c r="A221" s="8" t="n"/>
      <c r="B221" s="14" t="n"/>
      <c r="C221" s="120" t="n"/>
      <c r="D221" s="120" t="n"/>
      <c r="E221" s="120" t="n"/>
      <c r="F221" s="120" t="n"/>
      <c r="G221" s="120" t="n"/>
      <c r="I221" s="21" t="n"/>
      <c r="M221" s="22" t="n"/>
      <c r="N221" s="120" t="n"/>
      <c r="O221" s="55" t="inlineStr">
        <is>
          <t>ATAQUE</t>
        </is>
      </c>
      <c r="P221" s="55" t="inlineStr">
        <is>
          <t>CD</t>
        </is>
      </c>
      <c r="Q221" s="55" t="inlineStr">
        <is>
          <t>DEFESA</t>
        </is>
      </c>
      <c r="R221" s="55" t="inlineStr">
        <is>
          <t>VIDA MÁXIMA</t>
        </is>
      </c>
      <c r="S221" s="55" t="inlineStr">
        <is>
          <t>DESLOCAMENTO</t>
        </is>
      </c>
      <c r="T221" s="120" t="n"/>
      <c r="U221" s="21" t="n"/>
      <c r="Y221" s="22" t="n"/>
      <c r="Z221" s="120" t="n"/>
      <c r="AB221" s="21" t="n"/>
      <c r="AF221" s="22" t="n"/>
      <c r="AG221" s="120" t="n"/>
      <c r="AH221" s="55" t="inlineStr">
        <is>
          <t>ATAQUE</t>
        </is>
      </c>
      <c r="AI221" s="55" t="inlineStr">
        <is>
          <t>CD</t>
        </is>
      </c>
      <c r="AJ221" s="55" t="inlineStr">
        <is>
          <t>DEFESA</t>
        </is>
      </c>
      <c r="AK221" s="55" t="inlineStr">
        <is>
          <t>VIDA MÁXIMA</t>
        </is>
      </c>
      <c r="AL221" s="55" t="inlineStr">
        <is>
          <t>DESLOCAMENTO</t>
        </is>
      </c>
      <c r="AM221" s="120" t="n"/>
      <c r="AN221" s="21" t="n"/>
      <c r="AR221" s="22" t="n"/>
      <c r="AS221" s="120" t="n"/>
    </row>
    <row r="222" hidden="1" outlineLevel="1">
      <c r="A222" s="8" t="n"/>
      <c r="B222" s="14" t="n"/>
      <c r="C222" s="120" t="n"/>
      <c r="D222" s="120" t="n"/>
      <c r="E222" s="120" t="n"/>
      <c r="F222" s="120" t="n"/>
      <c r="G222" s="120" t="n"/>
      <c r="I222" s="21" t="n"/>
      <c r="M222" s="22" t="n"/>
      <c r="N222" s="120" t="n"/>
      <c r="O222" s="92">
        <f>DADOS_INVOC!$GY$3</f>
        <v/>
      </c>
      <c r="P222" s="92">
        <f>DADOS_INVOC!$GZ$3</f>
        <v/>
      </c>
      <c r="Q222" s="92">
        <f>DADOS_INVOC!$FV$3</f>
        <v/>
      </c>
      <c r="R222" s="92">
        <f>DADOS_INVOC!$FX$3</f>
        <v/>
      </c>
      <c r="S222" s="92">
        <f>DADOS_INVOC!$HA$3</f>
        <v/>
      </c>
      <c r="T222" s="120" t="n"/>
      <c r="U222" s="23" t="n"/>
      <c r="V222" s="24" t="n"/>
      <c r="W222" s="24" t="n"/>
      <c r="X222" s="24" t="n"/>
      <c r="Y222" s="25" t="n"/>
      <c r="Z222" s="120" t="n"/>
      <c r="AB222" s="21" t="n"/>
      <c r="AF222" s="22" t="n"/>
      <c r="AG222" s="120" t="n"/>
      <c r="AH222" s="92">
        <f>DADOS_INVOC!$GY$9</f>
        <v/>
      </c>
      <c r="AI222" s="92">
        <f>DADOS_INVOC!$GZ$9</f>
        <v/>
      </c>
      <c r="AJ222" s="92">
        <f>DADOS_INVOC!$FV$9</f>
        <v/>
      </c>
      <c r="AK222" s="92">
        <f>DADOS_INVOC!$FX$9</f>
        <v/>
      </c>
      <c r="AL222" s="92">
        <f>DADOS_INVOC!$HA$9</f>
        <v/>
      </c>
      <c r="AM222" s="120" t="n"/>
      <c r="AN222" s="23" t="n"/>
      <c r="AO222" s="24" t="n"/>
      <c r="AP222" s="24" t="n"/>
      <c r="AQ222" s="24" t="n"/>
      <c r="AR222" s="25" t="n"/>
      <c r="AS222" s="120" t="n"/>
    </row>
    <row r="223" hidden="1" outlineLevel="1">
      <c r="A223" s="8" t="n"/>
      <c r="B223" s="14" t="n"/>
      <c r="C223" s="120" t="n"/>
      <c r="D223" s="120" t="n"/>
      <c r="E223" s="120" t="n"/>
      <c r="F223" s="120" t="n"/>
      <c r="G223" s="120" t="n"/>
      <c r="I223" s="21" t="n"/>
      <c r="M223" s="22" t="n"/>
      <c r="N223" s="120" t="n"/>
      <c r="O223" s="125" t="n"/>
      <c r="P223" s="125" t="n"/>
      <c r="Q223" s="125" t="n"/>
      <c r="R223" s="125" t="n"/>
      <c r="S223" s="125" t="n"/>
      <c r="T223" s="120" t="n"/>
      <c r="U223" s="120" t="n"/>
      <c r="V223" s="120" t="n"/>
      <c r="W223" s="120" t="n"/>
      <c r="X223" s="120" t="n"/>
      <c r="Y223" s="120" t="n"/>
      <c r="Z223" s="120" t="n"/>
      <c r="AB223" s="21" t="n"/>
      <c r="AF223" s="22" t="n"/>
      <c r="AG223" s="120" t="n"/>
      <c r="AH223" s="125" t="n"/>
      <c r="AI223" s="125" t="n"/>
      <c r="AJ223" s="125" t="n"/>
      <c r="AK223" s="125" t="n"/>
      <c r="AL223" s="125" t="n"/>
      <c r="AM223" s="120" t="n"/>
      <c r="AN223" s="120" t="n"/>
      <c r="AO223" s="120" t="n"/>
      <c r="AP223" s="120" t="n"/>
      <c r="AQ223" s="120" t="n"/>
      <c r="AR223" s="120" t="n"/>
      <c r="AS223" s="120" t="n"/>
    </row>
    <row r="224" hidden="1" outlineLevel="1">
      <c r="A224" s="8" t="n"/>
      <c r="B224" s="14" t="n"/>
      <c r="C224" s="120" t="n"/>
      <c r="D224" s="120" t="n"/>
      <c r="E224" s="120" t="n"/>
      <c r="F224" s="120" t="n"/>
      <c r="G224" s="120" t="n"/>
      <c r="I224" s="21" t="n"/>
      <c r="M224" s="22" t="n"/>
      <c r="N224" s="120" t="n"/>
      <c r="O224" s="144" t="n">
        <v>0</v>
      </c>
      <c r="P224" s="144" t="n">
        <v>0</v>
      </c>
      <c r="Q224" s="144" t="n">
        <v>0</v>
      </c>
      <c r="R224" s="144" t="n">
        <v>0</v>
      </c>
      <c r="S224" s="144" t="n">
        <v>0</v>
      </c>
      <c r="T224" s="120" t="n"/>
      <c r="U224" s="55" t="inlineStr">
        <is>
          <t>ANOTAÇÕES</t>
        </is>
      </c>
      <c r="V224" s="16" t="n"/>
      <c r="W224" s="16" t="n"/>
      <c r="X224" s="16" t="n"/>
      <c r="Y224" s="17" t="n"/>
      <c r="Z224" s="120" t="n"/>
      <c r="AB224" s="21" t="n"/>
      <c r="AF224" s="22" t="n"/>
      <c r="AG224" s="120" t="n"/>
      <c r="AH224" s="144" t="n">
        <v>0</v>
      </c>
      <c r="AI224" s="144" t="n">
        <v>0</v>
      </c>
      <c r="AJ224" s="144" t="n">
        <v>0</v>
      </c>
      <c r="AK224" s="144" t="n">
        <v>0</v>
      </c>
      <c r="AL224" s="144" t="n">
        <v>0</v>
      </c>
      <c r="AM224" s="120" t="n"/>
      <c r="AN224" s="55" t="inlineStr">
        <is>
          <t>ANOTAÇÕES</t>
        </is>
      </c>
      <c r="AO224" s="16" t="n"/>
      <c r="AP224" s="16" t="n"/>
      <c r="AQ224" s="16" t="n"/>
      <c r="AR224" s="17" t="n"/>
      <c r="AS224" s="120" t="n"/>
    </row>
    <row r="225" hidden="1" outlineLevel="1">
      <c r="A225" s="8" t="n"/>
      <c r="B225" s="14" t="n"/>
      <c r="C225" s="120" t="n"/>
      <c r="D225" s="120" t="n"/>
      <c r="E225" s="120" t="n"/>
      <c r="F225" s="120" t="n"/>
      <c r="G225" s="120" t="n"/>
      <c r="I225" s="21" t="n"/>
      <c r="M225" s="22" t="n"/>
      <c r="N225" s="120" t="n"/>
      <c r="O225" s="120" t="n"/>
      <c r="P225" s="120" t="n"/>
      <c r="Q225" s="120" t="n"/>
      <c r="R225" s="120" t="n"/>
      <c r="S225" s="120" t="n"/>
      <c r="T225" s="120" t="n"/>
      <c r="U225" s="116" t="n"/>
      <c r="V225" s="19" t="n"/>
      <c r="W225" s="19" t="n"/>
      <c r="X225" s="19" t="n"/>
      <c r="Y225" s="20" t="n"/>
      <c r="Z225" s="120" t="n"/>
      <c r="AB225" s="21" t="n"/>
      <c r="AF225" s="22" t="n"/>
      <c r="AG225" s="120" t="n"/>
      <c r="AH225" s="120" t="n"/>
      <c r="AI225" s="120" t="n"/>
      <c r="AJ225" s="120" t="n"/>
      <c r="AK225" s="120" t="n"/>
      <c r="AL225" s="120" t="n"/>
      <c r="AM225" s="120" t="n"/>
      <c r="AN225" s="116" t="n"/>
      <c r="AO225" s="19" t="n"/>
      <c r="AP225" s="19" t="n"/>
      <c r="AQ225" s="19" t="n"/>
      <c r="AR225" s="20" t="n"/>
      <c r="AS225" s="120" t="n"/>
    </row>
    <row r="226" hidden="1" outlineLevel="1">
      <c r="A226" s="8" t="n"/>
      <c r="B226" s="14" t="n"/>
      <c r="C226" s="120" t="n"/>
      <c r="D226" s="120" t="n"/>
      <c r="E226" s="120" t="n"/>
      <c r="F226" s="120" t="n"/>
      <c r="G226" s="120" t="n"/>
      <c r="I226" s="21" t="n"/>
      <c r="M226" s="22" t="n"/>
      <c r="N226" s="120" t="n"/>
      <c r="O226" s="55" t="inlineStr">
        <is>
          <t>FÍSICO</t>
        </is>
      </c>
      <c r="P226" s="55" t="inlineStr">
        <is>
          <t>VIGOR</t>
        </is>
      </c>
      <c r="Q226" s="55" t="inlineStr">
        <is>
          <t>INTELECTO</t>
        </is>
      </c>
      <c r="R226" s="55" t="inlineStr">
        <is>
          <t>ESPÍRITO</t>
        </is>
      </c>
      <c r="S226" s="55" t="inlineStr">
        <is>
          <t>CARGA MÁXIMA</t>
        </is>
      </c>
      <c r="T226" s="120" t="n"/>
      <c r="U226" s="21" t="n"/>
      <c r="Y226" s="22" t="n"/>
      <c r="Z226" s="120" t="n"/>
      <c r="AB226" s="21" t="n"/>
      <c r="AF226" s="22" t="n"/>
      <c r="AG226" s="120" t="n"/>
      <c r="AH226" s="55" t="inlineStr">
        <is>
          <t>FÍSICO</t>
        </is>
      </c>
      <c r="AI226" s="55" t="inlineStr">
        <is>
          <t>VIGOR</t>
        </is>
      </c>
      <c r="AJ226" s="55" t="inlineStr">
        <is>
          <t>INTELECTO</t>
        </is>
      </c>
      <c r="AK226" s="55" t="inlineStr">
        <is>
          <t>ESPÍRITO</t>
        </is>
      </c>
      <c r="AL226" s="55" t="inlineStr">
        <is>
          <t>CARGA MÁXIMA</t>
        </is>
      </c>
      <c r="AM226" s="120" t="n"/>
      <c r="AN226" s="21" t="n"/>
      <c r="AR226" s="22" t="n"/>
      <c r="AS226" s="120" t="n"/>
    </row>
    <row r="227" hidden="1" outlineLevel="1">
      <c r="A227" s="8" t="n"/>
      <c r="B227" s="14" t="n"/>
      <c r="C227" s="120" t="n"/>
      <c r="D227" s="120" t="n"/>
      <c r="E227" s="120" t="n"/>
      <c r="F227" s="120" t="n"/>
      <c r="G227" s="120" t="n"/>
      <c r="I227" s="21" t="n"/>
      <c r="M227" s="22" t="n"/>
      <c r="N227" s="120" t="n"/>
      <c r="O227" s="92">
        <f>DADOS_INVOC!$HB$3</f>
        <v/>
      </c>
      <c r="P227" s="92">
        <f>DADOS_INVOC!$HC$3</f>
        <v/>
      </c>
      <c r="Q227" s="92">
        <f>DADOS_INVOC!$HD$3</f>
        <v/>
      </c>
      <c r="R227" s="92">
        <f>DADOS_INVOC!$HE$3</f>
        <v/>
      </c>
      <c r="S227" s="92">
        <f>DADOS_INVOC!$GO$3</f>
        <v/>
      </c>
      <c r="T227" s="120" t="n"/>
      <c r="U227" s="21" t="n"/>
      <c r="Y227" s="22" t="n"/>
      <c r="Z227" s="120" t="n"/>
      <c r="AB227" s="21" t="n"/>
      <c r="AF227" s="22" t="n"/>
      <c r="AG227" s="120" t="n"/>
      <c r="AH227" s="92">
        <f>DADOS_INVOC!$HB$9</f>
        <v/>
      </c>
      <c r="AI227" s="92">
        <f>DADOS_INVOC!$HC$9</f>
        <v/>
      </c>
      <c r="AJ227" s="92">
        <f>DADOS_INVOC!$HD$9</f>
        <v/>
      </c>
      <c r="AK227" s="92">
        <f>DADOS_INVOC!$HE$9</f>
        <v/>
      </c>
      <c r="AL227" s="92">
        <f>DADOS_INVOC!$GO$9</f>
        <v/>
      </c>
      <c r="AM227" s="120" t="n"/>
      <c r="AN227" s="21" t="n"/>
      <c r="AR227" s="22" t="n"/>
      <c r="AS227" s="120" t="n"/>
    </row>
    <row r="228" hidden="1" outlineLevel="1">
      <c r="A228" s="8" t="n"/>
      <c r="B228" s="14" t="n"/>
      <c r="C228" s="120" t="n"/>
      <c r="D228" s="120" t="n"/>
      <c r="E228" s="120" t="n"/>
      <c r="F228" s="120" t="n"/>
      <c r="G228" s="120" t="n"/>
      <c r="I228" s="21" t="n"/>
      <c r="M228" s="22" t="n"/>
      <c r="N228" s="120" t="n"/>
      <c r="O228" s="125" t="n"/>
      <c r="P228" s="125" t="n"/>
      <c r="Q228" s="125" t="n"/>
      <c r="R228" s="125" t="n"/>
      <c r="S228" s="125" t="n"/>
      <c r="T228" s="120" t="n"/>
      <c r="U228" s="21" t="n"/>
      <c r="Y228" s="22" t="n"/>
      <c r="Z228" s="120" t="n"/>
      <c r="AB228" s="21" t="n"/>
      <c r="AF228" s="22" t="n"/>
      <c r="AG228" s="120" t="n"/>
      <c r="AH228" s="125" t="n"/>
      <c r="AI228" s="125" t="n"/>
      <c r="AJ228" s="125" t="n"/>
      <c r="AK228" s="125" t="n"/>
      <c r="AL228" s="125" t="n"/>
      <c r="AM228" s="120" t="n"/>
      <c r="AN228" s="21" t="n"/>
      <c r="AR228" s="22" t="n"/>
      <c r="AS228" s="120" t="n"/>
    </row>
    <row r="229" hidden="1" outlineLevel="1">
      <c r="A229" s="8" t="n"/>
      <c r="B229" s="14" t="n"/>
      <c r="C229" s="120" t="n"/>
      <c r="D229" s="120" t="n"/>
      <c r="E229" s="120" t="n"/>
      <c r="F229" s="120" t="n"/>
      <c r="G229" s="120" t="n"/>
      <c r="I229" s="21" t="n"/>
      <c r="M229" s="22" t="n"/>
      <c r="N229" s="120" t="n"/>
      <c r="O229" s="144" t="n">
        <v>0</v>
      </c>
      <c r="P229" s="144" t="n">
        <v>0</v>
      </c>
      <c r="Q229" s="144" t="n">
        <v>0</v>
      </c>
      <c r="R229" s="144" t="n">
        <v>0</v>
      </c>
      <c r="S229" s="120" t="n"/>
      <c r="T229" s="120" t="n"/>
      <c r="U229" s="21" t="n"/>
      <c r="Y229" s="22" t="n"/>
      <c r="Z229" s="120" t="n"/>
      <c r="AB229" s="21" t="n"/>
      <c r="AF229" s="22" t="n"/>
      <c r="AG229" s="120" t="n"/>
      <c r="AH229" s="144" t="n">
        <v>0</v>
      </c>
      <c r="AI229" s="144" t="n">
        <v>0</v>
      </c>
      <c r="AJ229" s="144" t="n">
        <v>0</v>
      </c>
      <c r="AK229" s="144" t="n">
        <v>0</v>
      </c>
      <c r="AL229" s="120" t="n"/>
      <c r="AM229" s="120" t="n"/>
      <c r="AN229" s="21" t="n"/>
      <c r="AR229" s="22" t="n"/>
      <c r="AS229" s="120" t="n"/>
    </row>
    <row r="230" hidden="1" outlineLevel="1">
      <c r="A230" s="8" t="n"/>
      <c r="B230" s="14" t="n"/>
      <c r="C230" s="120" t="n"/>
      <c r="D230" s="120" t="n"/>
      <c r="E230" s="120" t="n"/>
      <c r="F230" s="120" t="n"/>
      <c r="G230" s="120" t="n"/>
      <c r="I230" s="21" t="n"/>
      <c r="M230" s="22" t="n"/>
      <c r="N230" s="120" t="n"/>
      <c r="O230" s="120" t="n"/>
      <c r="P230" s="120" t="n"/>
      <c r="Q230" s="120" t="n"/>
      <c r="R230" s="120" t="n"/>
      <c r="S230" s="120" t="n"/>
      <c r="T230" s="120" t="n"/>
      <c r="U230" s="21" t="n"/>
      <c r="Y230" s="22" t="n"/>
      <c r="Z230" s="120" t="n"/>
      <c r="AB230" s="21" t="n"/>
      <c r="AF230" s="22" t="n"/>
      <c r="AG230" s="120" t="n"/>
      <c r="AH230" s="120" t="n"/>
      <c r="AI230" s="120" t="n"/>
      <c r="AJ230" s="120" t="n"/>
      <c r="AK230" s="120" t="n"/>
      <c r="AL230" s="120" t="n"/>
      <c r="AM230" s="120" t="n"/>
      <c r="AN230" s="21" t="n"/>
      <c r="AR230" s="22" t="n"/>
      <c r="AS230" s="120" t="n"/>
    </row>
    <row r="231" hidden="1" outlineLevel="1">
      <c r="A231" s="8" t="n"/>
      <c r="B231" s="14" t="n"/>
      <c r="C231" s="120" t="n"/>
      <c r="D231" s="120" t="n"/>
      <c r="E231" s="120" t="n"/>
      <c r="F231" s="120" t="n"/>
      <c r="G231" s="120" t="n"/>
      <c r="I231" s="21" t="n"/>
      <c r="M231" s="22" t="n"/>
      <c r="N231" s="120" t="n"/>
      <c r="O231" s="55" t="inlineStr">
        <is>
          <t>ATRIBUTO DE ACERTO</t>
        </is>
      </c>
      <c r="P231" s="17" t="n"/>
      <c r="Q231" s="55" t="inlineStr">
        <is>
          <t>FÍSICO USA</t>
        </is>
      </c>
      <c r="R231" s="17" t="n"/>
      <c r="S231" s="55" t="inlineStr">
        <is>
          <t>TR TREINADO</t>
        </is>
      </c>
      <c r="T231" s="120" t="n"/>
      <c r="U231" s="21" t="n"/>
      <c r="Y231" s="22" t="n"/>
      <c r="Z231" s="120" t="n"/>
      <c r="AB231" s="21" t="n"/>
      <c r="AF231" s="22" t="n"/>
      <c r="AG231" s="120" t="n"/>
      <c r="AH231" s="55" t="inlineStr">
        <is>
          <t>ATRIBUTO DE ACERTO</t>
        </is>
      </c>
      <c r="AI231" s="17" t="n"/>
      <c r="AJ231" s="55" t="inlineStr">
        <is>
          <t>FÍSICO USA</t>
        </is>
      </c>
      <c r="AK231" s="17" t="n"/>
      <c r="AL231" s="55" t="inlineStr">
        <is>
          <t>TR TREINADO</t>
        </is>
      </c>
      <c r="AM231" s="120" t="n"/>
      <c r="AN231" s="21" t="n"/>
      <c r="AR231" s="22" t="n"/>
      <c r="AS231" s="120" t="n"/>
    </row>
    <row r="232" hidden="1" outlineLevel="1">
      <c r="A232" s="8" t="n"/>
      <c r="B232" s="14" t="n"/>
      <c r="C232" s="120" t="n"/>
      <c r="D232" s="120" t="n"/>
      <c r="E232" s="120" t="n"/>
      <c r="F232" s="120" t="n"/>
      <c r="G232" s="120" t="n"/>
      <c r="I232" s="21" t="n"/>
      <c r="M232" s="22" t="n"/>
      <c r="N232" s="120" t="n"/>
      <c r="O232" s="124" t="n"/>
      <c r="P232" s="20" t="n"/>
      <c r="Q232" s="124" t="inlineStr">
        <is>
          <t>Força</t>
        </is>
      </c>
      <c r="R232" s="20" t="n"/>
      <c r="S232" s="124" t="n"/>
      <c r="T232" s="120" t="n"/>
      <c r="U232" s="21" t="n"/>
      <c r="Y232" s="22" t="n"/>
      <c r="Z232" s="120" t="n"/>
      <c r="AB232" s="21" t="n"/>
      <c r="AF232" s="22" t="n"/>
      <c r="AG232" s="120" t="n"/>
      <c r="AH232" s="124" t="n"/>
      <c r="AI232" s="20" t="n"/>
      <c r="AJ232" s="124" t="inlineStr">
        <is>
          <t>Força</t>
        </is>
      </c>
      <c r="AK232" s="20" t="n"/>
      <c r="AL232" s="124" t="n"/>
      <c r="AM232" s="120" t="n"/>
      <c r="AN232" s="21" t="n"/>
      <c r="AR232" s="22" t="n"/>
      <c r="AS232" s="120" t="n"/>
    </row>
    <row r="233" hidden="1" outlineLevel="1">
      <c r="A233" s="8" t="n"/>
      <c r="B233" s="14" t="n"/>
      <c r="C233" s="120" t="n"/>
      <c r="D233" s="120" t="n"/>
      <c r="E233" s="120" t="n"/>
      <c r="F233" s="120" t="n"/>
      <c r="G233" s="120" t="n"/>
      <c r="I233" s="21" t="n"/>
      <c r="M233" s="22" t="n"/>
      <c r="N233" s="120" t="n"/>
      <c r="O233" s="23" t="n"/>
      <c r="P233" s="25" t="n"/>
      <c r="Q233" s="23" t="n"/>
      <c r="R233" s="25" t="n"/>
      <c r="S233" s="125" t="n"/>
      <c r="T233" s="120" t="n"/>
      <c r="U233" s="21" t="n"/>
      <c r="Y233" s="22" t="n"/>
      <c r="Z233" s="120" t="n"/>
      <c r="AB233" s="21" t="n"/>
      <c r="AF233" s="22" t="n"/>
      <c r="AG233" s="120" t="n"/>
      <c r="AH233" s="23" t="n"/>
      <c r="AI233" s="25" t="n"/>
      <c r="AJ233" s="23" t="n"/>
      <c r="AK233" s="25" t="n"/>
      <c r="AL233" s="125" t="n"/>
      <c r="AM233" s="120" t="n"/>
      <c r="AN233" s="21" t="n"/>
      <c r="AR233" s="22" t="n"/>
      <c r="AS233" s="120" t="n"/>
    </row>
    <row r="234" hidden="1" outlineLevel="1">
      <c r="A234" s="8" t="n"/>
      <c r="B234" s="14" t="n"/>
      <c r="C234" s="120" t="n"/>
      <c r="D234" s="120" t="n"/>
      <c r="E234" s="120" t="n"/>
      <c r="F234" s="120" t="n"/>
      <c r="G234" s="120" t="n"/>
      <c r="I234" s="21" t="n"/>
      <c r="M234" s="22" t="n"/>
      <c r="N234" s="120" t="n"/>
      <c r="O234" s="120" t="n"/>
      <c r="P234" s="120" t="n"/>
      <c r="Q234" s="120" t="n"/>
      <c r="R234" s="120" t="n"/>
      <c r="S234" s="120" t="n"/>
      <c r="T234" s="120" t="n"/>
      <c r="U234" s="21" t="n"/>
      <c r="Y234" s="22" t="n"/>
      <c r="Z234" s="120" t="n"/>
      <c r="AB234" s="21" t="n"/>
      <c r="AF234" s="22" t="n"/>
      <c r="AG234" s="120" t="n"/>
      <c r="AH234" s="120" t="n"/>
      <c r="AI234" s="120" t="n"/>
      <c r="AJ234" s="120" t="n"/>
      <c r="AK234" s="120" t="n"/>
      <c r="AL234" s="120" t="n"/>
      <c r="AM234" s="120" t="n"/>
      <c r="AN234" s="21" t="n"/>
      <c r="AR234" s="22" t="n"/>
      <c r="AS234" s="120" t="n"/>
    </row>
    <row r="235" hidden="1" outlineLevel="1">
      <c r="A235" s="8" t="n"/>
      <c r="B235" s="14" t="n"/>
      <c r="C235" s="120" t="n"/>
      <c r="D235" s="120" t="n"/>
      <c r="E235" s="120" t="n"/>
      <c r="F235" s="120" t="n"/>
      <c r="G235" s="120" t="n"/>
      <c r="I235" s="21" t="n"/>
      <c r="M235" s="22" t="n"/>
      <c r="N235" s="120" t="n"/>
      <c r="O235" s="55">
        <f>DADOS_INVOC!$HF$3</f>
        <v/>
      </c>
      <c r="P235" s="16" t="n"/>
      <c r="Q235" s="16" t="n"/>
      <c r="R235" s="16" t="n"/>
      <c r="S235" s="17" t="n"/>
      <c r="T235" s="120" t="n"/>
      <c r="U235" s="21" t="n"/>
      <c r="Y235" s="22" t="n"/>
      <c r="Z235" s="120" t="n"/>
      <c r="AB235" s="21" t="n"/>
      <c r="AF235" s="22" t="n"/>
      <c r="AG235" s="120" t="n"/>
      <c r="AH235" s="55">
        <f>DADOS_INVOC!$HF$9</f>
        <v/>
      </c>
      <c r="AI235" s="16" t="n"/>
      <c r="AJ235" s="16" t="n"/>
      <c r="AK235" s="16" t="n"/>
      <c r="AL235" s="17" t="n"/>
      <c r="AM235" s="120" t="n"/>
      <c r="AN235" s="21" t="n"/>
      <c r="AR235" s="22" t="n"/>
      <c r="AS235" s="120" t="n"/>
    </row>
    <row r="236" hidden="1" outlineLevel="1">
      <c r="A236" s="8" t="n"/>
      <c r="B236" s="14" t="n"/>
      <c r="C236" s="120" t="n"/>
      <c r="D236" s="120" t="n"/>
      <c r="E236" s="120" t="n"/>
      <c r="F236" s="120" t="n"/>
      <c r="G236" s="120" t="n"/>
      <c r="I236" s="21" t="n"/>
      <c r="M236" s="22" t="n"/>
      <c r="N236" s="120" t="n"/>
      <c r="O236" s="130" t="n"/>
      <c r="P236" s="16" t="n"/>
      <c r="Q236" s="17" t="n"/>
      <c r="R236" s="124">
        <f>DADOS_INVOC!$HG$3</f>
        <v/>
      </c>
      <c r="S236" s="17" t="n"/>
      <c r="T236" s="120" t="n"/>
      <c r="U236" s="23" t="n"/>
      <c r="V236" s="24" t="n"/>
      <c r="W236" s="24" t="n"/>
      <c r="X236" s="24" t="n"/>
      <c r="Y236" s="25" t="n"/>
      <c r="Z236" s="120" t="n"/>
      <c r="AB236" s="21" t="n"/>
      <c r="AF236" s="22" t="n"/>
      <c r="AG236" s="120" t="n"/>
      <c r="AH236" s="130" t="n"/>
      <c r="AI236" s="16" t="n"/>
      <c r="AJ236" s="17" t="n"/>
      <c r="AK236" s="124">
        <f>DADOS_INVOC!$HG$9</f>
        <v/>
      </c>
      <c r="AL236" s="17" t="n"/>
      <c r="AM236" s="120" t="n"/>
      <c r="AN236" s="23" t="n"/>
      <c r="AO236" s="24" t="n"/>
      <c r="AP236" s="24" t="n"/>
      <c r="AQ236" s="24" t="n"/>
      <c r="AR236" s="25" t="n"/>
      <c r="AS236" s="120" t="n"/>
    </row>
    <row r="237" hidden="1" outlineLevel="1">
      <c r="A237" s="8" t="n"/>
      <c r="B237" s="14" t="n"/>
      <c r="C237" s="120" t="n"/>
      <c r="D237" s="120" t="n"/>
      <c r="E237" s="120" t="n"/>
      <c r="F237" s="120" t="n"/>
      <c r="G237" s="120" t="n"/>
      <c r="I237" s="21" t="n"/>
      <c r="M237" s="22" t="n"/>
      <c r="N237" s="120" t="n"/>
      <c r="O237" s="130" t="n"/>
      <c r="P237" s="16" t="n"/>
      <c r="Q237" s="17" t="n"/>
      <c r="R237" s="124">
        <f>DADOS_INVOC!$HH$3</f>
        <v/>
      </c>
      <c r="S237" s="17" t="n"/>
      <c r="T237" s="120" t="n"/>
      <c r="U237" s="120" t="n"/>
      <c r="V237" s="120" t="n"/>
      <c r="W237" s="120" t="n"/>
      <c r="X237" s="120" t="n"/>
      <c r="Y237" s="120" t="n"/>
      <c r="Z237" s="120" t="n"/>
      <c r="AB237" s="21" t="n"/>
      <c r="AF237" s="22" t="n"/>
      <c r="AG237" s="120" t="n"/>
      <c r="AH237" s="130" t="n"/>
      <c r="AI237" s="16" t="n"/>
      <c r="AJ237" s="17" t="n"/>
      <c r="AK237" s="124">
        <f>DADOS_INVOC!$HH$9</f>
        <v/>
      </c>
      <c r="AL237" s="17" t="n"/>
      <c r="AM237" s="120" t="n"/>
      <c r="AN237" s="120" t="n"/>
      <c r="AO237" s="120" t="n"/>
      <c r="AP237" s="120" t="n"/>
      <c r="AQ237" s="120" t="n"/>
      <c r="AR237" s="120" t="n"/>
      <c r="AS237" s="120" t="n"/>
    </row>
    <row r="238" hidden="1" outlineLevel="1">
      <c r="A238" s="8" t="n"/>
      <c r="B238" s="14" t="n"/>
      <c r="C238" s="120" t="n"/>
      <c r="D238" s="120" t="n"/>
      <c r="E238" s="120" t="n"/>
      <c r="F238" s="120" t="n"/>
      <c r="G238" s="120" t="n"/>
      <c r="I238" s="23" t="n"/>
      <c r="J238" s="24" t="n"/>
      <c r="K238" s="24" t="n"/>
      <c r="L238" s="24" t="n"/>
      <c r="M238" s="25" t="n"/>
      <c r="N238" s="120" t="n"/>
      <c r="O238" s="130" t="n"/>
      <c r="P238" s="16" t="n"/>
      <c r="Q238" s="17" t="n"/>
      <c r="R238" s="124">
        <f>DADOS_INVOC!$HI$3</f>
        <v/>
      </c>
      <c r="S238" s="17" t="n"/>
      <c r="T238" s="120" t="n"/>
      <c r="U238" s="55">
        <f>DADOS_INVOC!$HO$3</f>
        <v/>
      </c>
      <c r="V238" s="16" t="n"/>
      <c r="W238" s="16" t="n"/>
      <c r="X238" s="16" t="n"/>
      <c r="Y238" s="17" t="n"/>
      <c r="Z238" s="120" t="n"/>
      <c r="AB238" s="23" t="n"/>
      <c r="AC238" s="24" t="n"/>
      <c r="AD238" s="24" t="n"/>
      <c r="AE238" s="24" t="n"/>
      <c r="AF238" s="25" t="n"/>
      <c r="AG238" s="120" t="n"/>
      <c r="AH238" s="130" t="n"/>
      <c r="AI238" s="16" t="n"/>
      <c r="AJ238" s="17" t="n"/>
      <c r="AK238" s="124">
        <f>DADOS_INVOC!$HI$9</f>
        <v/>
      </c>
      <c r="AL238" s="17" t="n"/>
      <c r="AM238" s="120" t="n"/>
      <c r="AN238" s="55">
        <f>DADOS_INVOC!$HO$9</f>
        <v/>
      </c>
      <c r="AO238" s="16" t="n"/>
      <c r="AP238" s="16" t="n"/>
      <c r="AQ238" s="16" t="n"/>
      <c r="AR238" s="17" t="n"/>
      <c r="AS238" s="120" t="n"/>
    </row>
    <row r="239" hidden="1" outlineLevel="1">
      <c r="A239" s="8" t="n"/>
      <c r="B239" s="14" t="n"/>
      <c r="C239" s="120" t="n"/>
      <c r="D239" s="120" t="n"/>
      <c r="E239" s="120" t="n"/>
      <c r="F239" s="120" t="n"/>
      <c r="G239" s="120" t="n"/>
      <c r="I239" s="120" t="n"/>
      <c r="J239" s="120" t="n"/>
      <c r="K239" s="120" t="n"/>
      <c r="L239" s="120" t="n"/>
      <c r="M239" s="120" t="n"/>
      <c r="N239" s="120" t="n"/>
      <c r="O239" s="130" t="n"/>
      <c r="P239" s="16" t="n"/>
      <c r="Q239" s="17" t="n"/>
      <c r="R239" s="124">
        <f>DADOS_INVOC!$HJ$3</f>
        <v/>
      </c>
      <c r="S239" s="17" t="n"/>
      <c r="T239" s="120" t="n"/>
      <c r="U239" s="116" t="n"/>
      <c r="V239" s="19" t="n"/>
      <c r="W239" s="19" t="n"/>
      <c r="X239" s="19" t="n"/>
      <c r="Y239" s="20" t="n"/>
      <c r="Z239" s="120" t="n"/>
      <c r="AB239" s="120" t="n"/>
      <c r="AC239" s="120" t="n"/>
      <c r="AD239" s="120" t="n"/>
      <c r="AE239" s="120" t="n"/>
      <c r="AF239" s="120" t="n"/>
      <c r="AG239" s="120" t="n"/>
      <c r="AH239" s="130" t="n"/>
      <c r="AI239" s="16" t="n"/>
      <c r="AJ239" s="17" t="n"/>
      <c r="AK239" s="124">
        <f>DADOS_INVOC!$HJ$9</f>
        <v/>
      </c>
      <c r="AL239" s="17" t="n"/>
      <c r="AM239" s="120" t="n"/>
      <c r="AN239" s="116" t="n"/>
      <c r="AO239" s="19" t="n"/>
      <c r="AP239" s="19" t="n"/>
      <c r="AQ239" s="19" t="n"/>
      <c r="AR239" s="20" t="n"/>
      <c r="AS239" s="120" t="n"/>
    </row>
    <row r="240" hidden="1" outlineLevel="1">
      <c r="A240" s="8" t="n"/>
      <c r="B240" s="14" t="n"/>
      <c r="C240" s="120" t="n"/>
      <c r="D240" s="120" t="n"/>
      <c r="E240" s="120" t="n"/>
      <c r="F240" s="120" t="n"/>
      <c r="G240" s="120" t="n"/>
      <c r="I240" s="55" t="inlineStr">
        <is>
          <t>TIPO</t>
        </is>
      </c>
      <c r="J240" s="16" t="n"/>
      <c r="K240" s="16" t="n"/>
      <c r="L240" s="16" t="n"/>
      <c r="M240" s="17" t="n"/>
      <c r="N240" s="120" t="n"/>
      <c r="O240" s="130" t="n"/>
      <c r="P240" s="16" t="n"/>
      <c r="Q240" s="17" t="n"/>
      <c r="R240" s="124">
        <f>DADOS_INVOC!$HK$3</f>
        <v/>
      </c>
      <c r="S240" s="17" t="n"/>
      <c r="T240" s="120" t="n"/>
      <c r="U240" s="21" t="n"/>
      <c r="Y240" s="22" t="n"/>
      <c r="Z240" s="120" t="n"/>
      <c r="AB240" s="55" t="inlineStr">
        <is>
          <t>TIPO</t>
        </is>
      </c>
      <c r="AC240" s="16" t="n"/>
      <c r="AD240" s="16" t="n"/>
      <c r="AE240" s="16" t="n"/>
      <c r="AF240" s="17" t="n"/>
      <c r="AG240" s="120" t="n"/>
      <c r="AH240" s="130" t="n"/>
      <c r="AI240" s="16" t="n"/>
      <c r="AJ240" s="17" t="n"/>
      <c r="AK240" s="124">
        <f>DADOS_INVOC!$HK$9</f>
        <v/>
      </c>
      <c r="AL240" s="17" t="n"/>
      <c r="AM240" s="120" t="n"/>
      <c r="AN240" s="21" t="n"/>
      <c r="AR240" s="22" t="n"/>
      <c r="AS240" s="120" t="n"/>
    </row>
    <row r="241" hidden="1" outlineLevel="1">
      <c r="A241" s="8" t="n"/>
      <c r="B241" s="14" t="n"/>
      <c r="C241" s="120" t="n"/>
      <c r="D241" s="120" t="n"/>
      <c r="E241" s="120" t="n"/>
      <c r="F241" s="120" t="n"/>
      <c r="G241" s="120" t="n"/>
      <c r="I241" s="124" t="inlineStr">
        <is>
          <t>Shikigami de técnica</t>
        </is>
      </c>
      <c r="J241" s="19" t="n"/>
      <c r="K241" s="19" t="n"/>
      <c r="L241" s="19" t="n"/>
      <c r="M241" s="20" t="n"/>
      <c r="N241" s="120" t="n"/>
      <c r="O241" s="130" t="n"/>
      <c r="P241" s="16" t="n"/>
      <c r="Q241" s="17" t="n"/>
      <c r="R241" s="124">
        <f>DADOS_INVOC!$HL$3</f>
        <v/>
      </c>
      <c r="S241" s="17" t="n"/>
      <c r="T241" s="120" t="n"/>
      <c r="U241" s="23" t="n"/>
      <c r="V241" s="24" t="n"/>
      <c r="W241" s="24" t="n"/>
      <c r="X241" s="24" t="n"/>
      <c r="Y241" s="25" t="n"/>
      <c r="Z241" s="120" t="n"/>
      <c r="AB241" s="124" t="inlineStr">
        <is>
          <t>Shikigami de técnica</t>
        </is>
      </c>
      <c r="AC241" s="19" t="n"/>
      <c r="AD241" s="19" t="n"/>
      <c r="AE241" s="19" t="n"/>
      <c r="AF241" s="20" t="n"/>
      <c r="AG241" s="120" t="n"/>
      <c r="AH241" s="130" t="n"/>
      <c r="AI241" s="16" t="n"/>
      <c r="AJ241" s="17" t="n"/>
      <c r="AK241" s="124">
        <f>DADOS_INVOC!$HL$9</f>
        <v/>
      </c>
      <c r="AL241" s="17" t="n"/>
      <c r="AM241" s="120" t="n"/>
      <c r="AN241" s="23" t="n"/>
      <c r="AO241" s="24" t="n"/>
      <c r="AP241" s="24" t="n"/>
      <c r="AQ241" s="24" t="n"/>
      <c r="AR241" s="25" t="n"/>
      <c r="AS241" s="120" t="n"/>
    </row>
    <row r="242" hidden="1" outlineLevel="1">
      <c r="A242" s="8" t="n"/>
      <c r="B242" s="14" t="n"/>
      <c r="C242" s="120" t="n"/>
      <c r="D242" s="120" t="n"/>
      <c r="E242" s="120" t="n"/>
      <c r="F242" s="120" t="n"/>
      <c r="G242" s="120" t="n"/>
      <c r="I242" s="23" t="n"/>
      <c r="J242" s="24" t="n"/>
      <c r="K242" s="24" t="n"/>
      <c r="L242" s="24" t="n"/>
      <c r="M242" s="25" t="n"/>
      <c r="N242" s="120" t="n"/>
      <c r="O242" s="130" t="n"/>
      <c r="P242" s="16" t="n"/>
      <c r="Q242" s="17" t="n"/>
      <c r="R242" s="124">
        <f>DADOS_INVOC!$HM$3</f>
        <v/>
      </c>
      <c r="S242" s="17" t="n"/>
      <c r="T242" s="120" t="n"/>
      <c r="U242" s="120" t="n"/>
      <c r="V242" s="120" t="n"/>
      <c r="W242" s="120" t="n"/>
      <c r="X242" s="120" t="n"/>
      <c r="Y242" s="120" t="n"/>
      <c r="Z242" s="120" t="n"/>
      <c r="AB242" s="23" t="n"/>
      <c r="AC242" s="24" t="n"/>
      <c r="AD242" s="24" t="n"/>
      <c r="AE242" s="24" t="n"/>
      <c r="AF242" s="25" t="n"/>
      <c r="AG242" s="120" t="n"/>
      <c r="AH242" s="130" t="n"/>
      <c r="AI242" s="16" t="n"/>
      <c r="AJ242" s="17" t="n"/>
      <c r="AK242" s="124">
        <f>DADOS_INVOC!$HM$9</f>
        <v/>
      </c>
      <c r="AL242" s="17" t="n"/>
      <c r="AM242" s="120" t="n"/>
      <c r="AN242" s="120" t="n"/>
      <c r="AO242" s="120" t="n"/>
      <c r="AP242" s="120" t="n"/>
      <c r="AQ242" s="120" t="n"/>
      <c r="AR242" s="120" t="n"/>
      <c r="AS242" s="120" t="n"/>
    </row>
    <row r="243" hidden="1" outlineLevel="1">
      <c r="A243" s="8" t="n"/>
      <c r="B243" s="14" t="n"/>
      <c r="C243" s="120" t="n"/>
      <c r="D243" s="120" t="n"/>
      <c r="E243" s="120" t="n"/>
      <c r="F243" s="120" t="n"/>
      <c r="G243" s="120" t="n"/>
      <c r="I243" s="120" t="n"/>
      <c r="J243" s="120" t="n"/>
      <c r="K243" s="120" t="n"/>
      <c r="L243" s="120" t="n"/>
      <c r="M243" s="120" t="n"/>
      <c r="N243" s="120" t="n"/>
      <c r="O243" s="120" t="n"/>
      <c r="P243" s="120" t="n"/>
      <c r="Q243" s="120" t="n"/>
      <c r="R243" s="120" t="n"/>
      <c r="S243" s="120" t="n"/>
      <c r="T243" s="120" t="n"/>
      <c r="U243" s="55" t="inlineStr">
        <is>
          <t>CORPO, SENTIDOS E COMUNICAÇÃO</t>
        </is>
      </c>
      <c r="V243" s="16" t="n"/>
      <c r="W243" s="16" t="n"/>
      <c r="X243" s="16" t="n"/>
      <c r="Y243" s="17" t="n"/>
      <c r="Z243" s="120" t="n"/>
      <c r="AB243" s="120" t="n"/>
      <c r="AC243" s="120" t="n"/>
      <c r="AD243" s="120" t="n"/>
      <c r="AE243" s="120" t="n"/>
      <c r="AF243" s="120" t="n"/>
      <c r="AG243" s="120" t="n"/>
      <c r="AH243" s="120" t="n"/>
      <c r="AI243" s="120" t="n"/>
      <c r="AJ243" s="120" t="n"/>
      <c r="AK243" s="120" t="n"/>
      <c r="AL243" s="120" t="n"/>
      <c r="AM243" s="120" t="n"/>
      <c r="AN243" s="55" t="inlineStr">
        <is>
          <t>CORPO, SENTIDOS E COMUNICAÇÃO</t>
        </is>
      </c>
      <c r="AO243" s="16" t="n"/>
      <c r="AP243" s="16" t="n"/>
      <c r="AQ243" s="16" t="n"/>
      <c r="AR243" s="17" t="n"/>
      <c r="AS243" s="120" t="n"/>
    </row>
    <row r="244" hidden="1" outlineLevel="1">
      <c r="A244" s="8" t="n"/>
      <c r="B244" s="14" t="n"/>
      <c r="C244" s="120" t="n"/>
      <c r="D244" s="120" t="n"/>
      <c r="E244" s="120" t="n"/>
      <c r="F244" s="120" t="n"/>
      <c r="G244" s="120" t="n"/>
      <c r="I244" s="55" t="inlineStr">
        <is>
          <t>AQUISIÇÃO</t>
        </is>
      </c>
      <c r="J244" s="17" t="n"/>
      <c r="K244" s="55" t="inlineStr">
        <is>
          <t>OBTIDA NO NÍVEL</t>
        </is>
      </c>
      <c r="L244" s="55" t="inlineStr">
        <is>
          <t>TALISMÃ</t>
        </is>
      </c>
      <c r="M244" s="17" t="n"/>
      <c r="N244" s="120" t="n"/>
      <c r="O244" s="55">
        <f>DADOS_INVOC!$HP$3</f>
        <v/>
      </c>
      <c r="P244" s="16" t="n"/>
      <c r="Q244" s="16" t="n"/>
      <c r="R244" s="16" t="n"/>
      <c r="S244" s="17" t="n"/>
      <c r="T244" s="120" t="n"/>
      <c r="U244" s="116" t="n"/>
      <c r="V244" s="19" t="n"/>
      <c r="W244" s="19" t="n"/>
      <c r="X244" s="19" t="n"/>
      <c r="Y244" s="20" t="n"/>
      <c r="Z244" s="120" t="n"/>
      <c r="AB244" s="55" t="inlineStr">
        <is>
          <t>AQUISIÇÃO</t>
        </is>
      </c>
      <c r="AC244" s="17" t="n"/>
      <c r="AD244" s="55" t="inlineStr">
        <is>
          <t>OBTIDA NO NÍVEL</t>
        </is>
      </c>
      <c r="AE244" s="55" t="inlineStr">
        <is>
          <t>TALISMÃ</t>
        </is>
      </c>
      <c r="AF244" s="17" t="n"/>
      <c r="AG244" s="120" t="n"/>
      <c r="AH244" s="55">
        <f>DADOS_INVOC!$HP$9</f>
        <v/>
      </c>
      <c r="AI244" s="16" t="n"/>
      <c r="AJ244" s="16" t="n"/>
      <c r="AK244" s="16" t="n"/>
      <c r="AL244" s="17" t="n"/>
      <c r="AM244" s="120" t="n"/>
      <c r="AN244" s="116" t="n"/>
      <c r="AO244" s="19" t="n"/>
      <c r="AP244" s="19" t="n"/>
      <c r="AQ244" s="19" t="n"/>
      <c r="AR244" s="20" t="n"/>
      <c r="AS244" s="120" t="n"/>
    </row>
    <row r="245" hidden="1" outlineLevel="1">
      <c r="A245" s="8" t="n"/>
      <c r="B245" s="14" t="n"/>
      <c r="C245" s="120" t="n"/>
      <c r="D245" s="120" t="n"/>
      <c r="E245" s="120" t="n"/>
      <c r="F245" s="120" t="n"/>
      <c r="G245" s="120" t="n"/>
      <c r="I245" s="124" t="inlineStr">
        <is>
          <t>Espaço conhecido</t>
        </is>
      </c>
      <c r="J245" s="20" t="n"/>
      <c r="K245" s="124" t="n"/>
      <c r="L245" s="124" t="inlineStr">
        <is>
          <t>Sem carga</t>
        </is>
      </c>
      <c r="M245" s="20" t="n"/>
      <c r="N245" s="120" t="n"/>
      <c r="O245" s="55" t="inlineStr">
        <is>
          <t>LIVRE</t>
        </is>
      </c>
      <c r="P245" s="55" t="inlineStr">
        <is>
          <t>LIVRE · TRILHA</t>
        </is>
      </c>
      <c r="Q245" s="55" t="inlineStr">
        <is>
          <t>ABERTA</t>
        </is>
      </c>
      <c r="R245" s="55" t="inlineStr">
        <is>
          <t>ABERTA</t>
        </is>
      </c>
      <c r="S245" s="55" t="inlineStr">
        <is>
          <t>ABERTA · TRILHA</t>
        </is>
      </c>
      <c r="T245" s="120" t="n"/>
      <c r="U245" s="21" t="n"/>
      <c r="Y245" s="22" t="n"/>
      <c r="Z245" s="120" t="n"/>
      <c r="AB245" s="124" t="inlineStr">
        <is>
          <t>Espaço conhecido</t>
        </is>
      </c>
      <c r="AC245" s="20" t="n"/>
      <c r="AD245" s="124" t="n"/>
      <c r="AE245" s="124" t="inlineStr">
        <is>
          <t>Sem carga</t>
        </is>
      </c>
      <c r="AF245" s="20" t="n"/>
      <c r="AG245" s="120" t="n"/>
      <c r="AH245" s="55" t="inlineStr">
        <is>
          <t>LIVRE</t>
        </is>
      </c>
      <c r="AI245" s="55" t="inlineStr">
        <is>
          <t>LIVRE · TRILHA</t>
        </is>
      </c>
      <c r="AJ245" s="55" t="inlineStr">
        <is>
          <t>ABERTA</t>
        </is>
      </c>
      <c r="AK245" s="55" t="inlineStr">
        <is>
          <t>ABERTA</t>
        </is>
      </c>
      <c r="AL245" s="55" t="inlineStr">
        <is>
          <t>ABERTA · TRILHA</t>
        </is>
      </c>
      <c r="AM245" s="120" t="n"/>
      <c r="AN245" s="21" t="n"/>
      <c r="AR245" s="22" t="n"/>
      <c r="AS245" s="120" t="n"/>
    </row>
    <row r="246" hidden="1" outlineLevel="1">
      <c r="A246" s="8" t="n"/>
      <c r="B246" s="14" t="n"/>
      <c r="C246" s="120" t="n"/>
      <c r="D246" s="120" t="n"/>
      <c r="E246" s="120" t="n"/>
      <c r="F246" s="120" t="n"/>
      <c r="G246" s="120" t="n"/>
      <c r="I246" s="23" t="n"/>
      <c r="J246" s="25" t="n"/>
      <c r="K246" s="125" t="n"/>
      <c r="L246" s="23" t="n"/>
      <c r="M246" s="25" t="n"/>
      <c r="N246" s="120" t="n"/>
      <c r="O246" s="124" t="n"/>
      <c r="P246" s="124" t="n"/>
      <c r="Q246" s="124" t="n"/>
      <c r="R246" s="124" t="n"/>
      <c r="S246" s="124" t="n"/>
      <c r="T246" s="120" t="n"/>
      <c r="U246" s="21" t="n"/>
      <c r="Y246" s="22" t="n"/>
      <c r="Z246" s="120" t="n"/>
      <c r="AB246" s="23" t="n"/>
      <c r="AC246" s="25" t="n"/>
      <c r="AD246" s="125" t="n"/>
      <c r="AE246" s="23" t="n"/>
      <c r="AF246" s="25" t="n"/>
      <c r="AG246" s="120" t="n"/>
      <c r="AH246" s="124" t="n"/>
      <c r="AI246" s="124" t="n"/>
      <c r="AJ246" s="124" t="n"/>
      <c r="AK246" s="124" t="n"/>
      <c r="AL246" s="124" t="n"/>
      <c r="AM246" s="120" t="n"/>
      <c r="AN246" s="21" t="n"/>
      <c r="AR246" s="22" t="n"/>
      <c r="AS246" s="120" t="n"/>
    </row>
    <row r="247" hidden="1" outlineLevel="1">
      <c r="A247" s="8" t="n"/>
      <c r="B247" s="14" t="n"/>
      <c r="C247" s="120" t="n"/>
      <c r="D247" s="120" t="n"/>
      <c r="E247" s="120" t="n"/>
      <c r="F247" s="120" t="n"/>
      <c r="G247" s="120" t="n"/>
      <c r="I247" s="120" t="n"/>
      <c r="J247" s="120" t="n"/>
      <c r="K247" s="120" t="n"/>
      <c r="L247" s="120" t="n"/>
      <c r="M247" s="120" t="n"/>
      <c r="N247" s="120" t="n"/>
      <c r="O247" s="125" t="n"/>
      <c r="P247" s="125" t="n"/>
      <c r="Q247" s="125" t="n"/>
      <c r="R247" s="125" t="n"/>
      <c r="S247" s="125" t="n"/>
      <c r="T247" s="120" t="n"/>
      <c r="U247" s="23" t="n"/>
      <c r="V247" s="24" t="n"/>
      <c r="W247" s="24" t="n"/>
      <c r="X247" s="24" t="n"/>
      <c r="Y247" s="25" t="n"/>
      <c r="Z247" s="120" t="n"/>
      <c r="AB247" s="120" t="n"/>
      <c r="AC247" s="120" t="n"/>
      <c r="AD247" s="120" t="n"/>
      <c r="AE247" s="120" t="n"/>
      <c r="AF247" s="120" t="n"/>
      <c r="AG247" s="120" t="n"/>
      <c r="AH247" s="125" t="n"/>
      <c r="AI247" s="125" t="n"/>
      <c r="AJ247" s="125" t="n"/>
      <c r="AK247" s="125" t="n"/>
      <c r="AL247" s="125" t="n"/>
      <c r="AM247" s="120" t="n"/>
      <c r="AN247" s="23" t="n"/>
      <c r="AO247" s="24" t="n"/>
      <c r="AP247" s="24" t="n"/>
      <c r="AQ247" s="24" t="n"/>
      <c r="AR247" s="25" t="n"/>
      <c r="AS247" s="120" t="n"/>
    </row>
    <row r="248" hidden="1" outlineLevel="1">
      <c r="A248" s="8" t="n"/>
      <c r="B248" s="14" t="n"/>
      <c r="C248" s="120" t="n"/>
      <c r="D248" s="120" t="n"/>
      <c r="E248" s="120" t="n"/>
      <c r="F248" s="120" t="n"/>
      <c r="G248" s="120" t="n"/>
      <c r="I248" s="120" t="n"/>
      <c r="J248" s="120" t="n"/>
      <c r="K248" s="120" t="n"/>
      <c r="L248" s="120" t="n"/>
      <c r="M248" s="120" t="n"/>
      <c r="N248" s="120" t="n"/>
      <c r="O248" s="120" t="n"/>
      <c r="P248" s="120" t="n"/>
      <c r="Q248" s="120" t="n"/>
      <c r="R248" s="120" t="n"/>
      <c r="S248" s="120" t="n"/>
      <c r="T248" s="120" t="n"/>
      <c r="U248" s="120" t="n"/>
      <c r="V248" s="120" t="n"/>
      <c r="W248" s="120" t="n"/>
      <c r="X248" s="120" t="n"/>
      <c r="Y248" s="120" t="n"/>
      <c r="Z248" s="120" t="n"/>
      <c r="AB248" s="120" t="n"/>
      <c r="AC248" s="120" t="n"/>
      <c r="AD248" s="120" t="n"/>
      <c r="AE248" s="120" t="n"/>
      <c r="AF248" s="120" t="n"/>
      <c r="AG248" s="120" t="n"/>
      <c r="AH248" s="120" t="n"/>
      <c r="AI248" s="120" t="n"/>
      <c r="AJ248" s="120" t="n"/>
      <c r="AK248" s="120" t="n"/>
      <c r="AL248" s="120" t="n"/>
      <c r="AM248" s="120" t="n"/>
      <c r="AN248" s="120" t="n"/>
      <c r="AO248" s="120" t="n"/>
      <c r="AP248" s="120" t="n"/>
      <c r="AQ248" s="120" t="n"/>
      <c r="AR248" s="120" t="n"/>
      <c r="AS248" s="120" t="n"/>
    </row>
    <row r="249" hidden="1" outlineLevel="1">
      <c r="A249" s="8" t="n"/>
      <c r="B249" s="14" t="n"/>
      <c r="C249" s="120" t="n"/>
      <c r="D249" s="120" t="n"/>
      <c r="E249" s="120" t="n"/>
      <c r="F249" s="120" t="n"/>
      <c r="G249" s="120"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0"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0" t="n"/>
    </row>
    <row r="250" hidden="1" outlineLevel="1">
      <c r="A250" s="8" t="n"/>
      <c r="B250" s="14" t="n"/>
      <c r="C250" s="120" t="n"/>
      <c r="D250" s="120" t="n"/>
      <c r="E250" s="120" t="n"/>
      <c r="F250" s="120" t="n"/>
      <c r="G250" s="120" t="n"/>
      <c r="I250" s="116" t="n"/>
      <c r="J250" s="19" t="n"/>
      <c r="K250" s="19" t="n"/>
      <c r="L250" s="19" t="n"/>
      <c r="M250" s="19" t="n"/>
      <c r="N250" s="19" t="n"/>
      <c r="O250" s="19" t="n"/>
      <c r="P250" s="19" t="n"/>
      <c r="Q250" s="19" t="n"/>
      <c r="R250" s="19" t="n"/>
      <c r="S250" s="19" t="n"/>
      <c r="T250" s="19" t="n"/>
      <c r="U250" s="19" t="n"/>
      <c r="V250" s="19" t="n"/>
      <c r="W250" s="19" t="n"/>
      <c r="X250" s="19" t="n"/>
      <c r="Y250" s="20" t="n"/>
      <c r="Z250" s="120" t="n"/>
      <c r="AB250" s="116" t="n"/>
      <c r="AC250" s="19" t="n"/>
      <c r="AD250" s="19" t="n"/>
      <c r="AE250" s="19" t="n"/>
      <c r="AF250" s="19" t="n"/>
      <c r="AG250" s="19" t="n"/>
      <c r="AH250" s="19" t="n"/>
      <c r="AI250" s="19" t="n"/>
      <c r="AJ250" s="19" t="n"/>
      <c r="AK250" s="19" t="n"/>
      <c r="AL250" s="19" t="n"/>
      <c r="AM250" s="19" t="n"/>
      <c r="AN250" s="19" t="n"/>
      <c r="AO250" s="19" t="n"/>
      <c r="AP250" s="19" t="n"/>
      <c r="AQ250" s="19" t="n"/>
      <c r="AR250" s="20" t="n"/>
      <c r="AS250" s="120" t="n"/>
    </row>
    <row r="251" hidden="1" outlineLevel="1">
      <c r="A251" s="8" t="n"/>
      <c r="B251" s="14" t="n"/>
      <c r="C251" s="120" t="n"/>
      <c r="D251" s="120" t="n"/>
      <c r="E251" s="120" t="n"/>
      <c r="F251" s="120" t="n"/>
      <c r="G251" s="120" t="n"/>
      <c r="I251" s="23" t="n"/>
      <c r="J251" s="24" t="n"/>
      <c r="K251" s="24" t="n"/>
      <c r="L251" s="24" t="n"/>
      <c r="M251" s="24" t="n"/>
      <c r="N251" s="24" t="n"/>
      <c r="O251" s="24" t="n"/>
      <c r="P251" s="24" t="n"/>
      <c r="Q251" s="24" t="n"/>
      <c r="R251" s="24" t="n"/>
      <c r="S251" s="24" t="n"/>
      <c r="T251" s="24" t="n"/>
      <c r="U251" s="24" t="n"/>
      <c r="V251" s="24" t="n"/>
      <c r="W251" s="24" t="n"/>
      <c r="X251" s="24" t="n"/>
      <c r="Y251" s="25" t="n"/>
      <c r="Z251" s="120"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0" t="n"/>
    </row>
    <row r="252" hidden="1" outlineLevel="1">
      <c r="A252" s="8" t="n"/>
      <c r="B252" s="14" t="n"/>
      <c r="C252" s="120" t="n"/>
      <c r="D252" s="120" t="n"/>
      <c r="E252" s="120" t="n"/>
      <c r="F252" s="120" t="n"/>
      <c r="G252" s="120" t="n"/>
      <c r="I252" s="120" t="n"/>
      <c r="J252" s="120" t="n"/>
      <c r="K252" s="120" t="n"/>
      <c r="L252" s="120" t="n"/>
      <c r="M252" s="120" t="n"/>
      <c r="N252" s="120" t="n"/>
      <c r="O252" s="120" t="n"/>
      <c r="P252" s="120" t="n"/>
      <c r="Q252" s="120" t="n"/>
      <c r="R252" s="120" t="n"/>
      <c r="S252" s="120" t="n"/>
      <c r="T252" s="120" t="n"/>
      <c r="U252" s="120" t="n"/>
      <c r="V252" s="120" t="n"/>
      <c r="W252" s="120" t="n"/>
      <c r="X252" s="120" t="n"/>
      <c r="Y252" s="120" t="n"/>
      <c r="Z252" s="120" t="n"/>
      <c r="AB252" s="120" t="n"/>
      <c r="AC252" s="120" t="n"/>
      <c r="AD252" s="120" t="n"/>
      <c r="AE252" s="120" t="n"/>
      <c r="AF252" s="120" t="n"/>
      <c r="AG252" s="120" t="n"/>
      <c r="AH252" s="120" t="n"/>
      <c r="AI252" s="120" t="n"/>
      <c r="AJ252" s="120" t="n"/>
      <c r="AK252" s="120" t="n"/>
      <c r="AL252" s="120" t="n"/>
      <c r="AM252" s="120" t="n"/>
      <c r="AN252" s="120" t="n"/>
      <c r="AO252" s="120" t="n"/>
      <c r="AP252" s="120" t="n"/>
      <c r="AQ252" s="120" t="n"/>
      <c r="AR252" s="120" t="n"/>
      <c r="AS252" s="120" t="n"/>
    </row>
    <row r="253" hidden="1" outlineLevel="1">
      <c r="A253" s="8" t="n"/>
      <c r="B253" s="14" t="n"/>
      <c r="C253" s="120" t="n"/>
      <c r="D253" s="120" t="n"/>
      <c r="E253" s="120" t="n"/>
      <c r="F253" s="120" t="n"/>
      <c r="G253" s="120" t="n"/>
      <c r="I253" s="133">
        <f>DADOS_INVOC!$HQ$3</f>
        <v/>
      </c>
      <c r="J253" s="16" t="n"/>
      <c r="K253" s="16" t="n"/>
      <c r="L253" s="16" t="n"/>
      <c r="M253" s="16" t="n"/>
      <c r="N253" s="16" t="n"/>
      <c r="O253" s="16" t="n"/>
      <c r="P253" s="16" t="n"/>
      <c r="Q253" s="16" t="n"/>
      <c r="R253" s="16" t="n"/>
      <c r="S253" s="16" t="n"/>
      <c r="T253" s="16" t="n"/>
      <c r="U253" s="16" t="n"/>
      <c r="V253" s="16" t="n"/>
      <c r="W253" s="16" t="n"/>
      <c r="X253" s="16" t="n"/>
      <c r="Y253" s="17" t="n"/>
      <c r="Z253" s="120" t="n"/>
      <c r="AB253" s="133">
        <f>DADOS_INVOC!$HQ$9</f>
        <v/>
      </c>
      <c r="AC253" s="16" t="n"/>
      <c r="AD253" s="16" t="n"/>
      <c r="AE253" s="16" t="n"/>
      <c r="AF253" s="16" t="n"/>
      <c r="AG253" s="16" t="n"/>
      <c r="AH253" s="16" t="n"/>
      <c r="AI253" s="16" t="n"/>
      <c r="AJ253" s="16" t="n"/>
      <c r="AK253" s="16" t="n"/>
      <c r="AL253" s="16" t="n"/>
      <c r="AM253" s="16" t="n"/>
      <c r="AN253" s="16" t="n"/>
      <c r="AO253" s="16" t="n"/>
      <c r="AP253" s="16" t="n"/>
      <c r="AQ253" s="16" t="n"/>
      <c r="AR253" s="17" t="n"/>
      <c r="AS253" s="120" t="n"/>
    </row>
    <row r="254" hidden="1" outlineLevel="1">
      <c r="A254" s="8" t="n"/>
      <c r="B254" s="14" t="n"/>
      <c r="C254" s="120" t="n"/>
      <c r="D254" s="120" t="n"/>
      <c r="E254" s="120" t="n"/>
      <c r="F254" s="120" t="n"/>
      <c r="G254" s="120" t="n"/>
      <c r="I254" s="120" t="n"/>
      <c r="J254" s="120" t="n"/>
      <c r="K254" s="120" t="n"/>
      <c r="L254" s="120" t="n"/>
      <c r="M254" s="120" t="n"/>
      <c r="N254" s="120" t="n"/>
      <c r="O254" s="120" t="n"/>
      <c r="P254" s="120" t="n"/>
      <c r="Q254" s="120" t="n"/>
      <c r="R254" s="120" t="n"/>
      <c r="S254" s="120" t="n"/>
      <c r="T254" s="120" t="n"/>
      <c r="U254" s="120" t="n"/>
      <c r="V254" s="120" t="n"/>
      <c r="W254" s="120" t="n"/>
      <c r="X254" s="120" t="n"/>
      <c r="Y254" s="120" t="n"/>
      <c r="Z254" s="120" t="n"/>
      <c r="AB254" s="120" t="n"/>
      <c r="AC254" s="120" t="n"/>
      <c r="AD254" s="120" t="n"/>
      <c r="AE254" s="120" t="n"/>
      <c r="AF254" s="120" t="n"/>
      <c r="AG254" s="120" t="n"/>
      <c r="AH254" s="120" t="n"/>
      <c r="AI254" s="120" t="n"/>
      <c r="AJ254" s="120" t="n"/>
      <c r="AK254" s="120" t="n"/>
      <c r="AL254" s="120" t="n"/>
      <c r="AM254" s="120" t="n"/>
      <c r="AN254" s="120" t="n"/>
      <c r="AO254" s="120" t="n"/>
      <c r="AP254" s="120" t="n"/>
      <c r="AQ254" s="120" t="n"/>
      <c r="AR254" s="120" t="n"/>
      <c r="AS254" s="120" t="n"/>
    </row>
    <row r="255" hidden="1" outlineLevel="1">
      <c r="A255" s="8" t="n"/>
      <c r="B255" s="14" t="n"/>
      <c r="C255" s="120" t="n"/>
      <c r="D255" s="120" t="n"/>
      <c r="E255" s="120" t="n"/>
      <c r="F255" s="120" t="n"/>
      <c r="G255" s="120" t="n"/>
      <c r="I255" s="55">
        <f>DADOS_INVOC!$PI$15</f>
        <v/>
      </c>
      <c r="J255" s="16" t="n"/>
      <c r="K255" s="16" t="n"/>
      <c r="L255" s="16" t="n"/>
      <c r="M255" s="17" t="n"/>
      <c r="N255" s="120" t="n"/>
      <c r="O255" s="55">
        <f>DADOS_INVOC!$PI$16</f>
        <v/>
      </c>
      <c r="P255" s="16" t="n"/>
      <c r="Q255" s="16" t="n"/>
      <c r="R255" s="16" t="n"/>
      <c r="S255" s="17" t="n"/>
      <c r="T255" s="120" t="n"/>
      <c r="U255" s="55">
        <f>DADOS_INVOC!$PI$17</f>
        <v/>
      </c>
      <c r="V255" s="16" t="n"/>
      <c r="W255" s="16" t="n"/>
      <c r="X255" s="16" t="n"/>
      <c r="Y255" s="17" t="n"/>
      <c r="Z255" s="120" t="n"/>
      <c r="AB255" s="55">
        <f>DADOS_INVOC!$PI$93</f>
        <v/>
      </c>
      <c r="AC255" s="16" t="n"/>
      <c r="AD255" s="16" t="n"/>
      <c r="AE255" s="16" t="n"/>
      <c r="AF255" s="17" t="n"/>
      <c r="AG255" s="120" t="n"/>
      <c r="AH255" s="55">
        <f>DADOS_INVOC!$PI$94</f>
        <v/>
      </c>
      <c r="AI255" s="16" t="n"/>
      <c r="AJ255" s="16" t="n"/>
      <c r="AK255" s="16" t="n"/>
      <c r="AL255" s="17" t="n"/>
      <c r="AM255" s="120" t="n"/>
      <c r="AN255" s="55">
        <f>DADOS_INVOC!$PI$95</f>
        <v/>
      </c>
      <c r="AO255" s="16" t="n"/>
      <c r="AP255" s="16" t="n"/>
      <c r="AQ255" s="16" t="n"/>
      <c r="AR255" s="17" t="n"/>
      <c r="AS255" s="120" t="n"/>
    </row>
    <row r="256" hidden="1" outlineLevel="1">
      <c r="A256" s="8" t="n"/>
      <c r="B256" s="14" t="n"/>
      <c r="C256" s="120" t="n"/>
      <c r="D256" s="120" t="n"/>
      <c r="E256" s="120" t="n"/>
      <c r="F256" s="120" t="n"/>
      <c r="G256" s="120" t="n"/>
      <c r="I256" s="127" t="n">
        <v>0</v>
      </c>
      <c r="J256" s="115" t="n"/>
      <c r="K256" s="16" t="n"/>
      <c r="L256" s="17" t="n"/>
      <c r="M256" s="128">
        <f>DADOS_INVOC!$PG$15</f>
        <v/>
      </c>
      <c r="N256" s="120" t="n"/>
      <c r="O256" s="127" t="n">
        <v>1</v>
      </c>
      <c r="P256" s="115" t="n"/>
      <c r="Q256" s="16" t="n"/>
      <c r="R256" s="17" t="n"/>
      <c r="S256" s="128">
        <f>DADOS_INVOC!$PG$16</f>
        <v/>
      </c>
      <c r="T256" s="120" t="n"/>
      <c r="U256" s="127" t="n">
        <v>1</v>
      </c>
      <c r="V256" s="115" t="n"/>
      <c r="W256" s="16" t="n"/>
      <c r="X256" s="17" t="n"/>
      <c r="Y256" s="128">
        <f>DADOS_INVOC!$PG$17</f>
        <v/>
      </c>
      <c r="Z256" s="120" t="n"/>
      <c r="AB256" s="127" t="n">
        <v>0</v>
      </c>
      <c r="AC256" s="115" t="n"/>
      <c r="AD256" s="16" t="n"/>
      <c r="AE256" s="17" t="n"/>
      <c r="AF256" s="128">
        <f>DADOS_INVOC!$PG$93</f>
        <v/>
      </c>
      <c r="AG256" s="120" t="n"/>
      <c r="AH256" s="127" t="n">
        <v>1</v>
      </c>
      <c r="AI256" s="115" t="n"/>
      <c r="AJ256" s="16" t="n"/>
      <c r="AK256" s="17" t="n"/>
      <c r="AL256" s="128">
        <f>DADOS_INVOC!$PG$94</f>
        <v/>
      </c>
      <c r="AM256" s="120" t="n"/>
      <c r="AN256" s="127" t="n">
        <v>1</v>
      </c>
      <c r="AO256" s="115" t="n"/>
      <c r="AP256" s="16" t="n"/>
      <c r="AQ256" s="17" t="n"/>
      <c r="AR256" s="128">
        <f>DADOS_INVOC!$PG$95</f>
        <v/>
      </c>
      <c r="AS256" s="120" t="n"/>
    </row>
    <row r="257" hidden="1" outlineLevel="2">
      <c r="A257" s="8" t="n"/>
      <c r="B257" s="14" t="n"/>
      <c r="C257" s="120" t="n"/>
      <c r="D257" s="120" t="n"/>
      <c r="E257" s="120" t="n"/>
      <c r="F257" s="120" t="n"/>
      <c r="G257" s="120" t="n"/>
      <c r="I257" s="55" t="inlineStr">
        <is>
          <t>COMO É</t>
        </is>
      </c>
      <c r="J257" s="16" t="n"/>
      <c r="K257" s="16" t="n"/>
      <c r="L257" s="16" t="n"/>
      <c r="M257" s="17" t="n"/>
      <c r="N257" s="120" t="n"/>
      <c r="O257" s="55" t="inlineStr">
        <is>
          <t>COMO É</t>
        </is>
      </c>
      <c r="P257" s="16" t="n"/>
      <c r="Q257" s="16" t="n"/>
      <c r="R257" s="16" t="n"/>
      <c r="S257" s="17" t="n"/>
      <c r="T257" s="120" t="n"/>
      <c r="U257" s="55" t="inlineStr">
        <is>
          <t>COMO É</t>
        </is>
      </c>
      <c r="V257" s="16" t="n"/>
      <c r="W257" s="16" t="n"/>
      <c r="X257" s="16" t="n"/>
      <c r="Y257" s="17" t="n"/>
      <c r="Z257" s="120" t="n"/>
      <c r="AB257" s="55" t="inlineStr">
        <is>
          <t>COMO É</t>
        </is>
      </c>
      <c r="AC257" s="16" t="n"/>
      <c r="AD257" s="16" t="n"/>
      <c r="AE257" s="16" t="n"/>
      <c r="AF257" s="17" t="n"/>
      <c r="AG257" s="120" t="n"/>
      <c r="AH257" s="55" t="inlineStr">
        <is>
          <t>COMO É</t>
        </is>
      </c>
      <c r="AI257" s="16" t="n"/>
      <c r="AJ257" s="16" t="n"/>
      <c r="AK257" s="16" t="n"/>
      <c r="AL257" s="17" t="n"/>
      <c r="AM257" s="120" t="n"/>
      <c r="AN257" s="55" t="inlineStr">
        <is>
          <t>COMO É</t>
        </is>
      </c>
      <c r="AO257" s="16" t="n"/>
      <c r="AP257" s="16" t="n"/>
      <c r="AQ257" s="16" t="n"/>
      <c r="AR257" s="17" t="n"/>
      <c r="AS257" s="120" t="n"/>
    </row>
    <row r="258" hidden="1" outlineLevel="2">
      <c r="A258" s="8" t="n"/>
      <c r="B258" s="14" t="n"/>
      <c r="C258" s="120" t="n"/>
      <c r="D258" s="120" t="n"/>
      <c r="E258" s="120" t="n"/>
      <c r="F258" s="120" t="n"/>
      <c r="G258" s="120" t="n"/>
      <c r="I258" s="116" t="n"/>
      <c r="J258" s="19" t="n"/>
      <c r="K258" s="19" t="n"/>
      <c r="L258" s="19" t="n"/>
      <c r="M258" s="20" t="n"/>
      <c r="N258" s="120" t="n"/>
      <c r="O258" s="116" t="n"/>
      <c r="P258" s="19" t="n"/>
      <c r="Q258" s="19" t="n"/>
      <c r="R258" s="19" t="n"/>
      <c r="S258" s="20" t="n"/>
      <c r="T258" s="120" t="n"/>
      <c r="U258" s="116" t="n"/>
      <c r="V258" s="19" t="n"/>
      <c r="W258" s="19" t="n"/>
      <c r="X258" s="19" t="n"/>
      <c r="Y258" s="20" t="n"/>
      <c r="Z258" s="120" t="n"/>
      <c r="AB258" s="116" t="n"/>
      <c r="AC258" s="19" t="n"/>
      <c r="AD258" s="19" t="n"/>
      <c r="AE258" s="19" t="n"/>
      <c r="AF258" s="20" t="n"/>
      <c r="AG258" s="120" t="n"/>
      <c r="AH258" s="116" t="n"/>
      <c r="AI258" s="19" t="n"/>
      <c r="AJ258" s="19" t="n"/>
      <c r="AK258" s="19" t="n"/>
      <c r="AL258" s="20" t="n"/>
      <c r="AM258" s="120" t="n"/>
      <c r="AN258" s="116" t="n"/>
      <c r="AO258" s="19" t="n"/>
      <c r="AP258" s="19" t="n"/>
      <c r="AQ258" s="19" t="n"/>
      <c r="AR258" s="20" t="n"/>
      <c r="AS258" s="120" t="n"/>
    </row>
    <row r="259" hidden="1" outlineLevel="2">
      <c r="A259" s="8" t="n"/>
      <c r="B259" s="14" t="n"/>
      <c r="C259" s="120" t="n"/>
      <c r="D259" s="120" t="n"/>
      <c r="E259" s="120" t="n"/>
      <c r="F259" s="120" t="n"/>
      <c r="G259" s="120" t="n"/>
      <c r="I259" s="21" t="n"/>
      <c r="M259" s="22" t="n"/>
      <c r="N259" s="120" t="n"/>
      <c r="O259" s="21" t="n"/>
      <c r="S259" s="22" t="n"/>
      <c r="T259" s="120" t="n"/>
      <c r="U259" s="21" t="n"/>
      <c r="Y259" s="22" t="n"/>
      <c r="Z259" s="120" t="n"/>
      <c r="AB259" s="21" t="n"/>
      <c r="AF259" s="22" t="n"/>
      <c r="AG259" s="120" t="n"/>
      <c r="AH259" s="21" t="n"/>
      <c r="AL259" s="22" t="n"/>
      <c r="AM259" s="120" t="n"/>
      <c r="AN259" s="21" t="n"/>
      <c r="AR259" s="22" t="n"/>
      <c r="AS259" s="120" t="n"/>
    </row>
    <row r="260" hidden="1" outlineLevel="2">
      <c r="A260" s="8" t="n"/>
      <c r="B260" s="14" t="n"/>
      <c r="C260" s="120" t="n"/>
      <c r="D260" s="120" t="n"/>
      <c r="E260" s="120" t="n"/>
      <c r="F260" s="120" t="n"/>
      <c r="G260" s="120" t="n"/>
      <c r="I260" s="23" t="n"/>
      <c r="J260" s="24" t="n"/>
      <c r="K260" s="24" t="n"/>
      <c r="L260" s="24" t="n"/>
      <c r="M260" s="25" t="n"/>
      <c r="N260" s="120" t="n"/>
      <c r="O260" s="23" t="n"/>
      <c r="P260" s="24" t="n"/>
      <c r="Q260" s="24" t="n"/>
      <c r="R260" s="24" t="n"/>
      <c r="S260" s="25" t="n"/>
      <c r="T260" s="120" t="n"/>
      <c r="U260" s="23" t="n"/>
      <c r="V260" s="24" t="n"/>
      <c r="W260" s="24" t="n"/>
      <c r="X260" s="24" t="n"/>
      <c r="Y260" s="25" t="n"/>
      <c r="Z260" s="120" t="n"/>
      <c r="AB260" s="23" t="n"/>
      <c r="AC260" s="24" t="n"/>
      <c r="AD260" s="24" t="n"/>
      <c r="AE260" s="24" t="n"/>
      <c r="AF260" s="25" t="n"/>
      <c r="AG260" s="120" t="n"/>
      <c r="AH260" s="23" t="n"/>
      <c r="AI260" s="24" t="n"/>
      <c r="AJ260" s="24" t="n"/>
      <c r="AK260" s="24" t="n"/>
      <c r="AL260" s="25" t="n"/>
      <c r="AM260" s="120" t="n"/>
      <c r="AN260" s="23" t="n"/>
      <c r="AO260" s="24" t="n"/>
      <c r="AP260" s="24" t="n"/>
      <c r="AQ260" s="24" t="n"/>
      <c r="AR260" s="25" t="n"/>
      <c r="AS260" s="120" t="n"/>
    </row>
    <row r="261" hidden="1" outlineLevel="1">
      <c r="A261" s="8" t="n"/>
      <c r="B261" s="14" t="n"/>
      <c r="C261" s="120" t="n"/>
      <c r="D261" s="120" t="n"/>
      <c r="E261" s="120" t="n"/>
      <c r="F261" s="120" t="n"/>
      <c r="G261" s="120" t="n"/>
      <c r="I261" s="124" t="inlineStr">
        <is>
          <t>Projétil</t>
        </is>
      </c>
      <c r="J261" s="17" t="n"/>
      <c r="K261" s="68">
        <f>DADOS_INVOC!$PN$15</f>
        <v/>
      </c>
      <c r="L261" s="17" t="n"/>
      <c r="M261" s="68">
        <f>DADOS_INVOC!$PJ$15</f>
        <v/>
      </c>
      <c r="N261" s="120" t="n"/>
      <c r="O261" s="124" t="inlineStr">
        <is>
          <t>Projétil</t>
        </is>
      </c>
      <c r="P261" s="17" t="n"/>
      <c r="Q261" s="68">
        <f>DADOS_INVOC!$PN$16</f>
        <v/>
      </c>
      <c r="R261" s="17" t="n"/>
      <c r="S261" s="68">
        <f>DADOS_INVOC!$PJ$16</f>
        <v/>
      </c>
      <c r="T261" s="120" t="n"/>
      <c r="U261" s="124" t="inlineStr">
        <is>
          <t>Projétil</t>
        </is>
      </c>
      <c r="V261" s="17" t="n"/>
      <c r="W261" s="68">
        <f>DADOS_INVOC!$PN$17</f>
        <v/>
      </c>
      <c r="X261" s="17" t="n"/>
      <c r="Y261" s="68">
        <f>DADOS_INVOC!$PJ$17</f>
        <v/>
      </c>
      <c r="Z261" s="120" t="n"/>
      <c r="AB261" s="124" t="inlineStr">
        <is>
          <t>Projétil</t>
        </is>
      </c>
      <c r="AC261" s="17" t="n"/>
      <c r="AD261" s="68">
        <f>DADOS_INVOC!$PN$93</f>
        <v/>
      </c>
      <c r="AE261" s="17" t="n"/>
      <c r="AF261" s="68">
        <f>DADOS_INVOC!$PJ$93</f>
        <v/>
      </c>
      <c r="AG261" s="120" t="n"/>
      <c r="AH261" s="124" t="inlineStr">
        <is>
          <t>Projétil</t>
        </is>
      </c>
      <c r="AI261" s="17" t="n"/>
      <c r="AJ261" s="68">
        <f>DADOS_INVOC!$PN$94</f>
        <v/>
      </c>
      <c r="AK261" s="17" t="n"/>
      <c r="AL261" s="68">
        <f>DADOS_INVOC!$PJ$94</f>
        <v/>
      </c>
      <c r="AM261" s="120" t="n"/>
      <c r="AN261" s="124" t="inlineStr">
        <is>
          <t>Projétil</t>
        </is>
      </c>
      <c r="AO261" s="17" t="n"/>
      <c r="AP261" s="68">
        <f>DADOS_INVOC!$PN$95</f>
        <v/>
      </c>
      <c r="AQ261" s="17" t="n"/>
      <c r="AR261" s="68">
        <f>DADOS_INVOC!$PJ$95</f>
        <v/>
      </c>
      <c r="AS261" s="120" t="n"/>
    </row>
    <row r="262" hidden="1" outlineLevel="1">
      <c r="A262" s="8" t="n"/>
      <c r="B262" s="14" t="n"/>
      <c r="C262" s="120" t="n"/>
      <c r="D262" s="120" t="n"/>
      <c r="E262" s="120" t="n"/>
      <c r="F262" s="120" t="n"/>
      <c r="G262" s="120" t="n"/>
      <c r="I262" s="124" t="n"/>
      <c r="J262" s="17" t="n"/>
      <c r="K262" s="124" t="n"/>
      <c r="L262" s="16" t="n"/>
      <c r="M262" s="17" t="n"/>
      <c r="N262" s="120" t="n"/>
      <c r="O262" s="124" t="n"/>
      <c r="P262" s="17" t="n"/>
      <c r="Q262" s="124" t="n"/>
      <c r="R262" s="16" t="n"/>
      <c r="S262" s="17" t="n"/>
      <c r="T262" s="120" t="n"/>
      <c r="U262" s="124" t="n"/>
      <c r="V262" s="17" t="n"/>
      <c r="W262" s="124" t="n"/>
      <c r="X262" s="16" t="n"/>
      <c r="Y262" s="17" t="n"/>
      <c r="Z262" s="120" t="n"/>
      <c r="AB262" s="124" t="n"/>
      <c r="AC262" s="17" t="n"/>
      <c r="AD262" s="124" t="n"/>
      <c r="AE262" s="16" t="n"/>
      <c r="AF262" s="17" t="n"/>
      <c r="AG262" s="120" t="n"/>
      <c r="AH262" s="124" t="n"/>
      <c r="AI262" s="17" t="n"/>
      <c r="AJ262" s="124" t="n"/>
      <c r="AK262" s="16" t="n"/>
      <c r="AL262" s="17" t="n"/>
      <c r="AM262" s="120" t="n"/>
      <c r="AN262" s="124" t="n"/>
      <c r="AO262" s="17" t="n"/>
      <c r="AP262" s="124" t="n"/>
      <c r="AQ262" s="16" t="n"/>
      <c r="AR262" s="17" t="n"/>
      <c r="AS262" s="120" t="n"/>
    </row>
    <row r="263" hidden="1" outlineLevel="1">
      <c r="A263" s="8" t="n"/>
      <c r="B263" s="14" t="n"/>
      <c r="C263" s="120" t="n"/>
      <c r="D263" s="120" t="n"/>
      <c r="E263" s="120" t="n"/>
      <c r="F263" s="120" t="n"/>
      <c r="G263" s="120" t="n"/>
      <c r="I263" s="124">
        <f>DADOS_INVOC!$PK$15</f>
        <v/>
      </c>
      <c r="J263" s="17" t="n"/>
      <c r="K263" s="124">
        <f>DADOS_INVOC!$PM$15</f>
        <v/>
      </c>
      <c r="L263" s="16" t="n"/>
      <c r="M263" s="17" t="n"/>
      <c r="N263" s="120" t="n"/>
      <c r="O263" s="124">
        <f>DADOS_INVOC!$PK$16</f>
        <v/>
      </c>
      <c r="P263" s="17" t="n"/>
      <c r="Q263" s="124">
        <f>DADOS_INVOC!$PM$16</f>
        <v/>
      </c>
      <c r="R263" s="16" t="n"/>
      <c r="S263" s="17" t="n"/>
      <c r="T263" s="120" t="n"/>
      <c r="U263" s="124">
        <f>DADOS_INVOC!$PK$17</f>
        <v/>
      </c>
      <c r="V263" s="17" t="n"/>
      <c r="W263" s="124">
        <f>DADOS_INVOC!$PM$17</f>
        <v/>
      </c>
      <c r="X263" s="16" t="n"/>
      <c r="Y263" s="17" t="n"/>
      <c r="Z263" s="120" t="n"/>
      <c r="AB263" s="124">
        <f>DADOS_INVOC!$PK$93</f>
        <v/>
      </c>
      <c r="AC263" s="17" t="n"/>
      <c r="AD263" s="124">
        <f>DADOS_INVOC!$PM$93</f>
        <v/>
      </c>
      <c r="AE263" s="16" t="n"/>
      <c r="AF263" s="17" t="n"/>
      <c r="AG263" s="120" t="n"/>
      <c r="AH263" s="124">
        <f>DADOS_INVOC!$PK$94</f>
        <v/>
      </c>
      <c r="AI263" s="17" t="n"/>
      <c r="AJ263" s="124">
        <f>DADOS_INVOC!$PM$94</f>
        <v/>
      </c>
      <c r="AK263" s="16" t="n"/>
      <c r="AL263" s="17" t="n"/>
      <c r="AM263" s="120" t="n"/>
      <c r="AN263" s="124">
        <f>DADOS_INVOC!$PK$95</f>
        <v/>
      </c>
      <c r="AO263" s="17" t="n"/>
      <c r="AP263" s="124">
        <f>DADOS_INVOC!$PM$95</f>
        <v/>
      </c>
      <c r="AQ263" s="16" t="n"/>
      <c r="AR263" s="17" t="n"/>
      <c r="AS263" s="120" t="n"/>
    </row>
    <row r="264" hidden="1" outlineLevel="1">
      <c r="A264" s="8" t="n"/>
      <c r="B264" s="14" t="n"/>
      <c r="C264" s="120" t="n"/>
      <c r="D264" s="120" t="n"/>
      <c r="E264" s="120" t="n"/>
      <c r="F264" s="120" t="n"/>
      <c r="G264" s="120" t="n"/>
      <c r="I264" s="129">
        <f>DADOS_INVOC!$PS$15</f>
        <v/>
      </c>
      <c r="J264" s="16" t="n"/>
      <c r="K264" s="16" t="n"/>
      <c r="L264" s="16" t="n"/>
      <c r="M264" s="17" t="n"/>
      <c r="N264" s="120" t="n"/>
      <c r="O264" s="129">
        <f>DADOS_INVOC!$PS$16</f>
        <v/>
      </c>
      <c r="P264" s="16" t="n"/>
      <c r="Q264" s="16" t="n"/>
      <c r="R264" s="16" t="n"/>
      <c r="S264" s="17" t="n"/>
      <c r="T264" s="120" t="n"/>
      <c r="U264" s="129">
        <f>DADOS_INVOC!$PS$17</f>
        <v/>
      </c>
      <c r="V264" s="16" t="n"/>
      <c r="W264" s="16" t="n"/>
      <c r="X264" s="16" t="n"/>
      <c r="Y264" s="17" t="n"/>
      <c r="Z264" s="120" t="n"/>
      <c r="AB264" s="129">
        <f>DADOS_INVOC!$PS$93</f>
        <v/>
      </c>
      <c r="AC264" s="16" t="n"/>
      <c r="AD264" s="16" t="n"/>
      <c r="AE264" s="16" t="n"/>
      <c r="AF264" s="17" t="n"/>
      <c r="AG264" s="120" t="n"/>
      <c r="AH264" s="129">
        <f>DADOS_INVOC!$PS$94</f>
        <v/>
      </c>
      <c r="AI264" s="16" t="n"/>
      <c r="AJ264" s="16" t="n"/>
      <c r="AK264" s="16" t="n"/>
      <c r="AL264" s="17" t="n"/>
      <c r="AM264" s="120" t="n"/>
      <c r="AN264" s="129">
        <f>DADOS_INVOC!$PS$95</f>
        <v/>
      </c>
      <c r="AO264" s="16" t="n"/>
      <c r="AP264" s="16" t="n"/>
      <c r="AQ264" s="16" t="n"/>
      <c r="AR264" s="17" t="n"/>
      <c r="AS264" s="120" t="n"/>
    </row>
    <row r="265" hidden="1" outlineLevel="2">
      <c r="A265" s="8" t="n"/>
      <c r="B265" s="14" t="n"/>
      <c r="C265" s="120" t="n"/>
      <c r="D265" s="120" t="n"/>
      <c r="E265" s="120" t="n"/>
      <c r="F265" s="120" t="n"/>
      <c r="G265" s="120" t="n"/>
      <c r="I265" s="55" t="inlineStr">
        <is>
          <t>MELHORIAS</t>
        </is>
      </c>
      <c r="J265" s="130" t="n"/>
      <c r="K265" s="16" t="n"/>
      <c r="L265" s="17" t="n"/>
      <c r="M265" s="129">
        <f>DADOS_INVOC!$PV$15</f>
        <v/>
      </c>
      <c r="N265" s="120" t="n"/>
      <c r="O265" s="55" t="inlineStr">
        <is>
          <t>MELHORIAS</t>
        </is>
      </c>
      <c r="P265" s="130" t="n"/>
      <c r="Q265" s="16" t="n"/>
      <c r="R265" s="17" t="n"/>
      <c r="S265" s="129">
        <f>DADOS_INVOC!$PV$16</f>
        <v/>
      </c>
      <c r="T265" s="120" t="n"/>
      <c r="U265" s="55" t="inlineStr">
        <is>
          <t>MELHORIAS</t>
        </is>
      </c>
      <c r="V265" s="130" t="n"/>
      <c r="W265" s="16" t="n"/>
      <c r="X265" s="17" t="n"/>
      <c r="Y265" s="129">
        <f>DADOS_INVOC!$PV$17</f>
        <v/>
      </c>
      <c r="Z265" s="120" t="n"/>
      <c r="AB265" s="55" t="inlineStr">
        <is>
          <t>MELHORIAS</t>
        </is>
      </c>
      <c r="AC265" s="130" t="n"/>
      <c r="AD265" s="16" t="n"/>
      <c r="AE265" s="17" t="n"/>
      <c r="AF265" s="129">
        <f>DADOS_INVOC!$PV$93</f>
        <v/>
      </c>
      <c r="AG265" s="120" t="n"/>
      <c r="AH265" s="55" t="inlineStr">
        <is>
          <t>MELHORIAS</t>
        </is>
      </c>
      <c r="AI265" s="130" t="n"/>
      <c r="AJ265" s="16" t="n"/>
      <c r="AK265" s="17" t="n"/>
      <c r="AL265" s="129">
        <f>DADOS_INVOC!$PV$94</f>
        <v/>
      </c>
      <c r="AM265" s="120" t="n"/>
      <c r="AN265" s="55" t="inlineStr">
        <is>
          <t>MELHORIAS</t>
        </is>
      </c>
      <c r="AO265" s="130" t="n"/>
      <c r="AP265" s="16" t="n"/>
      <c r="AQ265" s="17" t="n"/>
      <c r="AR265" s="129">
        <f>DADOS_INVOC!$PV$95</f>
        <v/>
      </c>
      <c r="AS265" s="120" t="n"/>
    </row>
    <row r="266" hidden="1" outlineLevel="2">
      <c r="A266" s="8" t="n"/>
      <c r="B266" s="14" t="n"/>
      <c r="C266" s="120" t="n"/>
      <c r="D266" s="120" t="n"/>
      <c r="E266" s="120" t="n"/>
      <c r="F266" s="120" t="n"/>
      <c r="G266" s="120" t="n"/>
      <c r="I266" s="131" t="n"/>
      <c r="J266" s="130" t="n"/>
      <c r="K266" s="16" t="n"/>
      <c r="L266" s="17" t="n"/>
      <c r="M266" s="129">
        <f>DADOS_INVOC!$PW$15</f>
        <v/>
      </c>
      <c r="N266" s="120" t="n"/>
      <c r="O266" s="131" t="n"/>
      <c r="P266" s="130" t="n"/>
      <c r="Q266" s="16" t="n"/>
      <c r="R266" s="17" t="n"/>
      <c r="S266" s="129">
        <f>DADOS_INVOC!$PW$16</f>
        <v/>
      </c>
      <c r="T266" s="120" t="n"/>
      <c r="U266" s="131" t="n"/>
      <c r="V266" s="130" t="n"/>
      <c r="W266" s="16" t="n"/>
      <c r="X266" s="17" t="n"/>
      <c r="Y266" s="129">
        <f>DADOS_INVOC!$PW$17</f>
        <v/>
      </c>
      <c r="Z266" s="120" t="n"/>
      <c r="AB266" s="131" t="n"/>
      <c r="AC266" s="130" t="n"/>
      <c r="AD266" s="16" t="n"/>
      <c r="AE266" s="17" t="n"/>
      <c r="AF266" s="129">
        <f>DADOS_INVOC!$PW$93</f>
        <v/>
      </c>
      <c r="AG266" s="120" t="n"/>
      <c r="AH266" s="131" t="n"/>
      <c r="AI266" s="130" t="n"/>
      <c r="AJ266" s="16" t="n"/>
      <c r="AK266" s="17" t="n"/>
      <c r="AL266" s="129">
        <f>DADOS_INVOC!$PW$94</f>
        <v/>
      </c>
      <c r="AM266" s="120" t="n"/>
      <c r="AN266" s="131" t="n"/>
      <c r="AO266" s="130" t="n"/>
      <c r="AP266" s="16" t="n"/>
      <c r="AQ266" s="17" t="n"/>
      <c r="AR266" s="129">
        <f>DADOS_INVOC!$PW$95</f>
        <v/>
      </c>
      <c r="AS266" s="120" t="n"/>
    </row>
    <row r="267" hidden="1" outlineLevel="2">
      <c r="A267" s="8" t="n"/>
      <c r="B267" s="14" t="n"/>
      <c r="C267" s="120" t="n"/>
      <c r="D267" s="120" t="n"/>
      <c r="E267" s="120" t="n"/>
      <c r="F267" s="120" t="n"/>
      <c r="G267" s="120" t="n"/>
      <c r="I267" s="131" t="n"/>
      <c r="J267" s="130" t="n"/>
      <c r="K267" s="16" t="n"/>
      <c r="L267" s="17" t="n"/>
      <c r="M267" s="129">
        <f>DADOS_INVOC!$PX$15</f>
        <v/>
      </c>
      <c r="N267" s="120" t="n"/>
      <c r="O267" s="131" t="n"/>
      <c r="P267" s="130" t="n"/>
      <c r="Q267" s="16" t="n"/>
      <c r="R267" s="17" t="n"/>
      <c r="S267" s="129">
        <f>DADOS_INVOC!$PX$16</f>
        <v/>
      </c>
      <c r="T267" s="120" t="n"/>
      <c r="U267" s="131" t="n"/>
      <c r="V267" s="130" t="n"/>
      <c r="W267" s="16" t="n"/>
      <c r="X267" s="17" t="n"/>
      <c r="Y267" s="129">
        <f>DADOS_INVOC!$PX$17</f>
        <v/>
      </c>
      <c r="Z267" s="120" t="n"/>
      <c r="AB267" s="131" t="n"/>
      <c r="AC267" s="130" t="n"/>
      <c r="AD267" s="16" t="n"/>
      <c r="AE267" s="17" t="n"/>
      <c r="AF267" s="129">
        <f>DADOS_INVOC!$PX$93</f>
        <v/>
      </c>
      <c r="AG267" s="120" t="n"/>
      <c r="AH267" s="131" t="n"/>
      <c r="AI267" s="130" t="n"/>
      <c r="AJ267" s="16" t="n"/>
      <c r="AK267" s="17" t="n"/>
      <c r="AL267" s="129">
        <f>DADOS_INVOC!$PX$94</f>
        <v/>
      </c>
      <c r="AM267" s="120" t="n"/>
      <c r="AN267" s="131" t="n"/>
      <c r="AO267" s="130" t="n"/>
      <c r="AP267" s="16" t="n"/>
      <c r="AQ267" s="17" t="n"/>
      <c r="AR267" s="129">
        <f>DADOS_INVOC!$PX$95</f>
        <v/>
      </c>
      <c r="AS267" s="120" t="n"/>
    </row>
    <row r="268" hidden="1" outlineLevel="2">
      <c r="A268" s="8" t="n"/>
      <c r="B268" s="14" t="n"/>
      <c r="C268" s="120" t="n"/>
      <c r="D268" s="120" t="n"/>
      <c r="E268" s="120" t="n"/>
      <c r="F268" s="120" t="n"/>
      <c r="G268" s="120" t="n"/>
      <c r="I268" s="125" t="n"/>
      <c r="J268" s="130" t="n"/>
      <c r="K268" s="16" t="n"/>
      <c r="L268" s="17" t="n"/>
      <c r="M268" s="129">
        <f>DADOS_INVOC!$PY$15</f>
        <v/>
      </c>
      <c r="N268" s="120" t="n"/>
      <c r="O268" s="125" t="n"/>
      <c r="P268" s="130" t="n"/>
      <c r="Q268" s="16" t="n"/>
      <c r="R268" s="17" t="n"/>
      <c r="S268" s="129">
        <f>DADOS_INVOC!$PY$16</f>
        <v/>
      </c>
      <c r="T268" s="120" t="n"/>
      <c r="U268" s="125" t="n"/>
      <c r="V268" s="130" t="n"/>
      <c r="W268" s="16" t="n"/>
      <c r="X268" s="17" t="n"/>
      <c r="Y268" s="129">
        <f>DADOS_INVOC!$PY$17</f>
        <v/>
      </c>
      <c r="Z268" s="120" t="n"/>
      <c r="AB268" s="125" t="n"/>
      <c r="AC268" s="130" t="n"/>
      <c r="AD268" s="16" t="n"/>
      <c r="AE268" s="17" t="n"/>
      <c r="AF268" s="129">
        <f>DADOS_INVOC!$PY$93</f>
        <v/>
      </c>
      <c r="AG268" s="120" t="n"/>
      <c r="AH268" s="125" t="n"/>
      <c r="AI268" s="130" t="n"/>
      <c r="AJ268" s="16" t="n"/>
      <c r="AK268" s="17" t="n"/>
      <c r="AL268" s="129">
        <f>DADOS_INVOC!$PY$94</f>
        <v/>
      </c>
      <c r="AM268" s="120" t="n"/>
      <c r="AN268" s="125" t="n"/>
      <c r="AO268" s="130" t="n"/>
      <c r="AP268" s="16" t="n"/>
      <c r="AQ268" s="17" t="n"/>
      <c r="AR268" s="129">
        <f>DADOS_INVOC!$PY$95</f>
        <v/>
      </c>
      <c r="AS268" s="120" t="n"/>
    </row>
    <row r="269" hidden="1" outlineLevel="2">
      <c r="A269" s="8" t="n"/>
      <c r="B269" s="14" t="n"/>
      <c r="C269" s="120" t="n"/>
      <c r="D269" s="120" t="n"/>
      <c r="E269" s="120" t="n"/>
      <c r="F269" s="120" t="n"/>
      <c r="G269" s="120" t="n"/>
      <c r="I269" s="55" t="inlineStr">
        <is>
          <t>RESTRIÇÕES</t>
        </is>
      </c>
      <c r="J269" s="130" t="n"/>
      <c r="K269" s="16" t="n"/>
      <c r="L269" s="17" t="n"/>
      <c r="M269" s="129">
        <f>DADOS_INVOC!$PZ$15</f>
        <v/>
      </c>
      <c r="N269" s="120" t="n"/>
      <c r="O269" s="55" t="inlineStr">
        <is>
          <t>RESTRIÇÕES</t>
        </is>
      </c>
      <c r="P269" s="130" t="n"/>
      <c r="Q269" s="16" t="n"/>
      <c r="R269" s="17" t="n"/>
      <c r="S269" s="129">
        <f>DADOS_INVOC!$PZ$16</f>
        <v/>
      </c>
      <c r="T269" s="120" t="n"/>
      <c r="U269" s="55" t="inlineStr">
        <is>
          <t>RESTRIÇÕES</t>
        </is>
      </c>
      <c r="V269" s="130" t="n"/>
      <c r="W269" s="16" t="n"/>
      <c r="X269" s="17" t="n"/>
      <c r="Y269" s="129">
        <f>DADOS_INVOC!$PZ$17</f>
        <v/>
      </c>
      <c r="Z269" s="120" t="n"/>
      <c r="AB269" s="55" t="inlineStr">
        <is>
          <t>RESTRIÇÕES</t>
        </is>
      </c>
      <c r="AC269" s="130" t="n"/>
      <c r="AD269" s="16" t="n"/>
      <c r="AE269" s="17" t="n"/>
      <c r="AF269" s="129">
        <f>DADOS_INVOC!$PZ$93</f>
        <v/>
      </c>
      <c r="AG269" s="120" t="n"/>
      <c r="AH269" s="55" t="inlineStr">
        <is>
          <t>RESTRIÇÕES</t>
        </is>
      </c>
      <c r="AI269" s="130" t="n"/>
      <c r="AJ269" s="16" t="n"/>
      <c r="AK269" s="17" t="n"/>
      <c r="AL269" s="129">
        <f>DADOS_INVOC!$PZ$94</f>
        <v/>
      </c>
      <c r="AM269" s="120" t="n"/>
      <c r="AN269" s="55" t="inlineStr">
        <is>
          <t>RESTRIÇÕES</t>
        </is>
      </c>
      <c r="AO269" s="130" t="n"/>
      <c r="AP269" s="16" t="n"/>
      <c r="AQ269" s="17" t="n"/>
      <c r="AR269" s="129">
        <f>DADOS_INVOC!$PZ$95</f>
        <v/>
      </c>
      <c r="AS269" s="120" t="n"/>
    </row>
    <row r="270" hidden="1" outlineLevel="2">
      <c r="A270" s="8" t="n"/>
      <c r="B270" s="14" t="n"/>
      <c r="C270" s="120" t="n"/>
      <c r="D270" s="120" t="n"/>
      <c r="E270" s="120" t="n"/>
      <c r="F270" s="120" t="n"/>
      <c r="G270" s="120" t="n"/>
      <c r="I270" s="125" t="n"/>
      <c r="J270" s="130" t="n"/>
      <c r="K270" s="16" t="n"/>
      <c r="L270" s="17" t="n"/>
      <c r="M270" s="129">
        <f>DADOS_INVOC!$QA$15</f>
        <v/>
      </c>
      <c r="N270" s="120" t="n"/>
      <c r="O270" s="125" t="n"/>
      <c r="P270" s="130" t="n"/>
      <c r="Q270" s="16" t="n"/>
      <c r="R270" s="17" t="n"/>
      <c r="S270" s="129">
        <f>DADOS_INVOC!$QA$16</f>
        <v/>
      </c>
      <c r="T270" s="120" t="n"/>
      <c r="U270" s="125" t="n"/>
      <c r="V270" s="130" t="n"/>
      <c r="W270" s="16" t="n"/>
      <c r="X270" s="17" t="n"/>
      <c r="Y270" s="129">
        <f>DADOS_INVOC!$QA$17</f>
        <v/>
      </c>
      <c r="Z270" s="120" t="n"/>
      <c r="AB270" s="125" t="n"/>
      <c r="AC270" s="130" t="n"/>
      <c r="AD270" s="16" t="n"/>
      <c r="AE270" s="17" t="n"/>
      <c r="AF270" s="129">
        <f>DADOS_INVOC!$QA$93</f>
        <v/>
      </c>
      <c r="AG270" s="120" t="n"/>
      <c r="AH270" s="125" t="n"/>
      <c r="AI270" s="130" t="n"/>
      <c r="AJ270" s="16" t="n"/>
      <c r="AK270" s="17" t="n"/>
      <c r="AL270" s="129">
        <f>DADOS_INVOC!$QA$94</f>
        <v/>
      </c>
      <c r="AM270" s="120" t="n"/>
      <c r="AN270" s="125" t="n"/>
      <c r="AO270" s="130" t="n"/>
      <c r="AP270" s="16" t="n"/>
      <c r="AQ270" s="17" t="n"/>
      <c r="AR270" s="129">
        <f>DADOS_INVOC!$QA$95</f>
        <v/>
      </c>
      <c r="AS270" s="120" t="n"/>
    </row>
    <row r="271" hidden="1" outlineLevel="2">
      <c r="A271" s="8" t="n"/>
      <c r="B271" s="14" t="n"/>
      <c r="C271" s="120" t="n"/>
      <c r="D271" s="120" t="n"/>
      <c r="E271" s="120" t="n"/>
      <c r="F271" s="120" t="n"/>
      <c r="G271" s="120" t="n"/>
      <c r="I271" s="55" t="inlineStr">
        <is>
          <t>CONTA</t>
        </is>
      </c>
      <c r="J271" s="132">
        <f>DADOS_INVOC!$PT$15</f>
        <v/>
      </c>
      <c r="K271" s="16" t="n"/>
      <c r="L271" s="16" t="n"/>
      <c r="M271" s="17" t="n"/>
      <c r="N271" s="120" t="n"/>
      <c r="O271" s="55" t="inlineStr">
        <is>
          <t>CONTA</t>
        </is>
      </c>
      <c r="P271" s="132">
        <f>DADOS_INVOC!$PT$16</f>
        <v/>
      </c>
      <c r="Q271" s="16" t="n"/>
      <c r="R271" s="16" t="n"/>
      <c r="S271" s="17" t="n"/>
      <c r="T271" s="120" t="n"/>
      <c r="U271" s="55" t="inlineStr">
        <is>
          <t>CONTA</t>
        </is>
      </c>
      <c r="V271" s="132">
        <f>DADOS_INVOC!$PT$17</f>
        <v/>
      </c>
      <c r="W271" s="16" t="n"/>
      <c r="X271" s="16" t="n"/>
      <c r="Y271" s="17" t="n"/>
      <c r="Z271" s="120" t="n"/>
      <c r="AB271" s="55" t="inlineStr">
        <is>
          <t>CONTA</t>
        </is>
      </c>
      <c r="AC271" s="132">
        <f>DADOS_INVOC!$PT$93</f>
        <v/>
      </c>
      <c r="AD271" s="16" t="n"/>
      <c r="AE271" s="16" t="n"/>
      <c r="AF271" s="17" t="n"/>
      <c r="AG271" s="120" t="n"/>
      <c r="AH271" s="55" t="inlineStr">
        <is>
          <t>CONTA</t>
        </is>
      </c>
      <c r="AI271" s="132">
        <f>DADOS_INVOC!$PT$94</f>
        <v/>
      </c>
      <c r="AJ271" s="16" t="n"/>
      <c r="AK271" s="16" t="n"/>
      <c r="AL271" s="17" t="n"/>
      <c r="AM271" s="120" t="n"/>
      <c r="AN271" s="55" t="inlineStr">
        <is>
          <t>CONTA</t>
        </is>
      </c>
      <c r="AO271" s="132">
        <f>DADOS_INVOC!$PT$95</f>
        <v/>
      </c>
      <c r="AP271" s="16" t="n"/>
      <c r="AQ271" s="16" t="n"/>
      <c r="AR271" s="17" t="n"/>
      <c r="AS271" s="120" t="n"/>
    </row>
    <row r="272" hidden="1" outlineLevel="2">
      <c r="A272" s="8" t="n"/>
      <c r="B272" s="14" t="n"/>
      <c r="C272" s="120" t="n"/>
      <c r="D272" s="120" t="n"/>
      <c r="E272" s="120" t="n"/>
      <c r="F272" s="120" t="n"/>
      <c r="G272" s="120" t="n"/>
      <c r="I272" s="55" t="inlineStr">
        <is>
          <t>AMPLIAR</t>
        </is>
      </c>
      <c r="J272" s="132">
        <f>DADOS_INVOC!$PU$15</f>
        <v/>
      </c>
      <c r="K272" s="19" t="n"/>
      <c r="L272" s="19" t="n"/>
      <c r="M272" s="20" t="n"/>
      <c r="N272" s="120" t="n"/>
      <c r="O272" s="55" t="inlineStr">
        <is>
          <t>AMPLIAR</t>
        </is>
      </c>
      <c r="P272" s="132">
        <f>DADOS_INVOC!$PU$16</f>
        <v/>
      </c>
      <c r="Q272" s="19" t="n"/>
      <c r="R272" s="19" t="n"/>
      <c r="S272" s="20" t="n"/>
      <c r="T272" s="120" t="n"/>
      <c r="U272" s="55" t="inlineStr">
        <is>
          <t>AMPLIAR</t>
        </is>
      </c>
      <c r="V272" s="132">
        <f>DADOS_INVOC!$PU$17</f>
        <v/>
      </c>
      <c r="W272" s="19" t="n"/>
      <c r="X272" s="19" t="n"/>
      <c r="Y272" s="20" t="n"/>
      <c r="Z272" s="120" t="n"/>
      <c r="AB272" s="55" t="inlineStr">
        <is>
          <t>AMPLIAR</t>
        </is>
      </c>
      <c r="AC272" s="132">
        <f>DADOS_INVOC!$PU$93</f>
        <v/>
      </c>
      <c r="AD272" s="19" t="n"/>
      <c r="AE272" s="19" t="n"/>
      <c r="AF272" s="20" t="n"/>
      <c r="AG272" s="120" t="n"/>
      <c r="AH272" s="55" t="inlineStr">
        <is>
          <t>AMPLIAR</t>
        </is>
      </c>
      <c r="AI272" s="132">
        <f>DADOS_INVOC!$PU$94</f>
        <v/>
      </c>
      <c r="AJ272" s="19" t="n"/>
      <c r="AK272" s="19" t="n"/>
      <c r="AL272" s="20" t="n"/>
      <c r="AM272" s="120" t="n"/>
      <c r="AN272" s="55" t="inlineStr">
        <is>
          <t>AMPLIAR</t>
        </is>
      </c>
      <c r="AO272" s="132">
        <f>DADOS_INVOC!$PU$95</f>
        <v/>
      </c>
      <c r="AP272" s="19" t="n"/>
      <c r="AQ272" s="19" t="n"/>
      <c r="AR272" s="20" t="n"/>
      <c r="AS272" s="120" t="n"/>
    </row>
    <row r="273" hidden="1" outlineLevel="2">
      <c r="A273" s="8" t="n"/>
      <c r="B273" s="14" t="n"/>
      <c r="C273" s="120" t="n"/>
      <c r="D273" s="120" t="n"/>
      <c r="E273" s="120" t="n"/>
      <c r="F273" s="120" t="n"/>
      <c r="G273" s="120" t="n"/>
      <c r="I273" s="125" t="n"/>
      <c r="J273" s="23" t="n"/>
      <c r="K273" s="24" t="n"/>
      <c r="L273" s="24" t="n"/>
      <c r="M273" s="25" t="n"/>
      <c r="N273" s="120" t="n"/>
      <c r="O273" s="125" t="n"/>
      <c r="P273" s="23" t="n"/>
      <c r="Q273" s="24" t="n"/>
      <c r="R273" s="24" t="n"/>
      <c r="S273" s="25" t="n"/>
      <c r="T273" s="120" t="n"/>
      <c r="U273" s="125" t="n"/>
      <c r="V273" s="23" t="n"/>
      <c r="W273" s="24" t="n"/>
      <c r="X273" s="24" t="n"/>
      <c r="Y273" s="25" t="n"/>
      <c r="Z273" s="120" t="n"/>
      <c r="AB273" s="125" t="n"/>
      <c r="AC273" s="23" t="n"/>
      <c r="AD273" s="24" t="n"/>
      <c r="AE273" s="24" t="n"/>
      <c r="AF273" s="25" t="n"/>
      <c r="AG273" s="120" t="n"/>
      <c r="AH273" s="125" t="n"/>
      <c r="AI273" s="23" t="n"/>
      <c r="AJ273" s="24" t="n"/>
      <c r="AK273" s="24" t="n"/>
      <c r="AL273" s="25" t="n"/>
      <c r="AM273" s="120" t="n"/>
      <c r="AN273" s="125" t="n"/>
      <c r="AO273" s="23" t="n"/>
      <c r="AP273" s="24" t="n"/>
      <c r="AQ273" s="24" t="n"/>
      <c r="AR273" s="25" t="n"/>
      <c r="AS273" s="120" t="n"/>
    </row>
    <row r="274" hidden="1" outlineLevel="2">
      <c r="A274" s="8" t="n"/>
      <c r="B274" s="14" t="n"/>
      <c r="C274" s="120" t="n"/>
      <c r="D274" s="120" t="n"/>
      <c r="E274" s="120" t="n"/>
      <c r="F274" s="120" t="n"/>
      <c r="G274" s="120" t="n"/>
      <c r="I274" s="132">
        <f>DADOS_INVOC!$PH$15</f>
        <v/>
      </c>
      <c r="J274" s="19" t="n"/>
      <c r="K274" s="19" t="n"/>
      <c r="L274" s="19" t="n"/>
      <c r="M274" s="20" t="n"/>
      <c r="N274" s="120" t="n"/>
      <c r="O274" s="132">
        <f>DADOS_INVOC!$PH$16</f>
        <v/>
      </c>
      <c r="P274" s="19" t="n"/>
      <c r="Q274" s="19" t="n"/>
      <c r="R274" s="19" t="n"/>
      <c r="S274" s="20" t="n"/>
      <c r="T274" s="120" t="n"/>
      <c r="U274" s="132">
        <f>DADOS_INVOC!$PH$17</f>
        <v/>
      </c>
      <c r="V274" s="19" t="n"/>
      <c r="W274" s="19" t="n"/>
      <c r="X274" s="19" t="n"/>
      <c r="Y274" s="20" t="n"/>
      <c r="Z274" s="120" t="n"/>
      <c r="AB274" s="132">
        <f>DADOS_INVOC!$PH$93</f>
        <v/>
      </c>
      <c r="AC274" s="19" t="n"/>
      <c r="AD274" s="19" t="n"/>
      <c r="AE274" s="19" t="n"/>
      <c r="AF274" s="20" t="n"/>
      <c r="AG274" s="120" t="n"/>
      <c r="AH274" s="132">
        <f>DADOS_INVOC!$PH$94</f>
        <v/>
      </c>
      <c r="AI274" s="19" t="n"/>
      <c r="AJ274" s="19" t="n"/>
      <c r="AK274" s="19" t="n"/>
      <c r="AL274" s="20" t="n"/>
      <c r="AM274" s="120" t="n"/>
      <c r="AN274" s="132">
        <f>DADOS_INVOC!$PH$95</f>
        <v/>
      </c>
      <c r="AO274" s="19" t="n"/>
      <c r="AP274" s="19" t="n"/>
      <c r="AQ274" s="19" t="n"/>
      <c r="AR274" s="20" t="n"/>
      <c r="AS274" s="120" t="n"/>
    </row>
    <row r="275" hidden="1" outlineLevel="2">
      <c r="A275" s="8" t="n"/>
      <c r="B275" s="14" t="n"/>
      <c r="C275" s="120" t="n"/>
      <c r="D275" s="120" t="n"/>
      <c r="E275" s="120" t="n"/>
      <c r="F275" s="120" t="n"/>
      <c r="G275" s="120" t="n"/>
      <c r="I275" s="23" t="n"/>
      <c r="J275" s="24" t="n"/>
      <c r="K275" s="24" t="n"/>
      <c r="L275" s="24" t="n"/>
      <c r="M275" s="25" t="n"/>
      <c r="N275" s="120" t="n"/>
      <c r="O275" s="23" t="n"/>
      <c r="P275" s="24" t="n"/>
      <c r="Q275" s="24" t="n"/>
      <c r="R275" s="24" t="n"/>
      <c r="S275" s="25" t="n"/>
      <c r="T275" s="120" t="n"/>
      <c r="U275" s="23" t="n"/>
      <c r="V275" s="24" t="n"/>
      <c r="W275" s="24" t="n"/>
      <c r="X275" s="24" t="n"/>
      <c r="Y275" s="25" t="n"/>
      <c r="Z275" s="120" t="n"/>
      <c r="AB275" s="23" t="n"/>
      <c r="AC275" s="24" t="n"/>
      <c r="AD275" s="24" t="n"/>
      <c r="AE275" s="24" t="n"/>
      <c r="AF275" s="25" t="n"/>
      <c r="AG275" s="120" t="n"/>
      <c r="AH275" s="23" t="n"/>
      <c r="AI275" s="24" t="n"/>
      <c r="AJ275" s="24" t="n"/>
      <c r="AK275" s="24" t="n"/>
      <c r="AL275" s="25" t="n"/>
      <c r="AM275" s="120" t="n"/>
      <c r="AN275" s="23" t="n"/>
      <c r="AO275" s="24" t="n"/>
      <c r="AP275" s="24" t="n"/>
      <c r="AQ275" s="24" t="n"/>
      <c r="AR275" s="25" t="n"/>
      <c r="AS275" s="120" t="n"/>
    </row>
    <row r="276" hidden="1" outlineLevel="1">
      <c r="A276" s="8" t="n"/>
      <c r="B276" s="14" t="n"/>
      <c r="C276" s="120" t="n"/>
      <c r="D276" s="120" t="n"/>
      <c r="E276" s="120" t="n"/>
      <c r="F276" s="120" t="n"/>
      <c r="G276" s="120" t="n"/>
      <c r="I276" s="120" t="n"/>
      <c r="J276" s="120" t="n"/>
      <c r="K276" s="120" t="n"/>
      <c r="L276" s="120" t="n"/>
      <c r="M276" s="120" t="n"/>
      <c r="N276" s="120" t="n"/>
      <c r="O276" s="120" t="n"/>
      <c r="P276" s="120" t="n"/>
      <c r="Q276" s="120" t="n"/>
      <c r="R276" s="120" t="n"/>
      <c r="S276" s="120" t="n"/>
      <c r="T276" s="120" t="n"/>
      <c r="U276" s="120" t="n"/>
      <c r="V276" s="120" t="n"/>
      <c r="W276" s="120" t="n"/>
      <c r="X276" s="120" t="n"/>
      <c r="Y276" s="120" t="n"/>
      <c r="Z276" s="120" t="n"/>
      <c r="AB276" s="120" t="n"/>
      <c r="AC276" s="120" t="n"/>
      <c r="AD276" s="120" t="n"/>
      <c r="AE276" s="120" t="n"/>
      <c r="AF276" s="120" t="n"/>
      <c r="AG276" s="120" t="n"/>
      <c r="AH276" s="120" t="n"/>
      <c r="AI276" s="120" t="n"/>
      <c r="AJ276" s="120" t="n"/>
      <c r="AK276" s="120" t="n"/>
      <c r="AL276" s="120" t="n"/>
      <c r="AM276" s="120" t="n"/>
      <c r="AN276" s="120" t="n"/>
      <c r="AO276" s="120" t="n"/>
      <c r="AP276" s="120" t="n"/>
      <c r="AQ276" s="120" t="n"/>
      <c r="AR276" s="120" t="n"/>
      <c r="AS276" s="120" t="n"/>
    </row>
    <row r="277" hidden="1" outlineLevel="1">
      <c r="A277" s="8" t="n"/>
      <c r="B277" s="14" t="n"/>
      <c r="C277" s="120" t="n"/>
      <c r="D277" s="120" t="n"/>
      <c r="E277" s="120" t="n"/>
      <c r="F277" s="120" t="n"/>
      <c r="G277" s="120" t="n"/>
      <c r="I277" s="55">
        <f>DADOS_INVOC!$HR$3</f>
        <v/>
      </c>
      <c r="J277" s="16" t="n"/>
      <c r="K277" s="16" t="n"/>
      <c r="L277" s="16" t="n"/>
      <c r="M277" s="16" t="n"/>
      <c r="N277" s="16" t="n"/>
      <c r="O277" s="16" t="n"/>
      <c r="P277" s="16" t="n"/>
      <c r="Q277" s="16" t="n"/>
      <c r="R277" s="16" t="n"/>
      <c r="S277" s="16" t="n"/>
      <c r="T277" s="16" t="n"/>
      <c r="U277" s="16" t="n"/>
      <c r="V277" s="16" t="n"/>
      <c r="W277" s="16" t="n"/>
      <c r="X277" s="16" t="n"/>
      <c r="Y277" s="17" t="n"/>
      <c r="Z277" s="120" t="n"/>
      <c r="AB277" s="55">
        <f>DADOS_INVOC!$HR$9</f>
        <v/>
      </c>
      <c r="AC277" s="16" t="n"/>
      <c r="AD277" s="16" t="n"/>
      <c r="AE277" s="16" t="n"/>
      <c r="AF277" s="16" t="n"/>
      <c r="AG277" s="16" t="n"/>
      <c r="AH277" s="16" t="n"/>
      <c r="AI277" s="16" t="n"/>
      <c r="AJ277" s="16" t="n"/>
      <c r="AK277" s="16" t="n"/>
      <c r="AL277" s="16" t="n"/>
      <c r="AM277" s="16" t="n"/>
      <c r="AN277" s="16" t="n"/>
      <c r="AO277" s="16" t="n"/>
      <c r="AP277" s="16" t="n"/>
      <c r="AQ277" s="16" t="n"/>
      <c r="AR277" s="17" t="n"/>
      <c r="AS277" s="120" t="n"/>
    </row>
    <row r="278" hidden="1" outlineLevel="1">
      <c r="A278" s="8" t="n"/>
      <c r="B278" s="14" t="n"/>
      <c r="C278" s="120" t="n"/>
      <c r="D278" s="120" t="n"/>
      <c r="E278" s="120" t="n"/>
      <c r="F278" s="120" t="n"/>
      <c r="G278" s="120" t="n"/>
      <c r="I278" s="55" t="inlineStr">
        <is>
          <t>NV 1 · CE 1</t>
        </is>
      </c>
      <c r="J278" s="130" t="n"/>
      <c r="K278" s="16" t="n"/>
      <c r="L278" s="17" t="n"/>
      <c r="M278" s="137">
        <f>DADOS_INVOC!$IA$3</f>
        <v/>
      </c>
      <c r="N278" s="16" t="n"/>
      <c r="O278" s="16" t="n"/>
      <c r="P278" s="16" t="n"/>
      <c r="Q278" s="16" t="n"/>
      <c r="R278" s="16" t="n"/>
      <c r="S278" s="16" t="n"/>
      <c r="T278" s="16" t="n"/>
      <c r="U278" s="16" t="n"/>
      <c r="V278" s="16" t="n"/>
      <c r="W278" s="16" t="n"/>
      <c r="X278" s="16" t="n"/>
      <c r="Y278" s="17" t="n"/>
      <c r="Z278" s="120" t="n"/>
      <c r="AB278" s="55" t="inlineStr">
        <is>
          <t>NV 1 · CE 1</t>
        </is>
      </c>
      <c r="AC278" s="130" t="n"/>
      <c r="AD278" s="16" t="n"/>
      <c r="AE278" s="17" t="n"/>
      <c r="AF278" s="137">
        <f>DADOS_INVOC!$IA$9</f>
        <v/>
      </c>
      <c r="AG278" s="16" t="n"/>
      <c r="AH278" s="16" t="n"/>
      <c r="AI278" s="16" t="n"/>
      <c r="AJ278" s="16" t="n"/>
      <c r="AK278" s="16" t="n"/>
      <c r="AL278" s="16" t="n"/>
      <c r="AM278" s="16" t="n"/>
      <c r="AN278" s="16" t="n"/>
      <c r="AO278" s="16" t="n"/>
      <c r="AP278" s="16" t="n"/>
      <c r="AQ278" s="16" t="n"/>
      <c r="AR278" s="17" t="n"/>
      <c r="AS278" s="120" t="n"/>
    </row>
    <row r="279" hidden="1" outlineLevel="1">
      <c r="A279" s="8" t="n"/>
      <c r="B279" s="14" t="n"/>
      <c r="C279" s="120" t="n"/>
      <c r="D279" s="120" t="n"/>
      <c r="E279" s="120" t="n"/>
      <c r="F279" s="120" t="n"/>
      <c r="G279" s="120" t="n"/>
      <c r="I279" s="55" t="inlineStr">
        <is>
          <t>NV 6 · CE 1</t>
        </is>
      </c>
      <c r="J279" s="130" t="n"/>
      <c r="K279" s="16" t="n"/>
      <c r="L279" s="17" t="n"/>
      <c r="M279" s="137">
        <f>DADOS_INVOC!$IB$3</f>
        <v/>
      </c>
      <c r="N279" s="16" t="n"/>
      <c r="O279" s="16" t="n"/>
      <c r="P279" s="16" t="n"/>
      <c r="Q279" s="16" t="n"/>
      <c r="R279" s="16" t="n"/>
      <c r="S279" s="16" t="n"/>
      <c r="T279" s="16" t="n"/>
      <c r="U279" s="16" t="n"/>
      <c r="V279" s="16" t="n"/>
      <c r="W279" s="16" t="n"/>
      <c r="X279" s="16" t="n"/>
      <c r="Y279" s="17" t="n"/>
      <c r="Z279" s="120" t="n"/>
      <c r="AB279" s="55" t="inlineStr">
        <is>
          <t>NV 6 · CE 1</t>
        </is>
      </c>
      <c r="AC279" s="130" t="n"/>
      <c r="AD279" s="16" t="n"/>
      <c r="AE279" s="17" t="n"/>
      <c r="AF279" s="137">
        <f>DADOS_INVOC!$IB$9</f>
        <v/>
      </c>
      <c r="AG279" s="16" t="n"/>
      <c r="AH279" s="16" t="n"/>
      <c r="AI279" s="16" t="n"/>
      <c r="AJ279" s="16" t="n"/>
      <c r="AK279" s="16" t="n"/>
      <c r="AL279" s="16" t="n"/>
      <c r="AM279" s="16" t="n"/>
      <c r="AN279" s="16" t="n"/>
      <c r="AO279" s="16" t="n"/>
      <c r="AP279" s="16" t="n"/>
      <c r="AQ279" s="16" t="n"/>
      <c r="AR279" s="17" t="n"/>
      <c r="AS279" s="120" t="n"/>
    </row>
    <row r="280" hidden="1" outlineLevel="1">
      <c r="A280" s="8" t="n"/>
      <c r="B280" s="14" t="n"/>
      <c r="C280" s="120" t="n"/>
      <c r="D280" s="120" t="n"/>
      <c r="E280" s="120" t="n"/>
      <c r="F280" s="120" t="n"/>
      <c r="G280" s="120" t="n"/>
      <c r="I280" s="55" t="inlineStr">
        <is>
          <t>NV 10 · CE 2</t>
        </is>
      </c>
      <c r="J280" s="130" t="n"/>
      <c r="K280" s="16" t="n"/>
      <c r="L280" s="17" t="n"/>
      <c r="M280" s="137">
        <f>DADOS_INVOC!$IC$3</f>
        <v/>
      </c>
      <c r="N280" s="16" t="n"/>
      <c r="O280" s="16" t="n"/>
      <c r="P280" s="16" t="n"/>
      <c r="Q280" s="16" t="n"/>
      <c r="R280" s="16" t="n"/>
      <c r="S280" s="16" t="n"/>
      <c r="T280" s="16" t="n"/>
      <c r="U280" s="16" t="n"/>
      <c r="V280" s="16" t="n"/>
      <c r="W280" s="16" t="n"/>
      <c r="X280" s="16" t="n"/>
      <c r="Y280" s="17" t="n"/>
      <c r="Z280" s="120" t="n"/>
      <c r="AB280" s="55" t="inlineStr">
        <is>
          <t>NV 10 · CE 2</t>
        </is>
      </c>
      <c r="AC280" s="130" t="n"/>
      <c r="AD280" s="16" t="n"/>
      <c r="AE280" s="17" t="n"/>
      <c r="AF280" s="137">
        <f>DADOS_INVOC!$IC$9</f>
        <v/>
      </c>
      <c r="AG280" s="16" t="n"/>
      <c r="AH280" s="16" t="n"/>
      <c r="AI280" s="16" t="n"/>
      <c r="AJ280" s="16" t="n"/>
      <c r="AK280" s="16" t="n"/>
      <c r="AL280" s="16" t="n"/>
      <c r="AM280" s="16" t="n"/>
      <c r="AN280" s="16" t="n"/>
      <c r="AO280" s="16" t="n"/>
      <c r="AP280" s="16" t="n"/>
      <c r="AQ280" s="16" t="n"/>
      <c r="AR280" s="17" t="n"/>
      <c r="AS280" s="120" t="n"/>
    </row>
    <row r="281" hidden="1" outlineLevel="1">
      <c r="A281" s="8" t="n"/>
      <c r="B281" s="14" t="n"/>
      <c r="C281" s="120" t="n"/>
      <c r="D281" s="120" t="n"/>
      <c r="E281" s="120" t="n"/>
      <c r="F281" s="120" t="n"/>
      <c r="G281" s="120" t="n"/>
      <c r="I281" s="55" t="inlineStr">
        <is>
          <t>NV 14 · CE 3</t>
        </is>
      </c>
      <c r="J281" s="130" t="n"/>
      <c r="K281" s="16" t="n"/>
      <c r="L281" s="17" t="n"/>
      <c r="M281" s="137">
        <f>DADOS_INVOC!$ID$3</f>
        <v/>
      </c>
      <c r="N281" s="16" t="n"/>
      <c r="O281" s="16" t="n"/>
      <c r="P281" s="16" t="n"/>
      <c r="Q281" s="16" t="n"/>
      <c r="R281" s="16" t="n"/>
      <c r="S281" s="16" t="n"/>
      <c r="T281" s="16" t="n"/>
      <c r="U281" s="16" t="n"/>
      <c r="V281" s="16" t="n"/>
      <c r="W281" s="16" t="n"/>
      <c r="X281" s="16" t="n"/>
      <c r="Y281" s="17" t="n"/>
      <c r="Z281" s="120" t="n"/>
      <c r="AB281" s="55" t="inlineStr">
        <is>
          <t>NV 14 · CE 3</t>
        </is>
      </c>
      <c r="AC281" s="130" t="n"/>
      <c r="AD281" s="16" t="n"/>
      <c r="AE281" s="17" t="n"/>
      <c r="AF281" s="137">
        <f>DADOS_INVOC!$ID$9</f>
        <v/>
      </c>
      <c r="AG281" s="16" t="n"/>
      <c r="AH281" s="16" t="n"/>
      <c r="AI281" s="16" t="n"/>
      <c r="AJ281" s="16" t="n"/>
      <c r="AK281" s="16" t="n"/>
      <c r="AL281" s="16" t="n"/>
      <c r="AM281" s="16" t="n"/>
      <c r="AN281" s="16" t="n"/>
      <c r="AO281" s="16" t="n"/>
      <c r="AP281" s="16" t="n"/>
      <c r="AQ281" s="16" t="n"/>
      <c r="AR281" s="17" t="n"/>
      <c r="AS281" s="120" t="n"/>
    </row>
    <row r="282" hidden="1" outlineLevel="1">
      <c r="A282" s="8" t="n"/>
      <c r="B282" s="14" t="n"/>
      <c r="C282" s="120" t="n"/>
      <c r="D282" s="120" t="n"/>
      <c r="E282" s="120" t="n"/>
      <c r="F282" s="120" t="n"/>
      <c r="G282" s="120" t="n"/>
      <c r="I282" s="55" t="inlineStr">
        <is>
          <t>NV 18 · CE 3</t>
        </is>
      </c>
      <c r="J282" s="130" t="n"/>
      <c r="K282" s="16" t="n"/>
      <c r="L282" s="17" t="n"/>
      <c r="M282" s="137">
        <f>DADOS_INVOC!$IE$3</f>
        <v/>
      </c>
      <c r="N282" s="16" t="n"/>
      <c r="O282" s="16" t="n"/>
      <c r="P282" s="16" t="n"/>
      <c r="Q282" s="16" t="n"/>
      <c r="R282" s="16" t="n"/>
      <c r="S282" s="16" t="n"/>
      <c r="T282" s="16" t="n"/>
      <c r="U282" s="16" t="n"/>
      <c r="V282" s="16" t="n"/>
      <c r="W282" s="16" t="n"/>
      <c r="X282" s="16" t="n"/>
      <c r="Y282" s="17" t="n"/>
      <c r="Z282" s="120" t="n"/>
      <c r="AB282" s="55" t="inlineStr">
        <is>
          <t>NV 18 · CE 3</t>
        </is>
      </c>
      <c r="AC282" s="130" t="n"/>
      <c r="AD282" s="16" t="n"/>
      <c r="AE282" s="17" t="n"/>
      <c r="AF282" s="137">
        <f>DADOS_INVOC!$IE$9</f>
        <v/>
      </c>
      <c r="AG282" s="16" t="n"/>
      <c r="AH282" s="16" t="n"/>
      <c r="AI282" s="16" t="n"/>
      <c r="AJ282" s="16" t="n"/>
      <c r="AK282" s="16" t="n"/>
      <c r="AL282" s="16" t="n"/>
      <c r="AM282" s="16" t="n"/>
      <c r="AN282" s="16" t="n"/>
      <c r="AO282" s="16" t="n"/>
      <c r="AP282" s="16" t="n"/>
      <c r="AQ282" s="16" t="n"/>
      <c r="AR282" s="17" t="n"/>
      <c r="AS282" s="120" t="n"/>
    </row>
    <row r="283" hidden="1" outlineLevel="1">
      <c r="A283" s="8" t="n"/>
      <c r="B283" s="14" t="n"/>
      <c r="C283" s="120" t="n"/>
      <c r="D283" s="120" t="n"/>
      <c r="E283" s="120" t="n"/>
      <c r="F283" s="120" t="n"/>
      <c r="G283" s="120" t="n"/>
      <c r="I283" s="55" t="inlineStr">
        <is>
          <t>NV 22 · CE 3</t>
        </is>
      </c>
      <c r="J283" s="130" t="n"/>
      <c r="K283" s="16" t="n"/>
      <c r="L283" s="17" t="n"/>
      <c r="M283" s="137">
        <f>DADOS_INVOC!$IF$3</f>
        <v/>
      </c>
      <c r="N283" s="16" t="n"/>
      <c r="O283" s="16" t="n"/>
      <c r="P283" s="16" t="n"/>
      <c r="Q283" s="16" t="n"/>
      <c r="R283" s="16" t="n"/>
      <c r="S283" s="16" t="n"/>
      <c r="T283" s="16" t="n"/>
      <c r="U283" s="16" t="n"/>
      <c r="V283" s="16" t="n"/>
      <c r="W283" s="16" t="n"/>
      <c r="X283" s="16" t="n"/>
      <c r="Y283" s="17" t="n"/>
      <c r="Z283" s="120" t="n"/>
      <c r="AB283" s="55" t="inlineStr">
        <is>
          <t>NV 22 · CE 3</t>
        </is>
      </c>
      <c r="AC283" s="130" t="n"/>
      <c r="AD283" s="16" t="n"/>
      <c r="AE283" s="17" t="n"/>
      <c r="AF283" s="137">
        <f>DADOS_INVOC!$IF$9</f>
        <v/>
      </c>
      <c r="AG283" s="16" t="n"/>
      <c r="AH283" s="16" t="n"/>
      <c r="AI283" s="16" t="n"/>
      <c r="AJ283" s="16" t="n"/>
      <c r="AK283" s="16" t="n"/>
      <c r="AL283" s="16" t="n"/>
      <c r="AM283" s="16" t="n"/>
      <c r="AN283" s="16" t="n"/>
      <c r="AO283" s="16" t="n"/>
      <c r="AP283" s="16" t="n"/>
      <c r="AQ283" s="16" t="n"/>
      <c r="AR283" s="17" t="n"/>
      <c r="AS283" s="120" t="n"/>
    </row>
    <row r="284" hidden="1" outlineLevel="1">
      <c r="A284" s="8" t="n"/>
      <c r="B284" s="14" t="n"/>
      <c r="C284" s="120" t="n"/>
      <c r="D284" s="120" t="n"/>
      <c r="E284" s="120" t="n"/>
      <c r="F284" s="120" t="n"/>
      <c r="G284" s="120" t="n"/>
      <c r="I284" s="55" t="inlineStr">
        <is>
          <t>NV 26 · CE 3</t>
        </is>
      </c>
      <c r="J284" s="130" t="n"/>
      <c r="K284" s="16" t="n"/>
      <c r="L284" s="17" t="n"/>
      <c r="M284" s="137">
        <f>DADOS_INVOC!$IG$3</f>
        <v/>
      </c>
      <c r="N284" s="16" t="n"/>
      <c r="O284" s="16" t="n"/>
      <c r="P284" s="16" t="n"/>
      <c r="Q284" s="16" t="n"/>
      <c r="R284" s="16" t="n"/>
      <c r="S284" s="16" t="n"/>
      <c r="T284" s="16" t="n"/>
      <c r="U284" s="16" t="n"/>
      <c r="V284" s="16" t="n"/>
      <c r="W284" s="16" t="n"/>
      <c r="X284" s="16" t="n"/>
      <c r="Y284" s="17" t="n"/>
      <c r="Z284" s="120" t="n"/>
      <c r="AB284" s="55" t="inlineStr">
        <is>
          <t>NV 26 · CE 3</t>
        </is>
      </c>
      <c r="AC284" s="130" t="n"/>
      <c r="AD284" s="16" t="n"/>
      <c r="AE284" s="17" t="n"/>
      <c r="AF284" s="137">
        <f>DADOS_INVOC!$IG$9</f>
        <v/>
      </c>
      <c r="AG284" s="16" t="n"/>
      <c r="AH284" s="16" t="n"/>
      <c r="AI284" s="16" t="n"/>
      <c r="AJ284" s="16" t="n"/>
      <c r="AK284" s="16" t="n"/>
      <c r="AL284" s="16" t="n"/>
      <c r="AM284" s="16" t="n"/>
      <c r="AN284" s="16" t="n"/>
      <c r="AO284" s="16" t="n"/>
      <c r="AP284" s="16" t="n"/>
      <c r="AQ284" s="16" t="n"/>
      <c r="AR284" s="17" t="n"/>
      <c r="AS284" s="120" t="n"/>
    </row>
    <row r="285" hidden="1" outlineLevel="1">
      <c r="A285" s="8" t="n"/>
      <c r="B285" s="14" t="n"/>
      <c r="C285" s="120" t="n"/>
      <c r="D285" s="120" t="n"/>
      <c r="E285" s="120" t="n"/>
      <c r="F285" s="120" t="n"/>
      <c r="G285" s="120" t="n"/>
      <c r="I285" s="55" t="inlineStr">
        <is>
          <t>NV 30 · CE 3</t>
        </is>
      </c>
      <c r="J285" s="130" t="n"/>
      <c r="K285" s="16" t="n"/>
      <c r="L285" s="17" t="n"/>
      <c r="M285" s="137">
        <f>DADOS_INVOC!$IH$3</f>
        <v/>
      </c>
      <c r="N285" s="16" t="n"/>
      <c r="O285" s="16" t="n"/>
      <c r="P285" s="16" t="n"/>
      <c r="Q285" s="16" t="n"/>
      <c r="R285" s="16" t="n"/>
      <c r="S285" s="16" t="n"/>
      <c r="T285" s="16" t="n"/>
      <c r="U285" s="16" t="n"/>
      <c r="V285" s="16" t="n"/>
      <c r="W285" s="16" t="n"/>
      <c r="X285" s="16" t="n"/>
      <c r="Y285" s="17" t="n"/>
      <c r="Z285" s="120" t="n"/>
      <c r="AB285" s="55" t="inlineStr">
        <is>
          <t>NV 30 · CE 3</t>
        </is>
      </c>
      <c r="AC285" s="130" t="n"/>
      <c r="AD285" s="16" t="n"/>
      <c r="AE285" s="17" t="n"/>
      <c r="AF285" s="137">
        <f>DADOS_INVOC!$IH$9</f>
        <v/>
      </c>
      <c r="AG285" s="16" t="n"/>
      <c r="AH285" s="16" t="n"/>
      <c r="AI285" s="16" t="n"/>
      <c r="AJ285" s="16" t="n"/>
      <c r="AK285" s="16" t="n"/>
      <c r="AL285" s="16" t="n"/>
      <c r="AM285" s="16" t="n"/>
      <c r="AN285" s="16" t="n"/>
      <c r="AO285" s="16" t="n"/>
      <c r="AP285" s="16" t="n"/>
      <c r="AQ285" s="16" t="n"/>
      <c r="AR285" s="17" t="n"/>
      <c r="AS285" s="120" t="n"/>
    </row>
    <row r="286" hidden="1" outlineLevel="1">
      <c r="A286" s="8" t="n"/>
      <c r="B286" s="14" t="n"/>
      <c r="C286" s="120" t="n"/>
      <c r="D286" s="120" t="n"/>
      <c r="E286" s="120" t="n"/>
      <c r="F286" s="120" t="n"/>
      <c r="G286" s="120" t="n"/>
      <c r="I286" s="120" t="n"/>
      <c r="J286" s="120" t="n"/>
      <c r="K286" s="120" t="n"/>
      <c r="L286" s="120" t="n"/>
      <c r="M286" s="120" t="n"/>
      <c r="N286" s="120" t="n"/>
      <c r="O286" s="120" t="n"/>
      <c r="P286" s="120" t="n"/>
      <c r="Q286" s="120" t="n"/>
      <c r="R286" s="120" t="n"/>
      <c r="S286" s="120" t="n"/>
      <c r="T286" s="120" t="n"/>
      <c r="U286" s="120" t="n"/>
      <c r="V286" s="120" t="n"/>
      <c r="W286" s="120" t="n"/>
      <c r="X286" s="120" t="n"/>
      <c r="Y286" s="120" t="n"/>
      <c r="Z286" s="120" t="n"/>
      <c r="AB286" s="120" t="n"/>
      <c r="AC286" s="120" t="n"/>
      <c r="AD286" s="120" t="n"/>
      <c r="AE286" s="120" t="n"/>
      <c r="AF286" s="120" t="n"/>
      <c r="AG286" s="120" t="n"/>
      <c r="AH286" s="120" t="n"/>
      <c r="AI286" s="120" t="n"/>
      <c r="AJ286" s="120" t="n"/>
      <c r="AK286" s="120" t="n"/>
      <c r="AL286" s="120" t="n"/>
      <c r="AM286" s="120" t="n"/>
      <c r="AN286" s="120" t="n"/>
      <c r="AO286" s="120" t="n"/>
      <c r="AP286" s="120" t="n"/>
      <c r="AQ286" s="120" t="n"/>
      <c r="AR286" s="120" t="n"/>
      <c r="AS286" s="120" t="n"/>
    </row>
    <row r="287" hidden="1" outlineLevel="1">
      <c r="A287" s="8" t="n"/>
      <c r="B287" s="14" t="n"/>
      <c r="C287" s="120" t="n"/>
      <c r="D287" s="120" t="n"/>
      <c r="E287" s="120" t="n"/>
      <c r="F287" s="120" t="n"/>
      <c r="G287" s="120" t="n"/>
      <c r="I287" s="13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0" t="n"/>
      <c r="AB287" s="13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0" t="n"/>
    </row>
    <row r="288" hidden="1" outlineLevel="2">
      <c r="A288" s="8" t="n"/>
      <c r="B288" s="14" t="n"/>
      <c r="C288" s="120" t="n"/>
      <c r="D288" s="120" t="n"/>
      <c r="E288" s="120" t="n"/>
      <c r="F288" s="120" t="n"/>
      <c r="G288" s="120" t="n"/>
      <c r="I288" s="120" t="n"/>
      <c r="J288" s="120" t="n"/>
      <c r="K288" s="120" t="n"/>
      <c r="L288" s="120" t="n"/>
      <c r="M288" s="120" t="n"/>
      <c r="N288" s="120" t="n"/>
      <c r="O288" s="120" t="n"/>
      <c r="P288" s="120" t="n"/>
      <c r="Q288" s="120" t="n"/>
      <c r="R288" s="120" t="n"/>
      <c r="S288" s="120" t="n"/>
      <c r="T288" s="120" t="n"/>
      <c r="U288" s="120" t="n"/>
      <c r="V288" s="120" t="n"/>
      <c r="W288" s="120" t="n"/>
      <c r="X288" s="120" t="n"/>
      <c r="Y288" s="120" t="n"/>
      <c r="Z288" s="120" t="n"/>
      <c r="AB288" s="120" t="n"/>
      <c r="AC288" s="120" t="n"/>
      <c r="AD288" s="120" t="n"/>
      <c r="AE288" s="120" t="n"/>
      <c r="AF288" s="120" t="n"/>
      <c r="AG288" s="120" t="n"/>
      <c r="AH288" s="120" t="n"/>
      <c r="AI288" s="120" t="n"/>
      <c r="AJ288" s="120" t="n"/>
      <c r="AK288" s="120" t="n"/>
      <c r="AL288" s="120" t="n"/>
      <c r="AM288" s="120" t="n"/>
      <c r="AN288" s="120" t="n"/>
      <c r="AO288" s="120" t="n"/>
      <c r="AP288" s="120" t="n"/>
      <c r="AQ288" s="120" t="n"/>
      <c r="AR288" s="120" t="n"/>
      <c r="AS288" s="120" t="n"/>
    </row>
    <row r="289" hidden="1" outlineLevel="2">
      <c r="A289" s="8" t="n"/>
      <c r="B289" s="14" t="n"/>
      <c r="C289" s="120" t="n"/>
      <c r="D289" s="120" t="n"/>
      <c r="E289" s="120" t="n"/>
      <c r="F289" s="120" t="n"/>
      <c r="G289" s="120" t="n"/>
      <c r="I289" s="55">
        <f>DADOS_INVOC!$PI$18</f>
        <v/>
      </c>
      <c r="J289" s="16" t="n"/>
      <c r="K289" s="16" t="n"/>
      <c r="L289" s="16" t="n"/>
      <c r="M289" s="17" t="n"/>
      <c r="N289" s="120" t="n"/>
      <c r="O289" s="55">
        <f>DADOS_INVOC!$PI$19</f>
        <v/>
      </c>
      <c r="P289" s="16" t="n"/>
      <c r="Q289" s="16" t="n"/>
      <c r="R289" s="16" t="n"/>
      <c r="S289" s="17" t="n"/>
      <c r="T289" s="120" t="n"/>
      <c r="U289" s="55">
        <f>DADOS_INVOC!$PI$20</f>
        <v/>
      </c>
      <c r="V289" s="16" t="n"/>
      <c r="W289" s="16" t="n"/>
      <c r="X289" s="16" t="n"/>
      <c r="Y289" s="17" t="n"/>
      <c r="Z289" s="120" t="n"/>
      <c r="AB289" s="55">
        <f>DADOS_INVOC!$PI$96</f>
        <v/>
      </c>
      <c r="AC289" s="16" t="n"/>
      <c r="AD289" s="16" t="n"/>
      <c r="AE289" s="16" t="n"/>
      <c r="AF289" s="17" t="n"/>
      <c r="AG289" s="120" t="n"/>
      <c r="AH289" s="55">
        <f>DADOS_INVOC!$PI$97</f>
        <v/>
      </c>
      <c r="AI289" s="16" t="n"/>
      <c r="AJ289" s="16" t="n"/>
      <c r="AK289" s="16" t="n"/>
      <c r="AL289" s="17" t="n"/>
      <c r="AM289" s="120" t="n"/>
      <c r="AN289" s="55">
        <f>DADOS_INVOC!$PI$98</f>
        <v/>
      </c>
      <c r="AO289" s="16" t="n"/>
      <c r="AP289" s="16" t="n"/>
      <c r="AQ289" s="16" t="n"/>
      <c r="AR289" s="17" t="n"/>
      <c r="AS289" s="120" t="n"/>
    </row>
    <row r="290" hidden="1" outlineLevel="2">
      <c r="A290" s="8" t="n"/>
      <c r="B290" s="14" t="n"/>
      <c r="C290" s="120" t="n"/>
      <c r="D290" s="120" t="n"/>
      <c r="E290" s="120" t="n"/>
      <c r="F290" s="120" t="n"/>
      <c r="G290" s="120" t="n"/>
      <c r="I290" s="127" t="n">
        <v>0</v>
      </c>
      <c r="J290" s="115" t="n"/>
      <c r="K290" s="16" t="n"/>
      <c r="L290" s="17" t="n"/>
      <c r="M290" s="128">
        <f>DADOS_INVOC!$PG$18</f>
        <v/>
      </c>
      <c r="N290" s="120" t="n"/>
      <c r="O290" s="127" t="n">
        <v>1</v>
      </c>
      <c r="P290" s="115" t="n"/>
      <c r="Q290" s="16" t="n"/>
      <c r="R290" s="17" t="n"/>
      <c r="S290" s="128">
        <f>DADOS_INVOC!$PG$19</f>
        <v/>
      </c>
      <c r="T290" s="120" t="n"/>
      <c r="U290" s="127" t="n">
        <v>1</v>
      </c>
      <c r="V290" s="115" t="n"/>
      <c r="W290" s="16" t="n"/>
      <c r="X290" s="17" t="n"/>
      <c r="Y290" s="128">
        <f>DADOS_INVOC!$PG$20</f>
        <v/>
      </c>
      <c r="Z290" s="120" t="n"/>
      <c r="AB290" s="127" t="n">
        <v>0</v>
      </c>
      <c r="AC290" s="115" t="n"/>
      <c r="AD290" s="16" t="n"/>
      <c r="AE290" s="17" t="n"/>
      <c r="AF290" s="128">
        <f>DADOS_INVOC!$PG$96</f>
        <v/>
      </c>
      <c r="AG290" s="120" t="n"/>
      <c r="AH290" s="127" t="n">
        <v>1</v>
      </c>
      <c r="AI290" s="115" t="n"/>
      <c r="AJ290" s="16" t="n"/>
      <c r="AK290" s="17" t="n"/>
      <c r="AL290" s="128">
        <f>DADOS_INVOC!$PG$97</f>
        <v/>
      </c>
      <c r="AM290" s="120" t="n"/>
      <c r="AN290" s="127" t="n">
        <v>1</v>
      </c>
      <c r="AO290" s="115" t="n"/>
      <c r="AP290" s="16" t="n"/>
      <c r="AQ290" s="17" t="n"/>
      <c r="AR290" s="128">
        <f>DADOS_INVOC!$PG$98</f>
        <v/>
      </c>
      <c r="AS290" s="120" t="n"/>
    </row>
    <row r="291" hidden="1" outlineLevel="3">
      <c r="A291" s="8" t="n"/>
      <c r="B291" s="14" t="n"/>
      <c r="C291" s="120" t="n"/>
      <c r="D291" s="120" t="n"/>
      <c r="E291" s="120" t="n"/>
      <c r="F291" s="120" t="n"/>
      <c r="G291" s="120" t="n"/>
      <c r="I291" s="55" t="inlineStr">
        <is>
          <t>COMO É</t>
        </is>
      </c>
      <c r="J291" s="16" t="n"/>
      <c r="K291" s="16" t="n"/>
      <c r="L291" s="16" t="n"/>
      <c r="M291" s="17" t="n"/>
      <c r="N291" s="120" t="n"/>
      <c r="O291" s="55" t="inlineStr">
        <is>
          <t>COMO É</t>
        </is>
      </c>
      <c r="P291" s="16" t="n"/>
      <c r="Q291" s="16" t="n"/>
      <c r="R291" s="16" t="n"/>
      <c r="S291" s="17" t="n"/>
      <c r="T291" s="120" t="n"/>
      <c r="U291" s="55" t="inlineStr">
        <is>
          <t>COMO É</t>
        </is>
      </c>
      <c r="V291" s="16" t="n"/>
      <c r="W291" s="16" t="n"/>
      <c r="X291" s="16" t="n"/>
      <c r="Y291" s="17" t="n"/>
      <c r="Z291" s="120" t="n"/>
      <c r="AB291" s="55" t="inlineStr">
        <is>
          <t>COMO É</t>
        </is>
      </c>
      <c r="AC291" s="16" t="n"/>
      <c r="AD291" s="16" t="n"/>
      <c r="AE291" s="16" t="n"/>
      <c r="AF291" s="17" t="n"/>
      <c r="AG291" s="120" t="n"/>
      <c r="AH291" s="55" t="inlineStr">
        <is>
          <t>COMO É</t>
        </is>
      </c>
      <c r="AI291" s="16" t="n"/>
      <c r="AJ291" s="16" t="n"/>
      <c r="AK291" s="16" t="n"/>
      <c r="AL291" s="17" t="n"/>
      <c r="AM291" s="120" t="n"/>
      <c r="AN291" s="55" t="inlineStr">
        <is>
          <t>COMO É</t>
        </is>
      </c>
      <c r="AO291" s="16" t="n"/>
      <c r="AP291" s="16" t="n"/>
      <c r="AQ291" s="16" t="n"/>
      <c r="AR291" s="17" t="n"/>
      <c r="AS291" s="120" t="n"/>
    </row>
    <row r="292" hidden="1" outlineLevel="3">
      <c r="A292" s="8" t="n"/>
      <c r="B292" s="14" t="n"/>
      <c r="C292" s="120" t="n"/>
      <c r="D292" s="120" t="n"/>
      <c r="E292" s="120" t="n"/>
      <c r="F292" s="120" t="n"/>
      <c r="G292" s="120" t="n"/>
      <c r="I292" s="116" t="n"/>
      <c r="J292" s="19" t="n"/>
      <c r="K292" s="19" t="n"/>
      <c r="L292" s="19" t="n"/>
      <c r="M292" s="20" t="n"/>
      <c r="N292" s="120" t="n"/>
      <c r="O292" s="116" t="n"/>
      <c r="P292" s="19" t="n"/>
      <c r="Q292" s="19" t="n"/>
      <c r="R292" s="19" t="n"/>
      <c r="S292" s="20" t="n"/>
      <c r="T292" s="120" t="n"/>
      <c r="U292" s="116" t="n"/>
      <c r="V292" s="19" t="n"/>
      <c r="W292" s="19" t="n"/>
      <c r="X292" s="19" t="n"/>
      <c r="Y292" s="20" t="n"/>
      <c r="Z292" s="120" t="n"/>
      <c r="AB292" s="116" t="n"/>
      <c r="AC292" s="19" t="n"/>
      <c r="AD292" s="19" t="n"/>
      <c r="AE292" s="19" t="n"/>
      <c r="AF292" s="20" t="n"/>
      <c r="AG292" s="120" t="n"/>
      <c r="AH292" s="116" t="n"/>
      <c r="AI292" s="19" t="n"/>
      <c r="AJ292" s="19" t="n"/>
      <c r="AK292" s="19" t="n"/>
      <c r="AL292" s="20" t="n"/>
      <c r="AM292" s="120" t="n"/>
      <c r="AN292" s="116" t="n"/>
      <c r="AO292" s="19" t="n"/>
      <c r="AP292" s="19" t="n"/>
      <c r="AQ292" s="19" t="n"/>
      <c r="AR292" s="20" t="n"/>
      <c r="AS292" s="120" t="n"/>
    </row>
    <row r="293" hidden="1" outlineLevel="3">
      <c r="A293" s="8" t="n"/>
      <c r="B293" s="14" t="n"/>
      <c r="C293" s="120" t="n"/>
      <c r="D293" s="120" t="n"/>
      <c r="E293" s="120" t="n"/>
      <c r="F293" s="120" t="n"/>
      <c r="G293" s="120" t="n"/>
      <c r="I293" s="21" t="n"/>
      <c r="M293" s="22" t="n"/>
      <c r="N293" s="120" t="n"/>
      <c r="O293" s="21" t="n"/>
      <c r="S293" s="22" t="n"/>
      <c r="T293" s="120" t="n"/>
      <c r="U293" s="21" t="n"/>
      <c r="Y293" s="22" t="n"/>
      <c r="Z293" s="120" t="n"/>
      <c r="AB293" s="21" t="n"/>
      <c r="AF293" s="22" t="n"/>
      <c r="AG293" s="120" t="n"/>
      <c r="AH293" s="21" t="n"/>
      <c r="AL293" s="22" t="n"/>
      <c r="AM293" s="120" t="n"/>
      <c r="AN293" s="21" t="n"/>
      <c r="AR293" s="22" t="n"/>
      <c r="AS293" s="120" t="n"/>
    </row>
    <row r="294" hidden="1" outlineLevel="3">
      <c r="A294" s="8" t="n"/>
      <c r="B294" s="14" t="n"/>
      <c r="C294" s="120" t="n"/>
      <c r="D294" s="120" t="n"/>
      <c r="E294" s="120" t="n"/>
      <c r="F294" s="120" t="n"/>
      <c r="G294" s="120" t="n"/>
      <c r="I294" s="23" t="n"/>
      <c r="J294" s="24" t="n"/>
      <c r="K294" s="24" t="n"/>
      <c r="L294" s="24" t="n"/>
      <c r="M294" s="25" t="n"/>
      <c r="N294" s="120" t="n"/>
      <c r="O294" s="23" t="n"/>
      <c r="P294" s="24" t="n"/>
      <c r="Q294" s="24" t="n"/>
      <c r="R294" s="24" t="n"/>
      <c r="S294" s="25" t="n"/>
      <c r="T294" s="120" t="n"/>
      <c r="U294" s="23" t="n"/>
      <c r="V294" s="24" t="n"/>
      <c r="W294" s="24" t="n"/>
      <c r="X294" s="24" t="n"/>
      <c r="Y294" s="25" t="n"/>
      <c r="Z294" s="120" t="n"/>
      <c r="AB294" s="23" t="n"/>
      <c r="AC294" s="24" t="n"/>
      <c r="AD294" s="24" t="n"/>
      <c r="AE294" s="24" t="n"/>
      <c r="AF294" s="25" t="n"/>
      <c r="AG294" s="120" t="n"/>
      <c r="AH294" s="23" t="n"/>
      <c r="AI294" s="24" t="n"/>
      <c r="AJ294" s="24" t="n"/>
      <c r="AK294" s="24" t="n"/>
      <c r="AL294" s="25" t="n"/>
      <c r="AM294" s="120" t="n"/>
      <c r="AN294" s="23" t="n"/>
      <c r="AO294" s="24" t="n"/>
      <c r="AP294" s="24" t="n"/>
      <c r="AQ294" s="24" t="n"/>
      <c r="AR294" s="25" t="n"/>
      <c r="AS294" s="120" t="n"/>
    </row>
    <row r="295" hidden="1" outlineLevel="2">
      <c r="A295" s="8" t="n"/>
      <c r="B295" s="14" t="n"/>
      <c r="C295" s="120" t="n"/>
      <c r="D295" s="120" t="n"/>
      <c r="E295" s="120" t="n"/>
      <c r="F295" s="120" t="n"/>
      <c r="G295" s="120" t="n"/>
      <c r="I295" s="124" t="inlineStr">
        <is>
          <t>Projétil</t>
        </is>
      </c>
      <c r="J295" s="17" t="n"/>
      <c r="K295" s="68">
        <f>DADOS_INVOC!$PN$18</f>
        <v/>
      </c>
      <c r="L295" s="17" t="n"/>
      <c r="M295" s="68">
        <f>DADOS_INVOC!$PJ$18</f>
        <v/>
      </c>
      <c r="N295" s="120" t="n"/>
      <c r="O295" s="124" t="inlineStr">
        <is>
          <t>Projétil</t>
        </is>
      </c>
      <c r="P295" s="17" t="n"/>
      <c r="Q295" s="68">
        <f>DADOS_INVOC!$PN$19</f>
        <v/>
      </c>
      <c r="R295" s="17" t="n"/>
      <c r="S295" s="68">
        <f>DADOS_INVOC!$PJ$19</f>
        <v/>
      </c>
      <c r="T295" s="120" t="n"/>
      <c r="U295" s="124" t="inlineStr">
        <is>
          <t>Projétil</t>
        </is>
      </c>
      <c r="V295" s="17" t="n"/>
      <c r="W295" s="68">
        <f>DADOS_INVOC!$PN$20</f>
        <v/>
      </c>
      <c r="X295" s="17" t="n"/>
      <c r="Y295" s="68">
        <f>DADOS_INVOC!$PJ$20</f>
        <v/>
      </c>
      <c r="Z295" s="120" t="n"/>
      <c r="AB295" s="124" t="inlineStr">
        <is>
          <t>Projétil</t>
        </is>
      </c>
      <c r="AC295" s="17" t="n"/>
      <c r="AD295" s="68">
        <f>DADOS_INVOC!$PN$96</f>
        <v/>
      </c>
      <c r="AE295" s="17" t="n"/>
      <c r="AF295" s="68">
        <f>DADOS_INVOC!$PJ$96</f>
        <v/>
      </c>
      <c r="AG295" s="120" t="n"/>
      <c r="AH295" s="124" t="inlineStr">
        <is>
          <t>Projétil</t>
        </is>
      </c>
      <c r="AI295" s="17" t="n"/>
      <c r="AJ295" s="68">
        <f>DADOS_INVOC!$PN$97</f>
        <v/>
      </c>
      <c r="AK295" s="17" t="n"/>
      <c r="AL295" s="68">
        <f>DADOS_INVOC!$PJ$97</f>
        <v/>
      </c>
      <c r="AM295" s="120" t="n"/>
      <c r="AN295" s="124" t="inlineStr">
        <is>
          <t>Projétil</t>
        </is>
      </c>
      <c r="AO295" s="17" t="n"/>
      <c r="AP295" s="68">
        <f>DADOS_INVOC!$PN$98</f>
        <v/>
      </c>
      <c r="AQ295" s="17" t="n"/>
      <c r="AR295" s="68">
        <f>DADOS_INVOC!$PJ$98</f>
        <v/>
      </c>
      <c r="AS295" s="120" t="n"/>
    </row>
    <row r="296" hidden="1" outlineLevel="2">
      <c r="A296" s="8" t="n"/>
      <c r="B296" s="14" t="n"/>
      <c r="C296" s="120" t="n"/>
      <c r="D296" s="120" t="n"/>
      <c r="E296" s="120" t="n"/>
      <c r="F296" s="120" t="n"/>
      <c r="G296" s="120" t="n"/>
      <c r="I296" s="124" t="n"/>
      <c r="J296" s="17" t="n"/>
      <c r="K296" s="124" t="n"/>
      <c r="L296" s="16" t="n"/>
      <c r="M296" s="17" t="n"/>
      <c r="N296" s="120" t="n"/>
      <c r="O296" s="124" t="n"/>
      <c r="P296" s="17" t="n"/>
      <c r="Q296" s="124" t="n"/>
      <c r="R296" s="16" t="n"/>
      <c r="S296" s="17" t="n"/>
      <c r="T296" s="120" t="n"/>
      <c r="U296" s="124" t="n"/>
      <c r="V296" s="17" t="n"/>
      <c r="W296" s="124" t="n"/>
      <c r="X296" s="16" t="n"/>
      <c r="Y296" s="17" t="n"/>
      <c r="Z296" s="120" t="n"/>
      <c r="AB296" s="124" t="n"/>
      <c r="AC296" s="17" t="n"/>
      <c r="AD296" s="124" t="n"/>
      <c r="AE296" s="16" t="n"/>
      <c r="AF296" s="17" t="n"/>
      <c r="AG296" s="120" t="n"/>
      <c r="AH296" s="124" t="n"/>
      <c r="AI296" s="17" t="n"/>
      <c r="AJ296" s="124" t="n"/>
      <c r="AK296" s="16" t="n"/>
      <c r="AL296" s="17" t="n"/>
      <c r="AM296" s="120" t="n"/>
      <c r="AN296" s="124" t="n"/>
      <c r="AO296" s="17" t="n"/>
      <c r="AP296" s="124" t="n"/>
      <c r="AQ296" s="16" t="n"/>
      <c r="AR296" s="17" t="n"/>
      <c r="AS296" s="120" t="n"/>
    </row>
    <row r="297" hidden="1" outlineLevel="2">
      <c r="A297" s="8" t="n"/>
      <c r="B297" s="14" t="n"/>
      <c r="C297" s="120" t="n"/>
      <c r="D297" s="120" t="n"/>
      <c r="E297" s="120" t="n"/>
      <c r="F297" s="120" t="n"/>
      <c r="G297" s="120" t="n"/>
      <c r="I297" s="124">
        <f>DADOS_INVOC!$PK$18</f>
        <v/>
      </c>
      <c r="J297" s="17" t="n"/>
      <c r="K297" s="124">
        <f>DADOS_INVOC!$PM$18</f>
        <v/>
      </c>
      <c r="L297" s="16" t="n"/>
      <c r="M297" s="17" t="n"/>
      <c r="N297" s="120" t="n"/>
      <c r="O297" s="124">
        <f>DADOS_INVOC!$PK$19</f>
        <v/>
      </c>
      <c r="P297" s="17" t="n"/>
      <c r="Q297" s="124">
        <f>DADOS_INVOC!$PM$19</f>
        <v/>
      </c>
      <c r="R297" s="16" t="n"/>
      <c r="S297" s="17" t="n"/>
      <c r="T297" s="120" t="n"/>
      <c r="U297" s="124">
        <f>DADOS_INVOC!$PK$20</f>
        <v/>
      </c>
      <c r="V297" s="17" t="n"/>
      <c r="W297" s="124">
        <f>DADOS_INVOC!$PM$20</f>
        <v/>
      </c>
      <c r="X297" s="16" t="n"/>
      <c r="Y297" s="17" t="n"/>
      <c r="Z297" s="120" t="n"/>
      <c r="AB297" s="124">
        <f>DADOS_INVOC!$PK$96</f>
        <v/>
      </c>
      <c r="AC297" s="17" t="n"/>
      <c r="AD297" s="124">
        <f>DADOS_INVOC!$PM$96</f>
        <v/>
      </c>
      <c r="AE297" s="16" t="n"/>
      <c r="AF297" s="17" t="n"/>
      <c r="AG297" s="120" t="n"/>
      <c r="AH297" s="124">
        <f>DADOS_INVOC!$PK$97</f>
        <v/>
      </c>
      <c r="AI297" s="17" t="n"/>
      <c r="AJ297" s="124">
        <f>DADOS_INVOC!$PM$97</f>
        <v/>
      </c>
      <c r="AK297" s="16" t="n"/>
      <c r="AL297" s="17" t="n"/>
      <c r="AM297" s="120" t="n"/>
      <c r="AN297" s="124">
        <f>DADOS_INVOC!$PK$98</f>
        <v/>
      </c>
      <c r="AO297" s="17" t="n"/>
      <c r="AP297" s="124">
        <f>DADOS_INVOC!$PM$98</f>
        <v/>
      </c>
      <c r="AQ297" s="16" t="n"/>
      <c r="AR297" s="17" t="n"/>
      <c r="AS297" s="120" t="n"/>
    </row>
    <row r="298" hidden="1" outlineLevel="2">
      <c r="A298" s="8" t="n"/>
      <c r="B298" s="14" t="n"/>
      <c r="C298" s="120" t="n"/>
      <c r="D298" s="120" t="n"/>
      <c r="E298" s="120" t="n"/>
      <c r="F298" s="120" t="n"/>
      <c r="G298" s="120" t="n"/>
      <c r="I298" s="129">
        <f>DADOS_INVOC!$PS$18</f>
        <v/>
      </c>
      <c r="J298" s="16" t="n"/>
      <c r="K298" s="16" t="n"/>
      <c r="L298" s="16" t="n"/>
      <c r="M298" s="17" t="n"/>
      <c r="N298" s="120" t="n"/>
      <c r="O298" s="129">
        <f>DADOS_INVOC!$PS$19</f>
        <v/>
      </c>
      <c r="P298" s="16" t="n"/>
      <c r="Q298" s="16" t="n"/>
      <c r="R298" s="16" t="n"/>
      <c r="S298" s="17" t="n"/>
      <c r="T298" s="120" t="n"/>
      <c r="U298" s="129">
        <f>DADOS_INVOC!$PS$20</f>
        <v/>
      </c>
      <c r="V298" s="16" t="n"/>
      <c r="W298" s="16" t="n"/>
      <c r="X298" s="16" t="n"/>
      <c r="Y298" s="17" t="n"/>
      <c r="Z298" s="120" t="n"/>
      <c r="AB298" s="129">
        <f>DADOS_INVOC!$PS$96</f>
        <v/>
      </c>
      <c r="AC298" s="16" t="n"/>
      <c r="AD298" s="16" t="n"/>
      <c r="AE298" s="16" t="n"/>
      <c r="AF298" s="17" t="n"/>
      <c r="AG298" s="120" t="n"/>
      <c r="AH298" s="129">
        <f>DADOS_INVOC!$PS$97</f>
        <v/>
      </c>
      <c r="AI298" s="16" t="n"/>
      <c r="AJ298" s="16" t="n"/>
      <c r="AK298" s="16" t="n"/>
      <c r="AL298" s="17" t="n"/>
      <c r="AM298" s="120" t="n"/>
      <c r="AN298" s="129">
        <f>DADOS_INVOC!$PS$98</f>
        <v/>
      </c>
      <c r="AO298" s="16" t="n"/>
      <c r="AP298" s="16" t="n"/>
      <c r="AQ298" s="16" t="n"/>
      <c r="AR298" s="17" t="n"/>
      <c r="AS298" s="120" t="n"/>
    </row>
    <row r="299" hidden="1" outlineLevel="3">
      <c r="A299" s="8" t="n"/>
      <c r="B299" s="14" t="n"/>
      <c r="C299" s="120" t="n"/>
      <c r="D299" s="120" t="n"/>
      <c r="E299" s="120" t="n"/>
      <c r="F299" s="120" t="n"/>
      <c r="G299" s="120" t="n"/>
      <c r="I299" s="55" t="inlineStr">
        <is>
          <t>MELHORIAS</t>
        </is>
      </c>
      <c r="J299" s="130" t="n"/>
      <c r="K299" s="16" t="n"/>
      <c r="L299" s="17" t="n"/>
      <c r="M299" s="129">
        <f>DADOS_INVOC!$PV$18</f>
        <v/>
      </c>
      <c r="N299" s="120" t="n"/>
      <c r="O299" s="55" t="inlineStr">
        <is>
          <t>MELHORIAS</t>
        </is>
      </c>
      <c r="P299" s="130" t="n"/>
      <c r="Q299" s="16" t="n"/>
      <c r="R299" s="17" t="n"/>
      <c r="S299" s="129">
        <f>DADOS_INVOC!$PV$19</f>
        <v/>
      </c>
      <c r="T299" s="120" t="n"/>
      <c r="U299" s="55" t="inlineStr">
        <is>
          <t>MELHORIAS</t>
        </is>
      </c>
      <c r="V299" s="130" t="n"/>
      <c r="W299" s="16" t="n"/>
      <c r="X299" s="17" t="n"/>
      <c r="Y299" s="129">
        <f>DADOS_INVOC!$PV$20</f>
        <v/>
      </c>
      <c r="Z299" s="120" t="n"/>
      <c r="AB299" s="55" t="inlineStr">
        <is>
          <t>MELHORIAS</t>
        </is>
      </c>
      <c r="AC299" s="130" t="n"/>
      <c r="AD299" s="16" t="n"/>
      <c r="AE299" s="17" t="n"/>
      <c r="AF299" s="129">
        <f>DADOS_INVOC!$PV$96</f>
        <v/>
      </c>
      <c r="AG299" s="120" t="n"/>
      <c r="AH299" s="55" t="inlineStr">
        <is>
          <t>MELHORIAS</t>
        </is>
      </c>
      <c r="AI299" s="130" t="n"/>
      <c r="AJ299" s="16" t="n"/>
      <c r="AK299" s="17" t="n"/>
      <c r="AL299" s="129">
        <f>DADOS_INVOC!$PV$97</f>
        <v/>
      </c>
      <c r="AM299" s="120" t="n"/>
      <c r="AN299" s="55" t="inlineStr">
        <is>
          <t>MELHORIAS</t>
        </is>
      </c>
      <c r="AO299" s="130" t="n"/>
      <c r="AP299" s="16" t="n"/>
      <c r="AQ299" s="17" t="n"/>
      <c r="AR299" s="129">
        <f>DADOS_INVOC!$PV$98</f>
        <v/>
      </c>
      <c r="AS299" s="120" t="n"/>
    </row>
    <row r="300" hidden="1" outlineLevel="3">
      <c r="A300" s="8" t="n"/>
      <c r="B300" s="14" t="n"/>
      <c r="C300" s="120" t="n"/>
      <c r="D300" s="120" t="n"/>
      <c r="E300" s="120" t="n"/>
      <c r="F300" s="120" t="n"/>
      <c r="G300" s="120" t="n"/>
      <c r="I300" s="131" t="n"/>
      <c r="J300" s="130" t="n"/>
      <c r="K300" s="16" t="n"/>
      <c r="L300" s="17" t="n"/>
      <c r="M300" s="129">
        <f>DADOS_INVOC!$PW$18</f>
        <v/>
      </c>
      <c r="N300" s="120" t="n"/>
      <c r="O300" s="131" t="n"/>
      <c r="P300" s="130" t="n"/>
      <c r="Q300" s="16" t="n"/>
      <c r="R300" s="17" t="n"/>
      <c r="S300" s="129">
        <f>DADOS_INVOC!$PW$19</f>
        <v/>
      </c>
      <c r="T300" s="120" t="n"/>
      <c r="U300" s="131" t="n"/>
      <c r="V300" s="130" t="n"/>
      <c r="W300" s="16" t="n"/>
      <c r="X300" s="17" t="n"/>
      <c r="Y300" s="129">
        <f>DADOS_INVOC!$PW$20</f>
        <v/>
      </c>
      <c r="Z300" s="120" t="n"/>
      <c r="AB300" s="131" t="n"/>
      <c r="AC300" s="130" t="n"/>
      <c r="AD300" s="16" t="n"/>
      <c r="AE300" s="17" t="n"/>
      <c r="AF300" s="129">
        <f>DADOS_INVOC!$PW$96</f>
        <v/>
      </c>
      <c r="AG300" s="120" t="n"/>
      <c r="AH300" s="131" t="n"/>
      <c r="AI300" s="130" t="n"/>
      <c r="AJ300" s="16" t="n"/>
      <c r="AK300" s="17" t="n"/>
      <c r="AL300" s="129">
        <f>DADOS_INVOC!$PW$97</f>
        <v/>
      </c>
      <c r="AM300" s="120" t="n"/>
      <c r="AN300" s="131" t="n"/>
      <c r="AO300" s="130" t="n"/>
      <c r="AP300" s="16" t="n"/>
      <c r="AQ300" s="17" t="n"/>
      <c r="AR300" s="129">
        <f>DADOS_INVOC!$PW$98</f>
        <v/>
      </c>
      <c r="AS300" s="120" t="n"/>
    </row>
    <row r="301" hidden="1" outlineLevel="3">
      <c r="A301" s="8" t="n"/>
      <c r="B301" s="14" t="n"/>
      <c r="C301" s="120" t="n"/>
      <c r="D301" s="120" t="n"/>
      <c r="E301" s="120" t="n"/>
      <c r="F301" s="120" t="n"/>
      <c r="G301" s="120" t="n"/>
      <c r="I301" s="131" t="n"/>
      <c r="J301" s="130" t="n"/>
      <c r="K301" s="16" t="n"/>
      <c r="L301" s="17" t="n"/>
      <c r="M301" s="129">
        <f>DADOS_INVOC!$PX$18</f>
        <v/>
      </c>
      <c r="N301" s="120" t="n"/>
      <c r="O301" s="131" t="n"/>
      <c r="P301" s="130" t="n"/>
      <c r="Q301" s="16" t="n"/>
      <c r="R301" s="17" t="n"/>
      <c r="S301" s="129">
        <f>DADOS_INVOC!$PX$19</f>
        <v/>
      </c>
      <c r="T301" s="120" t="n"/>
      <c r="U301" s="131" t="n"/>
      <c r="V301" s="130" t="n"/>
      <c r="W301" s="16" t="n"/>
      <c r="X301" s="17" t="n"/>
      <c r="Y301" s="129">
        <f>DADOS_INVOC!$PX$20</f>
        <v/>
      </c>
      <c r="Z301" s="120" t="n"/>
      <c r="AB301" s="131" t="n"/>
      <c r="AC301" s="130" t="n"/>
      <c r="AD301" s="16" t="n"/>
      <c r="AE301" s="17" t="n"/>
      <c r="AF301" s="129">
        <f>DADOS_INVOC!$PX$96</f>
        <v/>
      </c>
      <c r="AG301" s="120" t="n"/>
      <c r="AH301" s="131" t="n"/>
      <c r="AI301" s="130" t="n"/>
      <c r="AJ301" s="16" t="n"/>
      <c r="AK301" s="17" t="n"/>
      <c r="AL301" s="129">
        <f>DADOS_INVOC!$PX$97</f>
        <v/>
      </c>
      <c r="AM301" s="120" t="n"/>
      <c r="AN301" s="131" t="n"/>
      <c r="AO301" s="130" t="n"/>
      <c r="AP301" s="16" t="n"/>
      <c r="AQ301" s="17" t="n"/>
      <c r="AR301" s="129">
        <f>DADOS_INVOC!$PX$98</f>
        <v/>
      </c>
      <c r="AS301" s="120" t="n"/>
    </row>
    <row r="302" hidden="1" outlineLevel="3">
      <c r="A302" s="8" t="n"/>
      <c r="B302" s="14" t="n"/>
      <c r="C302" s="120" t="n"/>
      <c r="D302" s="120" t="n"/>
      <c r="E302" s="120" t="n"/>
      <c r="F302" s="120" t="n"/>
      <c r="G302" s="120" t="n"/>
      <c r="I302" s="125" t="n"/>
      <c r="J302" s="130" t="n"/>
      <c r="K302" s="16" t="n"/>
      <c r="L302" s="17" t="n"/>
      <c r="M302" s="129">
        <f>DADOS_INVOC!$PY$18</f>
        <v/>
      </c>
      <c r="N302" s="120" t="n"/>
      <c r="O302" s="125" t="n"/>
      <c r="P302" s="130" t="n"/>
      <c r="Q302" s="16" t="n"/>
      <c r="R302" s="17" t="n"/>
      <c r="S302" s="129">
        <f>DADOS_INVOC!$PY$19</f>
        <v/>
      </c>
      <c r="T302" s="120" t="n"/>
      <c r="U302" s="125" t="n"/>
      <c r="V302" s="130" t="n"/>
      <c r="W302" s="16" t="n"/>
      <c r="X302" s="17" t="n"/>
      <c r="Y302" s="129">
        <f>DADOS_INVOC!$PY$20</f>
        <v/>
      </c>
      <c r="Z302" s="120" t="n"/>
      <c r="AB302" s="125" t="n"/>
      <c r="AC302" s="130" t="n"/>
      <c r="AD302" s="16" t="n"/>
      <c r="AE302" s="17" t="n"/>
      <c r="AF302" s="129">
        <f>DADOS_INVOC!$PY$96</f>
        <v/>
      </c>
      <c r="AG302" s="120" t="n"/>
      <c r="AH302" s="125" t="n"/>
      <c r="AI302" s="130" t="n"/>
      <c r="AJ302" s="16" t="n"/>
      <c r="AK302" s="17" t="n"/>
      <c r="AL302" s="129">
        <f>DADOS_INVOC!$PY$97</f>
        <v/>
      </c>
      <c r="AM302" s="120" t="n"/>
      <c r="AN302" s="125" t="n"/>
      <c r="AO302" s="130" t="n"/>
      <c r="AP302" s="16" t="n"/>
      <c r="AQ302" s="17" t="n"/>
      <c r="AR302" s="129">
        <f>DADOS_INVOC!$PY$98</f>
        <v/>
      </c>
      <c r="AS302" s="120" t="n"/>
    </row>
    <row r="303" hidden="1" outlineLevel="3">
      <c r="A303" s="8" t="n"/>
      <c r="B303" s="14" t="n"/>
      <c r="C303" s="120" t="n"/>
      <c r="D303" s="120" t="n"/>
      <c r="E303" s="120" t="n"/>
      <c r="F303" s="120" t="n"/>
      <c r="G303" s="120" t="n"/>
      <c r="I303" s="55" t="inlineStr">
        <is>
          <t>RESTRIÇÕES</t>
        </is>
      </c>
      <c r="J303" s="130" t="n"/>
      <c r="K303" s="16" t="n"/>
      <c r="L303" s="17" t="n"/>
      <c r="M303" s="129">
        <f>DADOS_INVOC!$PZ$18</f>
        <v/>
      </c>
      <c r="N303" s="120" t="n"/>
      <c r="O303" s="55" t="inlineStr">
        <is>
          <t>RESTRIÇÕES</t>
        </is>
      </c>
      <c r="P303" s="130" t="n"/>
      <c r="Q303" s="16" t="n"/>
      <c r="R303" s="17" t="n"/>
      <c r="S303" s="129">
        <f>DADOS_INVOC!$PZ$19</f>
        <v/>
      </c>
      <c r="T303" s="120" t="n"/>
      <c r="U303" s="55" t="inlineStr">
        <is>
          <t>RESTRIÇÕES</t>
        </is>
      </c>
      <c r="V303" s="130" t="n"/>
      <c r="W303" s="16" t="n"/>
      <c r="X303" s="17" t="n"/>
      <c r="Y303" s="129">
        <f>DADOS_INVOC!$PZ$20</f>
        <v/>
      </c>
      <c r="Z303" s="120" t="n"/>
      <c r="AB303" s="55" t="inlineStr">
        <is>
          <t>RESTRIÇÕES</t>
        </is>
      </c>
      <c r="AC303" s="130" t="n"/>
      <c r="AD303" s="16" t="n"/>
      <c r="AE303" s="17" t="n"/>
      <c r="AF303" s="129">
        <f>DADOS_INVOC!$PZ$96</f>
        <v/>
      </c>
      <c r="AG303" s="120" t="n"/>
      <c r="AH303" s="55" t="inlineStr">
        <is>
          <t>RESTRIÇÕES</t>
        </is>
      </c>
      <c r="AI303" s="130" t="n"/>
      <c r="AJ303" s="16" t="n"/>
      <c r="AK303" s="17" t="n"/>
      <c r="AL303" s="129">
        <f>DADOS_INVOC!$PZ$97</f>
        <v/>
      </c>
      <c r="AM303" s="120" t="n"/>
      <c r="AN303" s="55" t="inlineStr">
        <is>
          <t>RESTRIÇÕES</t>
        </is>
      </c>
      <c r="AO303" s="130" t="n"/>
      <c r="AP303" s="16" t="n"/>
      <c r="AQ303" s="17" t="n"/>
      <c r="AR303" s="129">
        <f>DADOS_INVOC!$PZ$98</f>
        <v/>
      </c>
      <c r="AS303" s="120" t="n"/>
    </row>
    <row r="304" hidden="1" outlineLevel="3">
      <c r="A304" s="8" t="n"/>
      <c r="B304" s="14" t="n"/>
      <c r="C304" s="120" t="n"/>
      <c r="D304" s="120" t="n"/>
      <c r="E304" s="120" t="n"/>
      <c r="F304" s="120" t="n"/>
      <c r="G304" s="120" t="n"/>
      <c r="I304" s="125" t="n"/>
      <c r="J304" s="130" t="n"/>
      <c r="K304" s="16" t="n"/>
      <c r="L304" s="17" t="n"/>
      <c r="M304" s="129">
        <f>DADOS_INVOC!$QA$18</f>
        <v/>
      </c>
      <c r="N304" s="120" t="n"/>
      <c r="O304" s="125" t="n"/>
      <c r="P304" s="130" t="n"/>
      <c r="Q304" s="16" t="n"/>
      <c r="R304" s="17" t="n"/>
      <c r="S304" s="129">
        <f>DADOS_INVOC!$QA$19</f>
        <v/>
      </c>
      <c r="T304" s="120" t="n"/>
      <c r="U304" s="125" t="n"/>
      <c r="V304" s="130" t="n"/>
      <c r="W304" s="16" t="n"/>
      <c r="X304" s="17" t="n"/>
      <c r="Y304" s="129">
        <f>DADOS_INVOC!$QA$20</f>
        <v/>
      </c>
      <c r="Z304" s="120" t="n"/>
      <c r="AB304" s="125" t="n"/>
      <c r="AC304" s="130" t="n"/>
      <c r="AD304" s="16" t="n"/>
      <c r="AE304" s="17" t="n"/>
      <c r="AF304" s="129">
        <f>DADOS_INVOC!$QA$96</f>
        <v/>
      </c>
      <c r="AG304" s="120" t="n"/>
      <c r="AH304" s="125" t="n"/>
      <c r="AI304" s="130" t="n"/>
      <c r="AJ304" s="16" t="n"/>
      <c r="AK304" s="17" t="n"/>
      <c r="AL304" s="129">
        <f>DADOS_INVOC!$QA$97</f>
        <v/>
      </c>
      <c r="AM304" s="120" t="n"/>
      <c r="AN304" s="125" t="n"/>
      <c r="AO304" s="130" t="n"/>
      <c r="AP304" s="16" t="n"/>
      <c r="AQ304" s="17" t="n"/>
      <c r="AR304" s="129">
        <f>DADOS_INVOC!$QA$98</f>
        <v/>
      </c>
      <c r="AS304" s="120" t="n"/>
    </row>
    <row r="305" hidden="1" outlineLevel="3">
      <c r="A305" s="8" t="n"/>
      <c r="B305" s="14" t="n"/>
      <c r="C305" s="120" t="n"/>
      <c r="D305" s="120" t="n"/>
      <c r="E305" s="120" t="n"/>
      <c r="F305" s="120" t="n"/>
      <c r="G305" s="120" t="n"/>
      <c r="I305" s="55" t="inlineStr">
        <is>
          <t>CONTA</t>
        </is>
      </c>
      <c r="J305" s="132">
        <f>DADOS_INVOC!$PT$18</f>
        <v/>
      </c>
      <c r="K305" s="16" t="n"/>
      <c r="L305" s="16" t="n"/>
      <c r="M305" s="17" t="n"/>
      <c r="N305" s="120" t="n"/>
      <c r="O305" s="55" t="inlineStr">
        <is>
          <t>CONTA</t>
        </is>
      </c>
      <c r="P305" s="132">
        <f>DADOS_INVOC!$PT$19</f>
        <v/>
      </c>
      <c r="Q305" s="16" t="n"/>
      <c r="R305" s="16" t="n"/>
      <c r="S305" s="17" t="n"/>
      <c r="T305" s="120" t="n"/>
      <c r="U305" s="55" t="inlineStr">
        <is>
          <t>CONTA</t>
        </is>
      </c>
      <c r="V305" s="132">
        <f>DADOS_INVOC!$PT$20</f>
        <v/>
      </c>
      <c r="W305" s="16" t="n"/>
      <c r="X305" s="16" t="n"/>
      <c r="Y305" s="17" t="n"/>
      <c r="Z305" s="120" t="n"/>
      <c r="AB305" s="55" t="inlineStr">
        <is>
          <t>CONTA</t>
        </is>
      </c>
      <c r="AC305" s="132">
        <f>DADOS_INVOC!$PT$96</f>
        <v/>
      </c>
      <c r="AD305" s="16" t="n"/>
      <c r="AE305" s="16" t="n"/>
      <c r="AF305" s="17" t="n"/>
      <c r="AG305" s="120" t="n"/>
      <c r="AH305" s="55" t="inlineStr">
        <is>
          <t>CONTA</t>
        </is>
      </c>
      <c r="AI305" s="132">
        <f>DADOS_INVOC!$PT$97</f>
        <v/>
      </c>
      <c r="AJ305" s="16" t="n"/>
      <c r="AK305" s="16" t="n"/>
      <c r="AL305" s="17" t="n"/>
      <c r="AM305" s="120" t="n"/>
      <c r="AN305" s="55" t="inlineStr">
        <is>
          <t>CONTA</t>
        </is>
      </c>
      <c r="AO305" s="132">
        <f>DADOS_INVOC!$PT$98</f>
        <v/>
      </c>
      <c r="AP305" s="16" t="n"/>
      <c r="AQ305" s="16" t="n"/>
      <c r="AR305" s="17" t="n"/>
      <c r="AS305" s="120" t="n"/>
    </row>
    <row r="306" hidden="1" outlineLevel="3">
      <c r="A306" s="8" t="n"/>
      <c r="B306" s="14" t="n"/>
      <c r="C306" s="120" t="n"/>
      <c r="D306" s="120" t="n"/>
      <c r="E306" s="120" t="n"/>
      <c r="F306" s="120" t="n"/>
      <c r="G306" s="120" t="n"/>
      <c r="I306" s="55" t="inlineStr">
        <is>
          <t>AMPLIAR</t>
        </is>
      </c>
      <c r="J306" s="132">
        <f>DADOS_INVOC!$PU$18</f>
        <v/>
      </c>
      <c r="K306" s="19" t="n"/>
      <c r="L306" s="19" t="n"/>
      <c r="M306" s="20" t="n"/>
      <c r="N306" s="120" t="n"/>
      <c r="O306" s="55" t="inlineStr">
        <is>
          <t>AMPLIAR</t>
        </is>
      </c>
      <c r="P306" s="132">
        <f>DADOS_INVOC!$PU$19</f>
        <v/>
      </c>
      <c r="Q306" s="19" t="n"/>
      <c r="R306" s="19" t="n"/>
      <c r="S306" s="20" t="n"/>
      <c r="T306" s="120" t="n"/>
      <c r="U306" s="55" t="inlineStr">
        <is>
          <t>AMPLIAR</t>
        </is>
      </c>
      <c r="V306" s="132">
        <f>DADOS_INVOC!$PU$20</f>
        <v/>
      </c>
      <c r="W306" s="19" t="n"/>
      <c r="X306" s="19" t="n"/>
      <c r="Y306" s="20" t="n"/>
      <c r="Z306" s="120" t="n"/>
      <c r="AB306" s="55" t="inlineStr">
        <is>
          <t>AMPLIAR</t>
        </is>
      </c>
      <c r="AC306" s="132">
        <f>DADOS_INVOC!$PU$96</f>
        <v/>
      </c>
      <c r="AD306" s="19" t="n"/>
      <c r="AE306" s="19" t="n"/>
      <c r="AF306" s="20" t="n"/>
      <c r="AG306" s="120" t="n"/>
      <c r="AH306" s="55" t="inlineStr">
        <is>
          <t>AMPLIAR</t>
        </is>
      </c>
      <c r="AI306" s="132">
        <f>DADOS_INVOC!$PU$97</f>
        <v/>
      </c>
      <c r="AJ306" s="19" t="n"/>
      <c r="AK306" s="19" t="n"/>
      <c r="AL306" s="20" t="n"/>
      <c r="AM306" s="120" t="n"/>
      <c r="AN306" s="55" t="inlineStr">
        <is>
          <t>AMPLIAR</t>
        </is>
      </c>
      <c r="AO306" s="132">
        <f>DADOS_INVOC!$PU$98</f>
        <v/>
      </c>
      <c r="AP306" s="19" t="n"/>
      <c r="AQ306" s="19" t="n"/>
      <c r="AR306" s="20" t="n"/>
      <c r="AS306" s="120" t="n"/>
    </row>
    <row r="307" hidden="1" outlineLevel="3">
      <c r="A307" s="8" t="n"/>
      <c r="B307" s="14" t="n"/>
      <c r="C307" s="120" t="n"/>
      <c r="D307" s="120" t="n"/>
      <c r="E307" s="120" t="n"/>
      <c r="F307" s="120" t="n"/>
      <c r="G307" s="120" t="n"/>
      <c r="I307" s="125" t="n"/>
      <c r="J307" s="23" t="n"/>
      <c r="K307" s="24" t="n"/>
      <c r="L307" s="24" t="n"/>
      <c r="M307" s="25" t="n"/>
      <c r="N307" s="120" t="n"/>
      <c r="O307" s="125" t="n"/>
      <c r="P307" s="23" t="n"/>
      <c r="Q307" s="24" t="n"/>
      <c r="R307" s="24" t="n"/>
      <c r="S307" s="25" t="n"/>
      <c r="T307" s="120" t="n"/>
      <c r="U307" s="125" t="n"/>
      <c r="V307" s="23" t="n"/>
      <c r="W307" s="24" t="n"/>
      <c r="X307" s="24" t="n"/>
      <c r="Y307" s="25" t="n"/>
      <c r="Z307" s="120" t="n"/>
      <c r="AB307" s="125" t="n"/>
      <c r="AC307" s="23" t="n"/>
      <c r="AD307" s="24" t="n"/>
      <c r="AE307" s="24" t="n"/>
      <c r="AF307" s="25" t="n"/>
      <c r="AG307" s="120" t="n"/>
      <c r="AH307" s="125" t="n"/>
      <c r="AI307" s="23" t="n"/>
      <c r="AJ307" s="24" t="n"/>
      <c r="AK307" s="24" t="n"/>
      <c r="AL307" s="25" t="n"/>
      <c r="AM307" s="120" t="n"/>
      <c r="AN307" s="125" t="n"/>
      <c r="AO307" s="23" t="n"/>
      <c r="AP307" s="24" t="n"/>
      <c r="AQ307" s="24" t="n"/>
      <c r="AR307" s="25" t="n"/>
      <c r="AS307" s="120" t="n"/>
    </row>
    <row r="308" hidden="1" outlineLevel="3">
      <c r="A308" s="8" t="n"/>
      <c r="B308" s="14" t="n"/>
      <c r="C308" s="120" t="n"/>
      <c r="D308" s="120" t="n"/>
      <c r="E308" s="120" t="n"/>
      <c r="F308" s="120" t="n"/>
      <c r="G308" s="120" t="n"/>
      <c r="I308" s="132">
        <f>DADOS_INVOC!$PH$18</f>
        <v/>
      </c>
      <c r="J308" s="19" t="n"/>
      <c r="K308" s="19" t="n"/>
      <c r="L308" s="19" t="n"/>
      <c r="M308" s="20" t="n"/>
      <c r="N308" s="120" t="n"/>
      <c r="O308" s="132">
        <f>DADOS_INVOC!$PH$19</f>
        <v/>
      </c>
      <c r="P308" s="19" t="n"/>
      <c r="Q308" s="19" t="n"/>
      <c r="R308" s="19" t="n"/>
      <c r="S308" s="20" t="n"/>
      <c r="T308" s="120" t="n"/>
      <c r="U308" s="132">
        <f>DADOS_INVOC!$PH$20</f>
        <v/>
      </c>
      <c r="V308" s="19" t="n"/>
      <c r="W308" s="19" t="n"/>
      <c r="X308" s="19" t="n"/>
      <c r="Y308" s="20" t="n"/>
      <c r="Z308" s="120" t="n"/>
      <c r="AB308" s="132">
        <f>DADOS_INVOC!$PH$96</f>
        <v/>
      </c>
      <c r="AC308" s="19" t="n"/>
      <c r="AD308" s="19" t="n"/>
      <c r="AE308" s="19" t="n"/>
      <c r="AF308" s="20" t="n"/>
      <c r="AG308" s="120" t="n"/>
      <c r="AH308" s="132">
        <f>DADOS_INVOC!$PH$97</f>
        <v/>
      </c>
      <c r="AI308" s="19" t="n"/>
      <c r="AJ308" s="19" t="n"/>
      <c r="AK308" s="19" t="n"/>
      <c r="AL308" s="20" t="n"/>
      <c r="AM308" s="120" t="n"/>
      <c r="AN308" s="132">
        <f>DADOS_INVOC!$PH$98</f>
        <v/>
      </c>
      <c r="AO308" s="19" t="n"/>
      <c r="AP308" s="19" t="n"/>
      <c r="AQ308" s="19" t="n"/>
      <c r="AR308" s="20" t="n"/>
      <c r="AS308" s="120" t="n"/>
    </row>
    <row r="309" hidden="1" outlineLevel="3">
      <c r="A309" s="8" t="n"/>
      <c r="B309" s="14" t="n"/>
      <c r="C309" s="120" t="n"/>
      <c r="D309" s="120" t="n"/>
      <c r="E309" s="120" t="n"/>
      <c r="F309" s="120" t="n"/>
      <c r="G309" s="120" t="n"/>
      <c r="I309" s="23" t="n"/>
      <c r="J309" s="24" t="n"/>
      <c r="K309" s="24" t="n"/>
      <c r="L309" s="24" t="n"/>
      <c r="M309" s="25" t="n"/>
      <c r="N309" s="120" t="n"/>
      <c r="O309" s="23" t="n"/>
      <c r="P309" s="24" t="n"/>
      <c r="Q309" s="24" t="n"/>
      <c r="R309" s="24" t="n"/>
      <c r="S309" s="25" t="n"/>
      <c r="T309" s="120" t="n"/>
      <c r="U309" s="23" t="n"/>
      <c r="V309" s="24" t="n"/>
      <c r="W309" s="24" t="n"/>
      <c r="X309" s="24" t="n"/>
      <c r="Y309" s="25" t="n"/>
      <c r="Z309" s="120" t="n"/>
      <c r="AB309" s="23" t="n"/>
      <c r="AC309" s="24" t="n"/>
      <c r="AD309" s="24" t="n"/>
      <c r="AE309" s="24" t="n"/>
      <c r="AF309" s="25" t="n"/>
      <c r="AG309" s="120" t="n"/>
      <c r="AH309" s="23" t="n"/>
      <c r="AI309" s="24" t="n"/>
      <c r="AJ309" s="24" t="n"/>
      <c r="AK309" s="24" t="n"/>
      <c r="AL309" s="25" t="n"/>
      <c r="AM309" s="120" t="n"/>
      <c r="AN309" s="23" t="n"/>
      <c r="AO309" s="24" t="n"/>
      <c r="AP309" s="24" t="n"/>
      <c r="AQ309" s="24" t="n"/>
      <c r="AR309" s="25" t="n"/>
      <c r="AS309" s="120" t="n"/>
    </row>
    <row r="310" hidden="1" outlineLevel="2">
      <c r="A310" s="8" t="n"/>
      <c r="B310" s="14" t="n"/>
      <c r="C310" s="120" t="n"/>
      <c r="D310" s="120" t="n"/>
      <c r="E310" s="120" t="n"/>
      <c r="F310" s="120" t="n"/>
      <c r="G310" s="120" t="n"/>
      <c r="I310" s="120" t="n"/>
      <c r="J310" s="120" t="n"/>
      <c r="K310" s="120" t="n"/>
      <c r="L310" s="120" t="n"/>
      <c r="M310" s="120" t="n"/>
      <c r="N310" s="120" t="n"/>
      <c r="O310" s="120" t="n"/>
      <c r="P310" s="120" t="n"/>
      <c r="Q310" s="120" t="n"/>
      <c r="R310" s="120" t="n"/>
      <c r="S310" s="120" t="n"/>
      <c r="T310" s="120" t="n"/>
      <c r="U310" s="120" t="n"/>
      <c r="V310" s="120" t="n"/>
      <c r="W310" s="120" t="n"/>
      <c r="X310" s="120" t="n"/>
      <c r="Y310" s="120" t="n"/>
      <c r="Z310" s="120" t="n"/>
      <c r="AB310" s="120" t="n"/>
      <c r="AC310" s="120" t="n"/>
      <c r="AD310" s="120" t="n"/>
      <c r="AE310" s="120" t="n"/>
      <c r="AF310" s="120" t="n"/>
      <c r="AG310" s="120" t="n"/>
      <c r="AH310" s="120" t="n"/>
      <c r="AI310" s="120" t="n"/>
      <c r="AJ310" s="120" t="n"/>
      <c r="AK310" s="120" t="n"/>
      <c r="AL310" s="120" t="n"/>
      <c r="AM310" s="120" t="n"/>
      <c r="AN310" s="120" t="n"/>
      <c r="AO310" s="120" t="n"/>
      <c r="AP310" s="120" t="n"/>
      <c r="AQ310" s="120" t="n"/>
      <c r="AR310" s="120" t="n"/>
      <c r="AS310" s="120" t="n"/>
    </row>
    <row r="311" hidden="1" outlineLevel="2">
      <c r="A311" s="8" t="n"/>
      <c r="B311" s="14" t="n"/>
      <c r="C311" s="120" t="n"/>
      <c r="D311" s="120" t="n"/>
      <c r="E311" s="120" t="n"/>
      <c r="F311" s="120" t="n"/>
      <c r="G311" s="120" t="n"/>
      <c r="I311" s="55">
        <f>DADOS_INVOC!$PI$21</f>
        <v/>
      </c>
      <c r="J311" s="16" t="n"/>
      <c r="K311" s="16" t="n"/>
      <c r="L311" s="16" t="n"/>
      <c r="M311" s="17" t="n"/>
      <c r="N311" s="120" t="n"/>
      <c r="O311" s="55">
        <f>DADOS_INVOC!$PI$22</f>
        <v/>
      </c>
      <c r="P311" s="16" t="n"/>
      <c r="Q311" s="16" t="n"/>
      <c r="R311" s="16" t="n"/>
      <c r="S311" s="17" t="n"/>
      <c r="T311" s="120" t="n"/>
      <c r="U311" s="55">
        <f>DADOS_INVOC!$PI$23</f>
        <v/>
      </c>
      <c r="V311" s="16" t="n"/>
      <c r="W311" s="16" t="n"/>
      <c r="X311" s="16" t="n"/>
      <c r="Y311" s="17" t="n"/>
      <c r="Z311" s="120" t="n"/>
      <c r="AB311" s="55">
        <f>DADOS_INVOC!$PI$99</f>
        <v/>
      </c>
      <c r="AC311" s="16" t="n"/>
      <c r="AD311" s="16" t="n"/>
      <c r="AE311" s="16" t="n"/>
      <c r="AF311" s="17" t="n"/>
      <c r="AG311" s="120" t="n"/>
      <c r="AH311" s="55">
        <f>DADOS_INVOC!$PI$100</f>
        <v/>
      </c>
      <c r="AI311" s="16" t="n"/>
      <c r="AJ311" s="16" t="n"/>
      <c r="AK311" s="16" t="n"/>
      <c r="AL311" s="17" t="n"/>
      <c r="AM311" s="120" t="n"/>
      <c r="AN311" s="55">
        <f>DADOS_INVOC!$PI$101</f>
        <v/>
      </c>
      <c r="AO311" s="16" t="n"/>
      <c r="AP311" s="16" t="n"/>
      <c r="AQ311" s="16" t="n"/>
      <c r="AR311" s="17" t="n"/>
      <c r="AS311" s="120" t="n"/>
    </row>
    <row r="312" hidden="1" outlineLevel="2">
      <c r="A312" s="8" t="n"/>
      <c r="B312" s="14" t="n"/>
      <c r="C312" s="120" t="n"/>
      <c r="D312" s="120" t="n"/>
      <c r="E312" s="120" t="n"/>
      <c r="F312" s="120" t="n"/>
      <c r="G312" s="120" t="n"/>
      <c r="I312" s="127" t="n">
        <v>1</v>
      </c>
      <c r="J312" s="115" t="n"/>
      <c r="K312" s="16" t="n"/>
      <c r="L312" s="17" t="n"/>
      <c r="M312" s="128">
        <f>DADOS_INVOC!$PG$21</f>
        <v/>
      </c>
      <c r="N312" s="120" t="n"/>
      <c r="O312" s="127" t="n">
        <v>1</v>
      </c>
      <c r="P312" s="115" t="n"/>
      <c r="Q312" s="16" t="n"/>
      <c r="R312" s="17" t="n"/>
      <c r="S312" s="128">
        <f>DADOS_INVOC!$PG$22</f>
        <v/>
      </c>
      <c r="T312" s="120" t="n"/>
      <c r="U312" s="127" t="n">
        <v>1</v>
      </c>
      <c r="V312" s="115" t="n"/>
      <c r="W312" s="16" t="n"/>
      <c r="X312" s="17" t="n"/>
      <c r="Y312" s="128">
        <f>DADOS_INVOC!$PG$23</f>
        <v/>
      </c>
      <c r="Z312" s="120" t="n"/>
      <c r="AB312" s="127" t="n">
        <v>1</v>
      </c>
      <c r="AC312" s="115" t="n"/>
      <c r="AD312" s="16" t="n"/>
      <c r="AE312" s="17" t="n"/>
      <c r="AF312" s="128">
        <f>DADOS_INVOC!$PG$99</f>
        <v/>
      </c>
      <c r="AG312" s="120" t="n"/>
      <c r="AH312" s="127" t="n">
        <v>1</v>
      </c>
      <c r="AI312" s="115" t="n"/>
      <c r="AJ312" s="16" t="n"/>
      <c r="AK312" s="17" t="n"/>
      <c r="AL312" s="128">
        <f>DADOS_INVOC!$PG$100</f>
        <v/>
      </c>
      <c r="AM312" s="120" t="n"/>
      <c r="AN312" s="127" t="n">
        <v>1</v>
      </c>
      <c r="AO312" s="115" t="n"/>
      <c r="AP312" s="16" t="n"/>
      <c r="AQ312" s="17" t="n"/>
      <c r="AR312" s="128">
        <f>DADOS_INVOC!$PG$101</f>
        <v/>
      </c>
      <c r="AS312" s="120" t="n"/>
    </row>
    <row r="313" hidden="1" outlineLevel="3">
      <c r="A313" s="8" t="n"/>
      <c r="B313" s="14" t="n"/>
      <c r="C313" s="120" t="n"/>
      <c r="D313" s="120" t="n"/>
      <c r="E313" s="120" t="n"/>
      <c r="F313" s="120" t="n"/>
      <c r="G313" s="120" t="n"/>
      <c r="I313" s="55" t="inlineStr">
        <is>
          <t>COMO É</t>
        </is>
      </c>
      <c r="J313" s="16" t="n"/>
      <c r="K313" s="16" t="n"/>
      <c r="L313" s="16" t="n"/>
      <c r="M313" s="17" t="n"/>
      <c r="N313" s="120" t="n"/>
      <c r="O313" s="55" t="inlineStr">
        <is>
          <t>COMO É</t>
        </is>
      </c>
      <c r="P313" s="16" t="n"/>
      <c r="Q313" s="16" t="n"/>
      <c r="R313" s="16" t="n"/>
      <c r="S313" s="17" t="n"/>
      <c r="T313" s="120" t="n"/>
      <c r="U313" s="55" t="inlineStr">
        <is>
          <t>COMO É</t>
        </is>
      </c>
      <c r="V313" s="16" t="n"/>
      <c r="W313" s="16" t="n"/>
      <c r="X313" s="16" t="n"/>
      <c r="Y313" s="17" t="n"/>
      <c r="Z313" s="120" t="n"/>
      <c r="AB313" s="55" t="inlineStr">
        <is>
          <t>COMO É</t>
        </is>
      </c>
      <c r="AC313" s="16" t="n"/>
      <c r="AD313" s="16" t="n"/>
      <c r="AE313" s="16" t="n"/>
      <c r="AF313" s="17" t="n"/>
      <c r="AG313" s="120" t="n"/>
      <c r="AH313" s="55" t="inlineStr">
        <is>
          <t>COMO É</t>
        </is>
      </c>
      <c r="AI313" s="16" t="n"/>
      <c r="AJ313" s="16" t="n"/>
      <c r="AK313" s="16" t="n"/>
      <c r="AL313" s="17" t="n"/>
      <c r="AM313" s="120" t="n"/>
      <c r="AN313" s="55" t="inlineStr">
        <is>
          <t>COMO É</t>
        </is>
      </c>
      <c r="AO313" s="16" t="n"/>
      <c r="AP313" s="16" t="n"/>
      <c r="AQ313" s="16" t="n"/>
      <c r="AR313" s="17" t="n"/>
      <c r="AS313" s="120" t="n"/>
    </row>
    <row r="314" hidden="1" outlineLevel="3">
      <c r="A314" s="8" t="n"/>
      <c r="B314" s="14" t="n"/>
      <c r="C314" s="120" t="n"/>
      <c r="D314" s="120" t="n"/>
      <c r="E314" s="120" t="n"/>
      <c r="F314" s="120" t="n"/>
      <c r="G314" s="120" t="n"/>
      <c r="I314" s="116" t="n"/>
      <c r="J314" s="19" t="n"/>
      <c r="K314" s="19" t="n"/>
      <c r="L314" s="19" t="n"/>
      <c r="M314" s="20" t="n"/>
      <c r="N314" s="120" t="n"/>
      <c r="O314" s="116" t="n"/>
      <c r="P314" s="19" t="n"/>
      <c r="Q314" s="19" t="n"/>
      <c r="R314" s="19" t="n"/>
      <c r="S314" s="20" t="n"/>
      <c r="T314" s="120" t="n"/>
      <c r="U314" s="116" t="n"/>
      <c r="V314" s="19" t="n"/>
      <c r="W314" s="19" t="n"/>
      <c r="X314" s="19" t="n"/>
      <c r="Y314" s="20" t="n"/>
      <c r="Z314" s="120" t="n"/>
      <c r="AB314" s="116" t="n"/>
      <c r="AC314" s="19" t="n"/>
      <c r="AD314" s="19" t="n"/>
      <c r="AE314" s="19" t="n"/>
      <c r="AF314" s="20" t="n"/>
      <c r="AG314" s="120" t="n"/>
      <c r="AH314" s="116" t="n"/>
      <c r="AI314" s="19" t="n"/>
      <c r="AJ314" s="19" t="n"/>
      <c r="AK314" s="19" t="n"/>
      <c r="AL314" s="20" t="n"/>
      <c r="AM314" s="120" t="n"/>
      <c r="AN314" s="116" t="n"/>
      <c r="AO314" s="19" t="n"/>
      <c r="AP314" s="19" t="n"/>
      <c r="AQ314" s="19" t="n"/>
      <c r="AR314" s="20" t="n"/>
      <c r="AS314" s="120" t="n"/>
    </row>
    <row r="315" hidden="1" outlineLevel="3">
      <c r="A315" s="8" t="n"/>
      <c r="B315" s="14" t="n"/>
      <c r="C315" s="120" t="n"/>
      <c r="D315" s="120" t="n"/>
      <c r="E315" s="120" t="n"/>
      <c r="F315" s="120" t="n"/>
      <c r="G315" s="120" t="n"/>
      <c r="I315" s="21" t="n"/>
      <c r="M315" s="22" t="n"/>
      <c r="N315" s="120" t="n"/>
      <c r="O315" s="21" t="n"/>
      <c r="S315" s="22" t="n"/>
      <c r="T315" s="120" t="n"/>
      <c r="U315" s="21" t="n"/>
      <c r="Y315" s="22" t="n"/>
      <c r="Z315" s="120" t="n"/>
      <c r="AB315" s="21" t="n"/>
      <c r="AF315" s="22" t="n"/>
      <c r="AG315" s="120" t="n"/>
      <c r="AH315" s="21" t="n"/>
      <c r="AL315" s="22" t="n"/>
      <c r="AM315" s="120" t="n"/>
      <c r="AN315" s="21" t="n"/>
      <c r="AR315" s="22" t="n"/>
      <c r="AS315" s="120" t="n"/>
    </row>
    <row r="316" hidden="1" outlineLevel="3">
      <c r="A316" s="8" t="n"/>
      <c r="B316" s="14" t="n"/>
      <c r="C316" s="120" t="n"/>
      <c r="D316" s="120" t="n"/>
      <c r="E316" s="120" t="n"/>
      <c r="F316" s="120" t="n"/>
      <c r="G316" s="120" t="n"/>
      <c r="I316" s="23" t="n"/>
      <c r="J316" s="24" t="n"/>
      <c r="K316" s="24" t="n"/>
      <c r="L316" s="24" t="n"/>
      <c r="M316" s="25" t="n"/>
      <c r="N316" s="120" t="n"/>
      <c r="O316" s="23" t="n"/>
      <c r="P316" s="24" t="n"/>
      <c r="Q316" s="24" t="n"/>
      <c r="R316" s="24" t="n"/>
      <c r="S316" s="25" t="n"/>
      <c r="T316" s="120" t="n"/>
      <c r="U316" s="23" t="n"/>
      <c r="V316" s="24" t="n"/>
      <c r="W316" s="24" t="n"/>
      <c r="X316" s="24" t="n"/>
      <c r="Y316" s="25" t="n"/>
      <c r="Z316" s="120" t="n"/>
      <c r="AB316" s="23" t="n"/>
      <c r="AC316" s="24" t="n"/>
      <c r="AD316" s="24" t="n"/>
      <c r="AE316" s="24" t="n"/>
      <c r="AF316" s="25" t="n"/>
      <c r="AG316" s="120" t="n"/>
      <c r="AH316" s="23" t="n"/>
      <c r="AI316" s="24" t="n"/>
      <c r="AJ316" s="24" t="n"/>
      <c r="AK316" s="24" t="n"/>
      <c r="AL316" s="25" t="n"/>
      <c r="AM316" s="120" t="n"/>
      <c r="AN316" s="23" t="n"/>
      <c r="AO316" s="24" t="n"/>
      <c r="AP316" s="24" t="n"/>
      <c r="AQ316" s="24" t="n"/>
      <c r="AR316" s="25" t="n"/>
      <c r="AS316" s="120" t="n"/>
    </row>
    <row r="317" hidden="1" outlineLevel="2">
      <c r="A317" s="8" t="n"/>
      <c r="B317" s="14" t="n"/>
      <c r="C317" s="120" t="n"/>
      <c r="D317" s="120" t="n"/>
      <c r="E317" s="120" t="n"/>
      <c r="F317" s="120" t="n"/>
      <c r="G317" s="120" t="n"/>
      <c r="I317" s="124" t="inlineStr">
        <is>
          <t>Projétil</t>
        </is>
      </c>
      <c r="J317" s="17" t="n"/>
      <c r="K317" s="68">
        <f>DADOS_INVOC!$PN$21</f>
        <v/>
      </c>
      <c r="L317" s="17" t="n"/>
      <c r="M317" s="68">
        <f>DADOS_INVOC!$PJ$21</f>
        <v/>
      </c>
      <c r="N317" s="120" t="n"/>
      <c r="O317" s="124" t="inlineStr">
        <is>
          <t>Projétil</t>
        </is>
      </c>
      <c r="P317" s="17" t="n"/>
      <c r="Q317" s="68">
        <f>DADOS_INVOC!$PN$22</f>
        <v/>
      </c>
      <c r="R317" s="17" t="n"/>
      <c r="S317" s="68">
        <f>DADOS_INVOC!$PJ$22</f>
        <v/>
      </c>
      <c r="T317" s="120" t="n"/>
      <c r="U317" s="124" t="inlineStr">
        <is>
          <t>Projétil</t>
        </is>
      </c>
      <c r="V317" s="17" t="n"/>
      <c r="W317" s="68">
        <f>DADOS_INVOC!$PN$23</f>
        <v/>
      </c>
      <c r="X317" s="17" t="n"/>
      <c r="Y317" s="68">
        <f>DADOS_INVOC!$PJ$23</f>
        <v/>
      </c>
      <c r="Z317" s="120" t="n"/>
      <c r="AB317" s="124" t="inlineStr">
        <is>
          <t>Projétil</t>
        </is>
      </c>
      <c r="AC317" s="17" t="n"/>
      <c r="AD317" s="68">
        <f>DADOS_INVOC!$PN$99</f>
        <v/>
      </c>
      <c r="AE317" s="17" t="n"/>
      <c r="AF317" s="68">
        <f>DADOS_INVOC!$PJ$99</f>
        <v/>
      </c>
      <c r="AG317" s="120" t="n"/>
      <c r="AH317" s="124" t="inlineStr">
        <is>
          <t>Projétil</t>
        </is>
      </c>
      <c r="AI317" s="17" t="n"/>
      <c r="AJ317" s="68">
        <f>DADOS_INVOC!$PN$100</f>
        <v/>
      </c>
      <c r="AK317" s="17" t="n"/>
      <c r="AL317" s="68">
        <f>DADOS_INVOC!$PJ$100</f>
        <v/>
      </c>
      <c r="AM317" s="120" t="n"/>
      <c r="AN317" s="124" t="inlineStr">
        <is>
          <t>Projétil</t>
        </is>
      </c>
      <c r="AO317" s="17" t="n"/>
      <c r="AP317" s="68">
        <f>DADOS_INVOC!$PN$101</f>
        <v/>
      </c>
      <c r="AQ317" s="17" t="n"/>
      <c r="AR317" s="68">
        <f>DADOS_INVOC!$PJ$101</f>
        <v/>
      </c>
      <c r="AS317" s="120" t="n"/>
    </row>
    <row r="318" hidden="1" outlineLevel="2">
      <c r="A318" s="8" t="n"/>
      <c r="B318" s="14" t="n"/>
      <c r="C318" s="120" t="n"/>
      <c r="D318" s="120" t="n"/>
      <c r="E318" s="120" t="n"/>
      <c r="F318" s="120" t="n"/>
      <c r="G318" s="120" t="n"/>
      <c r="I318" s="124" t="n"/>
      <c r="J318" s="17" t="n"/>
      <c r="K318" s="124" t="n"/>
      <c r="L318" s="16" t="n"/>
      <c r="M318" s="17" t="n"/>
      <c r="N318" s="120" t="n"/>
      <c r="O318" s="124" t="n"/>
      <c r="P318" s="17" t="n"/>
      <c r="Q318" s="124" t="n"/>
      <c r="R318" s="16" t="n"/>
      <c r="S318" s="17" t="n"/>
      <c r="T318" s="120" t="n"/>
      <c r="U318" s="124" t="n"/>
      <c r="V318" s="17" t="n"/>
      <c r="W318" s="124" t="n"/>
      <c r="X318" s="16" t="n"/>
      <c r="Y318" s="17" t="n"/>
      <c r="Z318" s="120" t="n"/>
      <c r="AB318" s="124" t="n"/>
      <c r="AC318" s="17" t="n"/>
      <c r="AD318" s="124" t="n"/>
      <c r="AE318" s="16" t="n"/>
      <c r="AF318" s="17" t="n"/>
      <c r="AG318" s="120" t="n"/>
      <c r="AH318" s="124" t="n"/>
      <c r="AI318" s="17" t="n"/>
      <c r="AJ318" s="124" t="n"/>
      <c r="AK318" s="16" t="n"/>
      <c r="AL318" s="17" t="n"/>
      <c r="AM318" s="120" t="n"/>
      <c r="AN318" s="124" t="n"/>
      <c r="AO318" s="17" t="n"/>
      <c r="AP318" s="124" t="n"/>
      <c r="AQ318" s="16" t="n"/>
      <c r="AR318" s="17" t="n"/>
      <c r="AS318" s="120" t="n"/>
    </row>
    <row r="319" hidden="1" outlineLevel="2">
      <c r="A319" s="8" t="n"/>
      <c r="B319" s="14" t="n"/>
      <c r="C319" s="120" t="n"/>
      <c r="D319" s="120" t="n"/>
      <c r="E319" s="120" t="n"/>
      <c r="F319" s="120" t="n"/>
      <c r="G319" s="120" t="n"/>
      <c r="I319" s="124">
        <f>DADOS_INVOC!$PK$21</f>
        <v/>
      </c>
      <c r="J319" s="17" t="n"/>
      <c r="K319" s="124">
        <f>DADOS_INVOC!$PM$21</f>
        <v/>
      </c>
      <c r="L319" s="16" t="n"/>
      <c r="M319" s="17" t="n"/>
      <c r="N319" s="120" t="n"/>
      <c r="O319" s="124">
        <f>DADOS_INVOC!$PK$22</f>
        <v/>
      </c>
      <c r="P319" s="17" t="n"/>
      <c r="Q319" s="124">
        <f>DADOS_INVOC!$PM$22</f>
        <v/>
      </c>
      <c r="R319" s="16" t="n"/>
      <c r="S319" s="17" t="n"/>
      <c r="T319" s="120" t="n"/>
      <c r="U319" s="124">
        <f>DADOS_INVOC!$PK$23</f>
        <v/>
      </c>
      <c r="V319" s="17" t="n"/>
      <c r="W319" s="124">
        <f>DADOS_INVOC!$PM$23</f>
        <v/>
      </c>
      <c r="X319" s="16" t="n"/>
      <c r="Y319" s="17" t="n"/>
      <c r="Z319" s="120" t="n"/>
      <c r="AB319" s="124">
        <f>DADOS_INVOC!$PK$99</f>
        <v/>
      </c>
      <c r="AC319" s="17" t="n"/>
      <c r="AD319" s="124">
        <f>DADOS_INVOC!$PM$99</f>
        <v/>
      </c>
      <c r="AE319" s="16" t="n"/>
      <c r="AF319" s="17" t="n"/>
      <c r="AG319" s="120" t="n"/>
      <c r="AH319" s="124">
        <f>DADOS_INVOC!$PK$100</f>
        <v/>
      </c>
      <c r="AI319" s="17" t="n"/>
      <c r="AJ319" s="124">
        <f>DADOS_INVOC!$PM$100</f>
        <v/>
      </c>
      <c r="AK319" s="16" t="n"/>
      <c r="AL319" s="17" t="n"/>
      <c r="AM319" s="120" t="n"/>
      <c r="AN319" s="124">
        <f>DADOS_INVOC!$PK$101</f>
        <v/>
      </c>
      <c r="AO319" s="17" t="n"/>
      <c r="AP319" s="124">
        <f>DADOS_INVOC!$PM$101</f>
        <v/>
      </c>
      <c r="AQ319" s="16" t="n"/>
      <c r="AR319" s="17" t="n"/>
      <c r="AS319" s="120" t="n"/>
    </row>
    <row r="320" hidden="1" outlineLevel="2">
      <c r="A320" s="8" t="n"/>
      <c r="B320" s="14" t="n"/>
      <c r="C320" s="120" t="n"/>
      <c r="D320" s="120" t="n"/>
      <c r="E320" s="120" t="n"/>
      <c r="F320" s="120" t="n"/>
      <c r="G320" s="120" t="n"/>
      <c r="I320" s="129">
        <f>DADOS_INVOC!$PS$21</f>
        <v/>
      </c>
      <c r="J320" s="16" t="n"/>
      <c r="K320" s="16" t="n"/>
      <c r="L320" s="16" t="n"/>
      <c r="M320" s="17" t="n"/>
      <c r="N320" s="120" t="n"/>
      <c r="O320" s="129">
        <f>DADOS_INVOC!$PS$22</f>
        <v/>
      </c>
      <c r="P320" s="16" t="n"/>
      <c r="Q320" s="16" t="n"/>
      <c r="R320" s="16" t="n"/>
      <c r="S320" s="17" t="n"/>
      <c r="T320" s="120" t="n"/>
      <c r="U320" s="129">
        <f>DADOS_INVOC!$PS$23</f>
        <v/>
      </c>
      <c r="V320" s="16" t="n"/>
      <c r="W320" s="16" t="n"/>
      <c r="X320" s="16" t="n"/>
      <c r="Y320" s="17" t="n"/>
      <c r="Z320" s="120" t="n"/>
      <c r="AB320" s="129">
        <f>DADOS_INVOC!$PS$99</f>
        <v/>
      </c>
      <c r="AC320" s="16" t="n"/>
      <c r="AD320" s="16" t="n"/>
      <c r="AE320" s="16" t="n"/>
      <c r="AF320" s="17" t="n"/>
      <c r="AG320" s="120" t="n"/>
      <c r="AH320" s="129">
        <f>DADOS_INVOC!$PS$100</f>
        <v/>
      </c>
      <c r="AI320" s="16" t="n"/>
      <c r="AJ320" s="16" t="n"/>
      <c r="AK320" s="16" t="n"/>
      <c r="AL320" s="17" t="n"/>
      <c r="AM320" s="120" t="n"/>
      <c r="AN320" s="129">
        <f>DADOS_INVOC!$PS$101</f>
        <v/>
      </c>
      <c r="AO320" s="16" t="n"/>
      <c r="AP320" s="16" t="n"/>
      <c r="AQ320" s="16" t="n"/>
      <c r="AR320" s="17" t="n"/>
      <c r="AS320" s="120" t="n"/>
    </row>
    <row r="321" hidden="1" outlineLevel="3">
      <c r="A321" s="8" t="n"/>
      <c r="B321" s="14" t="n"/>
      <c r="C321" s="120" t="n"/>
      <c r="D321" s="120" t="n"/>
      <c r="E321" s="120" t="n"/>
      <c r="F321" s="120" t="n"/>
      <c r="G321" s="120" t="n"/>
      <c r="I321" s="55" t="inlineStr">
        <is>
          <t>MELHORIAS</t>
        </is>
      </c>
      <c r="J321" s="130" t="n"/>
      <c r="K321" s="16" t="n"/>
      <c r="L321" s="17" t="n"/>
      <c r="M321" s="129">
        <f>DADOS_INVOC!$PV$21</f>
        <v/>
      </c>
      <c r="N321" s="120" t="n"/>
      <c r="O321" s="55" t="inlineStr">
        <is>
          <t>MELHORIAS</t>
        </is>
      </c>
      <c r="P321" s="130" t="n"/>
      <c r="Q321" s="16" t="n"/>
      <c r="R321" s="17" t="n"/>
      <c r="S321" s="129">
        <f>DADOS_INVOC!$PV$22</f>
        <v/>
      </c>
      <c r="T321" s="120" t="n"/>
      <c r="U321" s="55" t="inlineStr">
        <is>
          <t>MELHORIAS</t>
        </is>
      </c>
      <c r="V321" s="130" t="n"/>
      <c r="W321" s="16" t="n"/>
      <c r="X321" s="17" t="n"/>
      <c r="Y321" s="129">
        <f>DADOS_INVOC!$PV$23</f>
        <v/>
      </c>
      <c r="Z321" s="120" t="n"/>
      <c r="AB321" s="55" t="inlineStr">
        <is>
          <t>MELHORIAS</t>
        </is>
      </c>
      <c r="AC321" s="130" t="n"/>
      <c r="AD321" s="16" t="n"/>
      <c r="AE321" s="17" t="n"/>
      <c r="AF321" s="129">
        <f>DADOS_INVOC!$PV$99</f>
        <v/>
      </c>
      <c r="AG321" s="120" t="n"/>
      <c r="AH321" s="55" t="inlineStr">
        <is>
          <t>MELHORIAS</t>
        </is>
      </c>
      <c r="AI321" s="130" t="n"/>
      <c r="AJ321" s="16" t="n"/>
      <c r="AK321" s="17" t="n"/>
      <c r="AL321" s="129">
        <f>DADOS_INVOC!$PV$100</f>
        <v/>
      </c>
      <c r="AM321" s="120" t="n"/>
      <c r="AN321" s="55" t="inlineStr">
        <is>
          <t>MELHORIAS</t>
        </is>
      </c>
      <c r="AO321" s="130" t="n"/>
      <c r="AP321" s="16" t="n"/>
      <c r="AQ321" s="17" t="n"/>
      <c r="AR321" s="129">
        <f>DADOS_INVOC!$PV$101</f>
        <v/>
      </c>
      <c r="AS321" s="120" t="n"/>
    </row>
    <row r="322" hidden="1" outlineLevel="3">
      <c r="A322" s="8" t="n"/>
      <c r="B322" s="14" t="n"/>
      <c r="C322" s="120" t="n"/>
      <c r="D322" s="120" t="n"/>
      <c r="E322" s="120" t="n"/>
      <c r="F322" s="120" t="n"/>
      <c r="G322" s="120" t="n"/>
      <c r="I322" s="131" t="n"/>
      <c r="J322" s="130" t="n"/>
      <c r="K322" s="16" t="n"/>
      <c r="L322" s="17" t="n"/>
      <c r="M322" s="129">
        <f>DADOS_INVOC!$PW$21</f>
        <v/>
      </c>
      <c r="N322" s="120" t="n"/>
      <c r="O322" s="131" t="n"/>
      <c r="P322" s="130" t="n"/>
      <c r="Q322" s="16" t="n"/>
      <c r="R322" s="17" t="n"/>
      <c r="S322" s="129">
        <f>DADOS_INVOC!$PW$22</f>
        <v/>
      </c>
      <c r="T322" s="120" t="n"/>
      <c r="U322" s="131" t="n"/>
      <c r="V322" s="130" t="n"/>
      <c r="W322" s="16" t="n"/>
      <c r="X322" s="17" t="n"/>
      <c r="Y322" s="129">
        <f>DADOS_INVOC!$PW$23</f>
        <v/>
      </c>
      <c r="Z322" s="120" t="n"/>
      <c r="AB322" s="131" t="n"/>
      <c r="AC322" s="130" t="n"/>
      <c r="AD322" s="16" t="n"/>
      <c r="AE322" s="17" t="n"/>
      <c r="AF322" s="129">
        <f>DADOS_INVOC!$PW$99</f>
        <v/>
      </c>
      <c r="AG322" s="120" t="n"/>
      <c r="AH322" s="131" t="n"/>
      <c r="AI322" s="130" t="n"/>
      <c r="AJ322" s="16" t="n"/>
      <c r="AK322" s="17" t="n"/>
      <c r="AL322" s="129">
        <f>DADOS_INVOC!$PW$100</f>
        <v/>
      </c>
      <c r="AM322" s="120" t="n"/>
      <c r="AN322" s="131" t="n"/>
      <c r="AO322" s="130" t="n"/>
      <c r="AP322" s="16" t="n"/>
      <c r="AQ322" s="17" t="n"/>
      <c r="AR322" s="129">
        <f>DADOS_INVOC!$PW$101</f>
        <v/>
      </c>
      <c r="AS322" s="120" t="n"/>
    </row>
    <row r="323" hidden="1" outlineLevel="3">
      <c r="A323" s="8" t="n"/>
      <c r="B323" s="14" t="n"/>
      <c r="C323" s="120" t="n"/>
      <c r="D323" s="120" t="n"/>
      <c r="E323" s="120" t="n"/>
      <c r="F323" s="120" t="n"/>
      <c r="G323" s="120" t="n"/>
      <c r="I323" s="131" t="n"/>
      <c r="J323" s="130" t="n"/>
      <c r="K323" s="16" t="n"/>
      <c r="L323" s="17" t="n"/>
      <c r="M323" s="129">
        <f>DADOS_INVOC!$PX$21</f>
        <v/>
      </c>
      <c r="N323" s="120" t="n"/>
      <c r="O323" s="131" t="n"/>
      <c r="P323" s="130" t="n"/>
      <c r="Q323" s="16" t="n"/>
      <c r="R323" s="17" t="n"/>
      <c r="S323" s="129">
        <f>DADOS_INVOC!$PX$22</f>
        <v/>
      </c>
      <c r="T323" s="120" t="n"/>
      <c r="U323" s="131" t="n"/>
      <c r="V323" s="130" t="n"/>
      <c r="W323" s="16" t="n"/>
      <c r="X323" s="17" t="n"/>
      <c r="Y323" s="129">
        <f>DADOS_INVOC!$PX$23</f>
        <v/>
      </c>
      <c r="Z323" s="120" t="n"/>
      <c r="AB323" s="131" t="n"/>
      <c r="AC323" s="130" t="n"/>
      <c r="AD323" s="16" t="n"/>
      <c r="AE323" s="17" t="n"/>
      <c r="AF323" s="129">
        <f>DADOS_INVOC!$PX$99</f>
        <v/>
      </c>
      <c r="AG323" s="120" t="n"/>
      <c r="AH323" s="131" t="n"/>
      <c r="AI323" s="130" t="n"/>
      <c r="AJ323" s="16" t="n"/>
      <c r="AK323" s="17" t="n"/>
      <c r="AL323" s="129">
        <f>DADOS_INVOC!$PX$100</f>
        <v/>
      </c>
      <c r="AM323" s="120" t="n"/>
      <c r="AN323" s="131" t="n"/>
      <c r="AO323" s="130" t="n"/>
      <c r="AP323" s="16" t="n"/>
      <c r="AQ323" s="17" t="n"/>
      <c r="AR323" s="129">
        <f>DADOS_INVOC!$PX$101</f>
        <v/>
      </c>
      <c r="AS323" s="120" t="n"/>
    </row>
    <row r="324" hidden="1" outlineLevel="3">
      <c r="A324" s="8" t="n"/>
      <c r="B324" s="14" t="n"/>
      <c r="C324" s="120" t="n"/>
      <c r="D324" s="120" t="n"/>
      <c r="E324" s="120" t="n"/>
      <c r="F324" s="120" t="n"/>
      <c r="G324" s="120" t="n"/>
      <c r="I324" s="125" t="n"/>
      <c r="J324" s="130" t="n"/>
      <c r="K324" s="16" t="n"/>
      <c r="L324" s="17" t="n"/>
      <c r="M324" s="129">
        <f>DADOS_INVOC!$PY$21</f>
        <v/>
      </c>
      <c r="N324" s="120" t="n"/>
      <c r="O324" s="125" t="n"/>
      <c r="P324" s="130" t="n"/>
      <c r="Q324" s="16" t="n"/>
      <c r="R324" s="17" t="n"/>
      <c r="S324" s="129">
        <f>DADOS_INVOC!$PY$22</f>
        <v/>
      </c>
      <c r="T324" s="120" t="n"/>
      <c r="U324" s="125" t="n"/>
      <c r="V324" s="130" t="n"/>
      <c r="W324" s="16" t="n"/>
      <c r="X324" s="17" t="n"/>
      <c r="Y324" s="129">
        <f>DADOS_INVOC!$PY$23</f>
        <v/>
      </c>
      <c r="Z324" s="120" t="n"/>
      <c r="AB324" s="125" t="n"/>
      <c r="AC324" s="130" t="n"/>
      <c r="AD324" s="16" t="n"/>
      <c r="AE324" s="17" t="n"/>
      <c r="AF324" s="129">
        <f>DADOS_INVOC!$PY$99</f>
        <v/>
      </c>
      <c r="AG324" s="120" t="n"/>
      <c r="AH324" s="125" t="n"/>
      <c r="AI324" s="130" t="n"/>
      <c r="AJ324" s="16" t="n"/>
      <c r="AK324" s="17" t="n"/>
      <c r="AL324" s="129">
        <f>DADOS_INVOC!$PY$100</f>
        <v/>
      </c>
      <c r="AM324" s="120" t="n"/>
      <c r="AN324" s="125" t="n"/>
      <c r="AO324" s="130" t="n"/>
      <c r="AP324" s="16" t="n"/>
      <c r="AQ324" s="17" t="n"/>
      <c r="AR324" s="129">
        <f>DADOS_INVOC!$PY$101</f>
        <v/>
      </c>
      <c r="AS324" s="120" t="n"/>
    </row>
    <row r="325" hidden="1" outlineLevel="3">
      <c r="A325" s="8" t="n"/>
      <c r="B325" s="14" t="n"/>
      <c r="C325" s="120" t="n"/>
      <c r="D325" s="120" t="n"/>
      <c r="E325" s="120" t="n"/>
      <c r="F325" s="120" t="n"/>
      <c r="G325" s="120" t="n"/>
      <c r="I325" s="55" t="inlineStr">
        <is>
          <t>RESTRIÇÕES</t>
        </is>
      </c>
      <c r="J325" s="130" t="n"/>
      <c r="K325" s="16" t="n"/>
      <c r="L325" s="17" t="n"/>
      <c r="M325" s="129">
        <f>DADOS_INVOC!$PZ$21</f>
        <v/>
      </c>
      <c r="N325" s="120" t="n"/>
      <c r="O325" s="55" t="inlineStr">
        <is>
          <t>RESTRIÇÕES</t>
        </is>
      </c>
      <c r="P325" s="130" t="n"/>
      <c r="Q325" s="16" t="n"/>
      <c r="R325" s="17" t="n"/>
      <c r="S325" s="129">
        <f>DADOS_INVOC!$PZ$22</f>
        <v/>
      </c>
      <c r="T325" s="120" t="n"/>
      <c r="U325" s="55" t="inlineStr">
        <is>
          <t>RESTRIÇÕES</t>
        </is>
      </c>
      <c r="V325" s="130" t="n"/>
      <c r="W325" s="16" t="n"/>
      <c r="X325" s="17" t="n"/>
      <c r="Y325" s="129">
        <f>DADOS_INVOC!$PZ$23</f>
        <v/>
      </c>
      <c r="Z325" s="120" t="n"/>
      <c r="AB325" s="55" t="inlineStr">
        <is>
          <t>RESTRIÇÕES</t>
        </is>
      </c>
      <c r="AC325" s="130" t="n"/>
      <c r="AD325" s="16" t="n"/>
      <c r="AE325" s="17" t="n"/>
      <c r="AF325" s="129">
        <f>DADOS_INVOC!$PZ$99</f>
        <v/>
      </c>
      <c r="AG325" s="120" t="n"/>
      <c r="AH325" s="55" t="inlineStr">
        <is>
          <t>RESTRIÇÕES</t>
        </is>
      </c>
      <c r="AI325" s="130" t="n"/>
      <c r="AJ325" s="16" t="n"/>
      <c r="AK325" s="17" t="n"/>
      <c r="AL325" s="129">
        <f>DADOS_INVOC!$PZ$100</f>
        <v/>
      </c>
      <c r="AM325" s="120" t="n"/>
      <c r="AN325" s="55" t="inlineStr">
        <is>
          <t>RESTRIÇÕES</t>
        </is>
      </c>
      <c r="AO325" s="130" t="n"/>
      <c r="AP325" s="16" t="n"/>
      <c r="AQ325" s="17" t="n"/>
      <c r="AR325" s="129">
        <f>DADOS_INVOC!$PZ$101</f>
        <v/>
      </c>
      <c r="AS325" s="120" t="n"/>
    </row>
    <row r="326" hidden="1" outlineLevel="3">
      <c r="A326" s="8" t="n"/>
      <c r="B326" s="14" t="n"/>
      <c r="C326" s="120" t="n"/>
      <c r="D326" s="120" t="n"/>
      <c r="E326" s="120" t="n"/>
      <c r="F326" s="120" t="n"/>
      <c r="G326" s="120" t="n"/>
      <c r="I326" s="125" t="n"/>
      <c r="J326" s="130" t="n"/>
      <c r="K326" s="16" t="n"/>
      <c r="L326" s="17" t="n"/>
      <c r="M326" s="129">
        <f>DADOS_INVOC!$QA$21</f>
        <v/>
      </c>
      <c r="N326" s="120" t="n"/>
      <c r="O326" s="125" t="n"/>
      <c r="P326" s="130" t="n"/>
      <c r="Q326" s="16" t="n"/>
      <c r="R326" s="17" t="n"/>
      <c r="S326" s="129">
        <f>DADOS_INVOC!$QA$22</f>
        <v/>
      </c>
      <c r="T326" s="120" t="n"/>
      <c r="U326" s="125" t="n"/>
      <c r="V326" s="130" t="n"/>
      <c r="W326" s="16" t="n"/>
      <c r="X326" s="17" t="n"/>
      <c r="Y326" s="129">
        <f>DADOS_INVOC!$QA$23</f>
        <v/>
      </c>
      <c r="Z326" s="120" t="n"/>
      <c r="AB326" s="125" t="n"/>
      <c r="AC326" s="130" t="n"/>
      <c r="AD326" s="16" t="n"/>
      <c r="AE326" s="17" t="n"/>
      <c r="AF326" s="129">
        <f>DADOS_INVOC!$QA$99</f>
        <v/>
      </c>
      <c r="AG326" s="120" t="n"/>
      <c r="AH326" s="125" t="n"/>
      <c r="AI326" s="130" t="n"/>
      <c r="AJ326" s="16" t="n"/>
      <c r="AK326" s="17" t="n"/>
      <c r="AL326" s="129">
        <f>DADOS_INVOC!$QA$100</f>
        <v/>
      </c>
      <c r="AM326" s="120" t="n"/>
      <c r="AN326" s="125" t="n"/>
      <c r="AO326" s="130" t="n"/>
      <c r="AP326" s="16" t="n"/>
      <c r="AQ326" s="17" t="n"/>
      <c r="AR326" s="129">
        <f>DADOS_INVOC!$QA$101</f>
        <v/>
      </c>
      <c r="AS326" s="120" t="n"/>
    </row>
    <row r="327" hidden="1" outlineLevel="3">
      <c r="A327" s="8" t="n"/>
      <c r="B327" s="14" t="n"/>
      <c r="C327" s="120" t="n"/>
      <c r="D327" s="120" t="n"/>
      <c r="E327" s="120" t="n"/>
      <c r="F327" s="120" t="n"/>
      <c r="G327" s="120" t="n"/>
      <c r="I327" s="55" t="inlineStr">
        <is>
          <t>CONTA</t>
        </is>
      </c>
      <c r="J327" s="132">
        <f>DADOS_INVOC!$PT$21</f>
        <v/>
      </c>
      <c r="K327" s="16" t="n"/>
      <c r="L327" s="16" t="n"/>
      <c r="M327" s="17" t="n"/>
      <c r="N327" s="120" t="n"/>
      <c r="O327" s="55" t="inlineStr">
        <is>
          <t>CONTA</t>
        </is>
      </c>
      <c r="P327" s="132">
        <f>DADOS_INVOC!$PT$22</f>
        <v/>
      </c>
      <c r="Q327" s="16" t="n"/>
      <c r="R327" s="16" t="n"/>
      <c r="S327" s="17" t="n"/>
      <c r="T327" s="120" t="n"/>
      <c r="U327" s="55" t="inlineStr">
        <is>
          <t>CONTA</t>
        </is>
      </c>
      <c r="V327" s="132">
        <f>DADOS_INVOC!$PT$23</f>
        <v/>
      </c>
      <c r="W327" s="16" t="n"/>
      <c r="X327" s="16" t="n"/>
      <c r="Y327" s="17" t="n"/>
      <c r="Z327" s="120" t="n"/>
      <c r="AB327" s="55" t="inlineStr">
        <is>
          <t>CONTA</t>
        </is>
      </c>
      <c r="AC327" s="132">
        <f>DADOS_INVOC!$PT$99</f>
        <v/>
      </c>
      <c r="AD327" s="16" t="n"/>
      <c r="AE327" s="16" t="n"/>
      <c r="AF327" s="17" t="n"/>
      <c r="AG327" s="120" t="n"/>
      <c r="AH327" s="55" t="inlineStr">
        <is>
          <t>CONTA</t>
        </is>
      </c>
      <c r="AI327" s="132">
        <f>DADOS_INVOC!$PT$100</f>
        <v/>
      </c>
      <c r="AJ327" s="16" t="n"/>
      <c r="AK327" s="16" t="n"/>
      <c r="AL327" s="17" t="n"/>
      <c r="AM327" s="120" t="n"/>
      <c r="AN327" s="55" t="inlineStr">
        <is>
          <t>CONTA</t>
        </is>
      </c>
      <c r="AO327" s="132">
        <f>DADOS_INVOC!$PT$101</f>
        <v/>
      </c>
      <c r="AP327" s="16" t="n"/>
      <c r="AQ327" s="16" t="n"/>
      <c r="AR327" s="17" t="n"/>
      <c r="AS327" s="120" t="n"/>
    </row>
    <row r="328" hidden="1" outlineLevel="3">
      <c r="A328" s="8" t="n"/>
      <c r="B328" s="14" t="n"/>
      <c r="C328" s="120" t="n"/>
      <c r="D328" s="120" t="n"/>
      <c r="E328" s="120" t="n"/>
      <c r="F328" s="120" t="n"/>
      <c r="G328" s="120" t="n"/>
      <c r="I328" s="55" t="inlineStr">
        <is>
          <t>AMPLIAR</t>
        </is>
      </c>
      <c r="J328" s="132">
        <f>DADOS_INVOC!$PU$21</f>
        <v/>
      </c>
      <c r="K328" s="19" t="n"/>
      <c r="L328" s="19" t="n"/>
      <c r="M328" s="20" t="n"/>
      <c r="N328" s="120" t="n"/>
      <c r="O328" s="55" t="inlineStr">
        <is>
          <t>AMPLIAR</t>
        </is>
      </c>
      <c r="P328" s="132">
        <f>DADOS_INVOC!$PU$22</f>
        <v/>
      </c>
      <c r="Q328" s="19" t="n"/>
      <c r="R328" s="19" t="n"/>
      <c r="S328" s="20" t="n"/>
      <c r="T328" s="120" t="n"/>
      <c r="U328" s="55" t="inlineStr">
        <is>
          <t>AMPLIAR</t>
        </is>
      </c>
      <c r="V328" s="132">
        <f>DADOS_INVOC!$PU$23</f>
        <v/>
      </c>
      <c r="W328" s="19" t="n"/>
      <c r="X328" s="19" t="n"/>
      <c r="Y328" s="20" t="n"/>
      <c r="Z328" s="120" t="n"/>
      <c r="AB328" s="55" t="inlineStr">
        <is>
          <t>AMPLIAR</t>
        </is>
      </c>
      <c r="AC328" s="132">
        <f>DADOS_INVOC!$PU$99</f>
        <v/>
      </c>
      <c r="AD328" s="19" t="n"/>
      <c r="AE328" s="19" t="n"/>
      <c r="AF328" s="20" t="n"/>
      <c r="AG328" s="120" t="n"/>
      <c r="AH328" s="55" t="inlineStr">
        <is>
          <t>AMPLIAR</t>
        </is>
      </c>
      <c r="AI328" s="132">
        <f>DADOS_INVOC!$PU$100</f>
        <v/>
      </c>
      <c r="AJ328" s="19" t="n"/>
      <c r="AK328" s="19" t="n"/>
      <c r="AL328" s="20" t="n"/>
      <c r="AM328" s="120" t="n"/>
      <c r="AN328" s="55" t="inlineStr">
        <is>
          <t>AMPLIAR</t>
        </is>
      </c>
      <c r="AO328" s="132">
        <f>DADOS_INVOC!$PU$101</f>
        <v/>
      </c>
      <c r="AP328" s="19" t="n"/>
      <c r="AQ328" s="19" t="n"/>
      <c r="AR328" s="20" t="n"/>
      <c r="AS328" s="120" t="n"/>
    </row>
    <row r="329" hidden="1" outlineLevel="3">
      <c r="A329" s="8" t="n"/>
      <c r="B329" s="14" t="n"/>
      <c r="C329" s="120" t="n"/>
      <c r="D329" s="120" t="n"/>
      <c r="E329" s="120" t="n"/>
      <c r="F329" s="120" t="n"/>
      <c r="G329" s="120" t="n"/>
      <c r="I329" s="125" t="n"/>
      <c r="J329" s="23" t="n"/>
      <c r="K329" s="24" t="n"/>
      <c r="L329" s="24" t="n"/>
      <c r="M329" s="25" t="n"/>
      <c r="N329" s="120" t="n"/>
      <c r="O329" s="125" t="n"/>
      <c r="P329" s="23" t="n"/>
      <c r="Q329" s="24" t="n"/>
      <c r="R329" s="24" t="n"/>
      <c r="S329" s="25" t="n"/>
      <c r="T329" s="120" t="n"/>
      <c r="U329" s="125" t="n"/>
      <c r="V329" s="23" t="n"/>
      <c r="W329" s="24" t="n"/>
      <c r="X329" s="24" t="n"/>
      <c r="Y329" s="25" t="n"/>
      <c r="Z329" s="120" t="n"/>
      <c r="AB329" s="125" t="n"/>
      <c r="AC329" s="23" t="n"/>
      <c r="AD329" s="24" t="n"/>
      <c r="AE329" s="24" t="n"/>
      <c r="AF329" s="25" t="n"/>
      <c r="AG329" s="120" t="n"/>
      <c r="AH329" s="125" t="n"/>
      <c r="AI329" s="23" t="n"/>
      <c r="AJ329" s="24" t="n"/>
      <c r="AK329" s="24" t="n"/>
      <c r="AL329" s="25" t="n"/>
      <c r="AM329" s="120" t="n"/>
      <c r="AN329" s="125" t="n"/>
      <c r="AO329" s="23" t="n"/>
      <c r="AP329" s="24" t="n"/>
      <c r="AQ329" s="24" t="n"/>
      <c r="AR329" s="25" t="n"/>
      <c r="AS329" s="120" t="n"/>
    </row>
    <row r="330" hidden="1" outlineLevel="3">
      <c r="A330" s="8" t="n"/>
      <c r="B330" s="14" t="n"/>
      <c r="C330" s="120" t="n"/>
      <c r="D330" s="120" t="n"/>
      <c r="E330" s="120" t="n"/>
      <c r="F330" s="120" t="n"/>
      <c r="G330" s="120" t="n"/>
      <c r="I330" s="132">
        <f>DADOS_INVOC!$PH$21</f>
        <v/>
      </c>
      <c r="J330" s="19" t="n"/>
      <c r="K330" s="19" t="n"/>
      <c r="L330" s="19" t="n"/>
      <c r="M330" s="20" t="n"/>
      <c r="N330" s="120" t="n"/>
      <c r="O330" s="132">
        <f>DADOS_INVOC!$PH$22</f>
        <v/>
      </c>
      <c r="P330" s="19" t="n"/>
      <c r="Q330" s="19" t="n"/>
      <c r="R330" s="19" t="n"/>
      <c r="S330" s="20" t="n"/>
      <c r="T330" s="120" t="n"/>
      <c r="U330" s="132">
        <f>DADOS_INVOC!$PH$23</f>
        <v/>
      </c>
      <c r="V330" s="19" t="n"/>
      <c r="W330" s="19" t="n"/>
      <c r="X330" s="19" t="n"/>
      <c r="Y330" s="20" t="n"/>
      <c r="Z330" s="120" t="n"/>
      <c r="AB330" s="132">
        <f>DADOS_INVOC!$PH$99</f>
        <v/>
      </c>
      <c r="AC330" s="19" t="n"/>
      <c r="AD330" s="19" t="n"/>
      <c r="AE330" s="19" t="n"/>
      <c r="AF330" s="20" t="n"/>
      <c r="AG330" s="120" t="n"/>
      <c r="AH330" s="132">
        <f>DADOS_INVOC!$PH$100</f>
        <v/>
      </c>
      <c r="AI330" s="19" t="n"/>
      <c r="AJ330" s="19" t="n"/>
      <c r="AK330" s="19" t="n"/>
      <c r="AL330" s="20" t="n"/>
      <c r="AM330" s="120" t="n"/>
      <c r="AN330" s="132">
        <f>DADOS_INVOC!$PH$101</f>
        <v/>
      </c>
      <c r="AO330" s="19" t="n"/>
      <c r="AP330" s="19" t="n"/>
      <c r="AQ330" s="19" t="n"/>
      <c r="AR330" s="20" t="n"/>
      <c r="AS330" s="120" t="n"/>
    </row>
    <row r="331" hidden="1" outlineLevel="3">
      <c r="A331" s="8" t="n"/>
      <c r="B331" s="14" t="n"/>
      <c r="C331" s="120" t="n"/>
      <c r="D331" s="120" t="n"/>
      <c r="E331" s="120" t="n"/>
      <c r="F331" s="120" t="n"/>
      <c r="G331" s="120" t="n"/>
      <c r="I331" s="23" t="n"/>
      <c r="J331" s="24" t="n"/>
      <c r="K331" s="24" t="n"/>
      <c r="L331" s="24" t="n"/>
      <c r="M331" s="25" t="n"/>
      <c r="N331" s="120" t="n"/>
      <c r="O331" s="23" t="n"/>
      <c r="P331" s="24" t="n"/>
      <c r="Q331" s="24" t="n"/>
      <c r="R331" s="24" t="n"/>
      <c r="S331" s="25" t="n"/>
      <c r="T331" s="120" t="n"/>
      <c r="U331" s="23" t="n"/>
      <c r="V331" s="24" t="n"/>
      <c r="W331" s="24" t="n"/>
      <c r="X331" s="24" t="n"/>
      <c r="Y331" s="25" t="n"/>
      <c r="Z331" s="120" t="n"/>
      <c r="AB331" s="23" t="n"/>
      <c r="AC331" s="24" t="n"/>
      <c r="AD331" s="24" t="n"/>
      <c r="AE331" s="24" t="n"/>
      <c r="AF331" s="25" t="n"/>
      <c r="AG331" s="120" t="n"/>
      <c r="AH331" s="23" t="n"/>
      <c r="AI331" s="24" t="n"/>
      <c r="AJ331" s="24" t="n"/>
      <c r="AK331" s="24" t="n"/>
      <c r="AL331" s="25" t="n"/>
      <c r="AM331" s="120" t="n"/>
      <c r="AN331" s="23" t="n"/>
      <c r="AO331" s="24" t="n"/>
      <c r="AP331" s="24" t="n"/>
      <c r="AQ331" s="24" t="n"/>
      <c r="AR331" s="25" t="n"/>
      <c r="AS331" s="120" t="n"/>
    </row>
    <row r="332" hidden="1" outlineLevel="2">
      <c r="A332" s="8" t="n"/>
      <c r="B332" s="14" t="n"/>
      <c r="C332" s="120" t="n"/>
      <c r="D332" s="120" t="n"/>
      <c r="E332" s="120" t="n"/>
      <c r="F332" s="120" t="n"/>
      <c r="G332" s="120" t="n"/>
      <c r="I332" s="120" t="n"/>
      <c r="J332" s="120" t="n"/>
      <c r="K332" s="120" t="n"/>
      <c r="L332" s="120" t="n"/>
      <c r="M332" s="120" t="n"/>
      <c r="N332" s="120" t="n"/>
      <c r="O332" s="120" t="n"/>
      <c r="P332" s="120" t="n"/>
      <c r="Q332" s="120" t="n"/>
      <c r="R332" s="120" t="n"/>
      <c r="S332" s="120" t="n"/>
      <c r="T332" s="120" t="n"/>
      <c r="U332" s="120" t="n"/>
      <c r="V332" s="120" t="n"/>
      <c r="W332" s="120" t="n"/>
      <c r="X332" s="120" t="n"/>
      <c r="Y332" s="120" t="n"/>
      <c r="Z332" s="120" t="n"/>
      <c r="AB332" s="120" t="n"/>
      <c r="AC332" s="120" t="n"/>
      <c r="AD332" s="120" t="n"/>
      <c r="AE332" s="120" t="n"/>
      <c r="AF332" s="120" t="n"/>
      <c r="AG332" s="120" t="n"/>
      <c r="AH332" s="120" t="n"/>
      <c r="AI332" s="120" t="n"/>
      <c r="AJ332" s="120" t="n"/>
      <c r="AK332" s="120" t="n"/>
      <c r="AL332" s="120" t="n"/>
      <c r="AM332" s="120" t="n"/>
      <c r="AN332" s="120" t="n"/>
      <c r="AO332" s="120" t="n"/>
      <c r="AP332" s="120" t="n"/>
      <c r="AQ332" s="120" t="n"/>
      <c r="AR332" s="120" t="n"/>
      <c r="AS332" s="120" t="n"/>
    </row>
    <row r="333" hidden="1" outlineLevel="2">
      <c r="A333" s="8" t="n"/>
      <c r="B333" s="14" t="n"/>
      <c r="C333" s="120" t="n"/>
      <c r="D333" s="120" t="n"/>
      <c r="E333" s="120" t="n"/>
      <c r="F333" s="120" t="n"/>
      <c r="G333" s="120" t="n"/>
      <c r="I333" s="55">
        <f>DADOS_INVOC!$PI$24</f>
        <v/>
      </c>
      <c r="J333" s="16" t="n"/>
      <c r="K333" s="16" t="n"/>
      <c r="L333" s="16" t="n"/>
      <c r="M333" s="17" t="n"/>
      <c r="N333" s="120" t="n"/>
      <c r="O333" s="120" t="n"/>
      <c r="P333" s="120" t="n"/>
      <c r="Q333" s="120" t="n"/>
      <c r="R333" s="120" t="n"/>
      <c r="S333" s="120" t="n"/>
      <c r="T333" s="120" t="n"/>
      <c r="U333" s="120" t="n"/>
      <c r="V333" s="120" t="n"/>
      <c r="W333" s="120" t="n"/>
      <c r="X333" s="120" t="n"/>
      <c r="Y333" s="120" t="n"/>
      <c r="Z333" s="120" t="n"/>
      <c r="AB333" s="55">
        <f>DADOS_INVOC!$PI$102</f>
        <v/>
      </c>
      <c r="AC333" s="16" t="n"/>
      <c r="AD333" s="16" t="n"/>
      <c r="AE333" s="16" t="n"/>
      <c r="AF333" s="17" t="n"/>
      <c r="AG333" s="120" t="n"/>
      <c r="AH333" s="120" t="n"/>
      <c r="AI333" s="120" t="n"/>
      <c r="AJ333" s="120" t="n"/>
      <c r="AK333" s="120" t="n"/>
      <c r="AL333" s="120" t="n"/>
      <c r="AM333" s="120" t="n"/>
      <c r="AN333" s="120" t="n"/>
      <c r="AO333" s="120" t="n"/>
      <c r="AP333" s="120" t="n"/>
      <c r="AQ333" s="120" t="n"/>
      <c r="AR333" s="120" t="n"/>
      <c r="AS333" s="120" t="n"/>
    </row>
    <row r="334" hidden="1" outlineLevel="2">
      <c r="A334" s="8" t="n"/>
      <c r="B334" s="14" t="n"/>
      <c r="C334" s="120" t="n"/>
      <c r="D334" s="120" t="n"/>
      <c r="E334" s="120" t="n"/>
      <c r="F334" s="120" t="n"/>
      <c r="G334" s="120" t="n"/>
      <c r="I334" s="127" t="n">
        <v>1</v>
      </c>
      <c r="J334" s="115" t="n"/>
      <c r="K334" s="16" t="n"/>
      <c r="L334" s="17" t="n"/>
      <c r="M334" s="128">
        <f>DADOS_INVOC!$PG$24</f>
        <v/>
      </c>
      <c r="N334" s="120" t="n"/>
      <c r="O334" s="120" t="n"/>
      <c r="P334" s="120" t="n"/>
      <c r="Q334" s="120" t="n"/>
      <c r="R334" s="120" t="n"/>
      <c r="S334" s="120" t="n"/>
      <c r="T334" s="120" t="n"/>
      <c r="U334" s="120" t="n"/>
      <c r="V334" s="120" t="n"/>
      <c r="W334" s="120" t="n"/>
      <c r="X334" s="120" t="n"/>
      <c r="Y334" s="120" t="n"/>
      <c r="Z334" s="120" t="n"/>
      <c r="AB334" s="127" t="n">
        <v>1</v>
      </c>
      <c r="AC334" s="115" t="n"/>
      <c r="AD334" s="16" t="n"/>
      <c r="AE334" s="17" t="n"/>
      <c r="AF334" s="128">
        <f>DADOS_INVOC!$PG$102</f>
        <v/>
      </c>
      <c r="AG334" s="120" t="n"/>
      <c r="AH334" s="120" t="n"/>
      <c r="AI334" s="120" t="n"/>
      <c r="AJ334" s="120" t="n"/>
      <c r="AK334" s="120" t="n"/>
      <c r="AL334" s="120" t="n"/>
      <c r="AM334" s="120" t="n"/>
      <c r="AN334" s="120" t="n"/>
      <c r="AO334" s="120" t="n"/>
      <c r="AP334" s="120" t="n"/>
      <c r="AQ334" s="120" t="n"/>
      <c r="AR334" s="120" t="n"/>
      <c r="AS334" s="120" t="n"/>
    </row>
    <row r="335" hidden="1" outlineLevel="3">
      <c r="A335" s="8" t="n"/>
      <c r="B335" s="14" t="n"/>
      <c r="C335" s="120" t="n"/>
      <c r="D335" s="120" t="n"/>
      <c r="E335" s="120" t="n"/>
      <c r="F335" s="120" t="n"/>
      <c r="G335" s="120" t="n"/>
      <c r="I335" s="55" t="inlineStr">
        <is>
          <t>COMO É</t>
        </is>
      </c>
      <c r="J335" s="16" t="n"/>
      <c r="K335" s="16" t="n"/>
      <c r="L335" s="16" t="n"/>
      <c r="M335" s="17" t="n"/>
      <c r="N335" s="120" t="n"/>
      <c r="O335" s="120" t="n"/>
      <c r="P335" s="120" t="n"/>
      <c r="Q335" s="120" t="n"/>
      <c r="R335" s="120" t="n"/>
      <c r="S335" s="120" t="n"/>
      <c r="T335" s="120" t="n"/>
      <c r="U335" s="120" t="n"/>
      <c r="V335" s="120" t="n"/>
      <c r="W335" s="120" t="n"/>
      <c r="X335" s="120" t="n"/>
      <c r="Y335" s="120" t="n"/>
      <c r="Z335" s="120" t="n"/>
      <c r="AB335" s="55" t="inlineStr">
        <is>
          <t>COMO É</t>
        </is>
      </c>
      <c r="AC335" s="16" t="n"/>
      <c r="AD335" s="16" t="n"/>
      <c r="AE335" s="16" t="n"/>
      <c r="AF335" s="17" t="n"/>
      <c r="AG335" s="120" t="n"/>
      <c r="AH335" s="120" t="n"/>
      <c r="AI335" s="120" t="n"/>
      <c r="AJ335" s="120" t="n"/>
      <c r="AK335" s="120" t="n"/>
      <c r="AL335" s="120" t="n"/>
      <c r="AM335" s="120" t="n"/>
      <c r="AN335" s="120" t="n"/>
      <c r="AO335" s="120" t="n"/>
      <c r="AP335" s="120" t="n"/>
      <c r="AQ335" s="120" t="n"/>
      <c r="AR335" s="120" t="n"/>
      <c r="AS335" s="120" t="n"/>
    </row>
    <row r="336" hidden="1" outlineLevel="3">
      <c r="A336" s="8" t="n"/>
      <c r="B336" s="14" t="n"/>
      <c r="C336" s="120" t="n"/>
      <c r="D336" s="120" t="n"/>
      <c r="E336" s="120" t="n"/>
      <c r="F336" s="120" t="n"/>
      <c r="G336" s="120" t="n"/>
      <c r="I336" s="116" t="n"/>
      <c r="J336" s="19" t="n"/>
      <c r="K336" s="19" t="n"/>
      <c r="L336" s="19" t="n"/>
      <c r="M336" s="20" t="n"/>
      <c r="N336" s="120" t="n"/>
      <c r="O336" s="120" t="n"/>
      <c r="P336" s="120" t="n"/>
      <c r="Q336" s="120" t="n"/>
      <c r="R336" s="120" t="n"/>
      <c r="S336" s="120" t="n"/>
      <c r="T336" s="120" t="n"/>
      <c r="U336" s="120" t="n"/>
      <c r="V336" s="120" t="n"/>
      <c r="W336" s="120" t="n"/>
      <c r="X336" s="120" t="n"/>
      <c r="Y336" s="120" t="n"/>
      <c r="Z336" s="120" t="n"/>
      <c r="AB336" s="116" t="n"/>
      <c r="AC336" s="19" t="n"/>
      <c r="AD336" s="19" t="n"/>
      <c r="AE336" s="19" t="n"/>
      <c r="AF336" s="20" t="n"/>
      <c r="AG336" s="120" t="n"/>
      <c r="AH336" s="120" t="n"/>
      <c r="AI336" s="120" t="n"/>
      <c r="AJ336" s="120" t="n"/>
      <c r="AK336" s="120" t="n"/>
      <c r="AL336" s="120" t="n"/>
      <c r="AM336" s="120" t="n"/>
      <c r="AN336" s="120" t="n"/>
      <c r="AO336" s="120" t="n"/>
      <c r="AP336" s="120" t="n"/>
      <c r="AQ336" s="120" t="n"/>
      <c r="AR336" s="120" t="n"/>
      <c r="AS336" s="120" t="n"/>
    </row>
    <row r="337" hidden="1" outlineLevel="3">
      <c r="A337" s="8" t="n"/>
      <c r="B337" s="14" t="n"/>
      <c r="C337" s="120" t="n"/>
      <c r="D337" s="120" t="n"/>
      <c r="E337" s="120" t="n"/>
      <c r="F337" s="120" t="n"/>
      <c r="G337" s="120" t="n"/>
      <c r="I337" s="21" t="n"/>
      <c r="M337" s="22" t="n"/>
      <c r="N337" s="120" t="n"/>
      <c r="O337" s="120" t="n"/>
      <c r="P337" s="120" t="n"/>
      <c r="Q337" s="120" t="n"/>
      <c r="R337" s="120" t="n"/>
      <c r="S337" s="120" t="n"/>
      <c r="T337" s="120" t="n"/>
      <c r="U337" s="120" t="n"/>
      <c r="V337" s="120" t="n"/>
      <c r="W337" s="120" t="n"/>
      <c r="X337" s="120" t="n"/>
      <c r="Y337" s="120" t="n"/>
      <c r="Z337" s="120" t="n"/>
      <c r="AB337" s="21" t="n"/>
      <c r="AF337" s="22" t="n"/>
      <c r="AG337" s="120" t="n"/>
      <c r="AH337" s="120" t="n"/>
      <c r="AI337" s="120" t="n"/>
      <c r="AJ337" s="120" t="n"/>
      <c r="AK337" s="120" t="n"/>
      <c r="AL337" s="120" t="n"/>
      <c r="AM337" s="120" t="n"/>
      <c r="AN337" s="120" t="n"/>
      <c r="AO337" s="120" t="n"/>
      <c r="AP337" s="120" t="n"/>
      <c r="AQ337" s="120" t="n"/>
      <c r="AR337" s="120" t="n"/>
      <c r="AS337" s="120" t="n"/>
    </row>
    <row r="338" hidden="1" outlineLevel="3">
      <c r="A338" s="8" t="n"/>
      <c r="B338" s="14" t="n"/>
      <c r="C338" s="120" t="n"/>
      <c r="D338" s="120" t="n"/>
      <c r="E338" s="120" t="n"/>
      <c r="F338" s="120" t="n"/>
      <c r="G338" s="120" t="n"/>
      <c r="I338" s="23" t="n"/>
      <c r="J338" s="24" t="n"/>
      <c r="K338" s="24" t="n"/>
      <c r="L338" s="24" t="n"/>
      <c r="M338" s="25" t="n"/>
      <c r="N338" s="120" t="n"/>
      <c r="O338" s="120" t="n"/>
      <c r="P338" s="120" t="n"/>
      <c r="Q338" s="120" t="n"/>
      <c r="R338" s="120" t="n"/>
      <c r="S338" s="120" t="n"/>
      <c r="T338" s="120" t="n"/>
      <c r="U338" s="120" t="n"/>
      <c r="V338" s="120" t="n"/>
      <c r="W338" s="120" t="n"/>
      <c r="X338" s="120" t="n"/>
      <c r="Y338" s="120" t="n"/>
      <c r="Z338" s="120" t="n"/>
      <c r="AB338" s="23" t="n"/>
      <c r="AC338" s="24" t="n"/>
      <c r="AD338" s="24" t="n"/>
      <c r="AE338" s="24" t="n"/>
      <c r="AF338" s="25" t="n"/>
      <c r="AG338" s="120" t="n"/>
      <c r="AH338" s="120" t="n"/>
      <c r="AI338" s="120" t="n"/>
      <c r="AJ338" s="120" t="n"/>
      <c r="AK338" s="120" t="n"/>
      <c r="AL338" s="120" t="n"/>
      <c r="AM338" s="120" t="n"/>
      <c r="AN338" s="120" t="n"/>
      <c r="AO338" s="120" t="n"/>
      <c r="AP338" s="120" t="n"/>
      <c r="AQ338" s="120" t="n"/>
      <c r="AR338" s="120" t="n"/>
      <c r="AS338" s="120" t="n"/>
    </row>
    <row r="339" hidden="1" outlineLevel="2">
      <c r="A339" s="8" t="n"/>
      <c r="B339" s="14" t="n"/>
      <c r="C339" s="120" t="n"/>
      <c r="D339" s="120" t="n"/>
      <c r="E339" s="120" t="n"/>
      <c r="F339" s="120" t="n"/>
      <c r="G339" s="120" t="n"/>
      <c r="I339" s="124" t="inlineStr">
        <is>
          <t>Projétil</t>
        </is>
      </c>
      <c r="J339" s="17" t="n"/>
      <c r="K339" s="68">
        <f>DADOS_INVOC!$PN$24</f>
        <v/>
      </c>
      <c r="L339" s="17" t="n"/>
      <c r="M339" s="68">
        <f>DADOS_INVOC!$PJ$24</f>
        <v/>
      </c>
      <c r="N339" s="120" t="n"/>
      <c r="O339" s="120" t="n"/>
      <c r="P339" s="120" t="n"/>
      <c r="Q339" s="120" t="n"/>
      <c r="R339" s="120" t="n"/>
      <c r="S339" s="120" t="n"/>
      <c r="T339" s="120" t="n"/>
      <c r="U339" s="120" t="n"/>
      <c r="V339" s="120" t="n"/>
      <c r="W339" s="120" t="n"/>
      <c r="X339" s="120" t="n"/>
      <c r="Y339" s="120" t="n"/>
      <c r="Z339" s="120" t="n"/>
      <c r="AB339" s="124" t="inlineStr">
        <is>
          <t>Projétil</t>
        </is>
      </c>
      <c r="AC339" s="17" t="n"/>
      <c r="AD339" s="68">
        <f>DADOS_INVOC!$PN$102</f>
        <v/>
      </c>
      <c r="AE339" s="17" t="n"/>
      <c r="AF339" s="68">
        <f>DADOS_INVOC!$PJ$102</f>
        <v/>
      </c>
      <c r="AG339" s="120" t="n"/>
      <c r="AH339" s="120" t="n"/>
      <c r="AI339" s="120" t="n"/>
      <c r="AJ339" s="120" t="n"/>
      <c r="AK339" s="120" t="n"/>
      <c r="AL339" s="120" t="n"/>
      <c r="AM339" s="120" t="n"/>
      <c r="AN339" s="120" t="n"/>
      <c r="AO339" s="120" t="n"/>
      <c r="AP339" s="120" t="n"/>
      <c r="AQ339" s="120" t="n"/>
      <c r="AR339" s="120" t="n"/>
      <c r="AS339" s="120" t="n"/>
    </row>
    <row r="340" hidden="1" outlineLevel="2">
      <c r="A340" s="8" t="n"/>
      <c r="B340" s="14" t="n"/>
      <c r="C340" s="120" t="n"/>
      <c r="D340" s="120" t="n"/>
      <c r="E340" s="120" t="n"/>
      <c r="F340" s="120" t="n"/>
      <c r="G340" s="120" t="n"/>
      <c r="I340" s="124" t="n"/>
      <c r="J340" s="17" t="n"/>
      <c r="K340" s="124" t="n"/>
      <c r="L340" s="16" t="n"/>
      <c r="M340" s="17" t="n"/>
      <c r="N340" s="120" t="n"/>
      <c r="O340" s="120" t="n"/>
      <c r="P340" s="120" t="n"/>
      <c r="Q340" s="120" t="n"/>
      <c r="R340" s="120" t="n"/>
      <c r="S340" s="120" t="n"/>
      <c r="T340" s="120" t="n"/>
      <c r="U340" s="120" t="n"/>
      <c r="V340" s="120" t="n"/>
      <c r="W340" s="120" t="n"/>
      <c r="X340" s="120" t="n"/>
      <c r="Y340" s="120" t="n"/>
      <c r="Z340" s="120" t="n"/>
      <c r="AB340" s="124" t="n"/>
      <c r="AC340" s="17" t="n"/>
      <c r="AD340" s="124" t="n"/>
      <c r="AE340" s="16" t="n"/>
      <c r="AF340" s="17" t="n"/>
      <c r="AG340" s="120" t="n"/>
      <c r="AH340" s="120" t="n"/>
      <c r="AI340" s="120" t="n"/>
      <c r="AJ340" s="120" t="n"/>
      <c r="AK340" s="120" t="n"/>
      <c r="AL340" s="120" t="n"/>
      <c r="AM340" s="120" t="n"/>
      <c r="AN340" s="120" t="n"/>
      <c r="AO340" s="120" t="n"/>
      <c r="AP340" s="120" t="n"/>
      <c r="AQ340" s="120" t="n"/>
      <c r="AR340" s="120" t="n"/>
      <c r="AS340" s="120" t="n"/>
    </row>
    <row r="341" hidden="1" outlineLevel="2">
      <c r="A341" s="8" t="n"/>
      <c r="B341" s="14" t="n"/>
      <c r="C341" s="120" t="n"/>
      <c r="D341" s="120" t="n"/>
      <c r="E341" s="120" t="n"/>
      <c r="F341" s="120" t="n"/>
      <c r="G341" s="120" t="n"/>
      <c r="I341" s="124">
        <f>DADOS_INVOC!$PK$24</f>
        <v/>
      </c>
      <c r="J341" s="17" t="n"/>
      <c r="K341" s="124">
        <f>DADOS_INVOC!$PM$24</f>
        <v/>
      </c>
      <c r="L341" s="16" t="n"/>
      <c r="M341" s="17" t="n"/>
      <c r="N341" s="120" t="n"/>
      <c r="O341" s="120" t="n"/>
      <c r="P341" s="120" t="n"/>
      <c r="Q341" s="120" t="n"/>
      <c r="R341" s="120" t="n"/>
      <c r="S341" s="120" t="n"/>
      <c r="T341" s="120" t="n"/>
      <c r="U341" s="120" t="n"/>
      <c r="V341" s="120" t="n"/>
      <c r="W341" s="120" t="n"/>
      <c r="X341" s="120" t="n"/>
      <c r="Y341" s="120" t="n"/>
      <c r="Z341" s="120" t="n"/>
      <c r="AB341" s="124">
        <f>DADOS_INVOC!$PK$102</f>
        <v/>
      </c>
      <c r="AC341" s="17" t="n"/>
      <c r="AD341" s="124">
        <f>DADOS_INVOC!$PM$102</f>
        <v/>
      </c>
      <c r="AE341" s="16" t="n"/>
      <c r="AF341" s="17" t="n"/>
      <c r="AG341" s="120" t="n"/>
      <c r="AH341" s="120" t="n"/>
      <c r="AI341" s="120" t="n"/>
      <c r="AJ341" s="120" t="n"/>
      <c r="AK341" s="120" t="n"/>
      <c r="AL341" s="120" t="n"/>
      <c r="AM341" s="120" t="n"/>
      <c r="AN341" s="120" t="n"/>
      <c r="AO341" s="120" t="n"/>
      <c r="AP341" s="120" t="n"/>
      <c r="AQ341" s="120" t="n"/>
      <c r="AR341" s="120" t="n"/>
      <c r="AS341" s="120" t="n"/>
    </row>
    <row r="342" hidden="1" outlineLevel="2">
      <c r="A342" s="8" t="n"/>
      <c r="B342" s="14" t="n"/>
      <c r="C342" s="120" t="n"/>
      <c r="D342" s="120" t="n"/>
      <c r="E342" s="120" t="n"/>
      <c r="F342" s="120" t="n"/>
      <c r="G342" s="120" t="n"/>
      <c r="I342" s="129">
        <f>DADOS_INVOC!$PS$24</f>
        <v/>
      </c>
      <c r="J342" s="16" t="n"/>
      <c r="K342" s="16" t="n"/>
      <c r="L342" s="16" t="n"/>
      <c r="M342" s="17" t="n"/>
      <c r="N342" s="120" t="n"/>
      <c r="O342" s="120" t="n"/>
      <c r="P342" s="120" t="n"/>
      <c r="Q342" s="120" t="n"/>
      <c r="R342" s="120" t="n"/>
      <c r="S342" s="120" t="n"/>
      <c r="T342" s="120" t="n"/>
      <c r="U342" s="120" t="n"/>
      <c r="V342" s="120" t="n"/>
      <c r="W342" s="120" t="n"/>
      <c r="X342" s="120" t="n"/>
      <c r="Y342" s="120" t="n"/>
      <c r="Z342" s="120" t="n"/>
      <c r="AB342" s="129">
        <f>DADOS_INVOC!$PS$102</f>
        <v/>
      </c>
      <c r="AC342" s="16" t="n"/>
      <c r="AD342" s="16" t="n"/>
      <c r="AE342" s="16" t="n"/>
      <c r="AF342" s="17" t="n"/>
      <c r="AG342" s="120" t="n"/>
      <c r="AH342" s="120" t="n"/>
      <c r="AI342" s="120" t="n"/>
      <c r="AJ342" s="120" t="n"/>
      <c r="AK342" s="120" t="n"/>
      <c r="AL342" s="120" t="n"/>
      <c r="AM342" s="120" t="n"/>
      <c r="AN342" s="120" t="n"/>
      <c r="AO342" s="120" t="n"/>
      <c r="AP342" s="120" t="n"/>
      <c r="AQ342" s="120" t="n"/>
      <c r="AR342" s="120" t="n"/>
      <c r="AS342" s="120" t="n"/>
    </row>
    <row r="343" hidden="1" outlineLevel="3">
      <c r="A343" s="8" t="n"/>
      <c r="B343" s="14" t="n"/>
      <c r="C343" s="120" t="n"/>
      <c r="D343" s="120" t="n"/>
      <c r="E343" s="120" t="n"/>
      <c r="F343" s="120" t="n"/>
      <c r="G343" s="120" t="n"/>
      <c r="I343" s="55" t="inlineStr">
        <is>
          <t>MELHORIAS</t>
        </is>
      </c>
      <c r="J343" s="130" t="n"/>
      <c r="K343" s="16" t="n"/>
      <c r="L343" s="17" t="n"/>
      <c r="M343" s="129">
        <f>DADOS_INVOC!$PV$24</f>
        <v/>
      </c>
      <c r="N343" s="120" t="n"/>
      <c r="O343" s="120" t="n"/>
      <c r="P343" s="120" t="n"/>
      <c r="Q343" s="120" t="n"/>
      <c r="R343" s="120" t="n"/>
      <c r="S343" s="120" t="n"/>
      <c r="T343" s="120" t="n"/>
      <c r="U343" s="120" t="n"/>
      <c r="V343" s="120" t="n"/>
      <c r="W343" s="120" t="n"/>
      <c r="X343" s="120" t="n"/>
      <c r="Y343" s="120" t="n"/>
      <c r="Z343" s="120" t="n"/>
      <c r="AB343" s="55" t="inlineStr">
        <is>
          <t>MELHORIAS</t>
        </is>
      </c>
      <c r="AC343" s="130" t="n"/>
      <c r="AD343" s="16" t="n"/>
      <c r="AE343" s="17" t="n"/>
      <c r="AF343" s="129">
        <f>DADOS_INVOC!$PV$102</f>
        <v/>
      </c>
      <c r="AG343" s="120" t="n"/>
      <c r="AH343" s="120" t="n"/>
      <c r="AI343" s="120" t="n"/>
      <c r="AJ343" s="120" t="n"/>
      <c r="AK343" s="120" t="n"/>
      <c r="AL343" s="120" t="n"/>
      <c r="AM343" s="120" t="n"/>
      <c r="AN343" s="120" t="n"/>
      <c r="AO343" s="120" t="n"/>
      <c r="AP343" s="120" t="n"/>
      <c r="AQ343" s="120" t="n"/>
      <c r="AR343" s="120" t="n"/>
      <c r="AS343" s="120" t="n"/>
    </row>
    <row r="344" hidden="1" outlineLevel="3">
      <c r="A344" s="8" t="n"/>
      <c r="B344" s="14" t="n"/>
      <c r="C344" s="120" t="n"/>
      <c r="D344" s="120" t="n"/>
      <c r="E344" s="120" t="n"/>
      <c r="F344" s="120" t="n"/>
      <c r="G344" s="120" t="n"/>
      <c r="I344" s="131" t="n"/>
      <c r="J344" s="130" t="n"/>
      <c r="K344" s="16" t="n"/>
      <c r="L344" s="17" t="n"/>
      <c r="M344" s="129">
        <f>DADOS_INVOC!$PW$24</f>
        <v/>
      </c>
      <c r="N344" s="120" t="n"/>
      <c r="O344" s="120" t="n"/>
      <c r="P344" s="120" t="n"/>
      <c r="Q344" s="120" t="n"/>
      <c r="R344" s="120" t="n"/>
      <c r="S344" s="120" t="n"/>
      <c r="T344" s="120" t="n"/>
      <c r="U344" s="120" t="n"/>
      <c r="V344" s="120" t="n"/>
      <c r="W344" s="120" t="n"/>
      <c r="X344" s="120" t="n"/>
      <c r="Y344" s="120" t="n"/>
      <c r="Z344" s="120" t="n"/>
      <c r="AB344" s="131" t="n"/>
      <c r="AC344" s="130" t="n"/>
      <c r="AD344" s="16" t="n"/>
      <c r="AE344" s="17" t="n"/>
      <c r="AF344" s="129">
        <f>DADOS_INVOC!$PW$102</f>
        <v/>
      </c>
      <c r="AG344" s="120" t="n"/>
      <c r="AH344" s="120" t="n"/>
      <c r="AI344" s="120" t="n"/>
      <c r="AJ344" s="120" t="n"/>
      <c r="AK344" s="120" t="n"/>
      <c r="AL344" s="120" t="n"/>
      <c r="AM344" s="120" t="n"/>
      <c r="AN344" s="120" t="n"/>
      <c r="AO344" s="120" t="n"/>
      <c r="AP344" s="120" t="n"/>
      <c r="AQ344" s="120" t="n"/>
      <c r="AR344" s="120" t="n"/>
      <c r="AS344" s="120" t="n"/>
    </row>
    <row r="345" hidden="1" outlineLevel="3">
      <c r="A345" s="8" t="n"/>
      <c r="B345" s="14" t="n"/>
      <c r="C345" s="120" t="n"/>
      <c r="D345" s="120" t="n"/>
      <c r="E345" s="120" t="n"/>
      <c r="F345" s="120" t="n"/>
      <c r="G345" s="120" t="n"/>
      <c r="I345" s="131" t="n"/>
      <c r="J345" s="130" t="n"/>
      <c r="K345" s="16" t="n"/>
      <c r="L345" s="17" t="n"/>
      <c r="M345" s="129">
        <f>DADOS_INVOC!$PX$24</f>
        <v/>
      </c>
      <c r="N345" s="120" t="n"/>
      <c r="O345" s="120" t="n"/>
      <c r="P345" s="120" t="n"/>
      <c r="Q345" s="120" t="n"/>
      <c r="R345" s="120" t="n"/>
      <c r="S345" s="120" t="n"/>
      <c r="T345" s="120" t="n"/>
      <c r="U345" s="120" t="n"/>
      <c r="V345" s="120" t="n"/>
      <c r="W345" s="120" t="n"/>
      <c r="X345" s="120" t="n"/>
      <c r="Y345" s="120" t="n"/>
      <c r="Z345" s="120" t="n"/>
      <c r="AB345" s="131" t="n"/>
      <c r="AC345" s="130" t="n"/>
      <c r="AD345" s="16" t="n"/>
      <c r="AE345" s="17" t="n"/>
      <c r="AF345" s="129">
        <f>DADOS_INVOC!$PX$102</f>
        <v/>
      </c>
      <c r="AG345" s="120" t="n"/>
      <c r="AH345" s="120" t="n"/>
      <c r="AI345" s="120" t="n"/>
      <c r="AJ345" s="120" t="n"/>
      <c r="AK345" s="120" t="n"/>
      <c r="AL345" s="120" t="n"/>
      <c r="AM345" s="120" t="n"/>
      <c r="AN345" s="120" t="n"/>
      <c r="AO345" s="120" t="n"/>
      <c r="AP345" s="120" t="n"/>
      <c r="AQ345" s="120" t="n"/>
      <c r="AR345" s="120" t="n"/>
      <c r="AS345" s="120" t="n"/>
    </row>
    <row r="346" hidden="1" outlineLevel="3">
      <c r="A346" s="8" t="n"/>
      <c r="B346" s="14" t="n"/>
      <c r="C346" s="120" t="n"/>
      <c r="D346" s="120" t="n"/>
      <c r="E346" s="120" t="n"/>
      <c r="F346" s="120" t="n"/>
      <c r="G346" s="120" t="n"/>
      <c r="I346" s="125" t="n"/>
      <c r="J346" s="130" t="n"/>
      <c r="K346" s="16" t="n"/>
      <c r="L346" s="17" t="n"/>
      <c r="M346" s="129">
        <f>DADOS_INVOC!$PY$24</f>
        <v/>
      </c>
      <c r="N346" s="120" t="n"/>
      <c r="O346" s="120" t="n"/>
      <c r="P346" s="120" t="n"/>
      <c r="Q346" s="120" t="n"/>
      <c r="R346" s="120" t="n"/>
      <c r="S346" s="120" t="n"/>
      <c r="T346" s="120" t="n"/>
      <c r="U346" s="120" t="n"/>
      <c r="V346" s="120" t="n"/>
      <c r="W346" s="120" t="n"/>
      <c r="X346" s="120" t="n"/>
      <c r="Y346" s="120" t="n"/>
      <c r="Z346" s="120" t="n"/>
      <c r="AB346" s="125" t="n"/>
      <c r="AC346" s="130" t="n"/>
      <c r="AD346" s="16" t="n"/>
      <c r="AE346" s="17" t="n"/>
      <c r="AF346" s="129">
        <f>DADOS_INVOC!$PY$102</f>
        <v/>
      </c>
      <c r="AG346" s="120" t="n"/>
      <c r="AH346" s="120" t="n"/>
      <c r="AI346" s="120" t="n"/>
      <c r="AJ346" s="120" t="n"/>
      <c r="AK346" s="120" t="n"/>
      <c r="AL346" s="120" t="n"/>
      <c r="AM346" s="120" t="n"/>
      <c r="AN346" s="120" t="n"/>
      <c r="AO346" s="120" t="n"/>
      <c r="AP346" s="120" t="n"/>
      <c r="AQ346" s="120" t="n"/>
      <c r="AR346" s="120" t="n"/>
      <c r="AS346" s="120" t="n"/>
    </row>
    <row r="347" hidden="1" outlineLevel="3">
      <c r="A347" s="8" t="n"/>
      <c r="B347" s="14" t="n"/>
      <c r="C347" s="120" t="n"/>
      <c r="D347" s="120" t="n"/>
      <c r="E347" s="120" t="n"/>
      <c r="F347" s="120" t="n"/>
      <c r="G347" s="120" t="n"/>
      <c r="I347" s="55" t="inlineStr">
        <is>
          <t>RESTRIÇÕES</t>
        </is>
      </c>
      <c r="J347" s="130" t="n"/>
      <c r="K347" s="16" t="n"/>
      <c r="L347" s="17" t="n"/>
      <c r="M347" s="129">
        <f>DADOS_INVOC!$PZ$24</f>
        <v/>
      </c>
      <c r="N347" s="120" t="n"/>
      <c r="O347" s="120" t="n"/>
      <c r="P347" s="120" t="n"/>
      <c r="Q347" s="120" t="n"/>
      <c r="R347" s="120" t="n"/>
      <c r="S347" s="120" t="n"/>
      <c r="T347" s="120" t="n"/>
      <c r="U347" s="120" t="n"/>
      <c r="V347" s="120" t="n"/>
      <c r="W347" s="120" t="n"/>
      <c r="X347" s="120" t="n"/>
      <c r="Y347" s="120" t="n"/>
      <c r="Z347" s="120" t="n"/>
      <c r="AB347" s="55" t="inlineStr">
        <is>
          <t>RESTRIÇÕES</t>
        </is>
      </c>
      <c r="AC347" s="130" t="n"/>
      <c r="AD347" s="16" t="n"/>
      <c r="AE347" s="17" t="n"/>
      <c r="AF347" s="129">
        <f>DADOS_INVOC!$PZ$102</f>
        <v/>
      </c>
      <c r="AG347" s="120" t="n"/>
      <c r="AH347" s="120" t="n"/>
      <c r="AI347" s="120" t="n"/>
      <c r="AJ347" s="120" t="n"/>
      <c r="AK347" s="120" t="n"/>
      <c r="AL347" s="120" t="n"/>
      <c r="AM347" s="120" t="n"/>
      <c r="AN347" s="120" t="n"/>
      <c r="AO347" s="120" t="n"/>
      <c r="AP347" s="120" t="n"/>
      <c r="AQ347" s="120" t="n"/>
      <c r="AR347" s="120" t="n"/>
      <c r="AS347" s="120" t="n"/>
    </row>
    <row r="348" hidden="1" outlineLevel="3">
      <c r="A348" s="8" t="n"/>
      <c r="B348" s="14" t="n"/>
      <c r="C348" s="120" t="n"/>
      <c r="D348" s="120" t="n"/>
      <c r="E348" s="120" t="n"/>
      <c r="F348" s="120" t="n"/>
      <c r="G348" s="120" t="n"/>
      <c r="I348" s="125" t="n"/>
      <c r="J348" s="130" t="n"/>
      <c r="K348" s="16" t="n"/>
      <c r="L348" s="17" t="n"/>
      <c r="M348" s="129">
        <f>DADOS_INVOC!$QA$24</f>
        <v/>
      </c>
      <c r="N348" s="120" t="n"/>
      <c r="O348" s="120" t="n"/>
      <c r="P348" s="120" t="n"/>
      <c r="Q348" s="120" t="n"/>
      <c r="R348" s="120" t="n"/>
      <c r="S348" s="120" t="n"/>
      <c r="T348" s="120" t="n"/>
      <c r="U348" s="120" t="n"/>
      <c r="V348" s="120" t="n"/>
      <c r="W348" s="120" t="n"/>
      <c r="X348" s="120" t="n"/>
      <c r="Y348" s="120" t="n"/>
      <c r="Z348" s="120" t="n"/>
      <c r="AB348" s="125" t="n"/>
      <c r="AC348" s="130" t="n"/>
      <c r="AD348" s="16" t="n"/>
      <c r="AE348" s="17" t="n"/>
      <c r="AF348" s="129">
        <f>DADOS_INVOC!$QA$102</f>
        <v/>
      </c>
      <c r="AG348" s="120" t="n"/>
      <c r="AH348" s="120" t="n"/>
      <c r="AI348" s="120" t="n"/>
      <c r="AJ348" s="120" t="n"/>
      <c r="AK348" s="120" t="n"/>
      <c r="AL348" s="120" t="n"/>
      <c r="AM348" s="120" t="n"/>
      <c r="AN348" s="120" t="n"/>
      <c r="AO348" s="120" t="n"/>
      <c r="AP348" s="120" t="n"/>
      <c r="AQ348" s="120" t="n"/>
      <c r="AR348" s="120" t="n"/>
      <c r="AS348" s="120" t="n"/>
    </row>
    <row r="349" hidden="1" outlineLevel="3">
      <c r="A349" s="8" t="n"/>
      <c r="B349" s="14" t="n"/>
      <c r="C349" s="120" t="n"/>
      <c r="D349" s="120" t="n"/>
      <c r="E349" s="120" t="n"/>
      <c r="F349" s="120" t="n"/>
      <c r="G349" s="120" t="n"/>
      <c r="I349" s="55" t="inlineStr">
        <is>
          <t>CONTA</t>
        </is>
      </c>
      <c r="J349" s="132">
        <f>DADOS_INVOC!$PT$24</f>
        <v/>
      </c>
      <c r="K349" s="16" t="n"/>
      <c r="L349" s="16" t="n"/>
      <c r="M349" s="17" t="n"/>
      <c r="N349" s="120" t="n"/>
      <c r="O349" s="120" t="n"/>
      <c r="P349" s="120" t="n"/>
      <c r="Q349" s="120" t="n"/>
      <c r="R349" s="120" t="n"/>
      <c r="S349" s="120" t="n"/>
      <c r="T349" s="120" t="n"/>
      <c r="U349" s="120" t="n"/>
      <c r="V349" s="120" t="n"/>
      <c r="W349" s="120" t="n"/>
      <c r="X349" s="120" t="n"/>
      <c r="Y349" s="120" t="n"/>
      <c r="Z349" s="120" t="n"/>
      <c r="AB349" s="55" t="inlineStr">
        <is>
          <t>CONTA</t>
        </is>
      </c>
      <c r="AC349" s="132">
        <f>DADOS_INVOC!$PT$102</f>
        <v/>
      </c>
      <c r="AD349" s="16" t="n"/>
      <c r="AE349" s="16" t="n"/>
      <c r="AF349" s="17" t="n"/>
      <c r="AG349" s="120" t="n"/>
      <c r="AH349" s="120" t="n"/>
      <c r="AI349" s="120" t="n"/>
      <c r="AJ349" s="120" t="n"/>
      <c r="AK349" s="120" t="n"/>
      <c r="AL349" s="120" t="n"/>
      <c r="AM349" s="120" t="n"/>
      <c r="AN349" s="120" t="n"/>
      <c r="AO349" s="120" t="n"/>
      <c r="AP349" s="120" t="n"/>
      <c r="AQ349" s="120" t="n"/>
      <c r="AR349" s="120" t="n"/>
      <c r="AS349" s="120" t="n"/>
    </row>
    <row r="350" hidden="1" outlineLevel="3">
      <c r="A350" s="8" t="n"/>
      <c r="B350" s="14" t="n"/>
      <c r="C350" s="120" t="n"/>
      <c r="D350" s="120" t="n"/>
      <c r="E350" s="120" t="n"/>
      <c r="F350" s="120" t="n"/>
      <c r="G350" s="120" t="n"/>
      <c r="I350" s="55" t="inlineStr">
        <is>
          <t>AMPLIAR</t>
        </is>
      </c>
      <c r="J350" s="132">
        <f>DADOS_INVOC!$PU$24</f>
        <v/>
      </c>
      <c r="K350" s="19" t="n"/>
      <c r="L350" s="19" t="n"/>
      <c r="M350" s="20" t="n"/>
      <c r="N350" s="120" t="n"/>
      <c r="O350" s="120" t="n"/>
      <c r="P350" s="120" t="n"/>
      <c r="Q350" s="120" t="n"/>
      <c r="R350" s="120" t="n"/>
      <c r="S350" s="120" t="n"/>
      <c r="T350" s="120" t="n"/>
      <c r="U350" s="120" t="n"/>
      <c r="V350" s="120" t="n"/>
      <c r="W350" s="120" t="n"/>
      <c r="X350" s="120" t="n"/>
      <c r="Y350" s="120" t="n"/>
      <c r="Z350" s="120" t="n"/>
      <c r="AB350" s="55" t="inlineStr">
        <is>
          <t>AMPLIAR</t>
        </is>
      </c>
      <c r="AC350" s="132">
        <f>DADOS_INVOC!$PU$102</f>
        <v/>
      </c>
      <c r="AD350" s="19" t="n"/>
      <c r="AE350" s="19" t="n"/>
      <c r="AF350" s="20" t="n"/>
      <c r="AG350" s="120" t="n"/>
      <c r="AH350" s="120" t="n"/>
      <c r="AI350" s="120" t="n"/>
      <c r="AJ350" s="120" t="n"/>
      <c r="AK350" s="120" t="n"/>
      <c r="AL350" s="120" t="n"/>
      <c r="AM350" s="120" t="n"/>
      <c r="AN350" s="120" t="n"/>
      <c r="AO350" s="120" t="n"/>
      <c r="AP350" s="120" t="n"/>
      <c r="AQ350" s="120" t="n"/>
      <c r="AR350" s="120" t="n"/>
      <c r="AS350" s="120" t="n"/>
    </row>
    <row r="351" hidden="1" outlineLevel="3">
      <c r="A351" s="8" t="n"/>
      <c r="B351" s="14" t="n"/>
      <c r="C351" s="120" t="n"/>
      <c r="D351" s="120" t="n"/>
      <c r="E351" s="120" t="n"/>
      <c r="F351" s="120" t="n"/>
      <c r="G351" s="120" t="n"/>
      <c r="I351" s="125" t="n"/>
      <c r="J351" s="23" t="n"/>
      <c r="K351" s="24" t="n"/>
      <c r="L351" s="24" t="n"/>
      <c r="M351" s="25" t="n"/>
      <c r="N351" s="120" t="n"/>
      <c r="O351" s="120" t="n"/>
      <c r="P351" s="120" t="n"/>
      <c r="Q351" s="120" t="n"/>
      <c r="R351" s="120" t="n"/>
      <c r="S351" s="120" t="n"/>
      <c r="T351" s="120" t="n"/>
      <c r="U351" s="120" t="n"/>
      <c r="V351" s="120" t="n"/>
      <c r="W351" s="120" t="n"/>
      <c r="X351" s="120" t="n"/>
      <c r="Y351" s="120" t="n"/>
      <c r="Z351" s="120" t="n"/>
      <c r="AB351" s="125" t="n"/>
      <c r="AC351" s="23" t="n"/>
      <c r="AD351" s="24" t="n"/>
      <c r="AE351" s="24" t="n"/>
      <c r="AF351" s="25" t="n"/>
      <c r="AG351" s="120" t="n"/>
      <c r="AH351" s="120" t="n"/>
      <c r="AI351" s="120" t="n"/>
      <c r="AJ351" s="120" t="n"/>
      <c r="AK351" s="120" t="n"/>
      <c r="AL351" s="120" t="n"/>
      <c r="AM351" s="120" t="n"/>
      <c r="AN351" s="120" t="n"/>
      <c r="AO351" s="120" t="n"/>
      <c r="AP351" s="120" t="n"/>
      <c r="AQ351" s="120" t="n"/>
      <c r="AR351" s="120" t="n"/>
      <c r="AS351" s="120" t="n"/>
    </row>
    <row r="352" hidden="1" outlineLevel="3">
      <c r="A352" s="8" t="n"/>
      <c r="B352" s="14" t="n"/>
      <c r="C352" s="120" t="n"/>
      <c r="D352" s="120" t="n"/>
      <c r="E352" s="120" t="n"/>
      <c r="F352" s="120" t="n"/>
      <c r="G352" s="120" t="n"/>
      <c r="I352" s="132">
        <f>DADOS_INVOC!$PH$24</f>
        <v/>
      </c>
      <c r="J352" s="19" t="n"/>
      <c r="K352" s="19" t="n"/>
      <c r="L352" s="19" t="n"/>
      <c r="M352" s="20" t="n"/>
      <c r="N352" s="120" t="n"/>
      <c r="O352" s="120" t="n"/>
      <c r="P352" s="120" t="n"/>
      <c r="Q352" s="120" t="n"/>
      <c r="R352" s="120" t="n"/>
      <c r="S352" s="120" t="n"/>
      <c r="T352" s="120" t="n"/>
      <c r="U352" s="120" t="n"/>
      <c r="V352" s="120" t="n"/>
      <c r="W352" s="120" t="n"/>
      <c r="X352" s="120" t="n"/>
      <c r="Y352" s="120" t="n"/>
      <c r="Z352" s="120" t="n"/>
      <c r="AB352" s="132">
        <f>DADOS_INVOC!$PH$102</f>
        <v/>
      </c>
      <c r="AC352" s="19" t="n"/>
      <c r="AD352" s="19" t="n"/>
      <c r="AE352" s="19" t="n"/>
      <c r="AF352" s="20" t="n"/>
      <c r="AG352" s="120" t="n"/>
      <c r="AH352" s="120" t="n"/>
      <c r="AI352" s="120" t="n"/>
      <c r="AJ352" s="120" t="n"/>
      <c r="AK352" s="120" t="n"/>
      <c r="AL352" s="120" t="n"/>
      <c r="AM352" s="120" t="n"/>
      <c r="AN352" s="120" t="n"/>
      <c r="AO352" s="120" t="n"/>
      <c r="AP352" s="120" t="n"/>
      <c r="AQ352" s="120" t="n"/>
      <c r="AR352" s="120" t="n"/>
      <c r="AS352" s="120" t="n"/>
    </row>
    <row r="353" hidden="1" outlineLevel="3">
      <c r="A353" s="8" t="n"/>
      <c r="B353" s="14" t="n"/>
      <c r="C353" s="120" t="n"/>
      <c r="D353" s="120" t="n"/>
      <c r="E353" s="120" t="n"/>
      <c r="F353" s="120" t="n"/>
      <c r="G353" s="120" t="n"/>
      <c r="I353" s="23" t="n"/>
      <c r="J353" s="24" t="n"/>
      <c r="K353" s="24" t="n"/>
      <c r="L353" s="24" t="n"/>
      <c r="M353" s="25" t="n"/>
      <c r="N353" s="120" t="n"/>
      <c r="O353" s="120" t="n"/>
      <c r="P353" s="120" t="n"/>
      <c r="Q353" s="120" t="n"/>
      <c r="R353" s="120" t="n"/>
      <c r="S353" s="120" t="n"/>
      <c r="T353" s="120" t="n"/>
      <c r="U353" s="120" t="n"/>
      <c r="V353" s="120" t="n"/>
      <c r="W353" s="120" t="n"/>
      <c r="X353" s="120" t="n"/>
      <c r="Y353" s="120" t="n"/>
      <c r="Z353" s="120" t="n"/>
      <c r="AB353" s="23" t="n"/>
      <c r="AC353" s="24" t="n"/>
      <c r="AD353" s="24" t="n"/>
      <c r="AE353" s="24" t="n"/>
      <c r="AF353" s="25" t="n"/>
      <c r="AG353" s="120" t="n"/>
      <c r="AH353" s="120" t="n"/>
      <c r="AI353" s="120" t="n"/>
      <c r="AJ353" s="120" t="n"/>
      <c r="AK353" s="120" t="n"/>
      <c r="AL353" s="120" t="n"/>
      <c r="AM353" s="120" t="n"/>
      <c r="AN353" s="120" t="n"/>
      <c r="AO353" s="120" t="n"/>
      <c r="AP353" s="120" t="n"/>
      <c r="AQ353" s="120" t="n"/>
      <c r="AR353" s="120" t="n"/>
      <c r="AS353" s="120" t="n"/>
    </row>
    <row r="354" hidden="1" outlineLevel="1">
      <c r="A354" s="8" t="n"/>
      <c r="B354" s="14" t="n"/>
      <c r="C354" s="120" t="n"/>
      <c r="D354" s="120" t="n"/>
      <c r="E354" s="120" t="n"/>
      <c r="F354" s="120" t="n"/>
      <c r="G354" s="120" t="n"/>
      <c r="I354" s="120" t="n"/>
      <c r="J354" s="120" t="n"/>
      <c r="K354" s="120" t="n"/>
      <c r="L354" s="120" t="n"/>
      <c r="M354" s="120" t="n"/>
      <c r="N354" s="120" t="n"/>
      <c r="O354" s="120" t="n"/>
      <c r="P354" s="120" t="n"/>
      <c r="Q354" s="120" t="n"/>
      <c r="R354" s="120" t="n"/>
      <c r="S354" s="120" t="n"/>
      <c r="T354" s="120" t="n"/>
      <c r="U354" s="120" t="n"/>
      <c r="V354" s="120" t="n"/>
      <c r="W354" s="120" t="n"/>
      <c r="X354" s="120" t="n"/>
      <c r="Y354" s="120" t="n"/>
      <c r="Z354" s="120" t="n"/>
      <c r="AB354" s="120" t="n"/>
      <c r="AC354" s="120" t="n"/>
      <c r="AD354" s="120" t="n"/>
      <c r="AE354" s="120" t="n"/>
      <c r="AF354" s="120" t="n"/>
      <c r="AG354" s="120" t="n"/>
      <c r="AH354" s="120" t="n"/>
      <c r="AI354" s="120" t="n"/>
      <c r="AJ354" s="120" t="n"/>
      <c r="AK354" s="120" t="n"/>
      <c r="AL354" s="120" t="n"/>
      <c r="AM354" s="120" t="n"/>
      <c r="AN354" s="120" t="n"/>
      <c r="AO354" s="120" t="n"/>
      <c r="AP354" s="120" t="n"/>
      <c r="AQ354" s="120" t="n"/>
      <c r="AR354" s="120" t="n"/>
      <c r="AS354" s="120" t="n"/>
    </row>
    <row r="355" hidden="1" outlineLevel="1">
      <c r="A355" s="8" t="n"/>
      <c r="B355" s="14" t="n"/>
      <c r="C355" s="120" t="n"/>
      <c r="D355" s="120" t="n"/>
      <c r="E355" s="120" t="n"/>
      <c r="F355" s="120" t="n"/>
      <c r="G355" s="120" t="n"/>
      <c r="I355" s="13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0" t="n"/>
      <c r="AB355" s="13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0" t="n"/>
    </row>
    <row r="356" hidden="1" outlineLevel="2">
      <c r="A356" s="8" t="n"/>
      <c r="B356" s="14" t="n"/>
      <c r="C356" s="120" t="n"/>
      <c r="D356" s="120" t="n"/>
      <c r="E356" s="120" t="n"/>
      <c r="F356" s="120" t="n"/>
      <c r="G356" s="120" t="n"/>
      <c r="I356" s="120" t="n"/>
      <c r="J356" s="120" t="n"/>
      <c r="K356" s="120" t="n"/>
      <c r="L356" s="120" t="n"/>
      <c r="M356" s="120" t="n"/>
      <c r="N356" s="120" t="n"/>
      <c r="O356" s="120" t="n"/>
      <c r="P356" s="120" t="n"/>
      <c r="Q356" s="120" t="n"/>
      <c r="R356" s="120" t="n"/>
      <c r="S356" s="120" t="n"/>
      <c r="T356" s="120" t="n"/>
      <c r="U356" s="120" t="n"/>
      <c r="V356" s="120" t="n"/>
      <c r="W356" s="120" t="n"/>
      <c r="X356" s="120" t="n"/>
      <c r="Y356" s="120" t="n"/>
      <c r="Z356" s="120" t="n"/>
      <c r="AB356" s="120" t="n"/>
      <c r="AC356" s="120" t="n"/>
      <c r="AD356" s="120" t="n"/>
      <c r="AE356" s="120" t="n"/>
      <c r="AF356" s="120" t="n"/>
      <c r="AG356" s="120" t="n"/>
      <c r="AH356" s="120" t="n"/>
      <c r="AI356" s="120" t="n"/>
      <c r="AJ356" s="120" t="n"/>
      <c r="AK356" s="120" t="n"/>
      <c r="AL356" s="120" t="n"/>
      <c r="AM356" s="120" t="n"/>
      <c r="AN356" s="120" t="n"/>
      <c r="AO356" s="120" t="n"/>
      <c r="AP356" s="120" t="n"/>
      <c r="AQ356" s="120" t="n"/>
      <c r="AR356" s="120" t="n"/>
      <c r="AS356" s="120" t="n"/>
    </row>
    <row r="357" hidden="1" outlineLevel="2">
      <c r="A357" s="8" t="n"/>
      <c r="B357" s="14" t="n"/>
      <c r="C357" s="120" t="n"/>
      <c r="D357" s="120" t="n"/>
      <c r="E357" s="120" t="n"/>
      <c r="F357" s="120" t="n"/>
      <c r="G357" s="120" t="n"/>
      <c r="I357" s="55">
        <f>DADOS_INVOC!$PI$25</f>
        <v/>
      </c>
      <c r="J357" s="16" t="n"/>
      <c r="K357" s="16" t="n"/>
      <c r="L357" s="16" t="n"/>
      <c r="M357" s="17" t="n"/>
      <c r="N357" s="120" t="n"/>
      <c r="O357" s="55">
        <f>DADOS_INVOC!$PI$26</f>
        <v/>
      </c>
      <c r="P357" s="16" t="n"/>
      <c r="Q357" s="16" t="n"/>
      <c r="R357" s="16" t="n"/>
      <c r="S357" s="17" t="n"/>
      <c r="T357" s="120" t="n"/>
      <c r="U357" s="55">
        <f>DADOS_INVOC!$PI$27</f>
        <v/>
      </c>
      <c r="V357" s="16" t="n"/>
      <c r="W357" s="16" t="n"/>
      <c r="X357" s="16" t="n"/>
      <c r="Y357" s="17" t="n"/>
      <c r="Z357" s="120" t="n"/>
      <c r="AB357" s="55">
        <f>DADOS_INVOC!$PI$103</f>
        <v/>
      </c>
      <c r="AC357" s="16" t="n"/>
      <c r="AD357" s="16" t="n"/>
      <c r="AE357" s="16" t="n"/>
      <c r="AF357" s="17" t="n"/>
      <c r="AG357" s="120" t="n"/>
      <c r="AH357" s="55">
        <f>DADOS_INVOC!$PI$104</f>
        <v/>
      </c>
      <c r="AI357" s="16" t="n"/>
      <c r="AJ357" s="16" t="n"/>
      <c r="AK357" s="16" t="n"/>
      <c r="AL357" s="17" t="n"/>
      <c r="AM357" s="120" t="n"/>
      <c r="AN357" s="55">
        <f>DADOS_INVOC!$PI$105</f>
        <v/>
      </c>
      <c r="AO357" s="16" t="n"/>
      <c r="AP357" s="16" t="n"/>
      <c r="AQ357" s="16" t="n"/>
      <c r="AR357" s="17" t="n"/>
      <c r="AS357" s="120" t="n"/>
    </row>
    <row r="358" hidden="1" outlineLevel="2">
      <c r="A358" s="8" t="n"/>
      <c r="B358" s="14" t="n"/>
      <c r="C358" s="120" t="n"/>
      <c r="D358" s="120" t="n"/>
      <c r="E358" s="120" t="n"/>
      <c r="F358" s="120" t="n"/>
      <c r="G358" s="120" t="n"/>
      <c r="I358" s="127" t="n">
        <v>1</v>
      </c>
      <c r="J358" s="115" t="n"/>
      <c r="K358" s="16" t="n"/>
      <c r="L358" s="17" t="n"/>
      <c r="M358" s="128">
        <f>DADOS_INVOC!$PG$25</f>
        <v/>
      </c>
      <c r="N358" s="120" t="n"/>
      <c r="O358" s="127" t="n">
        <v>1</v>
      </c>
      <c r="P358" s="115" t="n"/>
      <c r="Q358" s="16" t="n"/>
      <c r="R358" s="17" t="n"/>
      <c r="S358" s="128">
        <f>DADOS_INVOC!$PG$26</f>
        <v/>
      </c>
      <c r="T358" s="120" t="n"/>
      <c r="U358" s="127" t="n">
        <v>1</v>
      </c>
      <c r="V358" s="115" t="n"/>
      <c r="W358" s="16" t="n"/>
      <c r="X358" s="17" t="n"/>
      <c r="Y358" s="128">
        <f>DADOS_INVOC!$PG$27</f>
        <v/>
      </c>
      <c r="Z358" s="120" t="n"/>
      <c r="AB358" s="127" t="n">
        <v>1</v>
      </c>
      <c r="AC358" s="115" t="n"/>
      <c r="AD358" s="16" t="n"/>
      <c r="AE358" s="17" t="n"/>
      <c r="AF358" s="128">
        <f>DADOS_INVOC!$PG$103</f>
        <v/>
      </c>
      <c r="AG358" s="120" t="n"/>
      <c r="AH358" s="127" t="n">
        <v>1</v>
      </c>
      <c r="AI358" s="115" t="n"/>
      <c r="AJ358" s="16" t="n"/>
      <c r="AK358" s="17" t="n"/>
      <c r="AL358" s="128">
        <f>DADOS_INVOC!$PG$104</f>
        <v/>
      </c>
      <c r="AM358" s="120" t="n"/>
      <c r="AN358" s="127" t="n">
        <v>1</v>
      </c>
      <c r="AO358" s="115" t="n"/>
      <c r="AP358" s="16" t="n"/>
      <c r="AQ358" s="17" t="n"/>
      <c r="AR358" s="128">
        <f>DADOS_INVOC!$PG$105</f>
        <v/>
      </c>
      <c r="AS358" s="120" t="n"/>
    </row>
    <row r="359" hidden="1" outlineLevel="3">
      <c r="A359" s="8" t="n"/>
      <c r="B359" s="14" t="n"/>
      <c r="C359" s="120" t="n"/>
      <c r="D359" s="120" t="n"/>
      <c r="E359" s="120" t="n"/>
      <c r="F359" s="120" t="n"/>
      <c r="G359" s="120" t="n"/>
      <c r="I359" s="55" t="inlineStr">
        <is>
          <t>COMO É</t>
        </is>
      </c>
      <c r="J359" s="16" t="n"/>
      <c r="K359" s="16" t="n"/>
      <c r="L359" s="16" t="n"/>
      <c r="M359" s="17" t="n"/>
      <c r="N359" s="120" t="n"/>
      <c r="O359" s="55" t="inlineStr">
        <is>
          <t>COMO É</t>
        </is>
      </c>
      <c r="P359" s="16" t="n"/>
      <c r="Q359" s="16" t="n"/>
      <c r="R359" s="16" t="n"/>
      <c r="S359" s="17" t="n"/>
      <c r="T359" s="120" t="n"/>
      <c r="U359" s="55" t="inlineStr">
        <is>
          <t>COMO É</t>
        </is>
      </c>
      <c r="V359" s="16" t="n"/>
      <c r="W359" s="16" t="n"/>
      <c r="X359" s="16" t="n"/>
      <c r="Y359" s="17" t="n"/>
      <c r="Z359" s="120" t="n"/>
      <c r="AB359" s="55" t="inlineStr">
        <is>
          <t>COMO É</t>
        </is>
      </c>
      <c r="AC359" s="16" t="n"/>
      <c r="AD359" s="16" t="n"/>
      <c r="AE359" s="16" t="n"/>
      <c r="AF359" s="17" t="n"/>
      <c r="AG359" s="120" t="n"/>
      <c r="AH359" s="55" t="inlineStr">
        <is>
          <t>COMO É</t>
        </is>
      </c>
      <c r="AI359" s="16" t="n"/>
      <c r="AJ359" s="16" t="n"/>
      <c r="AK359" s="16" t="n"/>
      <c r="AL359" s="17" t="n"/>
      <c r="AM359" s="120" t="n"/>
      <c r="AN359" s="55" t="inlineStr">
        <is>
          <t>COMO É</t>
        </is>
      </c>
      <c r="AO359" s="16" t="n"/>
      <c r="AP359" s="16" t="n"/>
      <c r="AQ359" s="16" t="n"/>
      <c r="AR359" s="17" t="n"/>
      <c r="AS359" s="120" t="n"/>
    </row>
    <row r="360" hidden="1" outlineLevel="3">
      <c r="A360" s="8" t="n"/>
      <c r="B360" s="14" t="n"/>
      <c r="C360" s="120" t="n"/>
      <c r="D360" s="120" t="n"/>
      <c r="E360" s="120" t="n"/>
      <c r="F360" s="120" t="n"/>
      <c r="G360" s="120" t="n"/>
      <c r="I360" s="116" t="n"/>
      <c r="J360" s="19" t="n"/>
      <c r="K360" s="19" t="n"/>
      <c r="L360" s="19" t="n"/>
      <c r="M360" s="20" t="n"/>
      <c r="N360" s="120" t="n"/>
      <c r="O360" s="116" t="n"/>
      <c r="P360" s="19" t="n"/>
      <c r="Q360" s="19" t="n"/>
      <c r="R360" s="19" t="n"/>
      <c r="S360" s="20" t="n"/>
      <c r="T360" s="120" t="n"/>
      <c r="U360" s="116" t="n"/>
      <c r="V360" s="19" t="n"/>
      <c r="W360" s="19" t="n"/>
      <c r="X360" s="19" t="n"/>
      <c r="Y360" s="20" t="n"/>
      <c r="Z360" s="120" t="n"/>
      <c r="AB360" s="116" t="n"/>
      <c r="AC360" s="19" t="n"/>
      <c r="AD360" s="19" t="n"/>
      <c r="AE360" s="19" t="n"/>
      <c r="AF360" s="20" t="n"/>
      <c r="AG360" s="120" t="n"/>
      <c r="AH360" s="116" t="n"/>
      <c r="AI360" s="19" t="n"/>
      <c r="AJ360" s="19" t="n"/>
      <c r="AK360" s="19" t="n"/>
      <c r="AL360" s="20" t="n"/>
      <c r="AM360" s="120" t="n"/>
      <c r="AN360" s="116" t="n"/>
      <c r="AO360" s="19" t="n"/>
      <c r="AP360" s="19" t="n"/>
      <c r="AQ360" s="19" t="n"/>
      <c r="AR360" s="20" t="n"/>
      <c r="AS360" s="120" t="n"/>
    </row>
    <row r="361" hidden="1" outlineLevel="3">
      <c r="A361" s="8" t="n"/>
      <c r="B361" s="14" t="n"/>
      <c r="C361" s="120" t="n"/>
      <c r="D361" s="120" t="n"/>
      <c r="E361" s="120" t="n"/>
      <c r="F361" s="120" t="n"/>
      <c r="G361" s="120" t="n"/>
      <c r="I361" s="21" t="n"/>
      <c r="M361" s="22" t="n"/>
      <c r="N361" s="120" t="n"/>
      <c r="O361" s="21" t="n"/>
      <c r="S361" s="22" t="n"/>
      <c r="T361" s="120" t="n"/>
      <c r="U361" s="21" t="n"/>
      <c r="Y361" s="22" t="n"/>
      <c r="Z361" s="120" t="n"/>
      <c r="AB361" s="21" t="n"/>
      <c r="AF361" s="22" t="n"/>
      <c r="AG361" s="120" t="n"/>
      <c r="AH361" s="21" t="n"/>
      <c r="AL361" s="22" t="n"/>
      <c r="AM361" s="120" t="n"/>
      <c r="AN361" s="21" t="n"/>
      <c r="AR361" s="22" t="n"/>
      <c r="AS361" s="120" t="n"/>
    </row>
    <row r="362" hidden="1" outlineLevel="3">
      <c r="A362" s="8" t="n"/>
      <c r="B362" s="14" t="n"/>
      <c r="C362" s="120" t="n"/>
      <c r="D362" s="120" t="n"/>
      <c r="E362" s="120" t="n"/>
      <c r="F362" s="120" t="n"/>
      <c r="G362" s="120" t="n"/>
      <c r="I362" s="23" t="n"/>
      <c r="J362" s="24" t="n"/>
      <c r="K362" s="24" t="n"/>
      <c r="L362" s="24" t="n"/>
      <c r="M362" s="25" t="n"/>
      <c r="N362" s="120" t="n"/>
      <c r="O362" s="23" t="n"/>
      <c r="P362" s="24" t="n"/>
      <c r="Q362" s="24" t="n"/>
      <c r="R362" s="24" t="n"/>
      <c r="S362" s="25" t="n"/>
      <c r="T362" s="120" t="n"/>
      <c r="U362" s="23" t="n"/>
      <c r="V362" s="24" t="n"/>
      <c r="W362" s="24" t="n"/>
      <c r="X362" s="24" t="n"/>
      <c r="Y362" s="25" t="n"/>
      <c r="Z362" s="120" t="n"/>
      <c r="AB362" s="23" t="n"/>
      <c r="AC362" s="24" t="n"/>
      <c r="AD362" s="24" t="n"/>
      <c r="AE362" s="24" t="n"/>
      <c r="AF362" s="25" t="n"/>
      <c r="AG362" s="120" t="n"/>
      <c r="AH362" s="23" t="n"/>
      <c r="AI362" s="24" t="n"/>
      <c r="AJ362" s="24" t="n"/>
      <c r="AK362" s="24" t="n"/>
      <c r="AL362" s="25" t="n"/>
      <c r="AM362" s="120" t="n"/>
      <c r="AN362" s="23" t="n"/>
      <c r="AO362" s="24" t="n"/>
      <c r="AP362" s="24" t="n"/>
      <c r="AQ362" s="24" t="n"/>
      <c r="AR362" s="25" t="n"/>
      <c r="AS362" s="120" t="n"/>
    </row>
    <row r="363" hidden="1" outlineLevel="2">
      <c r="A363" s="8" t="n"/>
      <c r="B363" s="14" t="n"/>
      <c r="C363" s="120" t="n"/>
      <c r="D363" s="120" t="n"/>
      <c r="E363" s="120" t="n"/>
      <c r="F363" s="120" t="n"/>
      <c r="G363" s="120" t="n"/>
      <c r="I363" s="124" t="inlineStr">
        <is>
          <t>Projétil</t>
        </is>
      </c>
      <c r="J363" s="17" t="n"/>
      <c r="K363" s="68">
        <f>DADOS_INVOC!$PN$25</f>
        <v/>
      </c>
      <c r="L363" s="17" t="n"/>
      <c r="M363" s="68">
        <f>DADOS_INVOC!$PJ$25</f>
        <v/>
      </c>
      <c r="N363" s="120" t="n"/>
      <c r="O363" s="124" t="inlineStr">
        <is>
          <t>Projétil</t>
        </is>
      </c>
      <c r="P363" s="17" t="n"/>
      <c r="Q363" s="68">
        <f>DADOS_INVOC!$PN$26</f>
        <v/>
      </c>
      <c r="R363" s="17" t="n"/>
      <c r="S363" s="68">
        <f>DADOS_INVOC!$PJ$26</f>
        <v/>
      </c>
      <c r="T363" s="120" t="n"/>
      <c r="U363" s="124" t="inlineStr">
        <is>
          <t>Projétil</t>
        </is>
      </c>
      <c r="V363" s="17" t="n"/>
      <c r="W363" s="68">
        <f>DADOS_INVOC!$PN$27</f>
        <v/>
      </c>
      <c r="X363" s="17" t="n"/>
      <c r="Y363" s="68">
        <f>DADOS_INVOC!$PJ$27</f>
        <v/>
      </c>
      <c r="Z363" s="120" t="n"/>
      <c r="AB363" s="124" t="inlineStr">
        <is>
          <t>Projétil</t>
        </is>
      </c>
      <c r="AC363" s="17" t="n"/>
      <c r="AD363" s="68">
        <f>DADOS_INVOC!$PN$103</f>
        <v/>
      </c>
      <c r="AE363" s="17" t="n"/>
      <c r="AF363" s="68">
        <f>DADOS_INVOC!$PJ$103</f>
        <v/>
      </c>
      <c r="AG363" s="120" t="n"/>
      <c r="AH363" s="124" t="inlineStr">
        <is>
          <t>Projétil</t>
        </is>
      </c>
      <c r="AI363" s="17" t="n"/>
      <c r="AJ363" s="68">
        <f>DADOS_INVOC!$PN$104</f>
        <v/>
      </c>
      <c r="AK363" s="17" t="n"/>
      <c r="AL363" s="68">
        <f>DADOS_INVOC!$PJ$104</f>
        <v/>
      </c>
      <c r="AM363" s="120" t="n"/>
      <c r="AN363" s="124" t="inlineStr">
        <is>
          <t>Projétil</t>
        </is>
      </c>
      <c r="AO363" s="17" t="n"/>
      <c r="AP363" s="68">
        <f>DADOS_INVOC!$PN$105</f>
        <v/>
      </c>
      <c r="AQ363" s="17" t="n"/>
      <c r="AR363" s="68">
        <f>DADOS_INVOC!$PJ$105</f>
        <v/>
      </c>
      <c r="AS363" s="120" t="n"/>
    </row>
    <row r="364" hidden="1" outlineLevel="2">
      <c r="A364" s="8" t="n"/>
      <c r="B364" s="14" t="n"/>
      <c r="C364" s="120" t="n"/>
      <c r="D364" s="120" t="n"/>
      <c r="E364" s="120" t="n"/>
      <c r="F364" s="120" t="n"/>
      <c r="G364" s="120" t="n"/>
      <c r="I364" s="124" t="n"/>
      <c r="J364" s="17" t="n"/>
      <c r="K364" s="124" t="n"/>
      <c r="L364" s="16" t="n"/>
      <c r="M364" s="17" t="n"/>
      <c r="N364" s="120" t="n"/>
      <c r="O364" s="124" t="n"/>
      <c r="P364" s="17" t="n"/>
      <c r="Q364" s="124" t="n"/>
      <c r="R364" s="16" t="n"/>
      <c r="S364" s="17" t="n"/>
      <c r="T364" s="120" t="n"/>
      <c r="U364" s="124" t="n"/>
      <c r="V364" s="17" t="n"/>
      <c r="W364" s="124" t="n"/>
      <c r="X364" s="16" t="n"/>
      <c r="Y364" s="17" t="n"/>
      <c r="Z364" s="120" t="n"/>
      <c r="AB364" s="124" t="n"/>
      <c r="AC364" s="17" t="n"/>
      <c r="AD364" s="124" t="n"/>
      <c r="AE364" s="16" t="n"/>
      <c r="AF364" s="17" t="n"/>
      <c r="AG364" s="120" t="n"/>
      <c r="AH364" s="124" t="n"/>
      <c r="AI364" s="17" t="n"/>
      <c r="AJ364" s="124" t="n"/>
      <c r="AK364" s="16" t="n"/>
      <c r="AL364" s="17" t="n"/>
      <c r="AM364" s="120" t="n"/>
      <c r="AN364" s="124" t="n"/>
      <c r="AO364" s="17" t="n"/>
      <c r="AP364" s="124" t="n"/>
      <c r="AQ364" s="16" t="n"/>
      <c r="AR364" s="17" t="n"/>
      <c r="AS364" s="120" t="n"/>
    </row>
    <row r="365" hidden="1" outlineLevel="2">
      <c r="A365" s="8" t="n"/>
      <c r="B365" s="14" t="n"/>
      <c r="C365" s="120" t="n"/>
      <c r="D365" s="120" t="n"/>
      <c r="E365" s="120" t="n"/>
      <c r="F365" s="120" t="n"/>
      <c r="G365" s="120" t="n"/>
      <c r="I365" s="124">
        <f>DADOS_INVOC!$PK$25</f>
        <v/>
      </c>
      <c r="J365" s="17" t="n"/>
      <c r="K365" s="124">
        <f>DADOS_INVOC!$PM$25</f>
        <v/>
      </c>
      <c r="L365" s="16" t="n"/>
      <c r="M365" s="17" t="n"/>
      <c r="N365" s="120" t="n"/>
      <c r="O365" s="124">
        <f>DADOS_INVOC!$PK$26</f>
        <v/>
      </c>
      <c r="P365" s="17" t="n"/>
      <c r="Q365" s="124">
        <f>DADOS_INVOC!$PM$26</f>
        <v/>
      </c>
      <c r="R365" s="16" t="n"/>
      <c r="S365" s="17" t="n"/>
      <c r="T365" s="120" t="n"/>
      <c r="U365" s="124">
        <f>DADOS_INVOC!$PK$27</f>
        <v/>
      </c>
      <c r="V365" s="17" t="n"/>
      <c r="W365" s="124">
        <f>DADOS_INVOC!$PM$27</f>
        <v/>
      </c>
      <c r="X365" s="16" t="n"/>
      <c r="Y365" s="17" t="n"/>
      <c r="Z365" s="120" t="n"/>
      <c r="AB365" s="124">
        <f>DADOS_INVOC!$PK$103</f>
        <v/>
      </c>
      <c r="AC365" s="17" t="n"/>
      <c r="AD365" s="124">
        <f>DADOS_INVOC!$PM$103</f>
        <v/>
      </c>
      <c r="AE365" s="16" t="n"/>
      <c r="AF365" s="17" t="n"/>
      <c r="AG365" s="120" t="n"/>
      <c r="AH365" s="124">
        <f>DADOS_INVOC!$PK$104</f>
        <v/>
      </c>
      <c r="AI365" s="17" t="n"/>
      <c r="AJ365" s="124">
        <f>DADOS_INVOC!$PM$104</f>
        <v/>
      </c>
      <c r="AK365" s="16" t="n"/>
      <c r="AL365" s="17" t="n"/>
      <c r="AM365" s="120" t="n"/>
      <c r="AN365" s="124">
        <f>DADOS_INVOC!$PK$105</f>
        <v/>
      </c>
      <c r="AO365" s="17" t="n"/>
      <c r="AP365" s="124">
        <f>DADOS_INVOC!$PM$105</f>
        <v/>
      </c>
      <c r="AQ365" s="16" t="n"/>
      <c r="AR365" s="17" t="n"/>
      <c r="AS365" s="120" t="n"/>
    </row>
    <row r="366" hidden="1" outlineLevel="2">
      <c r="A366" s="8" t="n"/>
      <c r="B366" s="14" t="n"/>
      <c r="C366" s="120" t="n"/>
      <c r="D366" s="120" t="n"/>
      <c r="E366" s="120" t="n"/>
      <c r="F366" s="120" t="n"/>
      <c r="G366" s="120" t="n"/>
      <c r="I366" s="129">
        <f>DADOS_INVOC!$PS$25</f>
        <v/>
      </c>
      <c r="J366" s="16" t="n"/>
      <c r="K366" s="16" t="n"/>
      <c r="L366" s="16" t="n"/>
      <c r="M366" s="17" t="n"/>
      <c r="N366" s="120" t="n"/>
      <c r="O366" s="129">
        <f>DADOS_INVOC!$PS$26</f>
        <v/>
      </c>
      <c r="P366" s="16" t="n"/>
      <c r="Q366" s="16" t="n"/>
      <c r="R366" s="16" t="n"/>
      <c r="S366" s="17" t="n"/>
      <c r="T366" s="120" t="n"/>
      <c r="U366" s="129">
        <f>DADOS_INVOC!$PS$27</f>
        <v/>
      </c>
      <c r="V366" s="16" t="n"/>
      <c r="W366" s="16" t="n"/>
      <c r="X366" s="16" t="n"/>
      <c r="Y366" s="17" t="n"/>
      <c r="Z366" s="120" t="n"/>
      <c r="AB366" s="129">
        <f>DADOS_INVOC!$PS$103</f>
        <v/>
      </c>
      <c r="AC366" s="16" t="n"/>
      <c r="AD366" s="16" t="n"/>
      <c r="AE366" s="16" t="n"/>
      <c r="AF366" s="17" t="n"/>
      <c r="AG366" s="120" t="n"/>
      <c r="AH366" s="129">
        <f>DADOS_INVOC!$PS$104</f>
        <v/>
      </c>
      <c r="AI366" s="16" t="n"/>
      <c r="AJ366" s="16" t="n"/>
      <c r="AK366" s="16" t="n"/>
      <c r="AL366" s="17" t="n"/>
      <c r="AM366" s="120" t="n"/>
      <c r="AN366" s="129">
        <f>DADOS_INVOC!$PS$105</f>
        <v/>
      </c>
      <c r="AO366" s="16" t="n"/>
      <c r="AP366" s="16" t="n"/>
      <c r="AQ366" s="16" t="n"/>
      <c r="AR366" s="17" t="n"/>
      <c r="AS366" s="120" t="n"/>
    </row>
    <row r="367" hidden="1" outlineLevel="3">
      <c r="A367" s="8" t="n"/>
      <c r="B367" s="14" t="n"/>
      <c r="C367" s="120" t="n"/>
      <c r="D367" s="120" t="n"/>
      <c r="E367" s="120" t="n"/>
      <c r="F367" s="120" t="n"/>
      <c r="G367" s="120" t="n"/>
      <c r="I367" s="55" t="inlineStr">
        <is>
          <t>MELHORIAS</t>
        </is>
      </c>
      <c r="J367" s="130" t="n"/>
      <c r="K367" s="16" t="n"/>
      <c r="L367" s="17" t="n"/>
      <c r="M367" s="129">
        <f>DADOS_INVOC!$PV$25</f>
        <v/>
      </c>
      <c r="N367" s="120" t="n"/>
      <c r="O367" s="55" t="inlineStr">
        <is>
          <t>MELHORIAS</t>
        </is>
      </c>
      <c r="P367" s="130" t="n"/>
      <c r="Q367" s="16" t="n"/>
      <c r="R367" s="17" t="n"/>
      <c r="S367" s="129">
        <f>DADOS_INVOC!$PV$26</f>
        <v/>
      </c>
      <c r="T367" s="120" t="n"/>
      <c r="U367" s="55" t="inlineStr">
        <is>
          <t>MELHORIAS</t>
        </is>
      </c>
      <c r="V367" s="130" t="n"/>
      <c r="W367" s="16" t="n"/>
      <c r="X367" s="17" t="n"/>
      <c r="Y367" s="129">
        <f>DADOS_INVOC!$PV$27</f>
        <v/>
      </c>
      <c r="Z367" s="120" t="n"/>
      <c r="AB367" s="55" t="inlineStr">
        <is>
          <t>MELHORIAS</t>
        </is>
      </c>
      <c r="AC367" s="130" t="n"/>
      <c r="AD367" s="16" t="n"/>
      <c r="AE367" s="17" t="n"/>
      <c r="AF367" s="129">
        <f>DADOS_INVOC!$PV$103</f>
        <v/>
      </c>
      <c r="AG367" s="120" t="n"/>
      <c r="AH367" s="55" t="inlineStr">
        <is>
          <t>MELHORIAS</t>
        </is>
      </c>
      <c r="AI367" s="130" t="n"/>
      <c r="AJ367" s="16" t="n"/>
      <c r="AK367" s="17" t="n"/>
      <c r="AL367" s="129">
        <f>DADOS_INVOC!$PV$104</f>
        <v/>
      </c>
      <c r="AM367" s="120" t="n"/>
      <c r="AN367" s="55" t="inlineStr">
        <is>
          <t>MELHORIAS</t>
        </is>
      </c>
      <c r="AO367" s="130" t="n"/>
      <c r="AP367" s="16" t="n"/>
      <c r="AQ367" s="17" t="n"/>
      <c r="AR367" s="129">
        <f>DADOS_INVOC!$PV$105</f>
        <v/>
      </c>
      <c r="AS367" s="120" t="n"/>
    </row>
    <row r="368" hidden="1" outlineLevel="3">
      <c r="A368" s="8" t="n"/>
      <c r="B368" s="14" t="n"/>
      <c r="C368" s="120" t="n"/>
      <c r="D368" s="120" t="n"/>
      <c r="E368" s="120" t="n"/>
      <c r="F368" s="120" t="n"/>
      <c r="G368" s="120" t="n"/>
      <c r="I368" s="131" t="n"/>
      <c r="J368" s="130" t="n"/>
      <c r="K368" s="16" t="n"/>
      <c r="L368" s="17" t="n"/>
      <c r="M368" s="129">
        <f>DADOS_INVOC!$PW$25</f>
        <v/>
      </c>
      <c r="N368" s="120" t="n"/>
      <c r="O368" s="131" t="n"/>
      <c r="P368" s="130" t="n"/>
      <c r="Q368" s="16" t="n"/>
      <c r="R368" s="17" t="n"/>
      <c r="S368" s="129">
        <f>DADOS_INVOC!$PW$26</f>
        <v/>
      </c>
      <c r="T368" s="120" t="n"/>
      <c r="U368" s="131" t="n"/>
      <c r="V368" s="130" t="n"/>
      <c r="W368" s="16" t="n"/>
      <c r="X368" s="17" t="n"/>
      <c r="Y368" s="129">
        <f>DADOS_INVOC!$PW$27</f>
        <v/>
      </c>
      <c r="Z368" s="120" t="n"/>
      <c r="AB368" s="131" t="n"/>
      <c r="AC368" s="130" t="n"/>
      <c r="AD368" s="16" t="n"/>
      <c r="AE368" s="17" t="n"/>
      <c r="AF368" s="129">
        <f>DADOS_INVOC!$PW$103</f>
        <v/>
      </c>
      <c r="AG368" s="120" t="n"/>
      <c r="AH368" s="131" t="n"/>
      <c r="AI368" s="130" t="n"/>
      <c r="AJ368" s="16" t="n"/>
      <c r="AK368" s="17" t="n"/>
      <c r="AL368" s="129">
        <f>DADOS_INVOC!$PW$104</f>
        <v/>
      </c>
      <c r="AM368" s="120" t="n"/>
      <c r="AN368" s="131" t="n"/>
      <c r="AO368" s="130" t="n"/>
      <c r="AP368" s="16" t="n"/>
      <c r="AQ368" s="17" t="n"/>
      <c r="AR368" s="129">
        <f>DADOS_INVOC!$PW$105</f>
        <v/>
      </c>
      <c r="AS368" s="120" t="n"/>
    </row>
    <row r="369" hidden="1" outlineLevel="3">
      <c r="A369" s="8" t="n"/>
      <c r="B369" s="14" t="n"/>
      <c r="C369" s="120" t="n"/>
      <c r="D369" s="120" t="n"/>
      <c r="E369" s="120" t="n"/>
      <c r="F369" s="120" t="n"/>
      <c r="G369" s="120" t="n"/>
      <c r="I369" s="131" t="n"/>
      <c r="J369" s="130" t="n"/>
      <c r="K369" s="16" t="n"/>
      <c r="L369" s="17" t="n"/>
      <c r="M369" s="129">
        <f>DADOS_INVOC!$PX$25</f>
        <v/>
      </c>
      <c r="N369" s="120" t="n"/>
      <c r="O369" s="131" t="n"/>
      <c r="P369" s="130" t="n"/>
      <c r="Q369" s="16" t="n"/>
      <c r="R369" s="17" t="n"/>
      <c r="S369" s="129">
        <f>DADOS_INVOC!$PX$26</f>
        <v/>
      </c>
      <c r="T369" s="120" t="n"/>
      <c r="U369" s="131" t="n"/>
      <c r="V369" s="130" t="n"/>
      <c r="W369" s="16" t="n"/>
      <c r="X369" s="17" t="n"/>
      <c r="Y369" s="129">
        <f>DADOS_INVOC!$PX$27</f>
        <v/>
      </c>
      <c r="Z369" s="120" t="n"/>
      <c r="AB369" s="131" t="n"/>
      <c r="AC369" s="130" t="n"/>
      <c r="AD369" s="16" t="n"/>
      <c r="AE369" s="17" t="n"/>
      <c r="AF369" s="129">
        <f>DADOS_INVOC!$PX$103</f>
        <v/>
      </c>
      <c r="AG369" s="120" t="n"/>
      <c r="AH369" s="131" t="n"/>
      <c r="AI369" s="130" t="n"/>
      <c r="AJ369" s="16" t="n"/>
      <c r="AK369" s="17" t="n"/>
      <c r="AL369" s="129">
        <f>DADOS_INVOC!$PX$104</f>
        <v/>
      </c>
      <c r="AM369" s="120" t="n"/>
      <c r="AN369" s="131" t="n"/>
      <c r="AO369" s="130" t="n"/>
      <c r="AP369" s="16" t="n"/>
      <c r="AQ369" s="17" t="n"/>
      <c r="AR369" s="129">
        <f>DADOS_INVOC!$PX$105</f>
        <v/>
      </c>
      <c r="AS369" s="120" t="n"/>
    </row>
    <row r="370" hidden="1" outlineLevel="3">
      <c r="A370" s="8" t="n"/>
      <c r="B370" s="14" t="n"/>
      <c r="C370" s="120" t="n"/>
      <c r="D370" s="120" t="n"/>
      <c r="E370" s="120" t="n"/>
      <c r="F370" s="120" t="n"/>
      <c r="G370" s="120" t="n"/>
      <c r="I370" s="125" t="n"/>
      <c r="J370" s="130" t="n"/>
      <c r="K370" s="16" t="n"/>
      <c r="L370" s="17" t="n"/>
      <c r="M370" s="129">
        <f>DADOS_INVOC!$PY$25</f>
        <v/>
      </c>
      <c r="N370" s="120" t="n"/>
      <c r="O370" s="125" t="n"/>
      <c r="P370" s="130" t="n"/>
      <c r="Q370" s="16" t="n"/>
      <c r="R370" s="17" t="n"/>
      <c r="S370" s="129">
        <f>DADOS_INVOC!$PY$26</f>
        <v/>
      </c>
      <c r="T370" s="120" t="n"/>
      <c r="U370" s="125" t="n"/>
      <c r="V370" s="130" t="n"/>
      <c r="W370" s="16" t="n"/>
      <c r="X370" s="17" t="n"/>
      <c r="Y370" s="129">
        <f>DADOS_INVOC!$PY$27</f>
        <v/>
      </c>
      <c r="Z370" s="120" t="n"/>
      <c r="AB370" s="125" t="n"/>
      <c r="AC370" s="130" t="n"/>
      <c r="AD370" s="16" t="n"/>
      <c r="AE370" s="17" t="n"/>
      <c r="AF370" s="129">
        <f>DADOS_INVOC!$PY$103</f>
        <v/>
      </c>
      <c r="AG370" s="120" t="n"/>
      <c r="AH370" s="125" t="n"/>
      <c r="AI370" s="130" t="n"/>
      <c r="AJ370" s="16" t="n"/>
      <c r="AK370" s="17" t="n"/>
      <c r="AL370" s="129">
        <f>DADOS_INVOC!$PY$104</f>
        <v/>
      </c>
      <c r="AM370" s="120" t="n"/>
      <c r="AN370" s="125" t="n"/>
      <c r="AO370" s="130" t="n"/>
      <c r="AP370" s="16" t="n"/>
      <c r="AQ370" s="17" t="n"/>
      <c r="AR370" s="129">
        <f>DADOS_INVOC!$PY$105</f>
        <v/>
      </c>
      <c r="AS370" s="120" t="n"/>
    </row>
    <row r="371" hidden="1" outlineLevel="3">
      <c r="A371" s="8" t="n"/>
      <c r="B371" s="14" t="n"/>
      <c r="C371" s="120" t="n"/>
      <c r="D371" s="120" t="n"/>
      <c r="E371" s="120" t="n"/>
      <c r="F371" s="120" t="n"/>
      <c r="G371" s="120" t="n"/>
      <c r="I371" s="55" t="inlineStr">
        <is>
          <t>RESTRIÇÕES</t>
        </is>
      </c>
      <c r="J371" s="130" t="n"/>
      <c r="K371" s="16" t="n"/>
      <c r="L371" s="17" t="n"/>
      <c r="M371" s="129">
        <f>DADOS_INVOC!$PZ$25</f>
        <v/>
      </c>
      <c r="N371" s="120" t="n"/>
      <c r="O371" s="55" t="inlineStr">
        <is>
          <t>RESTRIÇÕES</t>
        </is>
      </c>
      <c r="P371" s="130" t="n"/>
      <c r="Q371" s="16" t="n"/>
      <c r="R371" s="17" t="n"/>
      <c r="S371" s="129">
        <f>DADOS_INVOC!$PZ$26</f>
        <v/>
      </c>
      <c r="T371" s="120" t="n"/>
      <c r="U371" s="55" t="inlineStr">
        <is>
          <t>RESTRIÇÕES</t>
        </is>
      </c>
      <c r="V371" s="130" t="n"/>
      <c r="W371" s="16" t="n"/>
      <c r="X371" s="17" t="n"/>
      <c r="Y371" s="129">
        <f>DADOS_INVOC!$PZ$27</f>
        <v/>
      </c>
      <c r="Z371" s="120" t="n"/>
      <c r="AB371" s="55" t="inlineStr">
        <is>
          <t>RESTRIÇÕES</t>
        </is>
      </c>
      <c r="AC371" s="130" t="n"/>
      <c r="AD371" s="16" t="n"/>
      <c r="AE371" s="17" t="n"/>
      <c r="AF371" s="129">
        <f>DADOS_INVOC!$PZ$103</f>
        <v/>
      </c>
      <c r="AG371" s="120" t="n"/>
      <c r="AH371" s="55" t="inlineStr">
        <is>
          <t>RESTRIÇÕES</t>
        </is>
      </c>
      <c r="AI371" s="130" t="n"/>
      <c r="AJ371" s="16" t="n"/>
      <c r="AK371" s="17" t="n"/>
      <c r="AL371" s="129">
        <f>DADOS_INVOC!$PZ$104</f>
        <v/>
      </c>
      <c r="AM371" s="120" t="n"/>
      <c r="AN371" s="55" t="inlineStr">
        <is>
          <t>RESTRIÇÕES</t>
        </is>
      </c>
      <c r="AO371" s="130" t="n"/>
      <c r="AP371" s="16" t="n"/>
      <c r="AQ371" s="17" t="n"/>
      <c r="AR371" s="129">
        <f>DADOS_INVOC!$PZ$105</f>
        <v/>
      </c>
      <c r="AS371" s="120" t="n"/>
    </row>
    <row r="372" hidden="1" outlineLevel="3">
      <c r="A372" s="8" t="n"/>
      <c r="B372" s="14" t="n"/>
      <c r="C372" s="120" t="n"/>
      <c r="D372" s="120" t="n"/>
      <c r="E372" s="120" t="n"/>
      <c r="F372" s="120" t="n"/>
      <c r="G372" s="120" t="n"/>
      <c r="I372" s="125" t="n"/>
      <c r="J372" s="130" t="n"/>
      <c r="K372" s="16" t="n"/>
      <c r="L372" s="17" t="n"/>
      <c r="M372" s="129">
        <f>DADOS_INVOC!$QA$25</f>
        <v/>
      </c>
      <c r="N372" s="120" t="n"/>
      <c r="O372" s="125" t="n"/>
      <c r="P372" s="130" t="n"/>
      <c r="Q372" s="16" t="n"/>
      <c r="R372" s="17" t="n"/>
      <c r="S372" s="129">
        <f>DADOS_INVOC!$QA$26</f>
        <v/>
      </c>
      <c r="T372" s="120" t="n"/>
      <c r="U372" s="125" t="n"/>
      <c r="V372" s="130" t="n"/>
      <c r="W372" s="16" t="n"/>
      <c r="X372" s="17" t="n"/>
      <c r="Y372" s="129">
        <f>DADOS_INVOC!$QA$27</f>
        <v/>
      </c>
      <c r="Z372" s="120" t="n"/>
      <c r="AB372" s="125" t="n"/>
      <c r="AC372" s="130" t="n"/>
      <c r="AD372" s="16" t="n"/>
      <c r="AE372" s="17" t="n"/>
      <c r="AF372" s="129">
        <f>DADOS_INVOC!$QA$103</f>
        <v/>
      </c>
      <c r="AG372" s="120" t="n"/>
      <c r="AH372" s="125" t="n"/>
      <c r="AI372" s="130" t="n"/>
      <c r="AJ372" s="16" t="n"/>
      <c r="AK372" s="17" t="n"/>
      <c r="AL372" s="129">
        <f>DADOS_INVOC!$QA$104</f>
        <v/>
      </c>
      <c r="AM372" s="120" t="n"/>
      <c r="AN372" s="125" t="n"/>
      <c r="AO372" s="130" t="n"/>
      <c r="AP372" s="16" t="n"/>
      <c r="AQ372" s="17" t="n"/>
      <c r="AR372" s="129">
        <f>DADOS_INVOC!$QA$105</f>
        <v/>
      </c>
      <c r="AS372" s="120" t="n"/>
    </row>
    <row r="373" hidden="1" outlineLevel="3">
      <c r="A373" s="8" t="n"/>
      <c r="B373" s="14" t="n"/>
      <c r="C373" s="120" t="n"/>
      <c r="D373" s="120" t="n"/>
      <c r="E373" s="120" t="n"/>
      <c r="F373" s="120" t="n"/>
      <c r="G373" s="120" t="n"/>
      <c r="I373" s="55" t="inlineStr">
        <is>
          <t>CONTA</t>
        </is>
      </c>
      <c r="J373" s="132">
        <f>DADOS_INVOC!$PT$25</f>
        <v/>
      </c>
      <c r="K373" s="16" t="n"/>
      <c r="L373" s="16" t="n"/>
      <c r="M373" s="17" t="n"/>
      <c r="N373" s="120" t="n"/>
      <c r="O373" s="55" t="inlineStr">
        <is>
          <t>CONTA</t>
        </is>
      </c>
      <c r="P373" s="132">
        <f>DADOS_INVOC!$PT$26</f>
        <v/>
      </c>
      <c r="Q373" s="16" t="n"/>
      <c r="R373" s="16" t="n"/>
      <c r="S373" s="17" t="n"/>
      <c r="T373" s="120" t="n"/>
      <c r="U373" s="55" t="inlineStr">
        <is>
          <t>CONTA</t>
        </is>
      </c>
      <c r="V373" s="132">
        <f>DADOS_INVOC!$PT$27</f>
        <v/>
      </c>
      <c r="W373" s="16" t="n"/>
      <c r="X373" s="16" t="n"/>
      <c r="Y373" s="17" t="n"/>
      <c r="Z373" s="120" t="n"/>
      <c r="AB373" s="55" t="inlineStr">
        <is>
          <t>CONTA</t>
        </is>
      </c>
      <c r="AC373" s="132">
        <f>DADOS_INVOC!$PT$103</f>
        <v/>
      </c>
      <c r="AD373" s="16" t="n"/>
      <c r="AE373" s="16" t="n"/>
      <c r="AF373" s="17" t="n"/>
      <c r="AG373" s="120" t="n"/>
      <c r="AH373" s="55" t="inlineStr">
        <is>
          <t>CONTA</t>
        </is>
      </c>
      <c r="AI373" s="132">
        <f>DADOS_INVOC!$PT$104</f>
        <v/>
      </c>
      <c r="AJ373" s="16" t="n"/>
      <c r="AK373" s="16" t="n"/>
      <c r="AL373" s="17" t="n"/>
      <c r="AM373" s="120" t="n"/>
      <c r="AN373" s="55" t="inlineStr">
        <is>
          <t>CONTA</t>
        </is>
      </c>
      <c r="AO373" s="132">
        <f>DADOS_INVOC!$PT$105</f>
        <v/>
      </c>
      <c r="AP373" s="16" t="n"/>
      <c r="AQ373" s="16" t="n"/>
      <c r="AR373" s="17" t="n"/>
      <c r="AS373" s="120" t="n"/>
    </row>
    <row r="374" hidden="1" outlineLevel="3">
      <c r="A374" s="8" t="n"/>
      <c r="B374" s="14" t="n"/>
      <c r="C374" s="120" t="n"/>
      <c r="D374" s="120" t="n"/>
      <c r="E374" s="120" t="n"/>
      <c r="F374" s="120" t="n"/>
      <c r="G374" s="120" t="n"/>
      <c r="I374" s="55" t="inlineStr">
        <is>
          <t>AMPLIAR</t>
        </is>
      </c>
      <c r="J374" s="132">
        <f>DADOS_INVOC!$PU$25</f>
        <v/>
      </c>
      <c r="K374" s="19" t="n"/>
      <c r="L374" s="19" t="n"/>
      <c r="M374" s="20" t="n"/>
      <c r="N374" s="120" t="n"/>
      <c r="O374" s="55" t="inlineStr">
        <is>
          <t>AMPLIAR</t>
        </is>
      </c>
      <c r="P374" s="132">
        <f>DADOS_INVOC!$PU$26</f>
        <v/>
      </c>
      <c r="Q374" s="19" t="n"/>
      <c r="R374" s="19" t="n"/>
      <c r="S374" s="20" t="n"/>
      <c r="T374" s="120" t="n"/>
      <c r="U374" s="55" t="inlineStr">
        <is>
          <t>AMPLIAR</t>
        </is>
      </c>
      <c r="V374" s="132">
        <f>DADOS_INVOC!$PU$27</f>
        <v/>
      </c>
      <c r="W374" s="19" t="n"/>
      <c r="X374" s="19" t="n"/>
      <c r="Y374" s="20" t="n"/>
      <c r="Z374" s="120" t="n"/>
      <c r="AB374" s="55" t="inlineStr">
        <is>
          <t>AMPLIAR</t>
        </is>
      </c>
      <c r="AC374" s="132">
        <f>DADOS_INVOC!$PU$103</f>
        <v/>
      </c>
      <c r="AD374" s="19" t="n"/>
      <c r="AE374" s="19" t="n"/>
      <c r="AF374" s="20" t="n"/>
      <c r="AG374" s="120" t="n"/>
      <c r="AH374" s="55" t="inlineStr">
        <is>
          <t>AMPLIAR</t>
        </is>
      </c>
      <c r="AI374" s="132">
        <f>DADOS_INVOC!$PU$104</f>
        <v/>
      </c>
      <c r="AJ374" s="19" t="n"/>
      <c r="AK374" s="19" t="n"/>
      <c r="AL374" s="20" t="n"/>
      <c r="AM374" s="120" t="n"/>
      <c r="AN374" s="55" t="inlineStr">
        <is>
          <t>AMPLIAR</t>
        </is>
      </c>
      <c r="AO374" s="132">
        <f>DADOS_INVOC!$PU$105</f>
        <v/>
      </c>
      <c r="AP374" s="19" t="n"/>
      <c r="AQ374" s="19" t="n"/>
      <c r="AR374" s="20" t="n"/>
      <c r="AS374" s="120" t="n"/>
    </row>
    <row r="375" hidden="1" outlineLevel="3">
      <c r="A375" s="8" t="n"/>
      <c r="B375" s="14" t="n"/>
      <c r="C375" s="120" t="n"/>
      <c r="D375" s="120" t="n"/>
      <c r="E375" s="120" t="n"/>
      <c r="F375" s="120" t="n"/>
      <c r="G375" s="120" t="n"/>
      <c r="I375" s="125" t="n"/>
      <c r="J375" s="23" t="n"/>
      <c r="K375" s="24" t="n"/>
      <c r="L375" s="24" t="n"/>
      <c r="M375" s="25" t="n"/>
      <c r="N375" s="120" t="n"/>
      <c r="O375" s="125" t="n"/>
      <c r="P375" s="23" t="n"/>
      <c r="Q375" s="24" t="n"/>
      <c r="R375" s="24" t="n"/>
      <c r="S375" s="25" t="n"/>
      <c r="T375" s="120" t="n"/>
      <c r="U375" s="125" t="n"/>
      <c r="V375" s="23" t="n"/>
      <c r="W375" s="24" t="n"/>
      <c r="X375" s="24" t="n"/>
      <c r="Y375" s="25" t="n"/>
      <c r="Z375" s="120" t="n"/>
      <c r="AB375" s="125" t="n"/>
      <c r="AC375" s="23" t="n"/>
      <c r="AD375" s="24" t="n"/>
      <c r="AE375" s="24" t="n"/>
      <c r="AF375" s="25" t="n"/>
      <c r="AG375" s="120" t="n"/>
      <c r="AH375" s="125" t="n"/>
      <c r="AI375" s="23" t="n"/>
      <c r="AJ375" s="24" t="n"/>
      <c r="AK375" s="24" t="n"/>
      <c r="AL375" s="25" t="n"/>
      <c r="AM375" s="120" t="n"/>
      <c r="AN375" s="125" t="n"/>
      <c r="AO375" s="23" t="n"/>
      <c r="AP375" s="24" t="n"/>
      <c r="AQ375" s="24" t="n"/>
      <c r="AR375" s="25" t="n"/>
      <c r="AS375" s="120" t="n"/>
    </row>
    <row r="376" hidden="1" outlineLevel="3">
      <c r="A376" s="8" t="n"/>
      <c r="B376" s="14" t="n"/>
      <c r="C376" s="120" t="n"/>
      <c r="D376" s="120" t="n"/>
      <c r="E376" s="120" t="n"/>
      <c r="F376" s="120" t="n"/>
      <c r="G376" s="120" t="n"/>
      <c r="I376" s="132">
        <f>DADOS_INVOC!$PH$25</f>
        <v/>
      </c>
      <c r="J376" s="19" t="n"/>
      <c r="K376" s="19" t="n"/>
      <c r="L376" s="19" t="n"/>
      <c r="M376" s="20" t="n"/>
      <c r="N376" s="120" t="n"/>
      <c r="O376" s="132">
        <f>DADOS_INVOC!$PH$26</f>
        <v/>
      </c>
      <c r="P376" s="19" t="n"/>
      <c r="Q376" s="19" t="n"/>
      <c r="R376" s="19" t="n"/>
      <c r="S376" s="20" t="n"/>
      <c r="T376" s="120" t="n"/>
      <c r="U376" s="132">
        <f>DADOS_INVOC!$PH$27</f>
        <v/>
      </c>
      <c r="V376" s="19" t="n"/>
      <c r="W376" s="19" t="n"/>
      <c r="X376" s="19" t="n"/>
      <c r="Y376" s="20" t="n"/>
      <c r="Z376" s="120" t="n"/>
      <c r="AB376" s="132">
        <f>DADOS_INVOC!$PH$103</f>
        <v/>
      </c>
      <c r="AC376" s="19" t="n"/>
      <c r="AD376" s="19" t="n"/>
      <c r="AE376" s="19" t="n"/>
      <c r="AF376" s="20" t="n"/>
      <c r="AG376" s="120" t="n"/>
      <c r="AH376" s="132">
        <f>DADOS_INVOC!$PH$104</f>
        <v/>
      </c>
      <c r="AI376" s="19" t="n"/>
      <c r="AJ376" s="19" t="n"/>
      <c r="AK376" s="19" t="n"/>
      <c r="AL376" s="20" t="n"/>
      <c r="AM376" s="120" t="n"/>
      <c r="AN376" s="132">
        <f>DADOS_INVOC!$PH$105</f>
        <v/>
      </c>
      <c r="AO376" s="19" t="n"/>
      <c r="AP376" s="19" t="n"/>
      <c r="AQ376" s="19" t="n"/>
      <c r="AR376" s="20" t="n"/>
      <c r="AS376" s="120" t="n"/>
    </row>
    <row r="377" hidden="1" outlineLevel="3">
      <c r="A377" s="8" t="n"/>
      <c r="B377" s="14" t="n"/>
      <c r="C377" s="120" t="n"/>
      <c r="D377" s="120" t="n"/>
      <c r="E377" s="120" t="n"/>
      <c r="F377" s="120" t="n"/>
      <c r="G377" s="120" t="n"/>
      <c r="I377" s="23" t="n"/>
      <c r="J377" s="24" t="n"/>
      <c r="K377" s="24" t="n"/>
      <c r="L377" s="24" t="n"/>
      <c r="M377" s="25" t="n"/>
      <c r="N377" s="120" t="n"/>
      <c r="O377" s="23" t="n"/>
      <c r="P377" s="24" t="n"/>
      <c r="Q377" s="24" t="n"/>
      <c r="R377" s="24" t="n"/>
      <c r="S377" s="25" t="n"/>
      <c r="T377" s="120" t="n"/>
      <c r="U377" s="23" t="n"/>
      <c r="V377" s="24" t="n"/>
      <c r="W377" s="24" t="n"/>
      <c r="X377" s="24" t="n"/>
      <c r="Y377" s="25" t="n"/>
      <c r="Z377" s="120" t="n"/>
      <c r="AB377" s="23" t="n"/>
      <c r="AC377" s="24" t="n"/>
      <c r="AD377" s="24" t="n"/>
      <c r="AE377" s="24" t="n"/>
      <c r="AF377" s="25" t="n"/>
      <c r="AG377" s="120" t="n"/>
      <c r="AH377" s="23" t="n"/>
      <c r="AI377" s="24" t="n"/>
      <c r="AJ377" s="24" t="n"/>
      <c r="AK377" s="24" t="n"/>
      <c r="AL377" s="25" t="n"/>
      <c r="AM377" s="120" t="n"/>
      <c r="AN377" s="23" t="n"/>
      <c r="AO377" s="24" t="n"/>
      <c r="AP377" s="24" t="n"/>
      <c r="AQ377" s="24" t="n"/>
      <c r="AR377" s="25" t="n"/>
      <c r="AS377" s="120" t="n"/>
    </row>
    <row r="378" hidden="1" outlineLevel="2">
      <c r="A378" s="8" t="n"/>
      <c r="B378" s="14" t="n"/>
      <c r="C378" s="120" t="n"/>
      <c r="D378" s="120" t="n"/>
      <c r="E378" s="120" t="n"/>
      <c r="F378" s="120" t="n"/>
      <c r="G378" s="120" t="n"/>
      <c r="I378" s="120" t="n"/>
      <c r="J378" s="120" t="n"/>
      <c r="K378" s="120" t="n"/>
      <c r="L378" s="120" t="n"/>
      <c r="M378" s="120" t="n"/>
      <c r="N378" s="120" t="n"/>
      <c r="O378" s="120" t="n"/>
      <c r="P378" s="120" t="n"/>
      <c r="Q378" s="120" t="n"/>
      <c r="R378" s="120" t="n"/>
      <c r="S378" s="120" t="n"/>
      <c r="T378" s="120" t="n"/>
      <c r="U378" s="120" t="n"/>
      <c r="V378" s="120" t="n"/>
      <c r="W378" s="120" t="n"/>
      <c r="X378" s="120" t="n"/>
      <c r="Y378" s="120" t="n"/>
      <c r="Z378" s="120" t="n"/>
      <c r="AB378" s="120" t="n"/>
      <c r="AC378" s="120" t="n"/>
      <c r="AD378" s="120" t="n"/>
      <c r="AE378" s="120" t="n"/>
      <c r="AF378" s="120" t="n"/>
      <c r="AG378" s="120" t="n"/>
      <c r="AH378" s="120" t="n"/>
      <c r="AI378" s="120" t="n"/>
      <c r="AJ378" s="120" t="n"/>
      <c r="AK378" s="120" t="n"/>
      <c r="AL378" s="120" t="n"/>
      <c r="AM378" s="120" t="n"/>
      <c r="AN378" s="120" t="n"/>
      <c r="AO378" s="120" t="n"/>
      <c r="AP378" s="120" t="n"/>
      <c r="AQ378" s="120" t="n"/>
      <c r="AR378" s="120" t="n"/>
      <c r="AS378" s="120" t="n"/>
    </row>
    <row r="379" hidden="1" outlineLevel="2">
      <c r="A379" s="8" t="n"/>
      <c r="B379" s="14" t="n"/>
      <c r="C379" s="120" t="n"/>
      <c r="D379" s="120" t="n"/>
      <c r="E379" s="120" t="n"/>
      <c r="F379" s="120" t="n"/>
      <c r="G379" s="120"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0"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0" t="n"/>
    </row>
    <row r="380" hidden="1" outlineLevel="2">
      <c r="A380" s="8" t="n"/>
      <c r="B380" s="14" t="n"/>
      <c r="C380" s="120" t="n"/>
      <c r="D380" s="120" t="n"/>
      <c r="E380" s="120" t="n"/>
      <c r="F380" s="120" t="n"/>
      <c r="G380" s="120" t="n"/>
      <c r="I380" s="55" t="inlineStr">
        <is>
          <t>TRILHA · CE 1</t>
        </is>
      </c>
      <c r="J380" s="130" t="n"/>
      <c r="K380" s="16" t="n"/>
      <c r="L380" s="17" t="n"/>
      <c r="M380" s="137">
        <f>DADOS_INVOC!$II$3</f>
        <v/>
      </c>
      <c r="N380" s="16" t="n"/>
      <c r="O380" s="16" t="n"/>
      <c r="P380" s="16" t="n"/>
      <c r="Q380" s="16" t="n"/>
      <c r="R380" s="16" t="n"/>
      <c r="S380" s="16" t="n"/>
      <c r="T380" s="16" t="n"/>
      <c r="U380" s="16" t="n"/>
      <c r="V380" s="16" t="n"/>
      <c r="W380" s="16" t="n"/>
      <c r="X380" s="16" t="n"/>
      <c r="Y380" s="17" t="n"/>
      <c r="Z380" s="120" t="n"/>
      <c r="AB380" s="55" t="inlineStr">
        <is>
          <t>TRILHA · CE 1</t>
        </is>
      </c>
      <c r="AC380" s="130" t="n"/>
      <c r="AD380" s="16" t="n"/>
      <c r="AE380" s="17" t="n"/>
      <c r="AF380" s="137">
        <f>DADOS_INVOC!$II$9</f>
        <v/>
      </c>
      <c r="AG380" s="16" t="n"/>
      <c r="AH380" s="16" t="n"/>
      <c r="AI380" s="16" t="n"/>
      <c r="AJ380" s="16" t="n"/>
      <c r="AK380" s="16" t="n"/>
      <c r="AL380" s="16" t="n"/>
      <c r="AM380" s="16" t="n"/>
      <c r="AN380" s="16" t="n"/>
      <c r="AO380" s="16" t="n"/>
      <c r="AP380" s="16" t="n"/>
      <c r="AQ380" s="16" t="n"/>
      <c r="AR380" s="17" t="n"/>
      <c r="AS380" s="120" t="n"/>
    </row>
    <row r="381" hidden="1" outlineLevel="2">
      <c r="A381" s="8" t="n"/>
      <c r="B381" s="14" t="n"/>
      <c r="C381" s="120" t="n"/>
      <c r="D381" s="120" t="n"/>
      <c r="E381" s="120" t="n"/>
      <c r="F381" s="120" t="n"/>
      <c r="G381" s="120" t="n"/>
      <c r="I381" s="55" t="inlineStr">
        <is>
          <t>TRILHA · CE 1</t>
        </is>
      </c>
      <c r="J381" s="130" t="n"/>
      <c r="K381" s="16" t="n"/>
      <c r="L381" s="17" t="n"/>
      <c r="M381" s="137">
        <f>DADOS_INVOC!$IJ$3</f>
        <v/>
      </c>
      <c r="N381" s="16" t="n"/>
      <c r="O381" s="16" t="n"/>
      <c r="P381" s="16" t="n"/>
      <c r="Q381" s="16" t="n"/>
      <c r="R381" s="16" t="n"/>
      <c r="S381" s="16" t="n"/>
      <c r="T381" s="16" t="n"/>
      <c r="U381" s="16" t="n"/>
      <c r="V381" s="16" t="n"/>
      <c r="W381" s="16" t="n"/>
      <c r="X381" s="16" t="n"/>
      <c r="Y381" s="17" t="n"/>
      <c r="Z381" s="120" t="n"/>
      <c r="AB381" s="55" t="inlineStr">
        <is>
          <t>TRILHA · CE 1</t>
        </is>
      </c>
      <c r="AC381" s="130" t="n"/>
      <c r="AD381" s="16" t="n"/>
      <c r="AE381" s="17" t="n"/>
      <c r="AF381" s="137">
        <f>DADOS_INVOC!$IJ$9</f>
        <v/>
      </c>
      <c r="AG381" s="16" t="n"/>
      <c r="AH381" s="16" t="n"/>
      <c r="AI381" s="16" t="n"/>
      <c r="AJ381" s="16" t="n"/>
      <c r="AK381" s="16" t="n"/>
      <c r="AL381" s="16" t="n"/>
      <c r="AM381" s="16" t="n"/>
      <c r="AN381" s="16" t="n"/>
      <c r="AO381" s="16" t="n"/>
      <c r="AP381" s="16" t="n"/>
      <c r="AQ381" s="16" t="n"/>
      <c r="AR381" s="17" t="n"/>
      <c r="AS381" s="120" t="n"/>
    </row>
    <row r="382" hidden="1" outlineLevel="2">
      <c r="A382" s="8" t="n"/>
      <c r="B382" s="14" t="n"/>
      <c r="C382" s="120" t="n"/>
      <c r="D382" s="120" t="n"/>
      <c r="E382" s="120" t="n"/>
      <c r="F382" s="120" t="n"/>
      <c r="G382" s="120" t="n"/>
      <c r="I382" s="55" t="inlineStr">
        <is>
          <t>TRILHA · CE 1</t>
        </is>
      </c>
      <c r="J382" s="130" t="n"/>
      <c r="K382" s="16" t="n"/>
      <c r="L382" s="17" t="n"/>
      <c r="M382" s="137">
        <f>DADOS_INVOC!$IK$3</f>
        <v/>
      </c>
      <c r="N382" s="16" t="n"/>
      <c r="O382" s="16" t="n"/>
      <c r="P382" s="16" t="n"/>
      <c r="Q382" s="16" t="n"/>
      <c r="R382" s="16" t="n"/>
      <c r="S382" s="16" t="n"/>
      <c r="T382" s="16" t="n"/>
      <c r="U382" s="16" t="n"/>
      <c r="V382" s="16" t="n"/>
      <c r="W382" s="16" t="n"/>
      <c r="X382" s="16" t="n"/>
      <c r="Y382" s="17" t="n"/>
      <c r="Z382" s="120" t="n"/>
      <c r="AB382" s="55" t="inlineStr">
        <is>
          <t>TRILHA · CE 1</t>
        </is>
      </c>
      <c r="AC382" s="130" t="n"/>
      <c r="AD382" s="16" t="n"/>
      <c r="AE382" s="17" t="n"/>
      <c r="AF382" s="137">
        <f>DADOS_INVOC!$IK$9</f>
        <v/>
      </c>
      <c r="AG382" s="16" t="n"/>
      <c r="AH382" s="16" t="n"/>
      <c r="AI382" s="16" t="n"/>
      <c r="AJ382" s="16" t="n"/>
      <c r="AK382" s="16" t="n"/>
      <c r="AL382" s="16" t="n"/>
      <c r="AM382" s="16" t="n"/>
      <c r="AN382" s="16" t="n"/>
      <c r="AO382" s="16" t="n"/>
      <c r="AP382" s="16" t="n"/>
      <c r="AQ382" s="16" t="n"/>
      <c r="AR382" s="17" t="n"/>
      <c r="AS382" s="120" t="n"/>
    </row>
    <row r="383" hidden="1" outlineLevel="1">
      <c r="A383" s="8" t="n"/>
      <c r="B383" s="14" t="n"/>
      <c r="C383" s="120" t="n"/>
      <c r="D383" s="120" t="n"/>
      <c r="E383" s="120" t="n"/>
      <c r="F383" s="120" t="n"/>
      <c r="G383" s="120" t="n"/>
      <c r="I383" s="120" t="n"/>
      <c r="J383" s="120" t="n"/>
      <c r="K383" s="120" t="n"/>
      <c r="L383" s="120" t="n"/>
      <c r="M383" s="120" t="n"/>
      <c r="N383" s="120" t="n"/>
      <c r="O383" s="120" t="n"/>
      <c r="P383" s="120" t="n"/>
      <c r="Q383" s="120" t="n"/>
      <c r="R383" s="120" t="n"/>
      <c r="S383" s="120" t="n"/>
      <c r="T383" s="120" t="n"/>
      <c r="U383" s="120" t="n"/>
      <c r="V383" s="120" t="n"/>
      <c r="W383" s="120" t="n"/>
      <c r="X383" s="120" t="n"/>
      <c r="Y383" s="120" t="n"/>
      <c r="Z383" s="120" t="n"/>
      <c r="AB383" s="120" t="n"/>
      <c r="AC383" s="120" t="n"/>
      <c r="AD383" s="120" t="n"/>
      <c r="AE383" s="120" t="n"/>
      <c r="AF383" s="120" t="n"/>
      <c r="AG383" s="120" t="n"/>
      <c r="AH383" s="120" t="n"/>
      <c r="AI383" s="120" t="n"/>
      <c r="AJ383" s="120" t="n"/>
      <c r="AK383" s="120" t="n"/>
      <c r="AL383" s="120" t="n"/>
      <c r="AM383" s="120" t="n"/>
      <c r="AN383" s="120" t="n"/>
      <c r="AO383" s="120" t="n"/>
      <c r="AP383" s="120" t="n"/>
      <c r="AQ383" s="120" t="n"/>
      <c r="AR383" s="120" t="n"/>
      <c r="AS383" s="120" t="n"/>
    </row>
    <row r="384" hidden="1" outlineLevel="1">
      <c r="A384" s="8" t="n"/>
      <c r="B384" s="14" t="n"/>
      <c r="C384" s="120" t="n"/>
      <c r="D384" s="120" t="n"/>
      <c r="E384" s="120" t="n"/>
      <c r="F384" s="120" t="n"/>
      <c r="G384" s="120" t="n"/>
      <c r="I384" s="13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0" t="n"/>
      <c r="AB384" s="13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0" t="n"/>
    </row>
    <row r="385" hidden="1" outlineLevel="2">
      <c r="A385" s="8" t="n"/>
      <c r="B385" s="14" t="n"/>
      <c r="C385" s="120" t="n"/>
      <c r="D385" s="120" t="n"/>
      <c r="E385" s="120" t="n"/>
      <c r="F385" s="120" t="n"/>
      <c r="G385" s="120" t="n"/>
      <c r="I385" s="120" t="n"/>
      <c r="J385" s="120" t="n"/>
      <c r="K385" s="120" t="n"/>
      <c r="L385" s="120" t="n"/>
      <c r="M385" s="120" t="n"/>
      <c r="N385" s="120" t="n"/>
      <c r="O385" s="120" t="n"/>
      <c r="P385" s="120" t="n"/>
      <c r="Q385" s="120" t="n"/>
      <c r="R385" s="120" t="n"/>
      <c r="S385" s="120" t="n"/>
      <c r="T385" s="120" t="n"/>
      <c r="U385" s="120" t="n"/>
      <c r="V385" s="120" t="n"/>
      <c r="W385" s="120" t="n"/>
      <c r="X385" s="120" t="n"/>
      <c r="Y385" s="120" t="n"/>
      <c r="Z385" s="120" t="n"/>
      <c r="AB385" s="120" t="n"/>
      <c r="AC385" s="120" t="n"/>
      <c r="AD385" s="120" t="n"/>
      <c r="AE385" s="120" t="n"/>
      <c r="AF385" s="120" t="n"/>
      <c r="AG385" s="120" t="n"/>
      <c r="AH385" s="120" t="n"/>
      <c r="AI385" s="120" t="n"/>
      <c r="AJ385" s="120" t="n"/>
      <c r="AK385" s="120" t="n"/>
      <c r="AL385" s="120" t="n"/>
      <c r="AM385" s="120" t="n"/>
      <c r="AN385" s="120" t="n"/>
      <c r="AO385" s="120" t="n"/>
      <c r="AP385" s="120" t="n"/>
      <c r="AQ385" s="120" t="n"/>
      <c r="AR385" s="120" t="n"/>
      <c r="AS385" s="120" t="n"/>
    </row>
    <row r="386" hidden="1" outlineLevel="2">
      <c r="A386" s="8" t="n"/>
      <c r="B386" s="14" t="n"/>
      <c r="C386" s="120" t="n"/>
      <c r="D386" s="120" t="n"/>
      <c r="E386" s="120" t="n"/>
      <c r="F386" s="120" t="n"/>
      <c r="G386" s="120" t="n"/>
      <c r="I386" s="55" t="inlineStr">
        <is>
          <t>LIBERAÇÃO MÁXIMA 1</t>
        </is>
      </c>
      <c r="J386" s="16" t="n"/>
      <c r="K386" s="16" t="n"/>
      <c r="L386" s="16" t="n"/>
      <c r="M386" s="17" t="n"/>
      <c r="N386" s="120" t="n"/>
      <c r="O386" s="55" t="inlineStr">
        <is>
          <t>LIBERAÇÃO MÁXIMA 2</t>
        </is>
      </c>
      <c r="P386" s="16" t="n"/>
      <c r="Q386" s="16" t="n"/>
      <c r="R386" s="16" t="n"/>
      <c r="S386" s="17" t="n"/>
      <c r="T386" s="120" t="n"/>
      <c r="U386" s="55" t="inlineStr">
        <is>
          <t>LIBERAÇÃO MÁXIMA 3</t>
        </is>
      </c>
      <c r="V386" s="16" t="n"/>
      <c r="W386" s="16" t="n"/>
      <c r="X386" s="16" t="n"/>
      <c r="Y386" s="17" t="n"/>
      <c r="Z386" s="120" t="n"/>
      <c r="AB386" s="55" t="inlineStr">
        <is>
          <t>LIBERAÇÃO MÁXIMA 1</t>
        </is>
      </c>
      <c r="AC386" s="16" t="n"/>
      <c r="AD386" s="16" t="n"/>
      <c r="AE386" s="16" t="n"/>
      <c r="AF386" s="17" t="n"/>
      <c r="AG386" s="120" t="n"/>
      <c r="AH386" s="55" t="inlineStr">
        <is>
          <t>LIBERAÇÃO MÁXIMA 2</t>
        </is>
      </c>
      <c r="AI386" s="16" t="n"/>
      <c r="AJ386" s="16" t="n"/>
      <c r="AK386" s="16" t="n"/>
      <c r="AL386" s="17" t="n"/>
      <c r="AM386" s="120" t="n"/>
      <c r="AN386" s="55" t="inlineStr">
        <is>
          <t>LIBERAÇÃO MÁXIMA 3</t>
        </is>
      </c>
      <c r="AO386" s="16" t="n"/>
      <c r="AP386" s="16" t="n"/>
      <c r="AQ386" s="16" t="n"/>
      <c r="AR386" s="17" t="n"/>
      <c r="AS386" s="120" t="n"/>
    </row>
    <row r="387" hidden="1" outlineLevel="2">
      <c r="A387" s="8" t="n"/>
      <c r="B387" s="14" t="n"/>
      <c r="C387" s="120" t="n"/>
      <c r="D387" s="120" t="n"/>
      <c r="E387" s="120" t="n"/>
      <c r="F387" s="120" t="n"/>
      <c r="G387" s="120" t="n"/>
      <c r="I387" s="127" t="n">
        <v>3</v>
      </c>
      <c r="J387" s="115" t="n"/>
      <c r="K387" s="16" t="n"/>
      <c r="L387" s="17" t="n"/>
      <c r="M387" s="128">
        <f>DADOS_INVOC!$IL$3</f>
        <v/>
      </c>
      <c r="N387" s="120" t="n"/>
      <c r="O387" s="127" t="n">
        <v>3</v>
      </c>
      <c r="P387" s="115" t="n"/>
      <c r="Q387" s="16" t="n"/>
      <c r="R387" s="17" t="n"/>
      <c r="S387" s="128">
        <f>DADOS_INVOC!$IM$3</f>
        <v/>
      </c>
      <c r="T387" s="120" t="n"/>
      <c r="U387" s="127" t="n">
        <v>3</v>
      </c>
      <c r="V387" s="115" t="n"/>
      <c r="W387" s="16" t="n"/>
      <c r="X387" s="17" t="n"/>
      <c r="Y387" s="128">
        <f>DADOS_INVOC!$IN$3</f>
        <v/>
      </c>
      <c r="Z387" s="120" t="n"/>
      <c r="AB387" s="127" t="n">
        <v>3</v>
      </c>
      <c r="AC387" s="115" t="n"/>
      <c r="AD387" s="16" t="n"/>
      <c r="AE387" s="17" t="n"/>
      <c r="AF387" s="128">
        <f>DADOS_INVOC!$IL$9</f>
        <v/>
      </c>
      <c r="AG387" s="120" t="n"/>
      <c r="AH387" s="127" t="n">
        <v>3</v>
      </c>
      <c r="AI387" s="115" t="n"/>
      <c r="AJ387" s="16" t="n"/>
      <c r="AK387" s="17" t="n"/>
      <c r="AL387" s="128">
        <f>DADOS_INVOC!$IM$9</f>
        <v/>
      </c>
      <c r="AM387" s="120" t="n"/>
      <c r="AN387" s="127" t="n">
        <v>3</v>
      </c>
      <c r="AO387" s="115" t="n"/>
      <c r="AP387" s="16" t="n"/>
      <c r="AQ387" s="17" t="n"/>
      <c r="AR387" s="128">
        <f>DADOS_INVOC!$IN$9</f>
        <v/>
      </c>
      <c r="AS387" s="120" t="n"/>
    </row>
    <row r="388" hidden="1" outlineLevel="2">
      <c r="A388" s="8" t="n"/>
      <c r="B388" s="14" t="n"/>
      <c r="C388" s="120" t="n"/>
      <c r="D388" s="120" t="n"/>
      <c r="E388" s="120" t="n"/>
      <c r="F388" s="120" t="n"/>
      <c r="G388" s="120" t="n"/>
      <c r="I388" s="116" t="n"/>
      <c r="J388" s="19" t="n"/>
      <c r="K388" s="19" t="n"/>
      <c r="L388" s="19" t="n"/>
      <c r="M388" s="20" t="n"/>
      <c r="N388" s="120" t="n"/>
      <c r="O388" s="116" t="n"/>
      <c r="P388" s="19" t="n"/>
      <c r="Q388" s="19" t="n"/>
      <c r="R388" s="19" t="n"/>
      <c r="S388" s="20" t="n"/>
      <c r="T388" s="120" t="n"/>
      <c r="U388" s="116" t="n"/>
      <c r="V388" s="19" t="n"/>
      <c r="W388" s="19" t="n"/>
      <c r="X388" s="19" t="n"/>
      <c r="Y388" s="20" t="n"/>
      <c r="Z388" s="120" t="n"/>
      <c r="AB388" s="116" t="n"/>
      <c r="AC388" s="19" t="n"/>
      <c r="AD388" s="19" t="n"/>
      <c r="AE388" s="19" t="n"/>
      <c r="AF388" s="20" t="n"/>
      <c r="AG388" s="120" t="n"/>
      <c r="AH388" s="116" t="n"/>
      <c r="AI388" s="19" t="n"/>
      <c r="AJ388" s="19" t="n"/>
      <c r="AK388" s="19" t="n"/>
      <c r="AL388" s="20" t="n"/>
      <c r="AM388" s="120" t="n"/>
      <c r="AN388" s="116" t="n"/>
      <c r="AO388" s="19" t="n"/>
      <c r="AP388" s="19" t="n"/>
      <c r="AQ388" s="19" t="n"/>
      <c r="AR388" s="20" t="n"/>
      <c r="AS388" s="120" t="n"/>
    </row>
    <row r="389" hidden="1" outlineLevel="2">
      <c r="A389" s="8" t="n"/>
      <c r="B389" s="14" t="n"/>
      <c r="C389" s="120" t="n"/>
      <c r="D389" s="120" t="n"/>
      <c r="E389" s="120" t="n"/>
      <c r="F389" s="120" t="n"/>
      <c r="G389" s="120" t="n"/>
      <c r="I389" s="21" t="n"/>
      <c r="M389" s="22" t="n"/>
      <c r="N389" s="120" t="n"/>
      <c r="O389" s="21" t="n"/>
      <c r="S389" s="22" t="n"/>
      <c r="T389" s="120" t="n"/>
      <c r="U389" s="21" t="n"/>
      <c r="Y389" s="22" t="n"/>
      <c r="Z389" s="120" t="n"/>
      <c r="AB389" s="21" t="n"/>
      <c r="AF389" s="22" t="n"/>
      <c r="AG389" s="120" t="n"/>
      <c r="AH389" s="21" t="n"/>
      <c r="AL389" s="22" t="n"/>
      <c r="AM389" s="120" t="n"/>
      <c r="AN389" s="21" t="n"/>
      <c r="AR389" s="22" t="n"/>
      <c r="AS389" s="120" t="n"/>
    </row>
    <row r="390" hidden="1" outlineLevel="2">
      <c r="A390" s="8" t="n"/>
      <c r="B390" s="14" t="n"/>
      <c r="C390" s="120" t="n"/>
      <c r="D390" s="120" t="n"/>
      <c r="E390" s="120" t="n"/>
      <c r="F390" s="120" t="n"/>
      <c r="G390" s="120" t="n"/>
      <c r="I390" s="21" t="n"/>
      <c r="M390" s="22" t="n"/>
      <c r="N390" s="120" t="n"/>
      <c r="O390" s="21" t="n"/>
      <c r="S390" s="22" t="n"/>
      <c r="T390" s="120" t="n"/>
      <c r="U390" s="21" t="n"/>
      <c r="Y390" s="22" t="n"/>
      <c r="Z390" s="120" t="n"/>
      <c r="AB390" s="21" t="n"/>
      <c r="AF390" s="22" t="n"/>
      <c r="AG390" s="120" t="n"/>
      <c r="AH390" s="21" t="n"/>
      <c r="AL390" s="22" t="n"/>
      <c r="AM390" s="120" t="n"/>
      <c r="AN390" s="21" t="n"/>
      <c r="AR390" s="22" t="n"/>
      <c r="AS390" s="120" t="n"/>
    </row>
    <row r="391" hidden="1" outlineLevel="2">
      <c r="A391" s="8" t="n"/>
      <c r="B391" s="14" t="n"/>
      <c r="C391" s="120" t="n"/>
      <c r="D391" s="120" t="n"/>
      <c r="E391" s="120" t="n"/>
      <c r="F391" s="120" t="n"/>
      <c r="G391" s="120" t="n"/>
      <c r="I391" s="23" t="n"/>
      <c r="J391" s="24" t="n"/>
      <c r="K391" s="24" t="n"/>
      <c r="L391" s="24" t="n"/>
      <c r="M391" s="25" t="n"/>
      <c r="N391" s="120" t="n"/>
      <c r="O391" s="23" t="n"/>
      <c r="P391" s="24" t="n"/>
      <c r="Q391" s="24" t="n"/>
      <c r="R391" s="24" t="n"/>
      <c r="S391" s="25" t="n"/>
      <c r="T391" s="120" t="n"/>
      <c r="U391" s="23" t="n"/>
      <c r="V391" s="24" t="n"/>
      <c r="W391" s="24" t="n"/>
      <c r="X391" s="24" t="n"/>
      <c r="Y391" s="25" t="n"/>
      <c r="Z391" s="120" t="n"/>
      <c r="AB391" s="23" t="n"/>
      <c r="AC391" s="24" t="n"/>
      <c r="AD391" s="24" t="n"/>
      <c r="AE391" s="24" t="n"/>
      <c r="AF391" s="25" t="n"/>
      <c r="AG391" s="120" t="n"/>
      <c r="AH391" s="23" t="n"/>
      <c r="AI391" s="24" t="n"/>
      <c r="AJ391" s="24" t="n"/>
      <c r="AK391" s="24" t="n"/>
      <c r="AL391" s="25" t="n"/>
      <c r="AM391" s="120" t="n"/>
      <c r="AN391" s="23" t="n"/>
      <c r="AO391" s="24" t="n"/>
      <c r="AP391" s="24" t="n"/>
      <c r="AQ391" s="24" t="n"/>
      <c r="AR391" s="25" t="n"/>
      <c r="AS391" s="120" t="n"/>
    </row>
    <row r="392" hidden="1" outlineLevel="2">
      <c r="A392" s="8" t="n"/>
      <c r="B392" s="14" t="n"/>
      <c r="C392" s="120" t="n"/>
      <c r="D392" s="120" t="n"/>
      <c r="E392" s="120" t="n"/>
      <c r="F392" s="120" t="n"/>
      <c r="G392" s="120" t="n"/>
      <c r="I392" s="68">
        <f>DADOS_INVOC!$IO$3</f>
        <v/>
      </c>
      <c r="J392" s="16" t="n"/>
      <c r="K392" s="16" t="n"/>
      <c r="L392" s="16" t="n"/>
      <c r="M392" s="17" t="n"/>
      <c r="N392" s="120" t="n"/>
      <c r="O392" s="68">
        <f>DADOS_INVOC!$IP$3</f>
        <v/>
      </c>
      <c r="P392" s="16" t="n"/>
      <c r="Q392" s="16" t="n"/>
      <c r="R392" s="16" t="n"/>
      <c r="S392" s="17" t="n"/>
      <c r="T392" s="120" t="n"/>
      <c r="U392" s="68">
        <f>DADOS_INVOC!$IQ$3</f>
        <v/>
      </c>
      <c r="V392" s="16" t="n"/>
      <c r="W392" s="16" t="n"/>
      <c r="X392" s="16" t="n"/>
      <c r="Y392" s="17" t="n"/>
      <c r="Z392" s="120" t="n"/>
      <c r="AB392" s="68">
        <f>DADOS_INVOC!$IO$9</f>
        <v/>
      </c>
      <c r="AC392" s="16" t="n"/>
      <c r="AD392" s="16" t="n"/>
      <c r="AE392" s="16" t="n"/>
      <c r="AF392" s="17" t="n"/>
      <c r="AG392" s="120" t="n"/>
      <c r="AH392" s="68">
        <f>DADOS_INVOC!$IP$9</f>
        <v/>
      </c>
      <c r="AI392" s="16" t="n"/>
      <c r="AJ392" s="16" t="n"/>
      <c r="AK392" s="16" t="n"/>
      <c r="AL392" s="17" t="n"/>
      <c r="AM392" s="120" t="n"/>
      <c r="AN392" s="68">
        <f>DADOS_INVOC!$IQ$9</f>
        <v/>
      </c>
      <c r="AO392" s="16" t="n"/>
      <c r="AP392" s="16" t="n"/>
      <c r="AQ392" s="16" t="n"/>
      <c r="AR392" s="17" t="n"/>
      <c r="AS392" s="120" t="n"/>
    </row>
    <row r="393" hidden="1" outlineLevel="2">
      <c r="A393" s="8" t="n"/>
      <c r="B393" s="14" t="n"/>
      <c r="C393" s="120" t="n"/>
      <c r="D393" s="120" t="n"/>
      <c r="E393" s="120" t="n"/>
      <c r="F393" s="120" t="n"/>
      <c r="G393" s="120" t="n"/>
      <c r="I393" s="124" t="inlineStr">
        <is>
          <t>Sua Ação Completa + a básica dela</t>
        </is>
      </c>
      <c r="J393" s="16" t="n"/>
      <c r="K393" s="16" t="n"/>
      <c r="L393" s="16" t="n"/>
      <c r="M393" s="17" t="n"/>
      <c r="N393" s="120" t="n"/>
      <c r="O393" s="124" t="inlineStr">
        <is>
          <t>Sua Ação Completa + a básica dela</t>
        </is>
      </c>
      <c r="P393" s="16" t="n"/>
      <c r="Q393" s="16" t="n"/>
      <c r="R393" s="16" t="n"/>
      <c r="S393" s="17" t="n"/>
      <c r="T393" s="120" t="n"/>
      <c r="U393" s="124" t="inlineStr">
        <is>
          <t>Sua Ação Completa + a básica dela</t>
        </is>
      </c>
      <c r="V393" s="16" t="n"/>
      <c r="W393" s="16" t="n"/>
      <c r="X393" s="16" t="n"/>
      <c r="Y393" s="17" t="n"/>
      <c r="Z393" s="120" t="n"/>
      <c r="AB393" s="124" t="inlineStr">
        <is>
          <t>Sua Ação Completa + a básica dela</t>
        </is>
      </c>
      <c r="AC393" s="16" t="n"/>
      <c r="AD393" s="16" t="n"/>
      <c r="AE393" s="16" t="n"/>
      <c r="AF393" s="17" t="n"/>
      <c r="AG393" s="120" t="n"/>
      <c r="AH393" s="124" t="inlineStr">
        <is>
          <t>Sua Ação Completa + a básica dela</t>
        </is>
      </c>
      <c r="AI393" s="16" t="n"/>
      <c r="AJ393" s="16" t="n"/>
      <c r="AK393" s="16" t="n"/>
      <c r="AL393" s="17" t="n"/>
      <c r="AM393" s="120" t="n"/>
      <c r="AN393" s="124" t="inlineStr">
        <is>
          <t>Sua Ação Completa + a básica dela</t>
        </is>
      </c>
      <c r="AO393" s="16" t="n"/>
      <c r="AP393" s="16" t="n"/>
      <c r="AQ393" s="16" t="n"/>
      <c r="AR393" s="17" t="n"/>
      <c r="AS393" s="120" t="n"/>
    </row>
    <row r="394" hidden="1" outlineLevel="2">
      <c r="A394" s="8" t="n"/>
      <c r="B394" s="14" t="n"/>
      <c r="C394" s="120" t="n"/>
      <c r="D394" s="120" t="n"/>
      <c r="E394" s="120" t="n"/>
      <c r="F394" s="120" t="n"/>
      <c r="G394" s="120" t="n"/>
      <c r="I394" s="120" t="n"/>
      <c r="J394" s="120" t="n"/>
      <c r="K394" s="120" t="n"/>
      <c r="L394" s="120" t="n"/>
      <c r="M394" s="120" t="n"/>
      <c r="N394" s="120" t="n"/>
      <c r="O394" s="120" t="n"/>
      <c r="P394" s="120" t="n"/>
      <c r="Q394" s="120" t="n"/>
      <c r="R394" s="120" t="n"/>
      <c r="S394" s="120" t="n"/>
      <c r="T394" s="120" t="n"/>
      <c r="U394" s="120" t="n"/>
      <c r="V394" s="120" t="n"/>
      <c r="W394" s="120" t="n"/>
      <c r="X394" s="120" t="n"/>
      <c r="Y394" s="120" t="n"/>
      <c r="Z394" s="120" t="n"/>
      <c r="AB394" s="120" t="n"/>
      <c r="AC394" s="120" t="n"/>
      <c r="AD394" s="120" t="n"/>
      <c r="AE394" s="120" t="n"/>
      <c r="AF394" s="120" t="n"/>
      <c r="AG394" s="120" t="n"/>
      <c r="AH394" s="120" t="n"/>
      <c r="AI394" s="120" t="n"/>
      <c r="AJ394" s="120" t="n"/>
      <c r="AK394" s="120" t="n"/>
      <c r="AL394" s="120" t="n"/>
      <c r="AM394" s="120" t="n"/>
      <c r="AN394" s="120" t="n"/>
      <c r="AO394" s="120" t="n"/>
      <c r="AP394" s="120" t="n"/>
      <c r="AQ394" s="120" t="n"/>
      <c r="AR394" s="120" t="n"/>
      <c r="AS394" s="120" t="n"/>
    </row>
    <row r="395" hidden="1" outlineLevel="2">
      <c r="A395" s="8" t="n"/>
      <c r="B395" s="14" t="n"/>
      <c r="C395" s="120" t="n"/>
      <c r="D395" s="120" t="n"/>
      <c r="E395" s="120" t="n"/>
      <c r="F395" s="120" t="n"/>
      <c r="G395" s="120" t="n"/>
      <c r="I395" s="55" t="inlineStr">
        <is>
          <t>TÉCNICA MÁXIMA</t>
        </is>
      </c>
      <c r="J395" s="16" t="n"/>
      <c r="K395" s="16" t="n"/>
      <c r="L395" s="16" t="n"/>
      <c r="M395" s="17" t="n"/>
      <c r="N395" s="120" t="n"/>
      <c r="O395" s="55" t="inlineStr">
        <is>
          <t>EXPANSÃO DE DOMÍNIO</t>
        </is>
      </c>
      <c r="P395" s="16" t="n"/>
      <c r="Q395" s="16" t="n"/>
      <c r="R395" s="16" t="n"/>
      <c r="S395" s="17" t="n"/>
      <c r="T395" s="120" t="n"/>
      <c r="U395" s="120" t="n"/>
      <c r="V395" s="120" t="n"/>
      <c r="W395" s="120" t="n"/>
      <c r="X395" s="120" t="n"/>
      <c r="Y395" s="120" t="n"/>
      <c r="Z395" s="120" t="n"/>
      <c r="AB395" s="55" t="inlineStr">
        <is>
          <t>TÉCNICA MÁXIMA</t>
        </is>
      </c>
      <c r="AC395" s="16" t="n"/>
      <c r="AD395" s="16" t="n"/>
      <c r="AE395" s="16" t="n"/>
      <c r="AF395" s="17" t="n"/>
      <c r="AG395" s="120" t="n"/>
      <c r="AH395" s="55" t="inlineStr">
        <is>
          <t>EXPANSÃO DE DOMÍNIO</t>
        </is>
      </c>
      <c r="AI395" s="16" t="n"/>
      <c r="AJ395" s="16" t="n"/>
      <c r="AK395" s="16" t="n"/>
      <c r="AL395" s="17" t="n"/>
      <c r="AM395" s="120" t="n"/>
      <c r="AN395" s="120" t="n"/>
      <c r="AO395" s="120" t="n"/>
      <c r="AP395" s="120" t="n"/>
      <c r="AQ395" s="120" t="n"/>
      <c r="AR395" s="120" t="n"/>
      <c r="AS395" s="120" t="n"/>
    </row>
    <row r="396" hidden="1" outlineLevel="2">
      <c r="A396" s="8" t="n"/>
      <c r="B396" s="14" t="n"/>
      <c r="C396" s="120" t="n"/>
      <c r="D396" s="120" t="n"/>
      <c r="E396" s="120" t="n"/>
      <c r="F396" s="120" t="n"/>
      <c r="G396" s="120" t="n"/>
      <c r="I396" s="115" t="n"/>
      <c r="J396" s="16" t="n"/>
      <c r="K396" s="16" t="n"/>
      <c r="L396" s="17" t="n"/>
      <c r="M396" s="128">
        <f>DADOS_INVOC!$IR$3</f>
        <v/>
      </c>
      <c r="N396" s="120" t="n"/>
      <c r="O396" s="115" t="n"/>
      <c r="P396" s="16" t="n"/>
      <c r="Q396" s="16" t="n"/>
      <c r="R396" s="17" t="n"/>
      <c r="S396" s="128">
        <f>DADOS_INVOC!$IT$3</f>
        <v/>
      </c>
      <c r="T396" s="120" t="n"/>
      <c r="U396" s="120" t="n"/>
      <c r="V396" s="120" t="n"/>
      <c r="W396" s="120" t="n"/>
      <c r="X396" s="120" t="n"/>
      <c r="Y396" s="120" t="n"/>
      <c r="Z396" s="120" t="n"/>
      <c r="AB396" s="115" t="n"/>
      <c r="AC396" s="16" t="n"/>
      <c r="AD396" s="16" t="n"/>
      <c r="AE396" s="17" t="n"/>
      <c r="AF396" s="128">
        <f>DADOS_INVOC!$IR$9</f>
        <v/>
      </c>
      <c r="AG396" s="120" t="n"/>
      <c r="AH396" s="115" t="n"/>
      <c r="AI396" s="16" t="n"/>
      <c r="AJ396" s="16" t="n"/>
      <c r="AK396" s="17" t="n"/>
      <c r="AL396" s="128">
        <f>DADOS_INVOC!$IT$9</f>
        <v/>
      </c>
      <c r="AM396" s="120" t="n"/>
      <c r="AN396" s="120" t="n"/>
      <c r="AO396" s="120" t="n"/>
      <c r="AP396" s="120" t="n"/>
      <c r="AQ396" s="120" t="n"/>
      <c r="AR396" s="120" t="n"/>
      <c r="AS396" s="120" t="n"/>
    </row>
    <row r="397" hidden="1" outlineLevel="2">
      <c r="A397" s="8" t="n"/>
      <c r="B397" s="14" t="n"/>
      <c r="C397" s="120" t="n"/>
      <c r="D397" s="120" t="n"/>
      <c r="E397" s="120" t="n"/>
      <c r="F397" s="120" t="n"/>
      <c r="G397" s="120" t="n"/>
      <c r="I397" s="116" t="n"/>
      <c r="J397" s="19" t="n"/>
      <c r="K397" s="19" t="n"/>
      <c r="L397" s="19" t="n"/>
      <c r="M397" s="20" t="n"/>
      <c r="N397" s="120" t="n"/>
      <c r="O397" s="116" t="n"/>
      <c r="P397" s="19" t="n"/>
      <c r="Q397" s="19" t="n"/>
      <c r="R397" s="19" t="n"/>
      <c r="S397" s="20" t="n"/>
      <c r="T397" s="120" t="n"/>
      <c r="U397" s="120" t="n"/>
      <c r="V397" s="120" t="n"/>
      <c r="W397" s="120" t="n"/>
      <c r="X397" s="120" t="n"/>
      <c r="Y397" s="120" t="n"/>
      <c r="Z397" s="120" t="n"/>
      <c r="AB397" s="116" t="n"/>
      <c r="AC397" s="19" t="n"/>
      <c r="AD397" s="19" t="n"/>
      <c r="AE397" s="19" t="n"/>
      <c r="AF397" s="20" t="n"/>
      <c r="AG397" s="120" t="n"/>
      <c r="AH397" s="116" t="n"/>
      <c r="AI397" s="19" t="n"/>
      <c r="AJ397" s="19" t="n"/>
      <c r="AK397" s="19" t="n"/>
      <c r="AL397" s="20" t="n"/>
      <c r="AM397" s="120" t="n"/>
      <c r="AN397" s="120" t="n"/>
      <c r="AO397" s="120" t="n"/>
      <c r="AP397" s="120" t="n"/>
      <c r="AQ397" s="120" t="n"/>
      <c r="AR397" s="120" t="n"/>
      <c r="AS397" s="120" t="n"/>
    </row>
    <row r="398" hidden="1" outlineLevel="2">
      <c r="A398" s="8" t="n"/>
      <c r="B398" s="14" t="n"/>
      <c r="C398" s="120" t="n"/>
      <c r="D398" s="120" t="n"/>
      <c r="E398" s="120" t="n"/>
      <c r="F398" s="120" t="n"/>
      <c r="G398" s="120" t="n"/>
      <c r="I398" s="21" t="n"/>
      <c r="M398" s="22" t="n"/>
      <c r="N398" s="120" t="n"/>
      <c r="O398" s="21" t="n"/>
      <c r="S398" s="22" t="n"/>
      <c r="T398" s="120" t="n"/>
      <c r="U398" s="120" t="n"/>
      <c r="V398" s="120" t="n"/>
      <c r="W398" s="120" t="n"/>
      <c r="X398" s="120" t="n"/>
      <c r="Y398" s="120" t="n"/>
      <c r="Z398" s="120" t="n"/>
      <c r="AB398" s="21" t="n"/>
      <c r="AF398" s="22" t="n"/>
      <c r="AG398" s="120" t="n"/>
      <c r="AH398" s="21" t="n"/>
      <c r="AL398" s="22" t="n"/>
      <c r="AM398" s="120" t="n"/>
      <c r="AN398" s="120" t="n"/>
      <c r="AO398" s="120" t="n"/>
      <c r="AP398" s="120" t="n"/>
      <c r="AQ398" s="120" t="n"/>
      <c r="AR398" s="120" t="n"/>
      <c r="AS398" s="120" t="n"/>
    </row>
    <row r="399" hidden="1" outlineLevel="2">
      <c r="A399" s="8" t="n"/>
      <c r="B399" s="14" t="n"/>
      <c r="C399" s="120" t="n"/>
      <c r="D399" s="120" t="n"/>
      <c r="E399" s="120" t="n"/>
      <c r="F399" s="120" t="n"/>
      <c r="G399" s="120" t="n"/>
      <c r="I399" s="21" t="n"/>
      <c r="M399" s="22" t="n"/>
      <c r="N399" s="120" t="n"/>
      <c r="O399" s="21" t="n"/>
      <c r="S399" s="22" t="n"/>
      <c r="T399" s="120" t="n"/>
      <c r="U399" s="120" t="n"/>
      <c r="V399" s="120" t="n"/>
      <c r="W399" s="120" t="n"/>
      <c r="X399" s="120" t="n"/>
      <c r="Y399" s="120" t="n"/>
      <c r="Z399" s="120" t="n"/>
      <c r="AB399" s="21" t="n"/>
      <c r="AF399" s="22" t="n"/>
      <c r="AG399" s="120" t="n"/>
      <c r="AH399" s="21" t="n"/>
      <c r="AL399" s="22" t="n"/>
      <c r="AM399" s="120" t="n"/>
      <c r="AN399" s="120" t="n"/>
      <c r="AO399" s="120" t="n"/>
      <c r="AP399" s="120" t="n"/>
      <c r="AQ399" s="120" t="n"/>
      <c r="AR399" s="120" t="n"/>
      <c r="AS399" s="120" t="n"/>
    </row>
    <row r="400" hidden="1" outlineLevel="2">
      <c r="A400" s="8" t="n"/>
      <c r="B400" s="14" t="n"/>
      <c r="C400" s="120" t="n"/>
      <c r="D400" s="120" t="n"/>
      <c r="E400" s="120" t="n"/>
      <c r="F400" s="120" t="n"/>
      <c r="G400" s="120" t="n"/>
      <c r="I400" s="23" t="n"/>
      <c r="J400" s="24" t="n"/>
      <c r="K400" s="24" t="n"/>
      <c r="L400" s="24" t="n"/>
      <c r="M400" s="25" t="n"/>
      <c r="N400" s="120" t="n"/>
      <c r="O400" s="23" t="n"/>
      <c r="P400" s="24" t="n"/>
      <c r="Q400" s="24" t="n"/>
      <c r="R400" s="24" t="n"/>
      <c r="S400" s="25" t="n"/>
      <c r="T400" s="120" t="n"/>
      <c r="U400" s="120" t="n"/>
      <c r="V400" s="120" t="n"/>
      <c r="W400" s="120" t="n"/>
      <c r="X400" s="120" t="n"/>
      <c r="Y400" s="120" t="n"/>
      <c r="Z400" s="120" t="n"/>
      <c r="AB400" s="23" t="n"/>
      <c r="AC400" s="24" t="n"/>
      <c r="AD400" s="24" t="n"/>
      <c r="AE400" s="24" t="n"/>
      <c r="AF400" s="25" t="n"/>
      <c r="AG400" s="120" t="n"/>
      <c r="AH400" s="23" t="n"/>
      <c r="AI400" s="24" t="n"/>
      <c r="AJ400" s="24" t="n"/>
      <c r="AK400" s="24" t="n"/>
      <c r="AL400" s="25" t="n"/>
      <c r="AM400" s="120" t="n"/>
      <c r="AN400" s="120" t="n"/>
      <c r="AO400" s="120" t="n"/>
      <c r="AP400" s="120" t="n"/>
      <c r="AQ400" s="120" t="n"/>
      <c r="AR400" s="120" t="n"/>
      <c r="AS400" s="120" t="n"/>
    </row>
    <row r="401" hidden="1" outlineLevel="2">
      <c r="A401" s="8" t="n"/>
      <c r="B401" s="14" t="n"/>
      <c r="C401" s="120" t="n"/>
      <c r="D401" s="120" t="n"/>
      <c r="E401" s="120" t="n"/>
      <c r="F401" s="120" t="n"/>
      <c r="G401" s="120" t="n"/>
      <c r="I401" s="68">
        <f>DADOS_INVOC!$IS$3</f>
        <v/>
      </c>
      <c r="J401" s="16" t="n"/>
      <c r="K401" s="16" t="n"/>
      <c r="L401" s="16" t="n"/>
      <c r="M401" s="17" t="n"/>
      <c r="N401" s="120" t="n"/>
      <c r="O401" s="124" t="n"/>
      <c r="P401" s="17" t="n"/>
      <c r="Q401" s="68">
        <f>DADOS_INVOC!$IU$3</f>
        <v/>
      </c>
      <c r="R401" s="16" t="n"/>
      <c r="S401" s="17" t="n"/>
      <c r="T401" s="120" t="n"/>
      <c r="U401" s="120" t="n"/>
      <c r="V401" s="120" t="n"/>
      <c r="W401" s="120" t="n"/>
      <c r="X401" s="120" t="n"/>
      <c r="Y401" s="120" t="n"/>
      <c r="Z401" s="120" t="n"/>
      <c r="AB401" s="68">
        <f>DADOS_INVOC!$IS$9</f>
        <v/>
      </c>
      <c r="AC401" s="16" t="n"/>
      <c r="AD401" s="16" t="n"/>
      <c r="AE401" s="16" t="n"/>
      <c r="AF401" s="17" t="n"/>
      <c r="AG401" s="120" t="n"/>
      <c r="AH401" s="124" t="n"/>
      <c r="AI401" s="17" t="n"/>
      <c r="AJ401" s="68">
        <f>DADOS_INVOC!$IU$9</f>
        <v/>
      </c>
      <c r="AK401" s="16" t="n"/>
      <c r="AL401" s="17" t="n"/>
      <c r="AM401" s="120" t="n"/>
      <c r="AN401" s="120" t="n"/>
      <c r="AO401" s="120" t="n"/>
      <c r="AP401" s="120" t="n"/>
      <c r="AQ401" s="120" t="n"/>
      <c r="AR401" s="120" t="n"/>
      <c r="AS401" s="120" t="n"/>
    </row>
    <row r="402" hidden="1" outlineLevel="2">
      <c r="A402" s="8" t="n"/>
      <c r="B402" s="14" t="n"/>
      <c r="C402" s="120" t="n"/>
      <c r="D402" s="120" t="n"/>
      <c r="E402" s="120" t="n"/>
      <c r="F402" s="120" t="n"/>
      <c r="G402" s="120" t="n"/>
      <c r="I402" s="124" t="inlineStr">
        <is>
          <t>Sua Ação Completa + a básica dela</t>
        </is>
      </c>
      <c r="J402" s="16" t="n"/>
      <c r="K402" s="16" t="n"/>
      <c r="L402" s="16" t="n"/>
      <c r="M402" s="17" t="n"/>
      <c r="N402" s="120" t="n"/>
      <c r="O402" s="129">
        <f>DADOS_INVOC!$IV$3</f>
        <v/>
      </c>
      <c r="P402" s="16" t="n"/>
      <c r="Q402" s="16" t="n"/>
      <c r="R402" s="16" t="n"/>
      <c r="S402" s="17" t="n"/>
      <c r="T402" s="120" t="n"/>
      <c r="U402" s="120" t="n"/>
      <c r="V402" s="120" t="n"/>
      <c r="W402" s="120" t="n"/>
      <c r="X402" s="120" t="n"/>
      <c r="Y402" s="120" t="n"/>
      <c r="Z402" s="120" t="n"/>
      <c r="AB402" s="124" t="inlineStr">
        <is>
          <t>Sua Ação Completa + a básica dela</t>
        </is>
      </c>
      <c r="AC402" s="16" t="n"/>
      <c r="AD402" s="16" t="n"/>
      <c r="AE402" s="16" t="n"/>
      <c r="AF402" s="17" t="n"/>
      <c r="AG402" s="120" t="n"/>
      <c r="AH402" s="129">
        <f>DADOS_INVOC!$IV$9</f>
        <v/>
      </c>
      <c r="AI402" s="16" t="n"/>
      <c r="AJ402" s="16" t="n"/>
      <c r="AK402" s="16" t="n"/>
      <c r="AL402" s="17" t="n"/>
      <c r="AM402" s="120" t="n"/>
      <c r="AN402" s="120" t="n"/>
      <c r="AO402" s="120" t="n"/>
      <c r="AP402" s="120" t="n"/>
      <c r="AQ402" s="120" t="n"/>
      <c r="AR402" s="120" t="n"/>
      <c r="AS402" s="120" t="n"/>
    </row>
    <row r="403">
      <c r="A403" s="8" t="n"/>
      <c r="B403" s="14" t="n"/>
      <c r="C403" s="120" t="n"/>
      <c r="D403" s="120" t="n"/>
      <c r="E403" s="120" t="n"/>
      <c r="F403" s="120" t="n"/>
      <c r="G403" s="120" t="n"/>
      <c r="H403" s="120" t="n"/>
      <c r="I403" s="120" t="n"/>
      <c r="J403" s="120" t="n"/>
      <c r="K403" s="120" t="n"/>
      <c r="L403" s="120" t="n"/>
      <c r="M403" s="120" t="n"/>
      <c r="N403" s="120" t="n"/>
      <c r="O403" s="120" t="n"/>
      <c r="P403" s="120" t="n"/>
      <c r="Q403" s="120" t="n"/>
      <c r="R403" s="120" t="n"/>
      <c r="S403" s="120" t="n"/>
      <c r="T403" s="120" t="n"/>
      <c r="U403" s="120" t="n"/>
      <c r="V403" s="120" t="n"/>
      <c r="W403" s="120" t="n"/>
      <c r="X403" s="120" t="n"/>
      <c r="Y403" s="120" t="n"/>
      <c r="Z403" s="120" t="n"/>
      <c r="AA403" s="120" t="n"/>
      <c r="AB403" s="120" t="n"/>
      <c r="AC403" s="120" t="n"/>
      <c r="AD403" s="120" t="n"/>
      <c r="AE403" s="120" t="n"/>
      <c r="AF403" s="120" t="n"/>
      <c r="AG403" s="120" t="n"/>
      <c r="AH403" s="120" t="n"/>
      <c r="AI403" s="120" t="n"/>
      <c r="AJ403" s="120" t="n"/>
      <c r="AK403" s="120" t="n"/>
      <c r="AL403" s="120" t="n"/>
      <c r="AM403" s="120" t="n"/>
      <c r="AN403" s="120" t="n"/>
      <c r="AO403" s="120" t="n"/>
      <c r="AP403" s="120" t="n"/>
      <c r="AQ403" s="120" t="n"/>
      <c r="AR403" s="120" t="n"/>
      <c r="AS403" s="120" t="n"/>
    </row>
    <row r="404">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c r="V404" s="120" t="n"/>
      <c r="W404" s="120" t="n"/>
      <c r="X404" s="120" t="n"/>
      <c r="Y404" s="120" t="n"/>
      <c r="Z404" s="120" t="n"/>
      <c r="AA404" s="120" t="n"/>
      <c r="AB404" s="120" t="n"/>
      <c r="AC404" s="120" t="n"/>
      <c r="AD404" s="120" t="n"/>
      <c r="AE404" s="120" t="n"/>
      <c r="AF404" s="120" t="n"/>
      <c r="AG404" s="120" t="n"/>
      <c r="AH404" s="120" t="n"/>
      <c r="AI404" s="120" t="n"/>
      <c r="AJ404" s="120" t="n"/>
      <c r="AK404" s="120" t="n"/>
      <c r="AL404" s="120" t="n"/>
      <c r="AM404" s="120" t="n"/>
      <c r="AN404" s="120" t="n"/>
      <c r="AO404" s="120" t="n"/>
      <c r="AP404" s="120" t="n"/>
      <c r="AQ404" s="120" t="n"/>
      <c r="AR404" s="120" t="n"/>
      <c r="AS404" s="120" t="n"/>
    </row>
    <row r="405">
      <c r="A405" s="8" t="n"/>
      <c r="B405" s="14" t="n"/>
      <c r="C405" s="120" t="n"/>
      <c r="D405" s="120" t="n"/>
      <c r="E405" s="120" t="n"/>
      <c r="F405" s="120" t="n"/>
      <c r="G405" s="120" t="n"/>
      <c r="H405" s="138" t="n">
        <v>3</v>
      </c>
      <c r="I405" s="139" t="n">
        <v>3</v>
      </c>
      <c r="J405" s="123">
        <f>DADOS_INVOC!$GS$4</f>
        <v/>
      </c>
      <c r="K405" s="19" t="n"/>
      <c r="L405" s="19" t="n"/>
      <c r="M405" s="19" t="n"/>
      <c r="N405" s="19" t="n"/>
      <c r="O405" s="19" t="n"/>
      <c r="P405" s="19" t="n"/>
      <c r="Q405" s="19" t="n"/>
      <c r="R405" s="19" t="n"/>
      <c r="S405" s="19" t="n"/>
      <c r="T405" s="19" t="n"/>
      <c r="U405" s="19" t="n"/>
      <c r="V405" s="19" t="n"/>
      <c r="W405" s="19" t="n"/>
      <c r="X405" s="19" t="n"/>
      <c r="Y405" s="20" t="n"/>
      <c r="Z405" s="120" t="n"/>
      <c r="AA405" s="138" t="n">
        <v>9</v>
      </c>
      <c r="AB405" s="139" t="n">
        <v>9</v>
      </c>
      <c r="AC405" s="123">
        <f>DADOS_INVOC!$GS$10</f>
        <v/>
      </c>
      <c r="AD405" s="19" t="n"/>
      <c r="AE405" s="19" t="n"/>
      <c r="AF405" s="19" t="n"/>
      <c r="AG405" s="19" t="n"/>
      <c r="AH405" s="19" t="n"/>
      <c r="AI405" s="19" t="n"/>
      <c r="AJ405" s="19" t="n"/>
      <c r="AK405" s="19" t="n"/>
      <c r="AL405" s="19" t="n"/>
      <c r="AM405" s="19" t="n"/>
      <c r="AN405" s="19" t="n"/>
      <c r="AO405" s="19" t="n"/>
      <c r="AP405" s="19" t="n"/>
      <c r="AQ405" s="19" t="n"/>
      <c r="AR405" s="20" t="n"/>
      <c r="AS405" s="120" t="n"/>
    </row>
    <row r="406">
      <c r="A406" s="8" t="n"/>
      <c r="B406" s="14" t="n"/>
      <c r="C406" s="120" t="n"/>
      <c r="D406" s="120" t="n"/>
      <c r="E406" s="120" t="n"/>
      <c r="F406" s="120" t="n"/>
      <c r="G406" s="120" t="n"/>
      <c r="I406" s="125" t="n"/>
      <c r="J406" s="23" t="n"/>
      <c r="K406" s="24" t="n"/>
      <c r="L406" s="24" t="n"/>
      <c r="M406" s="24" t="n"/>
      <c r="N406" s="24" t="n"/>
      <c r="O406" s="24" t="n"/>
      <c r="P406" s="24" t="n"/>
      <c r="Q406" s="24" t="n"/>
      <c r="R406" s="24" t="n"/>
      <c r="S406" s="24" t="n"/>
      <c r="T406" s="24" t="n"/>
      <c r="U406" s="24" t="n"/>
      <c r="V406" s="24" t="n"/>
      <c r="W406" s="24" t="n"/>
      <c r="X406" s="24" t="n"/>
      <c r="Y406" s="25" t="n"/>
      <c r="Z406" s="120"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20" t="n"/>
    </row>
    <row r="407" hidden="1" outlineLevel="1">
      <c r="A407" s="8" t="n"/>
      <c r="B407" s="14" t="n"/>
      <c r="C407" s="120" t="n"/>
      <c r="D407" s="120" t="n"/>
      <c r="E407" s="120" t="n"/>
      <c r="F407" s="120" t="n"/>
      <c r="G407" s="120" t="n"/>
      <c r="H407" s="140">
        <f>DADOS_INVOC!$GT$4</f>
        <v/>
      </c>
      <c r="I407" s="120" t="n"/>
      <c r="J407" s="120" t="n"/>
      <c r="K407" s="120" t="n"/>
      <c r="L407" s="120" t="n"/>
      <c r="M407" s="120" t="n"/>
      <c r="N407" s="120" t="n"/>
      <c r="O407" s="120" t="n"/>
      <c r="P407" s="120" t="n"/>
      <c r="Q407" s="120" t="n"/>
      <c r="R407" s="120" t="n"/>
      <c r="S407" s="120" t="n"/>
      <c r="T407" s="120" t="n"/>
      <c r="U407" s="120" t="n"/>
      <c r="V407" s="120" t="n"/>
      <c r="W407" s="120" t="n"/>
      <c r="X407" s="120" t="n"/>
      <c r="Y407" s="120" t="n"/>
      <c r="Z407" s="120" t="n"/>
      <c r="AA407" s="140">
        <f>DADOS_INVOC!$GT$10</f>
        <v/>
      </c>
      <c r="AB407" s="120" t="n"/>
      <c r="AC407" s="120" t="n"/>
      <c r="AD407" s="120" t="n"/>
      <c r="AE407" s="120" t="n"/>
      <c r="AF407" s="120" t="n"/>
      <c r="AG407" s="120" t="n"/>
      <c r="AH407" s="120" t="n"/>
      <c r="AI407" s="120" t="n"/>
      <c r="AJ407" s="120" t="n"/>
      <c r="AK407" s="120" t="n"/>
      <c r="AL407" s="120" t="n"/>
      <c r="AM407" s="120" t="n"/>
      <c r="AN407" s="120" t="n"/>
      <c r="AO407" s="120" t="n"/>
      <c r="AP407" s="120" t="n"/>
      <c r="AQ407" s="120" t="n"/>
      <c r="AR407" s="120" t="n"/>
      <c r="AS407" s="120" t="n"/>
    </row>
    <row r="408" hidden="1" outlineLevel="1">
      <c r="A408" s="8" t="n"/>
      <c r="B408" s="14" t="n"/>
      <c r="C408" s="120" t="n"/>
      <c r="D408" s="120" t="n"/>
      <c r="E408" s="120" t="n"/>
      <c r="F408" s="120" t="n"/>
      <c r="G408" s="120" t="n"/>
      <c r="I408" s="55" t="inlineStr">
        <is>
          <t>NOME</t>
        </is>
      </c>
      <c r="J408" s="16" t="n"/>
      <c r="K408" s="16" t="n"/>
      <c r="L408" s="16" t="n"/>
      <c r="M408" s="17" t="n"/>
      <c r="N408" s="120" t="n"/>
      <c r="O408" s="55" t="inlineStr">
        <is>
          <t>NÍVEL</t>
        </is>
      </c>
      <c r="P408" s="55" t="inlineStr">
        <is>
          <t>CLASSE</t>
        </is>
      </c>
      <c r="Q408" s="55" t="inlineStr">
        <is>
          <t>MAESTRIA</t>
        </is>
      </c>
      <c r="R408" s="55" t="inlineStr">
        <is>
          <t>ENTRADA</t>
        </is>
      </c>
      <c r="S408" s="55" t="inlineStr">
        <is>
          <t>RETORNO</t>
        </is>
      </c>
      <c r="T408" s="120" t="n"/>
      <c r="U408" s="55" t="inlineStr">
        <is>
          <t>VIDA ATUAL</t>
        </is>
      </c>
      <c r="V408" s="55" t="inlineStr">
        <is>
          <t>VIDA MÁXIMA</t>
        </is>
      </c>
      <c r="W408" s="55" t="inlineStr">
        <is>
          <t>TEMPORÁRIA</t>
        </is>
      </c>
      <c r="X408" s="55" t="inlineStr">
        <is>
          <t>± PERDA / GANHO</t>
        </is>
      </c>
      <c r="Y408" s="55">
        <f>DADOS_INVOC!$HN$4</f>
        <v/>
      </c>
      <c r="Z408" s="120" t="n"/>
      <c r="AB408" s="55" t="inlineStr">
        <is>
          <t>NOME</t>
        </is>
      </c>
      <c r="AC408" s="16" t="n"/>
      <c r="AD408" s="16" t="n"/>
      <c r="AE408" s="16" t="n"/>
      <c r="AF408" s="17" t="n"/>
      <c r="AG408" s="120" t="n"/>
      <c r="AH408" s="55" t="inlineStr">
        <is>
          <t>NÍVEL</t>
        </is>
      </c>
      <c r="AI408" s="55" t="inlineStr">
        <is>
          <t>CLASSE</t>
        </is>
      </c>
      <c r="AJ408" s="55" t="inlineStr">
        <is>
          <t>MAESTRIA</t>
        </is>
      </c>
      <c r="AK408" s="55" t="inlineStr">
        <is>
          <t>ENTRADA</t>
        </is>
      </c>
      <c r="AL408" s="55" t="inlineStr">
        <is>
          <t>RETORNO</t>
        </is>
      </c>
      <c r="AM408" s="120" t="n"/>
      <c r="AN408" s="55" t="inlineStr">
        <is>
          <t>VIDA ATUAL</t>
        </is>
      </c>
      <c r="AO408" s="55" t="inlineStr">
        <is>
          <t>VIDA MÁXIMA</t>
        </is>
      </c>
      <c r="AP408" s="55" t="inlineStr">
        <is>
          <t>TEMPORÁRIA</t>
        </is>
      </c>
      <c r="AQ408" s="55" t="inlineStr">
        <is>
          <t>± PERDA / GANHO</t>
        </is>
      </c>
      <c r="AR408" s="55">
        <f>DADOS_INVOC!$HN$10</f>
        <v/>
      </c>
      <c r="AS408" s="120" t="n"/>
    </row>
    <row r="409" hidden="1" outlineLevel="1">
      <c r="A409" s="8" t="n"/>
      <c r="B409" s="14" t="n"/>
      <c r="C409" s="120" t="n"/>
      <c r="D409" s="120" t="n"/>
      <c r="E409" s="120" t="n"/>
      <c r="F409" s="120" t="n"/>
      <c r="G409" s="120" t="n"/>
      <c r="I409" s="83" t="n"/>
      <c r="J409" s="19" t="n"/>
      <c r="K409" s="19" t="n"/>
      <c r="L409" s="19" t="n"/>
      <c r="M409" s="20" t="n"/>
      <c r="N409" s="120" t="n"/>
      <c r="O409" s="92">
        <f>DADOS_INVOC!$FG$4</f>
        <v/>
      </c>
      <c r="P409" s="92">
        <f>DADOS_INVOC!$FH$4</f>
        <v/>
      </c>
      <c r="Q409" s="92">
        <f>DADOS_INVOC!$GU$4</f>
        <v/>
      </c>
      <c r="R409" s="92">
        <f>DADOS_INVOC!$GV$4</f>
        <v/>
      </c>
      <c r="S409" s="92">
        <f>DADOS_INVOC!$GW$4</f>
        <v/>
      </c>
      <c r="T409" s="120" t="n"/>
      <c r="U409" s="92" t="n"/>
      <c r="V409" s="92">
        <f>DADOS_INVOC!$FX$4</f>
        <v/>
      </c>
      <c r="W409" s="92" t="n"/>
      <c r="X409" s="92" t="n"/>
      <c r="Y409" s="92" t="n"/>
      <c r="Z409" s="120" t="n"/>
      <c r="AB409" s="83" t="n"/>
      <c r="AC409" s="19" t="n"/>
      <c r="AD409" s="19" t="n"/>
      <c r="AE409" s="19" t="n"/>
      <c r="AF409" s="20" t="n"/>
      <c r="AG409" s="120" t="n"/>
      <c r="AH409" s="92">
        <f>DADOS_INVOC!$FG$10</f>
        <v/>
      </c>
      <c r="AI409" s="92">
        <f>DADOS_INVOC!$FH$10</f>
        <v/>
      </c>
      <c r="AJ409" s="92">
        <f>DADOS_INVOC!$GU$10</f>
        <v/>
      </c>
      <c r="AK409" s="92">
        <f>DADOS_INVOC!$GV$10</f>
        <v/>
      </c>
      <c r="AL409" s="92">
        <f>DADOS_INVOC!$GW$10</f>
        <v/>
      </c>
      <c r="AM409" s="120" t="n"/>
      <c r="AN409" s="92" t="n"/>
      <c r="AO409" s="92">
        <f>DADOS_INVOC!$FX$10</f>
        <v/>
      </c>
      <c r="AP409" s="92" t="n"/>
      <c r="AQ409" s="92" t="n"/>
      <c r="AR409" s="92" t="n"/>
      <c r="AS409" s="120" t="n"/>
    </row>
    <row r="410" hidden="1" outlineLevel="1">
      <c r="A410" s="8" t="n"/>
      <c r="B410" s="14" t="n"/>
      <c r="C410" s="120" t="n"/>
      <c r="D410" s="120" t="n"/>
      <c r="E410" s="120" t="n"/>
      <c r="F410" s="120" t="n"/>
      <c r="G410" s="120" t="n"/>
      <c r="I410" s="23" t="n"/>
      <c r="J410" s="24" t="n"/>
      <c r="K410" s="24" t="n"/>
      <c r="L410" s="24" t="n"/>
      <c r="M410" s="25" t="n"/>
      <c r="N410" s="120" t="n"/>
      <c r="O410" s="125" t="n"/>
      <c r="P410" s="125" t="n"/>
      <c r="Q410" s="125" t="n"/>
      <c r="R410" s="125" t="n"/>
      <c r="S410" s="125" t="n"/>
      <c r="T410" s="120" t="n"/>
      <c r="U410" s="125" t="n"/>
      <c r="V410" s="125" t="n"/>
      <c r="W410" s="125" t="n"/>
      <c r="X410" s="125" t="n"/>
      <c r="Y410" s="125" t="n"/>
      <c r="Z410" s="120" t="n"/>
      <c r="AB410" s="23" t="n"/>
      <c r="AC410" s="24" t="n"/>
      <c r="AD410" s="24" t="n"/>
      <c r="AE410" s="24" t="n"/>
      <c r="AF410" s="25" t="n"/>
      <c r="AG410" s="120" t="n"/>
      <c r="AH410" s="125" t="n"/>
      <c r="AI410" s="125" t="n"/>
      <c r="AJ410" s="125" t="n"/>
      <c r="AK410" s="125" t="n"/>
      <c r="AL410" s="125" t="n"/>
      <c r="AM410" s="120" t="n"/>
      <c r="AN410" s="125" t="n"/>
      <c r="AO410" s="125" t="n"/>
      <c r="AP410" s="125" t="n"/>
      <c r="AQ410" s="125" t="n"/>
      <c r="AR410" s="125" t="n"/>
      <c r="AS410" s="120" t="n"/>
    </row>
    <row r="411" hidden="1" outlineLevel="1">
      <c r="A411" s="8" t="n"/>
      <c r="B411" s="14" t="n"/>
      <c r="C411" s="120" t="n"/>
      <c r="D411" s="120" t="n"/>
      <c r="E411" s="120" t="n"/>
      <c r="F411" s="120" t="n"/>
      <c r="G411" s="120" t="n"/>
      <c r="I411" s="141" t="inlineStr">
        <is>
          <t>FOTO
式神</t>
        </is>
      </c>
      <c r="J411" s="19" t="n"/>
      <c r="K411" s="19" t="n"/>
      <c r="L411" s="19" t="n"/>
      <c r="M411" s="20" t="n"/>
      <c r="N411" s="120" t="n"/>
      <c r="O411" s="120" t="n"/>
      <c r="P411" s="120" t="n"/>
      <c r="Q411" s="120" t="n"/>
      <c r="R411" s="120" t="n"/>
      <c r="S411" s="120" t="n"/>
      <c r="T411" s="120" t="n"/>
      <c r="U411" s="130">
        <f>IFERROR(SPARKLINE(DADOS_INVOC!$FY$4,{"charttype","bar";"max",MAX(1,DADOS_INVOC!$FX$4);"color1",DADOS_INVOC!$CW$12}),"")</f>
        <v/>
      </c>
      <c r="V411" s="16" t="n"/>
      <c r="W411" s="16" t="n"/>
      <c r="X411" s="16" t="n"/>
      <c r="Y411" s="17" t="n"/>
      <c r="Z411" s="120" t="n"/>
      <c r="AB411" s="141" t="inlineStr">
        <is>
          <t>FOTO
式神</t>
        </is>
      </c>
      <c r="AC411" s="19" t="n"/>
      <c r="AD411" s="19" t="n"/>
      <c r="AE411" s="19" t="n"/>
      <c r="AF411" s="20" t="n"/>
      <c r="AG411" s="120" t="n"/>
      <c r="AH411" s="120" t="n"/>
      <c r="AI411" s="120" t="n"/>
      <c r="AJ411" s="120" t="n"/>
      <c r="AK411" s="120" t="n"/>
      <c r="AL411" s="120" t="n"/>
      <c r="AM411" s="120" t="n"/>
      <c r="AN411" s="130">
        <f>IFERROR(SPARKLINE(DADOS_INVOC!$FY$10,{"charttype","bar";"max",MAX(1,DADOS_INVOC!$FX$10);"color1",DADOS_INVOC!$CW$12}),"")</f>
        <v/>
      </c>
      <c r="AO411" s="16" t="n"/>
      <c r="AP411" s="16" t="n"/>
      <c r="AQ411" s="16" t="n"/>
      <c r="AR411" s="17" t="n"/>
      <c r="AS411" s="120" t="n"/>
    </row>
    <row r="412" hidden="1" outlineLevel="1">
      <c r="A412" s="8" t="n"/>
      <c r="B412" s="14" t="n"/>
      <c r="C412" s="120" t="n"/>
      <c r="D412" s="120" t="n"/>
      <c r="E412" s="120" t="n"/>
      <c r="F412" s="120" t="n"/>
      <c r="G412" s="120" t="n"/>
      <c r="I412" s="21" t="n"/>
      <c r="M412" s="22" t="n"/>
      <c r="N412" s="120" t="n"/>
      <c r="O412" s="55">
        <f>DADOS_INVOC!$GX$4</f>
        <v/>
      </c>
      <c r="P412" s="16" t="n"/>
      <c r="Q412" s="16" t="n"/>
      <c r="R412" s="16" t="n"/>
      <c r="S412" s="17" t="n"/>
      <c r="T412" s="120" t="n"/>
      <c r="U412" s="120" t="n"/>
      <c r="V412" s="120" t="n"/>
      <c r="W412" s="120" t="n"/>
      <c r="X412" s="120" t="n"/>
      <c r="Y412" s="120" t="n"/>
      <c r="Z412" s="120" t="n"/>
      <c r="AB412" s="21" t="n"/>
      <c r="AF412" s="22" t="n"/>
      <c r="AG412" s="120" t="n"/>
      <c r="AH412" s="55">
        <f>DADOS_INVOC!$GX$10</f>
        <v/>
      </c>
      <c r="AI412" s="16" t="n"/>
      <c r="AJ412" s="16" t="n"/>
      <c r="AK412" s="16" t="n"/>
      <c r="AL412" s="17" t="n"/>
      <c r="AM412" s="120" t="n"/>
      <c r="AN412" s="120" t="n"/>
      <c r="AO412" s="120" t="n"/>
      <c r="AP412" s="120" t="n"/>
      <c r="AQ412" s="120" t="n"/>
      <c r="AR412" s="120" t="n"/>
      <c r="AS412" s="120" t="n"/>
    </row>
    <row r="413" hidden="1" outlineLevel="1">
      <c r="A413" s="8" t="n"/>
      <c r="B413" s="14" t="n"/>
      <c r="C413" s="120" t="n"/>
      <c r="D413" s="120" t="n"/>
      <c r="E413" s="120" t="n"/>
      <c r="F413" s="120" t="n"/>
      <c r="G413" s="120" t="n"/>
      <c r="I413" s="21" t="n"/>
      <c r="M413" s="22" t="n"/>
      <c r="N413" s="120" t="n"/>
      <c r="O413" s="55" t="inlineStr">
        <is>
          <t>FOR</t>
        </is>
      </c>
      <c r="P413" s="55" t="inlineStr">
        <is>
          <t>DES</t>
        </is>
      </c>
      <c r="Q413" s="55" t="inlineStr">
        <is>
          <t>CON</t>
        </is>
      </c>
      <c r="R413" s="55" t="inlineStr">
        <is>
          <t>INT</t>
        </is>
      </c>
      <c r="S413" s="55" t="inlineStr">
        <is>
          <t>ESS</t>
        </is>
      </c>
      <c r="T413" s="120" t="n"/>
      <c r="U413" s="55" t="inlineStr">
        <is>
          <t>CONDIÇÕES E USOS GASTOS</t>
        </is>
      </c>
      <c r="V413" s="16" t="n"/>
      <c r="W413" s="16" t="n"/>
      <c r="X413" s="16" t="n"/>
      <c r="Y413" s="17" t="n"/>
      <c r="Z413" s="120" t="n"/>
      <c r="AB413" s="21" t="n"/>
      <c r="AF413" s="22" t="n"/>
      <c r="AG413" s="120" t="n"/>
      <c r="AH413" s="55" t="inlineStr">
        <is>
          <t>FOR</t>
        </is>
      </c>
      <c r="AI413" s="55" t="inlineStr">
        <is>
          <t>DES</t>
        </is>
      </c>
      <c r="AJ413" s="55" t="inlineStr">
        <is>
          <t>CON</t>
        </is>
      </c>
      <c r="AK413" s="55" t="inlineStr">
        <is>
          <t>INT</t>
        </is>
      </c>
      <c r="AL413" s="55" t="inlineStr">
        <is>
          <t>ESS</t>
        </is>
      </c>
      <c r="AM413" s="120" t="n"/>
      <c r="AN413" s="55" t="inlineStr">
        <is>
          <t>CONDIÇÕES E USOS GASTOS</t>
        </is>
      </c>
      <c r="AO413" s="16" t="n"/>
      <c r="AP413" s="16" t="n"/>
      <c r="AQ413" s="16" t="n"/>
      <c r="AR413" s="17" t="n"/>
      <c r="AS413" s="120" t="n"/>
    </row>
    <row r="414" hidden="1" outlineLevel="1">
      <c r="A414" s="8" t="n"/>
      <c r="B414" s="14" t="n"/>
      <c r="C414" s="120" t="n"/>
      <c r="D414" s="120" t="n"/>
      <c r="E414" s="120" t="n"/>
      <c r="F414" s="120" t="n"/>
      <c r="G414" s="120" t="n"/>
      <c r="I414" s="21" t="n"/>
      <c r="M414" s="22" t="n"/>
      <c r="N414" s="120" t="n"/>
      <c r="O414" s="92">
        <f>DADOS_INVOC!$FJ$4</f>
        <v/>
      </c>
      <c r="P414" s="92">
        <f>DADOS_INVOC!$FK$4</f>
        <v/>
      </c>
      <c r="Q414" s="92">
        <f>DADOS_INVOC!$FL$4</f>
        <v/>
      </c>
      <c r="R414" s="92">
        <f>DADOS_INVOC!$FM$4</f>
        <v/>
      </c>
      <c r="S414" s="92">
        <f>DADOS_INVOC!$FN$4</f>
        <v/>
      </c>
      <c r="T414" s="120" t="n"/>
      <c r="U414" s="116" t="n"/>
      <c r="V414" s="19" t="n"/>
      <c r="W414" s="19" t="n"/>
      <c r="X414" s="19" t="n"/>
      <c r="Y414" s="20" t="n"/>
      <c r="Z414" s="120" t="n"/>
      <c r="AB414" s="21" t="n"/>
      <c r="AF414" s="22" t="n"/>
      <c r="AG414" s="120" t="n"/>
      <c r="AH414" s="92">
        <f>DADOS_INVOC!$FJ$10</f>
        <v/>
      </c>
      <c r="AI414" s="92">
        <f>DADOS_INVOC!$FK$10</f>
        <v/>
      </c>
      <c r="AJ414" s="92">
        <f>DADOS_INVOC!$FL$10</f>
        <v/>
      </c>
      <c r="AK414" s="92">
        <f>DADOS_INVOC!$FM$10</f>
        <v/>
      </c>
      <c r="AL414" s="92">
        <f>DADOS_INVOC!$FN$10</f>
        <v/>
      </c>
      <c r="AM414" s="120" t="n"/>
      <c r="AN414" s="116" t="n"/>
      <c r="AO414" s="19" t="n"/>
      <c r="AP414" s="19" t="n"/>
      <c r="AQ414" s="19" t="n"/>
      <c r="AR414" s="20" t="n"/>
      <c r="AS414" s="120" t="n"/>
    </row>
    <row r="415" hidden="1" outlineLevel="1">
      <c r="A415" s="8" t="n"/>
      <c r="B415" s="14" t="n"/>
      <c r="C415" s="120" t="n"/>
      <c r="D415" s="120" t="n"/>
      <c r="E415" s="120" t="n"/>
      <c r="F415" s="120" t="n"/>
      <c r="G415" s="120" t="n"/>
      <c r="I415" s="21" t="n"/>
      <c r="M415" s="22" t="n"/>
      <c r="N415" s="120" t="n"/>
      <c r="O415" s="125" t="n"/>
      <c r="P415" s="125" t="n"/>
      <c r="Q415" s="125" t="n"/>
      <c r="R415" s="125" t="n"/>
      <c r="S415" s="125" t="n"/>
      <c r="T415" s="120" t="n"/>
      <c r="U415" s="21" t="n"/>
      <c r="Y415" s="22" t="n"/>
      <c r="Z415" s="120" t="n"/>
      <c r="AB415" s="21" t="n"/>
      <c r="AF415" s="22" t="n"/>
      <c r="AG415" s="120" t="n"/>
      <c r="AH415" s="125" t="n"/>
      <c r="AI415" s="125" t="n"/>
      <c r="AJ415" s="125" t="n"/>
      <c r="AK415" s="125" t="n"/>
      <c r="AL415" s="125" t="n"/>
      <c r="AM415" s="120" t="n"/>
      <c r="AN415" s="21" t="n"/>
      <c r="AR415" s="22" t="n"/>
      <c r="AS415" s="120" t="n"/>
    </row>
    <row r="416" hidden="1" outlineLevel="1">
      <c r="A416" s="8" t="n"/>
      <c r="B416" s="14" t="n"/>
      <c r="C416" s="120" t="n"/>
      <c r="D416" s="120" t="n"/>
      <c r="E416" s="120" t="n"/>
      <c r="F416" s="120" t="n"/>
      <c r="G416" s="120" t="n"/>
      <c r="I416" s="21" t="n"/>
      <c r="M416" s="22" t="n"/>
      <c r="N416" s="120" t="n"/>
      <c r="O416" s="142" t="n">
        <v>0</v>
      </c>
      <c r="P416" s="142" t="n">
        <v>0</v>
      </c>
      <c r="Q416" s="142" t="n">
        <v>0</v>
      </c>
      <c r="R416" s="142" t="n">
        <v>0</v>
      </c>
      <c r="S416" s="142" t="n">
        <v>0</v>
      </c>
      <c r="T416" s="120" t="n"/>
      <c r="U416" s="21" t="n"/>
      <c r="Y416" s="22" t="n"/>
      <c r="Z416" s="120" t="n"/>
      <c r="AB416" s="21" t="n"/>
      <c r="AF416" s="22" t="n"/>
      <c r="AG416" s="120" t="n"/>
      <c r="AH416" s="142" t="n">
        <v>0</v>
      </c>
      <c r="AI416" s="142" t="n">
        <v>0</v>
      </c>
      <c r="AJ416" s="142" t="n">
        <v>0</v>
      </c>
      <c r="AK416" s="142" t="n">
        <v>0</v>
      </c>
      <c r="AL416" s="142" t="n">
        <v>0</v>
      </c>
      <c r="AM416" s="120" t="n"/>
      <c r="AN416" s="21" t="n"/>
      <c r="AR416" s="22" t="n"/>
      <c r="AS416" s="120" t="n"/>
    </row>
    <row r="417" hidden="1" outlineLevel="1">
      <c r="A417" s="8" t="n"/>
      <c r="B417" s="14" t="n"/>
      <c r="C417" s="120" t="n"/>
      <c r="D417" s="120" t="n"/>
      <c r="E417" s="120" t="n"/>
      <c r="F417" s="120" t="n"/>
      <c r="G417" s="120" t="n"/>
      <c r="I417" s="21" t="n"/>
      <c r="M417" s="22" t="n"/>
      <c r="N417" s="120" t="n"/>
      <c r="O417" s="144" t="n">
        <v>0</v>
      </c>
      <c r="P417" s="144" t="n">
        <v>0</v>
      </c>
      <c r="Q417" s="144" t="n">
        <v>0</v>
      </c>
      <c r="R417" s="144" t="n">
        <v>0</v>
      </c>
      <c r="S417" s="144" t="n">
        <v>0</v>
      </c>
      <c r="T417" s="120" t="n"/>
      <c r="U417" s="21" t="n"/>
      <c r="Y417" s="22" t="n"/>
      <c r="Z417" s="120" t="n"/>
      <c r="AB417" s="21" t="n"/>
      <c r="AF417" s="22" t="n"/>
      <c r="AG417" s="120" t="n"/>
      <c r="AH417" s="144" t="n">
        <v>0</v>
      </c>
      <c r="AI417" s="144" t="n">
        <v>0</v>
      </c>
      <c r="AJ417" s="144" t="n">
        <v>0</v>
      </c>
      <c r="AK417" s="144" t="n">
        <v>0</v>
      </c>
      <c r="AL417" s="144" t="n">
        <v>0</v>
      </c>
      <c r="AM417" s="120" t="n"/>
      <c r="AN417" s="21" t="n"/>
      <c r="AR417" s="22" t="n"/>
      <c r="AS417" s="120" t="n"/>
    </row>
    <row r="418" hidden="1" outlineLevel="1">
      <c r="A418" s="8" t="n"/>
      <c r="B418" s="14" t="n"/>
      <c r="C418" s="120" t="n"/>
      <c r="D418" s="120" t="n"/>
      <c r="E418" s="120" t="n"/>
      <c r="F418" s="120" t="n"/>
      <c r="G418" s="120" t="n"/>
      <c r="I418" s="21" t="n"/>
      <c r="M418" s="22" t="n"/>
      <c r="N418" s="120" t="n"/>
      <c r="O418" s="120" t="n"/>
      <c r="P418" s="120" t="n"/>
      <c r="Q418" s="120" t="n"/>
      <c r="R418" s="120" t="n"/>
      <c r="S418" s="120" t="n"/>
      <c r="T418" s="120" t="n"/>
      <c r="U418" s="21" t="n"/>
      <c r="Y418" s="22" t="n"/>
      <c r="Z418" s="120" t="n"/>
      <c r="AB418" s="21" t="n"/>
      <c r="AF418" s="22" t="n"/>
      <c r="AG418" s="120" t="n"/>
      <c r="AH418" s="120" t="n"/>
      <c r="AI418" s="120" t="n"/>
      <c r="AJ418" s="120" t="n"/>
      <c r="AK418" s="120" t="n"/>
      <c r="AL418" s="120" t="n"/>
      <c r="AM418" s="120" t="n"/>
      <c r="AN418" s="21" t="n"/>
      <c r="AR418" s="22" t="n"/>
      <c r="AS418" s="120" t="n"/>
    </row>
    <row r="419" hidden="1" outlineLevel="1">
      <c r="A419" s="8" t="n"/>
      <c r="B419" s="14" t="n"/>
      <c r="C419" s="120" t="n"/>
      <c r="D419" s="120" t="n"/>
      <c r="E419" s="120" t="n"/>
      <c r="F419" s="120" t="n"/>
      <c r="G419" s="120" t="n"/>
      <c r="I419" s="21" t="n"/>
      <c r="M419" s="22" t="n"/>
      <c r="N419" s="120" t="n"/>
      <c r="O419" s="55" t="inlineStr">
        <is>
          <t>ATAQUE</t>
        </is>
      </c>
      <c r="P419" s="55" t="inlineStr">
        <is>
          <t>CD</t>
        </is>
      </c>
      <c r="Q419" s="55" t="inlineStr">
        <is>
          <t>DEFESA</t>
        </is>
      </c>
      <c r="R419" s="55" t="inlineStr">
        <is>
          <t>VIDA MÁXIMA</t>
        </is>
      </c>
      <c r="S419" s="55" t="inlineStr">
        <is>
          <t>DESLOCAMENTO</t>
        </is>
      </c>
      <c r="T419" s="120" t="n"/>
      <c r="U419" s="21" t="n"/>
      <c r="Y419" s="22" t="n"/>
      <c r="Z419" s="120" t="n"/>
      <c r="AB419" s="21" t="n"/>
      <c r="AF419" s="22" t="n"/>
      <c r="AG419" s="120" t="n"/>
      <c r="AH419" s="55" t="inlineStr">
        <is>
          <t>ATAQUE</t>
        </is>
      </c>
      <c r="AI419" s="55" t="inlineStr">
        <is>
          <t>CD</t>
        </is>
      </c>
      <c r="AJ419" s="55" t="inlineStr">
        <is>
          <t>DEFESA</t>
        </is>
      </c>
      <c r="AK419" s="55" t="inlineStr">
        <is>
          <t>VIDA MÁXIMA</t>
        </is>
      </c>
      <c r="AL419" s="55" t="inlineStr">
        <is>
          <t>DESLOCAMENTO</t>
        </is>
      </c>
      <c r="AM419" s="120" t="n"/>
      <c r="AN419" s="21" t="n"/>
      <c r="AR419" s="22" t="n"/>
      <c r="AS419" s="120" t="n"/>
    </row>
    <row r="420" hidden="1" outlineLevel="1">
      <c r="A420" s="8" t="n"/>
      <c r="B420" s="14" t="n"/>
      <c r="C420" s="120" t="n"/>
      <c r="D420" s="120" t="n"/>
      <c r="E420" s="120" t="n"/>
      <c r="F420" s="120" t="n"/>
      <c r="G420" s="120" t="n"/>
      <c r="I420" s="21" t="n"/>
      <c r="M420" s="22" t="n"/>
      <c r="N420" s="120" t="n"/>
      <c r="O420" s="92">
        <f>DADOS_INVOC!$GY$4</f>
        <v/>
      </c>
      <c r="P420" s="92">
        <f>DADOS_INVOC!$GZ$4</f>
        <v/>
      </c>
      <c r="Q420" s="92">
        <f>DADOS_INVOC!$FV$4</f>
        <v/>
      </c>
      <c r="R420" s="92">
        <f>DADOS_INVOC!$FX$4</f>
        <v/>
      </c>
      <c r="S420" s="92">
        <f>DADOS_INVOC!$HA$4</f>
        <v/>
      </c>
      <c r="T420" s="120" t="n"/>
      <c r="U420" s="23" t="n"/>
      <c r="V420" s="24" t="n"/>
      <c r="W420" s="24" t="n"/>
      <c r="X420" s="24" t="n"/>
      <c r="Y420" s="25" t="n"/>
      <c r="Z420" s="120" t="n"/>
      <c r="AB420" s="21" t="n"/>
      <c r="AF420" s="22" t="n"/>
      <c r="AG420" s="120" t="n"/>
      <c r="AH420" s="92">
        <f>DADOS_INVOC!$GY$10</f>
        <v/>
      </c>
      <c r="AI420" s="92">
        <f>DADOS_INVOC!$GZ$10</f>
        <v/>
      </c>
      <c r="AJ420" s="92">
        <f>DADOS_INVOC!$FV$10</f>
        <v/>
      </c>
      <c r="AK420" s="92">
        <f>DADOS_INVOC!$FX$10</f>
        <v/>
      </c>
      <c r="AL420" s="92">
        <f>DADOS_INVOC!$HA$10</f>
        <v/>
      </c>
      <c r="AM420" s="120" t="n"/>
      <c r="AN420" s="23" t="n"/>
      <c r="AO420" s="24" t="n"/>
      <c r="AP420" s="24" t="n"/>
      <c r="AQ420" s="24" t="n"/>
      <c r="AR420" s="25" t="n"/>
      <c r="AS420" s="120" t="n"/>
    </row>
    <row r="421" hidden="1" outlineLevel="1">
      <c r="A421" s="8" t="n"/>
      <c r="B421" s="14" t="n"/>
      <c r="C421" s="120" t="n"/>
      <c r="D421" s="120" t="n"/>
      <c r="E421" s="120" t="n"/>
      <c r="F421" s="120" t="n"/>
      <c r="G421" s="120" t="n"/>
      <c r="I421" s="21" t="n"/>
      <c r="M421" s="22" t="n"/>
      <c r="N421" s="120" t="n"/>
      <c r="O421" s="125" t="n"/>
      <c r="P421" s="125" t="n"/>
      <c r="Q421" s="125" t="n"/>
      <c r="R421" s="125" t="n"/>
      <c r="S421" s="125" t="n"/>
      <c r="T421" s="120" t="n"/>
      <c r="U421" s="120" t="n"/>
      <c r="V421" s="120" t="n"/>
      <c r="W421" s="120" t="n"/>
      <c r="X421" s="120" t="n"/>
      <c r="Y421" s="120" t="n"/>
      <c r="Z421" s="120" t="n"/>
      <c r="AB421" s="21" t="n"/>
      <c r="AF421" s="22" t="n"/>
      <c r="AG421" s="120" t="n"/>
      <c r="AH421" s="125" t="n"/>
      <c r="AI421" s="125" t="n"/>
      <c r="AJ421" s="125" t="n"/>
      <c r="AK421" s="125" t="n"/>
      <c r="AL421" s="125" t="n"/>
      <c r="AM421" s="120" t="n"/>
      <c r="AN421" s="120" t="n"/>
      <c r="AO421" s="120" t="n"/>
      <c r="AP421" s="120" t="n"/>
      <c r="AQ421" s="120" t="n"/>
      <c r="AR421" s="120" t="n"/>
      <c r="AS421" s="120" t="n"/>
    </row>
    <row r="422" hidden="1" outlineLevel="1">
      <c r="A422" s="8" t="n"/>
      <c r="B422" s="14" t="n"/>
      <c r="C422" s="120" t="n"/>
      <c r="D422" s="120" t="n"/>
      <c r="E422" s="120" t="n"/>
      <c r="F422" s="120" t="n"/>
      <c r="G422" s="120" t="n"/>
      <c r="I422" s="21" t="n"/>
      <c r="M422" s="22" t="n"/>
      <c r="N422" s="120" t="n"/>
      <c r="O422" s="144" t="n">
        <v>0</v>
      </c>
      <c r="P422" s="144" t="n">
        <v>0</v>
      </c>
      <c r="Q422" s="144" t="n">
        <v>0</v>
      </c>
      <c r="R422" s="144" t="n">
        <v>0</v>
      </c>
      <c r="S422" s="144" t="n">
        <v>0</v>
      </c>
      <c r="T422" s="120" t="n"/>
      <c r="U422" s="55" t="inlineStr">
        <is>
          <t>ANOTAÇÕES</t>
        </is>
      </c>
      <c r="V422" s="16" t="n"/>
      <c r="W422" s="16" t="n"/>
      <c r="X422" s="16" t="n"/>
      <c r="Y422" s="17" t="n"/>
      <c r="Z422" s="120" t="n"/>
      <c r="AB422" s="21" t="n"/>
      <c r="AF422" s="22" t="n"/>
      <c r="AG422" s="120" t="n"/>
      <c r="AH422" s="144" t="n">
        <v>0</v>
      </c>
      <c r="AI422" s="144" t="n">
        <v>0</v>
      </c>
      <c r="AJ422" s="144" t="n">
        <v>0</v>
      </c>
      <c r="AK422" s="144" t="n">
        <v>0</v>
      </c>
      <c r="AL422" s="144" t="n">
        <v>0</v>
      </c>
      <c r="AM422" s="120" t="n"/>
      <c r="AN422" s="55" t="inlineStr">
        <is>
          <t>ANOTAÇÕES</t>
        </is>
      </c>
      <c r="AO422" s="16" t="n"/>
      <c r="AP422" s="16" t="n"/>
      <c r="AQ422" s="16" t="n"/>
      <c r="AR422" s="17" t="n"/>
      <c r="AS422" s="120" t="n"/>
    </row>
    <row r="423" hidden="1" outlineLevel="1">
      <c r="A423" s="8" t="n"/>
      <c r="B423" s="14" t="n"/>
      <c r="C423" s="120" t="n"/>
      <c r="D423" s="120" t="n"/>
      <c r="E423" s="120" t="n"/>
      <c r="F423" s="120" t="n"/>
      <c r="G423" s="120" t="n"/>
      <c r="I423" s="21" t="n"/>
      <c r="M423" s="22" t="n"/>
      <c r="N423" s="120" t="n"/>
      <c r="O423" s="120" t="n"/>
      <c r="P423" s="120" t="n"/>
      <c r="Q423" s="120" t="n"/>
      <c r="R423" s="120" t="n"/>
      <c r="S423" s="120" t="n"/>
      <c r="T423" s="120" t="n"/>
      <c r="U423" s="116" t="n"/>
      <c r="V423" s="19" t="n"/>
      <c r="W423" s="19" t="n"/>
      <c r="X423" s="19" t="n"/>
      <c r="Y423" s="20" t="n"/>
      <c r="Z423" s="120" t="n"/>
      <c r="AB423" s="21" t="n"/>
      <c r="AF423" s="22" t="n"/>
      <c r="AG423" s="120" t="n"/>
      <c r="AH423" s="120" t="n"/>
      <c r="AI423" s="120" t="n"/>
      <c r="AJ423" s="120" t="n"/>
      <c r="AK423" s="120" t="n"/>
      <c r="AL423" s="120" t="n"/>
      <c r="AM423" s="120" t="n"/>
      <c r="AN423" s="116" t="n"/>
      <c r="AO423" s="19" t="n"/>
      <c r="AP423" s="19" t="n"/>
      <c r="AQ423" s="19" t="n"/>
      <c r="AR423" s="20" t="n"/>
      <c r="AS423" s="120" t="n"/>
    </row>
    <row r="424" hidden="1" outlineLevel="1">
      <c r="A424" s="8" t="n"/>
      <c r="B424" s="14" t="n"/>
      <c r="C424" s="120" t="n"/>
      <c r="D424" s="120" t="n"/>
      <c r="E424" s="120" t="n"/>
      <c r="F424" s="120" t="n"/>
      <c r="G424" s="120" t="n"/>
      <c r="I424" s="21" t="n"/>
      <c r="M424" s="22" t="n"/>
      <c r="N424" s="120" t="n"/>
      <c r="O424" s="55" t="inlineStr">
        <is>
          <t>FÍSICO</t>
        </is>
      </c>
      <c r="P424" s="55" t="inlineStr">
        <is>
          <t>VIGOR</t>
        </is>
      </c>
      <c r="Q424" s="55" t="inlineStr">
        <is>
          <t>INTELECTO</t>
        </is>
      </c>
      <c r="R424" s="55" t="inlineStr">
        <is>
          <t>ESPÍRITO</t>
        </is>
      </c>
      <c r="S424" s="55" t="inlineStr">
        <is>
          <t>CARGA MÁXIMA</t>
        </is>
      </c>
      <c r="T424" s="120" t="n"/>
      <c r="U424" s="21" t="n"/>
      <c r="Y424" s="22" t="n"/>
      <c r="Z424" s="120" t="n"/>
      <c r="AB424" s="21" t="n"/>
      <c r="AF424" s="22" t="n"/>
      <c r="AG424" s="120" t="n"/>
      <c r="AH424" s="55" t="inlineStr">
        <is>
          <t>FÍSICO</t>
        </is>
      </c>
      <c r="AI424" s="55" t="inlineStr">
        <is>
          <t>VIGOR</t>
        </is>
      </c>
      <c r="AJ424" s="55" t="inlineStr">
        <is>
          <t>INTELECTO</t>
        </is>
      </c>
      <c r="AK424" s="55" t="inlineStr">
        <is>
          <t>ESPÍRITO</t>
        </is>
      </c>
      <c r="AL424" s="55" t="inlineStr">
        <is>
          <t>CARGA MÁXIMA</t>
        </is>
      </c>
      <c r="AM424" s="120" t="n"/>
      <c r="AN424" s="21" t="n"/>
      <c r="AR424" s="22" t="n"/>
      <c r="AS424" s="120" t="n"/>
    </row>
    <row r="425" hidden="1" outlineLevel="1">
      <c r="A425" s="8" t="n"/>
      <c r="B425" s="14" t="n"/>
      <c r="C425" s="120" t="n"/>
      <c r="D425" s="120" t="n"/>
      <c r="E425" s="120" t="n"/>
      <c r="F425" s="120" t="n"/>
      <c r="G425" s="120" t="n"/>
      <c r="I425" s="21" t="n"/>
      <c r="M425" s="22" t="n"/>
      <c r="N425" s="120" t="n"/>
      <c r="O425" s="92">
        <f>DADOS_INVOC!$HB$4</f>
        <v/>
      </c>
      <c r="P425" s="92">
        <f>DADOS_INVOC!$HC$4</f>
        <v/>
      </c>
      <c r="Q425" s="92">
        <f>DADOS_INVOC!$HD$4</f>
        <v/>
      </c>
      <c r="R425" s="92">
        <f>DADOS_INVOC!$HE$4</f>
        <v/>
      </c>
      <c r="S425" s="92">
        <f>DADOS_INVOC!$GO$4</f>
        <v/>
      </c>
      <c r="T425" s="120" t="n"/>
      <c r="U425" s="21" t="n"/>
      <c r="Y425" s="22" t="n"/>
      <c r="Z425" s="120" t="n"/>
      <c r="AB425" s="21" t="n"/>
      <c r="AF425" s="22" t="n"/>
      <c r="AG425" s="120" t="n"/>
      <c r="AH425" s="92">
        <f>DADOS_INVOC!$HB$10</f>
        <v/>
      </c>
      <c r="AI425" s="92">
        <f>DADOS_INVOC!$HC$10</f>
        <v/>
      </c>
      <c r="AJ425" s="92">
        <f>DADOS_INVOC!$HD$10</f>
        <v/>
      </c>
      <c r="AK425" s="92">
        <f>DADOS_INVOC!$HE$10</f>
        <v/>
      </c>
      <c r="AL425" s="92">
        <f>DADOS_INVOC!$GO$10</f>
        <v/>
      </c>
      <c r="AM425" s="120" t="n"/>
      <c r="AN425" s="21" t="n"/>
      <c r="AR425" s="22" t="n"/>
      <c r="AS425" s="120" t="n"/>
    </row>
    <row r="426" hidden="1" outlineLevel="1">
      <c r="A426" s="8" t="n"/>
      <c r="B426" s="14" t="n"/>
      <c r="C426" s="120" t="n"/>
      <c r="D426" s="120" t="n"/>
      <c r="E426" s="120" t="n"/>
      <c r="F426" s="120" t="n"/>
      <c r="G426" s="120" t="n"/>
      <c r="I426" s="21" t="n"/>
      <c r="M426" s="22" t="n"/>
      <c r="N426" s="120" t="n"/>
      <c r="O426" s="125" t="n"/>
      <c r="P426" s="125" t="n"/>
      <c r="Q426" s="125" t="n"/>
      <c r="R426" s="125" t="n"/>
      <c r="S426" s="125" t="n"/>
      <c r="T426" s="120" t="n"/>
      <c r="U426" s="21" t="n"/>
      <c r="Y426" s="22" t="n"/>
      <c r="Z426" s="120" t="n"/>
      <c r="AB426" s="21" t="n"/>
      <c r="AF426" s="22" t="n"/>
      <c r="AG426" s="120" t="n"/>
      <c r="AH426" s="125" t="n"/>
      <c r="AI426" s="125" t="n"/>
      <c r="AJ426" s="125" t="n"/>
      <c r="AK426" s="125" t="n"/>
      <c r="AL426" s="125" t="n"/>
      <c r="AM426" s="120" t="n"/>
      <c r="AN426" s="21" t="n"/>
      <c r="AR426" s="22" t="n"/>
      <c r="AS426" s="120" t="n"/>
    </row>
    <row r="427" hidden="1" outlineLevel="1">
      <c r="A427" s="8" t="n"/>
      <c r="B427" s="14" t="n"/>
      <c r="C427" s="120" t="n"/>
      <c r="D427" s="120" t="n"/>
      <c r="E427" s="120" t="n"/>
      <c r="F427" s="120" t="n"/>
      <c r="G427" s="120" t="n"/>
      <c r="I427" s="21" t="n"/>
      <c r="M427" s="22" t="n"/>
      <c r="N427" s="120" t="n"/>
      <c r="O427" s="144" t="n">
        <v>0</v>
      </c>
      <c r="P427" s="144" t="n">
        <v>0</v>
      </c>
      <c r="Q427" s="144" t="n">
        <v>0</v>
      </c>
      <c r="R427" s="144" t="n">
        <v>0</v>
      </c>
      <c r="S427" s="120" t="n"/>
      <c r="T427" s="120" t="n"/>
      <c r="U427" s="21" t="n"/>
      <c r="Y427" s="22" t="n"/>
      <c r="Z427" s="120" t="n"/>
      <c r="AB427" s="21" t="n"/>
      <c r="AF427" s="22" t="n"/>
      <c r="AG427" s="120" t="n"/>
      <c r="AH427" s="144" t="n">
        <v>0</v>
      </c>
      <c r="AI427" s="144" t="n">
        <v>0</v>
      </c>
      <c r="AJ427" s="144" t="n">
        <v>0</v>
      </c>
      <c r="AK427" s="144" t="n">
        <v>0</v>
      </c>
      <c r="AL427" s="120" t="n"/>
      <c r="AM427" s="120" t="n"/>
      <c r="AN427" s="21" t="n"/>
      <c r="AR427" s="22" t="n"/>
      <c r="AS427" s="120" t="n"/>
    </row>
    <row r="428" hidden="1" outlineLevel="1">
      <c r="A428" s="8" t="n"/>
      <c r="B428" s="14" t="n"/>
      <c r="C428" s="120" t="n"/>
      <c r="D428" s="120" t="n"/>
      <c r="E428" s="120" t="n"/>
      <c r="F428" s="120" t="n"/>
      <c r="G428" s="120" t="n"/>
      <c r="I428" s="21" t="n"/>
      <c r="M428" s="22" t="n"/>
      <c r="N428" s="120" t="n"/>
      <c r="O428" s="120" t="n"/>
      <c r="P428" s="120" t="n"/>
      <c r="Q428" s="120" t="n"/>
      <c r="R428" s="120" t="n"/>
      <c r="S428" s="120" t="n"/>
      <c r="T428" s="120" t="n"/>
      <c r="U428" s="21" t="n"/>
      <c r="Y428" s="22" t="n"/>
      <c r="Z428" s="120" t="n"/>
      <c r="AB428" s="21" t="n"/>
      <c r="AF428" s="22" t="n"/>
      <c r="AG428" s="120" t="n"/>
      <c r="AH428" s="120" t="n"/>
      <c r="AI428" s="120" t="n"/>
      <c r="AJ428" s="120" t="n"/>
      <c r="AK428" s="120" t="n"/>
      <c r="AL428" s="120" t="n"/>
      <c r="AM428" s="120" t="n"/>
      <c r="AN428" s="21" t="n"/>
      <c r="AR428" s="22" t="n"/>
      <c r="AS428" s="120" t="n"/>
    </row>
    <row r="429" hidden="1" outlineLevel="1">
      <c r="A429" s="8" t="n"/>
      <c r="B429" s="14" t="n"/>
      <c r="C429" s="120" t="n"/>
      <c r="D429" s="120" t="n"/>
      <c r="E429" s="120" t="n"/>
      <c r="F429" s="120" t="n"/>
      <c r="G429" s="120" t="n"/>
      <c r="I429" s="21" t="n"/>
      <c r="M429" s="22" t="n"/>
      <c r="N429" s="120" t="n"/>
      <c r="O429" s="55" t="inlineStr">
        <is>
          <t>ATRIBUTO DE ACERTO</t>
        </is>
      </c>
      <c r="P429" s="17" t="n"/>
      <c r="Q429" s="55" t="inlineStr">
        <is>
          <t>FÍSICO USA</t>
        </is>
      </c>
      <c r="R429" s="17" t="n"/>
      <c r="S429" s="55" t="inlineStr">
        <is>
          <t>TR TREINADO</t>
        </is>
      </c>
      <c r="T429" s="120" t="n"/>
      <c r="U429" s="21" t="n"/>
      <c r="Y429" s="22" t="n"/>
      <c r="Z429" s="120" t="n"/>
      <c r="AB429" s="21" t="n"/>
      <c r="AF429" s="22" t="n"/>
      <c r="AG429" s="120" t="n"/>
      <c r="AH429" s="55" t="inlineStr">
        <is>
          <t>ATRIBUTO DE ACERTO</t>
        </is>
      </c>
      <c r="AI429" s="17" t="n"/>
      <c r="AJ429" s="55" t="inlineStr">
        <is>
          <t>FÍSICO USA</t>
        </is>
      </c>
      <c r="AK429" s="17" t="n"/>
      <c r="AL429" s="55" t="inlineStr">
        <is>
          <t>TR TREINADO</t>
        </is>
      </c>
      <c r="AM429" s="120" t="n"/>
      <c r="AN429" s="21" t="n"/>
      <c r="AR429" s="22" t="n"/>
      <c r="AS429" s="120" t="n"/>
    </row>
    <row r="430" hidden="1" outlineLevel="1">
      <c r="A430" s="8" t="n"/>
      <c r="B430" s="14" t="n"/>
      <c r="C430" s="120" t="n"/>
      <c r="D430" s="120" t="n"/>
      <c r="E430" s="120" t="n"/>
      <c r="F430" s="120" t="n"/>
      <c r="G430" s="120" t="n"/>
      <c r="I430" s="21" t="n"/>
      <c r="M430" s="22" t="n"/>
      <c r="N430" s="120" t="n"/>
      <c r="O430" s="124" t="n"/>
      <c r="P430" s="20" t="n"/>
      <c r="Q430" s="124" t="inlineStr">
        <is>
          <t>Força</t>
        </is>
      </c>
      <c r="R430" s="20" t="n"/>
      <c r="S430" s="124" t="n"/>
      <c r="T430" s="120" t="n"/>
      <c r="U430" s="21" t="n"/>
      <c r="Y430" s="22" t="n"/>
      <c r="Z430" s="120" t="n"/>
      <c r="AB430" s="21" t="n"/>
      <c r="AF430" s="22" t="n"/>
      <c r="AG430" s="120" t="n"/>
      <c r="AH430" s="124" t="n"/>
      <c r="AI430" s="20" t="n"/>
      <c r="AJ430" s="124" t="inlineStr">
        <is>
          <t>Força</t>
        </is>
      </c>
      <c r="AK430" s="20" t="n"/>
      <c r="AL430" s="124" t="n"/>
      <c r="AM430" s="120" t="n"/>
      <c r="AN430" s="21" t="n"/>
      <c r="AR430" s="22" t="n"/>
      <c r="AS430" s="120" t="n"/>
    </row>
    <row r="431" hidden="1" outlineLevel="1">
      <c r="A431" s="8" t="n"/>
      <c r="B431" s="14" t="n"/>
      <c r="C431" s="120" t="n"/>
      <c r="D431" s="120" t="n"/>
      <c r="E431" s="120" t="n"/>
      <c r="F431" s="120" t="n"/>
      <c r="G431" s="120" t="n"/>
      <c r="I431" s="21" t="n"/>
      <c r="M431" s="22" t="n"/>
      <c r="N431" s="120" t="n"/>
      <c r="O431" s="23" t="n"/>
      <c r="P431" s="25" t="n"/>
      <c r="Q431" s="23" t="n"/>
      <c r="R431" s="25" t="n"/>
      <c r="S431" s="125" t="n"/>
      <c r="T431" s="120" t="n"/>
      <c r="U431" s="21" t="n"/>
      <c r="Y431" s="22" t="n"/>
      <c r="Z431" s="120" t="n"/>
      <c r="AB431" s="21" t="n"/>
      <c r="AF431" s="22" t="n"/>
      <c r="AG431" s="120" t="n"/>
      <c r="AH431" s="23" t="n"/>
      <c r="AI431" s="25" t="n"/>
      <c r="AJ431" s="23" t="n"/>
      <c r="AK431" s="25" t="n"/>
      <c r="AL431" s="125" t="n"/>
      <c r="AM431" s="120" t="n"/>
      <c r="AN431" s="21" t="n"/>
      <c r="AR431" s="22" t="n"/>
      <c r="AS431" s="120" t="n"/>
    </row>
    <row r="432" hidden="1" outlineLevel="1">
      <c r="A432" s="8" t="n"/>
      <c r="B432" s="14" t="n"/>
      <c r="C432" s="120" t="n"/>
      <c r="D432" s="120" t="n"/>
      <c r="E432" s="120" t="n"/>
      <c r="F432" s="120" t="n"/>
      <c r="G432" s="120" t="n"/>
      <c r="I432" s="21" t="n"/>
      <c r="M432" s="22" t="n"/>
      <c r="N432" s="120" t="n"/>
      <c r="O432" s="120" t="n"/>
      <c r="P432" s="120" t="n"/>
      <c r="Q432" s="120" t="n"/>
      <c r="R432" s="120" t="n"/>
      <c r="S432" s="120" t="n"/>
      <c r="T432" s="120" t="n"/>
      <c r="U432" s="21" t="n"/>
      <c r="Y432" s="22" t="n"/>
      <c r="Z432" s="120" t="n"/>
      <c r="AB432" s="21" t="n"/>
      <c r="AF432" s="22" t="n"/>
      <c r="AG432" s="120" t="n"/>
      <c r="AH432" s="120" t="n"/>
      <c r="AI432" s="120" t="n"/>
      <c r="AJ432" s="120" t="n"/>
      <c r="AK432" s="120" t="n"/>
      <c r="AL432" s="120" t="n"/>
      <c r="AM432" s="120" t="n"/>
      <c r="AN432" s="21" t="n"/>
      <c r="AR432" s="22" t="n"/>
      <c r="AS432" s="120" t="n"/>
    </row>
    <row r="433" hidden="1" outlineLevel="1">
      <c r="A433" s="8" t="n"/>
      <c r="B433" s="14" t="n"/>
      <c r="C433" s="120" t="n"/>
      <c r="D433" s="120" t="n"/>
      <c r="E433" s="120" t="n"/>
      <c r="F433" s="120" t="n"/>
      <c r="G433" s="120" t="n"/>
      <c r="I433" s="21" t="n"/>
      <c r="M433" s="22" t="n"/>
      <c r="N433" s="120" t="n"/>
      <c r="O433" s="55">
        <f>DADOS_INVOC!$HF$4</f>
        <v/>
      </c>
      <c r="P433" s="16" t="n"/>
      <c r="Q433" s="16" t="n"/>
      <c r="R433" s="16" t="n"/>
      <c r="S433" s="17" t="n"/>
      <c r="T433" s="120" t="n"/>
      <c r="U433" s="21" t="n"/>
      <c r="Y433" s="22" t="n"/>
      <c r="Z433" s="120" t="n"/>
      <c r="AB433" s="21" t="n"/>
      <c r="AF433" s="22" t="n"/>
      <c r="AG433" s="120" t="n"/>
      <c r="AH433" s="55">
        <f>DADOS_INVOC!$HF$10</f>
        <v/>
      </c>
      <c r="AI433" s="16" t="n"/>
      <c r="AJ433" s="16" t="n"/>
      <c r="AK433" s="16" t="n"/>
      <c r="AL433" s="17" t="n"/>
      <c r="AM433" s="120" t="n"/>
      <c r="AN433" s="21" t="n"/>
      <c r="AR433" s="22" t="n"/>
      <c r="AS433" s="120" t="n"/>
    </row>
    <row r="434" hidden="1" outlineLevel="1">
      <c r="A434" s="8" t="n"/>
      <c r="B434" s="14" t="n"/>
      <c r="C434" s="120" t="n"/>
      <c r="D434" s="120" t="n"/>
      <c r="E434" s="120" t="n"/>
      <c r="F434" s="120" t="n"/>
      <c r="G434" s="120" t="n"/>
      <c r="I434" s="21" t="n"/>
      <c r="M434" s="22" t="n"/>
      <c r="N434" s="120" t="n"/>
      <c r="O434" s="130" t="n"/>
      <c r="P434" s="16" t="n"/>
      <c r="Q434" s="17" t="n"/>
      <c r="R434" s="124">
        <f>DADOS_INVOC!$HG$4</f>
        <v/>
      </c>
      <c r="S434" s="17" t="n"/>
      <c r="T434" s="120" t="n"/>
      <c r="U434" s="23" t="n"/>
      <c r="V434" s="24" t="n"/>
      <c r="W434" s="24" t="n"/>
      <c r="X434" s="24" t="n"/>
      <c r="Y434" s="25" t="n"/>
      <c r="Z434" s="120" t="n"/>
      <c r="AB434" s="21" t="n"/>
      <c r="AF434" s="22" t="n"/>
      <c r="AG434" s="120" t="n"/>
      <c r="AH434" s="130" t="n"/>
      <c r="AI434" s="16" t="n"/>
      <c r="AJ434" s="17" t="n"/>
      <c r="AK434" s="124">
        <f>DADOS_INVOC!$HG$10</f>
        <v/>
      </c>
      <c r="AL434" s="17" t="n"/>
      <c r="AM434" s="120" t="n"/>
      <c r="AN434" s="23" t="n"/>
      <c r="AO434" s="24" t="n"/>
      <c r="AP434" s="24" t="n"/>
      <c r="AQ434" s="24" t="n"/>
      <c r="AR434" s="25" t="n"/>
      <c r="AS434" s="120" t="n"/>
    </row>
    <row r="435" hidden="1" outlineLevel="1">
      <c r="A435" s="8" t="n"/>
      <c r="B435" s="14" t="n"/>
      <c r="C435" s="120" t="n"/>
      <c r="D435" s="120" t="n"/>
      <c r="E435" s="120" t="n"/>
      <c r="F435" s="120" t="n"/>
      <c r="G435" s="120" t="n"/>
      <c r="I435" s="21" t="n"/>
      <c r="M435" s="22" t="n"/>
      <c r="N435" s="120" t="n"/>
      <c r="O435" s="130" t="n"/>
      <c r="P435" s="16" t="n"/>
      <c r="Q435" s="17" t="n"/>
      <c r="R435" s="124">
        <f>DADOS_INVOC!$HH$4</f>
        <v/>
      </c>
      <c r="S435" s="17" t="n"/>
      <c r="T435" s="120" t="n"/>
      <c r="U435" s="120" t="n"/>
      <c r="V435" s="120" t="n"/>
      <c r="W435" s="120" t="n"/>
      <c r="X435" s="120" t="n"/>
      <c r="Y435" s="120" t="n"/>
      <c r="Z435" s="120" t="n"/>
      <c r="AB435" s="21" t="n"/>
      <c r="AF435" s="22" t="n"/>
      <c r="AG435" s="120" t="n"/>
      <c r="AH435" s="130" t="n"/>
      <c r="AI435" s="16" t="n"/>
      <c r="AJ435" s="17" t="n"/>
      <c r="AK435" s="124">
        <f>DADOS_INVOC!$HH$10</f>
        <v/>
      </c>
      <c r="AL435" s="17" t="n"/>
      <c r="AM435" s="120" t="n"/>
      <c r="AN435" s="120" t="n"/>
      <c r="AO435" s="120" t="n"/>
      <c r="AP435" s="120" t="n"/>
      <c r="AQ435" s="120" t="n"/>
      <c r="AR435" s="120" t="n"/>
      <c r="AS435" s="120" t="n"/>
    </row>
    <row r="436" hidden="1" outlineLevel="1">
      <c r="A436" s="8" t="n"/>
      <c r="B436" s="14" t="n"/>
      <c r="C436" s="120" t="n"/>
      <c r="D436" s="120" t="n"/>
      <c r="E436" s="120" t="n"/>
      <c r="F436" s="120" t="n"/>
      <c r="G436" s="120" t="n"/>
      <c r="I436" s="23" t="n"/>
      <c r="J436" s="24" t="n"/>
      <c r="K436" s="24" t="n"/>
      <c r="L436" s="24" t="n"/>
      <c r="M436" s="25" t="n"/>
      <c r="N436" s="120" t="n"/>
      <c r="O436" s="130" t="n"/>
      <c r="P436" s="16" t="n"/>
      <c r="Q436" s="17" t="n"/>
      <c r="R436" s="124">
        <f>DADOS_INVOC!$HI$4</f>
        <v/>
      </c>
      <c r="S436" s="17" t="n"/>
      <c r="T436" s="120" t="n"/>
      <c r="U436" s="55">
        <f>DADOS_INVOC!$HO$4</f>
        <v/>
      </c>
      <c r="V436" s="16" t="n"/>
      <c r="W436" s="16" t="n"/>
      <c r="X436" s="16" t="n"/>
      <c r="Y436" s="17" t="n"/>
      <c r="Z436" s="120" t="n"/>
      <c r="AB436" s="23" t="n"/>
      <c r="AC436" s="24" t="n"/>
      <c r="AD436" s="24" t="n"/>
      <c r="AE436" s="24" t="n"/>
      <c r="AF436" s="25" t="n"/>
      <c r="AG436" s="120" t="n"/>
      <c r="AH436" s="130" t="n"/>
      <c r="AI436" s="16" t="n"/>
      <c r="AJ436" s="17" t="n"/>
      <c r="AK436" s="124">
        <f>DADOS_INVOC!$HI$10</f>
        <v/>
      </c>
      <c r="AL436" s="17" t="n"/>
      <c r="AM436" s="120" t="n"/>
      <c r="AN436" s="55">
        <f>DADOS_INVOC!$HO$10</f>
        <v/>
      </c>
      <c r="AO436" s="16" t="n"/>
      <c r="AP436" s="16" t="n"/>
      <c r="AQ436" s="16" t="n"/>
      <c r="AR436" s="17" t="n"/>
      <c r="AS436" s="120" t="n"/>
    </row>
    <row r="437" hidden="1" outlineLevel="1">
      <c r="A437" s="8" t="n"/>
      <c r="B437" s="14" t="n"/>
      <c r="C437" s="120" t="n"/>
      <c r="D437" s="120" t="n"/>
      <c r="E437" s="120" t="n"/>
      <c r="F437" s="120" t="n"/>
      <c r="G437" s="120" t="n"/>
      <c r="I437" s="120" t="n"/>
      <c r="J437" s="120" t="n"/>
      <c r="K437" s="120" t="n"/>
      <c r="L437" s="120" t="n"/>
      <c r="M437" s="120" t="n"/>
      <c r="N437" s="120" t="n"/>
      <c r="O437" s="130" t="n"/>
      <c r="P437" s="16" t="n"/>
      <c r="Q437" s="17" t="n"/>
      <c r="R437" s="124">
        <f>DADOS_INVOC!$HJ$4</f>
        <v/>
      </c>
      <c r="S437" s="17" t="n"/>
      <c r="T437" s="120" t="n"/>
      <c r="U437" s="116" t="n"/>
      <c r="V437" s="19" t="n"/>
      <c r="W437" s="19" t="n"/>
      <c r="X437" s="19" t="n"/>
      <c r="Y437" s="20" t="n"/>
      <c r="Z437" s="120" t="n"/>
      <c r="AB437" s="120" t="n"/>
      <c r="AC437" s="120" t="n"/>
      <c r="AD437" s="120" t="n"/>
      <c r="AE437" s="120" t="n"/>
      <c r="AF437" s="120" t="n"/>
      <c r="AG437" s="120" t="n"/>
      <c r="AH437" s="130" t="n"/>
      <c r="AI437" s="16" t="n"/>
      <c r="AJ437" s="17" t="n"/>
      <c r="AK437" s="124">
        <f>DADOS_INVOC!$HJ$10</f>
        <v/>
      </c>
      <c r="AL437" s="17" t="n"/>
      <c r="AM437" s="120" t="n"/>
      <c r="AN437" s="116" t="n"/>
      <c r="AO437" s="19" t="n"/>
      <c r="AP437" s="19" t="n"/>
      <c r="AQ437" s="19" t="n"/>
      <c r="AR437" s="20" t="n"/>
      <c r="AS437" s="120" t="n"/>
    </row>
    <row r="438" hidden="1" outlineLevel="1">
      <c r="A438" s="8" t="n"/>
      <c r="B438" s="14" t="n"/>
      <c r="C438" s="120" t="n"/>
      <c r="D438" s="120" t="n"/>
      <c r="E438" s="120" t="n"/>
      <c r="F438" s="120" t="n"/>
      <c r="G438" s="120" t="n"/>
      <c r="I438" s="55" t="inlineStr">
        <is>
          <t>TIPO</t>
        </is>
      </c>
      <c r="J438" s="16" t="n"/>
      <c r="K438" s="16" t="n"/>
      <c r="L438" s="16" t="n"/>
      <c r="M438" s="17" t="n"/>
      <c r="N438" s="120" t="n"/>
      <c r="O438" s="130" t="n"/>
      <c r="P438" s="16" t="n"/>
      <c r="Q438" s="17" t="n"/>
      <c r="R438" s="124">
        <f>DADOS_INVOC!$HK$4</f>
        <v/>
      </c>
      <c r="S438" s="17" t="n"/>
      <c r="T438" s="120" t="n"/>
      <c r="U438" s="21" t="n"/>
      <c r="Y438" s="22" t="n"/>
      <c r="Z438" s="120" t="n"/>
      <c r="AB438" s="55" t="inlineStr">
        <is>
          <t>TIPO</t>
        </is>
      </c>
      <c r="AC438" s="16" t="n"/>
      <c r="AD438" s="16" t="n"/>
      <c r="AE438" s="16" t="n"/>
      <c r="AF438" s="17" t="n"/>
      <c r="AG438" s="120" t="n"/>
      <c r="AH438" s="130" t="n"/>
      <c r="AI438" s="16" t="n"/>
      <c r="AJ438" s="17" t="n"/>
      <c r="AK438" s="124">
        <f>DADOS_INVOC!$HK$10</f>
        <v/>
      </c>
      <c r="AL438" s="17" t="n"/>
      <c r="AM438" s="120" t="n"/>
      <c r="AN438" s="21" t="n"/>
      <c r="AR438" s="22" t="n"/>
      <c r="AS438" s="120" t="n"/>
    </row>
    <row r="439" hidden="1" outlineLevel="1">
      <c r="A439" s="8" t="n"/>
      <c r="B439" s="14" t="n"/>
      <c r="C439" s="120" t="n"/>
      <c r="D439" s="120" t="n"/>
      <c r="E439" s="120" t="n"/>
      <c r="F439" s="120" t="n"/>
      <c r="G439" s="120" t="n"/>
      <c r="I439" s="124" t="inlineStr">
        <is>
          <t>Shikigami de técnica</t>
        </is>
      </c>
      <c r="J439" s="19" t="n"/>
      <c r="K439" s="19" t="n"/>
      <c r="L439" s="19" t="n"/>
      <c r="M439" s="20" t="n"/>
      <c r="N439" s="120" t="n"/>
      <c r="O439" s="130" t="n"/>
      <c r="P439" s="16" t="n"/>
      <c r="Q439" s="17" t="n"/>
      <c r="R439" s="124">
        <f>DADOS_INVOC!$HL$4</f>
        <v/>
      </c>
      <c r="S439" s="17" t="n"/>
      <c r="T439" s="120" t="n"/>
      <c r="U439" s="23" t="n"/>
      <c r="V439" s="24" t="n"/>
      <c r="W439" s="24" t="n"/>
      <c r="X439" s="24" t="n"/>
      <c r="Y439" s="25" t="n"/>
      <c r="Z439" s="120" t="n"/>
      <c r="AB439" s="124" t="inlineStr">
        <is>
          <t>Shikigami de técnica</t>
        </is>
      </c>
      <c r="AC439" s="19" t="n"/>
      <c r="AD439" s="19" t="n"/>
      <c r="AE439" s="19" t="n"/>
      <c r="AF439" s="20" t="n"/>
      <c r="AG439" s="120" t="n"/>
      <c r="AH439" s="130" t="n"/>
      <c r="AI439" s="16" t="n"/>
      <c r="AJ439" s="17" t="n"/>
      <c r="AK439" s="124">
        <f>DADOS_INVOC!$HL$10</f>
        <v/>
      </c>
      <c r="AL439" s="17" t="n"/>
      <c r="AM439" s="120" t="n"/>
      <c r="AN439" s="23" t="n"/>
      <c r="AO439" s="24" t="n"/>
      <c r="AP439" s="24" t="n"/>
      <c r="AQ439" s="24" t="n"/>
      <c r="AR439" s="25" t="n"/>
      <c r="AS439" s="120" t="n"/>
    </row>
    <row r="440" hidden="1" outlineLevel="1">
      <c r="A440" s="8" t="n"/>
      <c r="B440" s="14" t="n"/>
      <c r="C440" s="120" t="n"/>
      <c r="D440" s="120" t="n"/>
      <c r="E440" s="120" t="n"/>
      <c r="F440" s="120" t="n"/>
      <c r="G440" s="120" t="n"/>
      <c r="I440" s="23" t="n"/>
      <c r="J440" s="24" t="n"/>
      <c r="K440" s="24" t="n"/>
      <c r="L440" s="24" t="n"/>
      <c r="M440" s="25" t="n"/>
      <c r="N440" s="120" t="n"/>
      <c r="O440" s="130" t="n"/>
      <c r="P440" s="16" t="n"/>
      <c r="Q440" s="17" t="n"/>
      <c r="R440" s="124">
        <f>DADOS_INVOC!$HM$4</f>
        <v/>
      </c>
      <c r="S440" s="17" t="n"/>
      <c r="T440" s="120" t="n"/>
      <c r="U440" s="120" t="n"/>
      <c r="V440" s="120" t="n"/>
      <c r="W440" s="120" t="n"/>
      <c r="X440" s="120" t="n"/>
      <c r="Y440" s="120" t="n"/>
      <c r="Z440" s="120" t="n"/>
      <c r="AB440" s="23" t="n"/>
      <c r="AC440" s="24" t="n"/>
      <c r="AD440" s="24" t="n"/>
      <c r="AE440" s="24" t="n"/>
      <c r="AF440" s="25" t="n"/>
      <c r="AG440" s="120" t="n"/>
      <c r="AH440" s="130" t="n"/>
      <c r="AI440" s="16" t="n"/>
      <c r="AJ440" s="17" t="n"/>
      <c r="AK440" s="124">
        <f>DADOS_INVOC!$HM$10</f>
        <v/>
      </c>
      <c r="AL440" s="17" t="n"/>
      <c r="AM440" s="120" t="n"/>
      <c r="AN440" s="120" t="n"/>
      <c r="AO440" s="120" t="n"/>
      <c r="AP440" s="120" t="n"/>
      <c r="AQ440" s="120" t="n"/>
      <c r="AR440" s="120" t="n"/>
      <c r="AS440" s="120" t="n"/>
    </row>
    <row r="441" hidden="1" outlineLevel="1">
      <c r="A441" s="8" t="n"/>
      <c r="B441" s="14" t="n"/>
      <c r="C441" s="120" t="n"/>
      <c r="D441" s="120" t="n"/>
      <c r="E441" s="120" t="n"/>
      <c r="F441" s="120" t="n"/>
      <c r="G441" s="120" t="n"/>
      <c r="I441" s="120" t="n"/>
      <c r="J441" s="120" t="n"/>
      <c r="K441" s="120" t="n"/>
      <c r="L441" s="120" t="n"/>
      <c r="M441" s="120" t="n"/>
      <c r="N441" s="120" t="n"/>
      <c r="O441" s="120" t="n"/>
      <c r="P441" s="120" t="n"/>
      <c r="Q441" s="120" t="n"/>
      <c r="R441" s="120" t="n"/>
      <c r="S441" s="120" t="n"/>
      <c r="T441" s="120" t="n"/>
      <c r="U441" s="55" t="inlineStr">
        <is>
          <t>CORPO, SENTIDOS E COMUNICAÇÃO</t>
        </is>
      </c>
      <c r="V441" s="16" t="n"/>
      <c r="W441" s="16" t="n"/>
      <c r="X441" s="16" t="n"/>
      <c r="Y441" s="17" t="n"/>
      <c r="Z441" s="120" t="n"/>
      <c r="AB441" s="120" t="n"/>
      <c r="AC441" s="120" t="n"/>
      <c r="AD441" s="120" t="n"/>
      <c r="AE441" s="120" t="n"/>
      <c r="AF441" s="120" t="n"/>
      <c r="AG441" s="120" t="n"/>
      <c r="AH441" s="120" t="n"/>
      <c r="AI441" s="120" t="n"/>
      <c r="AJ441" s="120" t="n"/>
      <c r="AK441" s="120" t="n"/>
      <c r="AL441" s="120" t="n"/>
      <c r="AM441" s="120" t="n"/>
      <c r="AN441" s="55" t="inlineStr">
        <is>
          <t>CORPO, SENTIDOS E COMUNICAÇÃO</t>
        </is>
      </c>
      <c r="AO441" s="16" t="n"/>
      <c r="AP441" s="16" t="n"/>
      <c r="AQ441" s="16" t="n"/>
      <c r="AR441" s="17" t="n"/>
      <c r="AS441" s="120" t="n"/>
    </row>
    <row r="442" hidden="1" outlineLevel="1">
      <c r="A442" s="8" t="n"/>
      <c r="B442" s="14" t="n"/>
      <c r="C442" s="120" t="n"/>
      <c r="D442" s="120" t="n"/>
      <c r="E442" s="120" t="n"/>
      <c r="F442" s="120" t="n"/>
      <c r="G442" s="120" t="n"/>
      <c r="I442" s="55" t="inlineStr">
        <is>
          <t>AQUISIÇÃO</t>
        </is>
      </c>
      <c r="J442" s="17" t="n"/>
      <c r="K442" s="55" t="inlineStr">
        <is>
          <t>OBTIDA NO NÍVEL</t>
        </is>
      </c>
      <c r="L442" s="55" t="inlineStr">
        <is>
          <t>TALISMÃ</t>
        </is>
      </c>
      <c r="M442" s="17" t="n"/>
      <c r="N442" s="120" t="n"/>
      <c r="O442" s="55">
        <f>DADOS_INVOC!$HP$4</f>
        <v/>
      </c>
      <c r="P442" s="16" t="n"/>
      <c r="Q442" s="16" t="n"/>
      <c r="R442" s="16" t="n"/>
      <c r="S442" s="17" t="n"/>
      <c r="T442" s="120" t="n"/>
      <c r="U442" s="116" t="n"/>
      <c r="V442" s="19" t="n"/>
      <c r="W442" s="19" t="n"/>
      <c r="X442" s="19" t="n"/>
      <c r="Y442" s="20" t="n"/>
      <c r="Z442" s="120" t="n"/>
      <c r="AB442" s="55" t="inlineStr">
        <is>
          <t>AQUISIÇÃO</t>
        </is>
      </c>
      <c r="AC442" s="17" t="n"/>
      <c r="AD442" s="55" t="inlineStr">
        <is>
          <t>OBTIDA NO NÍVEL</t>
        </is>
      </c>
      <c r="AE442" s="55" t="inlineStr">
        <is>
          <t>TALISMÃ</t>
        </is>
      </c>
      <c r="AF442" s="17" t="n"/>
      <c r="AG442" s="120" t="n"/>
      <c r="AH442" s="55">
        <f>DADOS_INVOC!$HP$10</f>
        <v/>
      </c>
      <c r="AI442" s="16" t="n"/>
      <c r="AJ442" s="16" t="n"/>
      <c r="AK442" s="16" t="n"/>
      <c r="AL442" s="17" t="n"/>
      <c r="AM442" s="120" t="n"/>
      <c r="AN442" s="116" t="n"/>
      <c r="AO442" s="19" t="n"/>
      <c r="AP442" s="19" t="n"/>
      <c r="AQ442" s="19" t="n"/>
      <c r="AR442" s="20" t="n"/>
      <c r="AS442" s="120" t="n"/>
    </row>
    <row r="443" hidden="1" outlineLevel="1">
      <c r="A443" s="8" t="n"/>
      <c r="B443" s="14" t="n"/>
      <c r="C443" s="120" t="n"/>
      <c r="D443" s="120" t="n"/>
      <c r="E443" s="120" t="n"/>
      <c r="F443" s="120" t="n"/>
      <c r="G443" s="120" t="n"/>
      <c r="I443" s="124" t="inlineStr">
        <is>
          <t>Espaço conhecido</t>
        </is>
      </c>
      <c r="J443" s="20" t="n"/>
      <c r="K443" s="124" t="n"/>
      <c r="L443" s="124" t="inlineStr">
        <is>
          <t>Sem carga</t>
        </is>
      </c>
      <c r="M443" s="20" t="n"/>
      <c r="N443" s="120" t="n"/>
      <c r="O443" s="55" t="inlineStr">
        <is>
          <t>LIVRE</t>
        </is>
      </c>
      <c r="P443" s="55" t="inlineStr">
        <is>
          <t>LIVRE · TRILHA</t>
        </is>
      </c>
      <c r="Q443" s="55" t="inlineStr">
        <is>
          <t>ABERTA</t>
        </is>
      </c>
      <c r="R443" s="55" t="inlineStr">
        <is>
          <t>ABERTA</t>
        </is>
      </c>
      <c r="S443" s="55" t="inlineStr">
        <is>
          <t>ABERTA · TRILHA</t>
        </is>
      </c>
      <c r="T443" s="120" t="n"/>
      <c r="U443" s="21" t="n"/>
      <c r="Y443" s="22" t="n"/>
      <c r="Z443" s="120" t="n"/>
      <c r="AB443" s="124" t="inlineStr">
        <is>
          <t>Espaço conhecido</t>
        </is>
      </c>
      <c r="AC443" s="20" t="n"/>
      <c r="AD443" s="124" t="n"/>
      <c r="AE443" s="124" t="inlineStr">
        <is>
          <t>Sem carga</t>
        </is>
      </c>
      <c r="AF443" s="20" t="n"/>
      <c r="AG443" s="120" t="n"/>
      <c r="AH443" s="55" t="inlineStr">
        <is>
          <t>LIVRE</t>
        </is>
      </c>
      <c r="AI443" s="55" t="inlineStr">
        <is>
          <t>LIVRE · TRILHA</t>
        </is>
      </c>
      <c r="AJ443" s="55" t="inlineStr">
        <is>
          <t>ABERTA</t>
        </is>
      </c>
      <c r="AK443" s="55" t="inlineStr">
        <is>
          <t>ABERTA</t>
        </is>
      </c>
      <c r="AL443" s="55" t="inlineStr">
        <is>
          <t>ABERTA · TRILHA</t>
        </is>
      </c>
      <c r="AM443" s="120" t="n"/>
      <c r="AN443" s="21" t="n"/>
      <c r="AR443" s="22" t="n"/>
      <c r="AS443" s="120" t="n"/>
    </row>
    <row r="444" hidden="1" outlineLevel="1">
      <c r="A444" s="8" t="n"/>
      <c r="B444" s="14" t="n"/>
      <c r="C444" s="120" t="n"/>
      <c r="D444" s="120" t="n"/>
      <c r="E444" s="120" t="n"/>
      <c r="F444" s="120" t="n"/>
      <c r="G444" s="120" t="n"/>
      <c r="I444" s="23" t="n"/>
      <c r="J444" s="25" t="n"/>
      <c r="K444" s="125" t="n"/>
      <c r="L444" s="23" t="n"/>
      <c r="M444" s="25" t="n"/>
      <c r="N444" s="120" t="n"/>
      <c r="O444" s="124" t="n"/>
      <c r="P444" s="124" t="n"/>
      <c r="Q444" s="124" t="n"/>
      <c r="R444" s="124" t="n"/>
      <c r="S444" s="124" t="n"/>
      <c r="T444" s="120" t="n"/>
      <c r="U444" s="21" t="n"/>
      <c r="Y444" s="22" t="n"/>
      <c r="Z444" s="120" t="n"/>
      <c r="AB444" s="23" t="n"/>
      <c r="AC444" s="25" t="n"/>
      <c r="AD444" s="125" t="n"/>
      <c r="AE444" s="23" t="n"/>
      <c r="AF444" s="25" t="n"/>
      <c r="AG444" s="120" t="n"/>
      <c r="AH444" s="124" t="n"/>
      <c r="AI444" s="124" t="n"/>
      <c r="AJ444" s="124" t="n"/>
      <c r="AK444" s="124" t="n"/>
      <c r="AL444" s="124" t="n"/>
      <c r="AM444" s="120" t="n"/>
      <c r="AN444" s="21" t="n"/>
      <c r="AR444" s="22" t="n"/>
      <c r="AS444" s="120" t="n"/>
    </row>
    <row r="445" hidden="1" outlineLevel="1">
      <c r="A445" s="8" t="n"/>
      <c r="B445" s="14" t="n"/>
      <c r="C445" s="120" t="n"/>
      <c r="D445" s="120" t="n"/>
      <c r="E445" s="120" t="n"/>
      <c r="F445" s="120" t="n"/>
      <c r="G445" s="120" t="n"/>
      <c r="I445" s="120" t="n"/>
      <c r="J445" s="120" t="n"/>
      <c r="K445" s="120" t="n"/>
      <c r="L445" s="120" t="n"/>
      <c r="M445" s="120" t="n"/>
      <c r="N445" s="120" t="n"/>
      <c r="O445" s="125" t="n"/>
      <c r="P445" s="125" t="n"/>
      <c r="Q445" s="125" t="n"/>
      <c r="R445" s="125" t="n"/>
      <c r="S445" s="125" t="n"/>
      <c r="T445" s="120" t="n"/>
      <c r="U445" s="23" t="n"/>
      <c r="V445" s="24" t="n"/>
      <c r="W445" s="24" t="n"/>
      <c r="X445" s="24" t="n"/>
      <c r="Y445" s="25" t="n"/>
      <c r="Z445" s="120" t="n"/>
      <c r="AB445" s="120" t="n"/>
      <c r="AC445" s="120" t="n"/>
      <c r="AD445" s="120" t="n"/>
      <c r="AE445" s="120" t="n"/>
      <c r="AF445" s="120" t="n"/>
      <c r="AG445" s="120" t="n"/>
      <c r="AH445" s="125" t="n"/>
      <c r="AI445" s="125" t="n"/>
      <c r="AJ445" s="125" t="n"/>
      <c r="AK445" s="125" t="n"/>
      <c r="AL445" s="125" t="n"/>
      <c r="AM445" s="120" t="n"/>
      <c r="AN445" s="23" t="n"/>
      <c r="AO445" s="24" t="n"/>
      <c r="AP445" s="24" t="n"/>
      <c r="AQ445" s="24" t="n"/>
      <c r="AR445" s="25" t="n"/>
      <c r="AS445" s="120" t="n"/>
    </row>
    <row r="446" hidden="1" outlineLevel="1">
      <c r="A446" s="8" t="n"/>
      <c r="B446" s="14" t="n"/>
      <c r="C446" s="120" t="n"/>
      <c r="D446" s="120" t="n"/>
      <c r="E446" s="120" t="n"/>
      <c r="F446" s="120" t="n"/>
      <c r="G446" s="120" t="n"/>
      <c r="I446" s="120" t="n"/>
      <c r="J446" s="120" t="n"/>
      <c r="K446" s="120" t="n"/>
      <c r="L446" s="120" t="n"/>
      <c r="M446" s="120" t="n"/>
      <c r="N446" s="120" t="n"/>
      <c r="O446" s="120" t="n"/>
      <c r="P446" s="120" t="n"/>
      <c r="Q446" s="120" t="n"/>
      <c r="R446" s="120" t="n"/>
      <c r="S446" s="120" t="n"/>
      <c r="T446" s="120" t="n"/>
      <c r="U446" s="120" t="n"/>
      <c r="V446" s="120" t="n"/>
      <c r="W446" s="120" t="n"/>
      <c r="X446" s="120" t="n"/>
      <c r="Y446" s="120" t="n"/>
      <c r="Z446" s="120" t="n"/>
      <c r="AB446" s="120" t="n"/>
      <c r="AC446" s="120" t="n"/>
      <c r="AD446" s="120" t="n"/>
      <c r="AE446" s="120" t="n"/>
      <c r="AF446" s="120" t="n"/>
      <c r="AG446" s="120" t="n"/>
      <c r="AH446" s="120" t="n"/>
      <c r="AI446" s="120" t="n"/>
      <c r="AJ446" s="120" t="n"/>
      <c r="AK446" s="120" t="n"/>
      <c r="AL446" s="120" t="n"/>
      <c r="AM446" s="120" t="n"/>
      <c r="AN446" s="120" t="n"/>
      <c r="AO446" s="120" t="n"/>
      <c r="AP446" s="120" t="n"/>
      <c r="AQ446" s="120" t="n"/>
      <c r="AR446" s="120" t="n"/>
      <c r="AS446" s="120" t="n"/>
    </row>
    <row r="447" hidden="1" outlineLevel="1">
      <c r="A447" s="8" t="n"/>
      <c r="B447" s="14" t="n"/>
      <c r="C447" s="120" t="n"/>
      <c r="D447" s="120" t="n"/>
      <c r="E447" s="120" t="n"/>
      <c r="F447" s="120" t="n"/>
      <c r="G447" s="120"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0"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0" t="n"/>
    </row>
    <row r="448" hidden="1" outlineLevel="1">
      <c r="A448" s="8" t="n"/>
      <c r="B448" s="14" t="n"/>
      <c r="C448" s="120" t="n"/>
      <c r="D448" s="120" t="n"/>
      <c r="E448" s="120" t="n"/>
      <c r="F448" s="120" t="n"/>
      <c r="G448" s="120" t="n"/>
      <c r="I448" s="116" t="n"/>
      <c r="J448" s="19" t="n"/>
      <c r="K448" s="19" t="n"/>
      <c r="L448" s="19" t="n"/>
      <c r="M448" s="19" t="n"/>
      <c r="N448" s="19" t="n"/>
      <c r="O448" s="19" t="n"/>
      <c r="P448" s="19" t="n"/>
      <c r="Q448" s="19" t="n"/>
      <c r="R448" s="19" t="n"/>
      <c r="S448" s="19" t="n"/>
      <c r="T448" s="19" t="n"/>
      <c r="U448" s="19" t="n"/>
      <c r="V448" s="19" t="n"/>
      <c r="W448" s="19" t="n"/>
      <c r="X448" s="19" t="n"/>
      <c r="Y448" s="20" t="n"/>
      <c r="Z448" s="120" t="n"/>
      <c r="AB448" s="116" t="n"/>
      <c r="AC448" s="19" t="n"/>
      <c r="AD448" s="19" t="n"/>
      <c r="AE448" s="19" t="n"/>
      <c r="AF448" s="19" t="n"/>
      <c r="AG448" s="19" t="n"/>
      <c r="AH448" s="19" t="n"/>
      <c r="AI448" s="19" t="n"/>
      <c r="AJ448" s="19" t="n"/>
      <c r="AK448" s="19" t="n"/>
      <c r="AL448" s="19" t="n"/>
      <c r="AM448" s="19" t="n"/>
      <c r="AN448" s="19" t="n"/>
      <c r="AO448" s="19" t="n"/>
      <c r="AP448" s="19" t="n"/>
      <c r="AQ448" s="19" t="n"/>
      <c r="AR448" s="20" t="n"/>
      <c r="AS448" s="120" t="n"/>
    </row>
    <row r="449" hidden="1" outlineLevel="1">
      <c r="A449" s="8" t="n"/>
      <c r="B449" s="14" t="n"/>
      <c r="C449" s="120" t="n"/>
      <c r="D449" s="120" t="n"/>
      <c r="E449" s="120" t="n"/>
      <c r="F449" s="120" t="n"/>
      <c r="G449" s="120" t="n"/>
      <c r="I449" s="23" t="n"/>
      <c r="J449" s="24" t="n"/>
      <c r="K449" s="24" t="n"/>
      <c r="L449" s="24" t="n"/>
      <c r="M449" s="24" t="n"/>
      <c r="N449" s="24" t="n"/>
      <c r="O449" s="24" t="n"/>
      <c r="P449" s="24" t="n"/>
      <c r="Q449" s="24" t="n"/>
      <c r="R449" s="24" t="n"/>
      <c r="S449" s="24" t="n"/>
      <c r="T449" s="24" t="n"/>
      <c r="U449" s="24" t="n"/>
      <c r="V449" s="24" t="n"/>
      <c r="W449" s="24" t="n"/>
      <c r="X449" s="24" t="n"/>
      <c r="Y449" s="25" t="n"/>
      <c r="Z449" s="120"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0" t="n"/>
    </row>
    <row r="450" hidden="1" outlineLevel="1">
      <c r="A450" s="8" t="n"/>
      <c r="B450" s="14" t="n"/>
      <c r="C450" s="120" t="n"/>
      <c r="D450" s="120" t="n"/>
      <c r="E450" s="120" t="n"/>
      <c r="F450" s="120" t="n"/>
      <c r="G450" s="120" t="n"/>
      <c r="I450" s="120" t="n"/>
      <c r="J450" s="120" t="n"/>
      <c r="K450" s="120" t="n"/>
      <c r="L450" s="120" t="n"/>
      <c r="M450" s="120" t="n"/>
      <c r="N450" s="120" t="n"/>
      <c r="O450" s="120" t="n"/>
      <c r="P450" s="120" t="n"/>
      <c r="Q450" s="120" t="n"/>
      <c r="R450" s="120" t="n"/>
      <c r="S450" s="120" t="n"/>
      <c r="T450" s="120" t="n"/>
      <c r="U450" s="120" t="n"/>
      <c r="V450" s="120" t="n"/>
      <c r="W450" s="120" t="n"/>
      <c r="X450" s="120" t="n"/>
      <c r="Y450" s="120" t="n"/>
      <c r="Z450" s="120" t="n"/>
      <c r="AB450" s="120" t="n"/>
      <c r="AC450" s="120" t="n"/>
      <c r="AD450" s="120" t="n"/>
      <c r="AE450" s="120" t="n"/>
      <c r="AF450" s="120" t="n"/>
      <c r="AG450" s="120" t="n"/>
      <c r="AH450" s="120" t="n"/>
      <c r="AI450" s="120" t="n"/>
      <c r="AJ450" s="120" t="n"/>
      <c r="AK450" s="120" t="n"/>
      <c r="AL450" s="120" t="n"/>
      <c r="AM450" s="120" t="n"/>
      <c r="AN450" s="120" t="n"/>
      <c r="AO450" s="120" t="n"/>
      <c r="AP450" s="120" t="n"/>
      <c r="AQ450" s="120" t="n"/>
      <c r="AR450" s="120" t="n"/>
      <c r="AS450" s="120" t="n"/>
    </row>
    <row r="451" hidden="1" outlineLevel="1">
      <c r="A451" s="8" t="n"/>
      <c r="B451" s="14" t="n"/>
      <c r="C451" s="120" t="n"/>
      <c r="D451" s="120" t="n"/>
      <c r="E451" s="120" t="n"/>
      <c r="F451" s="120" t="n"/>
      <c r="G451" s="120" t="n"/>
      <c r="I451" s="133">
        <f>DADOS_INVOC!$HQ$4</f>
        <v/>
      </c>
      <c r="J451" s="16" t="n"/>
      <c r="K451" s="16" t="n"/>
      <c r="L451" s="16" t="n"/>
      <c r="M451" s="16" t="n"/>
      <c r="N451" s="16" t="n"/>
      <c r="O451" s="16" t="n"/>
      <c r="P451" s="16" t="n"/>
      <c r="Q451" s="16" t="n"/>
      <c r="R451" s="16" t="n"/>
      <c r="S451" s="16" t="n"/>
      <c r="T451" s="16" t="n"/>
      <c r="U451" s="16" t="n"/>
      <c r="V451" s="16" t="n"/>
      <c r="W451" s="16" t="n"/>
      <c r="X451" s="16" t="n"/>
      <c r="Y451" s="17" t="n"/>
      <c r="Z451" s="120" t="n"/>
      <c r="AB451" s="133">
        <f>DADOS_INVOC!$HQ$10</f>
        <v/>
      </c>
      <c r="AC451" s="16" t="n"/>
      <c r="AD451" s="16" t="n"/>
      <c r="AE451" s="16" t="n"/>
      <c r="AF451" s="16" t="n"/>
      <c r="AG451" s="16" t="n"/>
      <c r="AH451" s="16" t="n"/>
      <c r="AI451" s="16" t="n"/>
      <c r="AJ451" s="16" t="n"/>
      <c r="AK451" s="16" t="n"/>
      <c r="AL451" s="16" t="n"/>
      <c r="AM451" s="16" t="n"/>
      <c r="AN451" s="16" t="n"/>
      <c r="AO451" s="16" t="n"/>
      <c r="AP451" s="16" t="n"/>
      <c r="AQ451" s="16" t="n"/>
      <c r="AR451" s="17" t="n"/>
      <c r="AS451" s="120" t="n"/>
    </row>
    <row r="452" hidden="1" outlineLevel="1">
      <c r="A452" s="8" t="n"/>
      <c r="B452" s="14" t="n"/>
      <c r="C452" s="120" t="n"/>
      <c r="D452" s="120" t="n"/>
      <c r="E452" s="120" t="n"/>
      <c r="F452" s="120" t="n"/>
      <c r="G452" s="120" t="n"/>
      <c r="I452" s="120" t="n"/>
      <c r="J452" s="120" t="n"/>
      <c r="K452" s="120" t="n"/>
      <c r="L452" s="120" t="n"/>
      <c r="M452" s="120" t="n"/>
      <c r="N452" s="120" t="n"/>
      <c r="O452" s="120" t="n"/>
      <c r="P452" s="120" t="n"/>
      <c r="Q452" s="120" t="n"/>
      <c r="R452" s="120" t="n"/>
      <c r="S452" s="120" t="n"/>
      <c r="T452" s="120" t="n"/>
      <c r="U452" s="120" t="n"/>
      <c r="V452" s="120" t="n"/>
      <c r="W452" s="120" t="n"/>
      <c r="X452" s="120" t="n"/>
      <c r="Y452" s="120" t="n"/>
      <c r="Z452" s="120" t="n"/>
      <c r="AB452" s="120" t="n"/>
      <c r="AC452" s="120" t="n"/>
      <c r="AD452" s="120" t="n"/>
      <c r="AE452" s="120" t="n"/>
      <c r="AF452" s="120" t="n"/>
      <c r="AG452" s="120" t="n"/>
      <c r="AH452" s="120" t="n"/>
      <c r="AI452" s="120" t="n"/>
      <c r="AJ452" s="120" t="n"/>
      <c r="AK452" s="120" t="n"/>
      <c r="AL452" s="120" t="n"/>
      <c r="AM452" s="120" t="n"/>
      <c r="AN452" s="120" t="n"/>
      <c r="AO452" s="120" t="n"/>
      <c r="AP452" s="120" t="n"/>
      <c r="AQ452" s="120" t="n"/>
      <c r="AR452" s="120" t="n"/>
      <c r="AS452" s="120" t="n"/>
    </row>
    <row r="453" hidden="1" outlineLevel="1">
      <c r="A453" s="8" t="n"/>
      <c r="B453" s="14" t="n"/>
      <c r="C453" s="120" t="n"/>
      <c r="D453" s="120" t="n"/>
      <c r="E453" s="120" t="n"/>
      <c r="F453" s="120" t="n"/>
      <c r="G453" s="120" t="n"/>
      <c r="I453" s="55">
        <f>DADOS_INVOC!$PI$28</f>
        <v/>
      </c>
      <c r="J453" s="16" t="n"/>
      <c r="K453" s="16" t="n"/>
      <c r="L453" s="16" t="n"/>
      <c r="M453" s="17" t="n"/>
      <c r="N453" s="120" t="n"/>
      <c r="O453" s="55">
        <f>DADOS_INVOC!$PI$29</f>
        <v/>
      </c>
      <c r="P453" s="16" t="n"/>
      <c r="Q453" s="16" t="n"/>
      <c r="R453" s="16" t="n"/>
      <c r="S453" s="17" t="n"/>
      <c r="T453" s="120" t="n"/>
      <c r="U453" s="55">
        <f>DADOS_INVOC!$PI$30</f>
        <v/>
      </c>
      <c r="V453" s="16" t="n"/>
      <c r="W453" s="16" t="n"/>
      <c r="X453" s="16" t="n"/>
      <c r="Y453" s="17" t="n"/>
      <c r="Z453" s="120" t="n"/>
      <c r="AB453" s="55">
        <f>DADOS_INVOC!$PI$106</f>
        <v/>
      </c>
      <c r="AC453" s="16" t="n"/>
      <c r="AD453" s="16" t="n"/>
      <c r="AE453" s="16" t="n"/>
      <c r="AF453" s="17" t="n"/>
      <c r="AG453" s="120" t="n"/>
      <c r="AH453" s="55">
        <f>DADOS_INVOC!$PI$107</f>
        <v/>
      </c>
      <c r="AI453" s="16" t="n"/>
      <c r="AJ453" s="16" t="n"/>
      <c r="AK453" s="16" t="n"/>
      <c r="AL453" s="17" t="n"/>
      <c r="AM453" s="120" t="n"/>
      <c r="AN453" s="55">
        <f>DADOS_INVOC!$PI$108</f>
        <v/>
      </c>
      <c r="AO453" s="16" t="n"/>
      <c r="AP453" s="16" t="n"/>
      <c r="AQ453" s="16" t="n"/>
      <c r="AR453" s="17" t="n"/>
      <c r="AS453" s="120" t="n"/>
    </row>
    <row r="454" hidden="1" outlineLevel="1">
      <c r="A454" s="8" t="n"/>
      <c r="B454" s="14" t="n"/>
      <c r="C454" s="120" t="n"/>
      <c r="D454" s="120" t="n"/>
      <c r="E454" s="120" t="n"/>
      <c r="F454" s="120" t="n"/>
      <c r="G454" s="120" t="n"/>
      <c r="I454" s="127" t="n">
        <v>0</v>
      </c>
      <c r="J454" s="115" t="n"/>
      <c r="K454" s="16" t="n"/>
      <c r="L454" s="17" t="n"/>
      <c r="M454" s="128">
        <f>DADOS_INVOC!$PG$28</f>
        <v/>
      </c>
      <c r="N454" s="120" t="n"/>
      <c r="O454" s="127" t="n">
        <v>1</v>
      </c>
      <c r="P454" s="115" t="n"/>
      <c r="Q454" s="16" t="n"/>
      <c r="R454" s="17" t="n"/>
      <c r="S454" s="128">
        <f>DADOS_INVOC!$PG$29</f>
        <v/>
      </c>
      <c r="T454" s="120" t="n"/>
      <c r="U454" s="127" t="n">
        <v>1</v>
      </c>
      <c r="V454" s="115" t="n"/>
      <c r="W454" s="16" t="n"/>
      <c r="X454" s="17" t="n"/>
      <c r="Y454" s="128">
        <f>DADOS_INVOC!$PG$30</f>
        <v/>
      </c>
      <c r="Z454" s="120" t="n"/>
      <c r="AB454" s="127" t="n">
        <v>0</v>
      </c>
      <c r="AC454" s="115" t="n"/>
      <c r="AD454" s="16" t="n"/>
      <c r="AE454" s="17" t="n"/>
      <c r="AF454" s="128">
        <f>DADOS_INVOC!$PG$106</f>
        <v/>
      </c>
      <c r="AG454" s="120" t="n"/>
      <c r="AH454" s="127" t="n">
        <v>1</v>
      </c>
      <c r="AI454" s="115" t="n"/>
      <c r="AJ454" s="16" t="n"/>
      <c r="AK454" s="17" t="n"/>
      <c r="AL454" s="128">
        <f>DADOS_INVOC!$PG$107</f>
        <v/>
      </c>
      <c r="AM454" s="120" t="n"/>
      <c r="AN454" s="127" t="n">
        <v>1</v>
      </c>
      <c r="AO454" s="115" t="n"/>
      <c r="AP454" s="16" t="n"/>
      <c r="AQ454" s="17" t="n"/>
      <c r="AR454" s="128">
        <f>DADOS_INVOC!$PG$108</f>
        <v/>
      </c>
      <c r="AS454" s="120" t="n"/>
    </row>
    <row r="455" hidden="1" outlineLevel="2">
      <c r="A455" s="8" t="n"/>
      <c r="B455" s="14" t="n"/>
      <c r="C455" s="120" t="n"/>
      <c r="D455" s="120" t="n"/>
      <c r="E455" s="120" t="n"/>
      <c r="F455" s="120" t="n"/>
      <c r="G455" s="120" t="n"/>
      <c r="I455" s="55" t="inlineStr">
        <is>
          <t>COMO É</t>
        </is>
      </c>
      <c r="J455" s="16" t="n"/>
      <c r="K455" s="16" t="n"/>
      <c r="L455" s="16" t="n"/>
      <c r="M455" s="17" t="n"/>
      <c r="N455" s="120" t="n"/>
      <c r="O455" s="55" t="inlineStr">
        <is>
          <t>COMO É</t>
        </is>
      </c>
      <c r="P455" s="16" t="n"/>
      <c r="Q455" s="16" t="n"/>
      <c r="R455" s="16" t="n"/>
      <c r="S455" s="17" t="n"/>
      <c r="T455" s="120" t="n"/>
      <c r="U455" s="55" t="inlineStr">
        <is>
          <t>COMO É</t>
        </is>
      </c>
      <c r="V455" s="16" t="n"/>
      <c r="W455" s="16" t="n"/>
      <c r="X455" s="16" t="n"/>
      <c r="Y455" s="17" t="n"/>
      <c r="Z455" s="120" t="n"/>
      <c r="AB455" s="55" t="inlineStr">
        <is>
          <t>COMO É</t>
        </is>
      </c>
      <c r="AC455" s="16" t="n"/>
      <c r="AD455" s="16" t="n"/>
      <c r="AE455" s="16" t="n"/>
      <c r="AF455" s="17" t="n"/>
      <c r="AG455" s="120" t="n"/>
      <c r="AH455" s="55" t="inlineStr">
        <is>
          <t>COMO É</t>
        </is>
      </c>
      <c r="AI455" s="16" t="n"/>
      <c r="AJ455" s="16" t="n"/>
      <c r="AK455" s="16" t="n"/>
      <c r="AL455" s="17" t="n"/>
      <c r="AM455" s="120" t="n"/>
      <c r="AN455" s="55" t="inlineStr">
        <is>
          <t>COMO É</t>
        </is>
      </c>
      <c r="AO455" s="16" t="n"/>
      <c r="AP455" s="16" t="n"/>
      <c r="AQ455" s="16" t="n"/>
      <c r="AR455" s="17" t="n"/>
      <c r="AS455" s="120" t="n"/>
    </row>
    <row r="456" hidden="1" outlineLevel="2">
      <c r="A456" s="8" t="n"/>
      <c r="B456" s="14" t="n"/>
      <c r="C456" s="120" t="n"/>
      <c r="D456" s="120" t="n"/>
      <c r="E456" s="120" t="n"/>
      <c r="F456" s="120" t="n"/>
      <c r="G456" s="120" t="n"/>
      <c r="I456" s="116" t="n"/>
      <c r="J456" s="19" t="n"/>
      <c r="K456" s="19" t="n"/>
      <c r="L456" s="19" t="n"/>
      <c r="M456" s="20" t="n"/>
      <c r="N456" s="120" t="n"/>
      <c r="O456" s="116" t="n"/>
      <c r="P456" s="19" t="n"/>
      <c r="Q456" s="19" t="n"/>
      <c r="R456" s="19" t="n"/>
      <c r="S456" s="20" t="n"/>
      <c r="T456" s="120" t="n"/>
      <c r="U456" s="116" t="n"/>
      <c r="V456" s="19" t="n"/>
      <c r="W456" s="19" t="n"/>
      <c r="X456" s="19" t="n"/>
      <c r="Y456" s="20" t="n"/>
      <c r="Z456" s="120" t="n"/>
      <c r="AB456" s="116" t="n"/>
      <c r="AC456" s="19" t="n"/>
      <c r="AD456" s="19" t="n"/>
      <c r="AE456" s="19" t="n"/>
      <c r="AF456" s="20" t="n"/>
      <c r="AG456" s="120" t="n"/>
      <c r="AH456" s="116" t="n"/>
      <c r="AI456" s="19" t="n"/>
      <c r="AJ456" s="19" t="n"/>
      <c r="AK456" s="19" t="n"/>
      <c r="AL456" s="20" t="n"/>
      <c r="AM456" s="120" t="n"/>
      <c r="AN456" s="116" t="n"/>
      <c r="AO456" s="19" t="n"/>
      <c r="AP456" s="19" t="n"/>
      <c r="AQ456" s="19" t="n"/>
      <c r="AR456" s="20" t="n"/>
      <c r="AS456" s="120" t="n"/>
    </row>
    <row r="457" hidden="1" outlineLevel="2">
      <c r="A457" s="8" t="n"/>
      <c r="B457" s="14" t="n"/>
      <c r="C457" s="120" t="n"/>
      <c r="D457" s="120" t="n"/>
      <c r="E457" s="120" t="n"/>
      <c r="F457" s="120" t="n"/>
      <c r="G457" s="120" t="n"/>
      <c r="I457" s="21" t="n"/>
      <c r="M457" s="22" t="n"/>
      <c r="N457" s="120" t="n"/>
      <c r="O457" s="21" t="n"/>
      <c r="S457" s="22" t="n"/>
      <c r="T457" s="120" t="n"/>
      <c r="U457" s="21" t="n"/>
      <c r="Y457" s="22" t="n"/>
      <c r="Z457" s="120" t="n"/>
      <c r="AB457" s="21" t="n"/>
      <c r="AF457" s="22" t="n"/>
      <c r="AG457" s="120" t="n"/>
      <c r="AH457" s="21" t="n"/>
      <c r="AL457" s="22" t="n"/>
      <c r="AM457" s="120" t="n"/>
      <c r="AN457" s="21" t="n"/>
      <c r="AR457" s="22" t="n"/>
      <c r="AS457" s="120" t="n"/>
    </row>
    <row r="458" hidden="1" outlineLevel="2">
      <c r="A458" s="8" t="n"/>
      <c r="B458" s="14" t="n"/>
      <c r="C458" s="120" t="n"/>
      <c r="D458" s="120" t="n"/>
      <c r="E458" s="120" t="n"/>
      <c r="F458" s="120" t="n"/>
      <c r="G458" s="120" t="n"/>
      <c r="I458" s="23" t="n"/>
      <c r="J458" s="24" t="n"/>
      <c r="K458" s="24" t="n"/>
      <c r="L458" s="24" t="n"/>
      <c r="M458" s="25" t="n"/>
      <c r="N458" s="120" t="n"/>
      <c r="O458" s="23" t="n"/>
      <c r="P458" s="24" t="n"/>
      <c r="Q458" s="24" t="n"/>
      <c r="R458" s="24" t="n"/>
      <c r="S458" s="25" t="n"/>
      <c r="T458" s="120" t="n"/>
      <c r="U458" s="23" t="n"/>
      <c r="V458" s="24" t="n"/>
      <c r="W458" s="24" t="n"/>
      <c r="X458" s="24" t="n"/>
      <c r="Y458" s="25" t="n"/>
      <c r="Z458" s="120" t="n"/>
      <c r="AB458" s="23" t="n"/>
      <c r="AC458" s="24" t="n"/>
      <c r="AD458" s="24" t="n"/>
      <c r="AE458" s="24" t="n"/>
      <c r="AF458" s="25" t="n"/>
      <c r="AG458" s="120" t="n"/>
      <c r="AH458" s="23" t="n"/>
      <c r="AI458" s="24" t="n"/>
      <c r="AJ458" s="24" t="n"/>
      <c r="AK458" s="24" t="n"/>
      <c r="AL458" s="25" t="n"/>
      <c r="AM458" s="120" t="n"/>
      <c r="AN458" s="23" t="n"/>
      <c r="AO458" s="24" t="n"/>
      <c r="AP458" s="24" t="n"/>
      <c r="AQ458" s="24" t="n"/>
      <c r="AR458" s="25" t="n"/>
      <c r="AS458" s="120" t="n"/>
    </row>
    <row r="459" hidden="1" outlineLevel="1">
      <c r="A459" s="8" t="n"/>
      <c r="B459" s="14" t="n"/>
      <c r="C459" s="120" t="n"/>
      <c r="D459" s="120" t="n"/>
      <c r="E459" s="120" t="n"/>
      <c r="F459" s="120" t="n"/>
      <c r="G459" s="120" t="n"/>
      <c r="I459" s="124" t="inlineStr">
        <is>
          <t>Projétil</t>
        </is>
      </c>
      <c r="J459" s="17" t="n"/>
      <c r="K459" s="68">
        <f>DADOS_INVOC!$PN$28</f>
        <v/>
      </c>
      <c r="L459" s="17" t="n"/>
      <c r="M459" s="68">
        <f>DADOS_INVOC!$PJ$28</f>
        <v/>
      </c>
      <c r="N459" s="120" t="n"/>
      <c r="O459" s="124" t="inlineStr">
        <is>
          <t>Projétil</t>
        </is>
      </c>
      <c r="P459" s="17" t="n"/>
      <c r="Q459" s="68">
        <f>DADOS_INVOC!$PN$29</f>
        <v/>
      </c>
      <c r="R459" s="17" t="n"/>
      <c r="S459" s="68">
        <f>DADOS_INVOC!$PJ$29</f>
        <v/>
      </c>
      <c r="T459" s="120" t="n"/>
      <c r="U459" s="124" t="inlineStr">
        <is>
          <t>Projétil</t>
        </is>
      </c>
      <c r="V459" s="17" t="n"/>
      <c r="W459" s="68">
        <f>DADOS_INVOC!$PN$30</f>
        <v/>
      </c>
      <c r="X459" s="17" t="n"/>
      <c r="Y459" s="68">
        <f>DADOS_INVOC!$PJ$30</f>
        <v/>
      </c>
      <c r="Z459" s="120" t="n"/>
      <c r="AB459" s="124" t="inlineStr">
        <is>
          <t>Projétil</t>
        </is>
      </c>
      <c r="AC459" s="17" t="n"/>
      <c r="AD459" s="68">
        <f>DADOS_INVOC!$PN$106</f>
        <v/>
      </c>
      <c r="AE459" s="17" t="n"/>
      <c r="AF459" s="68">
        <f>DADOS_INVOC!$PJ$106</f>
        <v/>
      </c>
      <c r="AG459" s="120" t="n"/>
      <c r="AH459" s="124" t="inlineStr">
        <is>
          <t>Projétil</t>
        </is>
      </c>
      <c r="AI459" s="17" t="n"/>
      <c r="AJ459" s="68">
        <f>DADOS_INVOC!$PN$107</f>
        <v/>
      </c>
      <c r="AK459" s="17" t="n"/>
      <c r="AL459" s="68">
        <f>DADOS_INVOC!$PJ$107</f>
        <v/>
      </c>
      <c r="AM459" s="120" t="n"/>
      <c r="AN459" s="124" t="inlineStr">
        <is>
          <t>Projétil</t>
        </is>
      </c>
      <c r="AO459" s="17" t="n"/>
      <c r="AP459" s="68">
        <f>DADOS_INVOC!$PN$108</f>
        <v/>
      </c>
      <c r="AQ459" s="17" t="n"/>
      <c r="AR459" s="68">
        <f>DADOS_INVOC!$PJ$108</f>
        <v/>
      </c>
      <c r="AS459" s="120" t="n"/>
    </row>
    <row r="460" hidden="1" outlineLevel="1">
      <c r="A460" s="8" t="n"/>
      <c r="B460" s="14" t="n"/>
      <c r="C460" s="120" t="n"/>
      <c r="D460" s="120" t="n"/>
      <c r="E460" s="120" t="n"/>
      <c r="F460" s="120" t="n"/>
      <c r="G460" s="120" t="n"/>
      <c r="I460" s="124" t="n"/>
      <c r="J460" s="17" t="n"/>
      <c r="K460" s="124" t="n"/>
      <c r="L460" s="16" t="n"/>
      <c r="M460" s="17" t="n"/>
      <c r="N460" s="120" t="n"/>
      <c r="O460" s="124" t="n"/>
      <c r="P460" s="17" t="n"/>
      <c r="Q460" s="124" t="n"/>
      <c r="R460" s="16" t="n"/>
      <c r="S460" s="17" t="n"/>
      <c r="T460" s="120" t="n"/>
      <c r="U460" s="124" t="n"/>
      <c r="V460" s="17" t="n"/>
      <c r="W460" s="124" t="n"/>
      <c r="X460" s="16" t="n"/>
      <c r="Y460" s="17" t="n"/>
      <c r="Z460" s="120" t="n"/>
      <c r="AB460" s="124" t="n"/>
      <c r="AC460" s="17" t="n"/>
      <c r="AD460" s="124" t="n"/>
      <c r="AE460" s="16" t="n"/>
      <c r="AF460" s="17" t="n"/>
      <c r="AG460" s="120" t="n"/>
      <c r="AH460" s="124" t="n"/>
      <c r="AI460" s="17" t="n"/>
      <c r="AJ460" s="124" t="n"/>
      <c r="AK460" s="16" t="n"/>
      <c r="AL460" s="17" t="n"/>
      <c r="AM460" s="120" t="n"/>
      <c r="AN460" s="124" t="n"/>
      <c r="AO460" s="17" t="n"/>
      <c r="AP460" s="124" t="n"/>
      <c r="AQ460" s="16" t="n"/>
      <c r="AR460" s="17" t="n"/>
      <c r="AS460" s="120" t="n"/>
    </row>
    <row r="461" hidden="1" outlineLevel="1">
      <c r="A461" s="8" t="n"/>
      <c r="B461" s="14" t="n"/>
      <c r="C461" s="120" t="n"/>
      <c r="D461" s="120" t="n"/>
      <c r="E461" s="120" t="n"/>
      <c r="F461" s="120" t="n"/>
      <c r="G461" s="120" t="n"/>
      <c r="I461" s="124">
        <f>DADOS_INVOC!$PK$28</f>
        <v/>
      </c>
      <c r="J461" s="17" t="n"/>
      <c r="K461" s="124">
        <f>DADOS_INVOC!$PM$28</f>
        <v/>
      </c>
      <c r="L461" s="16" t="n"/>
      <c r="M461" s="17" t="n"/>
      <c r="N461" s="120" t="n"/>
      <c r="O461" s="124">
        <f>DADOS_INVOC!$PK$29</f>
        <v/>
      </c>
      <c r="P461" s="17" t="n"/>
      <c r="Q461" s="124">
        <f>DADOS_INVOC!$PM$29</f>
        <v/>
      </c>
      <c r="R461" s="16" t="n"/>
      <c r="S461" s="17" t="n"/>
      <c r="T461" s="120" t="n"/>
      <c r="U461" s="124">
        <f>DADOS_INVOC!$PK$30</f>
        <v/>
      </c>
      <c r="V461" s="17" t="n"/>
      <c r="W461" s="124">
        <f>DADOS_INVOC!$PM$30</f>
        <v/>
      </c>
      <c r="X461" s="16" t="n"/>
      <c r="Y461" s="17" t="n"/>
      <c r="Z461" s="120" t="n"/>
      <c r="AB461" s="124">
        <f>DADOS_INVOC!$PK$106</f>
        <v/>
      </c>
      <c r="AC461" s="17" t="n"/>
      <c r="AD461" s="124">
        <f>DADOS_INVOC!$PM$106</f>
        <v/>
      </c>
      <c r="AE461" s="16" t="n"/>
      <c r="AF461" s="17" t="n"/>
      <c r="AG461" s="120" t="n"/>
      <c r="AH461" s="124">
        <f>DADOS_INVOC!$PK$107</f>
        <v/>
      </c>
      <c r="AI461" s="17" t="n"/>
      <c r="AJ461" s="124">
        <f>DADOS_INVOC!$PM$107</f>
        <v/>
      </c>
      <c r="AK461" s="16" t="n"/>
      <c r="AL461" s="17" t="n"/>
      <c r="AM461" s="120" t="n"/>
      <c r="AN461" s="124">
        <f>DADOS_INVOC!$PK$108</f>
        <v/>
      </c>
      <c r="AO461" s="17" t="n"/>
      <c r="AP461" s="124">
        <f>DADOS_INVOC!$PM$108</f>
        <v/>
      </c>
      <c r="AQ461" s="16" t="n"/>
      <c r="AR461" s="17" t="n"/>
      <c r="AS461" s="120" t="n"/>
    </row>
    <row r="462" hidden="1" outlineLevel="1">
      <c r="A462" s="8" t="n"/>
      <c r="B462" s="14" t="n"/>
      <c r="C462" s="120" t="n"/>
      <c r="D462" s="120" t="n"/>
      <c r="E462" s="120" t="n"/>
      <c r="F462" s="120" t="n"/>
      <c r="G462" s="120" t="n"/>
      <c r="I462" s="129">
        <f>DADOS_INVOC!$PS$28</f>
        <v/>
      </c>
      <c r="J462" s="16" t="n"/>
      <c r="K462" s="16" t="n"/>
      <c r="L462" s="16" t="n"/>
      <c r="M462" s="17" t="n"/>
      <c r="N462" s="120" t="n"/>
      <c r="O462" s="129">
        <f>DADOS_INVOC!$PS$29</f>
        <v/>
      </c>
      <c r="P462" s="16" t="n"/>
      <c r="Q462" s="16" t="n"/>
      <c r="R462" s="16" t="n"/>
      <c r="S462" s="17" t="n"/>
      <c r="T462" s="120" t="n"/>
      <c r="U462" s="129">
        <f>DADOS_INVOC!$PS$30</f>
        <v/>
      </c>
      <c r="V462" s="16" t="n"/>
      <c r="W462" s="16" t="n"/>
      <c r="X462" s="16" t="n"/>
      <c r="Y462" s="17" t="n"/>
      <c r="Z462" s="120" t="n"/>
      <c r="AB462" s="129">
        <f>DADOS_INVOC!$PS$106</f>
        <v/>
      </c>
      <c r="AC462" s="16" t="n"/>
      <c r="AD462" s="16" t="n"/>
      <c r="AE462" s="16" t="n"/>
      <c r="AF462" s="17" t="n"/>
      <c r="AG462" s="120" t="n"/>
      <c r="AH462" s="129">
        <f>DADOS_INVOC!$PS$107</f>
        <v/>
      </c>
      <c r="AI462" s="16" t="n"/>
      <c r="AJ462" s="16" t="n"/>
      <c r="AK462" s="16" t="n"/>
      <c r="AL462" s="17" t="n"/>
      <c r="AM462" s="120" t="n"/>
      <c r="AN462" s="129">
        <f>DADOS_INVOC!$PS$108</f>
        <v/>
      </c>
      <c r="AO462" s="16" t="n"/>
      <c r="AP462" s="16" t="n"/>
      <c r="AQ462" s="16" t="n"/>
      <c r="AR462" s="17" t="n"/>
      <c r="AS462" s="120" t="n"/>
    </row>
    <row r="463" hidden="1" outlineLevel="2">
      <c r="A463" s="8" t="n"/>
      <c r="B463" s="14" t="n"/>
      <c r="C463" s="120" t="n"/>
      <c r="D463" s="120" t="n"/>
      <c r="E463" s="120" t="n"/>
      <c r="F463" s="120" t="n"/>
      <c r="G463" s="120" t="n"/>
      <c r="I463" s="55" t="inlineStr">
        <is>
          <t>MELHORIAS</t>
        </is>
      </c>
      <c r="J463" s="130" t="n"/>
      <c r="K463" s="16" t="n"/>
      <c r="L463" s="17" t="n"/>
      <c r="M463" s="129">
        <f>DADOS_INVOC!$PV$28</f>
        <v/>
      </c>
      <c r="N463" s="120" t="n"/>
      <c r="O463" s="55" t="inlineStr">
        <is>
          <t>MELHORIAS</t>
        </is>
      </c>
      <c r="P463" s="130" t="n"/>
      <c r="Q463" s="16" t="n"/>
      <c r="R463" s="17" t="n"/>
      <c r="S463" s="129">
        <f>DADOS_INVOC!$PV$29</f>
        <v/>
      </c>
      <c r="T463" s="120" t="n"/>
      <c r="U463" s="55" t="inlineStr">
        <is>
          <t>MELHORIAS</t>
        </is>
      </c>
      <c r="V463" s="130" t="n"/>
      <c r="W463" s="16" t="n"/>
      <c r="X463" s="17" t="n"/>
      <c r="Y463" s="129">
        <f>DADOS_INVOC!$PV$30</f>
        <v/>
      </c>
      <c r="Z463" s="120" t="n"/>
      <c r="AB463" s="55" t="inlineStr">
        <is>
          <t>MELHORIAS</t>
        </is>
      </c>
      <c r="AC463" s="130" t="n"/>
      <c r="AD463" s="16" t="n"/>
      <c r="AE463" s="17" t="n"/>
      <c r="AF463" s="129">
        <f>DADOS_INVOC!$PV$106</f>
        <v/>
      </c>
      <c r="AG463" s="120" t="n"/>
      <c r="AH463" s="55" t="inlineStr">
        <is>
          <t>MELHORIAS</t>
        </is>
      </c>
      <c r="AI463" s="130" t="n"/>
      <c r="AJ463" s="16" t="n"/>
      <c r="AK463" s="17" t="n"/>
      <c r="AL463" s="129">
        <f>DADOS_INVOC!$PV$107</f>
        <v/>
      </c>
      <c r="AM463" s="120" t="n"/>
      <c r="AN463" s="55" t="inlineStr">
        <is>
          <t>MELHORIAS</t>
        </is>
      </c>
      <c r="AO463" s="130" t="n"/>
      <c r="AP463" s="16" t="n"/>
      <c r="AQ463" s="17" t="n"/>
      <c r="AR463" s="129">
        <f>DADOS_INVOC!$PV$108</f>
        <v/>
      </c>
      <c r="AS463" s="120" t="n"/>
    </row>
    <row r="464" hidden="1" outlineLevel="2">
      <c r="A464" s="8" t="n"/>
      <c r="B464" s="14" t="n"/>
      <c r="C464" s="120" t="n"/>
      <c r="D464" s="120" t="n"/>
      <c r="E464" s="120" t="n"/>
      <c r="F464" s="120" t="n"/>
      <c r="G464" s="120" t="n"/>
      <c r="I464" s="131" t="n"/>
      <c r="J464" s="130" t="n"/>
      <c r="K464" s="16" t="n"/>
      <c r="L464" s="17" t="n"/>
      <c r="M464" s="129">
        <f>DADOS_INVOC!$PW$28</f>
        <v/>
      </c>
      <c r="N464" s="120" t="n"/>
      <c r="O464" s="131" t="n"/>
      <c r="P464" s="130" t="n"/>
      <c r="Q464" s="16" t="n"/>
      <c r="R464" s="17" t="n"/>
      <c r="S464" s="129">
        <f>DADOS_INVOC!$PW$29</f>
        <v/>
      </c>
      <c r="T464" s="120" t="n"/>
      <c r="U464" s="131" t="n"/>
      <c r="V464" s="130" t="n"/>
      <c r="W464" s="16" t="n"/>
      <c r="X464" s="17" t="n"/>
      <c r="Y464" s="129">
        <f>DADOS_INVOC!$PW$30</f>
        <v/>
      </c>
      <c r="Z464" s="120" t="n"/>
      <c r="AB464" s="131" t="n"/>
      <c r="AC464" s="130" t="n"/>
      <c r="AD464" s="16" t="n"/>
      <c r="AE464" s="17" t="n"/>
      <c r="AF464" s="129">
        <f>DADOS_INVOC!$PW$106</f>
        <v/>
      </c>
      <c r="AG464" s="120" t="n"/>
      <c r="AH464" s="131" t="n"/>
      <c r="AI464" s="130" t="n"/>
      <c r="AJ464" s="16" t="n"/>
      <c r="AK464" s="17" t="n"/>
      <c r="AL464" s="129">
        <f>DADOS_INVOC!$PW$107</f>
        <v/>
      </c>
      <c r="AM464" s="120" t="n"/>
      <c r="AN464" s="131" t="n"/>
      <c r="AO464" s="130" t="n"/>
      <c r="AP464" s="16" t="n"/>
      <c r="AQ464" s="17" t="n"/>
      <c r="AR464" s="129">
        <f>DADOS_INVOC!$PW$108</f>
        <v/>
      </c>
      <c r="AS464" s="120" t="n"/>
    </row>
    <row r="465" hidden="1" outlineLevel="2">
      <c r="A465" s="8" t="n"/>
      <c r="B465" s="14" t="n"/>
      <c r="C465" s="120" t="n"/>
      <c r="D465" s="120" t="n"/>
      <c r="E465" s="120" t="n"/>
      <c r="F465" s="120" t="n"/>
      <c r="G465" s="120" t="n"/>
      <c r="I465" s="131" t="n"/>
      <c r="J465" s="130" t="n"/>
      <c r="K465" s="16" t="n"/>
      <c r="L465" s="17" t="n"/>
      <c r="M465" s="129">
        <f>DADOS_INVOC!$PX$28</f>
        <v/>
      </c>
      <c r="N465" s="120" t="n"/>
      <c r="O465" s="131" t="n"/>
      <c r="P465" s="130" t="n"/>
      <c r="Q465" s="16" t="n"/>
      <c r="R465" s="17" t="n"/>
      <c r="S465" s="129">
        <f>DADOS_INVOC!$PX$29</f>
        <v/>
      </c>
      <c r="T465" s="120" t="n"/>
      <c r="U465" s="131" t="n"/>
      <c r="V465" s="130" t="n"/>
      <c r="W465" s="16" t="n"/>
      <c r="X465" s="17" t="n"/>
      <c r="Y465" s="129">
        <f>DADOS_INVOC!$PX$30</f>
        <v/>
      </c>
      <c r="Z465" s="120" t="n"/>
      <c r="AB465" s="131" t="n"/>
      <c r="AC465" s="130" t="n"/>
      <c r="AD465" s="16" t="n"/>
      <c r="AE465" s="17" t="n"/>
      <c r="AF465" s="129">
        <f>DADOS_INVOC!$PX$106</f>
        <v/>
      </c>
      <c r="AG465" s="120" t="n"/>
      <c r="AH465" s="131" t="n"/>
      <c r="AI465" s="130" t="n"/>
      <c r="AJ465" s="16" t="n"/>
      <c r="AK465" s="17" t="n"/>
      <c r="AL465" s="129">
        <f>DADOS_INVOC!$PX$107</f>
        <v/>
      </c>
      <c r="AM465" s="120" t="n"/>
      <c r="AN465" s="131" t="n"/>
      <c r="AO465" s="130" t="n"/>
      <c r="AP465" s="16" t="n"/>
      <c r="AQ465" s="17" t="n"/>
      <c r="AR465" s="129">
        <f>DADOS_INVOC!$PX$108</f>
        <v/>
      </c>
      <c r="AS465" s="120" t="n"/>
    </row>
    <row r="466" hidden="1" outlineLevel="2">
      <c r="A466" s="8" t="n"/>
      <c r="B466" s="14" t="n"/>
      <c r="C466" s="120" t="n"/>
      <c r="D466" s="120" t="n"/>
      <c r="E466" s="120" t="n"/>
      <c r="F466" s="120" t="n"/>
      <c r="G466" s="120" t="n"/>
      <c r="I466" s="125" t="n"/>
      <c r="J466" s="130" t="n"/>
      <c r="K466" s="16" t="n"/>
      <c r="L466" s="17" t="n"/>
      <c r="M466" s="129">
        <f>DADOS_INVOC!$PY$28</f>
        <v/>
      </c>
      <c r="N466" s="120" t="n"/>
      <c r="O466" s="125" t="n"/>
      <c r="P466" s="130" t="n"/>
      <c r="Q466" s="16" t="n"/>
      <c r="R466" s="17" t="n"/>
      <c r="S466" s="129">
        <f>DADOS_INVOC!$PY$29</f>
        <v/>
      </c>
      <c r="T466" s="120" t="n"/>
      <c r="U466" s="125" t="n"/>
      <c r="V466" s="130" t="n"/>
      <c r="W466" s="16" t="n"/>
      <c r="X466" s="17" t="n"/>
      <c r="Y466" s="129">
        <f>DADOS_INVOC!$PY$30</f>
        <v/>
      </c>
      <c r="Z466" s="120" t="n"/>
      <c r="AB466" s="125" t="n"/>
      <c r="AC466" s="130" t="n"/>
      <c r="AD466" s="16" t="n"/>
      <c r="AE466" s="17" t="n"/>
      <c r="AF466" s="129">
        <f>DADOS_INVOC!$PY$106</f>
        <v/>
      </c>
      <c r="AG466" s="120" t="n"/>
      <c r="AH466" s="125" t="n"/>
      <c r="AI466" s="130" t="n"/>
      <c r="AJ466" s="16" t="n"/>
      <c r="AK466" s="17" t="n"/>
      <c r="AL466" s="129">
        <f>DADOS_INVOC!$PY$107</f>
        <v/>
      </c>
      <c r="AM466" s="120" t="n"/>
      <c r="AN466" s="125" t="n"/>
      <c r="AO466" s="130" t="n"/>
      <c r="AP466" s="16" t="n"/>
      <c r="AQ466" s="17" t="n"/>
      <c r="AR466" s="129">
        <f>DADOS_INVOC!$PY$108</f>
        <v/>
      </c>
      <c r="AS466" s="120" t="n"/>
    </row>
    <row r="467" hidden="1" outlineLevel="2">
      <c r="A467" s="8" t="n"/>
      <c r="B467" s="14" t="n"/>
      <c r="C467" s="120" t="n"/>
      <c r="D467" s="120" t="n"/>
      <c r="E467" s="120" t="n"/>
      <c r="F467" s="120" t="n"/>
      <c r="G467" s="120" t="n"/>
      <c r="I467" s="55" t="inlineStr">
        <is>
          <t>RESTRIÇÕES</t>
        </is>
      </c>
      <c r="J467" s="130" t="n"/>
      <c r="K467" s="16" t="n"/>
      <c r="L467" s="17" t="n"/>
      <c r="M467" s="129">
        <f>DADOS_INVOC!$PZ$28</f>
        <v/>
      </c>
      <c r="N467" s="120" t="n"/>
      <c r="O467" s="55" t="inlineStr">
        <is>
          <t>RESTRIÇÕES</t>
        </is>
      </c>
      <c r="P467" s="130" t="n"/>
      <c r="Q467" s="16" t="n"/>
      <c r="R467" s="17" t="n"/>
      <c r="S467" s="129">
        <f>DADOS_INVOC!$PZ$29</f>
        <v/>
      </c>
      <c r="T467" s="120" t="n"/>
      <c r="U467" s="55" t="inlineStr">
        <is>
          <t>RESTRIÇÕES</t>
        </is>
      </c>
      <c r="V467" s="130" t="n"/>
      <c r="W467" s="16" t="n"/>
      <c r="X467" s="17" t="n"/>
      <c r="Y467" s="129">
        <f>DADOS_INVOC!$PZ$30</f>
        <v/>
      </c>
      <c r="Z467" s="120" t="n"/>
      <c r="AB467" s="55" t="inlineStr">
        <is>
          <t>RESTRIÇÕES</t>
        </is>
      </c>
      <c r="AC467" s="130" t="n"/>
      <c r="AD467" s="16" t="n"/>
      <c r="AE467" s="17" t="n"/>
      <c r="AF467" s="129">
        <f>DADOS_INVOC!$PZ$106</f>
        <v/>
      </c>
      <c r="AG467" s="120" t="n"/>
      <c r="AH467" s="55" t="inlineStr">
        <is>
          <t>RESTRIÇÕES</t>
        </is>
      </c>
      <c r="AI467" s="130" t="n"/>
      <c r="AJ467" s="16" t="n"/>
      <c r="AK467" s="17" t="n"/>
      <c r="AL467" s="129">
        <f>DADOS_INVOC!$PZ$107</f>
        <v/>
      </c>
      <c r="AM467" s="120" t="n"/>
      <c r="AN467" s="55" t="inlineStr">
        <is>
          <t>RESTRIÇÕES</t>
        </is>
      </c>
      <c r="AO467" s="130" t="n"/>
      <c r="AP467" s="16" t="n"/>
      <c r="AQ467" s="17" t="n"/>
      <c r="AR467" s="129">
        <f>DADOS_INVOC!$PZ$108</f>
        <v/>
      </c>
      <c r="AS467" s="120" t="n"/>
    </row>
    <row r="468" hidden="1" outlineLevel="2">
      <c r="A468" s="8" t="n"/>
      <c r="B468" s="14" t="n"/>
      <c r="C468" s="120" t="n"/>
      <c r="D468" s="120" t="n"/>
      <c r="E468" s="120" t="n"/>
      <c r="F468" s="120" t="n"/>
      <c r="G468" s="120" t="n"/>
      <c r="I468" s="125" t="n"/>
      <c r="J468" s="130" t="n"/>
      <c r="K468" s="16" t="n"/>
      <c r="L468" s="17" t="n"/>
      <c r="M468" s="129">
        <f>DADOS_INVOC!$QA$28</f>
        <v/>
      </c>
      <c r="N468" s="120" t="n"/>
      <c r="O468" s="125" t="n"/>
      <c r="P468" s="130" t="n"/>
      <c r="Q468" s="16" t="n"/>
      <c r="R468" s="17" t="n"/>
      <c r="S468" s="129">
        <f>DADOS_INVOC!$QA$29</f>
        <v/>
      </c>
      <c r="T468" s="120" t="n"/>
      <c r="U468" s="125" t="n"/>
      <c r="V468" s="130" t="n"/>
      <c r="W468" s="16" t="n"/>
      <c r="X468" s="17" t="n"/>
      <c r="Y468" s="129">
        <f>DADOS_INVOC!$QA$30</f>
        <v/>
      </c>
      <c r="Z468" s="120" t="n"/>
      <c r="AB468" s="125" t="n"/>
      <c r="AC468" s="130" t="n"/>
      <c r="AD468" s="16" t="n"/>
      <c r="AE468" s="17" t="n"/>
      <c r="AF468" s="129">
        <f>DADOS_INVOC!$QA$106</f>
        <v/>
      </c>
      <c r="AG468" s="120" t="n"/>
      <c r="AH468" s="125" t="n"/>
      <c r="AI468" s="130" t="n"/>
      <c r="AJ468" s="16" t="n"/>
      <c r="AK468" s="17" t="n"/>
      <c r="AL468" s="129">
        <f>DADOS_INVOC!$QA$107</f>
        <v/>
      </c>
      <c r="AM468" s="120" t="n"/>
      <c r="AN468" s="125" t="n"/>
      <c r="AO468" s="130" t="n"/>
      <c r="AP468" s="16" t="n"/>
      <c r="AQ468" s="17" t="n"/>
      <c r="AR468" s="129">
        <f>DADOS_INVOC!$QA$108</f>
        <v/>
      </c>
      <c r="AS468" s="120" t="n"/>
    </row>
    <row r="469" hidden="1" outlineLevel="2">
      <c r="A469" s="8" t="n"/>
      <c r="B469" s="14" t="n"/>
      <c r="C469" s="120" t="n"/>
      <c r="D469" s="120" t="n"/>
      <c r="E469" s="120" t="n"/>
      <c r="F469" s="120" t="n"/>
      <c r="G469" s="120" t="n"/>
      <c r="I469" s="55" t="inlineStr">
        <is>
          <t>CONTA</t>
        </is>
      </c>
      <c r="J469" s="132">
        <f>DADOS_INVOC!$PT$28</f>
        <v/>
      </c>
      <c r="K469" s="16" t="n"/>
      <c r="L469" s="16" t="n"/>
      <c r="M469" s="17" t="n"/>
      <c r="N469" s="120" t="n"/>
      <c r="O469" s="55" t="inlineStr">
        <is>
          <t>CONTA</t>
        </is>
      </c>
      <c r="P469" s="132">
        <f>DADOS_INVOC!$PT$29</f>
        <v/>
      </c>
      <c r="Q469" s="16" t="n"/>
      <c r="R469" s="16" t="n"/>
      <c r="S469" s="17" t="n"/>
      <c r="T469" s="120" t="n"/>
      <c r="U469" s="55" t="inlineStr">
        <is>
          <t>CONTA</t>
        </is>
      </c>
      <c r="V469" s="132">
        <f>DADOS_INVOC!$PT$30</f>
        <v/>
      </c>
      <c r="W469" s="16" t="n"/>
      <c r="X469" s="16" t="n"/>
      <c r="Y469" s="17" t="n"/>
      <c r="Z469" s="120" t="n"/>
      <c r="AB469" s="55" t="inlineStr">
        <is>
          <t>CONTA</t>
        </is>
      </c>
      <c r="AC469" s="132">
        <f>DADOS_INVOC!$PT$106</f>
        <v/>
      </c>
      <c r="AD469" s="16" t="n"/>
      <c r="AE469" s="16" t="n"/>
      <c r="AF469" s="17" t="n"/>
      <c r="AG469" s="120" t="n"/>
      <c r="AH469" s="55" t="inlineStr">
        <is>
          <t>CONTA</t>
        </is>
      </c>
      <c r="AI469" s="132">
        <f>DADOS_INVOC!$PT$107</f>
        <v/>
      </c>
      <c r="AJ469" s="16" t="n"/>
      <c r="AK469" s="16" t="n"/>
      <c r="AL469" s="17" t="n"/>
      <c r="AM469" s="120" t="n"/>
      <c r="AN469" s="55" t="inlineStr">
        <is>
          <t>CONTA</t>
        </is>
      </c>
      <c r="AO469" s="132">
        <f>DADOS_INVOC!$PT$108</f>
        <v/>
      </c>
      <c r="AP469" s="16" t="n"/>
      <c r="AQ469" s="16" t="n"/>
      <c r="AR469" s="17" t="n"/>
      <c r="AS469" s="120" t="n"/>
    </row>
    <row r="470" hidden="1" outlineLevel="2">
      <c r="A470" s="8" t="n"/>
      <c r="B470" s="14" t="n"/>
      <c r="C470" s="120" t="n"/>
      <c r="D470" s="120" t="n"/>
      <c r="E470" s="120" t="n"/>
      <c r="F470" s="120" t="n"/>
      <c r="G470" s="120" t="n"/>
      <c r="I470" s="55" t="inlineStr">
        <is>
          <t>AMPLIAR</t>
        </is>
      </c>
      <c r="J470" s="132">
        <f>DADOS_INVOC!$PU$28</f>
        <v/>
      </c>
      <c r="K470" s="19" t="n"/>
      <c r="L470" s="19" t="n"/>
      <c r="M470" s="20" t="n"/>
      <c r="N470" s="120" t="n"/>
      <c r="O470" s="55" t="inlineStr">
        <is>
          <t>AMPLIAR</t>
        </is>
      </c>
      <c r="P470" s="132">
        <f>DADOS_INVOC!$PU$29</f>
        <v/>
      </c>
      <c r="Q470" s="19" t="n"/>
      <c r="R470" s="19" t="n"/>
      <c r="S470" s="20" t="n"/>
      <c r="T470" s="120" t="n"/>
      <c r="U470" s="55" t="inlineStr">
        <is>
          <t>AMPLIAR</t>
        </is>
      </c>
      <c r="V470" s="132">
        <f>DADOS_INVOC!$PU$30</f>
        <v/>
      </c>
      <c r="W470" s="19" t="n"/>
      <c r="X470" s="19" t="n"/>
      <c r="Y470" s="20" t="n"/>
      <c r="Z470" s="120" t="n"/>
      <c r="AB470" s="55" t="inlineStr">
        <is>
          <t>AMPLIAR</t>
        </is>
      </c>
      <c r="AC470" s="132">
        <f>DADOS_INVOC!$PU$106</f>
        <v/>
      </c>
      <c r="AD470" s="19" t="n"/>
      <c r="AE470" s="19" t="n"/>
      <c r="AF470" s="20" t="n"/>
      <c r="AG470" s="120" t="n"/>
      <c r="AH470" s="55" t="inlineStr">
        <is>
          <t>AMPLIAR</t>
        </is>
      </c>
      <c r="AI470" s="132">
        <f>DADOS_INVOC!$PU$107</f>
        <v/>
      </c>
      <c r="AJ470" s="19" t="n"/>
      <c r="AK470" s="19" t="n"/>
      <c r="AL470" s="20" t="n"/>
      <c r="AM470" s="120" t="n"/>
      <c r="AN470" s="55" t="inlineStr">
        <is>
          <t>AMPLIAR</t>
        </is>
      </c>
      <c r="AO470" s="132">
        <f>DADOS_INVOC!$PU$108</f>
        <v/>
      </c>
      <c r="AP470" s="19" t="n"/>
      <c r="AQ470" s="19" t="n"/>
      <c r="AR470" s="20" t="n"/>
      <c r="AS470" s="120" t="n"/>
    </row>
    <row r="471" hidden="1" outlineLevel="2">
      <c r="A471" s="8" t="n"/>
      <c r="B471" s="14" t="n"/>
      <c r="C471" s="120" t="n"/>
      <c r="D471" s="120" t="n"/>
      <c r="E471" s="120" t="n"/>
      <c r="F471" s="120" t="n"/>
      <c r="G471" s="120" t="n"/>
      <c r="I471" s="125" t="n"/>
      <c r="J471" s="23" t="n"/>
      <c r="K471" s="24" t="n"/>
      <c r="L471" s="24" t="n"/>
      <c r="M471" s="25" t="n"/>
      <c r="N471" s="120" t="n"/>
      <c r="O471" s="125" t="n"/>
      <c r="P471" s="23" t="n"/>
      <c r="Q471" s="24" t="n"/>
      <c r="R471" s="24" t="n"/>
      <c r="S471" s="25" t="n"/>
      <c r="T471" s="120" t="n"/>
      <c r="U471" s="125" t="n"/>
      <c r="V471" s="23" t="n"/>
      <c r="W471" s="24" t="n"/>
      <c r="X471" s="24" t="n"/>
      <c r="Y471" s="25" t="n"/>
      <c r="Z471" s="120" t="n"/>
      <c r="AB471" s="125" t="n"/>
      <c r="AC471" s="23" t="n"/>
      <c r="AD471" s="24" t="n"/>
      <c r="AE471" s="24" t="n"/>
      <c r="AF471" s="25" t="n"/>
      <c r="AG471" s="120" t="n"/>
      <c r="AH471" s="125" t="n"/>
      <c r="AI471" s="23" t="n"/>
      <c r="AJ471" s="24" t="n"/>
      <c r="AK471" s="24" t="n"/>
      <c r="AL471" s="25" t="n"/>
      <c r="AM471" s="120" t="n"/>
      <c r="AN471" s="125" t="n"/>
      <c r="AO471" s="23" t="n"/>
      <c r="AP471" s="24" t="n"/>
      <c r="AQ471" s="24" t="n"/>
      <c r="AR471" s="25" t="n"/>
      <c r="AS471" s="120" t="n"/>
    </row>
    <row r="472" hidden="1" outlineLevel="2">
      <c r="A472" s="8" t="n"/>
      <c r="B472" s="14" t="n"/>
      <c r="C472" s="120" t="n"/>
      <c r="D472" s="120" t="n"/>
      <c r="E472" s="120" t="n"/>
      <c r="F472" s="120" t="n"/>
      <c r="G472" s="120" t="n"/>
      <c r="I472" s="132">
        <f>DADOS_INVOC!$PH$28</f>
        <v/>
      </c>
      <c r="J472" s="19" t="n"/>
      <c r="K472" s="19" t="n"/>
      <c r="L472" s="19" t="n"/>
      <c r="M472" s="20" t="n"/>
      <c r="N472" s="120" t="n"/>
      <c r="O472" s="132">
        <f>DADOS_INVOC!$PH$29</f>
        <v/>
      </c>
      <c r="P472" s="19" t="n"/>
      <c r="Q472" s="19" t="n"/>
      <c r="R472" s="19" t="n"/>
      <c r="S472" s="20" t="n"/>
      <c r="T472" s="120" t="n"/>
      <c r="U472" s="132">
        <f>DADOS_INVOC!$PH$30</f>
        <v/>
      </c>
      <c r="V472" s="19" t="n"/>
      <c r="W472" s="19" t="n"/>
      <c r="X472" s="19" t="n"/>
      <c r="Y472" s="20" t="n"/>
      <c r="Z472" s="120" t="n"/>
      <c r="AB472" s="132">
        <f>DADOS_INVOC!$PH$106</f>
        <v/>
      </c>
      <c r="AC472" s="19" t="n"/>
      <c r="AD472" s="19" t="n"/>
      <c r="AE472" s="19" t="n"/>
      <c r="AF472" s="20" t="n"/>
      <c r="AG472" s="120" t="n"/>
      <c r="AH472" s="132">
        <f>DADOS_INVOC!$PH$107</f>
        <v/>
      </c>
      <c r="AI472" s="19" t="n"/>
      <c r="AJ472" s="19" t="n"/>
      <c r="AK472" s="19" t="n"/>
      <c r="AL472" s="20" t="n"/>
      <c r="AM472" s="120" t="n"/>
      <c r="AN472" s="132">
        <f>DADOS_INVOC!$PH$108</f>
        <v/>
      </c>
      <c r="AO472" s="19" t="n"/>
      <c r="AP472" s="19" t="n"/>
      <c r="AQ472" s="19" t="n"/>
      <c r="AR472" s="20" t="n"/>
      <c r="AS472" s="120" t="n"/>
    </row>
    <row r="473" hidden="1" outlineLevel="2">
      <c r="A473" s="8" t="n"/>
      <c r="B473" s="14" t="n"/>
      <c r="C473" s="120" t="n"/>
      <c r="D473" s="120" t="n"/>
      <c r="E473" s="120" t="n"/>
      <c r="F473" s="120" t="n"/>
      <c r="G473" s="120" t="n"/>
      <c r="I473" s="23" t="n"/>
      <c r="J473" s="24" t="n"/>
      <c r="K473" s="24" t="n"/>
      <c r="L473" s="24" t="n"/>
      <c r="M473" s="25" t="n"/>
      <c r="N473" s="120" t="n"/>
      <c r="O473" s="23" t="n"/>
      <c r="P473" s="24" t="n"/>
      <c r="Q473" s="24" t="n"/>
      <c r="R473" s="24" t="n"/>
      <c r="S473" s="25" t="n"/>
      <c r="T473" s="120" t="n"/>
      <c r="U473" s="23" t="n"/>
      <c r="V473" s="24" t="n"/>
      <c r="W473" s="24" t="n"/>
      <c r="X473" s="24" t="n"/>
      <c r="Y473" s="25" t="n"/>
      <c r="Z473" s="120" t="n"/>
      <c r="AB473" s="23" t="n"/>
      <c r="AC473" s="24" t="n"/>
      <c r="AD473" s="24" t="n"/>
      <c r="AE473" s="24" t="n"/>
      <c r="AF473" s="25" t="n"/>
      <c r="AG473" s="120" t="n"/>
      <c r="AH473" s="23" t="n"/>
      <c r="AI473" s="24" t="n"/>
      <c r="AJ473" s="24" t="n"/>
      <c r="AK473" s="24" t="n"/>
      <c r="AL473" s="25" t="n"/>
      <c r="AM473" s="120" t="n"/>
      <c r="AN473" s="23" t="n"/>
      <c r="AO473" s="24" t="n"/>
      <c r="AP473" s="24" t="n"/>
      <c r="AQ473" s="24" t="n"/>
      <c r="AR473" s="25" t="n"/>
      <c r="AS473" s="120" t="n"/>
    </row>
    <row r="474" hidden="1" outlineLevel="1">
      <c r="A474" s="8" t="n"/>
      <c r="B474" s="14" t="n"/>
      <c r="C474" s="120" t="n"/>
      <c r="D474" s="120" t="n"/>
      <c r="E474" s="120" t="n"/>
      <c r="F474" s="120" t="n"/>
      <c r="G474" s="120" t="n"/>
      <c r="I474" s="120" t="n"/>
      <c r="J474" s="120" t="n"/>
      <c r="K474" s="120" t="n"/>
      <c r="L474" s="120" t="n"/>
      <c r="M474" s="120" t="n"/>
      <c r="N474" s="120" t="n"/>
      <c r="O474" s="120" t="n"/>
      <c r="P474" s="120" t="n"/>
      <c r="Q474" s="120" t="n"/>
      <c r="R474" s="120" t="n"/>
      <c r="S474" s="120" t="n"/>
      <c r="T474" s="120" t="n"/>
      <c r="U474" s="120" t="n"/>
      <c r="V474" s="120" t="n"/>
      <c r="W474" s="120" t="n"/>
      <c r="X474" s="120" t="n"/>
      <c r="Y474" s="120" t="n"/>
      <c r="Z474" s="120" t="n"/>
      <c r="AB474" s="120" t="n"/>
      <c r="AC474" s="120" t="n"/>
      <c r="AD474" s="120" t="n"/>
      <c r="AE474" s="120" t="n"/>
      <c r="AF474" s="120" t="n"/>
      <c r="AG474" s="120" t="n"/>
      <c r="AH474" s="120" t="n"/>
      <c r="AI474" s="120" t="n"/>
      <c r="AJ474" s="120" t="n"/>
      <c r="AK474" s="120" t="n"/>
      <c r="AL474" s="120" t="n"/>
      <c r="AM474" s="120" t="n"/>
      <c r="AN474" s="120" t="n"/>
      <c r="AO474" s="120" t="n"/>
      <c r="AP474" s="120" t="n"/>
      <c r="AQ474" s="120" t="n"/>
      <c r="AR474" s="120" t="n"/>
      <c r="AS474" s="120" t="n"/>
    </row>
    <row r="475" hidden="1" outlineLevel="1">
      <c r="A475" s="8" t="n"/>
      <c r="B475" s="14" t="n"/>
      <c r="C475" s="120" t="n"/>
      <c r="D475" s="120" t="n"/>
      <c r="E475" s="120" t="n"/>
      <c r="F475" s="120" t="n"/>
      <c r="G475" s="120" t="n"/>
      <c r="I475" s="55">
        <f>DADOS_INVOC!$HR$4</f>
        <v/>
      </c>
      <c r="J475" s="16" t="n"/>
      <c r="K475" s="16" t="n"/>
      <c r="L475" s="16" t="n"/>
      <c r="M475" s="16" t="n"/>
      <c r="N475" s="16" t="n"/>
      <c r="O475" s="16" t="n"/>
      <c r="P475" s="16" t="n"/>
      <c r="Q475" s="16" t="n"/>
      <c r="R475" s="16" t="n"/>
      <c r="S475" s="16" t="n"/>
      <c r="T475" s="16" t="n"/>
      <c r="U475" s="16" t="n"/>
      <c r="V475" s="16" t="n"/>
      <c r="W475" s="16" t="n"/>
      <c r="X475" s="16" t="n"/>
      <c r="Y475" s="17" t="n"/>
      <c r="Z475" s="120" t="n"/>
      <c r="AB475" s="55">
        <f>DADOS_INVOC!$HR$10</f>
        <v/>
      </c>
      <c r="AC475" s="16" t="n"/>
      <c r="AD475" s="16" t="n"/>
      <c r="AE475" s="16" t="n"/>
      <c r="AF475" s="16" t="n"/>
      <c r="AG475" s="16" t="n"/>
      <c r="AH475" s="16" t="n"/>
      <c r="AI475" s="16" t="n"/>
      <c r="AJ475" s="16" t="n"/>
      <c r="AK475" s="16" t="n"/>
      <c r="AL475" s="16" t="n"/>
      <c r="AM475" s="16" t="n"/>
      <c r="AN475" s="16" t="n"/>
      <c r="AO475" s="16" t="n"/>
      <c r="AP475" s="16" t="n"/>
      <c r="AQ475" s="16" t="n"/>
      <c r="AR475" s="17" t="n"/>
      <c r="AS475" s="120" t="n"/>
    </row>
    <row r="476" hidden="1" outlineLevel="1">
      <c r="A476" s="8" t="n"/>
      <c r="B476" s="14" t="n"/>
      <c r="C476" s="120" t="n"/>
      <c r="D476" s="120" t="n"/>
      <c r="E476" s="120" t="n"/>
      <c r="F476" s="120" t="n"/>
      <c r="G476" s="120" t="n"/>
      <c r="I476" s="55" t="inlineStr">
        <is>
          <t>NV 1 · CE 1</t>
        </is>
      </c>
      <c r="J476" s="130" t="n"/>
      <c r="K476" s="16" t="n"/>
      <c r="L476" s="17" t="n"/>
      <c r="M476" s="137">
        <f>DADOS_INVOC!$IA$4</f>
        <v/>
      </c>
      <c r="N476" s="16" t="n"/>
      <c r="O476" s="16" t="n"/>
      <c r="P476" s="16" t="n"/>
      <c r="Q476" s="16" t="n"/>
      <c r="R476" s="16" t="n"/>
      <c r="S476" s="16" t="n"/>
      <c r="T476" s="16" t="n"/>
      <c r="U476" s="16" t="n"/>
      <c r="V476" s="16" t="n"/>
      <c r="W476" s="16" t="n"/>
      <c r="X476" s="16" t="n"/>
      <c r="Y476" s="17" t="n"/>
      <c r="Z476" s="120" t="n"/>
      <c r="AB476" s="55" t="inlineStr">
        <is>
          <t>NV 1 · CE 1</t>
        </is>
      </c>
      <c r="AC476" s="130" t="n"/>
      <c r="AD476" s="16" t="n"/>
      <c r="AE476" s="17" t="n"/>
      <c r="AF476" s="137">
        <f>DADOS_INVOC!$IA$10</f>
        <v/>
      </c>
      <c r="AG476" s="16" t="n"/>
      <c r="AH476" s="16" t="n"/>
      <c r="AI476" s="16" t="n"/>
      <c r="AJ476" s="16" t="n"/>
      <c r="AK476" s="16" t="n"/>
      <c r="AL476" s="16" t="n"/>
      <c r="AM476" s="16" t="n"/>
      <c r="AN476" s="16" t="n"/>
      <c r="AO476" s="16" t="n"/>
      <c r="AP476" s="16" t="n"/>
      <c r="AQ476" s="16" t="n"/>
      <c r="AR476" s="17" t="n"/>
      <c r="AS476" s="120" t="n"/>
    </row>
    <row r="477" hidden="1" outlineLevel="1">
      <c r="A477" s="8" t="n"/>
      <c r="B477" s="14" t="n"/>
      <c r="C477" s="120" t="n"/>
      <c r="D477" s="120" t="n"/>
      <c r="E477" s="120" t="n"/>
      <c r="F477" s="120" t="n"/>
      <c r="G477" s="120" t="n"/>
      <c r="I477" s="55" t="inlineStr">
        <is>
          <t>NV 6 · CE 1</t>
        </is>
      </c>
      <c r="J477" s="130" t="n"/>
      <c r="K477" s="16" t="n"/>
      <c r="L477" s="17" t="n"/>
      <c r="M477" s="137">
        <f>DADOS_INVOC!$IB$4</f>
        <v/>
      </c>
      <c r="N477" s="16" t="n"/>
      <c r="O477" s="16" t="n"/>
      <c r="P477" s="16" t="n"/>
      <c r="Q477" s="16" t="n"/>
      <c r="R477" s="16" t="n"/>
      <c r="S477" s="16" t="n"/>
      <c r="T477" s="16" t="n"/>
      <c r="U477" s="16" t="n"/>
      <c r="V477" s="16" t="n"/>
      <c r="W477" s="16" t="n"/>
      <c r="X477" s="16" t="n"/>
      <c r="Y477" s="17" t="n"/>
      <c r="Z477" s="120" t="n"/>
      <c r="AB477" s="55" t="inlineStr">
        <is>
          <t>NV 6 · CE 1</t>
        </is>
      </c>
      <c r="AC477" s="130" t="n"/>
      <c r="AD477" s="16" t="n"/>
      <c r="AE477" s="17" t="n"/>
      <c r="AF477" s="137">
        <f>DADOS_INVOC!$IB$10</f>
        <v/>
      </c>
      <c r="AG477" s="16" t="n"/>
      <c r="AH477" s="16" t="n"/>
      <c r="AI477" s="16" t="n"/>
      <c r="AJ477" s="16" t="n"/>
      <c r="AK477" s="16" t="n"/>
      <c r="AL477" s="16" t="n"/>
      <c r="AM477" s="16" t="n"/>
      <c r="AN477" s="16" t="n"/>
      <c r="AO477" s="16" t="n"/>
      <c r="AP477" s="16" t="n"/>
      <c r="AQ477" s="16" t="n"/>
      <c r="AR477" s="17" t="n"/>
      <c r="AS477" s="120" t="n"/>
    </row>
    <row r="478" hidden="1" outlineLevel="1">
      <c r="A478" s="8" t="n"/>
      <c r="B478" s="14" t="n"/>
      <c r="C478" s="120" t="n"/>
      <c r="D478" s="120" t="n"/>
      <c r="E478" s="120" t="n"/>
      <c r="F478" s="120" t="n"/>
      <c r="G478" s="120" t="n"/>
      <c r="I478" s="55" t="inlineStr">
        <is>
          <t>NV 10 · CE 2</t>
        </is>
      </c>
      <c r="J478" s="130" t="n"/>
      <c r="K478" s="16" t="n"/>
      <c r="L478" s="17" t="n"/>
      <c r="M478" s="137">
        <f>DADOS_INVOC!$IC$4</f>
        <v/>
      </c>
      <c r="N478" s="16" t="n"/>
      <c r="O478" s="16" t="n"/>
      <c r="P478" s="16" t="n"/>
      <c r="Q478" s="16" t="n"/>
      <c r="R478" s="16" t="n"/>
      <c r="S478" s="16" t="n"/>
      <c r="T478" s="16" t="n"/>
      <c r="U478" s="16" t="n"/>
      <c r="V478" s="16" t="n"/>
      <c r="W478" s="16" t="n"/>
      <c r="X478" s="16" t="n"/>
      <c r="Y478" s="17" t="n"/>
      <c r="Z478" s="120" t="n"/>
      <c r="AB478" s="55" t="inlineStr">
        <is>
          <t>NV 10 · CE 2</t>
        </is>
      </c>
      <c r="AC478" s="130" t="n"/>
      <c r="AD478" s="16" t="n"/>
      <c r="AE478" s="17" t="n"/>
      <c r="AF478" s="137">
        <f>DADOS_INVOC!$IC$10</f>
        <v/>
      </c>
      <c r="AG478" s="16" t="n"/>
      <c r="AH478" s="16" t="n"/>
      <c r="AI478" s="16" t="n"/>
      <c r="AJ478" s="16" t="n"/>
      <c r="AK478" s="16" t="n"/>
      <c r="AL478" s="16" t="n"/>
      <c r="AM478" s="16" t="n"/>
      <c r="AN478" s="16" t="n"/>
      <c r="AO478" s="16" t="n"/>
      <c r="AP478" s="16" t="n"/>
      <c r="AQ478" s="16" t="n"/>
      <c r="AR478" s="17" t="n"/>
      <c r="AS478" s="120" t="n"/>
    </row>
    <row r="479" hidden="1" outlineLevel="1">
      <c r="A479" s="8" t="n"/>
      <c r="B479" s="14" t="n"/>
      <c r="C479" s="120" t="n"/>
      <c r="D479" s="120" t="n"/>
      <c r="E479" s="120" t="n"/>
      <c r="F479" s="120" t="n"/>
      <c r="G479" s="120" t="n"/>
      <c r="I479" s="55" t="inlineStr">
        <is>
          <t>NV 14 · CE 3</t>
        </is>
      </c>
      <c r="J479" s="130" t="n"/>
      <c r="K479" s="16" t="n"/>
      <c r="L479" s="17" t="n"/>
      <c r="M479" s="137">
        <f>DADOS_INVOC!$ID$4</f>
        <v/>
      </c>
      <c r="N479" s="16" t="n"/>
      <c r="O479" s="16" t="n"/>
      <c r="P479" s="16" t="n"/>
      <c r="Q479" s="16" t="n"/>
      <c r="R479" s="16" t="n"/>
      <c r="S479" s="16" t="n"/>
      <c r="T479" s="16" t="n"/>
      <c r="U479" s="16" t="n"/>
      <c r="V479" s="16" t="n"/>
      <c r="W479" s="16" t="n"/>
      <c r="X479" s="16" t="n"/>
      <c r="Y479" s="17" t="n"/>
      <c r="Z479" s="120" t="n"/>
      <c r="AB479" s="55" t="inlineStr">
        <is>
          <t>NV 14 · CE 3</t>
        </is>
      </c>
      <c r="AC479" s="130" t="n"/>
      <c r="AD479" s="16" t="n"/>
      <c r="AE479" s="17" t="n"/>
      <c r="AF479" s="137">
        <f>DADOS_INVOC!$ID$10</f>
        <v/>
      </c>
      <c r="AG479" s="16" t="n"/>
      <c r="AH479" s="16" t="n"/>
      <c r="AI479" s="16" t="n"/>
      <c r="AJ479" s="16" t="n"/>
      <c r="AK479" s="16" t="n"/>
      <c r="AL479" s="16" t="n"/>
      <c r="AM479" s="16" t="n"/>
      <c r="AN479" s="16" t="n"/>
      <c r="AO479" s="16" t="n"/>
      <c r="AP479" s="16" t="n"/>
      <c r="AQ479" s="16" t="n"/>
      <c r="AR479" s="17" t="n"/>
      <c r="AS479" s="120" t="n"/>
    </row>
    <row r="480" hidden="1" outlineLevel="1">
      <c r="A480" s="8" t="n"/>
      <c r="B480" s="14" t="n"/>
      <c r="C480" s="120" t="n"/>
      <c r="D480" s="120" t="n"/>
      <c r="E480" s="120" t="n"/>
      <c r="F480" s="120" t="n"/>
      <c r="G480" s="120" t="n"/>
      <c r="I480" s="55" t="inlineStr">
        <is>
          <t>NV 18 · CE 3</t>
        </is>
      </c>
      <c r="J480" s="130" t="n"/>
      <c r="K480" s="16" t="n"/>
      <c r="L480" s="17" t="n"/>
      <c r="M480" s="137">
        <f>DADOS_INVOC!$IE$4</f>
        <v/>
      </c>
      <c r="N480" s="16" t="n"/>
      <c r="O480" s="16" t="n"/>
      <c r="P480" s="16" t="n"/>
      <c r="Q480" s="16" t="n"/>
      <c r="R480" s="16" t="n"/>
      <c r="S480" s="16" t="n"/>
      <c r="T480" s="16" t="n"/>
      <c r="U480" s="16" t="n"/>
      <c r="V480" s="16" t="n"/>
      <c r="W480" s="16" t="n"/>
      <c r="X480" s="16" t="n"/>
      <c r="Y480" s="17" t="n"/>
      <c r="Z480" s="120" t="n"/>
      <c r="AB480" s="55" t="inlineStr">
        <is>
          <t>NV 18 · CE 3</t>
        </is>
      </c>
      <c r="AC480" s="130" t="n"/>
      <c r="AD480" s="16" t="n"/>
      <c r="AE480" s="17" t="n"/>
      <c r="AF480" s="137">
        <f>DADOS_INVOC!$IE$10</f>
        <v/>
      </c>
      <c r="AG480" s="16" t="n"/>
      <c r="AH480" s="16" t="n"/>
      <c r="AI480" s="16" t="n"/>
      <c r="AJ480" s="16" t="n"/>
      <c r="AK480" s="16" t="n"/>
      <c r="AL480" s="16" t="n"/>
      <c r="AM480" s="16" t="n"/>
      <c r="AN480" s="16" t="n"/>
      <c r="AO480" s="16" t="n"/>
      <c r="AP480" s="16" t="n"/>
      <c r="AQ480" s="16" t="n"/>
      <c r="AR480" s="17" t="n"/>
      <c r="AS480" s="120" t="n"/>
    </row>
    <row r="481" hidden="1" outlineLevel="1">
      <c r="A481" s="8" t="n"/>
      <c r="B481" s="14" t="n"/>
      <c r="C481" s="120" t="n"/>
      <c r="D481" s="120" t="n"/>
      <c r="E481" s="120" t="n"/>
      <c r="F481" s="120" t="n"/>
      <c r="G481" s="120" t="n"/>
      <c r="I481" s="55" t="inlineStr">
        <is>
          <t>NV 22 · CE 3</t>
        </is>
      </c>
      <c r="J481" s="130" t="n"/>
      <c r="K481" s="16" t="n"/>
      <c r="L481" s="17" t="n"/>
      <c r="M481" s="137">
        <f>DADOS_INVOC!$IF$4</f>
        <v/>
      </c>
      <c r="N481" s="16" t="n"/>
      <c r="O481" s="16" t="n"/>
      <c r="P481" s="16" t="n"/>
      <c r="Q481" s="16" t="n"/>
      <c r="R481" s="16" t="n"/>
      <c r="S481" s="16" t="n"/>
      <c r="T481" s="16" t="n"/>
      <c r="U481" s="16" t="n"/>
      <c r="V481" s="16" t="n"/>
      <c r="W481" s="16" t="n"/>
      <c r="X481" s="16" t="n"/>
      <c r="Y481" s="17" t="n"/>
      <c r="Z481" s="120" t="n"/>
      <c r="AB481" s="55" t="inlineStr">
        <is>
          <t>NV 22 · CE 3</t>
        </is>
      </c>
      <c r="AC481" s="130" t="n"/>
      <c r="AD481" s="16" t="n"/>
      <c r="AE481" s="17" t="n"/>
      <c r="AF481" s="137">
        <f>DADOS_INVOC!$IF$10</f>
        <v/>
      </c>
      <c r="AG481" s="16" t="n"/>
      <c r="AH481" s="16" t="n"/>
      <c r="AI481" s="16" t="n"/>
      <c r="AJ481" s="16" t="n"/>
      <c r="AK481" s="16" t="n"/>
      <c r="AL481" s="16" t="n"/>
      <c r="AM481" s="16" t="n"/>
      <c r="AN481" s="16" t="n"/>
      <c r="AO481" s="16" t="n"/>
      <c r="AP481" s="16" t="n"/>
      <c r="AQ481" s="16" t="n"/>
      <c r="AR481" s="17" t="n"/>
      <c r="AS481" s="120" t="n"/>
    </row>
    <row r="482" hidden="1" outlineLevel="1">
      <c r="A482" s="8" t="n"/>
      <c r="B482" s="14" t="n"/>
      <c r="C482" s="120" t="n"/>
      <c r="D482" s="120" t="n"/>
      <c r="E482" s="120" t="n"/>
      <c r="F482" s="120" t="n"/>
      <c r="G482" s="120" t="n"/>
      <c r="I482" s="55" t="inlineStr">
        <is>
          <t>NV 26 · CE 3</t>
        </is>
      </c>
      <c r="J482" s="130" t="n"/>
      <c r="K482" s="16" t="n"/>
      <c r="L482" s="17" t="n"/>
      <c r="M482" s="137">
        <f>DADOS_INVOC!$IG$4</f>
        <v/>
      </c>
      <c r="N482" s="16" t="n"/>
      <c r="O482" s="16" t="n"/>
      <c r="P482" s="16" t="n"/>
      <c r="Q482" s="16" t="n"/>
      <c r="R482" s="16" t="n"/>
      <c r="S482" s="16" t="n"/>
      <c r="T482" s="16" t="n"/>
      <c r="U482" s="16" t="n"/>
      <c r="V482" s="16" t="n"/>
      <c r="W482" s="16" t="n"/>
      <c r="X482" s="16" t="n"/>
      <c r="Y482" s="17" t="n"/>
      <c r="Z482" s="120" t="n"/>
      <c r="AB482" s="55" t="inlineStr">
        <is>
          <t>NV 26 · CE 3</t>
        </is>
      </c>
      <c r="AC482" s="130" t="n"/>
      <c r="AD482" s="16" t="n"/>
      <c r="AE482" s="17" t="n"/>
      <c r="AF482" s="137">
        <f>DADOS_INVOC!$IG$10</f>
        <v/>
      </c>
      <c r="AG482" s="16" t="n"/>
      <c r="AH482" s="16" t="n"/>
      <c r="AI482" s="16" t="n"/>
      <c r="AJ482" s="16" t="n"/>
      <c r="AK482" s="16" t="n"/>
      <c r="AL482" s="16" t="n"/>
      <c r="AM482" s="16" t="n"/>
      <c r="AN482" s="16" t="n"/>
      <c r="AO482" s="16" t="n"/>
      <c r="AP482" s="16" t="n"/>
      <c r="AQ482" s="16" t="n"/>
      <c r="AR482" s="17" t="n"/>
      <c r="AS482" s="120" t="n"/>
    </row>
    <row r="483" hidden="1" outlineLevel="1">
      <c r="A483" s="8" t="n"/>
      <c r="B483" s="14" t="n"/>
      <c r="C483" s="120" t="n"/>
      <c r="D483" s="120" t="n"/>
      <c r="E483" s="120" t="n"/>
      <c r="F483" s="120" t="n"/>
      <c r="G483" s="120" t="n"/>
      <c r="I483" s="55" t="inlineStr">
        <is>
          <t>NV 30 · CE 3</t>
        </is>
      </c>
      <c r="J483" s="130" t="n"/>
      <c r="K483" s="16" t="n"/>
      <c r="L483" s="17" t="n"/>
      <c r="M483" s="137">
        <f>DADOS_INVOC!$IH$4</f>
        <v/>
      </c>
      <c r="N483" s="16" t="n"/>
      <c r="O483" s="16" t="n"/>
      <c r="P483" s="16" t="n"/>
      <c r="Q483" s="16" t="n"/>
      <c r="R483" s="16" t="n"/>
      <c r="S483" s="16" t="n"/>
      <c r="T483" s="16" t="n"/>
      <c r="U483" s="16" t="n"/>
      <c r="V483" s="16" t="n"/>
      <c r="W483" s="16" t="n"/>
      <c r="X483" s="16" t="n"/>
      <c r="Y483" s="17" t="n"/>
      <c r="Z483" s="120" t="n"/>
      <c r="AB483" s="55" t="inlineStr">
        <is>
          <t>NV 30 · CE 3</t>
        </is>
      </c>
      <c r="AC483" s="130" t="n"/>
      <c r="AD483" s="16" t="n"/>
      <c r="AE483" s="17" t="n"/>
      <c r="AF483" s="137">
        <f>DADOS_INVOC!$IH$10</f>
        <v/>
      </c>
      <c r="AG483" s="16" t="n"/>
      <c r="AH483" s="16" t="n"/>
      <c r="AI483" s="16" t="n"/>
      <c r="AJ483" s="16" t="n"/>
      <c r="AK483" s="16" t="n"/>
      <c r="AL483" s="16" t="n"/>
      <c r="AM483" s="16" t="n"/>
      <c r="AN483" s="16" t="n"/>
      <c r="AO483" s="16" t="n"/>
      <c r="AP483" s="16" t="n"/>
      <c r="AQ483" s="16" t="n"/>
      <c r="AR483" s="17" t="n"/>
      <c r="AS483" s="120" t="n"/>
    </row>
    <row r="484" hidden="1" outlineLevel="1">
      <c r="A484" s="8" t="n"/>
      <c r="B484" s="14" t="n"/>
      <c r="C484" s="120" t="n"/>
      <c r="D484" s="120" t="n"/>
      <c r="E484" s="120" t="n"/>
      <c r="F484" s="120" t="n"/>
      <c r="G484" s="120" t="n"/>
      <c r="I484" s="120" t="n"/>
      <c r="J484" s="120" t="n"/>
      <c r="K484" s="120" t="n"/>
      <c r="L484" s="120" t="n"/>
      <c r="M484" s="120" t="n"/>
      <c r="N484" s="120" t="n"/>
      <c r="O484" s="120" t="n"/>
      <c r="P484" s="120" t="n"/>
      <c r="Q484" s="120" t="n"/>
      <c r="R484" s="120" t="n"/>
      <c r="S484" s="120" t="n"/>
      <c r="T484" s="120" t="n"/>
      <c r="U484" s="120" t="n"/>
      <c r="V484" s="120" t="n"/>
      <c r="W484" s="120" t="n"/>
      <c r="X484" s="120" t="n"/>
      <c r="Y484" s="120" t="n"/>
      <c r="Z484" s="120" t="n"/>
      <c r="AB484" s="120" t="n"/>
      <c r="AC484" s="120" t="n"/>
      <c r="AD484" s="120" t="n"/>
      <c r="AE484" s="120" t="n"/>
      <c r="AF484" s="120" t="n"/>
      <c r="AG484" s="120" t="n"/>
      <c r="AH484" s="120" t="n"/>
      <c r="AI484" s="120" t="n"/>
      <c r="AJ484" s="120" t="n"/>
      <c r="AK484" s="120" t="n"/>
      <c r="AL484" s="120" t="n"/>
      <c r="AM484" s="120" t="n"/>
      <c r="AN484" s="120" t="n"/>
      <c r="AO484" s="120" t="n"/>
      <c r="AP484" s="120" t="n"/>
      <c r="AQ484" s="120" t="n"/>
      <c r="AR484" s="120" t="n"/>
      <c r="AS484" s="120" t="n"/>
    </row>
    <row r="485" hidden="1" outlineLevel="1">
      <c r="A485" s="8" t="n"/>
      <c r="B485" s="14" t="n"/>
      <c r="C485" s="120" t="n"/>
      <c r="D485" s="120" t="n"/>
      <c r="E485" s="120" t="n"/>
      <c r="F485" s="120" t="n"/>
      <c r="G485" s="120" t="n"/>
      <c r="I485" s="13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0" t="n"/>
      <c r="AB485" s="13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0" t="n"/>
    </row>
    <row r="486" hidden="1" outlineLevel="2">
      <c r="A486" s="8" t="n"/>
      <c r="B486" s="14" t="n"/>
      <c r="C486" s="120" t="n"/>
      <c r="D486" s="120" t="n"/>
      <c r="E486" s="120" t="n"/>
      <c r="F486" s="120" t="n"/>
      <c r="G486" s="120" t="n"/>
      <c r="I486" s="120" t="n"/>
      <c r="J486" s="120" t="n"/>
      <c r="K486" s="120" t="n"/>
      <c r="L486" s="120" t="n"/>
      <c r="M486" s="120" t="n"/>
      <c r="N486" s="120" t="n"/>
      <c r="O486" s="120" t="n"/>
      <c r="P486" s="120" t="n"/>
      <c r="Q486" s="120" t="n"/>
      <c r="R486" s="120" t="n"/>
      <c r="S486" s="120" t="n"/>
      <c r="T486" s="120" t="n"/>
      <c r="U486" s="120" t="n"/>
      <c r="V486" s="120" t="n"/>
      <c r="W486" s="120" t="n"/>
      <c r="X486" s="120" t="n"/>
      <c r="Y486" s="120" t="n"/>
      <c r="Z486" s="120" t="n"/>
      <c r="AB486" s="120" t="n"/>
      <c r="AC486" s="120" t="n"/>
      <c r="AD486" s="120" t="n"/>
      <c r="AE486" s="120" t="n"/>
      <c r="AF486" s="120" t="n"/>
      <c r="AG486" s="120" t="n"/>
      <c r="AH486" s="120" t="n"/>
      <c r="AI486" s="120" t="n"/>
      <c r="AJ486" s="120" t="n"/>
      <c r="AK486" s="120" t="n"/>
      <c r="AL486" s="120" t="n"/>
      <c r="AM486" s="120" t="n"/>
      <c r="AN486" s="120" t="n"/>
      <c r="AO486" s="120" t="n"/>
      <c r="AP486" s="120" t="n"/>
      <c r="AQ486" s="120" t="n"/>
      <c r="AR486" s="120" t="n"/>
      <c r="AS486" s="120" t="n"/>
    </row>
    <row r="487" hidden="1" outlineLevel="2">
      <c r="A487" s="8" t="n"/>
      <c r="B487" s="14" t="n"/>
      <c r="C487" s="120" t="n"/>
      <c r="D487" s="120" t="n"/>
      <c r="E487" s="120" t="n"/>
      <c r="F487" s="120" t="n"/>
      <c r="G487" s="120" t="n"/>
      <c r="I487" s="55">
        <f>DADOS_INVOC!$PI$31</f>
        <v/>
      </c>
      <c r="J487" s="16" t="n"/>
      <c r="K487" s="16" t="n"/>
      <c r="L487" s="16" t="n"/>
      <c r="M487" s="17" t="n"/>
      <c r="N487" s="120" t="n"/>
      <c r="O487" s="55">
        <f>DADOS_INVOC!$PI$32</f>
        <v/>
      </c>
      <c r="P487" s="16" t="n"/>
      <c r="Q487" s="16" t="n"/>
      <c r="R487" s="16" t="n"/>
      <c r="S487" s="17" t="n"/>
      <c r="T487" s="120" t="n"/>
      <c r="U487" s="55">
        <f>DADOS_INVOC!$PI$33</f>
        <v/>
      </c>
      <c r="V487" s="16" t="n"/>
      <c r="W487" s="16" t="n"/>
      <c r="X487" s="16" t="n"/>
      <c r="Y487" s="17" t="n"/>
      <c r="Z487" s="120" t="n"/>
      <c r="AB487" s="55">
        <f>DADOS_INVOC!$PI$109</f>
        <v/>
      </c>
      <c r="AC487" s="16" t="n"/>
      <c r="AD487" s="16" t="n"/>
      <c r="AE487" s="16" t="n"/>
      <c r="AF487" s="17" t="n"/>
      <c r="AG487" s="120" t="n"/>
      <c r="AH487" s="55">
        <f>DADOS_INVOC!$PI$110</f>
        <v/>
      </c>
      <c r="AI487" s="16" t="n"/>
      <c r="AJ487" s="16" t="n"/>
      <c r="AK487" s="16" t="n"/>
      <c r="AL487" s="17" t="n"/>
      <c r="AM487" s="120" t="n"/>
      <c r="AN487" s="55">
        <f>DADOS_INVOC!$PI$111</f>
        <v/>
      </c>
      <c r="AO487" s="16" t="n"/>
      <c r="AP487" s="16" t="n"/>
      <c r="AQ487" s="16" t="n"/>
      <c r="AR487" s="17" t="n"/>
      <c r="AS487" s="120" t="n"/>
    </row>
    <row r="488" hidden="1" outlineLevel="2">
      <c r="A488" s="8" t="n"/>
      <c r="B488" s="14" t="n"/>
      <c r="C488" s="120" t="n"/>
      <c r="D488" s="120" t="n"/>
      <c r="E488" s="120" t="n"/>
      <c r="F488" s="120" t="n"/>
      <c r="G488" s="120" t="n"/>
      <c r="I488" s="127" t="n">
        <v>0</v>
      </c>
      <c r="J488" s="115" t="n"/>
      <c r="K488" s="16" t="n"/>
      <c r="L488" s="17" t="n"/>
      <c r="M488" s="128">
        <f>DADOS_INVOC!$PG$31</f>
        <v/>
      </c>
      <c r="N488" s="120" t="n"/>
      <c r="O488" s="127" t="n">
        <v>1</v>
      </c>
      <c r="P488" s="115" t="n"/>
      <c r="Q488" s="16" t="n"/>
      <c r="R488" s="17" t="n"/>
      <c r="S488" s="128">
        <f>DADOS_INVOC!$PG$32</f>
        <v/>
      </c>
      <c r="T488" s="120" t="n"/>
      <c r="U488" s="127" t="n">
        <v>1</v>
      </c>
      <c r="V488" s="115" t="n"/>
      <c r="W488" s="16" t="n"/>
      <c r="X488" s="17" t="n"/>
      <c r="Y488" s="128">
        <f>DADOS_INVOC!$PG$33</f>
        <v/>
      </c>
      <c r="Z488" s="120" t="n"/>
      <c r="AB488" s="127" t="n">
        <v>0</v>
      </c>
      <c r="AC488" s="115" t="n"/>
      <c r="AD488" s="16" t="n"/>
      <c r="AE488" s="17" t="n"/>
      <c r="AF488" s="128">
        <f>DADOS_INVOC!$PG$109</f>
        <v/>
      </c>
      <c r="AG488" s="120" t="n"/>
      <c r="AH488" s="127" t="n">
        <v>1</v>
      </c>
      <c r="AI488" s="115" t="n"/>
      <c r="AJ488" s="16" t="n"/>
      <c r="AK488" s="17" t="n"/>
      <c r="AL488" s="128">
        <f>DADOS_INVOC!$PG$110</f>
        <v/>
      </c>
      <c r="AM488" s="120" t="n"/>
      <c r="AN488" s="127" t="n">
        <v>1</v>
      </c>
      <c r="AO488" s="115" t="n"/>
      <c r="AP488" s="16" t="n"/>
      <c r="AQ488" s="17" t="n"/>
      <c r="AR488" s="128">
        <f>DADOS_INVOC!$PG$111</f>
        <v/>
      </c>
      <c r="AS488" s="120" t="n"/>
    </row>
    <row r="489" hidden="1" outlineLevel="3">
      <c r="A489" s="8" t="n"/>
      <c r="B489" s="14" t="n"/>
      <c r="C489" s="120" t="n"/>
      <c r="D489" s="120" t="n"/>
      <c r="E489" s="120" t="n"/>
      <c r="F489" s="120" t="n"/>
      <c r="G489" s="120" t="n"/>
      <c r="I489" s="55" t="inlineStr">
        <is>
          <t>COMO É</t>
        </is>
      </c>
      <c r="J489" s="16" t="n"/>
      <c r="K489" s="16" t="n"/>
      <c r="L489" s="16" t="n"/>
      <c r="M489" s="17" t="n"/>
      <c r="N489" s="120" t="n"/>
      <c r="O489" s="55" t="inlineStr">
        <is>
          <t>COMO É</t>
        </is>
      </c>
      <c r="P489" s="16" t="n"/>
      <c r="Q489" s="16" t="n"/>
      <c r="R489" s="16" t="n"/>
      <c r="S489" s="17" t="n"/>
      <c r="T489" s="120" t="n"/>
      <c r="U489" s="55" t="inlineStr">
        <is>
          <t>COMO É</t>
        </is>
      </c>
      <c r="V489" s="16" t="n"/>
      <c r="W489" s="16" t="n"/>
      <c r="X489" s="16" t="n"/>
      <c r="Y489" s="17" t="n"/>
      <c r="Z489" s="120" t="n"/>
      <c r="AB489" s="55" t="inlineStr">
        <is>
          <t>COMO É</t>
        </is>
      </c>
      <c r="AC489" s="16" t="n"/>
      <c r="AD489" s="16" t="n"/>
      <c r="AE489" s="16" t="n"/>
      <c r="AF489" s="17" t="n"/>
      <c r="AG489" s="120" t="n"/>
      <c r="AH489" s="55" t="inlineStr">
        <is>
          <t>COMO É</t>
        </is>
      </c>
      <c r="AI489" s="16" t="n"/>
      <c r="AJ489" s="16" t="n"/>
      <c r="AK489" s="16" t="n"/>
      <c r="AL489" s="17" t="n"/>
      <c r="AM489" s="120" t="n"/>
      <c r="AN489" s="55" t="inlineStr">
        <is>
          <t>COMO É</t>
        </is>
      </c>
      <c r="AO489" s="16" t="n"/>
      <c r="AP489" s="16" t="n"/>
      <c r="AQ489" s="16" t="n"/>
      <c r="AR489" s="17" t="n"/>
      <c r="AS489" s="120" t="n"/>
    </row>
    <row r="490" hidden="1" outlineLevel="3">
      <c r="A490" s="8" t="n"/>
      <c r="B490" s="14" t="n"/>
      <c r="C490" s="120" t="n"/>
      <c r="D490" s="120" t="n"/>
      <c r="E490" s="120" t="n"/>
      <c r="F490" s="120" t="n"/>
      <c r="G490" s="120" t="n"/>
      <c r="I490" s="116" t="n"/>
      <c r="J490" s="19" t="n"/>
      <c r="K490" s="19" t="n"/>
      <c r="L490" s="19" t="n"/>
      <c r="M490" s="20" t="n"/>
      <c r="N490" s="120" t="n"/>
      <c r="O490" s="116" t="n"/>
      <c r="P490" s="19" t="n"/>
      <c r="Q490" s="19" t="n"/>
      <c r="R490" s="19" t="n"/>
      <c r="S490" s="20" t="n"/>
      <c r="T490" s="120" t="n"/>
      <c r="U490" s="116" t="n"/>
      <c r="V490" s="19" t="n"/>
      <c r="W490" s="19" t="n"/>
      <c r="X490" s="19" t="n"/>
      <c r="Y490" s="20" t="n"/>
      <c r="Z490" s="120" t="n"/>
      <c r="AB490" s="116" t="n"/>
      <c r="AC490" s="19" t="n"/>
      <c r="AD490" s="19" t="n"/>
      <c r="AE490" s="19" t="n"/>
      <c r="AF490" s="20" t="n"/>
      <c r="AG490" s="120" t="n"/>
      <c r="AH490" s="116" t="n"/>
      <c r="AI490" s="19" t="n"/>
      <c r="AJ490" s="19" t="n"/>
      <c r="AK490" s="19" t="n"/>
      <c r="AL490" s="20" t="n"/>
      <c r="AM490" s="120" t="n"/>
      <c r="AN490" s="116" t="n"/>
      <c r="AO490" s="19" t="n"/>
      <c r="AP490" s="19" t="n"/>
      <c r="AQ490" s="19" t="n"/>
      <c r="AR490" s="20" t="n"/>
      <c r="AS490" s="120" t="n"/>
    </row>
    <row r="491" hidden="1" outlineLevel="3">
      <c r="A491" s="8" t="n"/>
      <c r="B491" s="14" t="n"/>
      <c r="C491" s="120" t="n"/>
      <c r="D491" s="120" t="n"/>
      <c r="E491" s="120" t="n"/>
      <c r="F491" s="120" t="n"/>
      <c r="G491" s="120" t="n"/>
      <c r="I491" s="21" t="n"/>
      <c r="M491" s="22" t="n"/>
      <c r="N491" s="120" t="n"/>
      <c r="O491" s="21" t="n"/>
      <c r="S491" s="22" t="n"/>
      <c r="T491" s="120" t="n"/>
      <c r="U491" s="21" t="n"/>
      <c r="Y491" s="22" t="n"/>
      <c r="Z491" s="120" t="n"/>
      <c r="AB491" s="21" t="n"/>
      <c r="AF491" s="22" t="n"/>
      <c r="AG491" s="120" t="n"/>
      <c r="AH491" s="21" t="n"/>
      <c r="AL491" s="22" t="n"/>
      <c r="AM491" s="120" t="n"/>
      <c r="AN491" s="21" t="n"/>
      <c r="AR491" s="22" t="n"/>
      <c r="AS491" s="120" t="n"/>
    </row>
    <row r="492" hidden="1" outlineLevel="3">
      <c r="A492" s="8" t="n"/>
      <c r="B492" s="14" t="n"/>
      <c r="C492" s="120" t="n"/>
      <c r="D492" s="120" t="n"/>
      <c r="E492" s="120" t="n"/>
      <c r="F492" s="120" t="n"/>
      <c r="G492" s="120" t="n"/>
      <c r="I492" s="23" t="n"/>
      <c r="J492" s="24" t="n"/>
      <c r="K492" s="24" t="n"/>
      <c r="L492" s="24" t="n"/>
      <c r="M492" s="25" t="n"/>
      <c r="N492" s="120" t="n"/>
      <c r="O492" s="23" t="n"/>
      <c r="P492" s="24" t="n"/>
      <c r="Q492" s="24" t="n"/>
      <c r="R492" s="24" t="n"/>
      <c r="S492" s="25" t="n"/>
      <c r="T492" s="120" t="n"/>
      <c r="U492" s="23" t="n"/>
      <c r="V492" s="24" t="n"/>
      <c r="W492" s="24" t="n"/>
      <c r="X492" s="24" t="n"/>
      <c r="Y492" s="25" t="n"/>
      <c r="Z492" s="120" t="n"/>
      <c r="AB492" s="23" t="n"/>
      <c r="AC492" s="24" t="n"/>
      <c r="AD492" s="24" t="n"/>
      <c r="AE492" s="24" t="n"/>
      <c r="AF492" s="25" t="n"/>
      <c r="AG492" s="120" t="n"/>
      <c r="AH492" s="23" t="n"/>
      <c r="AI492" s="24" t="n"/>
      <c r="AJ492" s="24" t="n"/>
      <c r="AK492" s="24" t="n"/>
      <c r="AL492" s="25" t="n"/>
      <c r="AM492" s="120" t="n"/>
      <c r="AN492" s="23" t="n"/>
      <c r="AO492" s="24" t="n"/>
      <c r="AP492" s="24" t="n"/>
      <c r="AQ492" s="24" t="n"/>
      <c r="AR492" s="25" t="n"/>
      <c r="AS492" s="120" t="n"/>
    </row>
    <row r="493" hidden="1" outlineLevel="2">
      <c r="A493" s="8" t="n"/>
      <c r="B493" s="14" t="n"/>
      <c r="C493" s="120" t="n"/>
      <c r="D493" s="120" t="n"/>
      <c r="E493" s="120" t="n"/>
      <c r="F493" s="120" t="n"/>
      <c r="G493" s="120" t="n"/>
      <c r="I493" s="124" t="inlineStr">
        <is>
          <t>Projétil</t>
        </is>
      </c>
      <c r="J493" s="17" t="n"/>
      <c r="K493" s="68">
        <f>DADOS_INVOC!$PN$31</f>
        <v/>
      </c>
      <c r="L493" s="17" t="n"/>
      <c r="M493" s="68">
        <f>DADOS_INVOC!$PJ$31</f>
        <v/>
      </c>
      <c r="N493" s="120" t="n"/>
      <c r="O493" s="124" t="inlineStr">
        <is>
          <t>Projétil</t>
        </is>
      </c>
      <c r="P493" s="17" t="n"/>
      <c r="Q493" s="68">
        <f>DADOS_INVOC!$PN$32</f>
        <v/>
      </c>
      <c r="R493" s="17" t="n"/>
      <c r="S493" s="68">
        <f>DADOS_INVOC!$PJ$32</f>
        <v/>
      </c>
      <c r="T493" s="120" t="n"/>
      <c r="U493" s="124" t="inlineStr">
        <is>
          <t>Projétil</t>
        </is>
      </c>
      <c r="V493" s="17" t="n"/>
      <c r="W493" s="68">
        <f>DADOS_INVOC!$PN$33</f>
        <v/>
      </c>
      <c r="X493" s="17" t="n"/>
      <c r="Y493" s="68">
        <f>DADOS_INVOC!$PJ$33</f>
        <v/>
      </c>
      <c r="Z493" s="120" t="n"/>
      <c r="AB493" s="124" t="inlineStr">
        <is>
          <t>Projétil</t>
        </is>
      </c>
      <c r="AC493" s="17" t="n"/>
      <c r="AD493" s="68">
        <f>DADOS_INVOC!$PN$109</f>
        <v/>
      </c>
      <c r="AE493" s="17" t="n"/>
      <c r="AF493" s="68">
        <f>DADOS_INVOC!$PJ$109</f>
        <v/>
      </c>
      <c r="AG493" s="120" t="n"/>
      <c r="AH493" s="124" t="inlineStr">
        <is>
          <t>Projétil</t>
        </is>
      </c>
      <c r="AI493" s="17" t="n"/>
      <c r="AJ493" s="68">
        <f>DADOS_INVOC!$PN$110</f>
        <v/>
      </c>
      <c r="AK493" s="17" t="n"/>
      <c r="AL493" s="68">
        <f>DADOS_INVOC!$PJ$110</f>
        <v/>
      </c>
      <c r="AM493" s="120" t="n"/>
      <c r="AN493" s="124" t="inlineStr">
        <is>
          <t>Projétil</t>
        </is>
      </c>
      <c r="AO493" s="17" t="n"/>
      <c r="AP493" s="68">
        <f>DADOS_INVOC!$PN$111</f>
        <v/>
      </c>
      <c r="AQ493" s="17" t="n"/>
      <c r="AR493" s="68">
        <f>DADOS_INVOC!$PJ$111</f>
        <v/>
      </c>
      <c r="AS493" s="120" t="n"/>
    </row>
    <row r="494" hidden="1" outlineLevel="2">
      <c r="A494" s="8" t="n"/>
      <c r="B494" s="14" t="n"/>
      <c r="C494" s="120" t="n"/>
      <c r="D494" s="120" t="n"/>
      <c r="E494" s="120" t="n"/>
      <c r="F494" s="120" t="n"/>
      <c r="G494" s="120" t="n"/>
      <c r="I494" s="124" t="n"/>
      <c r="J494" s="17" t="n"/>
      <c r="K494" s="124" t="n"/>
      <c r="L494" s="16" t="n"/>
      <c r="M494" s="17" t="n"/>
      <c r="N494" s="120" t="n"/>
      <c r="O494" s="124" t="n"/>
      <c r="P494" s="17" t="n"/>
      <c r="Q494" s="124" t="n"/>
      <c r="R494" s="16" t="n"/>
      <c r="S494" s="17" t="n"/>
      <c r="T494" s="120" t="n"/>
      <c r="U494" s="124" t="n"/>
      <c r="V494" s="17" t="n"/>
      <c r="W494" s="124" t="n"/>
      <c r="X494" s="16" t="n"/>
      <c r="Y494" s="17" t="n"/>
      <c r="Z494" s="120" t="n"/>
      <c r="AB494" s="124" t="n"/>
      <c r="AC494" s="17" t="n"/>
      <c r="AD494" s="124" t="n"/>
      <c r="AE494" s="16" t="n"/>
      <c r="AF494" s="17" t="n"/>
      <c r="AG494" s="120" t="n"/>
      <c r="AH494" s="124" t="n"/>
      <c r="AI494" s="17" t="n"/>
      <c r="AJ494" s="124" t="n"/>
      <c r="AK494" s="16" t="n"/>
      <c r="AL494" s="17" t="n"/>
      <c r="AM494" s="120" t="n"/>
      <c r="AN494" s="124" t="n"/>
      <c r="AO494" s="17" t="n"/>
      <c r="AP494" s="124" t="n"/>
      <c r="AQ494" s="16" t="n"/>
      <c r="AR494" s="17" t="n"/>
      <c r="AS494" s="120" t="n"/>
    </row>
    <row r="495" hidden="1" outlineLevel="2">
      <c r="A495" s="8" t="n"/>
      <c r="B495" s="14" t="n"/>
      <c r="C495" s="120" t="n"/>
      <c r="D495" s="120" t="n"/>
      <c r="E495" s="120" t="n"/>
      <c r="F495" s="120" t="n"/>
      <c r="G495" s="120" t="n"/>
      <c r="I495" s="124">
        <f>DADOS_INVOC!$PK$31</f>
        <v/>
      </c>
      <c r="J495" s="17" t="n"/>
      <c r="K495" s="124">
        <f>DADOS_INVOC!$PM$31</f>
        <v/>
      </c>
      <c r="L495" s="16" t="n"/>
      <c r="M495" s="17" t="n"/>
      <c r="N495" s="120" t="n"/>
      <c r="O495" s="124">
        <f>DADOS_INVOC!$PK$32</f>
        <v/>
      </c>
      <c r="P495" s="17" t="n"/>
      <c r="Q495" s="124">
        <f>DADOS_INVOC!$PM$32</f>
        <v/>
      </c>
      <c r="R495" s="16" t="n"/>
      <c r="S495" s="17" t="n"/>
      <c r="T495" s="120" t="n"/>
      <c r="U495" s="124">
        <f>DADOS_INVOC!$PK$33</f>
        <v/>
      </c>
      <c r="V495" s="17" t="n"/>
      <c r="W495" s="124">
        <f>DADOS_INVOC!$PM$33</f>
        <v/>
      </c>
      <c r="X495" s="16" t="n"/>
      <c r="Y495" s="17" t="n"/>
      <c r="Z495" s="120" t="n"/>
      <c r="AB495" s="124">
        <f>DADOS_INVOC!$PK$109</f>
        <v/>
      </c>
      <c r="AC495" s="17" t="n"/>
      <c r="AD495" s="124">
        <f>DADOS_INVOC!$PM$109</f>
        <v/>
      </c>
      <c r="AE495" s="16" t="n"/>
      <c r="AF495" s="17" t="n"/>
      <c r="AG495" s="120" t="n"/>
      <c r="AH495" s="124">
        <f>DADOS_INVOC!$PK$110</f>
        <v/>
      </c>
      <c r="AI495" s="17" t="n"/>
      <c r="AJ495" s="124">
        <f>DADOS_INVOC!$PM$110</f>
        <v/>
      </c>
      <c r="AK495" s="16" t="n"/>
      <c r="AL495" s="17" t="n"/>
      <c r="AM495" s="120" t="n"/>
      <c r="AN495" s="124">
        <f>DADOS_INVOC!$PK$111</f>
        <v/>
      </c>
      <c r="AO495" s="17" t="n"/>
      <c r="AP495" s="124">
        <f>DADOS_INVOC!$PM$111</f>
        <v/>
      </c>
      <c r="AQ495" s="16" t="n"/>
      <c r="AR495" s="17" t="n"/>
      <c r="AS495" s="120" t="n"/>
    </row>
    <row r="496" hidden="1" outlineLevel="2">
      <c r="A496" s="8" t="n"/>
      <c r="B496" s="14" t="n"/>
      <c r="C496" s="120" t="n"/>
      <c r="D496" s="120" t="n"/>
      <c r="E496" s="120" t="n"/>
      <c r="F496" s="120" t="n"/>
      <c r="G496" s="120" t="n"/>
      <c r="I496" s="129">
        <f>DADOS_INVOC!$PS$31</f>
        <v/>
      </c>
      <c r="J496" s="16" t="n"/>
      <c r="K496" s="16" t="n"/>
      <c r="L496" s="16" t="n"/>
      <c r="M496" s="17" t="n"/>
      <c r="N496" s="120" t="n"/>
      <c r="O496" s="129">
        <f>DADOS_INVOC!$PS$32</f>
        <v/>
      </c>
      <c r="P496" s="16" t="n"/>
      <c r="Q496" s="16" t="n"/>
      <c r="R496" s="16" t="n"/>
      <c r="S496" s="17" t="n"/>
      <c r="T496" s="120" t="n"/>
      <c r="U496" s="129">
        <f>DADOS_INVOC!$PS$33</f>
        <v/>
      </c>
      <c r="V496" s="16" t="n"/>
      <c r="W496" s="16" t="n"/>
      <c r="X496" s="16" t="n"/>
      <c r="Y496" s="17" t="n"/>
      <c r="Z496" s="120" t="n"/>
      <c r="AB496" s="129">
        <f>DADOS_INVOC!$PS$109</f>
        <v/>
      </c>
      <c r="AC496" s="16" t="n"/>
      <c r="AD496" s="16" t="n"/>
      <c r="AE496" s="16" t="n"/>
      <c r="AF496" s="17" t="n"/>
      <c r="AG496" s="120" t="n"/>
      <c r="AH496" s="129">
        <f>DADOS_INVOC!$PS$110</f>
        <v/>
      </c>
      <c r="AI496" s="16" t="n"/>
      <c r="AJ496" s="16" t="n"/>
      <c r="AK496" s="16" t="n"/>
      <c r="AL496" s="17" t="n"/>
      <c r="AM496" s="120" t="n"/>
      <c r="AN496" s="129">
        <f>DADOS_INVOC!$PS$111</f>
        <v/>
      </c>
      <c r="AO496" s="16" t="n"/>
      <c r="AP496" s="16" t="n"/>
      <c r="AQ496" s="16" t="n"/>
      <c r="AR496" s="17" t="n"/>
      <c r="AS496" s="120" t="n"/>
    </row>
    <row r="497" hidden="1" outlineLevel="3">
      <c r="A497" s="8" t="n"/>
      <c r="B497" s="14" t="n"/>
      <c r="C497" s="120" t="n"/>
      <c r="D497" s="120" t="n"/>
      <c r="E497" s="120" t="n"/>
      <c r="F497" s="120" t="n"/>
      <c r="G497" s="120" t="n"/>
      <c r="I497" s="55" t="inlineStr">
        <is>
          <t>MELHORIAS</t>
        </is>
      </c>
      <c r="J497" s="130" t="n"/>
      <c r="K497" s="16" t="n"/>
      <c r="L497" s="17" t="n"/>
      <c r="M497" s="129">
        <f>DADOS_INVOC!$PV$31</f>
        <v/>
      </c>
      <c r="N497" s="120" t="n"/>
      <c r="O497" s="55" t="inlineStr">
        <is>
          <t>MELHORIAS</t>
        </is>
      </c>
      <c r="P497" s="130" t="n"/>
      <c r="Q497" s="16" t="n"/>
      <c r="R497" s="17" t="n"/>
      <c r="S497" s="129">
        <f>DADOS_INVOC!$PV$32</f>
        <v/>
      </c>
      <c r="T497" s="120" t="n"/>
      <c r="U497" s="55" t="inlineStr">
        <is>
          <t>MELHORIAS</t>
        </is>
      </c>
      <c r="V497" s="130" t="n"/>
      <c r="W497" s="16" t="n"/>
      <c r="X497" s="17" t="n"/>
      <c r="Y497" s="129">
        <f>DADOS_INVOC!$PV$33</f>
        <v/>
      </c>
      <c r="Z497" s="120" t="n"/>
      <c r="AB497" s="55" t="inlineStr">
        <is>
          <t>MELHORIAS</t>
        </is>
      </c>
      <c r="AC497" s="130" t="n"/>
      <c r="AD497" s="16" t="n"/>
      <c r="AE497" s="17" t="n"/>
      <c r="AF497" s="129">
        <f>DADOS_INVOC!$PV$109</f>
        <v/>
      </c>
      <c r="AG497" s="120" t="n"/>
      <c r="AH497" s="55" t="inlineStr">
        <is>
          <t>MELHORIAS</t>
        </is>
      </c>
      <c r="AI497" s="130" t="n"/>
      <c r="AJ497" s="16" t="n"/>
      <c r="AK497" s="17" t="n"/>
      <c r="AL497" s="129">
        <f>DADOS_INVOC!$PV$110</f>
        <v/>
      </c>
      <c r="AM497" s="120" t="n"/>
      <c r="AN497" s="55" t="inlineStr">
        <is>
          <t>MELHORIAS</t>
        </is>
      </c>
      <c r="AO497" s="130" t="n"/>
      <c r="AP497" s="16" t="n"/>
      <c r="AQ497" s="17" t="n"/>
      <c r="AR497" s="129">
        <f>DADOS_INVOC!$PV$111</f>
        <v/>
      </c>
      <c r="AS497" s="120" t="n"/>
    </row>
    <row r="498" hidden="1" outlineLevel="3">
      <c r="A498" s="8" t="n"/>
      <c r="B498" s="14" t="n"/>
      <c r="C498" s="120" t="n"/>
      <c r="D498" s="120" t="n"/>
      <c r="E498" s="120" t="n"/>
      <c r="F498" s="120" t="n"/>
      <c r="G498" s="120" t="n"/>
      <c r="I498" s="131" t="n"/>
      <c r="J498" s="130" t="n"/>
      <c r="K498" s="16" t="n"/>
      <c r="L498" s="17" t="n"/>
      <c r="M498" s="129">
        <f>DADOS_INVOC!$PW$31</f>
        <v/>
      </c>
      <c r="N498" s="120" t="n"/>
      <c r="O498" s="131" t="n"/>
      <c r="P498" s="130" t="n"/>
      <c r="Q498" s="16" t="n"/>
      <c r="R498" s="17" t="n"/>
      <c r="S498" s="129">
        <f>DADOS_INVOC!$PW$32</f>
        <v/>
      </c>
      <c r="T498" s="120" t="n"/>
      <c r="U498" s="131" t="n"/>
      <c r="V498" s="130" t="n"/>
      <c r="W498" s="16" t="n"/>
      <c r="X498" s="17" t="n"/>
      <c r="Y498" s="129">
        <f>DADOS_INVOC!$PW$33</f>
        <v/>
      </c>
      <c r="Z498" s="120" t="n"/>
      <c r="AB498" s="131" t="n"/>
      <c r="AC498" s="130" t="n"/>
      <c r="AD498" s="16" t="n"/>
      <c r="AE498" s="17" t="n"/>
      <c r="AF498" s="129">
        <f>DADOS_INVOC!$PW$109</f>
        <v/>
      </c>
      <c r="AG498" s="120" t="n"/>
      <c r="AH498" s="131" t="n"/>
      <c r="AI498" s="130" t="n"/>
      <c r="AJ498" s="16" t="n"/>
      <c r="AK498" s="17" t="n"/>
      <c r="AL498" s="129">
        <f>DADOS_INVOC!$PW$110</f>
        <v/>
      </c>
      <c r="AM498" s="120" t="n"/>
      <c r="AN498" s="131" t="n"/>
      <c r="AO498" s="130" t="n"/>
      <c r="AP498" s="16" t="n"/>
      <c r="AQ498" s="17" t="n"/>
      <c r="AR498" s="129">
        <f>DADOS_INVOC!$PW$111</f>
        <v/>
      </c>
      <c r="AS498" s="120" t="n"/>
    </row>
    <row r="499" hidden="1" outlineLevel="3">
      <c r="A499" s="8" t="n"/>
      <c r="B499" s="14" t="n"/>
      <c r="C499" s="120" t="n"/>
      <c r="D499" s="120" t="n"/>
      <c r="E499" s="120" t="n"/>
      <c r="F499" s="120" t="n"/>
      <c r="G499" s="120" t="n"/>
      <c r="I499" s="131" t="n"/>
      <c r="J499" s="130" t="n"/>
      <c r="K499" s="16" t="n"/>
      <c r="L499" s="17" t="n"/>
      <c r="M499" s="129">
        <f>DADOS_INVOC!$PX$31</f>
        <v/>
      </c>
      <c r="N499" s="120" t="n"/>
      <c r="O499" s="131" t="n"/>
      <c r="P499" s="130" t="n"/>
      <c r="Q499" s="16" t="n"/>
      <c r="R499" s="17" t="n"/>
      <c r="S499" s="129">
        <f>DADOS_INVOC!$PX$32</f>
        <v/>
      </c>
      <c r="T499" s="120" t="n"/>
      <c r="U499" s="131" t="n"/>
      <c r="V499" s="130" t="n"/>
      <c r="W499" s="16" t="n"/>
      <c r="X499" s="17" t="n"/>
      <c r="Y499" s="129">
        <f>DADOS_INVOC!$PX$33</f>
        <v/>
      </c>
      <c r="Z499" s="120" t="n"/>
      <c r="AB499" s="131" t="n"/>
      <c r="AC499" s="130" t="n"/>
      <c r="AD499" s="16" t="n"/>
      <c r="AE499" s="17" t="n"/>
      <c r="AF499" s="129">
        <f>DADOS_INVOC!$PX$109</f>
        <v/>
      </c>
      <c r="AG499" s="120" t="n"/>
      <c r="AH499" s="131" t="n"/>
      <c r="AI499" s="130" t="n"/>
      <c r="AJ499" s="16" t="n"/>
      <c r="AK499" s="17" t="n"/>
      <c r="AL499" s="129">
        <f>DADOS_INVOC!$PX$110</f>
        <v/>
      </c>
      <c r="AM499" s="120" t="n"/>
      <c r="AN499" s="131" t="n"/>
      <c r="AO499" s="130" t="n"/>
      <c r="AP499" s="16" t="n"/>
      <c r="AQ499" s="17" t="n"/>
      <c r="AR499" s="129">
        <f>DADOS_INVOC!$PX$111</f>
        <v/>
      </c>
      <c r="AS499" s="120" t="n"/>
    </row>
    <row r="500" hidden="1" outlineLevel="3">
      <c r="A500" s="8" t="n"/>
      <c r="B500" s="14" t="n"/>
      <c r="C500" s="120" t="n"/>
      <c r="D500" s="120" t="n"/>
      <c r="E500" s="120" t="n"/>
      <c r="F500" s="120" t="n"/>
      <c r="G500" s="120" t="n"/>
      <c r="I500" s="125" t="n"/>
      <c r="J500" s="130" t="n"/>
      <c r="K500" s="16" t="n"/>
      <c r="L500" s="17" t="n"/>
      <c r="M500" s="129">
        <f>DADOS_INVOC!$PY$31</f>
        <v/>
      </c>
      <c r="N500" s="120" t="n"/>
      <c r="O500" s="125" t="n"/>
      <c r="P500" s="130" t="n"/>
      <c r="Q500" s="16" t="n"/>
      <c r="R500" s="17" t="n"/>
      <c r="S500" s="129">
        <f>DADOS_INVOC!$PY$32</f>
        <v/>
      </c>
      <c r="T500" s="120" t="n"/>
      <c r="U500" s="125" t="n"/>
      <c r="V500" s="130" t="n"/>
      <c r="W500" s="16" t="n"/>
      <c r="X500" s="17" t="n"/>
      <c r="Y500" s="129">
        <f>DADOS_INVOC!$PY$33</f>
        <v/>
      </c>
      <c r="Z500" s="120" t="n"/>
      <c r="AB500" s="125" t="n"/>
      <c r="AC500" s="130" t="n"/>
      <c r="AD500" s="16" t="n"/>
      <c r="AE500" s="17" t="n"/>
      <c r="AF500" s="129">
        <f>DADOS_INVOC!$PY$109</f>
        <v/>
      </c>
      <c r="AG500" s="120" t="n"/>
      <c r="AH500" s="125" t="n"/>
      <c r="AI500" s="130" t="n"/>
      <c r="AJ500" s="16" t="n"/>
      <c r="AK500" s="17" t="n"/>
      <c r="AL500" s="129">
        <f>DADOS_INVOC!$PY$110</f>
        <v/>
      </c>
      <c r="AM500" s="120" t="n"/>
      <c r="AN500" s="125" t="n"/>
      <c r="AO500" s="130" t="n"/>
      <c r="AP500" s="16" t="n"/>
      <c r="AQ500" s="17" t="n"/>
      <c r="AR500" s="129">
        <f>DADOS_INVOC!$PY$111</f>
        <v/>
      </c>
      <c r="AS500" s="120" t="n"/>
    </row>
    <row r="501" hidden="1" outlineLevel="3">
      <c r="A501" s="8" t="n"/>
      <c r="B501" s="14" t="n"/>
      <c r="C501" s="120" t="n"/>
      <c r="D501" s="120" t="n"/>
      <c r="E501" s="120" t="n"/>
      <c r="F501" s="120" t="n"/>
      <c r="G501" s="120" t="n"/>
      <c r="I501" s="55" t="inlineStr">
        <is>
          <t>RESTRIÇÕES</t>
        </is>
      </c>
      <c r="J501" s="130" t="n"/>
      <c r="K501" s="16" t="n"/>
      <c r="L501" s="17" t="n"/>
      <c r="M501" s="129">
        <f>DADOS_INVOC!$PZ$31</f>
        <v/>
      </c>
      <c r="N501" s="120" t="n"/>
      <c r="O501" s="55" t="inlineStr">
        <is>
          <t>RESTRIÇÕES</t>
        </is>
      </c>
      <c r="P501" s="130" t="n"/>
      <c r="Q501" s="16" t="n"/>
      <c r="R501" s="17" t="n"/>
      <c r="S501" s="129">
        <f>DADOS_INVOC!$PZ$32</f>
        <v/>
      </c>
      <c r="T501" s="120" t="n"/>
      <c r="U501" s="55" t="inlineStr">
        <is>
          <t>RESTRIÇÕES</t>
        </is>
      </c>
      <c r="V501" s="130" t="n"/>
      <c r="W501" s="16" t="n"/>
      <c r="X501" s="17" t="n"/>
      <c r="Y501" s="129">
        <f>DADOS_INVOC!$PZ$33</f>
        <v/>
      </c>
      <c r="Z501" s="120" t="n"/>
      <c r="AB501" s="55" t="inlineStr">
        <is>
          <t>RESTRIÇÕES</t>
        </is>
      </c>
      <c r="AC501" s="130" t="n"/>
      <c r="AD501" s="16" t="n"/>
      <c r="AE501" s="17" t="n"/>
      <c r="AF501" s="129">
        <f>DADOS_INVOC!$PZ$109</f>
        <v/>
      </c>
      <c r="AG501" s="120" t="n"/>
      <c r="AH501" s="55" t="inlineStr">
        <is>
          <t>RESTRIÇÕES</t>
        </is>
      </c>
      <c r="AI501" s="130" t="n"/>
      <c r="AJ501" s="16" t="n"/>
      <c r="AK501" s="17" t="n"/>
      <c r="AL501" s="129">
        <f>DADOS_INVOC!$PZ$110</f>
        <v/>
      </c>
      <c r="AM501" s="120" t="n"/>
      <c r="AN501" s="55" t="inlineStr">
        <is>
          <t>RESTRIÇÕES</t>
        </is>
      </c>
      <c r="AO501" s="130" t="n"/>
      <c r="AP501" s="16" t="n"/>
      <c r="AQ501" s="17" t="n"/>
      <c r="AR501" s="129">
        <f>DADOS_INVOC!$PZ$111</f>
        <v/>
      </c>
      <c r="AS501" s="120" t="n"/>
    </row>
    <row r="502" hidden="1" outlineLevel="3">
      <c r="A502" s="8" t="n"/>
      <c r="B502" s="14" t="n"/>
      <c r="C502" s="120" t="n"/>
      <c r="D502" s="120" t="n"/>
      <c r="E502" s="120" t="n"/>
      <c r="F502" s="120" t="n"/>
      <c r="G502" s="120" t="n"/>
      <c r="I502" s="125" t="n"/>
      <c r="J502" s="130" t="n"/>
      <c r="K502" s="16" t="n"/>
      <c r="L502" s="17" t="n"/>
      <c r="M502" s="129">
        <f>DADOS_INVOC!$QA$31</f>
        <v/>
      </c>
      <c r="N502" s="120" t="n"/>
      <c r="O502" s="125" t="n"/>
      <c r="P502" s="130" t="n"/>
      <c r="Q502" s="16" t="n"/>
      <c r="R502" s="17" t="n"/>
      <c r="S502" s="129">
        <f>DADOS_INVOC!$QA$32</f>
        <v/>
      </c>
      <c r="T502" s="120" t="n"/>
      <c r="U502" s="125" t="n"/>
      <c r="V502" s="130" t="n"/>
      <c r="W502" s="16" t="n"/>
      <c r="X502" s="17" t="n"/>
      <c r="Y502" s="129">
        <f>DADOS_INVOC!$QA$33</f>
        <v/>
      </c>
      <c r="Z502" s="120" t="n"/>
      <c r="AB502" s="125" t="n"/>
      <c r="AC502" s="130" t="n"/>
      <c r="AD502" s="16" t="n"/>
      <c r="AE502" s="17" t="n"/>
      <c r="AF502" s="129">
        <f>DADOS_INVOC!$QA$109</f>
        <v/>
      </c>
      <c r="AG502" s="120" t="n"/>
      <c r="AH502" s="125" t="n"/>
      <c r="AI502" s="130" t="n"/>
      <c r="AJ502" s="16" t="n"/>
      <c r="AK502" s="17" t="n"/>
      <c r="AL502" s="129">
        <f>DADOS_INVOC!$QA$110</f>
        <v/>
      </c>
      <c r="AM502" s="120" t="n"/>
      <c r="AN502" s="125" t="n"/>
      <c r="AO502" s="130" t="n"/>
      <c r="AP502" s="16" t="n"/>
      <c r="AQ502" s="17" t="n"/>
      <c r="AR502" s="129">
        <f>DADOS_INVOC!$QA$111</f>
        <v/>
      </c>
      <c r="AS502" s="120" t="n"/>
    </row>
    <row r="503" hidden="1" outlineLevel="3">
      <c r="A503" s="8" t="n"/>
      <c r="B503" s="14" t="n"/>
      <c r="C503" s="120" t="n"/>
      <c r="D503" s="120" t="n"/>
      <c r="E503" s="120" t="n"/>
      <c r="F503" s="120" t="n"/>
      <c r="G503" s="120" t="n"/>
      <c r="I503" s="55" t="inlineStr">
        <is>
          <t>CONTA</t>
        </is>
      </c>
      <c r="J503" s="132">
        <f>DADOS_INVOC!$PT$31</f>
        <v/>
      </c>
      <c r="K503" s="16" t="n"/>
      <c r="L503" s="16" t="n"/>
      <c r="M503" s="17" t="n"/>
      <c r="N503" s="120" t="n"/>
      <c r="O503" s="55" t="inlineStr">
        <is>
          <t>CONTA</t>
        </is>
      </c>
      <c r="P503" s="132">
        <f>DADOS_INVOC!$PT$32</f>
        <v/>
      </c>
      <c r="Q503" s="16" t="n"/>
      <c r="R503" s="16" t="n"/>
      <c r="S503" s="17" t="n"/>
      <c r="T503" s="120" t="n"/>
      <c r="U503" s="55" t="inlineStr">
        <is>
          <t>CONTA</t>
        </is>
      </c>
      <c r="V503" s="132">
        <f>DADOS_INVOC!$PT$33</f>
        <v/>
      </c>
      <c r="W503" s="16" t="n"/>
      <c r="X503" s="16" t="n"/>
      <c r="Y503" s="17" t="n"/>
      <c r="Z503" s="120" t="n"/>
      <c r="AB503" s="55" t="inlineStr">
        <is>
          <t>CONTA</t>
        </is>
      </c>
      <c r="AC503" s="132">
        <f>DADOS_INVOC!$PT$109</f>
        <v/>
      </c>
      <c r="AD503" s="16" t="n"/>
      <c r="AE503" s="16" t="n"/>
      <c r="AF503" s="17" t="n"/>
      <c r="AG503" s="120" t="n"/>
      <c r="AH503" s="55" t="inlineStr">
        <is>
          <t>CONTA</t>
        </is>
      </c>
      <c r="AI503" s="132">
        <f>DADOS_INVOC!$PT$110</f>
        <v/>
      </c>
      <c r="AJ503" s="16" t="n"/>
      <c r="AK503" s="16" t="n"/>
      <c r="AL503" s="17" t="n"/>
      <c r="AM503" s="120" t="n"/>
      <c r="AN503" s="55" t="inlineStr">
        <is>
          <t>CONTA</t>
        </is>
      </c>
      <c r="AO503" s="132">
        <f>DADOS_INVOC!$PT$111</f>
        <v/>
      </c>
      <c r="AP503" s="16" t="n"/>
      <c r="AQ503" s="16" t="n"/>
      <c r="AR503" s="17" t="n"/>
      <c r="AS503" s="120" t="n"/>
    </row>
    <row r="504" hidden="1" outlineLevel="3">
      <c r="A504" s="8" t="n"/>
      <c r="B504" s="14" t="n"/>
      <c r="C504" s="120" t="n"/>
      <c r="D504" s="120" t="n"/>
      <c r="E504" s="120" t="n"/>
      <c r="F504" s="120" t="n"/>
      <c r="G504" s="120" t="n"/>
      <c r="I504" s="55" t="inlineStr">
        <is>
          <t>AMPLIAR</t>
        </is>
      </c>
      <c r="J504" s="132">
        <f>DADOS_INVOC!$PU$31</f>
        <v/>
      </c>
      <c r="K504" s="19" t="n"/>
      <c r="L504" s="19" t="n"/>
      <c r="M504" s="20" t="n"/>
      <c r="N504" s="120" t="n"/>
      <c r="O504" s="55" t="inlineStr">
        <is>
          <t>AMPLIAR</t>
        </is>
      </c>
      <c r="P504" s="132">
        <f>DADOS_INVOC!$PU$32</f>
        <v/>
      </c>
      <c r="Q504" s="19" t="n"/>
      <c r="R504" s="19" t="n"/>
      <c r="S504" s="20" t="n"/>
      <c r="T504" s="120" t="n"/>
      <c r="U504" s="55" t="inlineStr">
        <is>
          <t>AMPLIAR</t>
        </is>
      </c>
      <c r="V504" s="132">
        <f>DADOS_INVOC!$PU$33</f>
        <v/>
      </c>
      <c r="W504" s="19" t="n"/>
      <c r="X504" s="19" t="n"/>
      <c r="Y504" s="20" t="n"/>
      <c r="Z504" s="120" t="n"/>
      <c r="AB504" s="55" t="inlineStr">
        <is>
          <t>AMPLIAR</t>
        </is>
      </c>
      <c r="AC504" s="132">
        <f>DADOS_INVOC!$PU$109</f>
        <v/>
      </c>
      <c r="AD504" s="19" t="n"/>
      <c r="AE504" s="19" t="n"/>
      <c r="AF504" s="20" t="n"/>
      <c r="AG504" s="120" t="n"/>
      <c r="AH504" s="55" t="inlineStr">
        <is>
          <t>AMPLIAR</t>
        </is>
      </c>
      <c r="AI504" s="132">
        <f>DADOS_INVOC!$PU$110</f>
        <v/>
      </c>
      <c r="AJ504" s="19" t="n"/>
      <c r="AK504" s="19" t="n"/>
      <c r="AL504" s="20" t="n"/>
      <c r="AM504" s="120" t="n"/>
      <c r="AN504" s="55" t="inlineStr">
        <is>
          <t>AMPLIAR</t>
        </is>
      </c>
      <c r="AO504" s="132">
        <f>DADOS_INVOC!$PU$111</f>
        <v/>
      </c>
      <c r="AP504" s="19" t="n"/>
      <c r="AQ504" s="19" t="n"/>
      <c r="AR504" s="20" t="n"/>
      <c r="AS504" s="120" t="n"/>
    </row>
    <row r="505" hidden="1" outlineLevel="3">
      <c r="A505" s="8" t="n"/>
      <c r="B505" s="14" t="n"/>
      <c r="C505" s="120" t="n"/>
      <c r="D505" s="120" t="n"/>
      <c r="E505" s="120" t="n"/>
      <c r="F505" s="120" t="n"/>
      <c r="G505" s="120" t="n"/>
      <c r="I505" s="125" t="n"/>
      <c r="J505" s="23" t="n"/>
      <c r="K505" s="24" t="n"/>
      <c r="L505" s="24" t="n"/>
      <c r="M505" s="25" t="n"/>
      <c r="N505" s="120" t="n"/>
      <c r="O505" s="125" t="n"/>
      <c r="P505" s="23" t="n"/>
      <c r="Q505" s="24" t="n"/>
      <c r="R505" s="24" t="n"/>
      <c r="S505" s="25" t="n"/>
      <c r="T505" s="120" t="n"/>
      <c r="U505" s="125" t="n"/>
      <c r="V505" s="23" t="n"/>
      <c r="W505" s="24" t="n"/>
      <c r="X505" s="24" t="n"/>
      <c r="Y505" s="25" t="n"/>
      <c r="Z505" s="120" t="n"/>
      <c r="AB505" s="125" t="n"/>
      <c r="AC505" s="23" t="n"/>
      <c r="AD505" s="24" t="n"/>
      <c r="AE505" s="24" t="n"/>
      <c r="AF505" s="25" t="n"/>
      <c r="AG505" s="120" t="n"/>
      <c r="AH505" s="125" t="n"/>
      <c r="AI505" s="23" t="n"/>
      <c r="AJ505" s="24" t="n"/>
      <c r="AK505" s="24" t="n"/>
      <c r="AL505" s="25" t="n"/>
      <c r="AM505" s="120" t="n"/>
      <c r="AN505" s="125" t="n"/>
      <c r="AO505" s="23" t="n"/>
      <c r="AP505" s="24" t="n"/>
      <c r="AQ505" s="24" t="n"/>
      <c r="AR505" s="25" t="n"/>
      <c r="AS505" s="120" t="n"/>
    </row>
    <row r="506" hidden="1" outlineLevel="3">
      <c r="A506" s="8" t="n"/>
      <c r="B506" s="14" t="n"/>
      <c r="C506" s="120" t="n"/>
      <c r="D506" s="120" t="n"/>
      <c r="E506" s="120" t="n"/>
      <c r="F506" s="120" t="n"/>
      <c r="G506" s="120" t="n"/>
      <c r="I506" s="132">
        <f>DADOS_INVOC!$PH$31</f>
        <v/>
      </c>
      <c r="J506" s="19" t="n"/>
      <c r="K506" s="19" t="n"/>
      <c r="L506" s="19" t="n"/>
      <c r="M506" s="20" t="n"/>
      <c r="N506" s="120" t="n"/>
      <c r="O506" s="132">
        <f>DADOS_INVOC!$PH$32</f>
        <v/>
      </c>
      <c r="P506" s="19" t="n"/>
      <c r="Q506" s="19" t="n"/>
      <c r="R506" s="19" t="n"/>
      <c r="S506" s="20" t="n"/>
      <c r="T506" s="120" t="n"/>
      <c r="U506" s="132">
        <f>DADOS_INVOC!$PH$33</f>
        <v/>
      </c>
      <c r="V506" s="19" t="n"/>
      <c r="W506" s="19" t="n"/>
      <c r="X506" s="19" t="n"/>
      <c r="Y506" s="20" t="n"/>
      <c r="Z506" s="120" t="n"/>
      <c r="AB506" s="132">
        <f>DADOS_INVOC!$PH$109</f>
        <v/>
      </c>
      <c r="AC506" s="19" t="n"/>
      <c r="AD506" s="19" t="n"/>
      <c r="AE506" s="19" t="n"/>
      <c r="AF506" s="20" t="n"/>
      <c r="AG506" s="120" t="n"/>
      <c r="AH506" s="132">
        <f>DADOS_INVOC!$PH$110</f>
        <v/>
      </c>
      <c r="AI506" s="19" t="n"/>
      <c r="AJ506" s="19" t="n"/>
      <c r="AK506" s="19" t="n"/>
      <c r="AL506" s="20" t="n"/>
      <c r="AM506" s="120" t="n"/>
      <c r="AN506" s="132">
        <f>DADOS_INVOC!$PH$111</f>
        <v/>
      </c>
      <c r="AO506" s="19" t="n"/>
      <c r="AP506" s="19" t="n"/>
      <c r="AQ506" s="19" t="n"/>
      <c r="AR506" s="20" t="n"/>
      <c r="AS506" s="120" t="n"/>
    </row>
    <row r="507" hidden="1" outlineLevel="3">
      <c r="A507" s="8" t="n"/>
      <c r="B507" s="14" t="n"/>
      <c r="C507" s="120" t="n"/>
      <c r="D507" s="120" t="n"/>
      <c r="E507" s="120" t="n"/>
      <c r="F507" s="120" t="n"/>
      <c r="G507" s="120" t="n"/>
      <c r="I507" s="23" t="n"/>
      <c r="J507" s="24" t="n"/>
      <c r="K507" s="24" t="n"/>
      <c r="L507" s="24" t="n"/>
      <c r="M507" s="25" t="n"/>
      <c r="N507" s="120" t="n"/>
      <c r="O507" s="23" t="n"/>
      <c r="P507" s="24" t="n"/>
      <c r="Q507" s="24" t="n"/>
      <c r="R507" s="24" t="n"/>
      <c r="S507" s="25" t="n"/>
      <c r="T507" s="120" t="n"/>
      <c r="U507" s="23" t="n"/>
      <c r="V507" s="24" t="n"/>
      <c r="W507" s="24" t="n"/>
      <c r="X507" s="24" t="n"/>
      <c r="Y507" s="25" t="n"/>
      <c r="Z507" s="120" t="n"/>
      <c r="AB507" s="23" t="n"/>
      <c r="AC507" s="24" t="n"/>
      <c r="AD507" s="24" t="n"/>
      <c r="AE507" s="24" t="n"/>
      <c r="AF507" s="25" t="n"/>
      <c r="AG507" s="120" t="n"/>
      <c r="AH507" s="23" t="n"/>
      <c r="AI507" s="24" t="n"/>
      <c r="AJ507" s="24" t="n"/>
      <c r="AK507" s="24" t="n"/>
      <c r="AL507" s="25" t="n"/>
      <c r="AM507" s="120" t="n"/>
      <c r="AN507" s="23" t="n"/>
      <c r="AO507" s="24" t="n"/>
      <c r="AP507" s="24" t="n"/>
      <c r="AQ507" s="24" t="n"/>
      <c r="AR507" s="25" t="n"/>
      <c r="AS507" s="120" t="n"/>
    </row>
    <row r="508" hidden="1" outlineLevel="2">
      <c r="A508" s="8" t="n"/>
      <c r="B508" s="14" t="n"/>
      <c r="C508" s="120" t="n"/>
      <c r="D508" s="120" t="n"/>
      <c r="E508" s="120" t="n"/>
      <c r="F508" s="120" t="n"/>
      <c r="G508" s="120" t="n"/>
      <c r="I508" s="120" t="n"/>
      <c r="J508" s="120" t="n"/>
      <c r="K508" s="120" t="n"/>
      <c r="L508" s="120" t="n"/>
      <c r="M508" s="120" t="n"/>
      <c r="N508" s="120" t="n"/>
      <c r="O508" s="120" t="n"/>
      <c r="P508" s="120" t="n"/>
      <c r="Q508" s="120" t="n"/>
      <c r="R508" s="120" t="n"/>
      <c r="S508" s="120" t="n"/>
      <c r="T508" s="120" t="n"/>
      <c r="U508" s="120" t="n"/>
      <c r="V508" s="120" t="n"/>
      <c r="W508" s="120" t="n"/>
      <c r="X508" s="120" t="n"/>
      <c r="Y508" s="120" t="n"/>
      <c r="Z508" s="120" t="n"/>
      <c r="AB508" s="120" t="n"/>
      <c r="AC508" s="120" t="n"/>
      <c r="AD508" s="120" t="n"/>
      <c r="AE508" s="120" t="n"/>
      <c r="AF508" s="120" t="n"/>
      <c r="AG508" s="120" t="n"/>
      <c r="AH508" s="120" t="n"/>
      <c r="AI508" s="120" t="n"/>
      <c r="AJ508" s="120" t="n"/>
      <c r="AK508" s="120" t="n"/>
      <c r="AL508" s="120" t="n"/>
      <c r="AM508" s="120" t="n"/>
      <c r="AN508" s="120" t="n"/>
      <c r="AO508" s="120" t="n"/>
      <c r="AP508" s="120" t="n"/>
      <c r="AQ508" s="120" t="n"/>
      <c r="AR508" s="120" t="n"/>
      <c r="AS508" s="120" t="n"/>
    </row>
    <row r="509" hidden="1" outlineLevel="2">
      <c r="A509" s="8" t="n"/>
      <c r="B509" s="14" t="n"/>
      <c r="C509" s="120" t="n"/>
      <c r="D509" s="120" t="n"/>
      <c r="E509" s="120" t="n"/>
      <c r="F509" s="120" t="n"/>
      <c r="G509" s="120" t="n"/>
      <c r="I509" s="55">
        <f>DADOS_INVOC!$PI$34</f>
        <v/>
      </c>
      <c r="J509" s="16" t="n"/>
      <c r="K509" s="16" t="n"/>
      <c r="L509" s="16" t="n"/>
      <c r="M509" s="17" t="n"/>
      <c r="N509" s="120" t="n"/>
      <c r="O509" s="55">
        <f>DADOS_INVOC!$PI$35</f>
        <v/>
      </c>
      <c r="P509" s="16" t="n"/>
      <c r="Q509" s="16" t="n"/>
      <c r="R509" s="16" t="n"/>
      <c r="S509" s="17" t="n"/>
      <c r="T509" s="120" t="n"/>
      <c r="U509" s="55">
        <f>DADOS_INVOC!$PI$36</f>
        <v/>
      </c>
      <c r="V509" s="16" t="n"/>
      <c r="W509" s="16" t="n"/>
      <c r="X509" s="16" t="n"/>
      <c r="Y509" s="17" t="n"/>
      <c r="Z509" s="120" t="n"/>
      <c r="AB509" s="55">
        <f>DADOS_INVOC!$PI$112</f>
        <v/>
      </c>
      <c r="AC509" s="16" t="n"/>
      <c r="AD509" s="16" t="n"/>
      <c r="AE509" s="16" t="n"/>
      <c r="AF509" s="17" t="n"/>
      <c r="AG509" s="120" t="n"/>
      <c r="AH509" s="55">
        <f>DADOS_INVOC!$PI$113</f>
        <v/>
      </c>
      <c r="AI509" s="16" t="n"/>
      <c r="AJ509" s="16" t="n"/>
      <c r="AK509" s="16" t="n"/>
      <c r="AL509" s="17" t="n"/>
      <c r="AM509" s="120" t="n"/>
      <c r="AN509" s="55">
        <f>DADOS_INVOC!$PI$114</f>
        <v/>
      </c>
      <c r="AO509" s="16" t="n"/>
      <c r="AP509" s="16" t="n"/>
      <c r="AQ509" s="16" t="n"/>
      <c r="AR509" s="17" t="n"/>
      <c r="AS509" s="120" t="n"/>
    </row>
    <row r="510" hidden="1" outlineLevel="2">
      <c r="A510" s="8" t="n"/>
      <c r="B510" s="14" t="n"/>
      <c r="C510" s="120" t="n"/>
      <c r="D510" s="120" t="n"/>
      <c r="E510" s="120" t="n"/>
      <c r="F510" s="120" t="n"/>
      <c r="G510" s="120" t="n"/>
      <c r="I510" s="127" t="n">
        <v>1</v>
      </c>
      <c r="J510" s="115" t="n"/>
      <c r="K510" s="16" t="n"/>
      <c r="L510" s="17" t="n"/>
      <c r="M510" s="128">
        <f>DADOS_INVOC!$PG$34</f>
        <v/>
      </c>
      <c r="N510" s="120" t="n"/>
      <c r="O510" s="127" t="n">
        <v>1</v>
      </c>
      <c r="P510" s="115" t="n"/>
      <c r="Q510" s="16" t="n"/>
      <c r="R510" s="17" t="n"/>
      <c r="S510" s="128">
        <f>DADOS_INVOC!$PG$35</f>
        <v/>
      </c>
      <c r="T510" s="120" t="n"/>
      <c r="U510" s="127" t="n">
        <v>1</v>
      </c>
      <c r="V510" s="115" t="n"/>
      <c r="W510" s="16" t="n"/>
      <c r="X510" s="17" t="n"/>
      <c r="Y510" s="128">
        <f>DADOS_INVOC!$PG$36</f>
        <v/>
      </c>
      <c r="Z510" s="120" t="n"/>
      <c r="AB510" s="127" t="n">
        <v>1</v>
      </c>
      <c r="AC510" s="115" t="n"/>
      <c r="AD510" s="16" t="n"/>
      <c r="AE510" s="17" t="n"/>
      <c r="AF510" s="128">
        <f>DADOS_INVOC!$PG$112</f>
        <v/>
      </c>
      <c r="AG510" s="120" t="n"/>
      <c r="AH510" s="127" t="n">
        <v>1</v>
      </c>
      <c r="AI510" s="115" t="n"/>
      <c r="AJ510" s="16" t="n"/>
      <c r="AK510" s="17" t="n"/>
      <c r="AL510" s="128">
        <f>DADOS_INVOC!$PG$113</f>
        <v/>
      </c>
      <c r="AM510" s="120" t="n"/>
      <c r="AN510" s="127" t="n">
        <v>1</v>
      </c>
      <c r="AO510" s="115" t="n"/>
      <c r="AP510" s="16" t="n"/>
      <c r="AQ510" s="17" t="n"/>
      <c r="AR510" s="128">
        <f>DADOS_INVOC!$PG$114</f>
        <v/>
      </c>
      <c r="AS510" s="120" t="n"/>
    </row>
    <row r="511" hidden="1" outlineLevel="3">
      <c r="A511" s="8" t="n"/>
      <c r="B511" s="14" t="n"/>
      <c r="C511" s="120" t="n"/>
      <c r="D511" s="120" t="n"/>
      <c r="E511" s="120" t="n"/>
      <c r="F511" s="120" t="n"/>
      <c r="G511" s="120" t="n"/>
      <c r="I511" s="55" t="inlineStr">
        <is>
          <t>COMO É</t>
        </is>
      </c>
      <c r="J511" s="16" t="n"/>
      <c r="K511" s="16" t="n"/>
      <c r="L511" s="16" t="n"/>
      <c r="M511" s="17" t="n"/>
      <c r="N511" s="120" t="n"/>
      <c r="O511" s="55" t="inlineStr">
        <is>
          <t>COMO É</t>
        </is>
      </c>
      <c r="P511" s="16" t="n"/>
      <c r="Q511" s="16" t="n"/>
      <c r="R511" s="16" t="n"/>
      <c r="S511" s="17" t="n"/>
      <c r="T511" s="120" t="n"/>
      <c r="U511" s="55" t="inlineStr">
        <is>
          <t>COMO É</t>
        </is>
      </c>
      <c r="V511" s="16" t="n"/>
      <c r="W511" s="16" t="n"/>
      <c r="X511" s="16" t="n"/>
      <c r="Y511" s="17" t="n"/>
      <c r="Z511" s="120" t="n"/>
      <c r="AB511" s="55" t="inlineStr">
        <is>
          <t>COMO É</t>
        </is>
      </c>
      <c r="AC511" s="16" t="n"/>
      <c r="AD511" s="16" t="n"/>
      <c r="AE511" s="16" t="n"/>
      <c r="AF511" s="17" t="n"/>
      <c r="AG511" s="120" t="n"/>
      <c r="AH511" s="55" t="inlineStr">
        <is>
          <t>COMO É</t>
        </is>
      </c>
      <c r="AI511" s="16" t="n"/>
      <c r="AJ511" s="16" t="n"/>
      <c r="AK511" s="16" t="n"/>
      <c r="AL511" s="17" t="n"/>
      <c r="AM511" s="120" t="n"/>
      <c r="AN511" s="55" t="inlineStr">
        <is>
          <t>COMO É</t>
        </is>
      </c>
      <c r="AO511" s="16" t="n"/>
      <c r="AP511" s="16" t="n"/>
      <c r="AQ511" s="16" t="n"/>
      <c r="AR511" s="17" t="n"/>
      <c r="AS511" s="120" t="n"/>
    </row>
    <row r="512" hidden="1" outlineLevel="3">
      <c r="A512" s="8" t="n"/>
      <c r="B512" s="14" t="n"/>
      <c r="C512" s="120" t="n"/>
      <c r="D512" s="120" t="n"/>
      <c r="E512" s="120" t="n"/>
      <c r="F512" s="120" t="n"/>
      <c r="G512" s="120" t="n"/>
      <c r="I512" s="116" t="n"/>
      <c r="J512" s="19" t="n"/>
      <c r="K512" s="19" t="n"/>
      <c r="L512" s="19" t="n"/>
      <c r="M512" s="20" t="n"/>
      <c r="N512" s="120" t="n"/>
      <c r="O512" s="116" t="n"/>
      <c r="P512" s="19" t="n"/>
      <c r="Q512" s="19" t="n"/>
      <c r="R512" s="19" t="n"/>
      <c r="S512" s="20" t="n"/>
      <c r="T512" s="120" t="n"/>
      <c r="U512" s="116" t="n"/>
      <c r="V512" s="19" t="n"/>
      <c r="W512" s="19" t="n"/>
      <c r="X512" s="19" t="n"/>
      <c r="Y512" s="20" t="n"/>
      <c r="Z512" s="120" t="n"/>
      <c r="AB512" s="116" t="n"/>
      <c r="AC512" s="19" t="n"/>
      <c r="AD512" s="19" t="n"/>
      <c r="AE512" s="19" t="n"/>
      <c r="AF512" s="20" t="n"/>
      <c r="AG512" s="120" t="n"/>
      <c r="AH512" s="116" t="n"/>
      <c r="AI512" s="19" t="n"/>
      <c r="AJ512" s="19" t="n"/>
      <c r="AK512" s="19" t="n"/>
      <c r="AL512" s="20" t="n"/>
      <c r="AM512" s="120" t="n"/>
      <c r="AN512" s="116" t="n"/>
      <c r="AO512" s="19" t="n"/>
      <c r="AP512" s="19" t="n"/>
      <c r="AQ512" s="19" t="n"/>
      <c r="AR512" s="20" t="n"/>
      <c r="AS512" s="120" t="n"/>
    </row>
    <row r="513" hidden="1" outlineLevel="3">
      <c r="A513" s="8" t="n"/>
      <c r="B513" s="14" t="n"/>
      <c r="C513" s="120" t="n"/>
      <c r="D513" s="120" t="n"/>
      <c r="E513" s="120" t="n"/>
      <c r="F513" s="120" t="n"/>
      <c r="G513" s="120" t="n"/>
      <c r="I513" s="21" t="n"/>
      <c r="M513" s="22" t="n"/>
      <c r="N513" s="120" t="n"/>
      <c r="O513" s="21" t="n"/>
      <c r="S513" s="22" t="n"/>
      <c r="T513" s="120" t="n"/>
      <c r="U513" s="21" t="n"/>
      <c r="Y513" s="22" t="n"/>
      <c r="Z513" s="120" t="n"/>
      <c r="AB513" s="21" t="n"/>
      <c r="AF513" s="22" t="n"/>
      <c r="AG513" s="120" t="n"/>
      <c r="AH513" s="21" t="n"/>
      <c r="AL513" s="22" t="n"/>
      <c r="AM513" s="120" t="n"/>
      <c r="AN513" s="21" t="n"/>
      <c r="AR513" s="22" t="n"/>
      <c r="AS513" s="120" t="n"/>
    </row>
    <row r="514" hidden="1" outlineLevel="3">
      <c r="A514" s="8" t="n"/>
      <c r="B514" s="14" t="n"/>
      <c r="C514" s="120" t="n"/>
      <c r="D514" s="120" t="n"/>
      <c r="E514" s="120" t="n"/>
      <c r="F514" s="120" t="n"/>
      <c r="G514" s="120" t="n"/>
      <c r="I514" s="23" t="n"/>
      <c r="J514" s="24" t="n"/>
      <c r="K514" s="24" t="n"/>
      <c r="L514" s="24" t="n"/>
      <c r="M514" s="25" t="n"/>
      <c r="N514" s="120" t="n"/>
      <c r="O514" s="23" t="n"/>
      <c r="P514" s="24" t="n"/>
      <c r="Q514" s="24" t="n"/>
      <c r="R514" s="24" t="n"/>
      <c r="S514" s="25" t="n"/>
      <c r="T514" s="120" t="n"/>
      <c r="U514" s="23" t="n"/>
      <c r="V514" s="24" t="n"/>
      <c r="W514" s="24" t="n"/>
      <c r="X514" s="24" t="n"/>
      <c r="Y514" s="25" t="n"/>
      <c r="Z514" s="120" t="n"/>
      <c r="AB514" s="23" t="n"/>
      <c r="AC514" s="24" t="n"/>
      <c r="AD514" s="24" t="n"/>
      <c r="AE514" s="24" t="n"/>
      <c r="AF514" s="25" t="n"/>
      <c r="AG514" s="120" t="n"/>
      <c r="AH514" s="23" t="n"/>
      <c r="AI514" s="24" t="n"/>
      <c r="AJ514" s="24" t="n"/>
      <c r="AK514" s="24" t="n"/>
      <c r="AL514" s="25" t="n"/>
      <c r="AM514" s="120" t="n"/>
      <c r="AN514" s="23" t="n"/>
      <c r="AO514" s="24" t="n"/>
      <c r="AP514" s="24" t="n"/>
      <c r="AQ514" s="24" t="n"/>
      <c r="AR514" s="25" t="n"/>
      <c r="AS514" s="120" t="n"/>
    </row>
    <row r="515" hidden="1" outlineLevel="2">
      <c r="A515" s="8" t="n"/>
      <c r="B515" s="14" t="n"/>
      <c r="C515" s="120" t="n"/>
      <c r="D515" s="120" t="n"/>
      <c r="E515" s="120" t="n"/>
      <c r="F515" s="120" t="n"/>
      <c r="G515" s="120" t="n"/>
      <c r="I515" s="124" t="inlineStr">
        <is>
          <t>Projétil</t>
        </is>
      </c>
      <c r="J515" s="17" t="n"/>
      <c r="K515" s="68">
        <f>DADOS_INVOC!$PN$34</f>
        <v/>
      </c>
      <c r="L515" s="17" t="n"/>
      <c r="M515" s="68">
        <f>DADOS_INVOC!$PJ$34</f>
        <v/>
      </c>
      <c r="N515" s="120" t="n"/>
      <c r="O515" s="124" t="inlineStr">
        <is>
          <t>Projétil</t>
        </is>
      </c>
      <c r="P515" s="17" t="n"/>
      <c r="Q515" s="68">
        <f>DADOS_INVOC!$PN$35</f>
        <v/>
      </c>
      <c r="R515" s="17" t="n"/>
      <c r="S515" s="68">
        <f>DADOS_INVOC!$PJ$35</f>
        <v/>
      </c>
      <c r="T515" s="120" t="n"/>
      <c r="U515" s="124" t="inlineStr">
        <is>
          <t>Projétil</t>
        </is>
      </c>
      <c r="V515" s="17" t="n"/>
      <c r="W515" s="68">
        <f>DADOS_INVOC!$PN$36</f>
        <v/>
      </c>
      <c r="X515" s="17" t="n"/>
      <c r="Y515" s="68">
        <f>DADOS_INVOC!$PJ$36</f>
        <v/>
      </c>
      <c r="Z515" s="120" t="n"/>
      <c r="AB515" s="124" t="inlineStr">
        <is>
          <t>Projétil</t>
        </is>
      </c>
      <c r="AC515" s="17" t="n"/>
      <c r="AD515" s="68">
        <f>DADOS_INVOC!$PN$112</f>
        <v/>
      </c>
      <c r="AE515" s="17" t="n"/>
      <c r="AF515" s="68">
        <f>DADOS_INVOC!$PJ$112</f>
        <v/>
      </c>
      <c r="AG515" s="120" t="n"/>
      <c r="AH515" s="124" t="inlineStr">
        <is>
          <t>Projétil</t>
        </is>
      </c>
      <c r="AI515" s="17" t="n"/>
      <c r="AJ515" s="68">
        <f>DADOS_INVOC!$PN$113</f>
        <v/>
      </c>
      <c r="AK515" s="17" t="n"/>
      <c r="AL515" s="68">
        <f>DADOS_INVOC!$PJ$113</f>
        <v/>
      </c>
      <c r="AM515" s="120" t="n"/>
      <c r="AN515" s="124" t="inlineStr">
        <is>
          <t>Projétil</t>
        </is>
      </c>
      <c r="AO515" s="17" t="n"/>
      <c r="AP515" s="68">
        <f>DADOS_INVOC!$PN$114</f>
        <v/>
      </c>
      <c r="AQ515" s="17" t="n"/>
      <c r="AR515" s="68">
        <f>DADOS_INVOC!$PJ$114</f>
        <v/>
      </c>
      <c r="AS515" s="120" t="n"/>
    </row>
    <row r="516" hidden="1" outlineLevel="2">
      <c r="A516" s="8" t="n"/>
      <c r="B516" s="14" t="n"/>
      <c r="C516" s="120" t="n"/>
      <c r="D516" s="120" t="n"/>
      <c r="E516" s="120" t="n"/>
      <c r="F516" s="120" t="n"/>
      <c r="G516" s="120" t="n"/>
      <c r="I516" s="124" t="n"/>
      <c r="J516" s="17" t="n"/>
      <c r="K516" s="124" t="n"/>
      <c r="L516" s="16" t="n"/>
      <c r="M516" s="17" t="n"/>
      <c r="N516" s="120" t="n"/>
      <c r="O516" s="124" t="n"/>
      <c r="P516" s="17" t="n"/>
      <c r="Q516" s="124" t="n"/>
      <c r="R516" s="16" t="n"/>
      <c r="S516" s="17" t="n"/>
      <c r="T516" s="120" t="n"/>
      <c r="U516" s="124" t="n"/>
      <c r="V516" s="17" t="n"/>
      <c r="W516" s="124" t="n"/>
      <c r="X516" s="16" t="n"/>
      <c r="Y516" s="17" t="n"/>
      <c r="Z516" s="120" t="n"/>
      <c r="AB516" s="124" t="n"/>
      <c r="AC516" s="17" t="n"/>
      <c r="AD516" s="124" t="n"/>
      <c r="AE516" s="16" t="n"/>
      <c r="AF516" s="17" t="n"/>
      <c r="AG516" s="120" t="n"/>
      <c r="AH516" s="124" t="n"/>
      <c r="AI516" s="17" t="n"/>
      <c r="AJ516" s="124" t="n"/>
      <c r="AK516" s="16" t="n"/>
      <c r="AL516" s="17" t="n"/>
      <c r="AM516" s="120" t="n"/>
      <c r="AN516" s="124" t="n"/>
      <c r="AO516" s="17" t="n"/>
      <c r="AP516" s="124" t="n"/>
      <c r="AQ516" s="16" t="n"/>
      <c r="AR516" s="17" t="n"/>
      <c r="AS516" s="120" t="n"/>
    </row>
    <row r="517" hidden="1" outlineLevel="2">
      <c r="A517" s="8" t="n"/>
      <c r="B517" s="14" t="n"/>
      <c r="C517" s="120" t="n"/>
      <c r="D517" s="120" t="n"/>
      <c r="E517" s="120" t="n"/>
      <c r="F517" s="120" t="n"/>
      <c r="G517" s="120" t="n"/>
      <c r="I517" s="124">
        <f>DADOS_INVOC!$PK$34</f>
        <v/>
      </c>
      <c r="J517" s="17" t="n"/>
      <c r="K517" s="124">
        <f>DADOS_INVOC!$PM$34</f>
        <v/>
      </c>
      <c r="L517" s="16" t="n"/>
      <c r="M517" s="17" t="n"/>
      <c r="N517" s="120" t="n"/>
      <c r="O517" s="124">
        <f>DADOS_INVOC!$PK$35</f>
        <v/>
      </c>
      <c r="P517" s="17" t="n"/>
      <c r="Q517" s="124">
        <f>DADOS_INVOC!$PM$35</f>
        <v/>
      </c>
      <c r="R517" s="16" t="n"/>
      <c r="S517" s="17" t="n"/>
      <c r="T517" s="120" t="n"/>
      <c r="U517" s="124">
        <f>DADOS_INVOC!$PK$36</f>
        <v/>
      </c>
      <c r="V517" s="17" t="n"/>
      <c r="W517" s="124">
        <f>DADOS_INVOC!$PM$36</f>
        <v/>
      </c>
      <c r="X517" s="16" t="n"/>
      <c r="Y517" s="17" t="n"/>
      <c r="Z517" s="120" t="n"/>
      <c r="AB517" s="124">
        <f>DADOS_INVOC!$PK$112</f>
        <v/>
      </c>
      <c r="AC517" s="17" t="n"/>
      <c r="AD517" s="124">
        <f>DADOS_INVOC!$PM$112</f>
        <v/>
      </c>
      <c r="AE517" s="16" t="n"/>
      <c r="AF517" s="17" t="n"/>
      <c r="AG517" s="120" t="n"/>
      <c r="AH517" s="124">
        <f>DADOS_INVOC!$PK$113</f>
        <v/>
      </c>
      <c r="AI517" s="17" t="n"/>
      <c r="AJ517" s="124">
        <f>DADOS_INVOC!$PM$113</f>
        <v/>
      </c>
      <c r="AK517" s="16" t="n"/>
      <c r="AL517" s="17" t="n"/>
      <c r="AM517" s="120" t="n"/>
      <c r="AN517" s="124">
        <f>DADOS_INVOC!$PK$114</f>
        <v/>
      </c>
      <c r="AO517" s="17" t="n"/>
      <c r="AP517" s="124">
        <f>DADOS_INVOC!$PM$114</f>
        <v/>
      </c>
      <c r="AQ517" s="16" t="n"/>
      <c r="AR517" s="17" t="n"/>
      <c r="AS517" s="120" t="n"/>
    </row>
    <row r="518" hidden="1" outlineLevel="2">
      <c r="A518" s="8" t="n"/>
      <c r="B518" s="14" t="n"/>
      <c r="C518" s="120" t="n"/>
      <c r="D518" s="120" t="n"/>
      <c r="E518" s="120" t="n"/>
      <c r="F518" s="120" t="n"/>
      <c r="G518" s="120" t="n"/>
      <c r="I518" s="129">
        <f>DADOS_INVOC!$PS$34</f>
        <v/>
      </c>
      <c r="J518" s="16" t="n"/>
      <c r="K518" s="16" t="n"/>
      <c r="L518" s="16" t="n"/>
      <c r="M518" s="17" t="n"/>
      <c r="N518" s="120" t="n"/>
      <c r="O518" s="129">
        <f>DADOS_INVOC!$PS$35</f>
        <v/>
      </c>
      <c r="P518" s="16" t="n"/>
      <c r="Q518" s="16" t="n"/>
      <c r="R518" s="16" t="n"/>
      <c r="S518" s="17" t="n"/>
      <c r="T518" s="120" t="n"/>
      <c r="U518" s="129">
        <f>DADOS_INVOC!$PS$36</f>
        <v/>
      </c>
      <c r="V518" s="16" t="n"/>
      <c r="W518" s="16" t="n"/>
      <c r="X518" s="16" t="n"/>
      <c r="Y518" s="17" t="n"/>
      <c r="Z518" s="120" t="n"/>
      <c r="AB518" s="129">
        <f>DADOS_INVOC!$PS$112</f>
        <v/>
      </c>
      <c r="AC518" s="16" t="n"/>
      <c r="AD518" s="16" t="n"/>
      <c r="AE518" s="16" t="n"/>
      <c r="AF518" s="17" t="n"/>
      <c r="AG518" s="120" t="n"/>
      <c r="AH518" s="129">
        <f>DADOS_INVOC!$PS$113</f>
        <v/>
      </c>
      <c r="AI518" s="16" t="n"/>
      <c r="AJ518" s="16" t="n"/>
      <c r="AK518" s="16" t="n"/>
      <c r="AL518" s="17" t="n"/>
      <c r="AM518" s="120" t="n"/>
      <c r="AN518" s="129">
        <f>DADOS_INVOC!$PS$114</f>
        <v/>
      </c>
      <c r="AO518" s="16" t="n"/>
      <c r="AP518" s="16" t="n"/>
      <c r="AQ518" s="16" t="n"/>
      <c r="AR518" s="17" t="n"/>
      <c r="AS518" s="120" t="n"/>
    </row>
    <row r="519" hidden="1" outlineLevel="3">
      <c r="A519" s="8" t="n"/>
      <c r="B519" s="14" t="n"/>
      <c r="C519" s="120" t="n"/>
      <c r="D519" s="120" t="n"/>
      <c r="E519" s="120" t="n"/>
      <c r="F519" s="120" t="n"/>
      <c r="G519" s="120" t="n"/>
      <c r="I519" s="55" t="inlineStr">
        <is>
          <t>MELHORIAS</t>
        </is>
      </c>
      <c r="J519" s="130" t="n"/>
      <c r="K519" s="16" t="n"/>
      <c r="L519" s="17" t="n"/>
      <c r="M519" s="129">
        <f>DADOS_INVOC!$PV$34</f>
        <v/>
      </c>
      <c r="N519" s="120" t="n"/>
      <c r="O519" s="55" t="inlineStr">
        <is>
          <t>MELHORIAS</t>
        </is>
      </c>
      <c r="P519" s="130" t="n"/>
      <c r="Q519" s="16" t="n"/>
      <c r="R519" s="17" t="n"/>
      <c r="S519" s="129">
        <f>DADOS_INVOC!$PV$35</f>
        <v/>
      </c>
      <c r="T519" s="120" t="n"/>
      <c r="U519" s="55" t="inlineStr">
        <is>
          <t>MELHORIAS</t>
        </is>
      </c>
      <c r="V519" s="130" t="n"/>
      <c r="W519" s="16" t="n"/>
      <c r="X519" s="17" t="n"/>
      <c r="Y519" s="129">
        <f>DADOS_INVOC!$PV$36</f>
        <v/>
      </c>
      <c r="Z519" s="120" t="n"/>
      <c r="AB519" s="55" t="inlineStr">
        <is>
          <t>MELHORIAS</t>
        </is>
      </c>
      <c r="AC519" s="130" t="n"/>
      <c r="AD519" s="16" t="n"/>
      <c r="AE519" s="17" t="n"/>
      <c r="AF519" s="129">
        <f>DADOS_INVOC!$PV$112</f>
        <v/>
      </c>
      <c r="AG519" s="120" t="n"/>
      <c r="AH519" s="55" t="inlineStr">
        <is>
          <t>MELHORIAS</t>
        </is>
      </c>
      <c r="AI519" s="130" t="n"/>
      <c r="AJ519" s="16" t="n"/>
      <c r="AK519" s="17" t="n"/>
      <c r="AL519" s="129">
        <f>DADOS_INVOC!$PV$113</f>
        <v/>
      </c>
      <c r="AM519" s="120" t="n"/>
      <c r="AN519" s="55" t="inlineStr">
        <is>
          <t>MELHORIAS</t>
        </is>
      </c>
      <c r="AO519" s="130" t="n"/>
      <c r="AP519" s="16" t="n"/>
      <c r="AQ519" s="17" t="n"/>
      <c r="AR519" s="129">
        <f>DADOS_INVOC!$PV$114</f>
        <v/>
      </c>
      <c r="AS519" s="120" t="n"/>
    </row>
    <row r="520" hidden="1" outlineLevel="3">
      <c r="A520" s="8" t="n"/>
      <c r="B520" s="14" t="n"/>
      <c r="C520" s="120" t="n"/>
      <c r="D520" s="120" t="n"/>
      <c r="E520" s="120" t="n"/>
      <c r="F520" s="120" t="n"/>
      <c r="G520" s="120" t="n"/>
      <c r="I520" s="131" t="n"/>
      <c r="J520" s="130" t="n"/>
      <c r="K520" s="16" t="n"/>
      <c r="L520" s="17" t="n"/>
      <c r="M520" s="129">
        <f>DADOS_INVOC!$PW$34</f>
        <v/>
      </c>
      <c r="N520" s="120" t="n"/>
      <c r="O520" s="131" t="n"/>
      <c r="P520" s="130" t="n"/>
      <c r="Q520" s="16" t="n"/>
      <c r="R520" s="17" t="n"/>
      <c r="S520" s="129">
        <f>DADOS_INVOC!$PW$35</f>
        <v/>
      </c>
      <c r="T520" s="120" t="n"/>
      <c r="U520" s="131" t="n"/>
      <c r="V520" s="130" t="n"/>
      <c r="W520" s="16" t="n"/>
      <c r="X520" s="17" t="n"/>
      <c r="Y520" s="129">
        <f>DADOS_INVOC!$PW$36</f>
        <v/>
      </c>
      <c r="Z520" s="120" t="n"/>
      <c r="AB520" s="131" t="n"/>
      <c r="AC520" s="130" t="n"/>
      <c r="AD520" s="16" t="n"/>
      <c r="AE520" s="17" t="n"/>
      <c r="AF520" s="129">
        <f>DADOS_INVOC!$PW$112</f>
        <v/>
      </c>
      <c r="AG520" s="120" t="n"/>
      <c r="AH520" s="131" t="n"/>
      <c r="AI520" s="130" t="n"/>
      <c r="AJ520" s="16" t="n"/>
      <c r="AK520" s="17" t="n"/>
      <c r="AL520" s="129">
        <f>DADOS_INVOC!$PW$113</f>
        <v/>
      </c>
      <c r="AM520" s="120" t="n"/>
      <c r="AN520" s="131" t="n"/>
      <c r="AO520" s="130" t="n"/>
      <c r="AP520" s="16" t="n"/>
      <c r="AQ520" s="17" t="n"/>
      <c r="AR520" s="129">
        <f>DADOS_INVOC!$PW$114</f>
        <v/>
      </c>
      <c r="AS520" s="120" t="n"/>
    </row>
    <row r="521" hidden="1" outlineLevel="3">
      <c r="A521" s="8" t="n"/>
      <c r="B521" s="14" t="n"/>
      <c r="C521" s="120" t="n"/>
      <c r="D521" s="120" t="n"/>
      <c r="E521" s="120" t="n"/>
      <c r="F521" s="120" t="n"/>
      <c r="G521" s="120" t="n"/>
      <c r="I521" s="131" t="n"/>
      <c r="J521" s="130" t="n"/>
      <c r="K521" s="16" t="n"/>
      <c r="L521" s="17" t="n"/>
      <c r="M521" s="129">
        <f>DADOS_INVOC!$PX$34</f>
        <v/>
      </c>
      <c r="N521" s="120" t="n"/>
      <c r="O521" s="131" t="n"/>
      <c r="P521" s="130" t="n"/>
      <c r="Q521" s="16" t="n"/>
      <c r="R521" s="17" t="n"/>
      <c r="S521" s="129">
        <f>DADOS_INVOC!$PX$35</f>
        <v/>
      </c>
      <c r="T521" s="120" t="n"/>
      <c r="U521" s="131" t="n"/>
      <c r="V521" s="130" t="n"/>
      <c r="W521" s="16" t="n"/>
      <c r="X521" s="17" t="n"/>
      <c r="Y521" s="129">
        <f>DADOS_INVOC!$PX$36</f>
        <v/>
      </c>
      <c r="Z521" s="120" t="n"/>
      <c r="AB521" s="131" t="n"/>
      <c r="AC521" s="130" t="n"/>
      <c r="AD521" s="16" t="n"/>
      <c r="AE521" s="17" t="n"/>
      <c r="AF521" s="129">
        <f>DADOS_INVOC!$PX$112</f>
        <v/>
      </c>
      <c r="AG521" s="120" t="n"/>
      <c r="AH521" s="131" t="n"/>
      <c r="AI521" s="130" t="n"/>
      <c r="AJ521" s="16" t="n"/>
      <c r="AK521" s="17" t="n"/>
      <c r="AL521" s="129">
        <f>DADOS_INVOC!$PX$113</f>
        <v/>
      </c>
      <c r="AM521" s="120" t="n"/>
      <c r="AN521" s="131" t="n"/>
      <c r="AO521" s="130" t="n"/>
      <c r="AP521" s="16" t="n"/>
      <c r="AQ521" s="17" t="n"/>
      <c r="AR521" s="129">
        <f>DADOS_INVOC!$PX$114</f>
        <v/>
      </c>
      <c r="AS521" s="120" t="n"/>
    </row>
    <row r="522" hidden="1" outlineLevel="3">
      <c r="A522" s="8" t="n"/>
      <c r="B522" s="14" t="n"/>
      <c r="C522" s="120" t="n"/>
      <c r="D522" s="120" t="n"/>
      <c r="E522" s="120" t="n"/>
      <c r="F522" s="120" t="n"/>
      <c r="G522" s="120" t="n"/>
      <c r="I522" s="125" t="n"/>
      <c r="J522" s="130" t="n"/>
      <c r="K522" s="16" t="n"/>
      <c r="L522" s="17" t="n"/>
      <c r="M522" s="129">
        <f>DADOS_INVOC!$PY$34</f>
        <v/>
      </c>
      <c r="N522" s="120" t="n"/>
      <c r="O522" s="125" t="n"/>
      <c r="P522" s="130" t="n"/>
      <c r="Q522" s="16" t="n"/>
      <c r="R522" s="17" t="n"/>
      <c r="S522" s="129">
        <f>DADOS_INVOC!$PY$35</f>
        <v/>
      </c>
      <c r="T522" s="120" t="n"/>
      <c r="U522" s="125" t="n"/>
      <c r="V522" s="130" t="n"/>
      <c r="W522" s="16" t="n"/>
      <c r="X522" s="17" t="n"/>
      <c r="Y522" s="129">
        <f>DADOS_INVOC!$PY$36</f>
        <v/>
      </c>
      <c r="Z522" s="120" t="n"/>
      <c r="AB522" s="125" t="n"/>
      <c r="AC522" s="130" t="n"/>
      <c r="AD522" s="16" t="n"/>
      <c r="AE522" s="17" t="n"/>
      <c r="AF522" s="129">
        <f>DADOS_INVOC!$PY$112</f>
        <v/>
      </c>
      <c r="AG522" s="120" t="n"/>
      <c r="AH522" s="125" t="n"/>
      <c r="AI522" s="130" t="n"/>
      <c r="AJ522" s="16" t="n"/>
      <c r="AK522" s="17" t="n"/>
      <c r="AL522" s="129">
        <f>DADOS_INVOC!$PY$113</f>
        <v/>
      </c>
      <c r="AM522" s="120" t="n"/>
      <c r="AN522" s="125" t="n"/>
      <c r="AO522" s="130" t="n"/>
      <c r="AP522" s="16" t="n"/>
      <c r="AQ522" s="17" t="n"/>
      <c r="AR522" s="129">
        <f>DADOS_INVOC!$PY$114</f>
        <v/>
      </c>
      <c r="AS522" s="120" t="n"/>
    </row>
    <row r="523" hidden="1" outlineLevel="3">
      <c r="A523" s="8" t="n"/>
      <c r="B523" s="14" t="n"/>
      <c r="C523" s="120" t="n"/>
      <c r="D523" s="120" t="n"/>
      <c r="E523" s="120" t="n"/>
      <c r="F523" s="120" t="n"/>
      <c r="G523" s="120" t="n"/>
      <c r="I523" s="55" t="inlineStr">
        <is>
          <t>RESTRIÇÕES</t>
        </is>
      </c>
      <c r="J523" s="130" t="n"/>
      <c r="K523" s="16" t="n"/>
      <c r="L523" s="17" t="n"/>
      <c r="M523" s="129">
        <f>DADOS_INVOC!$PZ$34</f>
        <v/>
      </c>
      <c r="N523" s="120" t="n"/>
      <c r="O523" s="55" t="inlineStr">
        <is>
          <t>RESTRIÇÕES</t>
        </is>
      </c>
      <c r="P523" s="130" t="n"/>
      <c r="Q523" s="16" t="n"/>
      <c r="R523" s="17" t="n"/>
      <c r="S523" s="129">
        <f>DADOS_INVOC!$PZ$35</f>
        <v/>
      </c>
      <c r="T523" s="120" t="n"/>
      <c r="U523" s="55" t="inlineStr">
        <is>
          <t>RESTRIÇÕES</t>
        </is>
      </c>
      <c r="V523" s="130" t="n"/>
      <c r="W523" s="16" t="n"/>
      <c r="X523" s="17" t="n"/>
      <c r="Y523" s="129">
        <f>DADOS_INVOC!$PZ$36</f>
        <v/>
      </c>
      <c r="Z523" s="120" t="n"/>
      <c r="AB523" s="55" t="inlineStr">
        <is>
          <t>RESTRIÇÕES</t>
        </is>
      </c>
      <c r="AC523" s="130" t="n"/>
      <c r="AD523" s="16" t="n"/>
      <c r="AE523" s="17" t="n"/>
      <c r="AF523" s="129">
        <f>DADOS_INVOC!$PZ$112</f>
        <v/>
      </c>
      <c r="AG523" s="120" t="n"/>
      <c r="AH523" s="55" t="inlineStr">
        <is>
          <t>RESTRIÇÕES</t>
        </is>
      </c>
      <c r="AI523" s="130" t="n"/>
      <c r="AJ523" s="16" t="n"/>
      <c r="AK523" s="17" t="n"/>
      <c r="AL523" s="129">
        <f>DADOS_INVOC!$PZ$113</f>
        <v/>
      </c>
      <c r="AM523" s="120" t="n"/>
      <c r="AN523" s="55" t="inlineStr">
        <is>
          <t>RESTRIÇÕES</t>
        </is>
      </c>
      <c r="AO523" s="130" t="n"/>
      <c r="AP523" s="16" t="n"/>
      <c r="AQ523" s="17" t="n"/>
      <c r="AR523" s="129">
        <f>DADOS_INVOC!$PZ$114</f>
        <v/>
      </c>
      <c r="AS523" s="120" t="n"/>
    </row>
    <row r="524" hidden="1" outlineLevel="3">
      <c r="A524" s="8" t="n"/>
      <c r="B524" s="14" t="n"/>
      <c r="C524" s="120" t="n"/>
      <c r="D524" s="120" t="n"/>
      <c r="E524" s="120" t="n"/>
      <c r="F524" s="120" t="n"/>
      <c r="G524" s="120" t="n"/>
      <c r="I524" s="125" t="n"/>
      <c r="J524" s="130" t="n"/>
      <c r="K524" s="16" t="n"/>
      <c r="L524" s="17" t="n"/>
      <c r="M524" s="129">
        <f>DADOS_INVOC!$QA$34</f>
        <v/>
      </c>
      <c r="N524" s="120" t="n"/>
      <c r="O524" s="125" t="n"/>
      <c r="P524" s="130" t="n"/>
      <c r="Q524" s="16" t="n"/>
      <c r="R524" s="17" t="n"/>
      <c r="S524" s="129">
        <f>DADOS_INVOC!$QA$35</f>
        <v/>
      </c>
      <c r="T524" s="120" t="n"/>
      <c r="U524" s="125" t="n"/>
      <c r="V524" s="130" t="n"/>
      <c r="W524" s="16" t="n"/>
      <c r="X524" s="17" t="n"/>
      <c r="Y524" s="129">
        <f>DADOS_INVOC!$QA$36</f>
        <v/>
      </c>
      <c r="Z524" s="120" t="n"/>
      <c r="AB524" s="125" t="n"/>
      <c r="AC524" s="130" t="n"/>
      <c r="AD524" s="16" t="n"/>
      <c r="AE524" s="17" t="n"/>
      <c r="AF524" s="129">
        <f>DADOS_INVOC!$QA$112</f>
        <v/>
      </c>
      <c r="AG524" s="120" t="n"/>
      <c r="AH524" s="125" t="n"/>
      <c r="AI524" s="130" t="n"/>
      <c r="AJ524" s="16" t="n"/>
      <c r="AK524" s="17" t="n"/>
      <c r="AL524" s="129">
        <f>DADOS_INVOC!$QA$113</f>
        <v/>
      </c>
      <c r="AM524" s="120" t="n"/>
      <c r="AN524" s="125" t="n"/>
      <c r="AO524" s="130" t="n"/>
      <c r="AP524" s="16" t="n"/>
      <c r="AQ524" s="17" t="n"/>
      <c r="AR524" s="129">
        <f>DADOS_INVOC!$QA$114</f>
        <v/>
      </c>
      <c r="AS524" s="120" t="n"/>
    </row>
    <row r="525" hidden="1" outlineLevel="3">
      <c r="A525" s="8" t="n"/>
      <c r="B525" s="14" t="n"/>
      <c r="C525" s="120" t="n"/>
      <c r="D525" s="120" t="n"/>
      <c r="E525" s="120" t="n"/>
      <c r="F525" s="120" t="n"/>
      <c r="G525" s="120" t="n"/>
      <c r="I525" s="55" t="inlineStr">
        <is>
          <t>CONTA</t>
        </is>
      </c>
      <c r="J525" s="132">
        <f>DADOS_INVOC!$PT$34</f>
        <v/>
      </c>
      <c r="K525" s="16" t="n"/>
      <c r="L525" s="16" t="n"/>
      <c r="M525" s="17" t="n"/>
      <c r="N525" s="120" t="n"/>
      <c r="O525" s="55" t="inlineStr">
        <is>
          <t>CONTA</t>
        </is>
      </c>
      <c r="P525" s="132">
        <f>DADOS_INVOC!$PT$35</f>
        <v/>
      </c>
      <c r="Q525" s="16" t="n"/>
      <c r="R525" s="16" t="n"/>
      <c r="S525" s="17" t="n"/>
      <c r="T525" s="120" t="n"/>
      <c r="U525" s="55" t="inlineStr">
        <is>
          <t>CONTA</t>
        </is>
      </c>
      <c r="V525" s="132">
        <f>DADOS_INVOC!$PT$36</f>
        <v/>
      </c>
      <c r="W525" s="16" t="n"/>
      <c r="X525" s="16" t="n"/>
      <c r="Y525" s="17" t="n"/>
      <c r="Z525" s="120" t="n"/>
      <c r="AB525" s="55" t="inlineStr">
        <is>
          <t>CONTA</t>
        </is>
      </c>
      <c r="AC525" s="132">
        <f>DADOS_INVOC!$PT$112</f>
        <v/>
      </c>
      <c r="AD525" s="16" t="n"/>
      <c r="AE525" s="16" t="n"/>
      <c r="AF525" s="17" t="n"/>
      <c r="AG525" s="120" t="n"/>
      <c r="AH525" s="55" t="inlineStr">
        <is>
          <t>CONTA</t>
        </is>
      </c>
      <c r="AI525" s="132">
        <f>DADOS_INVOC!$PT$113</f>
        <v/>
      </c>
      <c r="AJ525" s="16" t="n"/>
      <c r="AK525" s="16" t="n"/>
      <c r="AL525" s="17" t="n"/>
      <c r="AM525" s="120" t="n"/>
      <c r="AN525" s="55" t="inlineStr">
        <is>
          <t>CONTA</t>
        </is>
      </c>
      <c r="AO525" s="132">
        <f>DADOS_INVOC!$PT$114</f>
        <v/>
      </c>
      <c r="AP525" s="16" t="n"/>
      <c r="AQ525" s="16" t="n"/>
      <c r="AR525" s="17" t="n"/>
      <c r="AS525" s="120" t="n"/>
    </row>
    <row r="526" hidden="1" outlineLevel="3">
      <c r="A526" s="8" t="n"/>
      <c r="B526" s="14" t="n"/>
      <c r="C526" s="120" t="n"/>
      <c r="D526" s="120" t="n"/>
      <c r="E526" s="120" t="n"/>
      <c r="F526" s="120" t="n"/>
      <c r="G526" s="120" t="n"/>
      <c r="I526" s="55" t="inlineStr">
        <is>
          <t>AMPLIAR</t>
        </is>
      </c>
      <c r="J526" s="132">
        <f>DADOS_INVOC!$PU$34</f>
        <v/>
      </c>
      <c r="K526" s="19" t="n"/>
      <c r="L526" s="19" t="n"/>
      <c r="M526" s="20" t="n"/>
      <c r="N526" s="120" t="n"/>
      <c r="O526" s="55" t="inlineStr">
        <is>
          <t>AMPLIAR</t>
        </is>
      </c>
      <c r="P526" s="132">
        <f>DADOS_INVOC!$PU$35</f>
        <v/>
      </c>
      <c r="Q526" s="19" t="n"/>
      <c r="R526" s="19" t="n"/>
      <c r="S526" s="20" t="n"/>
      <c r="T526" s="120" t="n"/>
      <c r="U526" s="55" t="inlineStr">
        <is>
          <t>AMPLIAR</t>
        </is>
      </c>
      <c r="V526" s="132">
        <f>DADOS_INVOC!$PU$36</f>
        <v/>
      </c>
      <c r="W526" s="19" t="n"/>
      <c r="X526" s="19" t="n"/>
      <c r="Y526" s="20" t="n"/>
      <c r="Z526" s="120" t="n"/>
      <c r="AB526" s="55" t="inlineStr">
        <is>
          <t>AMPLIAR</t>
        </is>
      </c>
      <c r="AC526" s="132">
        <f>DADOS_INVOC!$PU$112</f>
        <v/>
      </c>
      <c r="AD526" s="19" t="n"/>
      <c r="AE526" s="19" t="n"/>
      <c r="AF526" s="20" t="n"/>
      <c r="AG526" s="120" t="n"/>
      <c r="AH526" s="55" t="inlineStr">
        <is>
          <t>AMPLIAR</t>
        </is>
      </c>
      <c r="AI526" s="132">
        <f>DADOS_INVOC!$PU$113</f>
        <v/>
      </c>
      <c r="AJ526" s="19" t="n"/>
      <c r="AK526" s="19" t="n"/>
      <c r="AL526" s="20" t="n"/>
      <c r="AM526" s="120" t="n"/>
      <c r="AN526" s="55" t="inlineStr">
        <is>
          <t>AMPLIAR</t>
        </is>
      </c>
      <c r="AO526" s="132">
        <f>DADOS_INVOC!$PU$114</f>
        <v/>
      </c>
      <c r="AP526" s="19" t="n"/>
      <c r="AQ526" s="19" t="n"/>
      <c r="AR526" s="20" t="n"/>
      <c r="AS526" s="120" t="n"/>
    </row>
    <row r="527" hidden="1" outlineLevel="3">
      <c r="A527" s="8" t="n"/>
      <c r="B527" s="14" t="n"/>
      <c r="C527" s="120" t="n"/>
      <c r="D527" s="120" t="n"/>
      <c r="E527" s="120" t="n"/>
      <c r="F527" s="120" t="n"/>
      <c r="G527" s="120" t="n"/>
      <c r="I527" s="125" t="n"/>
      <c r="J527" s="23" t="n"/>
      <c r="K527" s="24" t="n"/>
      <c r="L527" s="24" t="n"/>
      <c r="M527" s="25" t="n"/>
      <c r="N527" s="120" t="n"/>
      <c r="O527" s="125" t="n"/>
      <c r="P527" s="23" t="n"/>
      <c r="Q527" s="24" t="n"/>
      <c r="R527" s="24" t="n"/>
      <c r="S527" s="25" t="n"/>
      <c r="T527" s="120" t="n"/>
      <c r="U527" s="125" t="n"/>
      <c r="V527" s="23" t="n"/>
      <c r="W527" s="24" t="n"/>
      <c r="X527" s="24" t="n"/>
      <c r="Y527" s="25" t="n"/>
      <c r="Z527" s="120" t="n"/>
      <c r="AB527" s="125" t="n"/>
      <c r="AC527" s="23" t="n"/>
      <c r="AD527" s="24" t="n"/>
      <c r="AE527" s="24" t="n"/>
      <c r="AF527" s="25" t="n"/>
      <c r="AG527" s="120" t="n"/>
      <c r="AH527" s="125" t="n"/>
      <c r="AI527" s="23" t="n"/>
      <c r="AJ527" s="24" t="n"/>
      <c r="AK527" s="24" t="n"/>
      <c r="AL527" s="25" t="n"/>
      <c r="AM527" s="120" t="n"/>
      <c r="AN527" s="125" t="n"/>
      <c r="AO527" s="23" t="n"/>
      <c r="AP527" s="24" t="n"/>
      <c r="AQ527" s="24" t="n"/>
      <c r="AR527" s="25" t="n"/>
      <c r="AS527" s="120" t="n"/>
    </row>
    <row r="528" hidden="1" outlineLevel="3">
      <c r="A528" s="8" t="n"/>
      <c r="B528" s="14" t="n"/>
      <c r="C528" s="120" t="n"/>
      <c r="D528" s="120" t="n"/>
      <c r="E528" s="120" t="n"/>
      <c r="F528" s="120" t="n"/>
      <c r="G528" s="120" t="n"/>
      <c r="I528" s="132">
        <f>DADOS_INVOC!$PH$34</f>
        <v/>
      </c>
      <c r="J528" s="19" t="n"/>
      <c r="K528" s="19" t="n"/>
      <c r="L528" s="19" t="n"/>
      <c r="M528" s="20" t="n"/>
      <c r="N528" s="120" t="n"/>
      <c r="O528" s="132">
        <f>DADOS_INVOC!$PH$35</f>
        <v/>
      </c>
      <c r="P528" s="19" t="n"/>
      <c r="Q528" s="19" t="n"/>
      <c r="R528" s="19" t="n"/>
      <c r="S528" s="20" t="n"/>
      <c r="T528" s="120" t="n"/>
      <c r="U528" s="132">
        <f>DADOS_INVOC!$PH$36</f>
        <v/>
      </c>
      <c r="V528" s="19" t="n"/>
      <c r="W528" s="19" t="n"/>
      <c r="X528" s="19" t="n"/>
      <c r="Y528" s="20" t="n"/>
      <c r="Z528" s="120" t="n"/>
      <c r="AB528" s="132">
        <f>DADOS_INVOC!$PH$112</f>
        <v/>
      </c>
      <c r="AC528" s="19" t="n"/>
      <c r="AD528" s="19" t="n"/>
      <c r="AE528" s="19" t="n"/>
      <c r="AF528" s="20" t="n"/>
      <c r="AG528" s="120" t="n"/>
      <c r="AH528" s="132">
        <f>DADOS_INVOC!$PH$113</f>
        <v/>
      </c>
      <c r="AI528" s="19" t="n"/>
      <c r="AJ528" s="19" t="n"/>
      <c r="AK528" s="19" t="n"/>
      <c r="AL528" s="20" t="n"/>
      <c r="AM528" s="120" t="n"/>
      <c r="AN528" s="132">
        <f>DADOS_INVOC!$PH$114</f>
        <v/>
      </c>
      <c r="AO528" s="19" t="n"/>
      <c r="AP528" s="19" t="n"/>
      <c r="AQ528" s="19" t="n"/>
      <c r="AR528" s="20" t="n"/>
      <c r="AS528" s="120" t="n"/>
    </row>
    <row r="529" hidden="1" outlineLevel="3">
      <c r="A529" s="8" t="n"/>
      <c r="B529" s="14" t="n"/>
      <c r="C529" s="120" t="n"/>
      <c r="D529" s="120" t="n"/>
      <c r="E529" s="120" t="n"/>
      <c r="F529" s="120" t="n"/>
      <c r="G529" s="120" t="n"/>
      <c r="I529" s="23" t="n"/>
      <c r="J529" s="24" t="n"/>
      <c r="K529" s="24" t="n"/>
      <c r="L529" s="24" t="n"/>
      <c r="M529" s="25" t="n"/>
      <c r="N529" s="120" t="n"/>
      <c r="O529" s="23" t="n"/>
      <c r="P529" s="24" t="n"/>
      <c r="Q529" s="24" t="n"/>
      <c r="R529" s="24" t="n"/>
      <c r="S529" s="25" t="n"/>
      <c r="T529" s="120" t="n"/>
      <c r="U529" s="23" t="n"/>
      <c r="V529" s="24" t="n"/>
      <c r="W529" s="24" t="n"/>
      <c r="X529" s="24" t="n"/>
      <c r="Y529" s="25" t="n"/>
      <c r="Z529" s="120" t="n"/>
      <c r="AB529" s="23" t="n"/>
      <c r="AC529" s="24" t="n"/>
      <c r="AD529" s="24" t="n"/>
      <c r="AE529" s="24" t="n"/>
      <c r="AF529" s="25" t="n"/>
      <c r="AG529" s="120" t="n"/>
      <c r="AH529" s="23" t="n"/>
      <c r="AI529" s="24" t="n"/>
      <c r="AJ529" s="24" t="n"/>
      <c r="AK529" s="24" t="n"/>
      <c r="AL529" s="25" t="n"/>
      <c r="AM529" s="120" t="n"/>
      <c r="AN529" s="23" t="n"/>
      <c r="AO529" s="24" t="n"/>
      <c r="AP529" s="24" t="n"/>
      <c r="AQ529" s="24" t="n"/>
      <c r="AR529" s="25" t="n"/>
      <c r="AS529" s="120" t="n"/>
    </row>
    <row r="530" hidden="1" outlineLevel="2">
      <c r="A530" s="8" t="n"/>
      <c r="B530" s="14" t="n"/>
      <c r="C530" s="120" t="n"/>
      <c r="D530" s="120" t="n"/>
      <c r="E530" s="120" t="n"/>
      <c r="F530" s="120" t="n"/>
      <c r="G530" s="120" t="n"/>
      <c r="I530" s="120" t="n"/>
      <c r="J530" s="120" t="n"/>
      <c r="K530" s="120" t="n"/>
      <c r="L530" s="120" t="n"/>
      <c r="M530" s="120" t="n"/>
      <c r="N530" s="120" t="n"/>
      <c r="O530" s="120" t="n"/>
      <c r="P530" s="120" t="n"/>
      <c r="Q530" s="120" t="n"/>
      <c r="R530" s="120" t="n"/>
      <c r="S530" s="120" t="n"/>
      <c r="T530" s="120" t="n"/>
      <c r="U530" s="120" t="n"/>
      <c r="V530" s="120" t="n"/>
      <c r="W530" s="120" t="n"/>
      <c r="X530" s="120" t="n"/>
      <c r="Y530" s="120" t="n"/>
      <c r="Z530" s="120" t="n"/>
      <c r="AB530" s="120" t="n"/>
      <c r="AC530" s="120" t="n"/>
      <c r="AD530" s="120" t="n"/>
      <c r="AE530" s="120" t="n"/>
      <c r="AF530" s="120" t="n"/>
      <c r="AG530" s="120" t="n"/>
      <c r="AH530" s="120" t="n"/>
      <c r="AI530" s="120" t="n"/>
      <c r="AJ530" s="120" t="n"/>
      <c r="AK530" s="120" t="n"/>
      <c r="AL530" s="120" t="n"/>
      <c r="AM530" s="120" t="n"/>
      <c r="AN530" s="120" t="n"/>
      <c r="AO530" s="120" t="n"/>
      <c r="AP530" s="120" t="n"/>
      <c r="AQ530" s="120" t="n"/>
      <c r="AR530" s="120" t="n"/>
      <c r="AS530" s="120" t="n"/>
    </row>
    <row r="531" hidden="1" outlineLevel="2">
      <c r="A531" s="8" t="n"/>
      <c r="B531" s="14" t="n"/>
      <c r="C531" s="120" t="n"/>
      <c r="D531" s="120" t="n"/>
      <c r="E531" s="120" t="n"/>
      <c r="F531" s="120" t="n"/>
      <c r="G531" s="120" t="n"/>
      <c r="I531" s="55">
        <f>DADOS_INVOC!$PI$37</f>
        <v/>
      </c>
      <c r="J531" s="16" t="n"/>
      <c r="K531" s="16" t="n"/>
      <c r="L531" s="16" t="n"/>
      <c r="M531" s="17" t="n"/>
      <c r="N531" s="120" t="n"/>
      <c r="O531" s="120" t="n"/>
      <c r="P531" s="120" t="n"/>
      <c r="Q531" s="120" t="n"/>
      <c r="R531" s="120" t="n"/>
      <c r="S531" s="120" t="n"/>
      <c r="T531" s="120" t="n"/>
      <c r="U531" s="120" t="n"/>
      <c r="V531" s="120" t="n"/>
      <c r="W531" s="120" t="n"/>
      <c r="X531" s="120" t="n"/>
      <c r="Y531" s="120" t="n"/>
      <c r="Z531" s="120" t="n"/>
      <c r="AB531" s="55">
        <f>DADOS_INVOC!$PI$115</f>
        <v/>
      </c>
      <c r="AC531" s="16" t="n"/>
      <c r="AD531" s="16" t="n"/>
      <c r="AE531" s="16" t="n"/>
      <c r="AF531" s="17" t="n"/>
      <c r="AG531" s="120" t="n"/>
      <c r="AH531" s="120" t="n"/>
      <c r="AI531" s="120" t="n"/>
      <c r="AJ531" s="120" t="n"/>
      <c r="AK531" s="120" t="n"/>
      <c r="AL531" s="120" t="n"/>
      <c r="AM531" s="120" t="n"/>
      <c r="AN531" s="120" t="n"/>
      <c r="AO531" s="120" t="n"/>
      <c r="AP531" s="120" t="n"/>
      <c r="AQ531" s="120" t="n"/>
      <c r="AR531" s="120" t="n"/>
      <c r="AS531" s="120" t="n"/>
    </row>
    <row r="532" hidden="1" outlineLevel="2">
      <c r="A532" s="8" t="n"/>
      <c r="B532" s="14" t="n"/>
      <c r="C532" s="120" t="n"/>
      <c r="D532" s="120" t="n"/>
      <c r="E532" s="120" t="n"/>
      <c r="F532" s="120" t="n"/>
      <c r="G532" s="120" t="n"/>
      <c r="I532" s="127" t="n">
        <v>1</v>
      </c>
      <c r="J532" s="115" t="n"/>
      <c r="K532" s="16" t="n"/>
      <c r="L532" s="17" t="n"/>
      <c r="M532" s="128">
        <f>DADOS_INVOC!$PG$37</f>
        <v/>
      </c>
      <c r="N532" s="120" t="n"/>
      <c r="O532" s="120" t="n"/>
      <c r="P532" s="120" t="n"/>
      <c r="Q532" s="120" t="n"/>
      <c r="R532" s="120" t="n"/>
      <c r="S532" s="120" t="n"/>
      <c r="T532" s="120" t="n"/>
      <c r="U532" s="120" t="n"/>
      <c r="V532" s="120" t="n"/>
      <c r="W532" s="120" t="n"/>
      <c r="X532" s="120" t="n"/>
      <c r="Y532" s="120" t="n"/>
      <c r="Z532" s="120" t="n"/>
      <c r="AB532" s="127" t="n">
        <v>1</v>
      </c>
      <c r="AC532" s="115" t="n"/>
      <c r="AD532" s="16" t="n"/>
      <c r="AE532" s="17" t="n"/>
      <c r="AF532" s="128">
        <f>DADOS_INVOC!$PG$115</f>
        <v/>
      </c>
      <c r="AG532" s="120" t="n"/>
      <c r="AH532" s="120" t="n"/>
      <c r="AI532" s="120" t="n"/>
      <c r="AJ532" s="120" t="n"/>
      <c r="AK532" s="120" t="n"/>
      <c r="AL532" s="120" t="n"/>
      <c r="AM532" s="120" t="n"/>
      <c r="AN532" s="120" t="n"/>
      <c r="AO532" s="120" t="n"/>
      <c r="AP532" s="120" t="n"/>
      <c r="AQ532" s="120" t="n"/>
      <c r="AR532" s="120" t="n"/>
      <c r="AS532" s="120" t="n"/>
    </row>
    <row r="533" hidden="1" outlineLevel="3">
      <c r="A533" s="8" t="n"/>
      <c r="B533" s="14" t="n"/>
      <c r="C533" s="120" t="n"/>
      <c r="D533" s="120" t="n"/>
      <c r="E533" s="120" t="n"/>
      <c r="F533" s="120" t="n"/>
      <c r="G533" s="120" t="n"/>
      <c r="I533" s="55" t="inlineStr">
        <is>
          <t>COMO É</t>
        </is>
      </c>
      <c r="J533" s="16" t="n"/>
      <c r="K533" s="16" t="n"/>
      <c r="L533" s="16" t="n"/>
      <c r="M533" s="17" t="n"/>
      <c r="N533" s="120" t="n"/>
      <c r="O533" s="120" t="n"/>
      <c r="P533" s="120" t="n"/>
      <c r="Q533" s="120" t="n"/>
      <c r="R533" s="120" t="n"/>
      <c r="S533" s="120" t="n"/>
      <c r="T533" s="120" t="n"/>
      <c r="U533" s="120" t="n"/>
      <c r="V533" s="120" t="n"/>
      <c r="W533" s="120" t="n"/>
      <c r="X533" s="120" t="n"/>
      <c r="Y533" s="120" t="n"/>
      <c r="Z533" s="120" t="n"/>
      <c r="AB533" s="55" t="inlineStr">
        <is>
          <t>COMO É</t>
        </is>
      </c>
      <c r="AC533" s="16" t="n"/>
      <c r="AD533" s="16" t="n"/>
      <c r="AE533" s="16" t="n"/>
      <c r="AF533" s="17" t="n"/>
      <c r="AG533" s="120" t="n"/>
      <c r="AH533" s="120" t="n"/>
      <c r="AI533" s="120" t="n"/>
      <c r="AJ533" s="120" t="n"/>
      <c r="AK533" s="120" t="n"/>
      <c r="AL533" s="120" t="n"/>
      <c r="AM533" s="120" t="n"/>
      <c r="AN533" s="120" t="n"/>
      <c r="AO533" s="120" t="n"/>
      <c r="AP533" s="120" t="n"/>
      <c r="AQ533" s="120" t="n"/>
      <c r="AR533" s="120" t="n"/>
      <c r="AS533" s="120" t="n"/>
    </row>
    <row r="534" hidden="1" outlineLevel="3">
      <c r="A534" s="8" t="n"/>
      <c r="B534" s="14" t="n"/>
      <c r="C534" s="120" t="n"/>
      <c r="D534" s="120" t="n"/>
      <c r="E534" s="120" t="n"/>
      <c r="F534" s="120" t="n"/>
      <c r="G534" s="120" t="n"/>
      <c r="I534" s="116" t="n"/>
      <c r="J534" s="19" t="n"/>
      <c r="K534" s="19" t="n"/>
      <c r="L534" s="19" t="n"/>
      <c r="M534" s="20" t="n"/>
      <c r="N534" s="120" t="n"/>
      <c r="O534" s="120" t="n"/>
      <c r="P534" s="120" t="n"/>
      <c r="Q534" s="120" t="n"/>
      <c r="R534" s="120" t="n"/>
      <c r="S534" s="120" t="n"/>
      <c r="T534" s="120" t="n"/>
      <c r="U534" s="120" t="n"/>
      <c r="V534" s="120" t="n"/>
      <c r="W534" s="120" t="n"/>
      <c r="X534" s="120" t="n"/>
      <c r="Y534" s="120" t="n"/>
      <c r="Z534" s="120" t="n"/>
      <c r="AB534" s="116" t="n"/>
      <c r="AC534" s="19" t="n"/>
      <c r="AD534" s="19" t="n"/>
      <c r="AE534" s="19" t="n"/>
      <c r="AF534" s="20" t="n"/>
      <c r="AG534" s="120" t="n"/>
      <c r="AH534" s="120" t="n"/>
      <c r="AI534" s="120" t="n"/>
      <c r="AJ534" s="120" t="n"/>
      <c r="AK534" s="120" t="n"/>
      <c r="AL534" s="120" t="n"/>
      <c r="AM534" s="120" t="n"/>
      <c r="AN534" s="120" t="n"/>
      <c r="AO534" s="120" t="n"/>
      <c r="AP534" s="120" t="n"/>
      <c r="AQ534" s="120" t="n"/>
      <c r="AR534" s="120" t="n"/>
      <c r="AS534" s="120" t="n"/>
    </row>
    <row r="535" hidden="1" outlineLevel="3">
      <c r="A535" s="8" t="n"/>
      <c r="B535" s="14" t="n"/>
      <c r="C535" s="120" t="n"/>
      <c r="D535" s="120" t="n"/>
      <c r="E535" s="120" t="n"/>
      <c r="F535" s="120" t="n"/>
      <c r="G535" s="120" t="n"/>
      <c r="I535" s="21" t="n"/>
      <c r="M535" s="22" t="n"/>
      <c r="N535" s="120" t="n"/>
      <c r="O535" s="120" t="n"/>
      <c r="P535" s="120" t="n"/>
      <c r="Q535" s="120" t="n"/>
      <c r="R535" s="120" t="n"/>
      <c r="S535" s="120" t="n"/>
      <c r="T535" s="120" t="n"/>
      <c r="U535" s="120" t="n"/>
      <c r="V535" s="120" t="n"/>
      <c r="W535" s="120" t="n"/>
      <c r="X535" s="120" t="n"/>
      <c r="Y535" s="120" t="n"/>
      <c r="Z535" s="120" t="n"/>
      <c r="AB535" s="21" t="n"/>
      <c r="AF535" s="22" t="n"/>
      <c r="AG535" s="120" t="n"/>
      <c r="AH535" s="120" t="n"/>
      <c r="AI535" s="120" t="n"/>
      <c r="AJ535" s="120" t="n"/>
      <c r="AK535" s="120" t="n"/>
      <c r="AL535" s="120" t="n"/>
      <c r="AM535" s="120" t="n"/>
      <c r="AN535" s="120" t="n"/>
      <c r="AO535" s="120" t="n"/>
      <c r="AP535" s="120" t="n"/>
      <c r="AQ535" s="120" t="n"/>
      <c r="AR535" s="120" t="n"/>
      <c r="AS535" s="120" t="n"/>
    </row>
    <row r="536" hidden="1" outlineLevel="3">
      <c r="A536" s="8" t="n"/>
      <c r="B536" s="14" t="n"/>
      <c r="C536" s="120" t="n"/>
      <c r="D536" s="120" t="n"/>
      <c r="E536" s="120" t="n"/>
      <c r="F536" s="120" t="n"/>
      <c r="G536" s="120" t="n"/>
      <c r="I536" s="23" t="n"/>
      <c r="J536" s="24" t="n"/>
      <c r="K536" s="24" t="n"/>
      <c r="L536" s="24" t="n"/>
      <c r="M536" s="25" t="n"/>
      <c r="N536" s="120" t="n"/>
      <c r="O536" s="120" t="n"/>
      <c r="P536" s="120" t="n"/>
      <c r="Q536" s="120" t="n"/>
      <c r="R536" s="120" t="n"/>
      <c r="S536" s="120" t="n"/>
      <c r="T536" s="120" t="n"/>
      <c r="U536" s="120" t="n"/>
      <c r="V536" s="120" t="n"/>
      <c r="W536" s="120" t="n"/>
      <c r="X536" s="120" t="n"/>
      <c r="Y536" s="120" t="n"/>
      <c r="Z536" s="120" t="n"/>
      <c r="AB536" s="23" t="n"/>
      <c r="AC536" s="24" t="n"/>
      <c r="AD536" s="24" t="n"/>
      <c r="AE536" s="24" t="n"/>
      <c r="AF536" s="25" t="n"/>
      <c r="AG536" s="120" t="n"/>
      <c r="AH536" s="120" t="n"/>
      <c r="AI536" s="120" t="n"/>
      <c r="AJ536" s="120" t="n"/>
      <c r="AK536" s="120" t="n"/>
      <c r="AL536" s="120" t="n"/>
      <c r="AM536" s="120" t="n"/>
      <c r="AN536" s="120" t="n"/>
      <c r="AO536" s="120" t="n"/>
      <c r="AP536" s="120" t="n"/>
      <c r="AQ536" s="120" t="n"/>
      <c r="AR536" s="120" t="n"/>
      <c r="AS536" s="120" t="n"/>
    </row>
    <row r="537" hidden="1" outlineLevel="2">
      <c r="A537" s="8" t="n"/>
      <c r="B537" s="14" t="n"/>
      <c r="C537" s="120" t="n"/>
      <c r="D537" s="120" t="n"/>
      <c r="E537" s="120" t="n"/>
      <c r="F537" s="120" t="n"/>
      <c r="G537" s="120" t="n"/>
      <c r="I537" s="124" t="inlineStr">
        <is>
          <t>Projétil</t>
        </is>
      </c>
      <c r="J537" s="17" t="n"/>
      <c r="K537" s="68">
        <f>DADOS_INVOC!$PN$37</f>
        <v/>
      </c>
      <c r="L537" s="17" t="n"/>
      <c r="M537" s="68">
        <f>DADOS_INVOC!$PJ$37</f>
        <v/>
      </c>
      <c r="N537" s="120" t="n"/>
      <c r="O537" s="120" t="n"/>
      <c r="P537" s="120" t="n"/>
      <c r="Q537" s="120" t="n"/>
      <c r="R537" s="120" t="n"/>
      <c r="S537" s="120" t="n"/>
      <c r="T537" s="120" t="n"/>
      <c r="U537" s="120" t="n"/>
      <c r="V537" s="120" t="n"/>
      <c r="W537" s="120" t="n"/>
      <c r="X537" s="120" t="n"/>
      <c r="Y537" s="120" t="n"/>
      <c r="Z537" s="120" t="n"/>
      <c r="AB537" s="124" t="inlineStr">
        <is>
          <t>Projétil</t>
        </is>
      </c>
      <c r="AC537" s="17" t="n"/>
      <c r="AD537" s="68">
        <f>DADOS_INVOC!$PN$115</f>
        <v/>
      </c>
      <c r="AE537" s="17" t="n"/>
      <c r="AF537" s="68">
        <f>DADOS_INVOC!$PJ$115</f>
        <v/>
      </c>
      <c r="AG537" s="120" t="n"/>
      <c r="AH537" s="120" t="n"/>
      <c r="AI537" s="120" t="n"/>
      <c r="AJ537" s="120" t="n"/>
      <c r="AK537" s="120" t="n"/>
      <c r="AL537" s="120" t="n"/>
      <c r="AM537" s="120" t="n"/>
      <c r="AN537" s="120" t="n"/>
      <c r="AO537" s="120" t="n"/>
      <c r="AP537" s="120" t="n"/>
      <c r="AQ537" s="120" t="n"/>
      <c r="AR537" s="120" t="n"/>
      <c r="AS537" s="120" t="n"/>
    </row>
    <row r="538" hidden="1" outlineLevel="2">
      <c r="A538" s="8" t="n"/>
      <c r="B538" s="14" t="n"/>
      <c r="C538" s="120" t="n"/>
      <c r="D538" s="120" t="n"/>
      <c r="E538" s="120" t="n"/>
      <c r="F538" s="120" t="n"/>
      <c r="G538" s="120" t="n"/>
      <c r="I538" s="124" t="n"/>
      <c r="J538" s="17" t="n"/>
      <c r="K538" s="124" t="n"/>
      <c r="L538" s="16" t="n"/>
      <c r="M538" s="17" t="n"/>
      <c r="N538" s="120" t="n"/>
      <c r="O538" s="120" t="n"/>
      <c r="P538" s="120" t="n"/>
      <c r="Q538" s="120" t="n"/>
      <c r="R538" s="120" t="n"/>
      <c r="S538" s="120" t="n"/>
      <c r="T538" s="120" t="n"/>
      <c r="U538" s="120" t="n"/>
      <c r="V538" s="120" t="n"/>
      <c r="W538" s="120" t="n"/>
      <c r="X538" s="120" t="n"/>
      <c r="Y538" s="120" t="n"/>
      <c r="Z538" s="120" t="n"/>
      <c r="AB538" s="124" t="n"/>
      <c r="AC538" s="17" t="n"/>
      <c r="AD538" s="124" t="n"/>
      <c r="AE538" s="16" t="n"/>
      <c r="AF538" s="17" t="n"/>
      <c r="AG538" s="120" t="n"/>
      <c r="AH538" s="120" t="n"/>
      <c r="AI538" s="120" t="n"/>
      <c r="AJ538" s="120" t="n"/>
      <c r="AK538" s="120" t="n"/>
      <c r="AL538" s="120" t="n"/>
      <c r="AM538" s="120" t="n"/>
      <c r="AN538" s="120" t="n"/>
      <c r="AO538" s="120" t="n"/>
      <c r="AP538" s="120" t="n"/>
      <c r="AQ538" s="120" t="n"/>
      <c r="AR538" s="120" t="n"/>
      <c r="AS538" s="120" t="n"/>
    </row>
    <row r="539" hidden="1" outlineLevel="2">
      <c r="A539" s="8" t="n"/>
      <c r="B539" s="14" t="n"/>
      <c r="C539" s="120" t="n"/>
      <c r="D539" s="120" t="n"/>
      <c r="E539" s="120" t="n"/>
      <c r="F539" s="120" t="n"/>
      <c r="G539" s="120" t="n"/>
      <c r="I539" s="124">
        <f>DADOS_INVOC!$PK$37</f>
        <v/>
      </c>
      <c r="J539" s="17" t="n"/>
      <c r="K539" s="124">
        <f>DADOS_INVOC!$PM$37</f>
        <v/>
      </c>
      <c r="L539" s="16" t="n"/>
      <c r="M539" s="17" t="n"/>
      <c r="N539" s="120" t="n"/>
      <c r="O539" s="120" t="n"/>
      <c r="P539" s="120" t="n"/>
      <c r="Q539" s="120" t="n"/>
      <c r="R539" s="120" t="n"/>
      <c r="S539" s="120" t="n"/>
      <c r="T539" s="120" t="n"/>
      <c r="U539" s="120" t="n"/>
      <c r="V539" s="120" t="n"/>
      <c r="W539" s="120" t="n"/>
      <c r="X539" s="120" t="n"/>
      <c r="Y539" s="120" t="n"/>
      <c r="Z539" s="120" t="n"/>
      <c r="AB539" s="124">
        <f>DADOS_INVOC!$PK$115</f>
        <v/>
      </c>
      <c r="AC539" s="17" t="n"/>
      <c r="AD539" s="124">
        <f>DADOS_INVOC!$PM$115</f>
        <v/>
      </c>
      <c r="AE539" s="16" t="n"/>
      <c r="AF539" s="17" t="n"/>
      <c r="AG539" s="120" t="n"/>
      <c r="AH539" s="120" t="n"/>
      <c r="AI539" s="120" t="n"/>
      <c r="AJ539" s="120" t="n"/>
      <c r="AK539" s="120" t="n"/>
      <c r="AL539" s="120" t="n"/>
      <c r="AM539" s="120" t="n"/>
      <c r="AN539" s="120" t="n"/>
      <c r="AO539" s="120" t="n"/>
      <c r="AP539" s="120" t="n"/>
      <c r="AQ539" s="120" t="n"/>
      <c r="AR539" s="120" t="n"/>
      <c r="AS539" s="120" t="n"/>
    </row>
    <row r="540" hidden="1" outlineLevel="2">
      <c r="A540" s="8" t="n"/>
      <c r="B540" s="14" t="n"/>
      <c r="C540" s="120" t="n"/>
      <c r="D540" s="120" t="n"/>
      <c r="E540" s="120" t="n"/>
      <c r="F540" s="120" t="n"/>
      <c r="G540" s="120" t="n"/>
      <c r="I540" s="129">
        <f>DADOS_INVOC!$PS$37</f>
        <v/>
      </c>
      <c r="J540" s="16" t="n"/>
      <c r="K540" s="16" t="n"/>
      <c r="L540" s="16" t="n"/>
      <c r="M540" s="17" t="n"/>
      <c r="N540" s="120" t="n"/>
      <c r="O540" s="120" t="n"/>
      <c r="P540" s="120" t="n"/>
      <c r="Q540" s="120" t="n"/>
      <c r="R540" s="120" t="n"/>
      <c r="S540" s="120" t="n"/>
      <c r="T540" s="120" t="n"/>
      <c r="U540" s="120" t="n"/>
      <c r="V540" s="120" t="n"/>
      <c r="W540" s="120" t="n"/>
      <c r="X540" s="120" t="n"/>
      <c r="Y540" s="120" t="n"/>
      <c r="Z540" s="120" t="n"/>
      <c r="AB540" s="129">
        <f>DADOS_INVOC!$PS$115</f>
        <v/>
      </c>
      <c r="AC540" s="16" t="n"/>
      <c r="AD540" s="16" t="n"/>
      <c r="AE540" s="16" t="n"/>
      <c r="AF540" s="17" t="n"/>
      <c r="AG540" s="120" t="n"/>
      <c r="AH540" s="120" t="n"/>
      <c r="AI540" s="120" t="n"/>
      <c r="AJ540" s="120" t="n"/>
      <c r="AK540" s="120" t="n"/>
      <c r="AL540" s="120" t="n"/>
      <c r="AM540" s="120" t="n"/>
      <c r="AN540" s="120" t="n"/>
      <c r="AO540" s="120" t="n"/>
      <c r="AP540" s="120" t="n"/>
      <c r="AQ540" s="120" t="n"/>
      <c r="AR540" s="120" t="n"/>
      <c r="AS540" s="120" t="n"/>
    </row>
    <row r="541" hidden="1" outlineLevel="3">
      <c r="A541" s="8" t="n"/>
      <c r="B541" s="14" t="n"/>
      <c r="C541" s="120" t="n"/>
      <c r="D541" s="120" t="n"/>
      <c r="E541" s="120" t="n"/>
      <c r="F541" s="120" t="n"/>
      <c r="G541" s="120" t="n"/>
      <c r="I541" s="55" t="inlineStr">
        <is>
          <t>MELHORIAS</t>
        </is>
      </c>
      <c r="J541" s="130" t="n"/>
      <c r="K541" s="16" t="n"/>
      <c r="L541" s="17" t="n"/>
      <c r="M541" s="129">
        <f>DADOS_INVOC!$PV$37</f>
        <v/>
      </c>
      <c r="N541" s="120" t="n"/>
      <c r="O541" s="120" t="n"/>
      <c r="P541" s="120" t="n"/>
      <c r="Q541" s="120" t="n"/>
      <c r="R541" s="120" t="n"/>
      <c r="S541" s="120" t="n"/>
      <c r="T541" s="120" t="n"/>
      <c r="U541" s="120" t="n"/>
      <c r="V541" s="120" t="n"/>
      <c r="W541" s="120" t="n"/>
      <c r="X541" s="120" t="n"/>
      <c r="Y541" s="120" t="n"/>
      <c r="Z541" s="120" t="n"/>
      <c r="AB541" s="55" t="inlineStr">
        <is>
          <t>MELHORIAS</t>
        </is>
      </c>
      <c r="AC541" s="130" t="n"/>
      <c r="AD541" s="16" t="n"/>
      <c r="AE541" s="17" t="n"/>
      <c r="AF541" s="129">
        <f>DADOS_INVOC!$PV$115</f>
        <v/>
      </c>
      <c r="AG541" s="120" t="n"/>
      <c r="AH541" s="120" t="n"/>
      <c r="AI541" s="120" t="n"/>
      <c r="AJ541" s="120" t="n"/>
      <c r="AK541" s="120" t="n"/>
      <c r="AL541" s="120" t="n"/>
      <c r="AM541" s="120" t="n"/>
      <c r="AN541" s="120" t="n"/>
      <c r="AO541" s="120" t="n"/>
      <c r="AP541" s="120" t="n"/>
      <c r="AQ541" s="120" t="n"/>
      <c r="AR541" s="120" t="n"/>
      <c r="AS541" s="120" t="n"/>
    </row>
    <row r="542" hidden="1" outlineLevel="3">
      <c r="A542" s="8" t="n"/>
      <c r="B542" s="14" t="n"/>
      <c r="C542" s="120" t="n"/>
      <c r="D542" s="120" t="n"/>
      <c r="E542" s="120" t="n"/>
      <c r="F542" s="120" t="n"/>
      <c r="G542" s="120" t="n"/>
      <c r="I542" s="131" t="n"/>
      <c r="J542" s="130" t="n"/>
      <c r="K542" s="16" t="n"/>
      <c r="L542" s="17" t="n"/>
      <c r="M542" s="129">
        <f>DADOS_INVOC!$PW$37</f>
        <v/>
      </c>
      <c r="N542" s="120" t="n"/>
      <c r="O542" s="120" t="n"/>
      <c r="P542" s="120" t="n"/>
      <c r="Q542" s="120" t="n"/>
      <c r="R542" s="120" t="n"/>
      <c r="S542" s="120" t="n"/>
      <c r="T542" s="120" t="n"/>
      <c r="U542" s="120" t="n"/>
      <c r="V542" s="120" t="n"/>
      <c r="W542" s="120" t="n"/>
      <c r="X542" s="120" t="n"/>
      <c r="Y542" s="120" t="n"/>
      <c r="Z542" s="120" t="n"/>
      <c r="AB542" s="131" t="n"/>
      <c r="AC542" s="130" t="n"/>
      <c r="AD542" s="16" t="n"/>
      <c r="AE542" s="17" t="n"/>
      <c r="AF542" s="129">
        <f>DADOS_INVOC!$PW$115</f>
        <v/>
      </c>
      <c r="AG542" s="120" t="n"/>
      <c r="AH542" s="120" t="n"/>
      <c r="AI542" s="120" t="n"/>
      <c r="AJ542" s="120" t="n"/>
      <c r="AK542" s="120" t="n"/>
      <c r="AL542" s="120" t="n"/>
      <c r="AM542" s="120" t="n"/>
      <c r="AN542" s="120" t="n"/>
      <c r="AO542" s="120" t="n"/>
      <c r="AP542" s="120" t="n"/>
      <c r="AQ542" s="120" t="n"/>
      <c r="AR542" s="120" t="n"/>
      <c r="AS542" s="120" t="n"/>
    </row>
    <row r="543" hidden="1" outlineLevel="3">
      <c r="A543" s="8" t="n"/>
      <c r="B543" s="14" t="n"/>
      <c r="C543" s="120" t="n"/>
      <c r="D543" s="120" t="n"/>
      <c r="E543" s="120" t="n"/>
      <c r="F543" s="120" t="n"/>
      <c r="G543" s="120" t="n"/>
      <c r="I543" s="131" t="n"/>
      <c r="J543" s="130" t="n"/>
      <c r="K543" s="16" t="n"/>
      <c r="L543" s="17" t="n"/>
      <c r="M543" s="129">
        <f>DADOS_INVOC!$PX$37</f>
        <v/>
      </c>
      <c r="N543" s="120" t="n"/>
      <c r="O543" s="120" t="n"/>
      <c r="P543" s="120" t="n"/>
      <c r="Q543" s="120" t="n"/>
      <c r="R543" s="120" t="n"/>
      <c r="S543" s="120" t="n"/>
      <c r="T543" s="120" t="n"/>
      <c r="U543" s="120" t="n"/>
      <c r="V543" s="120" t="n"/>
      <c r="W543" s="120" t="n"/>
      <c r="X543" s="120" t="n"/>
      <c r="Y543" s="120" t="n"/>
      <c r="Z543" s="120" t="n"/>
      <c r="AB543" s="131" t="n"/>
      <c r="AC543" s="130" t="n"/>
      <c r="AD543" s="16" t="n"/>
      <c r="AE543" s="17" t="n"/>
      <c r="AF543" s="129">
        <f>DADOS_INVOC!$PX$115</f>
        <v/>
      </c>
      <c r="AG543" s="120" t="n"/>
      <c r="AH543" s="120" t="n"/>
      <c r="AI543" s="120" t="n"/>
      <c r="AJ543" s="120" t="n"/>
      <c r="AK543" s="120" t="n"/>
      <c r="AL543" s="120" t="n"/>
      <c r="AM543" s="120" t="n"/>
      <c r="AN543" s="120" t="n"/>
      <c r="AO543" s="120" t="n"/>
      <c r="AP543" s="120" t="n"/>
      <c r="AQ543" s="120" t="n"/>
      <c r="AR543" s="120" t="n"/>
      <c r="AS543" s="120" t="n"/>
    </row>
    <row r="544" hidden="1" outlineLevel="3">
      <c r="A544" s="8" t="n"/>
      <c r="B544" s="14" t="n"/>
      <c r="C544" s="120" t="n"/>
      <c r="D544" s="120" t="n"/>
      <c r="E544" s="120" t="n"/>
      <c r="F544" s="120" t="n"/>
      <c r="G544" s="120" t="n"/>
      <c r="I544" s="125" t="n"/>
      <c r="J544" s="130" t="n"/>
      <c r="K544" s="16" t="n"/>
      <c r="L544" s="17" t="n"/>
      <c r="M544" s="129">
        <f>DADOS_INVOC!$PY$37</f>
        <v/>
      </c>
      <c r="N544" s="120" t="n"/>
      <c r="O544" s="120" t="n"/>
      <c r="P544" s="120" t="n"/>
      <c r="Q544" s="120" t="n"/>
      <c r="R544" s="120" t="n"/>
      <c r="S544" s="120" t="n"/>
      <c r="T544" s="120" t="n"/>
      <c r="U544" s="120" t="n"/>
      <c r="V544" s="120" t="n"/>
      <c r="W544" s="120" t="n"/>
      <c r="X544" s="120" t="n"/>
      <c r="Y544" s="120" t="n"/>
      <c r="Z544" s="120" t="n"/>
      <c r="AB544" s="125" t="n"/>
      <c r="AC544" s="130" t="n"/>
      <c r="AD544" s="16" t="n"/>
      <c r="AE544" s="17" t="n"/>
      <c r="AF544" s="129">
        <f>DADOS_INVOC!$PY$115</f>
        <v/>
      </c>
      <c r="AG544" s="120" t="n"/>
      <c r="AH544" s="120" t="n"/>
      <c r="AI544" s="120" t="n"/>
      <c r="AJ544" s="120" t="n"/>
      <c r="AK544" s="120" t="n"/>
      <c r="AL544" s="120" t="n"/>
      <c r="AM544" s="120" t="n"/>
      <c r="AN544" s="120" t="n"/>
      <c r="AO544" s="120" t="n"/>
      <c r="AP544" s="120" t="n"/>
      <c r="AQ544" s="120" t="n"/>
      <c r="AR544" s="120" t="n"/>
      <c r="AS544" s="120" t="n"/>
    </row>
    <row r="545" hidden="1" outlineLevel="3">
      <c r="A545" s="8" t="n"/>
      <c r="B545" s="14" t="n"/>
      <c r="C545" s="120" t="n"/>
      <c r="D545" s="120" t="n"/>
      <c r="E545" s="120" t="n"/>
      <c r="F545" s="120" t="n"/>
      <c r="G545" s="120" t="n"/>
      <c r="I545" s="55" t="inlineStr">
        <is>
          <t>RESTRIÇÕES</t>
        </is>
      </c>
      <c r="J545" s="130" t="n"/>
      <c r="K545" s="16" t="n"/>
      <c r="L545" s="17" t="n"/>
      <c r="M545" s="129">
        <f>DADOS_INVOC!$PZ$37</f>
        <v/>
      </c>
      <c r="N545" s="120" t="n"/>
      <c r="O545" s="120" t="n"/>
      <c r="P545" s="120" t="n"/>
      <c r="Q545" s="120" t="n"/>
      <c r="R545" s="120" t="n"/>
      <c r="S545" s="120" t="n"/>
      <c r="T545" s="120" t="n"/>
      <c r="U545" s="120" t="n"/>
      <c r="V545" s="120" t="n"/>
      <c r="W545" s="120" t="n"/>
      <c r="X545" s="120" t="n"/>
      <c r="Y545" s="120" t="n"/>
      <c r="Z545" s="120" t="n"/>
      <c r="AB545" s="55" t="inlineStr">
        <is>
          <t>RESTRIÇÕES</t>
        </is>
      </c>
      <c r="AC545" s="130" t="n"/>
      <c r="AD545" s="16" t="n"/>
      <c r="AE545" s="17" t="n"/>
      <c r="AF545" s="129">
        <f>DADOS_INVOC!$PZ$115</f>
        <v/>
      </c>
      <c r="AG545" s="120" t="n"/>
      <c r="AH545" s="120" t="n"/>
      <c r="AI545" s="120" t="n"/>
      <c r="AJ545" s="120" t="n"/>
      <c r="AK545" s="120" t="n"/>
      <c r="AL545" s="120" t="n"/>
      <c r="AM545" s="120" t="n"/>
      <c r="AN545" s="120" t="n"/>
      <c r="AO545" s="120" t="n"/>
      <c r="AP545" s="120" t="n"/>
      <c r="AQ545" s="120" t="n"/>
      <c r="AR545" s="120" t="n"/>
      <c r="AS545" s="120" t="n"/>
    </row>
    <row r="546" hidden="1" outlineLevel="3">
      <c r="A546" s="8" t="n"/>
      <c r="B546" s="14" t="n"/>
      <c r="C546" s="120" t="n"/>
      <c r="D546" s="120" t="n"/>
      <c r="E546" s="120" t="n"/>
      <c r="F546" s="120" t="n"/>
      <c r="G546" s="120" t="n"/>
      <c r="I546" s="125" t="n"/>
      <c r="J546" s="130" t="n"/>
      <c r="K546" s="16" t="n"/>
      <c r="L546" s="17" t="n"/>
      <c r="M546" s="129">
        <f>DADOS_INVOC!$QA$37</f>
        <v/>
      </c>
      <c r="N546" s="120" t="n"/>
      <c r="O546" s="120" t="n"/>
      <c r="P546" s="120" t="n"/>
      <c r="Q546" s="120" t="n"/>
      <c r="R546" s="120" t="n"/>
      <c r="S546" s="120" t="n"/>
      <c r="T546" s="120" t="n"/>
      <c r="U546" s="120" t="n"/>
      <c r="V546" s="120" t="n"/>
      <c r="W546" s="120" t="n"/>
      <c r="X546" s="120" t="n"/>
      <c r="Y546" s="120" t="n"/>
      <c r="Z546" s="120" t="n"/>
      <c r="AB546" s="125" t="n"/>
      <c r="AC546" s="130" t="n"/>
      <c r="AD546" s="16" t="n"/>
      <c r="AE546" s="17" t="n"/>
      <c r="AF546" s="129">
        <f>DADOS_INVOC!$QA$115</f>
        <v/>
      </c>
      <c r="AG546" s="120" t="n"/>
      <c r="AH546" s="120" t="n"/>
      <c r="AI546" s="120" t="n"/>
      <c r="AJ546" s="120" t="n"/>
      <c r="AK546" s="120" t="n"/>
      <c r="AL546" s="120" t="n"/>
      <c r="AM546" s="120" t="n"/>
      <c r="AN546" s="120" t="n"/>
      <c r="AO546" s="120" t="n"/>
      <c r="AP546" s="120" t="n"/>
      <c r="AQ546" s="120" t="n"/>
      <c r="AR546" s="120" t="n"/>
      <c r="AS546" s="120" t="n"/>
    </row>
    <row r="547" hidden="1" outlineLevel="3">
      <c r="A547" s="8" t="n"/>
      <c r="B547" s="14" t="n"/>
      <c r="C547" s="120" t="n"/>
      <c r="D547" s="120" t="n"/>
      <c r="E547" s="120" t="n"/>
      <c r="F547" s="120" t="n"/>
      <c r="G547" s="120" t="n"/>
      <c r="I547" s="55" t="inlineStr">
        <is>
          <t>CONTA</t>
        </is>
      </c>
      <c r="J547" s="132">
        <f>DADOS_INVOC!$PT$37</f>
        <v/>
      </c>
      <c r="K547" s="16" t="n"/>
      <c r="L547" s="16" t="n"/>
      <c r="M547" s="17" t="n"/>
      <c r="N547" s="120" t="n"/>
      <c r="O547" s="120" t="n"/>
      <c r="P547" s="120" t="n"/>
      <c r="Q547" s="120" t="n"/>
      <c r="R547" s="120" t="n"/>
      <c r="S547" s="120" t="n"/>
      <c r="T547" s="120" t="n"/>
      <c r="U547" s="120" t="n"/>
      <c r="V547" s="120" t="n"/>
      <c r="W547" s="120" t="n"/>
      <c r="X547" s="120" t="n"/>
      <c r="Y547" s="120" t="n"/>
      <c r="Z547" s="120" t="n"/>
      <c r="AB547" s="55" t="inlineStr">
        <is>
          <t>CONTA</t>
        </is>
      </c>
      <c r="AC547" s="132">
        <f>DADOS_INVOC!$PT$115</f>
        <v/>
      </c>
      <c r="AD547" s="16" t="n"/>
      <c r="AE547" s="16" t="n"/>
      <c r="AF547" s="17" t="n"/>
      <c r="AG547" s="120" t="n"/>
      <c r="AH547" s="120" t="n"/>
      <c r="AI547" s="120" t="n"/>
      <c r="AJ547" s="120" t="n"/>
      <c r="AK547" s="120" t="n"/>
      <c r="AL547" s="120" t="n"/>
      <c r="AM547" s="120" t="n"/>
      <c r="AN547" s="120" t="n"/>
      <c r="AO547" s="120" t="n"/>
      <c r="AP547" s="120" t="n"/>
      <c r="AQ547" s="120" t="n"/>
      <c r="AR547" s="120" t="n"/>
      <c r="AS547" s="120" t="n"/>
    </row>
    <row r="548" hidden="1" outlineLevel="3">
      <c r="A548" s="8" t="n"/>
      <c r="B548" s="14" t="n"/>
      <c r="C548" s="120" t="n"/>
      <c r="D548" s="120" t="n"/>
      <c r="E548" s="120" t="n"/>
      <c r="F548" s="120" t="n"/>
      <c r="G548" s="120" t="n"/>
      <c r="I548" s="55" t="inlineStr">
        <is>
          <t>AMPLIAR</t>
        </is>
      </c>
      <c r="J548" s="132">
        <f>DADOS_INVOC!$PU$37</f>
        <v/>
      </c>
      <c r="K548" s="19" t="n"/>
      <c r="L548" s="19" t="n"/>
      <c r="M548" s="20" t="n"/>
      <c r="N548" s="120" t="n"/>
      <c r="O548" s="120" t="n"/>
      <c r="P548" s="120" t="n"/>
      <c r="Q548" s="120" t="n"/>
      <c r="R548" s="120" t="n"/>
      <c r="S548" s="120" t="n"/>
      <c r="T548" s="120" t="n"/>
      <c r="U548" s="120" t="n"/>
      <c r="V548" s="120" t="n"/>
      <c r="W548" s="120" t="n"/>
      <c r="X548" s="120" t="n"/>
      <c r="Y548" s="120" t="n"/>
      <c r="Z548" s="120" t="n"/>
      <c r="AB548" s="55" t="inlineStr">
        <is>
          <t>AMPLIAR</t>
        </is>
      </c>
      <c r="AC548" s="132">
        <f>DADOS_INVOC!$PU$115</f>
        <v/>
      </c>
      <c r="AD548" s="19" t="n"/>
      <c r="AE548" s="19" t="n"/>
      <c r="AF548" s="20" t="n"/>
      <c r="AG548" s="120" t="n"/>
      <c r="AH548" s="120" t="n"/>
      <c r="AI548" s="120" t="n"/>
      <c r="AJ548" s="120" t="n"/>
      <c r="AK548" s="120" t="n"/>
      <c r="AL548" s="120" t="n"/>
      <c r="AM548" s="120" t="n"/>
      <c r="AN548" s="120" t="n"/>
      <c r="AO548" s="120" t="n"/>
      <c r="AP548" s="120" t="n"/>
      <c r="AQ548" s="120" t="n"/>
      <c r="AR548" s="120" t="n"/>
      <c r="AS548" s="120" t="n"/>
    </row>
    <row r="549" hidden="1" outlineLevel="3">
      <c r="A549" s="8" t="n"/>
      <c r="B549" s="14" t="n"/>
      <c r="C549" s="120" t="n"/>
      <c r="D549" s="120" t="n"/>
      <c r="E549" s="120" t="n"/>
      <c r="F549" s="120" t="n"/>
      <c r="G549" s="120" t="n"/>
      <c r="I549" s="125" t="n"/>
      <c r="J549" s="23" t="n"/>
      <c r="K549" s="24" t="n"/>
      <c r="L549" s="24" t="n"/>
      <c r="M549" s="25" t="n"/>
      <c r="N549" s="120" t="n"/>
      <c r="O549" s="120" t="n"/>
      <c r="P549" s="120" t="n"/>
      <c r="Q549" s="120" t="n"/>
      <c r="R549" s="120" t="n"/>
      <c r="S549" s="120" t="n"/>
      <c r="T549" s="120" t="n"/>
      <c r="U549" s="120" t="n"/>
      <c r="V549" s="120" t="n"/>
      <c r="W549" s="120" t="n"/>
      <c r="X549" s="120" t="n"/>
      <c r="Y549" s="120" t="n"/>
      <c r="Z549" s="120" t="n"/>
      <c r="AB549" s="125" t="n"/>
      <c r="AC549" s="23" t="n"/>
      <c r="AD549" s="24" t="n"/>
      <c r="AE549" s="24" t="n"/>
      <c r="AF549" s="25" t="n"/>
      <c r="AG549" s="120" t="n"/>
      <c r="AH549" s="120" t="n"/>
      <c r="AI549" s="120" t="n"/>
      <c r="AJ549" s="120" t="n"/>
      <c r="AK549" s="120" t="n"/>
      <c r="AL549" s="120" t="n"/>
      <c r="AM549" s="120" t="n"/>
      <c r="AN549" s="120" t="n"/>
      <c r="AO549" s="120" t="n"/>
      <c r="AP549" s="120" t="n"/>
      <c r="AQ549" s="120" t="n"/>
      <c r="AR549" s="120" t="n"/>
      <c r="AS549" s="120" t="n"/>
    </row>
    <row r="550" hidden="1" outlineLevel="3">
      <c r="A550" s="8" t="n"/>
      <c r="B550" s="14" t="n"/>
      <c r="C550" s="120" t="n"/>
      <c r="D550" s="120" t="n"/>
      <c r="E550" s="120" t="n"/>
      <c r="F550" s="120" t="n"/>
      <c r="G550" s="120" t="n"/>
      <c r="I550" s="132">
        <f>DADOS_INVOC!$PH$37</f>
        <v/>
      </c>
      <c r="J550" s="19" t="n"/>
      <c r="K550" s="19" t="n"/>
      <c r="L550" s="19" t="n"/>
      <c r="M550" s="20" t="n"/>
      <c r="N550" s="120" t="n"/>
      <c r="O550" s="120" t="n"/>
      <c r="P550" s="120" t="n"/>
      <c r="Q550" s="120" t="n"/>
      <c r="R550" s="120" t="n"/>
      <c r="S550" s="120" t="n"/>
      <c r="T550" s="120" t="n"/>
      <c r="U550" s="120" t="n"/>
      <c r="V550" s="120" t="n"/>
      <c r="W550" s="120" t="n"/>
      <c r="X550" s="120" t="n"/>
      <c r="Y550" s="120" t="n"/>
      <c r="Z550" s="120" t="n"/>
      <c r="AB550" s="132">
        <f>DADOS_INVOC!$PH$115</f>
        <v/>
      </c>
      <c r="AC550" s="19" t="n"/>
      <c r="AD550" s="19" t="n"/>
      <c r="AE550" s="19" t="n"/>
      <c r="AF550" s="20" t="n"/>
      <c r="AG550" s="120" t="n"/>
      <c r="AH550" s="120" t="n"/>
      <c r="AI550" s="120" t="n"/>
      <c r="AJ550" s="120" t="n"/>
      <c r="AK550" s="120" t="n"/>
      <c r="AL550" s="120" t="n"/>
      <c r="AM550" s="120" t="n"/>
      <c r="AN550" s="120" t="n"/>
      <c r="AO550" s="120" t="n"/>
      <c r="AP550" s="120" t="n"/>
      <c r="AQ550" s="120" t="n"/>
      <c r="AR550" s="120" t="n"/>
      <c r="AS550" s="120" t="n"/>
    </row>
    <row r="551" hidden="1" outlineLevel="3">
      <c r="A551" s="8" t="n"/>
      <c r="B551" s="14" t="n"/>
      <c r="C551" s="120" t="n"/>
      <c r="D551" s="120" t="n"/>
      <c r="E551" s="120" t="n"/>
      <c r="F551" s="120" t="n"/>
      <c r="G551" s="120" t="n"/>
      <c r="I551" s="23" t="n"/>
      <c r="J551" s="24" t="n"/>
      <c r="K551" s="24" t="n"/>
      <c r="L551" s="24" t="n"/>
      <c r="M551" s="25" t="n"/>
      <c r="N551" s="120" t="n"/>
      <c r="O551" s="120" t="n"/>
      <c r="P551" s="120" t="n"/>
      <c r="Q551" s="120" t="n"/>
      <c r="R551" s="120" t="n"/>
      <c r="S551" s="120" t="n"/>
      <c r="T551" s="120" t="n"/>
      <c r="U551" s="120" t="n"/>
      <c r="V551" s="120" t="n"/>
      <c r="W551" s="120" t="n"/>
      <c r="X551" s="120" t="n"/>
      <c r="Y551" s="120" t="n"/>
      <c r="Z551" s="120" t="n"/>
      <c r="AB551" s="23" t="n"/>
      <c r="AC551" s="24" t="n"/>
      <c r="AD551" s="24" t="n"/>
      <c r="AE551" s="24" t="n"/>
      <c r="AF551" s="25" t="n"/>
      <c r="AG551" s="120" t="n"/>
      <c r="AH551" s="120" t="n"/>
      <c r="AI551" s="120" t="n"/>
      <c r="AJ551" s="120" t="n"/>
      <c r="AK551" s="120" t="n"/>
      <c r="AL551" s="120" t="n"/>
      <c r="AM551" s="120" t="n"/>
      <c r="AN551" s="120" t="n"/>
      <c r="AO551" s="120" t="n"/>
      <c r="AP551" s="120" t="n"/>
      <c r="AQ551" s="120" t="n"/>
      <c r="AR551" s="120" t="n"/>
      <c r="AS551" s="120" t="n"/>
    </row>
    <row r="552" hidden="1" outlineLevel="1">
      <c r="A552" s="8" t="n"/>
      <c r="B552" s="14" t="n"/>
      <c r="C552" s="120" t="n"/>
      <c r="D552" s="120" t="n"/>
      <c r="E552" s="120" t="n"/>
      <c r="F552" s="120" t="n"/>
      <c r="G552" s="120" t="n"/>
      <c r="I552" s="120" t="n"/>
      <c r="J552" s="120" t="n"/>
      <c r="K552" s="120" t="n"/>
      <c r="L552" s="120" t="n"/>
      <c r="M552" s="120" t="n"/>
      <c r="N552" s="120" t="n"/>
      <c r="O552" s="120" t="n"/>
      <c r="P552" s="120" t="n"/>
      <c r="Q552" s="120" t="n"/>
      <c r="R552" s="120" t="n"/>
      <c r="S552" s="120" t="n"/>
      <c r="T552" s="120" t="n"/>
      <c r="U552" s="120" t="n"/>
      <c r="V552" s="120" t="n"/>
      <c r="W552" s="120" t="n"/>
      <c r="X552" s="120" t="n"/>
      <c r="Y552" s="120" t="n"/>
      <c r="Z552" s="120" t="n"/>
      <c r="AB552" s="120" t="n"/>
      <c r="AC552" s="120" t="n"/>
      <c r="AD552" s="120" t="n"/>
      <c r="AE552" s="120" t="n"/>
      <c r="AF552" s="120" t="n"/>
      <c r="AG552" s="120" t="n"/>
      <c r="AH552" s="120" t="n"/>
      <c r="AI552" s="120" t="n"/>
      <c r="AJ552" s="120" t="n"/>
      <c r="AK552" s="120" t="n"/>
      <c r="AL552" s="120" t="n"/>
      <c r="AM552" s="120" t="n"/>
      <c r="AN552" s="120" t="n"/>
      <c r="AO552" s="120" t="n"/>
      <c r="AP552" s="120" t="n"/>
      <c r="AQ552" s="120" t="n"/>
      <c r="AR552" s="120" t="n"/>
      <c r="AS552" s="120" t="n"/>
    </row>
    <row r="553" hidden="1" outlineLevel="1">
      <c r="A553" s="8" t="n"/>
      <c r="B553" s="14" t="n"/>
      <c r="C553" s="120" t="n"/>
      <c r="D553" s="120" t="n"/>
      <c r="E553" s="120" t="n"/>
      <c r="F553" s="120" t="n"/>
      <c r="G553" s="120" t="n"/>
      <c r="I553" s="13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0" t="n"/>
      <c r="AB553" s="13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0" t="n"/>
    </row>
    <row r="554" hidden="1" outlineLevel="2">
      <c r="A554" s="8" t="n"/>
      <c r="B554" s="14" t="n"/>
      <c r="C554" s="120" t="n"/>
      <c r="D554" s="120" t="n"/>
      <c r="E554" s="120" t="n"/>
      <c r="F554" s="120" t="n"/>
      <c r="G554" s="120" t="n"/>
      <c r="I554" s="120" t="n"/>
      <c r="J554" s="120" t="n"/>
      <c r="K554" s="120" t="n"/>
      <c r="L554" s="120" t="n"/>
      <c r="M554" s="120" t="n"/>
      <c r="N554" s="120" t="n"/>
      <c r="O554" s="120" t="n"/>
      <c r="P554" s="120" t="n"/>
      <c r="Q554" s="120" t="n"/>
      <c r="R554" s="120" t="n"/>
      <c r="S554" s="120" t="n"/>
      <c r="T554" s="120" t="n"/>
      <c r="U554" s="120" t="n"/>
      <c r="V554" s="120" t="n"/>
      <c r="W554" s="120" t="n"/>
      <c r="X554" s="120" t="n"/>
      <c r="Y554" s="120" t="n"/>
      <c r="Z554" s="120" t="n"/>
      <c r="AB554" s="120" t="n"/>
      <c r="AC554" s="120" t="n"/>
      <c r="AD554" s="120" t="n"/>
      <c r="AE554" s="120" t="n"/>
      <c r="AF554" s="120" t="n"/>
      <c r="AG554" s="120" t="n"/>
      <c r="AH554" s="120" t="n"/>
      <c r="AI554" s="120" t="n"/>
      <c r="AJ554" s="120" t="n"/>
      <c r="AK554" s="120" t="n"/>
      <c r="AL554" s="120" t="n"/>
      <c r="AM554" s="120" t="n"/>
      <c r="AN554" s="120" t="n"/>
      <c r="AO554" s="120" t="n"/>
      <c r="AP554" s="120" t="n"/>
      <c r="AQ554" s="120" t="n"/>
      <c r="AR554" s="120" t="n"/>
      <c r="AS554" s="120" t="n"/>
    </row>
    <row r="555" hidden="1" outlineLevel="2">
      <c r="A555" s="8" t="n"/>
      <c r="B555" s="14" t="n"/>
      <c r="C555" s="120" t="n"/>
      <c r="D555" s="120" t="n"/>
      <c r="E555" s="120" t="n"/>
      <c r="F555" s="120" t="n"/>
      <c r="G555" s="120" t="n"/>
      <c r="I555" s="55">
        <f>DADOS_INVOC!$PI$38</f>
        <v/>
      </c>
      <c r="J555" s="16" t="n"/>
      <c r="K555" s="16" t="n"/>
      <c r="L555" s="16" t="n"/>
      <c r="M555" s="17" t="n"/>
      <c r="N555" s="120" t="n"/>
      <c r="O555" s="55">
        <f>DADOS_INVOC!$PI$39</f>
        <v/>
      </c>
      <c r="P555" s="16" t="n"/>
      <c r="Q555" s="16" t="n"/>
      <c r="R555" s="16" t="n"/>
      <c r="S555" s="17" t="n"/>
      <c r="T555" s="120" t="n"/>
      <c r="U555" s="55">
        <f>DADOS_INVOC!$PI$40</f>
        <v/>
      </c>
      <c r="V555" s="16" t="n"/>
      <c r="W555" s="16" t="n"/>
      <c r="X555" s="16" t="n"/>
      <c r="Y555" s="17" t="n"/>
      <c r="Z555" s="120" t="n"/>
      <c r="AB555" s="55">
        <f>DADOS_INVOC!$PI$116</f>
        <v/>
      </c>
      <c r="AC555" s="16" t="n"/>
      <c r="AD555" s="16" t="n"/>
      <c r="AE555" s="16" t="n"/>
      <c r="AF555" s="17" t="n"/>
      <c r="AG555" s="120" t="n"/>
      <c r="AH555" s="55">
        <f>DADOS_INVOC!$PI$117</f>
        <v/>
      </c>
      <c r="AI555" s="16" t="n"/>
      <c r="AJ555" s="16" t="n"/>
      <c r="AK555" s="16" t="n"/>
      <c r="AL555" s="17" t="n"/>
      <c r="AM555" s="120" t="n"/>
      <c r="AN555" s="55">
        <f>DADOS_INVOC!$PI$118</f>
        <v/>
      </c>
      <c r="AO555" s="16" t="n"/>
      <c r="AP555" s="16" t="n"/>
      <c r="AQ555" s="16" t="n"/>
      <c r="AR555" s="17" t="n"/>
      <c r="AS555" s="120" t="n"/>
    </row>
    <row r="556" hidden="1" outlineLevel="2">
      <c r="A556" s="8" t="n"/>
      <c r="B556" s="14" t="n"/>
      <c r="C556" s="120" t="n"/>
      <c r="D556" s="120" t="n"/>
      <c r="E556" s="120" t="n"/>
      <c r="F556" s="120" t="n"/>
      <c r="G556" s="120" t="n"/>
      <c r="I556" s="127" t="n">
        <v>1</v>
      </c>
      <c r="J556" s="115" t="n"/>
      <c r="K556" s="16" t="n"/>
      <c r="L556" s="17" t="n"/>
      <c r="M556" s="128">
        <f>DADOS_INVOC!$PG$38</f>
        <v/>
      </c>
      <c r="N556" s="120" t="n"/>
      <c r="O556" s="127" t="n">
        <v>1</v>
      </c>
      <c r="P556" s="115" t="n"/>
      <c r="Q556" s="16" t="n"/>
      <c r="R556" s="17" t="n"/>
      <c r="S556" s="128">
        <f>DADOS_INVOC!$PG$39</f>
        <v/>
      </c>
      <c r="T556" s="120" t="n"/>
      <c r="U556" s="127" t="n">
        <v>1</v>
      </c>
      <c r="V556" s="115" t="n"/>
      <c r="W556" s="16" t="n"/>
      <c r="X556" s="17" t="n"/>
      <c r="Y556" s="128">
        <f>DADOS_INVOC!$PG$40</f>
        <v/>
      </c>
      <c r="Z556" s="120" t="n"/>
      <c r="AB556" s="127" t="n">
        <v>1</v>
      </c>
      <c r="AC556" s="115" t="n"/>
      <c r="AD556" s="16" t="n"/>
      <c r="AE556" s="17" t="n"/>
      <c r="AF556" s="128">
        <f>DADOS_INVOC!$PG$116</f>
        <v/>
      </c>
      <c r="AG556" s="120" t="n"/>
      <c r="AH556" s="127" t="n">
        <v>1</v>
      </c>
      <c r="AI556" s="115" t="n"/>
      <c r="AJ556" s="16" t="n"/>
      <c r="AK556" s="17" t="n"/>
      <c r="AL556" s="128">
        <f>DADOS_INVOC!$PG$117</f>
        <v/>
      </c>
      <c r="AM556" s="120" t="n"/>
      <c r="AN556" s="127" t="n">
        <v>1</v>
      </c>
      <c r="AO556" s="115" t="n"/>
      <c r="AP556" s="16" t="n"/>
      <c r="AQ556" s="17" t="n"/>
      <c r="AR556" s="128">
        <f>DADOS_INVOC!$PG$118</f>
        <v/>
      </c>
      <c r="AS556" s="120" t="n"/>
    </row>
    <row r="557" hidden="1" outlineLevel="3">
      <c r="A557" s="8" t="n"/>
      <c r="B557" s="14" t="n"/>
      <c r="C557" s="120" t="n"/>
      <c r="D557" s="120" t="n"/>
      <c r="E557" s="120" t="n"/>
      <c r="F557" s="120" t="n"/>
      <c r="G557" s="120" t="n"/>
      <c r="I557" s="55" t="inlineStr">
        <is>
          <t>COMO É</t>
        </is>
      </c>
      <c r="J557" s="16" t="n"/>
      <c r="K557" s="16" t="n"/>
      <c r="L557" s="16" t="n"/>
      <c r="M557" s="17" t="n"/>
      <c r="N557" s="120" t="n"/>
      <c r="O557" s="55" t="inlineStr">
        <is>
          <t>COMO É</t>
        </is>
      </c>
      <c r="P557" s="16" t="n"/>
      <c r="Q557" s="16" t="n"/>
      <c r="R557" s="16" t="n"/>
      <c r="S557" s="17" t="n"/>
      <c r="T557" s="120" t="n"/>
      <c r="U557" s="55" t="inlineStr">
        <is>
          <t>COMO É</t>
        </is>
      </c>
      <c r="V557" s="16" t="n"/>
      <c r="W557" s="16" t="n"/>
      <c r="X557" s="16" t="n"/>
      <c r="Y557" s="17" t="n"/>
      <c r="Z557" s="120" t="n"/>
      <c r="AB557" s="55" t="inlineStr">
        <is>
          <t>COMO É</t>
        </is>
      </c>
      <c r="AC557" s="16" t="n"/>
      <c r="AD557" s="16" t="n"/>
      <c r="AE557" s="16" t="n"/>
      <c r="AF557" s="17" t="n"/>
      <c r="AG557" s="120" t="n"/>
      <c r="AH557" s="55" t="inlineStr">
        <is>
          <t>COMO É</t>
        </is>
      </c>
      <c r="AI557" s="16" t="n"/>
      <c r="AJ557" s="16" t="n"/>
      <c r="AK557" s="16" t="n"/>
      <c r="AL557" s="17" t="n"/>
      <c r="AM557" s="120" t="n"/>
      <c r="AN557" s="55" t="inlineStr">
        <is>
          <t>COMO É</t>
        </is>
      </c>
      <c r="AO557" s="16" t="n"/>
      <c r="AP557" s="16" t="n"/>
      <c r="AQ557" s="16" t="n"/>
      <c r="AR557" s="17" t="n"/>
      <c r="AS557" s="120" t="n"/>
    </row>
    <row r="558" hidden="1" outlineLevel="3">
      <c r="A558" s="8" t="n"/>
      <c r="B558" s="14" t="n"/>
      <c r="C558" s="120" t="n"/>
      <c r="D558" s="120" t="n"/>
      <c r="E558" s="120" t="n"/>
      <c r="F558" s="120" t="n"/>
      <c r="G558" s="120" t="n"/>
      <c r="I558" s="116" t="n"/>
      <c r="J558" s="19" t="n"/>
      <c r="K558" s="19" t="n"/>
      <c r="L558" s="19" t="n"/>
      <c r="M558" s="20" t="n"/>
      <c r="N558" s="120" t="n"/>
      <c r="O558" s="116" t="n"/>
      <c r="P558" s="19" t="n"/>
      <c r="Q558" s="19" t="n"/>
      <c r="R558" s="19" t="n"/>
      <c r="S558" s="20" t="n"/>
      <c r="T558" s="120" t="n"/>
      <c r="U558" s="116" t="n"/>
      <c r="V558" s="19" t="n"/>
      <c r="W558" s="19" t="n"/>
      <c r="X558" s="19" t="n"/>
      <c r="Y558" s="20" t="n"/>
      <c r="Z558" s="120" t="n"/>
      <c r="AB558" s="116" t="n"/>
      <c r="AC558" s="19" t="n"/>
      <c r="AD558" s="19" t="n"/>
      <c r="AE558" s="19" t="n"/>
      <c r="AF558" s="20" t="n"/>
      <c r="AG558" s="120" t="n"/>
      <c r="AH558" s="116" t="n"/>
      <c r="AI558" s="19" t="n"/>
      <c r="AJ558" s="19" t="n"/>
      <c r="AK558" s="19" t="n"/>
      <c r="AL558" s="20" t="n"/>
      <c r="AM558" s="120" t="n"/>
      <c r="AN558" s="116" t="n"/>
      <c r="AO558" s="19" t="n"/>
      <c r="AP558" s="19" t="n"/>
      <c r="AQ558" s="19" t="n"/>
      <c r="AR558" s="20" t="n"/>
      <c r="AS558" s="120" t="n"/>
    </row>
    <row r="559" hidden="1" outlineLevel="3">
      <c r="A559" s="8" t="n"/>
      <c r="B559" s="14" t="n"/>
      <c r="C559" s="120" t="n"/>
      <c r="D559" s="120" t="n"/>
      <c r="E559" s="120" t="n"/>
      <c r="F559" s="120" t="n"/>
      <c r="G559" s="120" t="n"/>
      <c r="I559" s="21" t="n"/>
      <c r="M559" s="22" t="n"/>
      <c r="N559" s="120" t="n"/>
      <c r="O559" s="21" t="n"/>
      <c r="S559" s="22" t="n"/>
      <c r="T559" s="120" t="n"/>
      <c r="U559" s="21" t="n"/>
      <c r="Y559" s="22" t="n"/>
      <c r="Z559" s="120" t="n"/>
      <c r="AB559" s="21" t="n"/>
      <c r="AF559" s="22" t="n"/>
      <c r="AG559" s="120" t="n"/>
      <c r="AH559" s="21" t="n"/>
      <c r="AL559" s="22" t="n"/>
      <c r="AM559" s="120" t="n"/>
      <c r="AN559" s="21" t="n"/>
      <c r="AR559" s="22" t="n"/>
      <c r="AS559" s="120" t="n"/>
    </row>
    <row r="560" hidden="1" outlineLevel="3">
      <c r="A560" s="8" t="n"/>
      <c r="B560" s="14" t="n"/>
      <c r="C560" s="120" t="n"/>
      <c r="D560" s="120" t="n"/>
      <c r="E560" s="120" t="n"/>
      <c r="F560" s="120" t="n"/>
      <c r="G560" s="120" t="n"/>
      <c r="I560" s="23" t="n"/>
      <c r="J560" s="24" t="n"/>
      <c r="K560" s="24" t="n"/>
      <c r="L560" s="24" t="n"/>
      <c r="M560" s="25" t="n"/>
      <c r="N560" s="120" t="n"/>
      <c r="O560" s="23" t="n"/>
      <c r="P560" s="24" t="n"/>
      <c r="Q560" s="24" t="n"/>
      <c r="R560" s="24" t="n"/>
      <c r="S560" s="25" t="n"/>
      <c r="T560" s="120" t="n"/>
      <c r="U560" s="23" t="n"/>
      <c r="V560" s="24" t="n"/>
      <c r="W560" s="24" t="n"/>
      <c r="X560" s="24" t="n"/>
      <c r="Y560" s="25" t="n"/>
      <c r="Z560" s="120" t="n"/>
      <c r="AB560" s="23" t="n"/>
      <c r="AC560" s="24" t="n"/>
      <c r="AD560" s="24" t="n"/>
      <c r="AE560" s="24" t="n"/>
      <c r="AF560" s="25" t="n"/>
      <c r="AG560" s="120" t="n"/>
      <c r="AH560" s="23" t="n"/>
      <c r="AI560" s="24" t="n"/>
      <c r="AJ560" s="24" t="n"/>
      <c r="AK560" s="24" t="n"/>
      <c r="AL560" s="25" t="n"/>
      <c r="AM560" s="120" t="n"/>
      <c r="AN560" s="23" t="n"/>
      <c r="AO560" s="24" t="n"/>
      <c r="AP560" s="24" t="n"/>
      <c r="AQ560" s="24" t="n"/>
      <c r="AR560" s="25" t="n"/>
      <c r="AS560" s="120" t="n"/>
    </row>
    <row r="561" hidden="1" outlineLevel="2">
      <c r="A561" s="8" t="n"/>
      <c r="B561" s="14" t="n"/>
      <c r="C561" s="120" t="n"/>
      <c r="D561" s="120" t="n"/>
      <c r="E561" s="120" t="n"/>
      <c r="F561" s="120" t="n"/>
      <c r="G561" s="120" t="n"/>
      <c r="I561" s="124" t="inlineStr">
        <is>
          <t>Projétil</t>
        </is>
      </c>
      <c r="J561" s="17" t="n"/>
      <c r="K561" s="68">
        <f>DADOS_INVOC!$PN$38</f>
        <v/>
      </c>
      <c r="L561" s="17" t="n"/>
      <c r="M561" s="68">
        <f>DADOS_INVOC!$PJ$38</f>
        <v/>
      </c>
      <c r="N561" s="120" t="n"/>
      <c r="O561" s="124" t="inlineStr">
        <is>
          <t>Projétil</t>
        </is>
      </c>
      <c r="P561" s="17" t="n"/>
      <c r="Q561" s="68">
        <f>DADOS_INVOC!$PN$39</f>
        <v/>
      </c>
      <c r="R561" s="17" t="n"/>
      <c r="S561" s="68">
        <f>DADOS_INVOC!$PJ$39</f>
        <v/>
      </c>
      <c r="T561" s="120" t="n"/>
      <c r="U561" s="124" t="inlineStr">
        <is>
          <t>Projétil</t>
        </is>
      </c>
      <c r="V561" s="17" t="n"/>
      <c r="W561" s="68">
        <f>DADOS_INVOC!$PN$40</f>
        <v/>
      </c>
      <c r="X561" s="17" t="n"/>
      <c r="Y561" s="68">
        <f>DADOS_INVOC!$PJ$40</f>
        <v/>
      </c>
      <c r="Z561" s="120" t="n"/>
      <c r="AB561" s="124" t="inlineStr">
        <is>
          <t>Projétil</t>
        </is>
      </c>
      <c r="AC561" s="17" t="n"/>
      <c r="AD561" s="68">
        <f>DADOS_INVOC!$PN$116</f>
        <v/>
      </c>
      <c r="AE561" s="17" t="n"/>
      <c r="AF561" s="68">
        <f>DADOS_INVOC!$PJ$116</f>
        <v/>
      </c>
      <c r="AG561" s="120" t="n"/>
      <c r="AH561" s="124" t="inlineStr">
        <is>
          <t>Projétil</t>
        </is>
      </c>
      <c r="AI561" s="17" t="n"/>
      <c r="AJ561" s="68">
        <f>DADOS_INVOC!$PN$117</f>
        <v/>
      </c>
      <c r="AK561" s="17" t="n"/>
      <c r="AL561" s="68">
        <f>DADOS_INVOC!$PJ$117</f>
        <v/>
      </c>
      <c r="AM561" s="120" t="n"/>
      <c r="AN561" s="124" t="inlineStr">
        <is>
          <t>Projétil</t>
        </is>
      </c>
      <c r="AO561" s="17" t="n"/>
      <c r="AP561" s="68">
        <f>DADOS_INVOC!$PN$118</f>
        <v/>
      </c>
      <c r="AQ561" s="17" t="n"/>
      <c r="AR561" s="68">
        <f>DADOS_INVOC!$PJ$118</f>
        <v/>
      </c>
      <c r="AS561" s="120" t="n"/>
    </row>
    <row r="562" hidden="1" outlineLevel="2">
      <c r="A562" s="8" t="n"/>
      <c r="B562" s="14" t="n"/>
      <c r="C562" s="120" t="n"/>
      <c r="D562" s="120" t="n"/>
      <c r="E562" s="120" t="n"/>
      <c r="F562" s="120" t="n"/>
      <c r="G562" s="120" t="n"/>
      <c r="I562" s="124" t="n"/>
      <c r="J562" s="17" t="n"/>
      <c r="K562" s="124" t="n"/>
      <c r="L562" s="16" t="n"/>
      <c r="M562" s="17" t="n"/>
      <c r="N562" s="120" t="n"/>
      <c r="O562" s="124" t="n"/>
      <c r="P562" s="17" t="n"/>
      <c r="Q562" s="124" t="n"/>
      <c r="R562" s="16" t="n"/>
      <c r="S562" s="17" t="n"/>
      <c r="T562" s="120" t="n"/>
      <c r="U562" s="124" t="n"/>
      <c r="V562" s="17" t="n"/>
      <c r="W562" s="124" t="n"/>
      <c r="X562" s="16" t="n"/>
      <c r="Y562" s="17" t="n"/>
      <c r="Z562" s="120" t="n"/>
      <c r="AB562" s="124" t="n"/>
      <c r="AC562" s="17" t="n"/>
      <c r="AD562" s="124" t="n"/>
      <c r="AE562" s="16" t="n"/>
      <c r="AF562" s="17" t="n"/>
      <c r="AG562" s="120" t="n"/>
      <c r="AH562" s="124" t="n"/>
      <c r="AI562" s="17" t="n"/>
      <c r="AJ562" s="124" t="n"/>
      <c r="AK562" s="16" t="n"/>
      <c r="AL562" s="17" t="n"/>
      <c r="AM562" s="120" t="n"/>
      <c r="AN562" s="124" t="n"/>
      <c r="AO562" s="17" t="n"/>
      <c r="AP562" s="124" t="n"/>
      <c r="AQ562" s="16" t="n"/>
      <c r="AR562" s="17" t="n"/>
      <c r="AS562" s="120" t="n"/>
    </row>
    <row r="563" hidden="1" outlineLevel="2">
      <c r="A563" s="8" t="n"/>
      <c r="B563" s="14" t="n"/>
      <c r="C563" s="120" t="n"/>
      <c r="D563" s="120" t="n"/>
      <c r="E563" s="120" t="n"/>
      <c r="F563" s="120" t="n"/>
      <c r="G563" s="120" t="n"/>
      <c r="I563" s="124">
        <f>DADOS_INVOC!$PK$38</f>
        <v/>
      </c>
      <c r="J563" s="17" t="n"/>
      <c r="K563" s="124">
        <f>DADOS_INVOC!$PM$38</f>
        <v/>
      </c>
      <c r="L563" s="16" t="n"/>
      <c r="M563" s="17" t="n"/>
      <c r="N563" s="120" t="n"/>
      <c r="O563" s="124">
        <f>DADOS_INVOC!$PK$39</f>
        <v/>
      </c>
      <c r="P563" s="17" t="n"/>
      <c r="Q563" s="124">
        <f>DADOS_INVOC!$PM$39</f>
        <v/>
      </c>
      <c r="R563" s="16" t="n"/>
      <c r="S563" s="17" t="n"/>
      <c r="T563" s="120" t="n"/>
      <c r="U563" s="124">
        <f>DADOS_INVOC!$PK$40</f>
        <v/>
      </c>
      <c r="V563" s="17" t="n"/>
      <c r="W563" s="124">
        <f>DADOS_INVOC!$PM$40</f>
        <v/>
      </c>
      <c r="X563" s="16" t="n"/>
      <c r="Y563" s="17" t="n"/>
      <c r="Z563" s="120" t="n"/>
      <c r="AB563" s="124">
        <f>DADOS_INVOC!$PK$116</f>
        <v/>
      </c>
      <c r="AC563" s="17" t="n"/>
      <c r="AD563" s="124">
        <f>DADOS_INVOC!$PM$116</f>
        <v/>
      </c>
      <c r="AE563" s="16" t="n"/>
      <c r="AF563" s="17" t="n"/>
      <c r="AG563" s="120" t="n"/>
      <c r="AH563" s="124">
        <f>DADOS_INVOC!$PK$117</f>
        <v/>
      </c>
      <c r="AI563" s="17" t="n"/>
      <c r="AJ563" s="124">
        <f>DADOS_INVOC!$PM$117</f>
        <v/>
      </c>
      <c r="AK563" s="16" t="n"/>
      <c r="AL563" s="17" t="n"/>
      <c r="AM563" s="120" t="n"/>
      <c r="AN563" s="124">
        <f>DADOS_INVOC!$PK$118</f>
        <v/>
      </c>
      <c r="AO563" s="17" t="n"/>
      <c r="AP563" s="124">
        <f>DADOS_INVOC!$PM$118</f>
        <v/>
      </c>
      <c r="AQ563" s="16" t="n"/>
      <c r="AR563" s="17" t="n"/>
      <c r="AS563" s="120" t="n"/>
    </row>
    <row r="564" hidden="1" outlineLevel="2">
      <c r="A564" s="8" t="n"/>
      <c r="B564" s="14" t="n"/>
      <c r="C564" s="120" t="n"/>
      <c r="D564" s="120" t="n"/>
      <c r="E564" s="120" t="n"/>
      <c r="F564" s="120" t="n"/>
      <c r="G564" s="120" t="n"/>
      <c r="I564" s="129">
        <f>DADOS_INVOC!$PS$38</f>
        <v/>
      </c>
      <c r="J564" s="16" t="n"/>
      <c r="K564" s="16" t="n"/>
      <c r="L564" s="16" t="n"/>
      <c r="M564" s="17" t="n"/>
      <c r="N564" s="120" t="n"/>
      <c r="O564" s="129">
        <f>DADOS_INVOC!$PS$39</f>
        <v/>
      </c>
      <c r="P564" s="16" t="n"/>
      <c r="Q564" s="16" t="n"/>
      <c r="R564" s="16" t="n"/>
      <c r="S564" s="17" t="n"/>
      <c r="T564" s="120" t="n"/>
      <c r="U564" s="129">
        <f>DADOS_INVOC!$PS$40</f>
        <v/>
      </c>
      <c r="V564" s="16" t="n"/>
      <c r="W564" s="16" t="n"/>
      <c r="X564" s="16" t="n"/>
      <c r="Y564" s="17" t="n"/>
      <c r="Z564" s="120" t="n"/>
      <c r="AB564" s="129">
        <f>DADOS_INVOC!$PS$116</f>
        <v/>
      </c>
      <c r="AC564" s="16" t="n"/>
      <c r="AD564" s="16" t="n"/>
      <c r="AE564" s="16" t="n"/>
      <c r="AF564" s="17" t="n"/>
      <c r="AG564" s="120" t="n"/>
      <c r="AH564" s="129">
        <f>DADOS_INVOC!$PS$117</f>
        <v/>
      </c>
      <c r="AI564" s="16" t="n"/>
      <c r="AJ564" s="16" t="n"/>
      <c r="AK564" s="16" t="n"/>
      <c r="AL564" s="17" t="n"/>
      <c r="AM564" s="120" t="n"/>
      <c r="AN564" s="129">
        <f>DADOS_INVOC!$PS$118</f>
        <v/>
      </c>
      <c r="AO564" s="16" t="n"/>
      <c r="AP564" s="16" t="n"/>
      <c r="AQ564" s="16" t="n"/>
      <c r="AR564" s="17" t="n"/>
      <c r="AS564" s="120" t="n"/>
    </row>
    <row r="565" hidden="1" outlineLevel="3">
      <c r="A565" s="8" t="n"/>
      <c r="B565" s="14" t="n"/>
      <c r="C565" s="120" t="n"/>
      <c r="D565" s="120" t="n"/>
      <c r="E565" s="120" t="n"/>
      <c r="F565" s="120" t="n"/>
      <c r="G565" s="120" t="n"/>
      <c r="I565" s="55" t="inlineStr">
        <is>
          <t>MELHORIAS</t>
        </is>
      </c>
      <c r="J565" s="130" t="n"/>
      <c r="K565" s="16" t="n"/>
      <c r="L565" s="17" t="n"/>
      <c r="M565" s="129">
        <f>DADOS_INVOC!$PV$38</f>
        <v/>
      </c>
      <c r="N565" s="120" t="n"/>
      <c r="O565" s="55" t="inlineStr">
        <is>
          <t>MELHORIAS</t>
        </is>
      </c>
      <c r="P565" s="130" t="n"/>
      <c r="Q565" s="16" t="n"/>
      <c r="R565" s="17" t="n"/>
      <c r="S565" s="129">
        <f>DADOS_INVOC!$PV$39</f>
        <v/>
      </c>
      <c r="T565" s="120" t="n"/>
      <c r="U565" s="55" t="inlineStr">
        <is>
          <t>MELHORIAS</t>
        </is>
      </c>
      <c r="V565" s="130" t="n"/>
      <c r="W565" s="16" t="n"/>
      <c r="X565" s="17" t="n"/>
      <c r="Y565" s="129">
        <f>DADOS_INVOC!$PV$40</f>
        <v/>
      </c>
      <c r="Z565" s="120" t="n"/>
      <c r="AB565" s="55" t="inlineStr">
        <is>
          <t>MELHORIAS</t>
        </is>
      </c>
      <c r="AC565" s="130" t="n"/>
      <c r="AD565" s="16" t="n"/>
      <c r="AE565" s="17" t="n"/>
      <c r="AF565" s="129">
        <f>DADOS_INVOC!$PV$116</f>
        <v/>
      </c>
      <c r="AG565" s="120" t="n"/>
      <c r="AH565" s="55" t="inlineStr">
        <is>
          <t>MELHORIAS</t>
        </is>
      </c>
      <c r="AI565" s="130" t="n"/>
      <c r="AJ565" s="16" t="n"/>
      <c r="AK565" s="17" t="n"/>
      <c r="AL565" s="129">
        <f>DADOS_INVOC!$PV$117</f>
        <v/>
      </c>
      <c r="AM565" s="120" t="n"/>
      <c r="AN565" s="55" t="inlineStr">
        <is>
          <t>MELHORIAS</t>
        </is>
      </c>
      <c r="AO565" s="130" t="n"/>
      <c r="AP565" s="16" t="n"/>
      <c r="AQ565" s="17" t="n"/>
      <c r="AR565" s="129">
        <f>DADOS_INVOC!$PV$118</f>
        <v/>
      </c>
      <c r="AS565" s="120" t="n"/>
    </row>
    <row r="566" hidden="1" outlineLevel="3">
      <c r="A566" s="8" t="n"/>
      <c r="B566" s="14" t="n"/>
      <c r="C566" s="120" t="n"/>
      <c r="D566" s="120" t="n"/>
      <c r="E566" s="120" t="n"/>
      <c r="F566" s="120" t="n"/>
      <c r="G566" s="120" t="n"/>
      <c r="I566" s="131" t="n"/>
      <c r="J566" s="130" t="n"/>
      <c r="K566" s="16" t="n"/>
      <c r="L566" s="17" t="n"/>
      <c r="M566" s="129">
        <f>DADOS_INVOC!$PW$38</f>
        <v/>
      </c>
      <c r="N566" s="120" t="n"/>
      <c r="O566" s="131" t="n"/>
      <c r="P566" s="130" t="n"/>
      <c r="Q566" s="16" t="n"/>
      <c r="R566" s="17" t="n"/>
      <c r="S566" s="129">
        <f>DADOS_INVOC!$PW$39</f>
        <v/>
      </c>
      <c r="T566" s="120" t="n"/>
      <c r="U566" s="131" t="n"/>
      <c r="V566" s="130" t="n"/>
      <c r="W566" s="16" t="n"/>
      <c r="X566" s="17" t="n"/>
      <c r="Y566" s="129">
        <f>DADOS_INVOC!$PW$40</f>
        <v/>
      </c>
      <c r="Z566" s="120" t="n"/>
      <c r="AB566" s="131" t="n"/>
      <c r="AC566" s="130" t="n"/>
      <c r="AD566" s="16" t="n"/>
      <c r="AE566" s="17" t="n"/>
      <c r="AF566" s="129">
        <f>DADOS_INVOC!$PW$116</f>
        <v/>
      </c>
      <c r="AG566" s="120" t="n"/>
      <c r="AH566" s="131" t="n"/>
      <c r="AI566" s="130" t="n"/>
      <c r="AJ566" s="16" t="n"/>
      <c r="AK566" s="17" t="n"/>
      <c r="AL566" s="129">
        <f>DADOS_INVOC!$PW$117</f>
        <v/>
      </c>
      <c r="AM566" s="120" t="n"/>
      <c r="AN566" s="131" t="n"/>
      <c r="AO566" s="130" t="n"/>
      <c r="AP566" s="16" t="n"/>
      <c r="AQ566" s="17" t="n"/>
      <c r="AR566" s="129">
        <f>DADOS_INVOC!$PW$118</f>
        <v/>
      </c>
      <c r="AS566" s="120" t="n"/>
    </row>
    <row r="567" hidden="1" outlineLevel="3">
      <c r="A567" s="8" t="n"/>
      <c r="B567" s="14" t="n"/>
      <c r="C567" s="120" t="n"/>
      <c r="D567" s="120" t="n"/>
      <c r="E567" s="120" t="n"/>
      <c r="F567" s="120" t="n"/>
      <c r="G567" s="120" t="n"/>
      <c r="I567" s="131" t="n"/>
      <c r="J567" s="130" t="n"/>
      <c r="K567" s="16" t="n"/>
      <c r="L567" s="17" t="n"/>
      <c r="M567" s="129">
        <f>DADOS_INVOC!$PX$38</f>
        <v/>
      </c>
      <c r="N567" s="120" t="n"/>
      <c r="O567" s="131" t="n"/>
      <c r="P567" s="130" t="n"/>
      <c r="Q567" s="16" t="n"/>
      <c r="R567" s="17" t="n"/>
      <c r="S567" s="129">
        <f>DADOS_INVOC!$PX$39</f>
        <v/>
      </c>
      <c r="T567" s="120" t="n"/>
      <c r="U567" s="131" t="n"/>
      <c r="V567" s="130" t="n"/>
      <c r="W567" s="16" t="n"/>
      <c r="X567" s="17" t="n"/>
      <c r="Y567" s="129">
        <f>DADOS_INVOC!$PX$40</f>
        <v/>
      </c>
      <c r="Z567" s="120" t="n"/>
      <c r="AB567" s="131" t="n"/>
      <c r="AC567" s="130" t="n"/>
      <c r="AD567" s="16" t="n"/>
      <c r="AE567" s="17" t="n"/>
      <c r="AF567" s="129">
        <f>DADOS_INVOC!$PX$116</f>
        <v/>
      </c>
      <c r="AG567" s="120" t="n"/>
      <c r="AH567" s="131" t="n"/>
      <c r="AI567" s="130" t="n"/>
      <c r="AJ567" s="16" t="n"/>
      <c r="AK567" s="17" t="n"/>
      <c r="AL567" s="129">
        <f>DADOS_INVOC!$PX$117</f>
        <v/>
      </c>
      <c r="AM567" s="120" t="n"/>
      <c r="AN567" s="131" t="n"/>
      <c r="AO567" s="130" t="n"/>
      <c r="AP567" s="16" t="n"/>
      <c r="AQ567" s="17" t="n"/>
      <c r="AR567" s="129">
        <f>DADOS_INVOC!$PX$118</f>
        <v/>
      </c>
      <c r="AS567" s="120" t="n"/>
    </row>
    <row r="568" hidden="1" outlineLevel="3">
      <c r="A568" s="8" t="n"/>
      <c r="B568" s="14" t="n"/>
      <c r="C568" s="120" t="n"/>
      <c r="D568" s="120" t="n"/>
      <c r="E568" s="120" t="n"/>
      <c r="F568" s="120" t="n"/>
      <c r="G568" s="120" t="n"/>
      <c r="I568" s="125" t="n"/>
      <c r="J568" s="130" t="n"/>
      <c r="K568" s="16" t="n"/>
      <c r="L568" s="17" t="n"/>
      <c r="M568" s="129">
        <f>DADOS_INVOC!$PY$38</f>
        <v/>
      </c>
      <c r="N568" s="120" t="n"/>
      <c r="O568" s="125" t="n"/>
      <c r="P568" s="130" t="n"/>
      <c r="Q568" s="16" t="n"/>
      <c r="R568" s="17" t="n"/>
      <c r="S568" s="129">
        <f>DADOS_INVOC!$PY$39</f>
        <v/>
      </c>
      <c r="T568" s="120" t="n"/>
      <c r="U568" s="125" t="n"/>
      <c r="V568" s="130" t="n"/>
      <c r="W568" s="16" t="n"/>
      <c r="X568" s="17" t="n"/>
      <c r="Y568" s="129">
        <f>DADOS_INVOC!$PY$40</f>
        <v/>
      </c>
      <c r="Z568" s="120" t="n"/>
      <c r="AB568" s="125" t="n"/>
      <c r="AC568" s="130" t="n"/>
      <c r="AD568" s="16" t="n"/>
      <c r="AE568" s="17" t="n"/>
      <c r="AF568" s="129">
        <f>DADOS_INVOC!$PY$116</f>
        <v/>
      </c>
      <c r="AG568" s="120" t="n"/>
      <c r="AH568" s="125" t="n"/>
      <c r="AI568" s="130" t="n"/>
      <c r="AJ568" s="16" t="n"/>
      <c r="AK568" s="17" t="n"/>
      <c r="AL568" s="129">
        <f>DADOS_INVOC!$PY$117</f>
        <v/>
      </c>
      <c r="AM568" s="120" t="n"/>
      <c r="AN568" s="125" t="n"/>
      <c r="AO568" s="130" t="n"/>
      <c r="AP568" s="16" t="n"/>
      <c r="AQ568" s="17" t="n"/>
      <c r="AR568" s="129">
        <f>DADOS_INVOC!$PY$118</f>
        <v/>
      </c>
      <c r="AS568" s="120" t="n"/>
    </row>
    <row r="569" hidden="1" outlineLevel="3">
      <c r="A569" s="8" t="n"/>
      <c r="B569" s="14" t="n"/>
      <c r="C569" s="120" t="n"/>
      <c r="D569" s="120" t="n"/>
      <c r="E569" s="120" t="n"/>
      <c r="F569" s="120" t="n"/>
      <c r="G569" s="120" t="n"/>
      <c r="I569" s="55" t="inlineStr">
        <is>
          <t>RESTRIÇÕES</t>
        </is>
      </c>
      <c r="J569" s="130" t="n"/>
      <c r="K569" s="16" t="n"/>
      <c r="L569" s="17" t="n"/>
      <c r="M569" s="129">
        <f>DADOS_INVOC!$PZ$38</f>
        <v/>
      </c>
      <c r="N569" s="120" t="n"/>
      <c r="O569" s="55" t="inlineStr">
        <is>
          <t>RESTRIÇÕES</t>
        </is>
      </c>
      <c r="P569" s="130" t="n"/>
      <c r="Q569" s="16" t="n"/>
      <c r="R569" s="17" t="n"/>
      <c r="S569" s="129">
        <f>DADOS_INVOC!$PZ$39</f>
        <v/>
      </c>
      <c r="T569" s="120" t="n"/>
      <c r="U569" s="55" t="inlineStr">
        <is>
          <t>RESTRIÇÕES</t>
        </is>
      </c>
      <c r="V569" s="130" t="n"/>
      <c r="W569" s="16" t="n"/>
      <c r="X569" s="17" t="n"/>
      <c r="Y569" s="129">
        <f>DADOS_INVOC!$PZ$40</f>
        <v/>
      </c>
      <c r="Z569" s="120" t="n"/>
      <c r="AB569" s="55" t="inlineStr">
        <is>
          <t>RESTRIÇÕES</t>
        </is>
      </c>
      <c r="AC569" s="130" t="n"/>
      <c r="AD569" s="16" t="n"/>
      <c r="AE569" s="17" t="n"/>
      <c r="AF569" s="129">
        <f>DADOS_INVOC!$PZ$116</f>
        <v/>
      </c>
      <c r="AG569" s="120" t="n"/>
      <c r="AH569" s="55" t="inlineStr">
        <is>
          <t>RESTRIÇÕES</t>
        </is>
      </c>
      <c r="AI569" s="130" t="n"/>
      <c r="AJ569" s="16" t="n"/>
      <c r="AK569" s="17" t="n"/>
      <c r="AL569" s="129">
        <f>DADOS_INVOC!$PZ$117</f>
        <v/>
      </c>
      <c r="AM569" s="120" t="n"/>
      <c r="AN569" s="55" t="inlineStr">
        <is>
          <t>RESTRIÇÕES</t>
        </is>
      </c>
      <c r="AO569" s="130" t="n"/>
      <c r="AP569" s="16" t="n"/>
      <c r="AQ569" s="17" t="n"/>
      <c r="AR569" s="129">
        <f>DADOS_INVOC!$PZ$118</f>
        <v/>
      </c>
      <c r="AS569" s="120" t="n"/>
    </row>
    <row r="570" hidden="1" outlineLevel="3">
      <c r="A570" s="8" t="n"/>
      <c r="B570" s="14" t="n"/>
      <c r="C570" s="120" t="n"/>
      <c r="D570" s="120" t="n"/>
      <c r="E570" s="120" t="n"/>
      <c r="F570" s="120" t="n"/>
      <c r="G570" s="120" t="n"/>
      <c r="I570" s="125" t="n"/>
      <c r="J570" s="130" t="n"/>
      <c r="K570" s="16" t="n"/>
      <c r="L570" s="17" t="n"/>
      <c r="M570" s="129">
        <f>DADOS_INVOC!$QA$38</f>
        <v/>
      </c>
      <c r="N570" s="120" t="n"/>
      <c r="O570" s="125" t="n"/>
      <c r="P570" s="130" t="n"/>
      <c r="Q570" s="16" t="n"/>
      <c r="R570" s="17" t="n"/>
      <c r="S570" s="129">
        <f>DADOS_INVOC!$QA$39</f>
        <v/>
      </c>
      <c r="T570" s="120" t="n"/>
      <c r="U570" s="125" t="n"/>
      <c r="V570" s="130" t="n"/>
      <c r="W570" s="16" t="n"/>
      <c r="X570" s="17" t="n"/>
      <c r="Y570" s="129">
        <f>DADOS_INVOC!$QA$40</f>
        <v/>
      </c>
      <c r="Z570" s="120" t="n"/>
      <c r="AB570" s="125" t="n"/>
      <c r="AC570" s="130" t="n"/>
      <c r="AD570" s="16" t="n"/>
      <c r="AE570" s="17" t="n"/>
      <c r="AF570" s="129">
        <f>DADOS_INVOC!$QA$116</f>
        <v/>
      </c>
      <c r="AG570" s="120" t="n"/>
      <c r="AH570" s="125" t="n"/>
      <c r="AI570" s="130" t="n"/>
      <c r="AJ570" s="16" t="n"/>
      <c r="AK570" s="17" t="n"/>
      <c r="AL570" s="129">
        <f>DADOS_INVOC!$QA$117</f>
        <v/>
      </c>
      <c r="AM570" s="120" t="n"/>
      <c r="AN570" s="125" t="n"/>
      <c r="AO570" s="130" t="n"/>
      <c r="AP570" s="16" t="n"/>
      <c r="AQ570" s="17" t="n"/>
      <c r="AR570" s="129">
        <f>DADOS_INVOC!$QA$118</f>
        <v/>
      </c>
      <c r="AS570" s="120" t="n"/>
    </row>
    <row r="571" hidden="1" outlineLevel="3">
      <c r="A571" s="8" t="n"/>
      <c r="B571" s="14" t="n"/>
      <c r="C571" s="120" t="n"/>
      <c r="D571" s="120" t="n"/>
      <c r="E571" s="120" t="n"/>
      <c r="F571" s="120" t="n"/>
      <c r="G571" s="120" t="n"/>
      <c r="I571" s="55" t="inlineStr">
        <is>
          <t>CONTA</t>
        </is>
      </c>
      <c r="J571" s="132">
        <f>DADOS_INVOC!$PT$38</f>
        <v/>
      </c>
      <c r="K571" s="16" t="n"/>
      <c r="L571" s="16" t="n"/>
      <c r="M571" s="17" t="n"/>
      <c r="N571" s="120" t="n"/>
      <c r="O571" s="55" t="inlineStr">
        <is>
          <t>CONTA</t>
        </is>
      </c>
      <c r="P571" s="132">
        <f>DADOS_INVOC!$PT$39</f>
        <v/>
      </c>
      <c r="Q571" s="16" t="n"/>
      <c r="R571" s="16" t="n"/>
      <c r="S571" s="17" t="n"/>
      <c r="T571" s="120" t="n"/>
      <c r="U571" s="55" t="inlineStr">
        <is>
          <t>CONTA</t>
        </is>
      </c>
      <c r="V571" s="132">
        <f>DADOS_INVOC!$PT$40</f>
        <v/>
      </c>
      <c r="W571" s="16" t="n"/>
      <c r="X571" s="16" t="n"/>
      <c r="Y571" s="17" t="n"/>
      <c r="Z571" s="120" t="n"/>
      <c r="AB571" s="55" t="inlineStr">
        <is>
          <t>CONTA</t>
        </is>
      </c>
      <c r="AC571" s="132">
        <f>DADOS_INVOC!$PT$116</f>
        <v/>
      </c>
      <c r="AD571" s="16" t="n"/>
      <c r="AE571" s="16" t="n"/>
      <c r="AF571" s="17" t="n"/>
      <c r="AG571" s="120" t="n"/>
      <c r="AH571" s="55" t="inlineStr">
        <is>
          <t>CONTA</t>
        </is>
      </c>
      <c r="AI571" s="132">
        <f>DADOS_INVOC!$PT$117</f>
        <v/>
      </c>
      <c r="AJ571" s="16" t="n"/>
      <c r="AK571" s="16" t="n"/>
      <c r="AL571" s="17" t="n"/>
      <c r="AM571" s="120" t="n"/>
      <c r="AN571" s="55" t="inlineStr">
        <is>
          <t>CONTA</t>
        </is>
      </c>
      <c r="AO571" s="132">
        <f>DADOS_INVOC!$PT$118</f>
        <v/>
      </c>
      <c r="AP571" s="16" t="n"/>
      <c r="AQ571" s="16" t="n"/>
      <c r="AR571" s="17" t="n"/>
      <c r="AS571" s="120" t="n"/>
    </row>
    <row r="572" hidden="1" outlineLevel="3">
      <c r="A572" s="8" t="n"/>
      <c r="B572" s="14" t="n"/>
      <c r="C572" s="120" t="n"/>
      <c r="D572" s="120" t="n"/>
      <c r="E572" s="120" t="n"/>
      <c r="F572" s="120" t="n"/>
      <c r="G572" s="120" t="n"/>
      <c r="I572" s="55" t="inlineStr">
        <is>
          <t>AMPLIAR</t>
        </is>
      </c>
      <c r="J572" s="132">
        <f>DADOS_INVOC!$PU$38</f>
        <v/>
      </c>
      <c r="K572" s="19" t="n"/>
      <c r="L572" s="19" t="n"/>
      <c r="M572" s="20" t="n"/>
      <c r="N572" s="120" t="n"/>
      <c r="O572" s="55" t="inlineStr">
        <is>
          <t>AMPLIAR</t>
        </is>
      </c>
      <c r="P572" s="132">
        <f>DADOS_INVOC!$PU$39</f>
        <v/>
      </c>
      <c r="Q572" s="19" t="n"/>
      <c r="R572" s="19" t="n"/>
      <c r="S572" s="20" t="n"/>
      <c r="T572" s="120" t="n"/>
      <c r="U572" s="55" t="inlineStr">
        <is>
          <t>AMPLIAR</t>
        </is>
      </c>
      <c r="V572" s="132">
        <f>DADOS_INVOC!$PU$40</f>
        <v/>
      </c>
      <c r="W572" s="19" t="n"/>
      <c r="X572" s="19" t="n"/>
      <c r="Y572" s="20" t="n"/>
      <c r="Z572" s="120" t="n"/>
      <c r="AB572" s="55" t="inlineStr">
        <is>
          <t>AMPLIAR</t>
        </is>
      </c>
      <c r="AC572" s="132">
        <f>DADOS_INVOC!$PU$116</f>
        <v/>
      </c>
      <c r="AD572" s="19" t="n"/>
      <c r="AE572" s="19" t="n"/>
      <c r="AF572" s="20" t="n"/>
      <c r="AG572" s="120" t="n"/>
      <c r="AH572" s="55" t="inlineStr">
        <is>
          <t>AMPLIAR</t>
        </is>
      </c>
      <c r="AI572" s="132">
        <f>DADOS_INVOC!$PU$117</f>
        <v/>
      </c>
      <c r="AJ572" s="19" t="n"/>
      <c r="AK572" s="19" t="n"/>
      <c r="AL572" s="20" t="n"/>
      <c r="AM572" s="120" t="n"/>
      <c r="AN572" s="55" t="inlineStr">
        <is>
          <t>AMPLIAR</t>
        </is>
      </c>
      <c r="AO572" s="132">
        <f>DADOS_INVOC!$PU$118</f>
        <v/>
      </c>
      <c r="AP572" s="19" t="n"/>
      <c r="AQ572" s="19" t="n"/>
      <c r="AR572" s="20" t="n"/>
      <c r="AS572" s="120" t="n"/>
    </row>
    <row r="573" hidden="1" outlineLevel="3">
      <c r="A573" s="8" t="n"/>
      <c r="B573" s="14" t="n"/>
      <c r="C573" s="120" t="n"/>
      <c r="D573" s="120" t="n"/>
      <c r="E573" s="120" t="n"/>
      <c r="F573" s="120" t="n"/>
      <c r="G573" s="120" t="n"/>
      <c r="I573" s="125" t="n"/>
      <c r="J573" s="23" t="n"/>
      <c r="K573" s="24" t="n"/>
      <c r="L573" s="24" t="n"/>
      <c r="M573" s="25" t="n"/>
      <c r="N573" s="120" t="n"/>
      <c r="O573" s="125" t="n"/>
      <c r="P573" s="23" t="n"/>
      <c r="Q573" s="24" t="n"/>
      <c r="R573" s="24" t="n"/>
      <c r="S573" s="25" t="n"/>
      <c r="T573" s="120" t="n"/>
      <c r="U573" s="125" t="n"/>
      <c r="V573" s="23" t="n"/>
      <c r="W573" s="24" t="n"/>
      <c r="X573" s="24" t="n"/>
      <c r="Y573" s="25" t="n"/>
      <c r="Z573" s="120" t="n"/>
      <c r="AB573" s="125" t="n"/>
      <c r="AC573" s="23" t="n"/>
      <c r="AD573" s="24" t="n"/>
      <c r="AE573" s="24" t="n"/>
      <c r="AF573" s="25" t="n"/>
      <c r="AG573" s="120" t="n"/>
      <c r="AH573" s="125" t="n"/>
      <c r="AI573" s="23" t="n"/>
      <c r="AJ573" s="24" t="n"/>
      <c r="AK573" s="24" t="n"/>
      <c r="AL573" s="25" t="n"/>
      <c r="AM573" s="120" t="n"/>
      <c r="AN573" s="125" t="n"/>
      <c r="AO573" s="23" t="n"/>
      <c r="AP573" s="24" t="n"/>
      <c r="AQ573" s="24" t="n"/>
      <c r="AR573" s="25" t="n"/>
      <c r="AS573" s="120" t="n"/>
    </row>
    <row r="574" hidden="1" outlineLevel="3">
      <c r="A574" s="8" t="n"/>
      <c r="B574" s="14" t="n"/>
      <c r="C574" s="120" t="n"/>
      <c r="D574" s="120" t="n"/>
      <c r="E574" s="120" t="n"/>
      <c r="F574" s="120" t="n"/>
      <c r="G574" s="120" t="n"/>
      <c r="I574" s="132">
        <f>DADOS_INVOC!$PH$38</f>
        <v/>
      </c>
      <c r="J574" s="19" t="n"/>
      <c r="K574" s="19" t="n"/>
      <c r="L574" s="19" t="n"/>
      <c r="M574" s="20" t="n"/>
      <c r="N574" s="120" t="n"/>
      <c r="O574" s="132">
        <f>DADOS_INVOC!$PH$39</f>
        <v/>
      </c>
      <c r="P574" s="19" t="n"/>
      <c r="Q574" s="19" t="n"/>
      <c r="R574" s="19" t="n"/>
      <c r="S574" s="20" t="n"/>
      <c r="T574" s="120" t="n"/>
      <c r="U574" s="132">
        <f>DADOS_INVOC!$PH$40</f>
        <v/>
      </c>
      <c r="V574" s="19" t="n"/>
      <c r="W574" s="19" t="n"/>
      <c r="X574" s="19" t="n"/>
      <c r="Y574" s="20" t="n"/>
      <c r="Z574" s="120" t="n"/>
      <c r="AB574" s="132">
        <f>DADOS_INVOC!$PH$116</f>
        <v/>
      </c>
      <c r="AC574" s="19" t="n"/>
      <c r="AD574" s="19" t="n"/>
      <c r="AE574" s="19" t="n"/>
      <c r="AF574" s="20" t="n"/>
      <c r="AG574" s="120" t="n"/>
      <c r="AH574" s="132">
        <f>DADOS_INVOC!$PH$117</f>
        <v/>
      </c>
      <c r="AI574" s="19" t="n"/>
      <c r="AJ574" s="19" t="n"/>
      <c r="AK574" s="19" t="n"/>
      <c r="AL574" s="20" t="n"/>
      <c r="AM574" s="120" t="n"/>
      <c r="AN574" s="132">
        <f>DADOS_INVOC!$PH$118</f>
        <v/>
      </c>
      <c r="AO574" s="19" t="n"/>
      <c r="AP574" s="19" t="n"/>
      <c r="AQ574" s="19" t="n"/>
      <c r="AR574" s="20" t="n"/>
      <c r="AS574" s="120" t="n"/>
    </row>
    <row r="575" hidden="1" outlineLevel="3">
      <c r="A575" s="8" t="n"/>
      <c r="B575" s="14" t="n"/>
      <c r="C575" s="120" t="n"/>
      <c r="D575" s="120" t="n"/>
      <c r="E575" s="120" t="n"/>
      <c r="F575" s="120" t="n"/>
      <c r="G575" s="120" t="n"/>
      <c r="I575" s="23" t="n"/>
      <c r="J575" s="24" t="n"/>
      <c r="K575" s="24" t="n"/>
      <c r="L575" s="24" t="n"/>
      <c r="M575" s="25" t="n"/>
      <c r="N575" s="120" t="n"/>
      <c r="O575" s="23" t="n"/>
      <c r="P575" s="24" t="n"/>
      <c r="Q575" s="24" t="n"/>
      <c r="R575" s="24" t="n"/>
      <c r="S575" s="25" t="n"/>
      <c r="T575" s="120" t="n"/>
      <c r="U575" s="23" t="n"/>
      <c r="V575" s="24" t="n"/>
      <c r="W575" s="24" t="n"/>
      <c r="X575" s="24" t="n"/>
      <c r="Y575" s="25" t="n"/>
      <c r="Z575" s="120" t="n"/>
      <c r="AB575" s="23" t="n"/>
      <c r="AC575" s="24" t="n"/>
      <c r="AD575" s="24" t="n"/>
      <c r="AE575" s="24" t="n"/>
      <c r="AF575" s="25" t="n"/>
      <c r="AG575" s="120" t="n"/>
      <c r="AH575" s="23" t="n"/>
      <c r="AI575" s="24" t="n"/>
      <c r="AJ575" s="24" t="n"/>
      <c r="AK575" s="24" t="n"/>
      <c r="AL575" s="25" t="n"/>
      <c r="AM575" s="120" t="n"/>
      <c r="AN575" s="23" t="n"/>
      <c r="AO575" s="24" t="n"/>
      <c r="AP575" s="24" t="n"/>
      <c r="AQ575" s="24" t="n"/>
      <c r="AR575" s="25" t="n"/>
      <c r="AS575" s="120" t="n"/>
    </row>
    <row r="576" hidden="1" outlineLevel="2">
      <c r="A576" s="8" t="n"/>
      <c r="B576" s="14" t="n"/>
      <c r="C576" s="120" t="n"/>
      <c r="D576" s="120" t="n"/>
      <c r="E576" s="120" t="n"/>
      <c r="F576" s="120" t="n"/>
      <c r="G576" s="120" t="n"/>
      <c r="I576" s="120" t="n"/>
      <c r="J576" s="120" t="n"/>
      <c r="K576" s="120" t="n"/>
      <c r="L576" s="120" t="n"/>
      <c r="M576" s="120" t="n"/>
      <c r="N576" s="120" t="n"/>
      <c r="O576" s="120" t="n"/>
      <c r="P576" s="120" t="n"/>
      <c r="Q576" s="120" t="n"/>
      <c r="R576" s="120" t="n"/>
      <c r="S576" s="120" t="n"/>
      <c r="T576" s="120" t="n"/>
      <c r="U576" s="120" t="n"/>
      <c r="V576" s="120" t="n"/>
      <c r="W576" s="120" t="n"/>
      <c r="X576" s="120" t="n"/>
      <c r="Y576" s="120" t="n"/>
      <c r="Z576" s="120" t="n"/>
      <c r="AB576" s="120" t="n"/>
      <c r="AC576" s="120" t="n"/>
      <c r="AD576" s="120" t="n"/>
      <c r="AE576" s="120" t="n"/>
      <c r="AF576" s="120" t="n"/>
      <c r="AG576" s="120" t="n"/>
      <c r="AH576" s="120" t="n"/>
      <c r="AI576" s="120" t="n"/>
      <c r="AJ576" s="120" t="n"/>
      <c r="AK576" s="120" t="n"/>
      <c r="AL576" s="120" t="n"/>
      <c r="AM576" s="120" t="n"/>
      <c r="AN576" s="120" t="n"/>
      <c r="AO576" s="120" t="n"/>
      <c r="AP576" s="120" t="n"/>
      <c r="AQ576" s="120" t="n"/>
      <c r="AR576" s="120" t="n"/>
      <c r="AS576" s="120" t="n"/>
    </row>
    <row r="577" hidden="1" outlineLevel="2">
      <c r="A577" s="8" t="n"/>
      <c r="B577" s="14" t="n"/>
      <c r="C577" s="120" t="n"/>
      <c r="D577" s="120" t="n"/>
      <c r="E577" s="120" t="n"/>
      <c r="F577" s="120" t="n"/>
      <c r="G577" s="120"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0"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0" t="n"/>
    </row>
    <row r="578" hidden="1" outlineLevel="2">
      <c r="A578" s="8" t="n"/>
      <c r="B578" s="14" t="n"/>
      <c r="C578" s="120" t="n"/>
      <c r="D578" s="120" t="n"/>
      <c r="E578" s="120" t="n"/>
      <c r="F578" s="120" t="n"/>
      <c r="G578" s="120" t="n"/>
      <c r="I578" s="55" t="inlineStr">
        <is>
          <t>TRILHA · CE 1</t>
        </is>
      </c>
      <c r="J578" s="130" t="n"/>
      <c r="K578" s="16" t="n"/>
      <c r="L578" s="17" t="n"/>
      <c r="M578" s="137">
        <f>DADOS_INVOC!$II$4</f>
        <v/>
      </c>
      <c r="N578" s="16" t="n"/>
      <c r="O578" s="16" t="n"/>
      <c r="P578" s="16" t="n"/>
      <c r="Q578" s="16" t="n"/>
      <c r="R578" s="16" t="n"/>
      <c r="S578" s="16" t="n"/>
      <c r="T578" s="16" t="n"/>
      <c r="U578" s="16" t="n"/>
      <c r="V578" s="16" t="n"/>
      <c r="W578" s="16" t="n"/>
      <c r="X578" s="16" t="n"/>
      <c r="Y578" s="17" t="n"/>
      <c r="Z578" s="120" t="n"/>
      <c r="AB578" s="55" t="inlineStr">
        <is>
          <t>TRILHA · CE 1</t>
        </is>
      </c>
      <c r="AC578" s="130" t="n"/>
      <c r="AD578" s="16" t="n"/>
      <c r="AE578" s="17" t="n"/>
      <c r="AF578" s="137">
        <f>DADOS_INVOC!$II$10</f>
        <v/>
      </c>
      <c r="AG578" s="16" t="n"/>
      <c r="AH578" s="16" t="n"/>
      <c r="AI578" s="16" t="n"/>
      <c r="AJ578" s="16" t="n"/>
      <c r="AK578" s="16" t="n"/>
      <c r="AL578" s="16" t="n"/>
      <c r="AM578" s="16" t="n"/>
      <c r="AN578" s="16" t="n"/>
      <c r="AO578" s="16" t="n"/>
      <c r="AP578" s="16" t="n"/>
      <c r="AQ578" s="16" t="n"/>
      <c r="AR578" s="17" t="n"/>
      <c r="AS578" s="120" t="n"/>
    </row>
    <row r="579" hidden="1" outlineLevel="2">
      <c r="A579" s="8" t="n"/>
      <c r="B579" s="14" t="n"/>
      <c r="C579" s="120" t="n"/>
      <c r="D579" s="120" t="n"/>
      <c r="E579" s="120" t="n"/>
      <c r="F579" s="120" t="n"/>
      <c r="G579" s="120" t="n"/>
      <c r="I579" s="55" t="inlineStr">
        <is>
          <t>TRILHA · CE 1</t>
        </is>
      </c>
      <c r="J579" s="130" t="n"/>
      <c r="K579" s="16" t="n"/>
      <c r="L579" s="17" t="n"/>
      <c r="M579" s="137">
        <f>DADOS_INVOC!$IJ$4</f>
        <v/>
      </c>
      <c r="N579" s="16" t="n"/>
      <c r="O579" s="16" t="n"/>
      <c r="P579" s="16" t="n"/>
      <c r="Q579" s="16" t="n"/>
      <c r="R579" s="16" t="n"/>
      <c r="S579" s="16" t="n"/>
      <c r="T579" s="16" t="n"/>
      <c r="U579" s="16" t="n"/>
      <c r="V579" s="16" t="n"/>
      <c r="W579" s="16" t="n"/>
      <c r="X579" s="16" t="n"/>
      <c r="Y579" s="17" t="n"/>
      <c r="Z579" s="120" t="n"/>
      <c r="AB579" s="55" t="inlineStr">
        <is>
          <t>TRILHA · CE 1</t>
        </is>
      </c>
      <c r="AC579" s="130" t="n"/>
      <c r="AD579" s="16" t="n"/>
      <c r="AE579" s="17" t="n"/>
      <c r="AF579" s="137">
        <f>DADOS_INVOC!$IJ$10</f>
        <v/>
      </c>
      <c r="AG579" s="16" t="n"/>
      <c r="AH579" s="16" t="n"/>
      <c r="AI579" s="16" t="n"/>
      <c r="AJ579" s="16" t="n"/>
      <c r="AK579" s="16" t="n"/>
      <c r="AL579" s="16" t="n"/>
      <c r="AM579" s="16" t="n"/>
      <c r="AN579" s="16" t="n"/>
      <c r="AO579" s="16" t="n"/>
      <c r="AP579" s="16" t="n"/>
      <c r="AQ579" s="16" t="n"/>
      <c r="AR579" s="17" t="n"/>
      <c r="AS579" s="120" t="n"/>
    </row>
    <row r="580" hidden="1" outlineLevel="2">
      <c r="A580" s="8" t="n"/>
      <c r="B580" s="14" t="n"/>
      <c r="C580" s="120" t="n"/>
      <c r="D580" s="120" t="n"/>
      <c r="E580" s="120" t="n"/>
      <c r="F580" s="120" t="n"/>
      <c r="G580" s="120" t="n"/>
      <c r="I580" s="55" t="inlineStr">
        <is>
          <t>TRILHA · CE 1</t>
        </is>
      </c>
      <c r="J580" s="130" t="n"/>
      <c r="K580" s="16" t="n"/>
      <c r="L580" s="17" t="n"/>
      <c r="M580" s="137">
        <f>DADOS_INVOC!$IK$4</f>
        <v/>
      </c>
      <c r="N580" s="16" t="n"/>
      <c r="O580" s="16" t="n"/>
      <c r="P580" s="16" t="n"/>
      <c r="Q580" s="16" t="n"/>
      <c r="R580" s="16" t="n"/>
      <c r="S580" s="16" t="n"/>
      <c r="T580" s="16" t="n"/>
      <c r="U580" s="16" t="n"/>
      <c r="V580" s="16" t="n"/>
      <c r="W580" s="16" t="n"/>
      <c r="X580" s="16" t="n"/>
      <c r="Y580" s="17" t="n"/>
      <c r="Z580" s="120" t="n"/>
      <c r="AB580" s="55" t="inlineStr">
        <is>
          <t>TRILHA · CE 1</t>
        </is>
      </c>
      <c r="AC580" s="130" t="n"/>
      <c r="AD580" s="16" t="n"/>
      <c r="AE580" s="17" t="n"/>
      <c r="AF580" s="137">
        <f>DADOS_INVOC!$IK$10</f>
        <v/>
      </c>
      <c r="AG580" s="16" t="n"/>
      <c r="AH580" s="16" t="n"/>
      <c r="AI580" s="16" t="n"/>
      <c r="AJ580" s="16" t="n"/>
      <c r="AK580" s="16" t="n"/>
      <c r="AL580" s="16" t="n"/>
      <c r="AM580" s="16" t="n"/>
      <c r="AN580" s="16" t="n"/>
      <c r="AO580" s="16" t="n"/>
      <c r="AP580" s="16" t="n"/>
      <c r="AQ580" s="16" t="n"/>
      <c r="AR580" s="17" t="n"/>
      <c r="AS580" s="120" t="n"/>
    </row>
    <row r="581" hidden="1" outlineLevel="1">
      <c r="A581" s="8" t="n"/>
      <c r="B581" s="14" t="n"/>
      <c r="C581" s="120" t="n"/>
      <c r="D581" s="120" t="n"/>
      <c r="E581" s="120" t="n"/>
      <c r="F581" s="120" t="n"/>
      <c r="G581" s="120" t="n"/>
      <c r="I581" s="120" t="n"/>
      <c r="J581" s="120" t="n"/>
      <c r="K581" s="120" t="n"/>
      <c r="L581" s="120" t="n"/>
      <c r="M581" s="120" t="n"/>
      <c r="N581" s="120" t="n"/>
      <c r="O581" s="120" t="n"/>
      <c r="P581" s="120" t="n"/>
      <c r="Q581" s="120" t="n"/>
      <c r="R581" s="120" t="n"/>
      <c r="S581" s="120" t="n"/>
      <c r="T581" s="120" t="n"/>
      <c r="U581" s="120" t="n"/>
      <c r="V581" s="120" t="n"/>
      <c r="W581" s="120" t="n"/>
      <c r="X581" s="120" t="n"/>
      <c r="Y581" s="120" t="n"/>
      <c r="Z581" s="120" t="n"/>
      <c r="AB581" s="120" t="n"/>
      <c r="AC581" s="120" t="n"/>
      <c r="AD581" s="120" t="n"/>
      <c r="AE581" s="120" t="n"/>
      <c r="AF581" s="120" t="n"/>
      <c r="AG581" s="120" t="n"/>
      <c r="AH581" s="120" t="n"/>
      <c r="AI581" s="120" t="n"/>
      <c r="AJ581" s="120" t="n"/>
      <c r="AK581" s="120" t="n"/>
      <c r="AL581" s="120" t="n"/>
      <c r="AM581" s="120" t="n"/>
      <c r="AN581" s="120" t="n"/>
      <c r="AO581" s="120" t="n"/>
      <c r="AP581" s="120" t="n"/>
      <c r="AQ581" s="120" t="n"/>
      <c r="AR581" s="120" t="n"/>
      <c r="AS581" s="120" t="n"/>
    </row>
    <row r="582" hidden="1" outlineLevel="1">
      <c r="A582" s="8" t="n"/>
      <c r="B582" s="14" t="n"/>
      <c r="C582" s="120" t="n"/>
      <c r="D582" s="120" t="n"/>
      <c r="E582" s="120" t="n"/>
      <c r="F582" s="120" t="n"/>
      <c r="G582" s="120" t="n"/>
      <c r="I582" s="13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0" t="n"/>
      <c r="AB582" s="13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0" t="n"/>
    </row>
    <row r="583" hidden="1" outlineLevel="2">
      <c r="A583" s="8" t="n"/>
      <c r="B583" s="14" t="n"/>
      <c r="C583" s="120" t="n"/>
      <c r="D583" s="120" t="n"/>
      <c r="E583" s="120" t="n"/>
      <c r="F583" s="120" t="n"/>
      <c r="G583" s="120" t="n"/>
      <c r="I583" s="120" t="n"/>
      <c r="J583" s="120" t="n"/>
      <c r="K583" s="120" t="n"/>
      <c r="L583" s="120" t="n"/>
      <c r="M583" s="120" t="n"/>
      <c r="N583" s="120" t="n"/>
      <c r="O583" s="120" t="n"/>
      <c r="P583" s="120" t="n"/>
      <c r="Q583" s="120" t="n"/>
      <c r="R583" s="120" t="n"/>
      <c r="S583" s="120" t="n"/>
      <c r="T583" s="120" t="n"/>
      <c r="U583" s="120" t="n"/>
      <c r="V583" s="120" t="n"/>
      <c r="W583" s="120" t="n"/>
      <c r="X583" s="120" t="n"/>
      <c r="Y583" s="120" t="n"/>
      <c r="Z583" s="120" t="n"/>
      <c r="AB583" s="120" t="n"/>
      <c r="AC583" s="120" t="n"/>
      <c r="AD583" s="120" t="n"/>
      <c r="AE583" s="120" t="n"/>
      <c r="AF583" s="120" t="n"/>
      <c r="AG583" s="120" t="n"/>
      <c r="AH583" s="120" t="n"/>
      <c r="AI583" s="120" t="n"/>
      <c r="AJ583" s="120" t="n"/>
      <c r="AK583" s="120" t="n"/>
      <c r="AL583" s="120" t="n"/>
      <c r="AM583" s="120" t="n"/>
      <c r="AN583" s="120" t="n"/>
      <c r="AO583" s="120" t="n"/>
      <c r="AP583" s="120" t="n"/>
      <c r="AQ583" s="120" t="n"/>
      <c r="AR583" s="120" t="n"/>
      <c r="AS583" s="120" t="n"/>
    </row>
    <row r="584" hidden="1" outlineLevel="2">
      <c r="A584" s="8" t="n"/>
      <c r="B584" s="14" t="n"/>
      <c r="C584" s="120" t="n"/>
      <c r="D584" s="120" t="n"/>
      <c r="E584" s="120" t="n"/>
      <c r="F584" s="120" t="n"/>
      <c r="G584" s="120" t="n"/>
      <c r="I584" s="55" t="inlineStr">
        <is>
          <t>LIBERAÇÃO MÁXIMA 1</t>
        </is>
      </c>
      <c r="J584" s="16" t="n"/>
      <c r="K584" s="16" t="n"/>
      <c r="L584" s="16" t="n"/>
      <c r="M584" s="17" t="n"/>
      <c r="N584" s="120" t="n"/>
      <c r="O584" s="55" t="inlineStr">
        <is>
          <t>LIBERAÇÃO MÁXIMA 2</t>
        </is>
      </c>
      <c r="P584" s="16" t="n"/>
      <c r="Q584" s="16" t="n"/>
      <c r="R584" s="16" t="n"/>
      <c r="S584" s="17" t="n"/>
      <c r="T584" s="120" t="n"/>
      <c r="U584" s="55" t="inlineStr">
        <is>
          <t>LIBERAÇÃO MÁXIMA 3</t>
        </is>
      </c>
      <c r="V584" s="16" t="n"/>
      <c r="W584" s="16" t="n"/>
      <c r="X584" s="16" t="n"/>
      <c r="Y584" s="17" t="n"/>
      <c r="Z584" s="120" t="n"/>
      <c r="AB584" s="55" t="inlineStr">
        <is>
          <t>LIBERAÇÃO MÁXIMA 1</t>
        </is>
      </c>
      <c r="AC584" s="16" t="n"/>
      <c r="AD584" s="16" t="n"/>
      <c r="AE584" s="16" t="n"/>
      <c r="AF584" s="17" t="n"/>
      <c r="AG584" s="120" t="n"/>
      <c r="AH584" s="55" t="inlineStr">
        <is>
          <t>LIBERAÇÃO MÁXIMA 2</t>
        </is>
      </c>
      <c r="AI584" s="16" t="n"/>
      <c r="AJ584" s="16" t="n"/>
      <c r="AK584" s="16" t="n"/>
      <c r="AL584" s="17" t="n"/>
      <c r="AM584" s="120" t="n"/>
      <c r="AN584" s="55" t="inlineStr">
        <is>
          <t>LIBERAÇÃO MÁXIMA 3</t>
        </is>
      </c>
      <c r="AO584" s="16" t="n"/>
      <c r="AP584" s="16" t="n"/>
      <c r="AQ584" s="16" t="n"/>
      <c r="AR584" s="17" t="n"/>
      <c r="AS584" s="120" t="n"/>
    </row>
    <row r="585" hidden="1" outlineLevel="2">
      <c r="A585" s="8" t="n"/>
      <c r="B585" s="14" t="n"/>
      <c r="C585" s="120" t="n"/>
      <c r="D585" s="120" t="n"/>
      <c r="E585" s="120" t="n"/>
      <c r="F585" s="120" t="n"/>
      <c r="G585" s="120" t="n"/>
      <c r="I585" s="127" t="n">
        <v>3</v>
      </c>
      <c r="J585" s="115" t="n"/>
      <c r="K585" s="16" t="n"/>
      <c r="L585" s="17" t="n"/>
      <c r="M585" s="128">
        <f>DADOS_INVOC!$IL$4</f>
        <v/>
      </c>
      <c r="N585" s="120" t="n"/>
      <c r="O585" s="127" t="n">
        <v>3</v>
      </c>
      <c r="P585" s="115" t="n"/>
      <c r="Q585" s="16" t="n"/>
      <c r="R585" s="17" t="n"/>
      <c r="S585" s="128">
        <f>DADOS_INVOC!$IM$4</f>
        <v/>
      </c>
      <c r="T585" s="120" t="n"/>
      <c r="U585" s="127" t="n">
        <v>3</v>
      </c>
      <c r="V585" s="115" t="n"/>
      <c r="W585" s="16" t="n"/>
      <c r="X585" s="17" t="n"/>
      <c r="Y585" s="128">
        <f>DADOS_INVOC!$IN$4</f>
        <v/>
      </c>
      <c r="Z585" s="120" t="n"/>
      <c r="AB585" s="127" t="n">
        <v>3</v>
      </c>
      <c r="AC585" s="115" t="n"/>
      <c r="AD585" s="16" t="n"/>
      <c r="AE585" s="17" t="n"/>
      <c r="AF585" s="128">
        <f>DADOS_INVOC!$IL$10</f>
        <v/>
      </c>
      <c r="AG585" s="120" t="n"/>
      <c r="AH585" s="127" t="n">
        <v>3</v>
      </c>
      <c r="AI585" s="115" t="n"/>
      <c r="AJ585" s="16" t="n"/>
      <c r="AK585" s="17" t="n"/>
      <c r="AL585" s="128">
        <f>DADOS_INVOC!$IM$10</f>
        <v/>
      </c>
      <c r="AM585" s="120" t="n"/>
      <c r="AN585" s="127" t="n">
        <v>3</v>
      </c>
      <c r="AO585" s="115" t="n"/>
      <c r="AP585" s="16" t="n"/>
      <c r="AQ585" s="17" t="n"/>
      <c r="AR585" s="128">
        <f>DADOS_INVOC!$IN$10</f>
        <v/>
      </c>
      <c r="AS585" s="120" t="n"/>
    </row>
    <row r="586" hidden="1" outlineLevel="2">
      <c r="A586" s="8" t="n"/>
      <c r="B586" s="14" t="n"/>
      <c r="C586" s="120" t="n"/>
      <c r="D586" s="120" t="n"/>
      <c r="E586" s="120" t="n"/>
      <c r="F586" s="120" t="n"/>
      <c r="G586" s="120" t="n"/>
      <c r="I586" s="116" t="n"/>
      <c r="J586" s="19" t="n"/>
      <c r="K586" s="19" t="n"/>
      <c r="L586" s="19" t="n"/>
      <c r="M586" s="20" t="n"/>
      <c r="N586" s="120" t="n"/>
      <c r="O586" s="116" t="n"/>
      <c r="P586" s="19" t="n"/>
      <c r="Q586" s="19" t="n"/>
      <c r="R586" s="19" t="n"/>
      <c r="S586" s="20" t="n"/>
      <c r="T586" s="120" t="n"/>
      <c r="U586" s="116" t="n"/>
      <c r="V586" s="19" t="n"/>
      <c r="W586" s="19" t="n"/>
      <c r="X586" s="19" t="n"/>
      <c r="Y586" s="20" t="n"/>
      <c r="Z586" s="120" t="n"/>
      <c r="AB586" s="116" t="n"/>
      <c r="AC586" s="19" t="n"/>
      <c r="AD586" s="19" t="n"/>
      <c r="AE586" s="19" t="n"/>
      <c r="AF586" s="20" t="n"/>
      <c r="AG586" s="120" t="n"/>
      <c r="AH586" s="116" t="n"/>
      <c r="AI586" s="19" t="n"/>
      <c r="AJ586" s="19" t="n"/>
      <c r="AK586" s="19" t="n"/>
      <c r="AL586" s="20" t="n"/>
      <c r="AM586" s="120" t="n"/>
      <c r="AN586" s="116" t="n"/>
      <c r="AO586" s="19" t="n"/>
      <c r="AP586" s="19" t="n"/>
      <c r="AQ586" s="19" t="n"/>
      <c r="AR586" s="20" t="n"/>
      <c r="AS586" s="120" t="n"/>
    </row>
    <row r="587" hidden="1" outlineLevel="2">
      <c r="A587" s="8" t="n"/>
      <c r="B587" s="14" t="n"/>
      <c r="C587" s="120" t="n"/>
      <c r="D587" s="120" t="n"/>
      <c r="E587" s="120" t="n"/>
      <c r="F587" s="120" t="n"/>
      <c r="G587" s="120" t="n"/>
      <c r="I587" s="21" t="n"/>
      <c r="M587" s="22" t="n"/>
      <c r="N587" s="120" t="n"/>
      <c r="O587" s="21" t="n"/>
      <c r="S587" s="22" t="n"/>
      <c r="T587" s="120" t="n"/>
      <c r="U587" s="21" t="n"/>
      <c r="Y587" s="22" t="n"/>
      <c r="Z587" s="120" t="n"/>
      <c r="AB587" s="21" t="n"/>
      <c r="AF587" s="22" t="n"/>
      <c r="AG587" s="120" t="n"/>
      <c r="AH587" s="21" t="n"/>
      <c r="AL587" s="22" t="n"/>
      <c r="AM587" s="120" t="n"/>
      <c r="AN587" s="21" t="n"/>
      <c r="AR587" s="22" t="n"/>
      <c r="AS587" s="120" t="n"/>
    </row>
    <row r="588" hidden="1" outlineLevel="2">
      <c r="A588" s="8" t="n"/>
      <c r="B588" s="14" t="n"/>
      <c r="C588" s="120" t="n"/>
      <c r="D588" s="120" t="n"/>
      <c r="E588" s="120" t="n"/>
      <c r="F588" s="120" t="n"/>
      <c r="G588" s="120" t="n"/>
      <c r="I588" s="21" t="n"/>
      <c r="M588" s="22" t="n"/>
      <c r="N588" s="120" t="n"/>
      <c r="O588" s="21" t="n"/>
      <c r="S588" s="22" t="n"/>
      <c r="T588" s="120" t="n"/>
      <c r="U588" s="21" t="n"/>
      <c r="Y588" s="22" t="n"/>
      <c r="Z588" s="120" t="n"/>
      <c r="AB588" s="21" t="n"/>
      <c r="AF588" s="22" t="n"/>
      <c r="AG588" s="120" t="n"/>
      <c r="AH588" s="21" t="n"/>
      <c r="AL588" s="22" t="n"/>
      <c r="AM588" s="120" t="n"/>
      <c r="AN588" s="21" t="n"/>
      <c r="AR588" s="22" t="n"/>
      <c r="AS588" s="120" t="n"/>
    </row>
    <row r="589" hidden="1" outlineLevel="2">
      <c r="A589" s="8" t="n"/>
      <c r="B589" s="14" t="n"/>
      <c r="C589" s="120" t="n"/>
      <c r="D589" s="120" t="n"/>
      <c r="E589" s="120" t="n"/>
      <c r="F589" s="120" t="n"/>
      <c r="G589" s="120" t="n"/>
      <c r="I589" s="23" t="n"/>
      <c r="J589" s="24" t="n"/>
      <c r="K589" s="24" t="n"/>
      <c r="L589" s="24" t="n"/>
      <c r="M589" s="25" t="n"/>
      <c r="N589" s="120" t="n"/>
      <c r="O589" s="23" t="n"/>
      <c r="P589" s="24" t="n"/>
      <c r="Q589" s="24" t="n"/>
      <c r="R589" s="24" t="n"/>
      <c r="S589" s="25" t="n"/>
      <c r="T589" s="120" t="n"/>
      <c r="U589" s="23" t="n"/>
      <c r="V589" s="24" t="n"/>
      <c r="W589" s="24" t="n"/>
      <c r="X589" s="24" t="n"/>
      <c r="Y589" s="25" t="n"/>
      <c r="Z589" s="120" t="n"/>
      <c r="AB589" s="23" t="n"/>
      <c r="AC589" s="24" t="n"/>
      <c r="AD589" s="24" t="n"/>
      <c r="AE589" s="24" t="n"/>
      <c r="AF589" s="25" t="n"/>
      <c r="AG589" s="120" t="n"/>
      <c r="AH589" s="23" t="n"/>
      <c r="AI589" s="24" t="n"/>
      <c r="AJ589" s="24" t="n"/>
      <c r="AK589" s="24" t="n"/>
      <c r="AL589" s="25" t="n"/>
      <c r="AM589" s="120" t="n"/>
      <c r="AN589" s="23" t="n"/>
      <c r="AO589" s="24" t="n"/>
      <c r="AP589" s="24" t="n"/>
      <c r="AQ589" s="24" t="n"/>
      <c r="AR589" s="25" t="n"/>
      <c r="AS589" s="120" t="n"/>
    </row>
    <row r="590" hidden="1" outlineLevel="2">
      <c r="A590" s="8" t="n"/>
      <c r="B590" s="14" t="n"/>
      <c r="C590" s="120" t="n"/>
      <c r="D590" s="120" t="n"/>
      <c r="E590" s="120" t="n"/>
      <c r="F590" s="120" t="n"/>
      <c r="G590" s="120" t="n"/>
      <c r="I590" s="68">
        <f>DADOS_INVOC!$IO$4</f>
        <v/>
      </c>
      <c r="J590" s="16" t="n"/>
      <c r="K590" s="16" t="n"/>
      <c r="L590" s="16" t="n"/>
      <c r="M590" s="17" t="n"/>
      <c r="N590" s="120" t="n"/>
      <c r="O590" s="68">
        <f>DADOS_INVOC!$IP$4</f>
        <v/>
      </c>
      <c r="P590" s="16" t="n"/>
      <c r="Q590" s="16" t="n"/>
      <c r="R590" s="16" t="n"/>
      <c r="S590" s="17" t="n"/>
      <c r="T590" s="120" t="n"/>
      <c r="U590" s="68">
        <f>DADOS_INVOC!$IQ$4</f>
        <v/>
      </c>
      <c r="V590" s="16" t="n"/>
      <c r="W590" s="16" t="n"/>
      <c r="X590" s="16" t="n"/>
      <c r="Y590" s="17" t="n"/>
      <c r="Z590" s="120" t="n"/>
      <c r="AB590" s="68">
        <f>DADOS_INVOC!$IO$10</f>
        <v/>
      </c>
      <c r="AC590" s="16" t="n"/>
      <c r="AD590" s="16" t="n"/>
      <c r="AE590" s="16" t="n"/>
      <c r="AF590" s="17" t="n"/>
      <c r="AG590" s="120" t="n"/>
      <c r="AH590" s="68">
        <f>DADOS_INVOC!$IP$10</f>
        <v/>
      </c>
      <c r="AI590" s="16" t="n"/>
      <c r="AJ590" s="16" t="n"/>
      <c r="AK590" s="16" t="n"/>
      <c r="AL590" s="17" t="n"/>
      <c r="AM590" s="120" t="n"/>
      <c r="AN590" s="68">
        <f>DADOS_INVOC!$IQ$10</f>
        <v/>
      </c>
      <c r="AO590" s="16" t="n"/>
      <c r="AP590" s="16" t="n"/>
      <c r="AQ590" s="16" t="n"/>
      <c r="AR590" s="17" t="n"/>
      <c r="AS590" s="120" t="n"/>
    </row>
    <row r="591" hidden="1" outlineLevel="2">
      <c r="A591" s="8" t="n"/>
      <c r="B591" s="14" t="n"/>
      <c r="C591" s="120" t="n"/>
      <c r="D591" s="120" t="n"/>
      <c r="E591" s="120" t="n"/>
      <c r="F591" s="120" t="n"/>
      <c r="G591" s="120" t="n"/>
      <c r="I591" s="124" t="inlineStr">
        <is>
          <t>Sua Ação Completa + a básica dela</t>
        </is>
      </c>
      <c r="J591" s="16" t="n"/>
      <c r="K591" s="16" t="n"/>
      <c r="L591" s="16" t="n"/>
      <c r="M591" s="17" t="n"/>
      <c r="N591" s="120" t="n"/>
      <c r="O591" s="124" t="inlineStr">
        <is>
          <t>Sua Ação Completa + a básica dela</t>
        </is>
      </c>
      <c r="P591" s="16" t="n"/>
      <c r="Q591" s="16" t="n"/>
      <c r="R591" s="16" t="n"/>
      <c r="S591" s="17" t="n"/>
      <c r="T591" s="120" t="n"/>
      <c r="U591" s="124" t="inlineStr">
        <is>
          <t>Sua Ação Completa + a básica dela</t>
        </is>
      </c>
      <c r="V591" s="16" t="n"/>
      <c r="W591" s="16" t="n"/>
      <c r="X591" s="16" t="n"/>
      <c r="Y591" s="17" t="n"/>
      <c r="Z591" s="120" t="n"/>
      <c r="AB591" s="124" t="inlineStr">
        <is>
          <t>Sua Ação Completa + a básica dela</t>
        </is>
      </c>
      <c r="AC591" s="16" t="n"/>
      <c r="AD591" s="16" t="n"/>
      <c r="AE591" s="16" t="n"/>
      <c r="AF591" s="17" t="n"/>
      <c r="AG591" s="120" t="n"/>
      <c r="AH591" s="124" t="inlineStr">
        <is>
          <t>Sua Ação Completa + a básica dela</t>
        </is>
      </c>
      <c r="AI591" s="16" t="n"/>
      <c r="AJ591" s="16" t="n"/>
      <c r="AK591" s="16" t="n"/>
      <c r="AL591" s="17" t="n"/>
      <c r="AM591" s="120" t="n"/>
      <c r="AN591" s="124" t="inlineStr">
        <is>
          <t>Sua Ação Completa + a básica dela</t>
        </is>
      </c>
      <c r="AO591" s="16" t="n"/>
      <c r="AP591" s="16" t="n"/>
      <c r="AQ591" s="16" t="n"/>
      <c r="AR591" s="17" t="n"/>
      <c r="AS591" s="120" t="n"/>
    </row>
    <row r="592" hidden="1" outlineLevel="2">
      <c r="A592" s="8" t="n"/>
      <c r="B592" s="14" t="n"/>
      <c r="C592" s="120" t="n"/>
      <c r="D592" s="120" t="n"/>
      <c r="E592" s="120" t="n"/>
      <c r="F592" s="120" t="n"/>
      <c r="G592" s="120" t="n"/>
      <c r="I592" s="120" t="n"/>
      <c r="J592" s="120" t="n"/>
      <c r="K592" s="120" t="n"/>
      <c r="L592" s="120" t="n"/>
      <c r="M592" s="120" t="n"/>
      <c r="N592" s="120" t="n"/>
      <c r="O592" s="120" t="n"/>
      <c r="P592" s="120" t="n"/>
      <c r="Q592" s="120" t="n"/>
      <c r="R592" s="120" t="n"/>
      <c r="S592" s="120" t="n"/>
      <c r="T592" s="120" t="n"/>
      <c r="U592" s="120" t="n"/>
      <c r="V592" s="120" t="n"/>
      <c r="W592" s="120" t="n"/>
      <c r="X592" s="120" t="n"/>
      <c r="Y592" s="120" t="n"/>
      <c r="Z592" s="120" t="n"/>
      <c r="AB592" s="120" t="n"/>
      <c r="AC592" s="120" t="n"/>
      <c r="AD592" s="120" t="n"/>
      <c r="AE592" s="120" t="n"/>
      <c r="AF592" s="120" t="n"/>
      <c r="AG592" s="120" t="n"/>
      <c r="AH592" s="120" t="n"/>
      <c r="AI592" s="120" t="n"/>
      <c r="AJ592" s="120" t="n"/>
      <c r="AK592" s="120" t="n"/>
      <c r="AL592" s="120" t="n"/>
      <c r="AM592" s="120" t="n"/>
      <c r="AN592" s="120" t="n"/>
      <c r="AO592" s="120" t="n"/>
      <c r="AP592" s="120" t="n"/>
      <c r="AQ592" s="120" t="n"/>
      <c r="AR592" s="120" t="n"/>
      <c r="AS592" s="120" t="n"/>
    </row>
    <row r="593" hidden="1" outlineLevel="2">
      <c r="A593" s="8" t="n"/>
      <c r="B593" s="14" t="n"/>
      <c r="C593" s="120" t="n"/>
      <c r="D593" s="120" t="n"/>
      <c r="E593" s="120" t="n"/>
      <c r="F593" s="120" t="n"/>
      <c r="G593" s="120" t="n"/>
      <c r="I593" s="55" t="inlineStr">
        <is>
          <t>TÉCNICA MÁXIMA</t>
        </is>
      </c>
      <c r="J593" s="16" t="n"/>
      <c r="K593" s="16" t="n"/>
      <c r="L593" s="16" t="n"/>
      <c r="M593" s="17" t="n"/>
      <c r="N593" s="120" t="n"/>
      <c r="O593" s="55" t="inlineStr">
        <is>
          <t>EXPANSÃO DE DOMÍNIO</t>
        </is>
      </c>
      <c r="P593" s="16" t="n"/>
      <c r="Q593" s="16" t="n"/>
      <c r="R593" s="16" t="n"/>
      <c r="S593" s="17" t="n"/>
      <c r="T593" s="120" t="n"/>
      <c r="U593" s="120" t="n"/>
      <c r="V593" s="120" t="n"/>
      <c r="W593" s="120" t="n"/>
      <c r="X593" s="120" t="n"/>
      <c r="Y593" s="120" t="n"/>
      <c r="Z593" s="120" t="n"/>
      <c r="AB593" s="55" t="inlineStr">
        <is>
          <t>TÉCNICA MÁXIMA</t>
        </is>
      </c>
      <c r="AC593" s="16" t="n"/>
      <c r="AD593" s="16" t="n"/>
      <c r="AE593" s="16" t="n"/>
      <c r="AF593" s="17" t="n"/>
      <c r="AG593" s="120" t="n"/>
      <c r="AH593" s="55" t="inlineStr">
        <is>
          <t>EXPANSÃO DE DOMÍNIO</t>
        </is>
      </c>
      <c r="AI593" s="16" t="n"/>
      <c r="AJ593" s="16" t="n"/>
      <c r="AK593" s="16" t="n"/>
      <c r="AL593" s="17" t="n"/>
      <c r="AM593" s="120" t="n"/>
      <c r="AN593" s="120" t="n"/>
      <c r="AO593" s="120" t="n"/>
      <c r="AP593" s="120" t="n"/>
      <c r="AQ593" s="120" t="n"/>
      <c r="AR593" s="120" t="n"/>
      <c r="AS593" s="120" t="n"/>
    </row>
    <row r="594" hidden="1" outlineLevel="2">
      <c r="A594" s="8" t="n"/>
      <c r="B594" s="14" t="n"/>
      <c r="C594" s="120" t="n"/>
      <c r="D594" s="120" t="n"/>
      <c r="E594" s="120" t="n"/>
      <c r="F594" s="120" t="n"/>
      <c r="G594" s="120" t="n"/>
      <c r="I594" s="115" t="n"/>
      <c r="J594" s="16" t="n"/>
      <c r="K594" s="16" t="n"/>
      <c r="L594" s="17" t="n"/>
      <c r="M594" s="128">
        <f>DADOS_INVOC!$IR$4</f>
        <v/>
      </c>
      <c r="N594" s="120" t="n"/>
      <c r="O594" s="115" t="n"/>
      <c r="P594" s="16" t="n"/>
      <c r="Q594" s="16" t="n"/>
      <c r="R594" s="17" t="n"/>
      <c r="S594" s="128">
        <f>DADOS_INVOC!$IT$4</f>
        <v/>
      </c>
      <c r="T594" s="120" t="n"/>
      <c r="U594" s="120" t="n"/>
      <c r="V594" s="120" t="n"/>
      <c r="W594" s="120" t="n"/>
      <c r="X594" s="120" t="n"/>
      <c r="Y594" s="120" t="n"/>
      <c r="Z594" s="120" t="n"/>
      <c r="AB594" s="115" t="n"/>
      <c r="AC594" s="16" t="n"/>
      <c r="AD594" s="16" t="n"/>
      <c r="AE594" s="17" t="n"/>
      <c r="AF594" s="128">
        <f>DADOS_INVOC!$IR$10</f>
        <v/>
      </c>
      <c r="AG594" s="120" t="n"/>
      <c r="AH594" s="115" t="n"/>
      <c r="AI594" s="16" t="n"/>
      <c r="AJ594" s="16" t="n"/>
      <c r="AK594" s="17" t="n"/>
      <c r="AL594" s="128">
        <f>DADOS_INVOC!$IT$10</f>
        <v/>
      </c>
      <c r="AM594" s="120" t="n"/>
      <c r="AN594" s="120" t="n"/>
      <c r="AO594" s="120" t="n"/>
      <c r="AP594" s="120" t="n"/>
      <c r="AQ594" s="120" t="n"/>
      <c r="AR594" s="120" t="n"/>
      <c r="AS594" s="120" t="n"/>
    </row>
    <row r="595" hidden="1" outlineLevel="2">
      <c r="A595" s="8" t="n"/>
      <c r="B595" s="14" t="n"/>
      <c r="C595" s="120" t="n"/>
      <c r="D595" s="120" t="n"/>
      <c r="E595" s="120" t="n"/>
      <c r="F595" s="120" t="n"/>
      <c r="G595" s="120" t="n"/>
      <c r="I595" s="116" t="n"/>
      <c r="J595" s="19" t="n"/>
      <c r="K595" s="19" t="n"/>
      <c r="L595" s="19" t="n"/>
      <c r="M595" s="20" t="n"/>
      <c r="N595" s="120" t="n"/>
      <c r="O595" s="116" t="n"/>
      <c r="P595" s="19" t="n"/>
      <c r="Q595" s="19" t="n"/>
      <c r="R595" s="19" t="n"/>
      <c r="S595" s="20" t="n"/>
      <c r="T595" s="120" t="n"/>
      <c r="U595" s="120" t="n"/>
      <c r="V595" s="120" t="n"/>
      <c r="W595" s="120" t="n"/>
      <c r="X595" s="120" t="n"/>
      <c r="Y595" s="120" t="n"/>
      <c r="Z595" s="120" t="n"/>
      <c r="AB595" s="116" t="n"/>
      <c r="AC595" s="19" t="n"/>
      <c r="AD595" s="19" t="n"/>
      <c r="AE595" s="19" t="n"/>
      <c r="AF595" s="20" t="n"/>
      <c r="AG595" s="120" t="n"/>
      <c r="AH595" s="116" t="n"/>
      <c r="AI595" s="19" t="n"/>
      <c r="AJ595" s="19" t="n"/>
      <c r="AK595" s="19" t="n"/>
      <c r="AL595" s="20" t="n"/>
      <c r="AM595" s="120" t="n"/>
      <c r="AN595" s="120" t="n"/>
      <c r="AO595" s="120" t="n"/>
      <c r="AP595" s="120" t="n"/>
      <c r="AQ595" s="120" t="n"/>
      <c r="AR595" s="120" t="n"/>
      <c r="AS595" s="120" t="n"/>
    </row>
    <row r="596" hidden="1" outlineLevel="2">
      <c r="A596" s="8" t="n"/>
      <c r="B596" s="14" t="n"/>
      <c r="C596" s="120" t="n"/>
      <c r="D596" s="120" t="n"/>
      <c r="E596" s="120" t="n"/>
      <c r="F596" s="120" t="n"/>
      <c r="G596" s="120" t="n"/>
      <c r="I596" s="21" t="n"/>
      <c r="M596" s="22" t="n"/>
      <c r="N596" s="120" t="n"/>
      <c r="O596" s="21" t="n"/>
      <c r="S596" s="22" t="n"/>
      <c r="T596" s="120" t="n"/>
      <c r="U596" s="120" t="n"/>
      <c r="V596" s="120" t="n"/>
      <c r="W596" s="120" t="n"/>
      <c r="X596" s="120" t="n"/>
      <c r="Y596" s="120" t="n"/>
      <c r="Z596" s="120" t="n"/>
      <c r="AB596" s="21" t="n"/>
      <c r="AF596" s="22" t="n"/>
      <c r="AG596" s="120" t="n"/>
      <c r="AH596" s="21" t="n"/>
      <c r="AL596" s="22" t="n"/>
      <c r="AM596" s="120" t="n"/>
      <c r="AN596" s="120" t="n"/>
      <c r="AO596" s="120" t="n"/>
      <c r="AP596" s="120" t="n"/>
      <c r="AQ596" s="120" t="n"/>
      <c r="AR596" s="120" t="n"/>
      <c r="AS596" s="120" t="n"/>
    </row>
    <row r="597" hidden="1" outlineLevel="2">
      <c r="A597" s="8" t="n"/>
      <c r="B597" s="14" t="n"/>
      <c r="C597" s="120" t="n"/>
      <c r="D597" s="120" t="n"/>
      <c r="E597" s="120" t="n"/>
      <c r="F597" s="120" t="n"/>
      <c r="G597" s="120" t="n"/>
      <c r="I597" s="21" t="n"/>
      <c r="M597" s="22" t="n"/>
      <c r="N597" s="120" t="n"/>
      <c r="O597" s="21" t="n"/>
      <c r="S597" s="22" t="n"/>
      <c r="T597" s="120" t="n"/>
      <c r="U597" s="120" t="n"/>
      <c r="V597" s="120" t="n"/>
      <c r="W597" s="120" t="n"/>
      <c r="X597" s="120" t="n"/>
      <c r="Y597" s="120" t="n"/>
      <c r="Z597" s="120" t="n"/>
      <c r="AB597" s="21" t="n"/>
      <c r="AF597" s="22" t="n"/>
      <c r="AG597" s="120" t="n"/>
      <c r="AH597" s="21" t="n"/>
      <c r="AL597" s="22" t="n"/>
      <c r="AM597" s="120" t="n"/>
      <c r="AN597" s="120" t="n"/>
      <c r="AO597" s="120" t="n"/>
      <c r="AP597" s="120" t="n"/>
      <c r="AQ597" s="120" t="n"/>
      <c r="AR597" s="120" t="n"/>
      <c r="AS597" s="120" t="n"/>
    </row>
    <row r="598" hidden="1" outlineLevel="2">
      <c r="A598" s="8" t="n"/>
      <c r="B598" s="14" t="n"/>
      <c r="C598" s="120" t="n"/>
      <c r="D598" s="120" t="n"/>
      <c r="E598" s="120" t="n"/>
      <c r="F598" s="120" t="n"/>
      <c r="G598" s="120" t="n"/>
      <c r="I598" s="23" t="n"/>
      <c r="J598" s="24" t="n"/>
      <c r="K598" s="24" t="n"/>
      <c r="L598" s="24" t="n"/>
      <c r="M598" s="25" t="n"/>
      <c r="N598" s="120" t="n"/>
      <c r="O598" s="23" t="n"/>
      <c r="P598" s="24" t="n"/>
      <c r="Q598" s="24" t="n"/>
      <c r="R598" s="24" t="n"/>
      <c r="S598" s="25" t="n"/>
      <c r="T598" s="120" t="n"/>
      <c r="U598" s="120" t="n"/>
      <c r="V598" s="120" t="n"/>
      <c r="W598" s="120" t="n"/>
      <c r="X598" s="120" t="n"/>
      <c r="Y598" s="120" t="n"/>
      <c r="Z598" s="120" t="n"/>
      <c r="AB598" s="23" t="n"/>
      <c r="AC598" s="24" t="n"/>
      <c r="AD598" s="24" t="n"/>
      <c r="AE598" s="24" t="n"/>
      <c r="AF598" s="25" t="n"/>
      <c r="AG598" s="120" t="n"/>
      <c r="AH598" s="23" t="n"/>
      <c r="AI598" s="24" t="n"/>
      <c r="AJ598" s="24" t="n"/>
      <c r="AK598" s="24" t="n"/>
      <c r="AL598" s="25" t="n"/>
      <c r="AM598" s="120" t="n"/>
      <c r="AN598" s="120" t="n"/>
      <c r="AO598" s="120" t="n"/>
      <c r="AP598" s="120" t="n"/>
      <c r="AQ598" s="120" t="n"/>
      <c r="AR598" s="120" t="n"/>
      <c r="AS598" s="120" t="n"/>
    </row>
    <row r="599" hidden="1" outlineLevel="2">
      <c r="A599" s="8" t="n"/>
      <c r="B599" s="14" t="n"/>
      <c r="C599" s="120" t="n"/>
      <c r="D599" s="120" t="n"/>
      <c r="E599" s="120" t="n"/>
      <c r="F599" s="120" t="n"/>
      <c r="G599" s="120" t="n"/>
      <c r="I599" s="68">
        <f>DADOS_INVOC!$IS$4</f>
        <v/>
      </c>
      <c r="J599" s="16" t="n"/>
      <c r="K599" s="16" t="n"/>
      <c r="L599" s="16" t="n"/>
      <c r="M599" s="17" t="n"/>
      <c r="N599" s="120" t="n"/>
      <c r="O599" s="124" t="n"/>
      <c r="P599" s="17" t="n"/>
      <c r="Q599" s="68">
        <f>DADOS_INVOC!$IU$4</f>
        <v/>
      </c>
      <c r="R599" s="16" t="n"/>
      <c r="S599" s="17" t="n"/>
      <c r="T599" s="120" t="n"/>
      <c r="U599" s="120" t="n"/>
      <c r="V599" s="120" t="n"/>
      <c r="W599" s="120" t="n"/>
      <c r="X599" s="120" t="n"/>
      <c r="Y599" s="120" t="n"/>
      <c r="Z599" s="120" t="n"/>
      <c r="AB599" s="68">
        <f>DADOS_INVOC!$IS$10</f>
        <v/>
      </c>
      <c r="AC599" s="16" t="n"/>
      <c r="AD599" s="16" t="n"/>
      <c r="AE599" s="16" t="n"/>
      <c r="AF599" s="17" t="n"/>
      <c r="AG599" s="120" t="n"/>
      <c r="AH599" s="124" t="n"/>
      <c r="AI599" s="17" t="n"/>
      <c r="AJ599" s="68">
        <f>DADOS_INVOC!$IU$10</f>
        <v/>
      </c>
      <c r="AK599" s="16" t="n"/>
      <c r="AL599" s="17" t="n"/>
      <c r="AM599" s="120" t="n"/>
      <c r="AN599" s="120" t="n"/>
      <c r="AO599" s="120" t="n"/>
      <c r="AP599" s="120" t="n"/>
      <c r="AQ599" s="120" t="n"/>
      <c r="AR599" s="120" t="n"/>
      <c r="AS599" s="120" t="n"/>
    </row>
    <row r="600" hidden="1" outlineLevel="2">
      <c r="A600" s="8" t="n"/>
      <c r="B600" s="14" t="n"/>
      <c r="C600" s="120" t="n"/>
      <c r="D600" s="120" t="n"/>
      <c r="E600" s="120" t="n"/>
      <c r="F600" s="120" t="n"/>
      <c r="G600" s="120" t="n"/>
      <c r="I600" s="124" t="inlineStr">
        <is>
          <t>Sua Ação Completa + a básica dela</t>
        </is>
      </c>
      <c r="J600" s="16" t="n"/>
      <c r="K600" s="16" t="n"/>
      <c r="L600" s="16" t="n"/>
      <c r="M600" s="17" t="n"/>
      <c r="N600" s="120" t="n"/>
      <c r="O600" s="129">
        <f>DADOS_INVOC!$IV$4</f>
        <v/>
      </c>
      <c r="P600" s="16" t="n"/>
      <c r="Q600" s="16" t="n"/>
      <c r="R600" s="16" t="n"/>
      <c r="S600" s="17" t="n"/>
      <c r="T600" s="120" t="n"/>
      <c r="U600" s="120" t="n"/>
      <c r="V600" s="120" t="n"/>
      <c r="W600" s="120" t="n"/>
      <c r="X600" s="120" t="n"/>
      <c r="Y600" s="120" t="n"/>
      <c r="Z600" s="120" t="n"/>
      <c r="AB600" s="124" t="inlineStr">
        <is>
          <t>Sua Ação Completa + a básica dela</t>
        </is>
      </c>
      <c r="AC600" s="16" t="n"/>
      <c r="AD600" s="16" t="n"/>
      <c r="AE600" s="16" t="n"/>
      <c r="AF600" s="17" t="n"/>
      <c r="AG600" s="120" t="n"/>
      <c r="AH600" s="129">
        <f>DADOS_INVOC!$IV$10</f>
        <v/>
      </c>
      <c r="AI600" s="16" t="n"/>
      <c r="AJ600" s="16" t="n"/>
      <c r="AK600" s="16" t="n"/>
      <c r="AL600" s="17" t="n"/>
      <c r="AM600" s="120" t="n"/>
      <c r="AN600" s="120" t="n"/>
      <c r="AO600" s="120" t="n"/>
      <c r="AP600" s="120" t="n"/>
      <c r="AQ600" s="120" t="n"/>
      <c r="AR600" s="120" t="n"/>
      <c r="AS600" s="120" t="n"/>
    </row>
    <row r="601">
      <c r="A601" s="8" t="n"/>
      <c r="B601" s="14" t="n"/>
      <c r="C601" s="120" t="n"/>
      <c r="D601" s="120" t="n"/>
      <c r="E601" s="120" t="n"/>
      <c r="F601" s="120" t="n"/>
      <c r="G601" s="120" t="n"/>
      <c r="H601" s="120" t="n"/>
      <c r="I601" s="120" t="n"/>
      <c r="J601" s="120" t="n"/>
      <c r="K601" s="120" t="n"/>
      <c r="L601" s="120" t="n"/>
      <c r="M601" s="120" t="n"/>
      <c r="N601" s="120" t="n"/>
      <c r="O601" s="120" t="n"/>
      <c r="P601" s="120" t="n"/>
      <c r="Q601" s="120" t="n"/>
      <c r="R601" s="120" t="n"/>
      <c r="S601" s="120" t="n"/>
      <c r="T601" s="120" t="n"/>
      <c r="U601" s="120" t="n"/>
      <c r="V601" s="120" t="n"/>
      <c r="W601" s="120" t="n"/>
      <c r="X601" s="120" t="n"/>
      <c r="Y601" s="120" t="n"/>
      <c r="Z601" s="120" t="n"/>
      <c r="AA601" s="120" t="n"/>
      <c r="AB601" s="120" t="n"/>
      <c r="AC601" s="120" t="n"/>
      <c r="AD601" s="120" t="n"/>
      <c r="AE601" s="120" t="n"/>
      <c r="AF601" s="120" t="n"/>
      <c r="AG601" s="120" t="n"/>
      <c r="AH601" s="120" t="n"/>
      <c r="AI601" s="120" t="n"/>
      <c r="AJ601" s="120" t="n"/>
      <c r="AK601" s="120" t="n"/>
      <c r="AL601" s="120" t="n"/>
      <c r="AM601" s="120" t="n"/>
      <c r="AN601" s="120" t="n"/>
      <c r="AO601" s="120" t="n"/>
      <c r="AP601" s="120" t="n"/>
      <c r="AQ601" s="120" t="n"/>
      <c r="AR601" s="120" t="n"/>
      <c r="AS601" s="120" t="n"/>
    </row>
    <row r="602">
      <c r="A602" s="8" t="n"/>
      <c r="B602" s="14" t="n"/>
      <c r="C602" s="120" t="n"/>
      <c r="D602" s="120" t="n"/>
      <c r="E602" s="120" t="n"/>
      <c r="F602" s="120" t="n"/>
      <c r="G602" s="120" t="n"/>
      <c r="H602" s="120" t="n"/>
      <c r="I602" s="120" t="n"/>
      <c r="J602" s="120" t="n"/>
      <c r="K602" s="120" t="n"/>
      <c r="L602" s="120" t="n"/>
      <c r="M602" s="120" t="n"/>
      <c r="N602" s="120" t="n"/>
      <c r="O602" s="120" t="n"/>
      <c r="P602" s="120" t="n"/>
      <c r="Q602" s="120" t="n"/>
      <c r="R602" s="120" t="n"/>
      <c r="S602" s="120" t="n"/>
      <c r="T602" s="120" t="n"/>
      <c r="U602" s="120" t="n"/>
      <c r="V602" s="120" t="n"/>
      <c r="W602" s="120" t="n"/>
      <c r="X602" s="120" t="n"/>
      <c r="Y602" s="120" t="n"/>
      <c r="Z602" s="120" t="n"/>
      <c r="AA602" s="120" t="n"/>
      <c r="AB602" s="120" t="n"/>
      <c r="AC602" s="120" t="n"/>
      <c r="AD602" s="120" t="n"/>
      <c r="AE602" s="120" t="n"/>
      <c r="AF602" s="120" t="n"/>
      <c r="AG602" s="120" t="n"/>
      <c r="AH602" s="120" t="n"/>
      <c r="AI602" s="120" t="n"/>
      <c r="AJ602" s="120" t="n"/>
      <c r="AK602" s="120" t="n"/>
      <c r="AL602" s="120" t="n"/>
      <c r="AM602" s="120" t="n"/>
      <c r="AN602" s="120" t="n"/>
      <c r="AO602" s="120" t="n"/>
      <c r="AP602" s="120" t="n"/>
      <c r="AQ602" s="120" t="n"/>
      <c r="AR602" s="120" t="n"/>
      <c r="AS602" s="120" t="n"/>
    </row>
    <row r="603">
      <c r="A603" s="8" t="n"/>
      <c r="B603" s="14" t="n"/>
      <c r="C603" s="120" t="n"/>
      <c r="D603" s="120" t="n"/>
      <c r="E603" s="120" t="n"/>
      <c r="F603" s="120" t="n"/>
      <c r="G603" s="120" t="n"/>
      <c r="H603" s="138" t="n">
        <v>4</v>
      </c>
      <c r="I603" s="139" t="n">
        <v>4</v>
      </c>
      <c r="J603" s="123">
        <f>DADOS_INVOC!$GS$5</f>
        <v/>
      </c>
      <c r="K603" s="19" t="n"/>
      <c r="L603" s="19" t="n"/>
      <c r="M603" s="19" t="n"/>
      <c r="N603" s="19" t="n"/>
      <c r="O603" s="19" t="n"/>
      <c r="P603" s="19" t="n"/>
      <c r="Q603" s="19" t="n"/>
      <c r="R603" s="19" t="n"/>
      <c r="S603" s="19" t="n"/>
      <c r="T603" s="19" t="n"/>
      <c r="U603" s="19" t="n"/>
      <c r="V603" s="19" t="n"/>
      <c r="W603" s="19" t="n"/>
      <c r="X603" s="19" t="n"/>
      <c r="Y603" s="20" t="n"/>
      <c r="Z603" s="120" t="n"/>
      <c r="AA603" s="138" t="n">
        <v>10</v>
      </c>
      <c r="AB603" s="139" t="n">
        <v>10</v>
      </c>
      <c r="AC603" s="123">
        <f>DADOS_INVOC!$GS$11</f>
        <v/>
      </c>
      <c r="AD603" s="19" t="n"/>
      <c r="AE603" s="19" t="n"/>
      <c r="AF603" s="19" t="n"/>
      <c r="AG603" s="19" t="n"/>
      <c r="AH603" s="19" t="n"/>
      <c r="AI603" s="19" t="n"/>
      <c r="AJ603" s="19" t="n"/>
      <c r="AK603" s="19" t="n"/>
      <c r="AL603" s="19" t="n"/>
      <c r="AM603" s="19" t="n"/>
      <c r="AN603" s="19" t="n"/>
      <c r="AO603" s="19" t="n"/>
      <c r="AP603" s="19" t="n"/>
      <c r="AQ603" s="19" t="n"/>
      <c r="AR603" s="20" t="n"/>
      <c r="AS603" s="120" t="n"/>
    </row>
    <row r="604">
      <c r="A604" s="8" t="n"/>
      <c r="B604" s="14" t="n"/>
      <c r="C604" s="120" t="n"/>
      <c r="D604" s="120" t="n"/>
      <c r="E604" s="120" t="n"/>
      <c r="F604" s="120" t="n"/>
      <c r="G604" s="120" t="n"/>
      <c r="I604" s="125" t="n"/>
      <c r="J604" s="23" t="n"/>
      <c r="K604" s="24" t="n"/>
      <c r="L604" s="24" t="n"/>
      <c r="M604" s="24" t="n"/>
      <c r="N604" s="24" t="n"/>
      <c r="O604" s="24" t="n"/>
      <c r="P604" s="24" t="n"/>
      <c r="Q604" s="24" t="n"/>
      <c r="R604" s="24" t="n"/>
      <c r="S604" s="24" t="n"/>
      <c r="T604" s="24" t="n"/>
      <c r="U604" s="24" t="n"/>
      <c r="V604" s="24" t="n"/>
      <c r="W604" s="24" t="n"/>
      <c r="X604" s="24" t="n"/>
      <c r="Y604" s="25" t="n"/>
      <c r="Z604" s="120"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20" t="n"/>
    </row>
    <row r="605" hidden="1" outlineLevel="1">
      <c r="A605" s="8" t="n"/>
      <c r="B605" s="14" t="n"/>
      <c r="C605" s="120" t="n"/>
      <c r="D605" s="120" t="n"/>
      <c r="E605" s="120" t="n"/>
      <c r="F605" s="120" t="n"/>
      <c r="G605" s="120" t="n"/>
      <c r="H605" s="140">
        <f>DADOS_INVOC!$GT$5</f>
        <v/>
      </c>
      <c r="I605" s="120" t="n"/>
      <c r="J605" s="120" t="n"/>
      <c r="K605" s="120" t="n"/>
      <c r="L605" s="120" t="n"/>
      <c r="M605" s="120" t="n"/>
      <c r="N605" s="120" t="n"/>
      <c r="O605" s="120" t="n"/>
      <c r="P605" s="120" t="n"/>
      <c r="Q605" s="120" t="n"/>
      <c r="R605" s="120" t="n"/>
      <c r="S605" s="120" t="n"/>
      <c r="T605" s="120" t="n"/>
      <c r="U605" s="120" t="n"/>
      <c r="V605" s="120" t="n"/>
      <c r="W605" s="120" t="n"/>
      <c r="X605" s="120" t="n"/>
      <c r="Y605" s="120" t="n"/>
      <c r="Z605" s="120" t="n"/>
      <c r="AA605" s="140">
        <f>DADOS_INVOC!$GT$11</f>
        <v/>
      </c>
      <c r="AB605" s="120" t="n"/>
      <c r="AC605" s="120" t="n"/>
      <c r="AD605" s="120" t="n"/>
      <c r="AE605" s="120" t="n"/>
      <c r="AF605" s="120" t="n"/>
      <c r="AG605" s="120" t="n"/>
      <c r="AH605" s="120" t="n"/>
      <c r="AI605" s="120" t="n"/>
      <c r="AJ605" s="120" t="n"/>
      <c r="AK605" s="120" t="n"/>
      <c r="AL605" s="120" t="n"/>
      <c r="AM605" s="120" t="n"/>
      <c r="AN605" s="120" t="n"/>
      <c r="AO605" s="120" t="n"/>
      <c r="AP605" s="120" t="n"/>
      <c r="AQ605" s="120" t="n"/>
      <c r="AR605" s="120" t="n"/>
      <c r="AS605" s="120" t="n"/>
    </row>
    <row r="606" hidden="1" outlineLevel="1">
      <c r="A606" s="8" t="n"/>
      <c r="B606" s="14" t="n"/>
      <c r="C606" s="120" t="n"/>
      <c r="D606" s="120" t="n"/>
      <c r="E606" s="120" t="n"/>
      <c r="F606" s="120" t="n"/>
      <c r="G606" s="120" t="n"/>
      <c r="I606" s="55" t="inlineStr">
        <is>
          <t>NOME</t>
        </is>
      </c>
      <c r="J606" s="16" t="n"/>
      <c r="K606" s="16" t="n"/>
      <c r="L606" s="16" t="n"/>
      <c r="M606" s="17" t="n"/>
      <c r="N606" s="120" t="n"/>
      <c r="O606" s="55" t="inlineStr">
        <is>
          <t>NÍVEL</t>
        </is>
      </c>
      <c r="P606" s="55" t="inlineStr">
        <is>
          <t>CLASSE</t>
        </is>
      </c>
      <c r="Q606" s="55" t="inlineStr">
        <is>
          <t>MAESTRIA</t>
        </is>
      </c>
      <c r="R606" s="55" t="inlineStr">
        <is>
          <t>ENTRADA</t>
        </is>
      </c>
      <c r="S606" s="55" t="inlineStr">
        <is>
          <t>RETORNO</t>
        </is>
      </c>
      <c r="T606" s="120" t="n"/>
      <c r="U606" s="55" t="inlineStr">
        <is>
          <t>VIDA ATUAL</t>
        </is>
      </c>
      <c r="V606" s="55" t="inlineStr">
        <is>
          <t>VIDA MÁXIMA</t>
        </is>
      </c>
      <c r="W606" s="55" t="inlineStr">
        <is>
          <t>TEMPORÁRIA</t>
        </is>
      </c>
      <c r="X606" s="55" t="inlineStr">
        <is>
          <t>± PERDA / GANHO</t>
        </is>
      </c>
      <c r="Y606" s="55">
        <f>DADOS_INVOC!$HN$5</f>
        <v/>
      </c>
      <c r="Z606" s="120" t="n"/>
      <c r="AB606" s="55" t="inlineStr">
        <is>
          <t>NOME</t>
        </is>
      </c>
      <c r="AC606" s="16" t="n"/>
      <c r="AD606" s="16" t="n"/>
      <c r="AE606" s="16" t="n"/>
      <c r="AF606" s="17" t="n"/>
      <c r="AG606" s="120" t="n"/>
      <c r="AH606" s="55" t="inlineStr">
        <is>
          <t>NÍVEL</t>
        </is>
      </c>
      <c r="AI606" s="55" t="inlineStr">
        <is>
          <t>CLASSE</t>
        </is>
      </c>
      <c r="AJ606" s="55" t="inlineStr">
        <is>
          <t>MAESTRIA</t>
        </is>
      </c>
      <c r="AK606" s="55" t="inlineStr">
        <is>
          <t>ENTRADA</t>
        </is>
      </c>
      <c r="AL606" s="55" t="inlineStr">
        <is>
          <t>RETORNO</t>
        </is>
      </c>
      <c r="AM606" s="120" t="n"/>
      <c r="AN606" s="55" t="inlineStr">
        <is>
          <t>VIDA ATUAL</t>
        </is>
      </c>
      <c r="AO606" s="55" t="inlineStr">
        <is>
          <t>VIDA MÁXIMA</t>
        </is>
      </c>
      <c r="AP606" s="55" t="inlineStr">
        <is>
          <t>TEMPORÁRIA</t>
        </is>
      </c>
      <c r="AQ606" s="55" t="inlineStr">
        <is>
          <t>± PERDA / GANHO</t>
        </is>
      </c>
      <c r="AR606" s="55">
        <f>DADOS_INVOC!$HN$11</f>
        <v/>
      </c>
      <c r="AS606" s="120" t="n"/>
    </row>
    <row r="607" hidden="1" outlineLevel="1">
      <c r="A607" s="8" t="n"/>
      <c r="B607" s="14" t="n"/>
      <c r="C607" s="120" t="n"/>
      <c r="D607" s="120" t="n"/>
      <c r="E607" s="120" t="n"/>
      <c r="F607" s="120" t="n"/>
      <c r="G607" s="120" t="n"/>
      <c r="I607" s="83" t="n"/>
      <c r="J607" s="19" t="n"/>
      <c r="K607" s="19" t="n"/>
      <c r="L607" s="19" t="n"/>
      <c r="M607" s="20" t="n"/>
      <c r="N607" s="120" t="n"/>
      <c r="O607" s="92">
        <f>DADOS_INVOC!$FG$5</f>
        <v/>
      </c>
      <c r="P607" s="92">
        <f>DADOS_INVOC!$FH$5</f>
        <v/>
      </c>
      <c r="Q607" s="92">
        <f>DADOS_INVOC!$GU$5</f>
        <v/>
      </c>
      <c r="R607" s="92">
        <f>DADOS_INVOC!$GV$5</f>
        <v/>
      </c>
      <c r="S607" s="92">
        <f>DADOS_INVOC!$GW$5</f>
        <v/>
      </c>
      <c r="T607" s="120" t="n"/>
      <c r="U607" s="92" t="n"/>
      <c r="V607" s="92">
        <f>DADOS_INVOC!$FX$5</f>
        <v/>
      </c>
      <c r="W607" s="92" t="n"/>
      <c r="X607" s="92" t="n"/>
      <c r="Y607" s="92" t="n"/>
      <c r="Z607" s="120" t="n"/>
      <c r="AB607" s="83" t="n"/>
      <c r="AC607" s="19" t="n"/>
      <c r="AD607" s="19" t="n"/>
      <c r="AE607" s="19" t="n"/>
      <c r="AF607" s="20" t="n"/>
      <c r="AG607" s="120" t="n"/>
      <c r="AH607" s="92">
        <f>DADOS_INVOC!$FG$11</f>
        <v/>
      </c>
      <c r="AI607" s="92">
        <f>DADOS_INVOC!$FH$11</f>
        <v/>
      </c>
      <c r="AJ607" s="92">
        <f>DADOS_INVOC!$GU$11</f>
        <v/>
      </c>
      <c r="AK607" s="92">
        <f>DADOS_INVOC!$GV$11</f>
        <v/>
      </c>
      <c r="AL607" s="92">
        <f>DADOS_INVOC!$GW$11</f>
        <v/>
      </c>
      <c r="AM607" s="120" t="n"/>
      <c r="AN607" s="92" t="n"/>
      <c r="AO607" s="92">
        <f>DADOS_INVOC!$FX$11</f>
        <v/>
      </c>
      <c r="AP607" s="92" t="n"/>
      <c r="AQ607" s="92" t="n"/>
      <c r="AR607" s="92" t="n"/>
      <c r="AS607" s="120" t="n"/>
    </row>
    <row r="608" hidden="1" outlineLevel="1">
      <c r="A608" s="8" t="n"/>
      <c r="B608" s="14" t="n"/>
      <c r="C608" s="120" t="n"/>
      <c r="D608" s="120" t="n"/>
      <c r="E608" s="120" t="n"/>
      <c r="F608" s="120" t="n"/>
      <c r="G608" s="120" t="n"/>
      <c r="I608" s="23" t="n"/>
      <c r="J608" s="24" t="n"/>
      <c r="K608" s="24" t="n"/>
      <c r="L608" s="24" t="n"/>
      <c r="M608" s="25" t="n"/>
      <c r="N608" s="120" t="n"/>
      <c r="O608" s="125" t="n"/>
      <c r="P608" s="125" t="n"/>
      <c r="Q608" s="125" t="n"/>
      <c r="R608" s="125" t="n"/>
      <c r="S608" s="125" t="n"/>
      <c r="T608" s="120" t="n"/>
      <c r="U608" s="125" t="n"/>
      <c r="V608" s="125" t="n"/>
      <c r="W608" s="125" t="n"/>
      <c r="X608" s="125" t="n"/>
      <c r="Y608" s="125" t="n"/>
      <c r="Z608" s="120" t="n"/>
      <c r="AB608" s="23" t="n"/>
      <c r="AC608" s="24" t="n"/>
      <c r="AD608" s="24" t="n"/>
      <c r="AE608" s="24" t="n"/>
      <c r="AF608" s="25" t="n"/>
      <c r="AG608" s="120" t="n"/>
      <c r="AH608" s="125" t="n"/>
      <c r="AI608" s="125" t="n"/>
      <c r="AJ608" s="125" t="n"/>
      <c r="AK608" s="125" t="n"/>
      <c r="AL608" s="125" t="n"/>
      <c r="AM608" s="120" t="n"/>
      <c r="AN608" s="125" t="n"/>
      <c r="AO608" s="125" t="n"/>
      <c r="AP608" s="125" t="n"/>
      <c r="AQ608" s="125" t="n"/>
      <c r="AR608" s="125" t="n"/>
      <c r="AS608" s="120" t="n"/>
    </row>
    <row r="609" hidden="1" outlineLevel="1">
      <c r="A609" s="8" t="n"/>
      <c r="B609" s="14" t="n"/>
      <c r="C609" s="120" t="n"/>
      <c r="D609" s="120" t="n"/>
      <c r="E609" s="120" t="n"/>
      <c r="F609" s="120" t="n"/>
      <c r="G609" s="120" t="n"/>
      <c r="I609" s="141" t="inlineStr">
        <is>
          <t>FOTO
式神</t>
        </is>
      </c>
      <c r="J609" s="19" t="n"/>
      <c r="K609" s="19" t="n"/>
      <c r="L609" s="19" t="n"/>
      <c r="M609" s="20" t="n"/>
      <c r="N609" s="120" t="n"/>
      <c r="O609" s="120" t="n"/>
      <c r="P609" s="120" t="n"/>
      <c r="Q609" s="120" t="n"/>
      <c r="R609" s="120" t="n"/>
      <c r="S609" s="120" t="n"/>
      <c r="T609" s="120" t="n"/>
      <c r="U609" s="130">
        <f>IFERROR(SPARKLINE(DADOS_INVOC!$FY$5,{"charttype","bar";"max",MAX(1,DADOS_INVOC!$FX$5);"color1",DADOS_INVOC!$CW$12}),"")</f>
        <v/>
      </c>
      <c r="V609" s="16" t="n"/>
      <c r="W609" s="16" t="n"/>
      <c r="X609" s="16" t="n"/>
      <c r="Y609" s="17" t="n"/>
      <c r="Z609" s="120" t="n"/>
      <c r="AB609" s="141" t="inlineStr">
        <is>
          <t>FOTO
式神</t>
        </is>
      </c>
      <c r="AC609" s="19" t="n"/>
      <c r="AD609" s="19" t="n"/>
      <c r="AE609" s="19" t="n"/>
      <c r="AF609" s="20" t="n"/>
      <c r="AG609" s="120" t="n"/>
      <c r="AH609" s="120" t="n"/>
      <c r="AI609" s="120" t="n"/>
      <c r="AJ609" s="120" t="n"/>
      <c r="AK609" s="120" t="n"/>
      <c r="AL609" s="120" t="n"/>
      <c r="AM609" s="120" t="n"/>
      <c r="AN609" s="130">
        <f>IFERROR(SPARKLINE(DADOS_INVOC!$FY$11,{"charttype","bar";"max",MAX(1,DADOS_INVOC!$FX$11);"color1",DADOS_INVOC!$CW$12}),"")</f>
        <v/>
      </c>
      <c r="AO609" s="16" t="n"/>
      <c r="AP609" s="16" t="n"/>
      <c r="AQ609" s="16" t="n"/>
      <c r="AR609" s="17" t="n"/>
      <c r="AS609" s="120" t="n"/>
    </row>
    <row r="610" hidden="1" outlineLevel="1">
      <c r="A610" s="8" t="n"/>
      <c r="B610" s="14" t="n"/>
      <c r="C610" s="120" t="n"/>
      <c r="D610" s="120" t="n"/>
      <c r="E610" s="120" t="n"/>
      <c r="F610" s="120" t="n"/>
      <c r="G610" s="120" t="n"/>
      <c r="I610" s="21" t="n"/>
      <c r="M610" s="22" t="n"/>
      <c r="N610" s="120" t="n"/>
      <c r="O610" s="55">
        <f>DADOS_INVOC!$GX$5</f>
        <v/>
      </c>
      <c r="P610" s="16" t="n"/>
      <c r="Q610" s="16" t="n"/>
      <c r="R610" s="16" t="n"/>
      <c r="S610" s="17" t="n"/>
      <c r="T610" s="120" t="n"/>
      <c r="U610" s="120" t="n"/>
      <c r="V610" s="120" t="n"/>
      <c r="W610" s="120" t="n"/>
      <c r="X610" s="120" t="n"/>
      <c r="Y610" s="120" t="n"/>
      <c r="Z610" s="120" t="n"/>
      <c r="AB610" s="21" t="n"/>
      <c r="AF610" s="22" t="n"/>
      <c r="AG610" s="120" t="n"/>
      <c r="AH610" s="55">
        <f>DADOS_INVOC!$GX$11</f>
        <v/>
      </c>
      <c r="AI610" s="16" t="n"/>
      <c r="AJ610" s="16" t="n"/>
      <c r="AK610" s="16" t="n"/>
      <c r="AL610" s="17" t="n"/>
      <c r="AM610" s="120" t="n"/>
      <c r="AN610" s="120" t="n"/>
      <c r="AO610" s="120" t="n"/>
      <c r="AP610" s="120" t="n"/>
      <c r="AQ610" s="120" t="n"/>
      <c r="AR610" s="120" t="n"/>
      <c r="AS610" s="120" t="n"/>
    </row>
    <row r="611" hidden="1" outlineLevel="1">
      <c r="A611" s="8" t="n"/>
      <c r="B611" s="14" t="n"/>
      <c r="C611" s="120" t="n"/>
      <c r="D611" s="120" t="n"/>
      <c r="E611" s="120" t="n"/>
      <c r="F611" s="120" t="n"/>
      <c r="G611" s="120" t="n"/>
      <c r="I611" s="21" t="n"/>
      <c r="M611" s="22" t="n"/>
      <c r="N611" s="120" t="n"/>
      <c r="O611" s="55" t="inlineStr">
        <is>
          <t>FOR</t>
        </is>
      </c>
      <c r="P611" s="55" t="inlineStr">
        <is>
          <t>DES</t>
        </is>
      </c>
      <c r="Q611" s="55" t="inlineStr">
        <is>
          <t>CON</t>
        </is>
      </c>
      <c r="R611" s="55" t="inlineStr">
        <is>
          <t>INT</t>
        </is>
      </c>
      <c r="S611" s="55" t="inlineStr">
        <is>
          <t>ESS</t>
        </is>
      </c>
      <c r="T611" s="120" t="n"/>
      <c r="U611" s="55" t="inlineStr">
        <is>
          <t>CONDIÇÕES E USOS GASTOS</t>
        </is>
      </c>
      <c r="V611" s="16" t="n"/>
      <c r="W611" s="16" t="n"/>
      <c r="X611" s="16" t="n"/>
      <c r="Y611" s="17" t="n"/>
      <c r="Z611" s="120" t="n"/>
      <c r="AB611" s="21" t="n"/>
      <c r="AF611" s="22" t="n"/>
      <c r="AG611" s="120" t="n"/>
      <c r="AH611" s="55" t="inlineStr">
        <is>
          <t>FOR</t>
        </is>
      </c>
      <c r="AI611" s="55" t="inlineStr">
        <is>
          <t>DES</t>
        </is>
      </c>
      <c r="AJ611" s="55" t="inlineStr">
        <is>
          <t>CON</t>
        </is>
      </c>
      <c r="AK611" s="55" t="inlineStr">
        <is>
          <t>INT</t>
        </is>
      </c>
      <c r="AL611" s="55" t="inlineStr">
        <is>
          <t>ESS</t>
        </is>
      </c>
      <c r="AM611" s="120" t="n"/>
      <c r="AN611" s="55" t="inlineStr">
        <is>
          <t>CONDIÇÕES E USOS GASTOS</t>
        </is>
      </c>
      <c r="AO611" s="16" t="n"/>
      <c r="AP611" s="16" t="n"/>
      <c r="AQ611" s="16" t="n"/>
      <c r="AR611" s="17" t="n"/>
      <c r="AS611" s="120" t="n"/>
    </row>
    <row r="612" hidden="1" outlineLevel="1">
      <c r="A612" s="8" t="n"/>
      <c r="B612" s="14" t="n"/>
      <c r="C612" s="120" t="n"/>
      <c r="D612" s="120" t="n"/>
      <c r="E612" s="120" t="n"/>
      <c r="F612" s="120" t="n"/>
      <c r="G612" s="120" t="n"/>
      <c r="I612" s="21" t="n"/>
      <c r="M612" s="22" t="n"/>
      <c r="N612" s="120" t="n"/>
      <c r="O612" s="92">
        <f>DADOS_INVOC!$FJ$5</f>
        <v/>
      </c>
      <c r="P612" s="92">
        <f>DADOS_INVOC!$FK$5</f>
        <v/>
      </c>
      <c r="Q612" s="92">
        <f>DADOS_INVOC!$FL$5</f>
        <v/>
      </c>
      <c r="R612" s="92">
        <f>DADOS_INVOC!$FM$5</f>
        <v/>
      </c>
      <c r="S612" s="92">
        <f>DADOS_INVOC!$FN$5</f>
        <v/>
      </c>
      <c r="T612" s="120" t="n"/>
      <c r="U612" s="116" t="n"/>
      <c r="V612" s="19" t="n"/>
      <c r="W612" s="19" t="n"/>
      <c r="X612" s="19" t="n"/>
      <c r="Y612" s="20" t="n"/>
      <c r="Z612" s="120" t="n"/>
      <c r="AB612" s="21" t="n"/>
      <c r="AF612" s="22" t="n"/>
      <c r="AG612" s="120" t="n"/>
      <c r="AH612" s="92">
        <f>DADOS_INVOC!$FJ$11</f>
        <v/>
      </c>
      <c r="AI612" s="92">
        <f>DADOS_INVOC!$FK$11</f>
        <v/>
      </c>
      <c r="AJ612" s="92">
        <f>DADOS_INVOC!$FL$11</f>
        <v/>
      </c>
      <c r="AK612" s="92">
        <f>DADOS_INVOC!$FM$11</f>
        <v/>
      </c>
      <c r="AL612" s="92">
        <f>DADOS_INVOC!$FN$11</f>
        <v/>
      </c>
      <c r="AM612" s="120" t="n"/>
      <c r="AN612" s="116" t="n"/>
      <c r="AO612" s="19" t="n"/>
      <c r="AP612" s="19" t="n"/>
      <c r="AQ612" s="19" t="n"/>
      <c r="AR612" s="20" t="n"/>
      <c r="AS612" s="120" t="n"/>
    </row>
    <row r="613" hidden="1" outlineLevel="1">
      <c r="A613" s="8" t="n"/>
      <c r="B613" s="14" t="n"/>
      <c r="C613" s="120" t="n"/>
      <c r="D613" s="120" t="n"/>
      <c r="E613" s="120" t="n"/>
      <c r="F613" s="120" t="n"/>
      <c r="G613" s="120" t="n"/>
      <c r="I613" s="21" t="n"/>
      <c r="M613" s="22" t="n"/>
      <c r="N613" s="120" t="n"/>
      <c r="O613" s="125" t="n"/>
      <c r="P613" s="125" t="n"/>
      <c r="Q613" s="125" t="n"/>
      <c r="R613" s="125" t="n"/>
      <c r="S613" s="125" t="n"/>
      <c r="T613" s="120" t="n"/>
      <c r="U613" s="21" t="n"/>
      <c r="Y613" s="22" t="n"/>
      <c r="Z613" s="120" t="n"/>
      <c r="AB613" s="21" t="n"/>
      <c r="AF613" s="22" t="n"/>
      <c r="AG613" s="120" t="n"/>
      <c r="AH613" s="125" t="n"/>
      <c r="AI613" s="125" t="n"/>
      <c r="AJ613" s="125" t="n"/>
      <c r="AK613" s="125" t="n"/>
      <c r="AL613" s="125" t="n"/>
      <c r="AM613" s="120" t="n"/>
      <c r="AN613" s="21" t="n"/>
      <c r="AR613" s="22" t="n"/>
      <c r="AS613" s="120" t="n"/>
    </row>
    <row r="614" hidden="1" outlineLevel="1">
      <c r="A614" s="8" t="n"/>
      <c r="B614" s="14" t="n"/>
      <c r="C614" s="120" t="n"/>
      <c r="D614" s="120" t="n"/>
      <c r="E614" s="120" t="n"/>
      <c r="F614" s="120" t="n"/>
      <c r="G614" s="120" t="n"/>
      <c r="I614" s="21" t="n"/>
      <c r="M614" s="22" t="n"/>
      <c r="N614" s="120" t="n"/>
      <c r="O614" s="142" t="n">
        <v>0</v>
      </c>
      <c r="P614" s="142" t="n">
        <v>0</v>
      </c>
      <c r="Q614" s="142" t="n">
        <v>0</v>
      </c>
      <c r="R614" s="142" t="n">
        <v>0</v>
      </c>
      <c r="S614" s="142" t="n">
        <v>0</v>
      </c>
      <c r="T614" s="120" t="n"/>
      <c r="U614" s="21" t="n"/>
      <c r="Y614" s="22" t="n"/>
      <c r="Z614" s="120" t="n"/>
      <c r="AB614" s="21" t="n"/>
      <c r="AF614" s="22" t="n"/>
      <c r="AG614" s="120" t="n"/>
      <c r="AH614" s="142" t="n">
        <v>0</v>
      </c>
      <c r="AI614" s="142" t="n">
        <v>0</v>
      </c>
      <c r="AJ614" s="142" t="n">
        <v>0</v>
      </c>
      <c r="AK614" s="142" t="n">
        <v>0</v>
      </c>
      <c r="AL614" s="142" t="n">
        <v>0</v>
      </c>
      <c r="AM614" s="120" t="n"/>
      <c r="AN614" s="21" t="n"/>
      <c r="AR614" s="22" t="n"/>
      <c r="AS614" s="120" t="n"/>
    </row>
    <row r="615" hidden="1" outlineLevel="1">
      <c r="A615" s="8" t="n"/>
      <c r="B615" s="14" t="n"/>
      <c r="C615" s="120" t="n"/>
      <c r="D615" s="120" t="n"/>
      <c r="E615" s="120" t="n"/>
      <c r="F615" s="120" t="n"/>
      <c r="G615" s="120" t="n"/>
      <c r="I615" s="21" t="n"/>
      <c r="M615" s="22" t="n"/>
      <c r="N615" s="120" t="n"/>
      <c r="O615" s="144" t="n">
        <v>0</v>
      </c>
      <c r="P615" s="144" t="n">
        <v>0</v>
      </c>
      <c r="Q615" s="144" t="n">
        <v>0</v>
      </c>
      <c r="R615" s="144" t="n">
        <v>0</v>
      </c>
      <c r="S615" s="144" t="n">
        <v>0</v>
      </c>
      <c r="T615" s="120" t="n"/>
      <c r="U615" s="21" t="n"/>
      <c r="Y615" s="22" t="n"/>
      <c r="Z615" s="120" t="n"/>
      <c r="AB615" s="21" t="n"/>
      <c r="AF615" s="22" t="n"/>
      <c r="AG615" s="120" t="n"/>
      <c r="AH615" s="144" t="n">
        <v>0</v>
      </c>
      <c r="AI615" s="144" t="n">
        <v>0</v>
      </c>
      <c r="AJ615" s="144" t="n">
        <v>0</v>
      </c>
      <c r="AK615" s="144" t="n">
        <v>0</v>
      </c>
      <c r="AL615" s="144" t="n">
        <v>0</v>
      </c>
      <c r="AM615" s="120" t="n"/>
      <c r="AN615" s="21" t="n"/>
      <c r="AR615" s="22" t="n"/>
      <c r="AS615" s="120" t="n"/>
    </row>
    <row r="616" hidden="1" outlineLevel="1">
      <c r="A616" s="8" t="n"/>
      <c r="B616" s="14" t="n"/>
      <c r="C616" s="120" t="n"/>
      <c r="D616" s="120" t="n"/>
      <c r="E616" s="120" t="n"/>
      <c r="F616" s="120" t="n"/>
      <c r="G616" s="120" t="n"/>
      <c r="I616" s="21" t="n"/>
      <c r="M616" s="22" t="n"/>
      <c r="N616" s="120" t="n"/>
      <c r="O616" s="120" t="n"/>
      <c r="P616" s="120" t="n"/>
      <c r="Q616" s="120" t="n"/>
      <c r="R616" s="120" t="n"/>
      <c r="S616" s="120" t="n"/>
      <c r="T616" s="120" t="n"/>
      <c r="U616" s="21" t="n"/>
      <c r="Y616" s="22" t="n"/>
      <c r="Z616" s="120" t="n"/>
      <c r="AB616" s="21" t="n"/>
      <c r="AF616" s="22" t="n"/>
      <c r="AG616" s="120" t="n"/>
      <c r="AH616" s="120" t="n"/>
      <c r="AI616" s="120" t="n"/>
      <c r="AJ616" s="120" t="n"/>
      <c r="AK616" s="120" t="n"/>
      <c r="AL616" s="120" t="n"/>
      <c r="AM616" s="120" t="n"/>
      <c r="AN616" s="21" t="n"/>
      <c r="AR616" s="22" t="n"/>
      <c r="AS616" s="120" t="n"/>
    </row>
    <row r="617" hidden="1" outlineLevel="1">
      <c r="A617" s="8" t="n"/>
      <c r="B617" s="14" t="n"/>
      <c r="C617" s="120" t="n"/>
      <c r="D617" s="120" t="n"/>
      <c r="E617" s="120" t="n"/>
      <c r="F617" s="120" t="n"/>
      <c r="G617" s="120" t="n"/>
      <c r="I617" s="21" t="n"/>
      <c r="M617" s="22" t="n"/>
      <c r="N617" s="120" t="n"/>
      <c r="O617" s="55" t="inlineStr">
        <is>
          <t>ATAQUE</t>
        </is>
      </c>
      <c r="P617" s="55" t="inlineStr">
        <is>
          <t>CD</t>
        </is>
      </c>
      <c r="Q617" s="55" t="inlineStr">
        <is>
          <t>DEFESA</t>
        </is>
      </c>
      <c r="R617" s="55" t="inlineStr">
        <is>
          <t>VIDA MÁXIMA</t>
        </is>
      </c>
      <c r="S617" s="55" t="inlineStr">
        <is>
          <t>DESLOCAMENTO</t>
        </is>
      </c>
      <c r="T617" s="120" t="n"/>
      <c r="U617" s="21" t="n"/>
      <c r="Y617" s="22" t="n"/>
      <c r="Z617" s="120" t="n"/>
      <c r="AB617" s="21" t="n"/>
      <c r="AF617" s="22" t="n"/>
      <c r="AG617" s="120" t="n"/>
      <c r="AH617" s="55" t="inlineStr">
        <is>
          <t>ATAQUE</t>
        </is>
      </c>
      <c r="AI617" s="55" t="inlineStr">
        <is>
          <t>CD</t>
        </is>
      </c>
      <c r="AJ617" s="55" t="inlineStr">
        <is>
          <t>DEFESA</t>
        </is>
      </c>
      <c r="AK617" s="55" t="inlineStr">
        <is>
          <t>VIDA MÁXIMA</t>
        </is>
      </c>
      <c r="AL617" s="55" t="inlineStr">
        <is>
          <t>DESLOCAMENTO</t>
        </is>
      </c>
      <c r="AM617" s="120" t="n"/>
      <c r="AN617" s="21" t="n"/>
      <c r="AR617" s="22" t="n"/>
      <c r="AS617" s="120" t="n"/>
    </row>
    <row r="618" hidden="1" outlineLevel="1">
      <c r="A618" s="8" t="n"/>
      <c r="B618" s="14" t="n"/>
      <c r="C618" s="120" t="n"/>
      <c r="D618" s="120" t="n"/>
      <c r="E618" s="120" t="n"/>
      <c r="F618" s="120" t="n"/>
      <c r="G618" s="120" t="n"/>
      <c r="I618" s="21" t="n"/>
      <c r="M618" s="22" t="n"/>
      <c r="N618" s="120" t="n"/>
      <c r="O618" s="92">
        <f>DADOS_INVOC!$GY$5</f>
        <v/>
      </c>
      <c r="P618" s="92">
        <f>DADOS_INVOC!$GZ$5</f>
        <v/>
      </c>
      <c r="Q618" s="92">
        <f>DADOS_INVOC!$FV$5</f>
        <v/>
      </c>
      <c r="R618" s="92">
        <f>DADOS_INVOC!$FX$5</f>
        <v/>
      </c>
      <c r="S618" s="92">
        <f>DADOS_INVOC!$HA$5</f>
        <v/>
      </c>
      <c r="T618" s="120" t="n"/>
      <c r="U618" s="23" t="n"/>
      <c r="V618" s="24" t="n"/>
      <c r="W618" s="24" t="n"/>
      <c r="X618" s="24" t="n"/>
      <c r="Y618" s="25" t="n"/>
      <c r="Z618" s="120" t="n"/>
      <c r="AB618" s="21" t="n"/>
      <c r="AF618" s="22" t="n"/>
      <c r="AG618" s="120" t="n"/>
      <c r="AH618" s="92">
        <f>DADOS_INVOC!$GY$11</f>
        <v/>
      </c>
      <c r="AI618" s="92">
        <f>DADOS_INVOC!$GZ$11</f>
        <v/>
      </c>
      <c r="AJ618" s="92">
        <f>DADOS_INVOC!$FV$11</f>
        <v/>
      </c>
      <c r="AK618" s="92">
        <f>DADOS_INVOC!$FX$11</f>
        <v/>
      </c>
      <c r="AL618" s="92">
        <f>DADOS_INVOC!$HA$11</f>
        <v/>
      </c>
      <c r="AM618" s="120" t="n"/>
      <c r="AN618" s="23" t="n"/>
      <c r="AO618" s="24" t="n"/>
      <c r="AP618" s="24" t="n"/>
      <c r="AQ618" s="24" t="n"/>
      <c r="AR618" s="25" t="n"/>
      <c r="AS618" s="120" t="n"/>
    </row>
    <row r="619" hidden="1" outlineLevel="1">
      <c r="A619" s="8" t="n"/>
      <c r="B619" s="14" t="n"/>
      <c r="C619" s="120" t="n"/>
      <c r="D619" s="120" t="n"/>
      <c r="E619" s="120" t="n"/>
      <c r="F619" s="120" t="n"/>
      <c r="G619" s="120" t="n"/>
      <c r="I619" s="21" t="n"/>
      <c r="M619" s="22" t="n"/>
      <c r="N619" s="120" t="n"/>
      <c r="O619" s="125" t="n"/>
      <c r="P619" s="125" t="n"/>
      <c r="Q619" s="125" t="n"/>
      <c r="R619" s="125" t="n"/>
      <c r="S619" s="125" t="n"/>
      <c r="T619" s="120" t="n"/>
      <c r="U619" s="120" t="n"/>
      <c r="V619" s="120" t="n"/>
      <c r="W619" s="120" t="n"/>
      <c r="X619" s="120" t="n"/>
      <c r="Y619" s="120" t="n"/>
      <c r="Z619" s="120" t="n"/>
      <c r="AB619" s="21" t="n"/>
      <c r="AF619" s="22" t="n"/>
      <c r="AG619" s="120" t="n"/>
      <c r="AH619" s="125" t="n"/>
      <c r="AI619" s="125" t="n"/>
      <c r="AJ619" s="125" t="n"/>
      <c r="AK619" s="125" t="n"/>
      <c r="AL619" s="125" t="n"/>
      <c r="AM619" s="120" t="n"/>
      <c r="AN619" s="120" t="n"/>
      <c r="AO619" s="120" t="n"/>
      <c r="AP619" s="120" t="n"/>
      <c r="AQ619" s="120" t="n"/>
      <c r="AR619" s="120" t="n"/>
      <c r="AS619" s="120" t="n"/>
    </row>
    <row r="620" hidden="1" outlineLevel="1">
      <c r="A620" s="8" t="n"/>
      <c r="B620" s="14" t="n"/>
      <c r="C620" s="120" t="n"/>
      <c r="D620" s="120" t="n"/>
      <c r="E620" s="120" t="n"/>
      <c r="F620" s="120" t="n"/>
      <c r="G620" s="120" t="n"/>
      <c r="I620" s="21" t="n"/>
      <c r="M620" s="22" t="n"/>
      <c r="N620" s="120" t="n"/>
      <c r="O620" s="144" t="n">
        <v>0</v>
      </c>
      <c r="P620" s="144" t="n">
        <v>0</v>
      </c>
      <c r="Q620" s="144" t="n">
        <v>0</v>
      </c>
      <c r="R620" s="144" t="n">
        <v>0</v>
      </c>
      <c r="S620" s="144" t="n">
        <v>0</v>
      </c>
      <c r="T620" s="120" t="n"/>
      <c r="U620" s="55" t="inlineStr">
        <is>
          <t>ANOTAÇÕES</t>
        </is>
      </c>
      <c r="V620" s="16" t="n"/>
      <c r="W620" s="16" t="n"/>
      <c r="X620" s="16" t="n"/>
      <c r="Y620" s="17" t="n"/>
      <c r="Z620" s="120" t="n"/>
      <c r="AB620" s="21" t="n"/>
      <c r="AF620" s="22" t="n"/>
      <c r="AG620" s="120" t="n"/>
      <c r="AH620" s="144" t="n">
        <v>0</v>
      </c>
      <c r="AI620" s="144" t="n">
        <v>0</v>
      </c>
      <c r="AJ620" s="144" t="n">
        <v>0</v>
      </c>
      <c r="AK620" s="144" t="n">
        <v>0</v>
      </c>
      <c r="AL620" s="144" t="n">
        <v>0</v>
      </c>
      <c r="AM620" s="120" t="n"/>
      <c r="AN620" s="55" t="inlineStr">
        <is>
          <t>ANOTAÇÕES</t>
        </is>
      </c>
      <c r="AO620" s="16" t="n"/>
      <c r="AP620" s="16" t="n"/>
      <c r="AQ620" s="16" t="n"/>
      <c r="AR620" s="17" t="n"/>
      <c r="AS620" s="120" t="n"/>
    </row>
    <row r="621" hidden="1" outlineLevel="1">
      <c r="A621" s="8" t="n"/>
      <c r="B621" s="14" t="n"/>
      <c r="C621" s="120" t="n"/>
      <c r="D621" s="120" t="n"/>
      <c r="E621" s="120" t="n"/>
      <c r="F621" s="120" t="n"/>
      <c r="G621" s="120" t="n"/>
      <c r="I621" s="21" t="n"/>
      <c r="M621" s="22" t="n"/>
      <c r="N621" s="120" t="n"/>
      <c r="O621" s="120" t="n"/>
      <c r="P621" s="120" t="n"/>
      <c r="Q621" s="120" t="n"/>
      <c r="R621" s="120" t="n"/>
      <c r="S621" s="120" t="n"/>
      <c r="T621" s="120" t="n"/>
      <c r="U621" s="116" t="n"/>
      <c r="V621" s="19" t="n"/>
      <c r="W621" s="19" t="n"/>
      <c r="X621" s="19" t="n"/>
      <c r="Y621" s="20" t="n"/>
      <c r="Z621" s="120" t="n"/>
      <c r="AB621" s="21" t="n"/>
      <c r="AF621" s="22" t="n"/>
      <c r="AG621" s="120" t="n"/>
      <c r="AH621" s="120" t="n"/>
      <c r="AI621" s="120" t="n"/>
      <c r="AJ621" s="120" t="n"/>
      <c r="AK621" s="120" t="n"/>
      <c r="AL621" s="120" t="n"/>
      <c r="AM621" s="120" t="n"/>
      <c r="AN621" s="116" t="n"/>
      <c r="AO621" s="19" t="n"/>
      <c r="AP621" s="19" t="n"/>
      <c r="AQ621" s="19" t="n"/>
      <c r="AR621" s="20" t="n"/>
      <c r="AS621" s="120" t="n"/>
    </row>
    <row r="622" hidden="1" outlineLevel="1">
      <c r="A622" s="8" t="n"/>
      <c r="B622" s="14" t="n"/>
      <c r="C622" s="120" t="n"/>
      <c r="D622" s="120" t="n"/>
      <c r="E622" s="120" t="n"/>
      <c r="F622" s="120" t="n"/>
      <c r="G622" s="120" t="n"/>
      <c r="I622" s="21" t="n"/>
      <c r="M622" s="22" t="n"/>
      <c r="N622" s="120" t="n"/>
      <c r="O622" s="55" t="inlineStr">
        <is>
          <t>FÍSICO</t>
        </is>
      </c>
      <c r="P622" s="55" t="inlineStr">
        <is>
          <t>VIGOR</t>
        </is>
      </c>
      <c r="Q622" s="55" t="inlineStr">
        <is>
          <t>INTELECTO</t>
        </is>
      </c>
      <c r="R622" s="55" t="inlineStr">
        <is>
          <t>ESPÍRITO</t>
        </is>
      </c>
      <c r="S622" s="55" t="inlineStr">
        <is>
          <t>CARGA MÁXIMA</t>
        </is>
      </c>
      <c r="T622" s="120" t="n"/>
      <c r="U622" s="21" t="n"/>
      <c r="Y622" s="22" t="n"/>
      <c r="Z622" s="120" t="n"/>
      <c r="AB622" s="21" t="n"/>
      <c r="AF622" s="22" t="n"/>
      <c r="AG622" s="120" t="n"/>
      <c r="AH622" s="55" t="inlineStr">
        <is>
          <t>FÍSICO</t>
        </is>
      </c>
      <c r="AI622" s="55" t="inlineStr">
        <is>
          <t>VIGOR</t>
        </is>
      </c>
      <c r="AJ622" s="55" t="inlineStr">
        <is>
          <t>INTELECTO</t>
        </is>
      </c>
      <c r="AK622" s="55" t="inlineStr">
        <is>
          <t>ESPÍRITO</t>
        </is>
      </c>
      <c r="AL622" s="55" t="inlineStr">
        <is>
          <t>CARGA MÁXIMA</t>
        </is>
      </c>
      <c r="AM622" s="120" t="n"/>
      <c r="AN622" s="21" t="n"/>
      <c r="AR622" s="22" t="n"/>
      <c r="AS622" s="120" t="n"/>
    </row>
    <row r="623" hidden="1" outlineLevel="1">
      <c r="A623" s="8" t="n"/>
      <c r="B623" s="14" t="n"/>
      <c r="C623" s="120" t="n"/>
      <c r="D623" s="120" t="n"/>
      <c r="E623" s="120" t="n"/>
      <c r="F623" s="120" t="n"/>
      <c r="G623" s="120" t="n"/>
      <c r="I623" s="21" t="n"/>
      <c r="M623" s="22" t="n"/>
      <c r="N623" s="120" t="n"/>
      <c r="O623" s="92">
        <f>DADOS_INVOC!$HB$5</f>
        <v/>
      </c>
      <c r="P623" s="92">
        <f>DADOS_INVOC!$HC$5</f>
        <v/>
      </c>
      <c r="Q623" s="92">
        <f>DADOS_INVOC!$HD$5</f>
        <v/>
      </c>
      <c r="R623" s="92">
        <f>DADOS_INVOC!$HE$5</f>
        <v/>
      </c>
      <c r="S623" s="92">
        <f>DADOS_INVOC!$GO$5</f>
        <v/>
      </c>
      <c r="T623" s="120" t="n"/>
      <c r="U623" s="21" t="n"/>
      <c r="Y623" s="22" t="n"/>
      <c r="Z623" s="120" t="n"/>
      <c r="AB623" s="21" t="n"/>
      <c r="AF623" s="22" t="n"/>
      <c r="AG623" s="120" t="n"/>
      <c r="AH623" s="92">
        <f>DADOS_INVOC!$HB$11</f>
        <v/>
      </c>
      <c r="AI623" s="92">
        <f>DADOS_INVOC!$HC$11</f>
        <v/>
      </c>
      <c r="AJ623" s="92">
        <f>DADOS_INVOC!$HD$11</f>
        <v/>
      </c>
      <c r="AK623" s="92">
        <f>DADOS_INVOC!$HE$11</f>
        <v/>
      </c>
      <c r="AL623" s="92">
        <f>DADOS_INVOC!$GO$11</f>
        <v/>
      </c>
      <c r="AM623" s="120" t="n"/>
      <c r="AN623" s="21" t="n"/>
      <c r="AR623" s="22" t="n"/>
      <c r="AS623" s="120" t="n"/>
    </row>
    <row r="624" hidden="1" outlineLevel="1">
      <c r="A624" s="8" t="n"/>
      <c r="B624" s="14" t="n"/>
      <c r="C624" s="120" t="n"/>
      <c r="D624" s="120" t="n"/>
      <c r="E624" s="120" t="n"/>
      <c r="F624" s="120" t="n"/>
      <c r="G624" s="120" t="n"/>
      <c r="I624" s="21" t="n"/>
      <c r="M624" s="22" t="n"/>
      <c r="N624" s="120" t="n"/>
      <c r="O624" s="125" t="n"/>
      <c r="P624" s="125" t="n"/>
      <c r="Q624" s="125" t="n"/>
      <c r="R624" s="125" t="n"/>
      <c r="S624" s="125" t="n"/>
      <c r="T624" s="120" t="n"/>
      <c r="U624" s="21" t="n"/>
      <c r="Y624" s="22" t="n"/>
      <c r="Z624" s="120" t="n"/>
      <c r="AB624" s="21" t="n"/>
      <c r="AF624" s="22" t="n"/>
      <c r="AG624" s="120" t="n"/>
      <c r="AH624" s="125" t="n"/>
      <c r="AI624" s="125" t="n"/>
      <c r="AJ624" s="125" t="n"/>
      <c r="AK624" s="125" t="n"/>
      <c r="AL624" s="125" t="n"/>
      <c r="AM624" s="120" t="n"/>
      <c r="AN624" s="21" t="n"/>
      <c r="AR624" s="22" t="n"/>
      <c r="AS624" s="120" t="n"/>
    </row>
    <row r="625" hidden="1" outlineLevel="1">
      <c r="A625" s="8" t="n"/>
      <c r="B625" s="14" t="n"/>
      <c r="C625" s="120" t="n"/>
      <c r="D625" s="120" t="n"/>
      <c r="E625" s="120" t="n"/>
      <c r="F625" s="120" t="n"/>
      <c r="G625" s="120" t="n"/>
      <c r="I625" s="21" t="n"/>
      <c r="M625" s="22" t="n"/>
      <c r="N625" s="120" t="n"/>
      <c r="O625" s="144" t="n">
        <v>0</v>
      </c>
      <c r="P625" s="144" t="n">
        <v>0</v>
      </c>
      <c r="Q625" s="144" t="n">
        <v>0</v>
      </c>
      <c r="R625" s="144" t="n">
        <v>0</v>
      </c>
      <c r="S625" s="120" t="n"/>
      <c r="T625" s="120" t="n"/>
      <c r="U625" s="21" t="n"/>
      <c r="Y625" s="22" t="n"/>
      <c r="Z625" s="120" t="n"/>
      <c r="AB625" s="21" t="n"/>
      <c r="AF625" s="22" t="n"/>
      <c r="AG625" s="120" t="n"/>
      <c r="AH625" s="144" t="n">
        <v>0</v>
      </c>
      <c r="AI625" s="144" t="n">
        <v>0</v>
      </c>
      <c r="AJ625" s="144" t="n">
        <v>0</v>
      </c>
      <c r="AK625" s="144" t="n">
        <v>0</v>
      </c>
      <c r="AL625" s="120" t="n"/>
      <c r="AM625" s="120" t="n"/>
      <c r="AN625" s="21" t="n"/>
      <c r="AR625" s="22" t="n"/>
      <c r="AS625" s="120" t="n"/>
    </row>
    <row r="626" hidden="1" outlineLevel="1">
      <c r="A626" s="8" t="n"/>
      <c r="B626" s="14" t="n"/>
      <c r="C626" s="120" t="n"/>
      <c r="D626" s="120" t="n"/>
      <c r="E626" s="120" t="n"/>
      <c r="F626" s="120" t="n"/>
      <c r="G626" s="120" t="n"/>
      <c r="I626" s="21" t="n"/>
      <c r="M626" s="22" t="n"/>
      <c r="N626" s="120" t="n"/>
      <c r="O626" s="120" t="n"/>
      <c r="P626" s="120" t="n"/>
      <c r="Q626" s="120" t="n"/>
      <c r="R626" s="120" t="n"/>
      <c r="S626" s="120" t="n"/>
      <c r="T626" s="120" t="n"/>
      <c r="U626" s="21" t="n"/>
      <c r="Y626" s="22" t="n"/>
      <c r="Z626" s="120" t="n"/>
      <c r="AB626" s="21" t="n"/>
      <c r="AF626" s="22" t="n"/>
      <c r="AG626" s="120" t="n"/>
      <c r="AH626" s="120" t="n"/>
      <c r="AI626" s="120" t="n"/>
      <c r="AJ626" s="120" t="n"/>
      <c r="AK626" s="120" t="n"/>
      <c r="AL626" s="120" t="n"/>
      <c r="AM626" s="120" t="n"/>
      <c r="AN626" s="21" t="n"/>
      <c r="AR626" s="22" t="n"/>
      <c r="AS626" s="120" t="n"/>
    </row>
    <row r="627" hidden="1" outlineLevel="1">
      <c r="A627" s="8" t="n"/>
      <c r="B627" s="14" t="n"/>
      <c r="C627" s="120" t="n"/>
      <c r="D627" s="120" t="n"/>
      <c r="E627" s="120" t="n"/>
      <c r="F627" s="120" t="n"/>
      <c r="G627" s="120" t="n"/>
      <c r="I627" s="21" t="n"/>
      <c r="M627" s="22" t="n"/>
      <c r="N627" s="120" t="n"/>
      <c r="O627" s="55" t="inlineStr">
        <is>
          <t>ATRIBUTO DE ACERTO</t>
        </is>
      </c>
      <c r="P627" s="17" t="n"/>
      <c r="Q627" s="55" t="inlineStr">
        <is>
          <t>FÍSICO USA</t>
        </is>
      </c>
      <c r="R627" s="17" t="n"/>
      <c r="S627" s="55" t="inlineStr">
        <is>
          <t>TR TREINADO</t>
        </is>
      </c>
      <c r="T627" s="120" t="n"/>
      <c r="U627" s="21" t="n"/>
      <c r="Y627" s="22" t="n"/>
      <c r="Z627" s="120" t="n"/>
      <c r="AB627" s="21" t="n"/>
      <c r="AF627" s="22" t="n"/>
      <c r="AG627" s="120" t="n"/>
      <c r="AH627" s="55" t="inlineStr">
        <is>
          <t>ATRIBUTO DE ACERTO</t>
        </is>
      </c>
      <c r="AI627" s="17" t="n"/>
      <c r="AJ627" s="55" t="inlineStr">
        <is>
          <t>FÍSICO USA</t>
        </is>
      </c>
      <c r="AK627" s="17" t="n"/>
      <c r="AL627" s="55" t="inlineStr">
        <is>
          <t>TR TREINADO</t>
        </is>
      </c>
      <c r="AM627" s="120" t="n"/>
      <c r="AN627" s="21" t="n"/>
      <c r="AR627" s="22" t="n"/>
      <c r="AS627" s="120" t="n"/>
    </row>
    <row r="628" hidden="1" outlineLevel="1">
      <c r="A628" s="8" t="n"/>
      <c r="B628" s="14" t="n"/>
      <c r="C628" s="120" t="n"/>
      <c r="D628" s="120" t="n"/>
      <c r="E628" s="120" t="n"/>
      <c r="F628" s="120" t="n"/>
      <c r="G628" s="120" t="n"/>
      <c r="I628" s="21" t="n"/>
      <c r="M628" s="22" t="n"/>
      <c r="N628" s="120" t="n"/>
      <c r="O628" s="124" t="n"/>
      <c r="P628" s="20" t="n"/>
      <c r="Q628" s="124" t="inlineStr">
        <is>
          <t>Força</t>
        </is>
      </c>
      <c r="R628" s="20" t="n"/>
      <c r="S628" s="124" t="n"/>
      <c r="T628" s="120" t="n"/>
      <c r="U628" s="21" t="n"/>
      <c r="Y628" s="22" t="n"/>
      <c r="Z628" s="120" t="n"/>
      <c r="AB628" s="21" t="n"/>
      <c r="AF628" s="22" t="n"/>
      <c r="AG628" s="120" t="n"/>
      <c r="AH628" s="124" t="n"/>
      <c r="AI628" s="20" t="n"/>
      <c r="AJ628" s="124" t="inlineStr">
        <is>
          <t>Força</t>
        </is>
      </c>
      <c r="AK628" s="20" t="n"/>
      <c r="AL628" s="124" t="n"/>
      <c r="AM628" s="120" t="n"/>
      <c r="AN628" s="21" t="n"/>
      <c r="AR628" s="22" t="n"/>
      <c r="AS628" s="120" t="n"/>
    </row>
    <row r="629" hidden="1" outlineLevel="1">
      <c r="A629" s="8" t="n"/>
      <c r="B629" s="14" t="n"/>
      <c r="C629" s="120" t="n"/>
      <c r="D629" s="120" t="n"/>
      <c r="E629" s="120" t="n"/>
      <c r="F629" s="120" t="n"/>
      <c r="G629" s="120" t="n"/>
      <c r="I629" s="21" t="n"/>
      <c r="M629" s="22" t="n"/>
      <c r="N629" s="120" t="n"/>
      <c r="O629" s="23" t="n"/>
      <c r="P629" s="25" t="n"/>
      <c r="Q629" s="23" t="n"/>
      <c r="R629" s="25" t="n"/>
      <c r="S629" s="125" t="n"/>
      <c r="T629" s="120" t="n"/>
      <c r="U629" s="21" t="n"/>
      <c r="Y629" s="22" t="n"/>
      <c r="Z629" s="120" t="n"/>
      <c r="AB629" s="21" t="n"/>
      <c r="AF629" s="22" t="n"/>
      <c r="AG629" s="120" t="n"/>
      <c r="AH629" s="23" t="n"/>
      <c r="AI629" s="25" t="n"/>
      <c r="AJ629" s="23" t="n"/>
      <c r="AK629" s="25" t="n"/>
      <c r="AL629" s="125" t="n"/>
      <c r="AM629" s="120" t="n"/>
      <c r="AN629" s="21" t="n"/>
      <c r="AR629" s="22" t="n"/>
      <c r="AS629" s="120" t="n"/>
    </row>
    <row r="630" hidden="1" outlineLevel="1">
      <c r="A630" s="8" t="n"/>
      <c r="B630" s="14" t="n"/>
      <c r="C630" s="120" t="n"/>
      <c r="D630" s="120" t="n"/>
      <c r="E630" s="120" t="n"/>
      <c r="F630" s="120" t="n"/>
      <c r="G630" s="120" t="n"/>
      <c r="I630" s="21" t="n"/>
      <c r="M630" s="22" t="n"/>
      <c r="N630" s="120" t="n"/>
      <c r="O630" s="120" t="n"/>
      <c r="P630" s="120" t="n"/>
      <c r="Q630" s="120" t="n"/>
      <c r="R630" s="120" t="n"/>
      <c r="S630" s="120" t="n"/>
      <c r="T630" s="120" t="n"/>
      <c r="U630" s="21" t="n"/>
      <c r="Y630" s="22" t="n"/>
      <c r="Z630" s="120" t="n"/>
      <c r="AB630" s="21" t="n"/>
      <c r="AF630" s="22" t="n"/>
      <c r="AG630" s="120" t="n"/>
      <c r="AH630" s="120" t="n"/>
      <c r="AI630" s="120" t="n"/>
      <c r="AJ630" s="120" t="n"/>
      <c r="AK630" s="120" t="n"/>
      <c r="AL630" s="120" t="n"/>
      <c r="AM630" s="120" t="n"/>
      <c r="AN630" s="21" t="n"/>
      <c r="AR630" s="22" t="n"/>
      <c r="AS630" s="120" t="n"/>
    </row>
    <row r="631" hidden="1" outlineLevel="1">
      <c r="A631" s="8" t="n"/>
      <c r="B631" s="14" t="n"/>
      <c r="C631" s="120" t="n"/>
      <c r="D631" s="120" t="n"/>
      <c r="E631" s="120" t="n"/>
      <c r="F631" s="120" t="n"/>
      <c r="G631" s="120" t="n"/>
      <c r="I631" s="21" t="n"/>
      <c r="M631" s="22" t="n"/>
      <c r="N631" s="120" t="n"/>
      <c r="O631" s="55">
        <f>DADOS_INVOC!$HF$5</f>
        <v/>
      </c>
      <c r="P631" s="16" t="n"/>
      <c r="Q631" s="16" t="n"/>
      <c r="R631" s="16" t="n"/>
      <c r="S631" s="17" t="n"/>
      <c r="T631" s="120" t="n"/>
      <c r="U631" s="21" t="n"/>
      <c r="Y631" s="22" t="n"/>
      <c r="Z631" s="120" t="n"/>
      <c r="AB631" s="21" t="n"/>
      <c r="AF631" s="22" t="n"/>
      <c r="AG631" s="120" t="n"/>
      <c r="AH631" s="55">
        <f>DADOS_INVOC!$HF$11</f>
        <v/>
      </c>
      <c r="AI631" s="16" t="n"/>
      <c r="AJ631" s="16" t="n"/>
      <c r="AK631" s="16" t="n"/>
      <c r="AL631" s="17" t="n"/>
      <c r="AM631" s="120" t="n"/>
      <c r="AN631" s="21" t="n"/>
      <c r="AR631" s="22" t="n"/>
      <c r="AS631" s="120" t="n"/>
    </row>
    <row r="632" hidden="1" outlineLevel="1">
      <c r="A632" s="8" t="n"/>
      <c r="B632" s="14" t="n"/>
      <c r="C632" s="120" t="n"/>
      <c r="D632" s="120" t="n"/>
      <c r="E632" s="120" t="n"/>
      <c r="F632" s="120" t="n"/>
      <c r="G632" s="120" t="n"/>
      <c r="I632" s="21" t="n"/>
      <c r="M632" s="22" t="n"/>
      <c r="N632" s="120" t="n"/>
      <c r="O632" s="130" t="n"/>
      <c r="P632" s="16" t="n"/>
      <c r="Q632" s="17" t="n"/>
      <c r="R632" s="124">
        <f>DADOS_INVOC!$HG$5</f>
        <v/>
      </c>
      <c r="S632" s="17" t="n"/>
      <c r="T632" s="120" t="n"/>
      <c r="U632" s="23" t="n"/>
      <c r="V632" s="24" t="n"/>
      <c r="W632" s="24" t="n"/>
      <c r="X632" s="24" t="n"/>
      <c r="Y632" s="25" t="n"/>
      <c r="Z632" s="120" t="n"/>
      <c r="AB632" s="21" t="n"/>
      <c r="AF632" s="22" t="n"/>
      <c r="AG632" s="120" t="n"/>
      <c r="AH632" s="130" t="n"/>
      <c r="AI632" s="16" t="n"/>
      <c r="AJ632" s="17" t="n"/>
      <c r="AK632" s="124">
        <f>DADOS_INVOC!$HG$11</f>
        <v/>
      </c>
      <c r="AL632" s="17" t="n"/>
      <c r="AM632" s="120" t="n"/>
      <c r="AN632" s="23" t="n"/>
      <c r="AO632" s="24" t="n"/>
      <c r="AP632" s="24" t="n"/>
      <c r="AQ632" s="24" t="n"/>
      <c r="AR632" s="25" t="n"/>
      <c r="AS632" s="120" t="n"/>
    </row>
    <row r="633" hidden="1" outlineLevel="1">
      <c r="A633" s="8" t="n"/>
      <c r="B633" s="14" t="n"/>
      <c r="C633" s="120" t="n"/>
      <c r="D633" s="120" t="n"/>
      <c r="E633" s="120" t="n"/>
      <c r="F633" s="120" t="n"/>
      <c r="G633" s="120" t="n"/>
      <c r="I633" s="21" t="n"/>
      <c r="M633" s="22" t="n"/>
      <c r="N633" s="120" t="n"/>
      <c r="O633" s="130" t="n"/>
      <c r="P633" s="16" t="n"/>
      <c r="Q633" s="17" t="n"/>
      <c r="R633" s="124">
        <f>DADOS_INVOC!$HH$5</f>
        <v/>
      </c>
      <c r="S633" s="17" t="n"/>
      <c r="T633" s="120" t="n"/>
      <c r="U633" s="120" t="n"/>
      <c r="V633" s="120" t="n"/>
      <c r="W633" s="120" t="n"/>
      <c r="X633" s="120" t="n"/>
      <c r="Y633" s="120" t="n"/>
      <c r="Z633" s="120" t="n"/>
      <c r="AB633" s="21" t="n"/>
      <c r="AF633" s="22" t="n"/>
      <c r="AG633" s="120" t="n"/>
      <c r="AH633" s="130" t="n"/>
      <c r="AI633" s="16" t="n"/>
      <c r="AJ633" s="17" t="n"/>
      <c r="AK633" s="124">
        <f>DADOS_INVOC!$HH$11</f>
        <v/>
      </c>
      <c r="AL633" s="17" t="n"/>
      <c r="AM633" s="120" t="n"/>
      <c r="AN633" s="120" t="n"/>
      <c r="AO633" s="120" t="n"/>
      <c r="AP633" s="120" t="n"/>
      <c r="AQ633" s="120" t="n"/>
      <c r="AR633" s="120" t="n"/>
      <c r="AS633" s="120" t="n"/>
    </row>
    <row r="634" hidden="1" outlineLevel="1">
      <c r="A634" s="8" t="n"/>
      <c r="B634" s="14" t="n"/>
      <c r="C634" s="120" t="n"/>
      <c r="D634" s="120" t="n"/>
      <c r="E634" s="120" t="n"/>
      <c r="F634" s="120" t="n"/>
      <c r="G634" s="120" t="n"/>
      <c r="I634" s="23" t="n"/>
      <c r="J634" s="24" t="n"/>
      <c r="K634" s="24" t="n"/>
      <c r="L634" s="24" t="n"/>
      <c r="M634" s="25" t="n"/>
      <c r="N634" s="120" t="n"/>
      <c r="O634" s="130" t="n"/>
      <c r="P634" s="16" t="n"/>
      <c r="Q634" s="17" t="n"/>
      <c r="R634" s="124">
        <f>DADOS_INVOC!$HI$5</f>
        <v/>
      </c>
      <c r="S634" s="17" t="n"/>
      <c r="T634" s="120" t="n"/>
      <c r="U634" s="55">
        <f>DADOS_INVOC!$HO$5</f>
        <v/>
      </c>
      <c r="V634" s="16" t="n"/>
      <c r="W634" s="16" t="n"/>
      <c r="X634" s="16" t="n"/>
      <c r="Y634" s="17" t="n"/>
      <c r="Z634" s="120" t="n"/>
      <c r="AB634" s="23" t="n"/>
      <c r="AC634" s="24" t="n"/>
      <c r="AD634" s="24" t="n"/>
      <c r="AE634" s="24" t="n"/>
      <c r="AF634" s="25" t="n"/>
      <c r="AG634" s="120" t="n"/>
      <c r="AH634" s="130" t="n"/>
      <c r="AI634" s="16" t="n"/>
      <c r="AJ634" s="17" t="n"/>
      <c r="AK634" s="124">
        <f>DADOS_INVOC!$HI$11</f>
        <v/>
      </c>
      <c r="AL634" s="17" t="n"/>
      <c r="AM634" s="120" t="n"/>
      <c r="AN634" s="55">
        <f>DADOS_INVOC!$HO$11</f>
        <v/>
      </c>
      <c r="AO634" s="16" t="n"/>
      <c r="AP634" s="16" t="n"/>
      <c r="AQ634" s="16" t="n"/>
      <c r="AR634" s="17" t="n"/>
      <c r="AS634" s="120" t="n"/>
    </row>
    <row r="635" hidden="1" outlineLevel="1">
      <c r="A635" s="8" t="n"/>
      <c r="B635" s="14" t="n"/>
      <c r="C635" s="120" t="n"/>
      <c r="D635" s="120" t="n"/>
      <c r="E635" s="120" t="n"/>
      <c r="F635" s="120" t="n"/>
      <c r="G635" s="120" t="n"/>
      <c r="I635" s="120" t="n"/>
      <c r="J635" s="120" t="n"/>
      <c r="K635" s="120" t="n"/>
      <c r="L635" s="120" t="n"/>
      <c r="M635" s="120" t="n"/>
      <c r="N635" s="120" t="n"/>
      <c r="O635" s="130" t="n"/>
      <c r="P635" s="16" t="n"/>
      <c r="Q635" s="17" t="n"/>
      <c r="R635" s="124">
        <f>DADOS_INVOC!$HJ$5</f>
        <v/>
      </c>
      <c r="S635" s="17" t="n"/>
      <c r="T635" s="120" t="n"/>
      <c r="U635" s="116" t="n"/>
      <c r="V635" s="19" t="n"/>
      <c r="W635" s="19" t="n"/>
      <c r="X635" s="19" t="n"/>
      <c r="Y635" s="20" t="n"/>
      <c r="Z635" s="120" t="n"/>
      <c r="AB635" s="120" t="n"/>
      <c r="AC635" s="120" t="n"/>
      <c r="AD635" s="120" t="n"/>
      <c r="AE635" s="120" t="n"/>
      <c r="AF635" s="120" t="n"/>
      <c r="AG635" s="120" t="n"/>
      <c r="AH635" s="130" t="n"/>
      <c r="AI635" s="16" t="n"/>
      <c r="AJ635" s="17" t="n"/>
      <c r="AK635" s="124">
        <f>DADOS_INVOC!$HJ$11</f>
        <v/>
      </c>
      <c r="AL635" s="17" t="n"/>
      <c r="AM635" s="120" t="n"/>
      <c r="AN635" s="116" t="n"/>
      <c r="AO635" s="19" t="n"/>
      <c r="AP635" s="19" t="n"/>
      <c r="AQ635" s="19" t="n"/>
      <c r="AR635" s="20" t="n"/>
      <c r="AS635" s="120" t="n"/>
    </row>
    <row r="636" hidden="1" outlineLevel="1">
      <c r="A636" s="8" t="n"/>
      <c r="B636" s="14" t="n"/>
      <c r="C636" s="120" t="n"/>
      <c r="D636" s="120" t="n"/>
      <c r="E636" s="120" t="n"/>
      <c r="F636" s="120" t="n"/>
      <c r="G636" s="120" t="n"/>
      <c r="I636" s="55" t="inlineStr">
        <is>
          <t>TIPO</t>
        </is>
      </c>
      <c r="J636" s="16" t="n"/>
      <c r="K636" s="16" t="n"/>
      <c r="L636" s="16" t="n"/>
      <c r="M636" s="17" t="n"/>
      <c r="N636" s="120" t="n"/>
      <c r="O636" s="130" t="n"/>
      <c r="P636" s="16" t="n"/>
      <c r="Q636" s="17" t="n"/>
      <c r="R636" s="124">
        <f>DADOS_INVOC!$HK$5</f>
        <v/>
      </c>
      <c r="S636" s="17" t="n"/>
      <c r="T636" s="120" t="n"/>
      <c r="U636" s="21" t="n"/>
      <c r="Y636" s="22" t="n"/>
      <c r="Z636" s="120" t="n"/>
      <c r="AB636" s="55" t="inlineStr">
        <is>
          <t>TIPO</t>
        </is>
      </c>
      <c r="AC636" s="16" t="n"/>
      <c r="AD636" s="16" t="n"/>
      <c r="AE636" s="16" t="n"/>
      <c r="AF636" s="17" t="n"/>
      <c r="AG636" s="120" t="n"/>
      <c r="AH636" s="130" t="n"/>
      <c r="AI636" s="16" t="n"/>
      <c r="AJ636" s="17" t="n"/>
      <c r="AK636" s="124">
        <f>DADOS_INVOC!$HK$11</f>
        <v/>
      </c>
      <c r="AL636" s="17" t="n"/>
      <c r="AM636" s="120" t="n"/>
      <c r="AN636" s="21" t="n"/>
      <c r="AR636" s="22" t="n"/>
      <c r="AS636" s="120" t="n"/>
    </row>
    <row r="637" hidden="1" outlineLevel="1">
      <c r="A637" s="8" t="n"/>
      <c r="B637" s="14" t="n"/>
      <c r="C637" s="120" t="n"/>
      <c r="D637" s="120" t="n"/>
      <c r="E637" s="120" t="n"/>
      <c r="F637" s="120" t="n"/>
      <c r="G637" s="120" t="n"/>
      <c r="I637" s="124" t="inlineStr">
        <is>
          <t>Shikigami de técnica</t>
        </is>
      </c>
      <c r="J637" s="19" t="n"/>
      <c r="K637" s="19" t="n"/>
      <c r="L637" s="19" t="n"/>
      <c r="M637" s="20" t="n"/>
      <c r="N637" s="120" t="n"/>
      <c r="O637" s="130" t="n"/>
      <c r="P637" s="16" t="n"/>
      <c r="Q637" s="17" t="n"/>
      <c r="R637" s="124">
        <f>DADOS_INVOC!$HL$5</f>
        <v/>
      </c>
      <c r="S637" s="17" t="n"/>
      <c r="T637" s="120" t="n"/>
      <c r="U637" s="23" t="n"/>
      <c r="V637" s="24" t="n"/>
      <c r="W637" s="24" t="n"/>
      <c r="X637" s="24" t="n"/>
      <c r="Y637" s="25" t="n"/>
      <c r="Z637" s="120" t="n"/>
      <c r="AB637" s="124" t="inlineStr">
        <is>
          <t>Shikigami de técnica</t>
        </is>
      </c>
      <c r="AC637" s="19" t="n"/>
      <c r="AD637" s="19" t="n"/>
      <c r="AE637" s="19" t="n"/>
      <c r="AF637" s="20" t="n"/>
      <c r="AG637" s="120" t="n"/>
      <c r="AH637" s="130" t="n"/>
      <c r="AI637" s="16" t="n"/>
      <c r="AJ637" s="17" t="n"/>
      <c r="AK637" s="124">
        <f>DADOS_INVOC!$HL$11</f>
        <v/>
      </c>
      <c r="AL637" s="17" t="n"/>
      <c r="AM637" s="120" t="n"/>
      <c r="AN637" s="23" t="n"/>
      <c r="AO637" s="24" t="n"/>
      <c r="AP637" s="24" t="n"/>
      <c r="AQ637" s="24" t="n"/>
      <c r="AR637" s="25" t="n"/>
      <c r="AS637" s="120" t="n"/>
    </row>
    <row r="638" hidden="1" outlineLevel="1">
      <c r="A638" s="8" t="n"/>
      <c r="B638" s="14" t="n"/>
      <c r="C638" s="120" t="n"/>
      <c r="D638" s="120" t="n"/>
      <c r="E638" s="120" t="n"/>
      <c r="F638" s="120" t="n"/>
      <c r="G638" s="120" t="n"/>
      <c r="I638" s="23" t="n"/>
      <c r="J638" s="24" t="n"/>
      <c r="K638" s="24" t="n"/>
      <c r="L638" s="24" t="n"/>
      <c r="M638" s="25" t="n"/>
      <c r="N638" s="120" t="n"/>
      <c r="O638" s="130" t="n"/>
      <c r="P638" s="16" t="n"/>
      <c r="Q638" s="17" t="n"/>
      <c r="R638" s="124">
        <f>DADOS_INVOC!$HM$5</f>
        <v/>
      </c>
      <c r="S638" s="17" t="n"/>
      <c r="T638" s="120" t="n"/>
      <c r="U638" s="120" t="n"/>
      <c r="V638" s="120" t="n"/>
      <c r="W638" s="120" t="n"/>
      <c r="X638" s="120" t="n"/>
      <c r="Y638" s="120" t="n"/>
      <c r="Z638" s="120" t="n"/>
      <c r="AB638" s="23" t="n"/>
      <c r="AC638" s="24" t="n"/>
      <c r="AD638" s="24" t="n"/>
      <c r="AE638" s="24" t="n"/>
      <c r="AF638" s="25" t="n"/>
      <c r="AG638" s="120" t="n"/>
      <c r="AH638" s="130" t="n"/>
      <c r="AI638" s="16" t="n"/>
      <c r="AJ638" s="17" t="n"/>
      <c r="AK638" s="124">
        <f>DADOS_INVOC!$HM$11</f>
        <v/>
      </c>
      <c r="AL638" s="17" t="n"/>
      <c r="AM638" s="120" t="n"/>
      <c r="AN638" s="120" t="n"/>
      <c r="AO638" s="120" t="n"/>
      <c r="AP638" s="120" t="n"/>
      <c r="AQ638" s="120" t="n"/>
      <c r="AR638" s="120" t="n"/>
      <c r="AS638" s="120" t="n"/>
    </row>
    <row r="639" hidden="1" outlineLevel="1">
      <c r="A639" s="8" t="n"/>
      <c r="B639" s="14" t="n"/>
      <c r="C639" s="120" t="n"/>
      <c r="D639" s="120" t="n"/>
      <c r="E639" s="120" t="n"/>
      <c r="F639" s="120" t="n"/>
      <c r="G639" s="120" t="n"/>
      <c r="I639" s="120" t="n"/>
      <c r="J639" s="120" t="n"/>
      <c r="K639" s="120" t="n"/>
      <c r="L639" s="120" t="n"/>
      <c r="M639" s="120" t="n"/>
      <c r="N639" s="120" t="n"/>
      <c r="O639" s="120" t="n"/>
      <c r="P639" s="120" t="n"/>
      <c r="Q639" s="120" t="n"/>
      <c r="R639" s="120" t="n"/>
      <c r="S639" s="120" t="n"/>
      <c r="T639" s="120" t="n"/>
      <c r="U639" s="55" t="inlineStr">
        <is>
          <t>CORPO, SENTIDOS E COMUNICAÇÃO</t>
        </is>
      </c>
      <c r="V639" s="16" t="n"/>
      <c r="W639" s="16" t="n"/>
      <c r="X639" s="16" t="n"/>
      <c r="Y639" s="17" t="n"/>
      <c r="Z639" s="120" t="n"/>
      <c r="AB639" s="120" t="n"/>
      <c r="AC639" s="120" t="n"/>
      <c r="AD639" s="120" t="n"/>
      <c r="AE639" s="120" t="n"/>
      <c r="AF639" s="120" t="n"/>
      <c r="AG639" s="120" t="n"/>
      <c r="AH639" s="120" t="n"/>
      <c r="AI639" s="120" t="n"/>
      <c r="AJ639" s="120" t="n"/>
      <c r="AK639" s="120" t="n"/>
      <c r="AL639" s="120" t="n"/>
      <c r="AM639" s="120" t="n"/>
      <c r="AN639" s="55" t="inlineStr">
        <is>
          <t>CORPO, SENTIDOS E COMUNICAÇÃO</t>
        </is>
      </c>
      <c r="AO639" s="16" t="n"/>
      <c r="AP639" s="16" t="n"/>
      <c r="AQ639" s="16" t="n"/>
      <c r="AR639" s="17" t="n"/>
      <c r="AS639" s="120" t="n"/>
    </row>
    <row r="640" hidden="1" outlineLevel="1">
      <c r="A640" s="8" t="n"/>
      <c r="B640" s="14" t="n"/>
      <c r="C640" s="120" t="n"/>
      <c r="D640" s="120" t="n"/>
      <c r="E640" s="120" t="n"/>
      <c r="F640" s="120" t="n"/>
      <c r="G640" s="120" t="n"/>
      <c r="I640" s="55" t="inlineStr">
        <is>
          <t>AQUISIÇÃO</t>
        </is>
      </c>
      <c r="J640" s="17" t="n"/>
      <c r="K640" s="55" t="inlineStr">
        <is>
          <t>OBTIDA NO NÍVEL</t>
        </is>
      </c>
      <c r="L640" s="55" t="inlineStr">
        <is>
          <t>TALISMÃ</t>
        </is>
      </c>
      <c r="M640" s="17" t="n"/>
      <c r="N640" s="120" t="n"/>
      <c r="O640" s="55">
        <f>DADOS_INVOC!$HP$5</f>
        <v/>
      </c>
      <c r="P640" s="16" t="n"/>
      <c r="Q640" s="16" t="n"/>
      <c r="R640" s="16" t="n"/>
      <c r="S640" s="17" t="n"/>
      <c r="T640" s="120" t="n"/>
      <c r="U640" s="116" t="n"/>
      <c r="V640" s="19" t="n"/>
      <c r="W640" s="19" t="n"/>
      <c r="X640" s="19" t="n"/>
      <c r="Y640" s="20" t="n"/>
      <c r="Z640" s="120" t="n"/>
      <c r="AB640" s="55" t="inlineStr">
        <is>
          <t>AQUISIÇÃO</t>
        </is>
      </c>
      <c r="AC640" s="17" t="n"/>
      <c r="AD640" s="55" t="inlineStr">
        <is>
          <t>OBTIDA NO NÍVEL</t>
        </is>
      </c>
      <c r="AE640" s="55" t="inlineStr">
        <is>
          <t>TALISMÃ</t>
        </is>
      </c>
      <c r="AF640" s="17" t="n"/>
      <c r="AG640" s="120" t="n"/>
      <c r="AH640" s="55">
        <f>DADOS_INVOC!$HP$11</f>
        <v/>
      </c>
      <c r="AI640" s="16" t="n"/>
      <c r="AJ640" s="16" t="n"/>
      <c r="AK640" s="16" t="n"/>
      <c r="AL640" s="17" t="n"/>
      <c r="AM640" s="120" t="n"/>
      <c r="AN640" s="116" t="n"/>
      <c r="AO640" s="19" t="n"/>
      <c r="AP640" s="19" t="n"/>
      <c r="AQ640" s="19" t="n"/>
      <c r="AR640" s="20" t="n"/>
      <c r="AS640" s="120" t="n"/>
    </row>
    <row r="641" hidden="1" outlineLevel="1">
      <c r="A641" s="8" t="n"/>
      <c r="B641" s="14" t="n"/>
      <c r="C641" s="120" t="n"/>
      <c r="D641" s="120" t="n"/>
      <c r="E641" s="120" t="n"/>
      <c r="F641" s="120" t="n"/>
      <c r="G641" s="120" t="n"/>
      <c r="I641" s="124" t="inlineStr">
        <is>
          <t>Espaço conhecido</t>
        </is>
      </c>
      <c r="J641" s="20" t="n"/>
      <c r="K641" s="124" t="n"/>
      <c r="L641" s="124" t="inlineStr">
        <is>
          <t>Sem carga</t>
        </is>
      </c>
      <c r="M641" s="20" t="n"/>
      <c r="N641" s="120" t="n"/>
      <c r="O641" s="55" t="inlineStr">
        <is>
          <t>LIVRE</t>
        </is>
      </c>
      <c r="P641" s="55" t="inlineStr">
        <is>
          <t>LIVRE · TRILHA</t>
        </is>
      </c>
      <c r="Q641" s="55" t="inlineStr">
        <is>
          <t>ABERTA</t>
        </is>
      </c>
      <c r="R641" s="55" t="inlineStr">
        <is>
          <t>ABERTA</t>
        </is>
      </c>
      <c r="S641" s="55" t="inlineStr">
        <is>
          <t>ABERTA · TRILHA</t>
        </is>
      </c>
      <c r="T641" s="120" t="n"/>
      <c r="U641" s="21" t="n"/>
      <c r="Y641" s="22" t="n"/>
      <c r="Z641" s="120" t="n"/>
      <c r="AB641" s="124" t="inlineStr">
        <is>
          <t>Espaço conhecido</t>
        </is>
      </c>
      <c r="AC641" s="20" t="n"/>
      <c r="AD641" s="124" t="n"/>
      <c r="AE641" s="124" t="inlineStr">
        <is>
          <t>Sem carga</t>
        </is>
      </c>
      <c r="AF641" s="20" t="n"/>
      <c r="AG641" s="120" t="n"/>
      <c r="AH641" s="55" t="inlineStr">
        <is>
          <t>LIVRE</t>
        </is>
      </c>
      <c r="AI641" s="55" t="inlineStr">
        <is>
          <t>LIVRE · TRILHA</t>
        </is>
      </c>
      <c r="AJ641" s="55" t="inlineStr">
        <is>
          <t>ABERTA</t>
        </is>
      </c>
      <c r="AK641" s="55" t="inlineStr">
        <is>
          <t>ABERTA</t>
        </is>
      </c>
      <c r="AL641" s="55" t="inlineStr">
        <is>
          <t>ABERTA · TRILHA</t>
        </is>
      </c>
      <c r="AM641" s="120" t="n"/>
      <c r="AN641" s="21" t="n"/>
      <c r="AR641" s="22" t="n"/>
      <c r="AS641" s="120" t="n"/>
    </row>
    <row r="642" hidden="1" outlineLevel="1">
      <c r="A642" s="8" t="n"/>
      <c r="B642" s="14" t="n"/>
      <c r="C642" s="120" t="n"/>
      <c r="D642" s="120" t="n"/>
      <c r="E642" s="120" t="n"/>
      <c r="F642" s="120" t="n"/>
      <c r="G642" s="120" t="n"/>
      <c r="I642" s="23" t="n"/>
      <c r="J642" s="25" t="n"/>
      <c r="K642" s="125" t="n"/>
      <c r="L642" s="23" t="n"/>
      <c r="M642" s="25" t="n"/>
      <c r="N642" s="120" t="n"/>
      <c r="O642" s="124" t="n"/>
      <c r="P642" s="124" t="n"/>
      <c r="Q642" s="124" t="n"/>
      <c r="R642" s="124" t="n"/>
      <c r="S642" s="124" t="n"/>
      <c r="T642" s="120" t="n"/>
      <c r="U642" s="21" t="n"/>
      <c r="Y642" s="22" t="n"/>
      <c r="Z642" s="120" t="n"/>
      <c r="AB642" s="23" t="n"/>
      <c r="AC642" s="25" t="n"/>
      <c r="AD642" s="125" t="n"/>
      <c r="AE642" s="23" t="n"/>
      <c r="AF642" s="25" t="n"/>
      <c r="AG642" s="120" t="n"/>
      <c r="AH642" s="124" t="n"/>
      <c r="AI642" s="124" t="n"/>
      <c r="AJ642" s="124" t="n"/>
      <c r="AK642" s="124" t="n"/>
      <c r="AL642" s="124" t="n"/>
      <c r="AM642" s="120" t="n"/>
      <c r="AN642" s="21" t="n"/>
      <c r="AR642" s="22" t="n"/>
      <c r="AS642" s="120" t="n"/>
    </row>
    <row r="643" hidden="1" outlineLevel="1">
      <c r="A643" s="8" t="n"/>
      <c r="B643" s="14" t="n"/>
      <c r="C643" s="120" t="n"/>
      <c r="D643" s="120" t="n"/>
      <c r="E643" s="120" t="n"/>
      <c r="F643" s="120" t="n"/>
      <c r="G643" s="120" t="n"/>
      <c r="I643" s="120" t="n"/>
      <c r="J643" s="120" t="n"/>
      <c r="K643" s="120" t="n"/>
      <c r="L643" s="120" t="n"/>
      <c r="M643" s="120" t="n"/>
      <c r="N643" s="120" t="n"/>
      <c r="O643" s="125" t="n"/>
      <c r="P643" s="125" t="n"/>
      <c r="Q643" s="125" t="n"/>
      <c r="R643" s="125" t="n"/>
      <c r="S643" s="125" t="n"/>
      <c r="T643" s="120" t="n"/>
      <c r="U643" s="23" t="n"/>
      <c r="V643" s="24" t="n"/>
      <c r="W643" s="24" t="n"/>
      <c r="X643" s="24" t="n"/>
      <c r="Y643" s="25" t="n"/>
      <c r="Z643" s="120" t="n"/>
      <c r="AB643" s="120" t="n"/>
      <c r="AC643" s="120" t="n"/>
      <c r="AD643" s="120" t="n"/>
      <c r="AE643" s="120" t="n"/>
      <c r="AF643" s="120" t="n"/>
      <c r="AG643" s="120" t="n"/>
      <c r="AH643" s="125" t="n"/>
      <c r="AI643" s="125" t="n"/>
      <c r="AJ643" s="125" t="n"/>
      <c r="AK643" s="125" t="n"/>
      <c r="AL643" s="125" t="n"/>
      <c r="AM643" s="120" t="n"/>
      <c r="AN643" s="23" t="n"/>
      <c r="AO643" s="24" t="n"/>
      <c r="AP643" s="24" t="n"/>
      <c r="AQ643" s="24" t="n"/>
      <c r="AR643" s="25" t="n"/>
      <c r="AS643" s="120" t="n"/>
    </row>
    <row r="644" hidden="1" outlineLevel="1">
      <c r="A644" s="8" t="n"/>
      <c r="B644" s="14" t="n"/>
      <c r="C644" s="120" t="n"/>
      <c r="D644" s="120" t="n"/>
      <c r="E644" s="120" t="n"/>
      <c r="F644" s="120" t="n"/>
      <c r="G644" s="120" t="n"/>
      <c r="I644" s="120" t="n"/>
      <c r="J644" s="120" t="n"/>
      <c r="K644" s="120" t="n"/>
      <c r="L644" s="120" t="n"/>
      <c r="M644" s="120" t="n"/>
      <c r="N644" s="120" t="n"/>
      <c r="O644" s="120" t="n"/>
      <c r="P644" s="120" t="n"/>
      <c r="Q644" s="120" t="n"/>
      <c r="R644" s="120" t="n"/>
      <c r="S644" s="120" t="n"/>
      <c r="T644" s="120" t="n"/>
      <c r="U644" s="120" t="n"/>
      <c r="V644" s="120" t="n"/>
      <c r="W644" s="120" t="n"/>
      <c r="X644" s="120" t="n"/>
      <c r="Y644" s="120" t="n"/>
      <c r="Z644" s="120" t="n"/>
      <c r="AB644" s="120" t="n"/>
      <c r="AC644" s="120" t="n"/>
      <c r="AD644" s="120" t="n"/>
      <c r="AE644" s="120" t="n"/>
      <c r="AF644" s="120" t="n"/>
      <c r="AG644" s="120" t="n"/>
      <c r="AH644" s="120" t="n"/>
      <c r="AI644" s="120" t="n"/>
      <c r="AJ644" s="120" t="n"/>
      <c r="AK644" s="120" t="n"/>
      <c r="AL644" s="120" t="n"/>
      <c r="AM644" s="120" t="n"/>
      <c r="AN644" s="120" t="n"/>
      <c r="AO644" s="120" t="n"/>
      <c r="AP644" s="120" t="n"/>
      <c r="AQ644" s="120" t="n"/>
      <c r="AR644" s="120" t="n"/>
      <c r="AS644" s="120" t="n"/>
    </row>
    <row r="645" hidden="1" outlineLevel="1">
      <c r="A645" s="8" t="n"/>
      <c r="B645" s="14" t="n"/>
      <c r="C645" s="120" t="n"/>
      <c r="D645" s="120" t="n"/>
      <c r="E645" s="120" t="n"/>
      <c r="F645" s="120" t="n"/>
      <c r="G645" s="120"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0"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0" t="n"/>
    </row>
    <row r="646" hidden="1" outlineLevel="1">
      <c r="A646" s="8" t="n"/>
      <c r="B646" s="14" t="n"/>
      <c r="C646" s="120" t="n"/>
      <c r="D646" s="120" t="n"/>
      <c r="E646" s="120" t="n"/>
      <c r="F646" s="120" t="n"/>
      <c r="G646" s="120" t="n"/>
      <c r="I646" s="116" t="n"/>
      <c r="J646" s="19" t="n"/>
      <c r="K646" s="19" t="n"/>
      <c r="L646" s="19" t="n"/>
      <c r="M646" s="19" t="n"/>
      <c r="N646" s="19" t="n"/>
      <c r="O646" s="19" t="n"/>
      <c r="P646" s="19" t="n"/>
      <c r="Q646" s="19" t="n"/>
      <c r="R646" s="19" t="n"/>
      <c r="S646" s="19" t="n"/>
      <c r="T646" s="19" t="n"/>
      <c r="U646" s="19" t="n"/>
      <c r="V646" s="19" t="n"/>
      <c r="W646" s="19" t="n"/>
      <c r="X646" s="19" t="n"/>
      <c r="Y646" s="20" t="n"/>
      <c r="Z646" s="120" t="n"/>
      <c r="AB646" s="116" t="n"/>
      <c r="AC646" s="19" t="n"/>
      <c r="AD646" s="19" t="n"/>
      <c r="AE646" s="19" t="n"/>
      <c r="AF646" s="19" t="n"/>
      <c r="AG646" s="19" t="n"/>
      <c r="AH646" s="19" t="n"/>
      <c r="AI646" s="19" t="n"/>
      <c r="AJ646" s="19" t="n"/>
      <c r="AK646" s="19" t="n"/>
      <c r="AL646" s="19" t="n"/>
      <c r="AM646" s="19" t="n"/>
      <c r="AN646" s="19" t="n"/>
      <c r="AO646" s="19" t="n"/>
      <c r="AP646" s="19" t="n"/>
      <c r="AQ646" s="19" t="n"/>
      <c r="AR646" s="20" t="n"/>
      <c r="AS646" s="120" t="n"/>
    </row>
    <row r="647" hidden="1" outlineLevel="1">
      <c r="A647" s="8" t="n"/>
      <c r="B647" s="14" t="n"/>
      <c r="C647" s="120" t="n"/>
      <c r="D647" s="120" t="n"/>
      <c r="E647" s="120" t="n"/>
      <c r="F647" s="120" t="n"/>
      <c r="G647" s="120" t="n"/>
      <c r="I647" s="23" t="n"/>
      <c r="J647" s="24" t="n"/>
      <c r="K647" s="24" t="n"/>
      <c r="L647" s="24" t="n"/>
      <c r="M647" s="24" t="n"/>
      <c r="N647" s="24" t="n"/>
      <c r="O647" s="24" t="n"/>
      <c r="P647" s="24" t="n"/>
      <c r="Q647" s="24" t="n"/>
      <c r="R647" s="24" t="n"/>
      <c r="S647" s="24" t="n"/>
      <c r="T647" s="24" t="n"/>
      <c r="U647" s="24" t="n"/>
      <c r="V647" s="24" t="n"/>
      <c r="W647" s="24" t="n"/>
      <c r="X647" s="24" t="n"/>
      <c r="Y647" s="25" t="n"/>
      <c r="Z647" s="120"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0" t="n"/>
    </row>
    <row r="648" hidden="1" outlineLevel="1">
      <c r="A648" s="8" t="n"/>
      <c r="B648" s="14" t="n"/>
      <c r="C648" s="120" t="n"/>
      <c r="D648" s="120" t="n"/>
      <c r="E648" s="120" t="n"/>
      <c r="F648" s="120" t="n"/>
      <c r="G648" s="120" t="n"/>
      <c r="I648" s="120" t="n"/>
      <c r="J648" s="120" t="n"/>
      <c r="K648" s="120" t="n"/>
      <c r="L648" s="120" t="n"/>
      <c r="M648" s="120" t="n"/>
      <c r="N648" s="120" t="n"/>
      <c r="O648" s="120" t="n"/>
      <c r="P648" s="120" t="n"/>
      <c r="Q648" s="120" t="n"/>
      <c r="R648" s="120" t="n"/>
      <c r="S648" s="120" t="n"/>
      <c r="T648" s="120" t="n"/>
      <c r="U648" s="120" t="n"/>
      <c r="V648" s="120" t="n"/>
      <c r="W648" s="120" t="n"/>
      <c r="X648" s="120" t="n"/>
      <c r="Y648" s="120" t="n"/>
      <c r="Z648" s="120" t="n"/>
      <c r="AB648" s="120" t="n"/>
      <c r="AC648" s="120" t="n"/>
      <c r="AD648" s="120" t="n"/>
      <c r="AE648" s="120" t="n"/>
      <c r="AF648" s="120" t="n"/>
      <c r="AG648" s="120" t="n"/>
      <c r="AH648" s="120" t="n"/>
      <c r="AI648" s="120" t="n"/>
      <c r="AJ648" s="120" t="n"/>
      <c r="AK648" s="120" t="n"/>
      <c r="AL648" s="120" t="n"/>
      <c r="AM648" s="120" t="n"/>
      <c r="AN648" s="120" t="n"/>
      <c r="AO648" s="120" t="n"/>
      <c r="AP648" s="120" t="n"/>
      <c r="AQ648" s="120" t="n"/>
      <c r="AR648" s="120" t="n"/>
      <c r="AS648" s="120" t="n"/>
    </row>
    <row r="649" hidden="1" outlineLevel="1">
      <c r="A649" s="8" t="n"/>
      <c r="B649" s="14" t="n"/>
      <c r="C649" s="120" t="n"/>
      <c r="D649" s="120" t="n"/>
      <c r="E649" s="120" t="n"/>
      <c r="F649" s="120" t="n"/>
      <c r="G649" s="120" t="n"/>
      <c r="I649" s="133">
        <f>DADOS_INVOC!$HQ$5</f>
        <v/>
      </c>
      <c r="J649" s="16" t="n"/>
      <c r="K649" s="16" t="n"/>
      <c r="L649" s="16" t="n"/>
      <c r="M649" s="16" t="n"/>
      <c r="N649" s="16" t="n"/>
      <c r="O649" s="16" t="n"/>
      <c r="P649" s="16" t="n"/>
      <c r="Q649" s="16" t="n"/>
      <c r="R649" s="16" t="n"/>
      <c r="S649" s="16" t="n"/>
      <c r="T649" s="16" t="n"/>
      <c r="U649" s="16" t="n"/>
      <c r="V649" s="16" t="n"/>
      <c r="W649" s="16" t="n"/>
      <c r="X649" s="16" t="n"/>
      <c r="Y649" s="17" t="n"/>
      <c r="Z649" s="120" t="n"/>
      <c r="AB649" s="133">
        <f>DADOS_INVOC!$HQ$11</f>
        <v/>
      </c>
      <c r="AC649" s="16" t="n"/>
      <c r="AD649" s="16" t="n"/>
      <c r="AE649" s="16" t="n"/>
      <c r="AF649" s="16" t="n"/>
      <c r="AG649" s="16" t="n"/>
      <c r="AH649" s="16" t="n"/>
      <c r="AI649" s="16" t="n"/>
      <c r="AJ649" s="16" t="n"/>
      <c r="AK649" s="16" t="n"/>
      <c r="AL649" s="16" t="n"/>
      <c r="AM649" s="16" t="n"/>
      <c r="AN649" s="16" t="n"/>
      <c r="AO649" s="16" t="n"/>
      <c r="AP649" s="16" t="n"/>
      <c r="AQ649" s="16" t="n"/>
      <c r="AR649" s="17" t="n"/>
      <c r="AS649" s="120" t="n"/>
    </row>
    <row r="650" hidden="1" outlineLevel="1">
      <c r="A650" s="8" t="n"/>
      <c r="B650" s="14" t="n"/>
      <c r="C650" s="120" t="n"/>
      <c r="D650" s="120" t="n"/>
      <c r="E650" s="120" t="n"/>
      <c r="F650" s="120" t="n"/>
      <c r="G650" s="120" t="n"/>
      <c r="I650" s="120" t="n"/>
      <c r="J650" s="120" t="n"/>
      <c r="K650" s="120" t="n"/>
      <c r="L650" s="120" t="n"/>
      <c r="M650" s="120" t="n"/>
      <c r="N650" s="120" t="n"/>
      <c r="O650" s="120" t="n"/>
      <c r="P650" s="120" t="n"/>
      <c r="Q650" s="120" t="n"/>
      <c r="R650" s="120" t="n"/>
      <c r="S650" s="120" t="n"/>
      <c r="T650" s="120" t="n"/>
      <c r="U650" s="120" t="n"/>
      <c r="V650" s="120" t="n"/>
      <c r="W650" s="120" t="n"/>
      <c r="X650" s="120" t="n"/>
      <c r="Y650" s="120" t="n"/>
      <c r="Z650" s="120" t="n"/>
      <c r="AB650" s="120" t="n"/>
      <c r="AC650" s="120" t="n"/>
      <c r="AD650" s="120" t="n"/>
      <c r="AE650" s="120" t="n"/>
      <c r="AF650" s="120" t="n"/>
      <c r="AG650" s="120" t="n"/>
      <c r="AH650" s="120" t="n"/>
      <c r="AI650" s="120" t="n"/>
      <c r="AJ650" s="120" t="n"/>
      <c r="AK650" s="120" t="n"/>
      <c r="AL650" s="120" t="n"/>
      <c r="AM650" s="120" t="n"/>
      <c r="AN650" s="120" t="n"/>
      <c r="AO650" s="120" t="n"/>
      <c r="AP650" s="120" t="n"/>
      <c r="AQ650" s="120" t="n"/>
      <c r="AR650" s="120" t="n"/>
      <c r="AS650" s="120" t="n"/>
    </row>
    <row r="651" hidden="1" outlineLevel="1">
      <c r="A651" s="8" t="n"/>
      <c r="B651" s="14" t="n"/>
      <c r="C651" s="120" t="n"/>
      <c r="D651" s="120" t="n"/>
      <c r="E651" s="120" t="n"/>
      <c r="F651" s="120" t="n"/>
      <c r="G651" s="120" t="n"/>
      <c r="I651" s="55">
        <f>DADOS_INVOC!$PI$41</f>
        <v/>
      </c>
      <c r="J651" s="16" t="n"/>
      <c r="K651" s="16" t="n"/>
      <c r="L651" s="16" t="n"/>
      <c r="M651" s="17" t="n"/>
      <c r="N651" s="120" t="n"/>
      <c r="O651" s="55">
        <f>DADOS_INVOC!$PI$42</f>
        <v/>
      </c>
      <c r="P651" s="16" t="n"/>
      <c r="Q651" s="16" t="n"/>
      <c r="R651" s="16" t="n"/>
      <c r="S651" s="17" t="n"/>
      <c r="T651" s="120" t="n"/>
      <c r="U651" s="55">
        <f>DADOS_INVOC!$PI$43</f>
        <v/>
      </c>
      <c r="V651" s="16" t="n"/>
      <c r="W651" s="16" t="n"/>
      <c r="X651" s="16" t="n"/>
      <c r="Y651" s="17" t="n"/>
      <c r="Z651" s="120" t="n"/>
      <c r="AB651" s="55">
        <f>DADOS_INVOC!$PI$119</f>
        <v/>
      </c>
      <c r="AC651" s="16" t="n"/>
      <c r="AD651" s="16" t="n"/>
      <c r="AE651" s="16" t="n"/>
      <c r="AF651" s="17" t="n"/>
      <c r="AG651" s="120" t="n"/>
      <c r="AH651" s="55">
        <f>DADOS_INVOC!$PI$120</f>
        <v/>
      </c>
      <c r="AI651" s="16" t="n"/>
      <c r="AJ651" s="16" t="n"/>
      <c r="AK651" s="16" t="n"/>
      <c r="AL651" s="17" t="n"/>
      <c r="AM651" s="120" t="n"/>
      <c r="AN651" s="55">
        <f>DADOS_INVOC!$PI$121</f>
        <v/>
      </c>
      <c r="AO651" s="16" t="n"/>
      <c r="AP651" s="16" t="n"/>
      <c r="AQ651" s="16" t="n"/>
      <c r="AR651" s="17" t="n"/>
      <c r="AS651" s="120" t="n"/>
    </row>
    <row r="652" hidden="1" outlineLevel="1">
      <c r="A652" s="8" t="n"/>
      <c r="B652" s="14" t="n"/>
      <c r="C652" s="120" t="n"/>
      <c r="D652" s="120" t="n"/>
      <c r="E652" s="120" t="n"/>
      <c r="F652" s="120" t="n"/>
      <c r="G652" s="120" t="n"/>
      <c r="I652" s="127" t="n">
        <v>0</v>
      </c>
      <c r="J652" s="115" t="n"/>
      <c r="K652" s="16" t="n"/>
      <c r="L652" s="17" t="n"/>
      <c r="M652" s="128">
        <f>DADOS_INVOC!$PG$41</f>
        <v/>
      </c>
      <c r="N652" s="120" t="n"/>
      <c r="O652" s="127" t="n">
        <v>1</v>
      </c>
      <c r="P652" s="115" t="n"/>
      <c r="Q652" s="16" t="n"/>
      <c r="R652" s="17" t="n"/>
      <c r="S652" s="128">
        <f>DADOS_INVOC!$PG$42</f>
        <v/>
      </c>
      <c r="T652" s="120" t="n"/>
      <c r="U652" s="127" t="n">
        <v>1</v>
      </c>
      <c r="V652" s="115" t="n"/>
      <c r="W652" s="16" t="n"/>
      <c r="X652" s="17" t="n"/>
      <c r="Y652" s="128">
        <f>DADOS_INVOC!$PG$43</f>
        <v/>
      </c>
      <c r="Z652" s="120" t="n"/>
      <c r="AB652" s="127" t="n">
        <v>0</v>
      </c>
      <c r="AC652" s="115" t="n"/>
      <c r="AD652" s="16" t="n"/>
      <c r="AE652" s="17" t="n"/>
      <c r="AF652" s="128">
        <f>DADOS_INVOC!$PG$119</f>
        <v/>
      </c>
      <c r="AG652" s="120" t="n"/>
      <c r="AH652" s="127" t="n">
        <v>1</v>
      </c>
      <c r="AI652" s="115" t="n"/>
      <c r="AJ652" s="16" t="n"/>
      <c r="AK652" s="17" t="n"/>
      <c r="AL652" s="128">
        <f>DADOS_INVOC!$PG$120</f>
        <v/>
      </c>
      <c r="AM652" s="120" t="n"/>
      <c r="AN652" s="127" t="n">
        <v>1</v>
      </c>
      <c r="AO652" s="115" t="n"/>
      <c r="AP652" s="16" t="n"/>
      <c r="AQ652" s="17" t="n"/>
      <c r="AR652" s="128">
        <f>DADOS_INVOC!$PG$121</f>
        <v/>
      </c>
      <c r="AS652" s="120" t="n"/>
    </row>
    <row r="653" hidden="1" outlineLevel="2">
      <c r="A653" s="8" t="n"/>
      <c r="B653" s="14" t="n"/>
      <c r="C653" s="120" t="n"/>
      <c r="D653" s="120" t="n"/>
      <c r="E653" s="120" t="n"/>
      <c r="F653" s="120" t="n"/>
      <c r="G653" s="120" t="n"/>
      <c r="I653" s="55" t="inlineStr">
        <is>
          <t>COMO É</t>
        </is>
      </c>
      <c r="J653" s="16" t="n"/>
      <c r="K653" s="16" t="n"/>
      <c r="L653" s="16" t="n"/>
      <c r="M653" s="17" t="n"/>
      <c r="N653" s="120" t="n"/>
      <c r="O653" s="55" t="inlineStr">
        <is>
          <t>COMO É</t>
        </is>
      </c>
      <c r="P653" s="16" t="n"/>
      <c r="Q653" s="16" t="n"/>
      <c r="R653" s="16" t="n"/>
      <c r="S653" s="17" t="n"/>
      <c r="T653" s="120" t="n"/>
      <c r="U653" s="55" t="inlineStr">
        <is>
          <t>COMO É</t>
        </is>
      </c>
      <c r="V653" s="16" t="n"/>
      <c r="W653" s="16" t="n"/>
      <c r="X653" s="16" t="n"/>
      <c r="Y653" s="17" t="n"/>
      <c r="Z653" s="120" t="n"/>
      <c r="AB653" s="55" t="inlineStr">
        <is>
          <t>COMO É</t>
        </is>
      </c>
      <c r="AC653" s="16" t="n"/>
      <c r="AD653" s="16" t="n"/>
      <c r="AE653" s="16" t="n"/>
      <c r="AF653" s="17" t="n"/>
      <c r="AG653" s="120" t="n"/>
      <c r="AH653" s="55" t="inlineStr">
        <is>
          <t>COMO É</t>
        </is>
      </c>
      <c r="AI653" s="16" t="n"/>
      <c r="AJ653" s="16" t="n"/>
      <c r="AK653" s="16" t="n"/>
      <c r="AL653" s="17" t="n"/>
      <c r="AM653" s="120" t="n"/>
      <c r="AN653" s="55" t="inlineStr">
        <is>
          <t>COMO É</t>
        </is>
      </c>
      <c r="AO653" s="16" t="n"/>
      <c r="AP653" s="16" t="n"/>
      <c r="AQ653" s="16" t="n"/>
      <c r="AR653" s="17" t="n"/>
      <c r="AS653" s="120" t="n"/>
    </row>
    <row r="654" hidden="1" outlineLevel="2">
      <c r="A654" s="8" t="n"/>
      <c r="B654" s="14" t="n"/>
      <c r="C654" s="120" t="n"/>
      <c r="D654" s="120" t="n"/>
      <c r="E654" s="120" t="n"/>
      <c r="F654" s="120" t="n"/>
      <c r="G654" s="120" t="n"/>
      <c r="I654" s="116" t="n"/>
      <c r="J654" s="19" t="n"/>
      <c r="K654" s="19" t="n"/>
      <c r="L654" s="19" t="n"/>
      <c r="M654" s="20" t="n"/>
      <c r="N654" s="120" t="n"/>
      <c r="O654" s="116" t="n"/>
      <c r="P654" s="19" t="n"/>
      <c r="Q654" s="19" t="n"/>
      <c r="R654" s="19" t="n"/>
      <c r="S654" s="20" t="n"/>
      <c r="T654" s="120" t="n"/>
      <c r="U654" s="116" t="n"/>
      <c r="V654" s="19" t="n"/>
      <c r="W654" s="19" t="n"/>
      <c r="X654" s="19" t="n"/>
      <c r="Y654" s="20" t="n"/>
      <c r="Z654" s="120" t="n"/>
      <c r="AB654" s="116" t="n"/>
      <c r="AC654" s="19" t="n"/>
      <c r="AD654" s="19" t="n"/>
      <c r="AE654" s="19" t="n"/>
      <c r="AF654" s="20" t="n"/>
      <c r="AG654" s="120" t="n"/>
      <c r="AH654" s="116" t="n"/>
      <c r="AI654" s="19" t="n"/>
      <c r="AJ654" s="19" t="n"/>
      <c r="AK654" s="19" t="n"/>
      <c r="AL654" s="20" t="n"/>
      <c r="AM654" s="120" t="n"/>
      <c r="AN654" s="116" t="n"/>
      <c r="AO654" s="19" t="n"/>
      <c r="AP654" s="19" t="n"/>
      <c r="AQ654" s="19" t="n"/>
      <c r="AR654" s="20" t="n"/>
      <c r="AS654" s="120" t="n"/>
    </row>
    <row r="655" hidden="1" outlineLevel="2">
      <c r="A655" s="8" t="n"/>
      <c r="B655" s="14" t="n"/>
      <c r="C655" s="120" t="n"/>
      <c r="D655" s="120" t="n"/>
      <c r="E655" s="120" t="n"/>
      <c r="F655" s="120" t="n"/>
      <c r="G655" s="120" t="n"/>
      <c r="I655" s="21" t="n"/>
      <c r="M655" s="22" t="n"/>
      <c r="N655" s="120" t="n"/>
      <c r="O655" s="21" t="n"/>
      <c r="S655" s="22" t="n"/>
      <c r="T655" s="120" t="n"/>
      <c r="U655" s="21" t="n"/>
      <c r="Y655" s="22" t="n"/>
      <c r="Z655" s="120" t="n"/>
      <c r="AB655" s="21" t="n"/>
      <c r="AF655" s="22" t="n"/>
      <c r="AG655" s="120" t="n"/>
      <c r="AH655" s="21" t="n"/>
      <c r="AL655" s="22" t="n"/>
      <c r="AM655" s="120" t="n"/>
      <c r="AN655" s="21" t="n"/>
      <c r="AR655" s="22" t="n"/>
      <c r="AS655" s="120" t="n"/>
    </row>
    <row r="656" hidden="1" outlineLevel="2">
      <c r="A656" s="8" t="n"/>
      <c r="B656" s="14" t="n"/>
      <c r="C656" s="120" t="n"/>
      <c r="D656" s="120" t="n"/>
      <c r="E656" s="120" t="n"/>
      <c r="F656" s="120" t="n"/>
      <c r="G656" s="120" t="n"/>
      <c r="I656" s="23" t="n"/>
      <c r="J656" s="24" t="n"/>
      <c r="K656" s="24" t="n"/>
      <c r="L656" s="24" t="n"/>
      <c r="M656" s="25" t="n"/>
      <c r="N656" s="120" t="n"/>
      <c r="O656" s="23" t="n"/>
      <c r="P656" s="24" t="n"/>
      <c r="Q656" s="24" t="n"/>
      <c r="R656" s="24" t="n"/>
      <c r="S656" s="25" t="n"/>
      <c r="T656" s="120" t="n"/>
      <c r="U656" s="23" t="n"/>
      <c r="V656" s="24" t="n"/>
      <c r="W656" s="24" t="n"/>
      <c r="X656" s="24" t="n"/>
      <c r="Y656" s="25" t="n"/>
      <c r="Z656" s="120" t="n"/>
      <c r="AB656" s="23" t="n"/>
      <c r="AC656" s="24" t="n"/>
      <c r="AD656" s="24" t="n"/>
      <c r="AE656" s="24" t="n"/>
      <c r="AF656" s="25" t="n"/>
      <c r="AG656" s="120" t="n"/>
      <c r="AH656" s="23" t="n"/>
      <c r="AI656" s="24" t="n"/>
      <c r="AJ656" s="24" t="n"/>
      <c r="AK656" s="24" t="n"/>
      <c r="AL656" s="25" t="n"/>
      <c r="AM656" s="120" t="n"/>
      <c r="AN656" s="23" t="n"/>
      <c r="AO656" s="24" t="n"/>
      <c r="AP656" s="24" t="n"/>
      <c r="AQ656" s="24" t="n"/>
      <c r="AR656" s="25" t="n"/>
      <c r="AS656" s="120" t="n"/>
    </row>
    <row r="657" hidden="1" outlineLevel="1">
      <c r="A657" s="8" t="n"/>
      <c r="B657" s="14" t="n"/>
      <c r="C657" s="120" t="n"/>
      <c r="D657" s="120" t="n"/>
      <c r="E657" s="120" t="n"/>
      <c r="F657" s="120" t="n"/>
      <c r="G657" s="120" t="n"/>
      <c r="I657" s="124" t="inlineStr">
        <is>
          <t>Projétil</t>
        </is>
      </c>
      <c r="J657" s="17" t="n"/>
      <c r="K657" s="68">
        <f>DADOS_INVOC!$PN$41</f>
        <v/>
      </c>
      <c r="L657" s="17" t="n"/>
      <c r="M657" s="68">
        <f>DADOS_INVOC!$PJ$41</f>
        <v/>
      </c>
      <c r="N657" s="120" t="n"/>
      <c r="O657" s="124" t="inlineStr">
        <is>
          <t>Projétil</t>
        </is>
      </c>
      <c r="P657" s="17" t="n"/>
      <c r="Q657" s="68">
        <f>DADOS_INVOC!$PN$42</f>
        <v/>
      </c>
      <c r="R657" s="17" t="n"/>
      <c r="S657" s="68">
        <f>DADOS_INVOC!$PJ$42</f>
        <v/>
      </c>
      <c r="T657" s="120" t="n"/>
      <c r="U657" s="124" t="inlineStr">
        <is>
          <t>Projétil</t>
        </is>
      </c>
      <c r="V657" s="17" t="n"/>
      <c r="W657" s="68">
        <f>DADOS_INVOC!$PN$43</f>
        <v/>
      </c>
      <c r="X657" s="17" t="n"/>
      <c r="Y657" s="68">
        <f>DADOS_INVOC!$PJ$43</f>
        <v/>
      </c>
      <c r="Z657" s="120" t="n"/>
      <c r="AB657" s="124" t="inlineStr">
        <is>
          <t>Projétil</t>
        </is>
      </c>
      <c r="AC657" s="17" t="n"/>
      <c r="AD657" s="68">
        <f>DADOS_INVOC!$PN$119</f>
        <v/>
      </c>
      <c r="AE657" s="17" t="n"/>
      <c r="AF657" s="68">
        <f>DADOS_INVOC!$PJ$119</f>
        <v/>
      </c>
      <c r="AG657" s="120" t="n"/>
      <c r="AH657" s="124" t="inlineStr">
        <is>
          <t>Projétil</t>
        </is>
      </c>
      <c r="AI657" s="17" t="n"/>
      <c r="AJ657" s="68">
        <f>DADOS_INVOC!$PN$120</f>
        <v/>
      </c>
      <c r="AK657" s="17" t="n"/>
      <c r="AL657" s="68">
        <f>DADOS_INVOC!$PJ$120</f>
        <v/>
      </c>
      <c r="AM657" s="120" t="n"/>
      <c r="AN657" s="124" t="inlineStr">
        <is>
          <t>Projétil</t>
        </is>
      </c>
      <c r="AO657" s="17" t="n"/>
      <c r="AP657" s="68">
        <f>DADOS_INVOC!$PN$121</f>
        <v/>
      </c>
      <c r="AQ657" s="17" t="n"/>
      <c r="AR657" s="68">
        <f>DADOS_INVOC!$PJ$121</f>
        <v/>
      </c>
      <c r="AS657" s="120" t="n"/>
    </row>
    <row r="658" hidden="1" outlineLevel="1">
      <c r="A658" s="8" t="n"/>
      <c r="B658" s="14" t="n"/>
      <c r="C658" s="120" t="n"/>
      <c r="D658" s="120" t="n"/>
      <c r="E658" s="120" t="n"/>
      <c r="F658" s="120" t="n"/>
      <c r="G658" s="120" t="n"/>
      <c r="I658" s="124" t="n"/>
      <c r="J658" s="17" t="n"/>
      <c r="K658" s="124" t="n"/>
      <c r="L658" s="16" t="n"/>
      <c r="M658" s="17" t="n"/>
      <c r="N658" s="120" t="n"/>
      <c r="O658" s="124" t="n"/>
      <c r="P658" s="17" t="n"/>
      <c r="Q658" s="124" t="n"/>
      <c r="R658" s="16" t="n"/>
      <c r="S658" s="17" t="n"/>
      <c r="T658" s="120" t="n"/>
      <c r="U658" s="124" t="n"/>
      <c r="V658" s="17" t="n"/>
      <c r="W658" s="124" t="n"/>
      <c r="X658" s="16" t="n"/>
      <c r="Y658" s="17" t="n"/>
      <c r="Z658" s="120" t="n"/>
      <c r="AB658" s="124" t="n"/>
      <c r="AC658" s="17" t="n"/>
      <c r="AD658" s="124" t="n"/>
      <c r="AE658" s="16" t="n"/>
      <c r="AF658" s="17" t="n"/>
      <c r="AG658" s="120" t="n"/>
      <c r="AH658" s="124" t="n"/>
      <c r="AI658" s="17" t="n"/>
      <c r="AJ658" s="124" t="n"/>
      <c r="AK658" s="16" t="n"/>
      <c r="AL658" s="17" t="n"/>
      <c r="AM658" s="120" t="n"/>
      <c r="AN658" s="124" t="n"/>
      <c r="AO658" s="17" t="n"/>
      <c r="AP658" s="124" t="n"/>
      <c r="AQ658" s="16" t="n"/>
      <c r="AR658" s="17" t="n"/>
      <c r="AS658" s="120" t="n"/>
    </row>
    <row r="659" hidden="1" outlineLevel="1">
      <c r="A659" s="8" t="n"/>
      <c r="B659" s="14" t="n"/>
      <c r="C659" s="120" t="n"/>
      <c r="D659" s="120" t="n"/>
      <c r="E659" s="120" t="n"/>
      <c r="F659" s="120" t="n"/>
      <c r="G659" s="120" t="n"/>
      <c r="I659" s="124">
        <f>DADOS_INVOC!$PK$41</f>
        <v/>
      </c>
      <c r="J659" s="17" t="n"/>
      <c r="K659" s="124">
        <f>DADOS_INVOC!$PM$41</f>
        <v/>
      </c>
      <c r="L659" s="16" t="n"/>
      <c r="M659" s="17" t="n"/>
      <c r="N659" s="120" t="n"/>
      <c r="O659" s="124">
        <f>DADOS_INVOC!$PK$42</f>
        <v/>
      </c>
      <c r="P659" s="17" t="n"/>
      <c r="Q659" s="124">
        <f>DADOS_INVOC!$PM$42</f>
        <v/>
      </c>
      <c r="R659" s="16" t="n"/>
      <c r="S659" s="17" t="n"/>
      <c r="T659" s="120" t="n"/>
      <c r="U659" s="124">
        <f>DADOS_INVOC!$PK$43</f>
        <v/>
      </c>
      <c r="V659" s="17" t="n"/>
      <c r="W659" s="124">
        <f>DADOS_INVOC!$PM$43</f>
        <v/>
      </c>
      <c r="X659" s="16" t="n"/>
      <c r="Y659" s="17" t="n"/>
      <c r="Z659" s="120" t="n"/>
      <c r="AB659" s="124">
        <f>DADOS_INVOC!$PK$119</f>
        <v/>
      </c>
      <c r="AC659" s="17" t="n"/>
      <c r="AD659" s="124">
        <f>DADOS_INVOC!$PM$119</f>
        <v/>
      </c>
      <c r="AE659" s="16" t="n"/>
      <c r="AF659" s="17" t="n"/>
      <c r="AG659" s="120" t="n"/>
      <c r="AH659" s="124">
        <f>DADOS_INVOC!$PK$120</f>
        <v/>
      </c>
      <c r="AI659" s="17" t="n"/>
      <c r="AJ659" s="124">
        <f>DADOS_INVOC!$PM$120</f>
        <v/>
      </c>
      <c r="AK659" s="16" t="n"/>
      <c r="AL659" s="17" t="n"/>
      <c r="AM659" s="120" t="n"/>
      <c r="AN659" s="124">
        <f>DADOS_INVOC!$PK$121</f>
        <v/>
      </c>
      <c r="AO659" s="17" t="n"/>
      <c r="AP659" s="124">
        <f>DADOS_INVOC!$PM$121</f>
        <v/>
      </c>
      <c r="AQ659" s="16" t="n"/>
      <c r="AR659" s="17" t="n"/>
      <c r="AS659" s="120" t="n"/>
    </row>
    <row r="660" hidden="1" outlineLevel="1">
      <c r="A660" s="8" t="n"/>
      <c r="B660" s="14" t="n"/>
      <c r="C660" s="120" t="n"/>
      <c r="D660" s="120" t="n"/>
      <c r="E660" s="120" t="n"/>
      <c r="F660" s="120" t="n"/>
      <c r="G660" s="120" t="n"/>
      <c r="I660" s="129">
        <f>DADOS_INVOC!$PS$41</f>
        <v/>
      </c>
      <c r="J660" s="16" t="n"/>
      <c r="K660" s="16" t="n"/>
      <c r="L660" s="16" t="n"/>
      <c r="M660" s="17" t="n"/>
      <c r="N660" s="120" t="n"/>
      <c r="O660" s="129">
        <f>DADOS_INVOC!$PS$42</f>
        <v/>
      </c>
      <c r="P660" s="16" t="n"/>
      <c r="Q660" s="16" t="n"/>
      <c r="R660" s="16" t="n"/>
      <c r="S660" s="17" t="n"/>
      <c r="T660" s="120" t="n"/>
      <c r="U660" s="129">
        <f>DADOS_INVOC!$PS$43</f>
        <v/>
      </c>
      <c r="V660" s="16" t="n"/>
      <c r="W660" s="16" t="n"/>
      <c r="X660" s="16" t="n"/>
      <c r="Y660" s="17" t="n"/>
      <c r="Z660" s="120" t="n"/>
      <c r="AB660" s="129">
        <f>DADOS_INVOC!$PS$119</f>
        <v/>
      </c>
      <c r="AC660" s="16" t="n"/>
      <c r="AD660" s="16" t="n"/>
      <c r="AE660" s="16" t="n"/>
      <c r="AF660" s="17" t="n"/>
      <c r="AG660" s="120" t="n"/>
      <c r="AH660" s="129">
        <f>DADOS_INVOC!$PS$120</f>
        <v/>
      </c>
      <c r="AI660" s="16" t="n"/>
      <c r="AJ660" s="16" t="n"/>
      <c r="AK660" s="16" t="n"/>
      <c r="AL660" s="17" t="n"/>
      <c r="AM660" s="120" t="n"/>
      <c r="AN660" s="129">
        <f>DADOS_INVOC!$PS$121</f>
        <v/>
      </c>
      <c r="AO660" s="16" t="n"/>
      <c r="AP660" s="16" t="n"/>
      <c r="AQ660" s="16" t="n"/>
      <c r="AR660" s="17" t="n"/>
      <c r="AS660" s="120" t="n"/>
    </row>
    <row r="661" hidden="1" outlineLevel="2">
      <c r="A661" s="8" t="n"/>
      <c r="B661" s="14" t="n"/>
      <c r="C661" s="120" t="n"/>
      <c r="D661" s="120" t="n"/>
      <c r="E661" s="120" t="n"/>
      <c r="F661" s="120" t="n"/>
      <c r="G661" s="120" t="n"/>
      <c r="I661" s="55" t="inlineStr">
        <is>
          <t>MELHORIAS</t>
        </is>
      </c>
      <c r="J661" s="130" t="n"/>
      <c r="K661" s="16" t="n"/>
      <c r="L661" s="17" t="n"/>
      <c r="M661" s="129">
        <f>DADOS_INVOC!$PV$41</f>
        <v/>
      </c>
      <c r="N661" s="120" t="n"/>
      <c r="O661" s="55" t="inlineStr">
        <is>
          <t>MELHORIAS</t>
        </is>
      </c>
      <c r="P661" s="130" t="n"/>
      <c r="Q661" s="16" t="n"/>
      <c r="R661" s="17" t="n"/>
      <c r="S661" s="129">
        <f>DADOS_INVOC!$PV$42</f>
        <v/>
      </c>
      <c r="T661" s="120" t="n"/>
      <c r="U661" s="55" t="inlineStr">
        <is>
          <t>MELHORIAS</t>
        </is>
      </c>
      <c r="V661" s="130" t="n"/>
      <c r="W661" s="16" t="n"/>
      <c r="X661" s="17" t="n"/>
      <c r="Y661" s="129">
        <f>DADOS_INVOC!$PV$43</f>
        <v/>
      </c>
      <c r="Z661" s="120" t="n"/>
      <c r="AB661" s="55" t="inlineStr">
        <is>
          <t>MELHORIAS</t>
        </is>
      </c>
      <c r="AC661" s="130" t="n"/>
      <c r="AD661" s="16" t="n"/>
      <c r="AE661" s="17" t="n"/>
      <c r="AF661" s="129">
        <f>DADOS_INVOC!$PV$119</f>
        <v/>
      </c>
      <c r="AG661" s="120" t="n"/>
      <c r="AH661" s="55" t="inlineStr">
        <is>
          <t>MELHORIAS</t>
        </is>
      </c>
      <c r="AI661" s="130" t="n"/>
      <c r="AJ661" s="16" t="n"/>
      <c r="AK661" s="17" t="n"/>
      <c r="AL661" s="129">
        <f>DADOS_INVOC!$PV$120</f>
        <v/>
      </c>
      <c r="AM661" s="120" t="n"/>
      <c r="AN661" s="55" t="inlineStr">
        <is>
          <t>MELHORIAS</t>
        </is>
      </c>
      <c r="AO661" s="130" t="n"/>
      <c r="AP661" s="16" t="n"/>
      <c r="AQ661" s="17" t="n"/>
      <c r="AR661" s="129">
        <f>DADOS_INVOC!$PV$121</f>
        <v/>
      </c>
      <c r="AS661" s="120" t="n"/>
    </row>
    <row r="662" hidden="1" outlineLevel="2">
      <c r="A662" s="8" t="n"/>
      <c r="B662" s="14" t="n"/>
      <c r="C662" s="120" t="n"/>
      <c r="D662" s="120" t="n"/>
      <c r="E662" s="120" t="n"/>
      <c r="F662" s="120" t="n"/>
      <c r="G662" s="120" t="n"/>
      <c r="I662" s="131" t="n"/>
      <c r="J662" s="130" t="n"/>
      <c r="K662" s="16" t="n"/>
      <c r="L662" s="17" t="n"/>
      <c r="M662" s="129">
        <f>DADOS_INVOC!$PW$41</f>
        <v/>
      </c>
      <c r="N662" s="120" t="n"/>
      <c r="O662" s="131" t="n"/>
      <c r="P662" s="130" t="n"/>
      <c r="Q662" s="16" t="n"/>
      <c r="R662" s="17" t="n"/>
      <c r="S662" s="129">
        <f>DADOS_INVOC!$PW$42</f>
        <v/>
      </c>
      <c r="T662" s="120" t="n"/>
      <c r="U662" s="131" t="n"/>
      <c r="V662" s="130" t="n"/>
      <c r="W662" s="16" t="n"/>
      <c r="X662" s="17" t="n"/>
      <c r="Y662" s="129">
        <f>DADOS_INVOC!$PW$43</f>
        <v/>
      </c>
      <c r="Z662" s="120" t="n"/>
      <c r="AB662" s="131" t="n"/>
      <c r="AC662" s="130" t="n"/>
      <c r="AD662" s="16" t="n"/>
      <c r="AE662" s="17" t="n"/>
      <c r="AF662" s="129">
        <f>DADOS_INVOC!$PW$119</f>
        <v/>
      </c>
      <c r="AG662" s="120" t="n"/>
      <c r="AH662" s="131" t="n"/>
      <c r="AI662" s="130" t="n"/>
      <c r="AJ662" s="16" t="n"/>
      <c r="AK662" s="17" t="n"/>
      <c r="AL662" s="129">
        <f>DADOS_INVOC!$PW$120</f>
        <v/>
      </c>
      <c r="AM662" s="120" t="n"/>
      <c r="AN662" s="131" t="n"/>
      <c r="AO662" s="130" t="n"/>
      <c r="AP662" s="16" t="n"/>
      <c r="AQ662" s="17" t="n"/>
      <c r="AR662" s="129">
        <f>DADOS_INVOC!$PW$121</f>
        <v/>
      </c>
      <c r="AS662" s="120" t="n"/>
    </row>
    <row r="663" hidden="1" outlineLevel="2">
      <c r="A663" s="8" t="n"/>
      <c r="B663" s="14" t="n"/>
      <c r="C663" s="120" t="n"/>
      <c r="D663" s="120" t="n"/>
      <c r="E663" s="120" t="n"/>
      <c r="F663" s="120" t="n"/>
      <c r="G663" s="120" t="n"/>
      <c r="I663" s="131" t="n"/>
      <c r="J663" s="130" t="n"/>
      <c r="K663" s="16" t="n"/>
      <c r="L663" s="17" t="n"/>
      <c r="M663" s="129">
        <f>DADOS_INVOC!$PX$41</f>
        <v/>
      </c>
      <c r="N663" s="120" t="n"/>
      <c r="O663" s="131" t="n"/>
      <c r="P663" s="130" t="n"/>
      <c r="Q663" s="16" t="n"/>
      <c r="R663" s="17" t="n"/>
      <c r="S663" s="129">
        <f>DADOS_INVOC!$PX$42</f>
        <v/>
      </c>
      <c r="T663" s="120" t="n"/>
      <c r="U663" s="131" t="n"/>
      <c r="V663" s="130" t="n"/>
      <c r="W663" s="16" t="n"/>
      <c r="X663" s="17" t="n"/>
      <c r="Y663" s="129">
        <f>DADOS_INVOC!$PX$43</f>
        <v/>
      </c>
      <c r="Z663" s="120" t="n"/>
      <c r="AB663" s="131" t="n"/>
      <c r="AC663" s="130" t="n"/>
      <c r="AD663" s="16" t="n"/>
      <c r="AE663" s="17" t="n"/>
      <c r="AF663" s="129">
        <f>DADOS_INVOC!$PX$119</f>
        <v/>
      </c>
      <c r="AG663" s="120" t="n"/>
      <c r="AH663" s="131" t="n"/>
      <c r="AI663" s="130" t="n"/>
      <c r="AJ663" s="16" t="n"/>
      <c r="AK663" s="17" t="n"/>
      <c r="AL663" s="129">
        <f>DADOS_INVOC!$PX$120</f>
        <v/>
      </c>
      <c r="AM663" s="120" t="n"/>
      <c r="AN663" s="131" t="n"/>
      <c r="AO663" s="130" t="n"/>
      <c r="AP663" s="16" t="n"/>
      <c r="AQ663" s="17" t="n"/>
      <c r="AR663" s="129">
        <f>DADOS_INVOC!$PX$121</f>
        <v/>
      </c>
      <c r="AS663" s="120" t="n"/>
    </row>
    <row r="664" hidden="1" outlineLevel="2">
      <c r="A664" s="8" t="n"/>
      <c r="B664" s="14" t="n"/>
      <c r="C664" s="120" t="n"/>
      <c r="D664" s="120" t="n"/>
      <c r="E664" s="120" t="n"/>
      <c r="F664" s="120" t="n"/>
      <c r="G664" s="120" t="n"/>
      <c r="I664" s="125" t="n"/>
      <c r="J664" s="130" t="n"/>
      <c r="K664" s="16" t="n"/>
      <c r="L664" s="17" t="n"/>
      <c r="M664" s="129">
        <f>DADOS_INVOC!$PY$41</f>
        <v/>
      </c>
      <c r="N664" s="120" t="n"/>
      <c r="O664" s="125" t="n"/>
      <c r="P664" s="130" t="n"/>
      <c r="Q664" s="16" t="n"/>
      <c r="R664" s="17" t="n"/>
      <c r="S664" s="129">
        <f>DADOS_INVOC!$PY$42</f>
        <v/>
      </c>
      <c r="T664" s="120" t="n"/>
      <c r="U664" s="125" t="n"/>
      <c r="V664" s="130" t="n"/>
      <c r="W664" s="16" t="n"/>
      <c r="X664" s="17" t="n"/>
      <c r="Y664" s="129">
        <f>DADOS_INVOC!$PY$43</f>
        <v/>
      </c>
      <c r="Z664" s="120" t="n"/>
      <c r="AB664" s="125" t="n"/>
      <c r="AC664" s="130" t="n"/>
      <c r="AD664" s="16" t="n"/>
      <c r="AE664" s="17" t="n"/>
      <c r="AF664" s="129">
        <f>DADOS_INVOC!$PY$119</f>
        <v/>
      </c>
      <c r="AG664" s="120" t="n"/>
      <c r="AH664" s="125" t="n"/>
      <c r="AI664" s="130" t="n"/>
      <c r="AJ664" s="16" t="n"/>
      <c r="AK664" s="17" t="n"/>
      <c r="AL664" s="129">
        <f>DADOS_INVOC!$PY$120</f>
        <v/>
      </c>
      <c r="AM664" s="120" t="n"/>
      <c r="AN664" s="125" t="n"/>
      <c r="AO664" s="130" t="n"/>
      <c r="AP664" s="16" t="n"/>
      <c r="AQ664" s="17" t="n"/>
      <c r="AR664" s="129">
        <f>DADOS_INVOC!$PY$121</f>
        <v/>
      </c>
      <c r="AS664" s="120" t="n"/>
    </row>
    <row r="665" hidden="1" outlineLevel="2">
      <c r="A665" s="8" t="n"/>
      <c r="B665" s="14" t="n"/>
      <c r="C665" s="120" t="n"/>
      <c r="D665" s="120" t="n"/>
      <c r="E665" s="120" t="n"/>
      <c r="F665" s="120" t="n"/>
      <c r="G665" s="120" t="n"/>
      <c r="I665" s="55" t="inlineStr">
        <is>
          <t>RESTRIÇÕES</t>
        </is>
      </c>
      <c r="J665" s="130" t="n"/>
      <c r="K665" s="16" t="n"/>
      <c r="L665" s="17" t="n"/>
      <c r="M665" s="129">
        <f>DADOS_INVOC!$PZ$41</f>
        <v/>
      </c>
      <c r="N665" s="120" t="n"/>
      <c r="O665" s="55" t="inlineStr">
        <is>
          <t>RESTRIÇÕES</t>
        </is>
      </c>
      <c r="P665" s="130" t="n"/>
      <c r="Q665" s="16" t="n"/>
      <c r="R665" s="17" t="n"/>
      <c r="S665" s="129">
        <f>DADOS_INVOC!$PZ$42</f>
        <v/>
      </c>
      <c r="T665" s="120" t="n"/>
      <c r="U665" s="55" t="inlineStr">
        <is>
          <t>RESTRIÇÕES</t>
        </is>
      </c>
      <c r="V665" s="130" t="n"/>
      <c r="W665" s="16" t="n"/>
      <c r="X665" s="17" t="n"/>
      <c r="Y665" s="129">
        <f>DADOS_INVOC!$PZ$43</f>
        <v/>
      </c>
      <c r="Z665" s="120" t="n"/>
      <c r="AB665" s="55" t="inlineStr">
        <is>
          <t>RESTRIÇÕES</t>
        </is>
      </c>
      <c r="AC665" s="130" t="n"/>
      <c r="AD665" s="16" t="n"/>
      <c r="AE665" s="17" t="n"/>
      <c r="AF665" s="129">
        <f>DADOS_INVOC!$PZ$119</f>
        <v/>
      </c>
      <c r="AG665" s="120" t="n"/>
      <c r="AH665" s="55" t="inlineStr">
        <is>
          <t>RESTRIÇÕES</t>
        </is>
      </c>
      <c r="AI665" s="130" t="n"/>
      <c r="AJ665" s="16" t="n"/>
      <c r="AK665" s="17" t="n"/>
      <c r="AL665" s="129">
        <f>DADOS_INVOC!$PZ$120</f>
        <v/>
      </c>
      <c r="AM665" s="120" t="n"/>
      <c r="AN665" s="55" t="inlineStr">
        <is>
          <t>RESTRIÇÕES</t>
        </is>
      </c>
      <c r="AO665" s="130" t="n"/>
      <c r="AP665" s="16" t="n"/>
      <c r="AQ665" s="17" t="n"/>
      <c r="AR665" s="129">
        <f>DADOS_INVOC!$PZ$121</f>
        <v/>
      </c>
      <c r="AS665" s="120" t="n"/>
    </row>
    <row r="666" hidden="1" outlineLevel="2">
      <c r="A666" s="8" t="n"/>
      <c r="B666" s="14" t="n"/>
      <c r="C666" s="120" t="n"/>
      <c r="D666" s="120" t="n"/>
      <c r="E666" s="120" t="n"/>
      <c r="F666" s="120" t="n"/>
      <c r="G666" s="120" t="n"/>
      <c r="I666" s="125" t="n"/>
      <c r="J666" s="130" t="n"/>
      <c r="K666" s="16" t="n"/>
      <c r="L666" s="17" t="n"/>
      <c r="M666" s="129">
        <f>DADOS_INVOC!$QA$41</f>
        <v/>
      </c>
      <c r="N666" s="120" t="n"/>
      <c r="O666" s="125" t="n"/>
      <c r="P666" s="130" t="n"/>
      <c r="Q666" s="16" t="n"/>
      <c r="R666" s="17" t="n"/>
      <c r="S666" s="129">
        <f>DADOS_INVOC!$QA$42</f>
        <v/>
      </c>
      <c r="T666" s="120" t="n"/>
      <c r="U666" s="125" t="n"/>
      <c r="V666" s="130" t="n"/>
      <c r="W666" s="16" t="n"/>
      <c r="X666" s="17" t="n"/>
      <c r="Y666" s="129">
        <f>DADOS_INVOC!$QA$43</f>
        <v/>
      </c>
      <c r="Z666" s="120" t="n"/>
      <c r="AB666" s="125" t="n"/>
      <c r="AC666" s="130" t="n"/>
      <c r="AD666" s="16" t="n"/>
      <c r="AE666" s="17" t="n"/>
      <c r="AF666" s="129">
        <f>DADOS_INVOC!$QA$119</f>
        <v/>
      </c>
      <c r="AG666" s="120" t="n"/>
      <c r="AH666" s="125" t="n"/>
      <c r="AI666" s="130" t="n"/>
      <c r="AJ666" s="16" t="n"/>
      <c r="AK666" s="17" t="n"/>
      <c r="AL666" s="129">
        <f>DADOS_INVOC!$QA$120</f>
        <v/>
      </c>
      <c r="AM666" s="120" t="n"/>
      <c r="AN666" s="125" t="n"/>
      <c r="AO666" s="130" t="n"/>
      <c r="AP666" s="16" t="n"/>
      <c r="AQ666" s="17" t="n"/>
      <c r="AR666" s="129">
        <f>DADOS_INVOC!$QA$121</f>
        <v/>
      </c>
      <c r="AS666" s="120" t="n"/>
    </row>
    <row r="667" hidden="1" outlineLevel="2">
      <c r="A667" s="8" t="n"/>
      <c r="B667" s="14" t="n"/>
      <c r="C667" s="120" t="n"/>
      <c r="D667" s="120" t="n"/>
      <c r="E667" s="120" t="n"/>
      <c r="F667" s="120" t="n"/>
      <c r="G667" s="120" t="n"/>
      <c r="I667" s="55" t="inlineStr">
        <is>
          <t>CONTA</t>
        </is>
      </c>
      <c r="J667" s="132">
        <f>DADOS_INVOC!$PT$41</f>
        <v/>
      </c>
      <c r="K667" s="16" t="n"/>
      <c r="L667" s="16" t="n"/>
      <c r="M667" s="17" t="n"/>
      <c r="N667" s="120" t="n"/>
      <c r="O667" s="55" t="inlineStr">
        <is>
          <t>CONTA</t>
        </is>
      </c>
      <c r="P667" s="132">
        <f>DADOS_INVOC!$PT$42</f>
        <v/>
      </c>
      <c r="Q667" s="16" t="n"/>
      <c r="R667" s="16" t="n"/>
      <c r="S667" s="17" t="n"/>
      <c r="T667" s="120" t="n"/>
      <c r="U667" s="55" t="inlineStr">
        <is>
          <t>CONTA</t>
        </is>
      </c>
      <c r="V667" s="132">
        <f>DADOS_INVOC!$PT$43</f>
        <v/>
      </c>
      <c r="W667" s="16" t="n"/>
      <c r="X667" s="16" t="n"/>
      <c r="Y667" s="17" t="n"/>
      <c r="Z667" s="120" t="n"/>
      <c r="AB667" s="55" t="inlineStr">
        <is>
          <t>CONTA</t>
        </is>
      </c>
      <c r="AC667" s="132">
        <f>DADOS_INVOC!$PT$119</f>
        <v/>
      </c>
      <c r="AD667" s="16" t="n"/>
      <c r="AE667" s="16" t="n"/>
      <c r="AF667" s="17" t="n"/>
      <c r="AG667" s="120" t="n"/>
      <c r="AH667" s="55" t="inlineStr">
        <is>
          <t>CONTA</t>
        </is>
      </c>
      <c r="AI667" s="132">
        <f>DADOS_INVOC!$PT$120</f>
        <v/>
      </c>
      <c r="AJ667" s="16" t="n"/>
      <c r="AK667" s="16" t="n"/>
      <c r="AL667" s="17" t="n"/>
      <c r="AM667" s="120" t="n"/>
      <c r="AN667" s="55" t="inlineStr">
        <is>
          <t>CONTA</t>
        </is>
      </c>
      <c r="AO667" s="132">
        <f>DADOS_INVOC!$PT$121</f>
        <v/>
      </c>
      <c r="AP667" s="16" t="n"/>
      <c r="AQ667" s="16" t="n"/>
      <c r="AR667" s="17" t="n"/>
      <c r="AS667" s="120" t="n"/>
    </row>
    <row r="668" hidden="1" outlineLevel="2">
      <c r="A668" s="8" t="n"/>
      <c r="B668" s="14" t="n"/>
      <c r="C668" s="120" t="n"/>
      <c r="D668" s="120" t="n"/>
      <c r="E668" s="120" t="n"/>
      <c r="F668" s="120" t="n"/>
      <c r="G668" s="120" t="n"/>
      <c r="I668" s="55" t="inlineStr">
        <is>
          <t>AMPLIAR</t>
        </is>
      </c>
      <c r="J668" s="132">
        <f>DADOS_INVOC!$PU$41</f>
        <v/>
      </c>
      <c r="K668" s="19" t="n"/>
      <c r="L668" s="19" t="n"/>
      <c r="M668" s="20" t="n"/>
      <c r="N668" s="120" t="n"/>
      <c r="O668" s="55" t="inlineStr">
        <is>
          <t>AMPLIAR</t>
        </is>
      </c>
      <c r="P668" s="132">
        <f>DADOS_INVOC!$PU$42</f>
        <v/>
      </c>
      <c r="Q668" s="19" t="n"/>
      <c r="R668" s="19" t="n"/>
      <c r="S668" s="20" t="n"/>
      <c r="T668" s="120" t="n"/>
      <c r="U668" s="55" t="inlineStr">
        <is>
          <t>AMPLIAR</t>
        </is>
      </c>
      <c r="V668" s="132">
        <f>DADOS_INVOC!$PU$43</f>
        <v/>
      </c>
      <c r="W668" s="19" t="n"/>
      <c r="X668" s="19" t="n"/>
      <c r="Y668" s="20" t="n"/>
      <c r="Z668" s="120" t="n"/>
      <c r="AB668" s="55" t="inlineStr">
        <is>
          <t>AMPLIAR</t>
        </is>
      </c>
      <c r="AC668" s="132">
        <f>DADOS_INVOC!$PU$119</f>
        <v/>
      </c>
      <c r="AD668" s="19" t="n"/>
      <c r="AE668" s="19" t="n"/>
      <c r="AF668" s="20" t="n"/>
      <c r="AG668" s="120" t="n"/>
      <c r="AH668" s="55" t="inlineStr">
        <is>
          <t>AMPLIAR</t>
        </is>
      </c>
      <c r="AI668" s="132">
        <f>DADOS_INVOC!$PU$120</f>
        <v/>
      </c>
      <c r="AJ668" s="19" t="n"/>
      <c r="AK668" s="19" t="n"/>
      <c r="AL668" s="20" t="n"/>
      <c r="AM668" s="120" t="n"/>
      <c r="AN668" s="55" t="inlineStr">
        <is>
          <t>AMPLIAR</t>
        </is>
      </c>
      <c r="AO668" s="132">
        <f>DADOS_INVOC!$PU$121</f>
        <v/>
      </c>
      <c r="AP668" s="19" t="n"/>
      <c r="AQ668" s="19" t="n"/>
      <c r="AR668" s="20" t="n"/>
      <c r="AS668" s="120" t="n"/>
    </row>
    <row r="669" hidden="1" outlineLevel="2">
      <c r="A669" s="8" t="n"/>
      <c r="B669" s="14" t="n"/>
      <c r="C669" s="120" t="n"/>
      <c r="D669" s="120" t="n"/>
      <c r="E669" s="120" t="n"/>
      <c r="F669" s="120" t="n"/>
      <c r="G669" s="120" t="n"/>
      <c r="I669" s="125" t="n"/>
      <c r="J669" s="23" t="n"/>
      <c r="K669" s="24" t="n"/>
      <c r="L669" s="24" t="n"/>
      <c r="M669" s="25" t="n"/>
      <c r="N669" s="120" t="n"/>
      <c r="O669" s="125" t="n"/>
      <c r="P669" s="23" t="n"/>
      <c r="Q669" s="24" t="n"/>
      <c r="R669" s="24" t="n"/>
      <c r="S669" s="25" t="n"/>
      <c r="T669" s="120" t="n"/>
      <c r="U669" s="125" t="n"/>
      <c r="V669" s="23" t="n"/>
      <c r="W669" s="24" t="n"/>
      <c r="X669" s="24" t="n"/>
      <c r="Y669" s="25" t="n"/>
      <c r="Z669" s="120" t="n"/>
      <c r="AB669" s="125" t="n"/>
      <c r="AC669" s="23" t="n"/>
      <c r="AD669" s="24" t="n"/>
      <c r="AE669" s="24" t="n"/>
      <c r="AF669" s="25" t="n"/>
      <c r="AG669" s="120" t="n"/>
      <c r="AH669" s="125" t="n"/>
      <c r="AI669" s="23" t="n"/>
      <c r="AJ669" s="24" t="n"/>
      <c r="AK669" s="24" t="n"/>
      <c r="AL669" s="25" t="n"/>
      <c r="AM669" s="120" t="n"/>
      <c r="AN669" s="125" t="n"/>
      <c r="AO669" s="23" t="n"/>
      <c r="AP669" s="24" t="n"/>
      <c r="AQ669" s="24" t="n"/>
      <c r="AR669" s="25" t="n"/>
      <c r="AS669" s="120" t="n"/>
    </row>
    <row r="670" hidden="1" outlineLevel="2">
      <c r="A670" s="8" t="n"/>
      <c r="B670" s="14" t="n"/>
      <c r="C670" s="120" t="n"/>
      <c r="D670" s="120" t="n"/>
      <c r="E670" s="120" t="n"/>
      <c r="F670" s="120" t="n"/>
      <c r="G670" s="120" t="n"/>
      <c r="I670" s="132">
        <f>DADOS_INVOC!$PH$41</f>
        <v/>
      </c>
      <c r="J670" s="19" t="n"/>
      <c r="K670" s="19" t="n"/>
      <c r="L670" s="19" t="n"/>
      <c r="M670" s="20" t="n"/>
      <c r="N670" s="120" t="n"/>
      <c r="O670" s="132">
        <f>DADOS_INVOC!$PH$42</f>
        <v/>
      </c>
      <c r="P670" s="19" t="n"/>
      <c r="Q670" s="19" t="n"/>
      <c r="R670" s="19" t="n"/>
      <c r="S670" s="20" t="n"/>
      <c r="T670" s="120" t="n"/>
      <c r="U670" s="132">
        <f>DADOS_INVOC!$PH$43</f>
        <v/>
      </c>
      <c r="V670" s="19" t="n"/>
      <c r="W670" s="19" t="n"/>
      <c r="X670" s="19" t="n"/>
      <c r="Y670" s="20" t="n"/>
      <c r="Z670" s="120" t="n"/>
      <c r="AB670" s="132">
        <f>DADOS_INVOC!$PH$119</f>
        <v/>
      </c>
      <c r="AC670" s="19" t="n"/>
      <c r="AD670" s="19" t="n"/>
      <c r="AE670" s="19" t="n"/>
      <c r="AF670" s="20" t="n"/>
      <c r="AG670" s="120" t="n"/>
      <c r="AH670" s="132">
        <f>DADOS_INVOC!$PH$120</f>
        <v/>
      </c>
      <c r="AI670" s="19" t="n"/>
      <c r="AJ670" s="19" t="n"/>
      <c r="AK670" s="19" t="n"/>
      <c r="AL670" s="20" t="n"/>
      <c r="AM670" s="120" t="n"/>
      <c r="AN670" s="132">
        <f>DADOS_INVOC!$PH$121</f>
        <v/>
      </c>
      <c r="AO670" s="19" t="n"/>
      <c r="AP670" s="19" t="n"/>
      <c r="AQ670" s="19" t="n"/>
      <c r="AR670" s="20" t="n"/>
      <c r="AS670" s="120" t="n"/>
    </row>
    <row r="671" hidden="1" outlineLevel="2">
      <c r="A671" s="8" t="n"/>
      <c r="B671" s="14" t="n"/>
      <c r="C671" s="120" t="n"/>
      <c r="D671" s="120" t="n"/>
      <c r="E671" s="120" t="n"/>
      <c r="F671" s="120" t="n"/>
      <c r="G671" s="120" t="n"/>
      <c r="I671" s="23" t="n"/>
      <c r="J671" s="24" t="n"/>
      <c r="K671" s="24" t="n"/>
      <c r="L671" s="24" t="n"/>
      <c r="M671" s="25" t="n"/>
      <c r="N671" s="120" t="n"/>
      <c r="O671" s="23" t="n"/>
      <c r="P671" s="24" t="n"/>
      <c r="Q671" s="24" t="n"/>
      <c r="R671" s="24" t="n"/>
      <c r="S671" s="25" t="n"/>
      <c r="T671" s="120" t="n"/>
      <c r="U671" s="23" t="n"/>
      <c r="V671" s="24" t="n"/>
      <c r="W671" s="24" t="n"/>
      <c r="X671" s="24" t="n"/>
      <c r="Y671" s="25" t="n"/>
      <c r="Z671" s="120" t="n"/>
      <c r="AB671" s="23" t="n"/>
      <c r="AC671" s="24" t="n"/>
      <c r="AD671" s="24" t="n"/>
      <c r="AE671" s="24" t="n"/>
      <c r="AF671" s="25" t="n"/>
      <c r="AG671" s="120" t="n"/>
      <c r="AH671" s="23" t="n"/>
      <c r="AI671" s="24" t="n"/>
      <c r="AJ671" s="24" t="n"/>
      <c r="AK671" s="24" t="n"/>
      <c r="AL671" s="25" t="n"/>
      <c r="AM671" s="120" t="n"/>
      <c r="AN671" s="23" t="n"/>
      <c r="AO671" s="24" t="n"/>
      <c r="AP671" s="24" t="n"/>
      <c r="AQ671" s="24" t="n"/>
      <c r="AR671" s="25" t="n"/>
      <c r="AS671" s="120" t="n"/>
    </row>
    <row r="672" hidden="1" outlineLevel="1">
      <c r="A672" s="8" t="n"/>
      <c r="B672" s="14" t="n"/>
      <c r="C672" s="120" t="n"/>
      <c r="D672" s="120" t="n"/>
      <c r="E672" s="120" t="n"/>
      <c r="F672" s="120" t="n"/>
      <c r="G672" s="120" t="n"/>
      <c r="I672" s="120" t="n"/>
      <c r="J672" s="120" t="n"/>
      <c r="K672" s="120" t="n"/>
      <c r="L672" s="120" t="n"/>
      <c r="M672" s="120" t="n"/>
      <c r="N672" s="120" t="n"/>
      <c r="O672" s="120" t="n"/>
      <c r="P672" s="120" t="n"/>
      <c r="Q672" s="120" t="n"/>
      <c r="R672" s="120" t="n"/>
      <c r="S672" s="120" t="n"/>
      <c r="T672" s="120" t="n"/>
      <c r="U672" s="120" t="n"/>
      <c r="V672" s="120" t="n"/>
      <c r="W672" s="120" t="n"/>
      <c r="X672" s="120" t="n"/>
      <c r="Y672" s="120" t="n"/>
      <c r="Z672" s="120" t="n"/>
      <c r="AB672" s="120" t="n"/>
      <c r="AC672" s="120" t="n"/>
      <c r="AD672" s="120" t="n"/>
      <c r="AE672" s="120" t="n"/>
      <c r="AF672" s="120" t="n"/>
      <c r="AG672" s="120" t="n"/>
      <c r="AH672" s="120" t="n"/>
      <c r="AI672" s="120" t="n"/>
      <c r="AJ672" s="120" t="n"/>
      <c r="AK672" s="120" t="n"/>
      <c r="AL672" s="120" t="n"/>
      <c r="AM672" s="120" t="n"/>
      <c r="AN672" s="120" t="n"/>
      <c r="AO672" s="120" t="n"/>
      <c r="AP672" s="120" t="n"/>
      <c r="AQ672" s="120" t="n"/>
      <c r="AR672" s="120" t="n"/>
      <c r="AS672" s="120" t="n"/>
    </row>
    <row r="673" hidden="1" outlineLevel="1">
      <c r="A673" s="8" t="n"/>
      <c r="B673" s="14" t="n"/>
      <c r="C673" s="120" t="n"/>
      <c r="D673" s="120" t="n"/>
      <c r="E673" s="120" t="n"/>
      <c r="F673" s="120" t="n"/>
      <c r="G673" s="120" t="n"/>
      <c r="I673" s="55">
        <f>DADOS_INVOC!$HR$5</f>
        <v/>
      </c>
      <c r="J673" s="16" t="n"/>
      <c r="K673" s="16" t="n"/>
      <c r="L673" s="16" t="n"/>
      <c r="M673" s="16" t="n"/>
      <c r="N673" s="16" t="n"/>
      <c r="O673" s="16" t="n"/>
      <c r="P673" s="16" t="n"/>
      <c r="Q673" s="16" t="n"/>
      <c r="R673" s="16" t="n"/>
      <c r="S673" s="16" t="n"/>
      <c r="T673" s="16" t="n"/>
      <c r="U673" s="16" t="n"/>
      <c r="V673" s="16" t="n"/>
      <c r="W673" s="16" t="n"/>
      <c r="X673" s="16" t="n"/>
      <c r="Y673" s="17" t="n"/>
      <c r="Z673" s="120" t="n"/>
      <c r="AB673" s="55">
        <f>DADOS_INVOC!$HR$11</f>
        <v/>
      </c>
      <c r="AC673" s="16" t="n"/>
      <c r="AD673" s="16" t="n"/>
      <c r="AE673" s="16" t="n"/>
      <c r="AF673" s="16" t="n"/>
      <c r="AG673" s="16" t="n"/>
      <c r="AH673" s="16" t="n"/>
      <c r="AI673" s="16" t="n"/>
      <c r="AJ673" s="16" t="n"/>
      <c r="AK673" s="16" t="n"/>
      <c r="AL673" s="16" t="n"/>
      <c r="AM673" s="16" t="n"/>
      <c r="AN673" s="16" t="n"/>
      <c r="AO673" s="16" t="n"/>
      <c r="AP673" s="16" t="n"/>
      <c r="AQ673" s="16" t="n"/>
      <c r="AR673" s="17" t="n"/>
      <c r="AS673" s="120" t="n"/>
    </row>
    <row r="674" hidden="1" outlineLevel="1">
      <c r="A674" s="8" t="n"/>
      <c r="B674" s="14" t="n"/>
      <c r="C674" s="120" t="n"/>
      <c r="D674" s="120" t="n"/>
      <c r="E674" s="120" t="n"/>
      <c r="F674" s="120" t="n"/>
      <c r="G674" s="120" t="n"/>
      <c r="I674" s="55" t="inlineStr">
        <is>
          <t>NV 1 · CE 1</t>
        </is>
      </c>
      <c r="J674" s="130" t="n"/>
      <c r="K674" s="16" t="n"/>
      <c r="L674" s="17" t="n"/>
      <c r="M674" s="137">
        <f>DADOS_INVOC!$IA$5</f>
        <v/>
      </c>
      <c r="N674" s="16" t="n"/>
      <c r="O674" s="16" t="n"/>
      <c r="P674" s="16" t="n"/>
      <c r="Q674" s="16" t="n"/>
      <c r="R674" s="16" t="n"/>
      <c r="S674" s="16" t="n"/>
      <c r="T674" s="16" t="n"/>
      <c r="U674" s="16" t="n"/>
      <c r="V674" s="16" t="n"/>
      <c r="W674" s="16" t="n"/>
      <c r="X674" s="16" t="n"/>
      <c r="Y674" s="17" t="n"/>
      <c r="Z674" s="120" t="n"/>
      <c r="AB674" s="55" t="inlineStr">
        <is>
          <t>NV 1 · CE 1</t>
        </is>
      </c>
      <c r="AC674" s="130" t="n"/>
      <c r="AD674" s="16" t="n"/>
      <c r="AE674" s="17" t="n"/>
      <c r="AF674" s="137">
        <f>DADOS_INVOC!$IA$11</f>
        <v/>
      </c>
      <c r="AG674" s="16" t="n"/>
      <c r="AH674" s="16" t="n"/>
      <c r="AI674" s="16" t="n"/>
      <c r="AJ674" s="16" t="n"/>
      <c r="AK674" s="16" t="n"/>
      <c r="AL674" s="16" t="n"/>
      <c r="AM674" s="16" t="n"/>
      <c r="AN674" s="16" t="n"/>
      <c r="AO674" s="16" t="n"/>
      <c r="AP674" s="16" t="n"/>
      <c r="AQ674" s="16" t="n"/>
      <c r="AR674" s="17" t="n"/>
      <c r="AS674" s="120" t="n"/>
    </row>
    <row r="675" hidden="1" outlineLevel="1">
      <c r="A675" s="8" t="n"/>
      <c r="B675" s="14" t="n"/>
      <c r="C675" s="120" t="n"/>
      <c r="D675" s="120" t="n"/>
      <c r="E675" s="120" t="n"/>
      <c r="F675" s="120" t="n"/>
      <c r="G675" s="120" t="n"/>
      <c r="I675" s="55" t="inlineStr">
        <is>
          <t>NV 6 · CE 1</t>
        </is>
      </c>
      <c r="J675" s="130" t="n"/>
      <c r="K675" s="16" t="n"/>
      <c r="L675" s="17" t="n"/>
      <c r="M675" s="137">
        <f>DADOS_INVOC!$IB$5</f>
        <v/>
      </c>
      <c r="N675" s="16" t="n"/>
      <c r="O675" s="16" t="n"/>
      <c r="P675" s="16" t="n"/>
      <c r="Q675" s="16" t="n"/>
      <c r="R675" s="16" t="n"/>
      <c r="S675" s="16" t="n"/>
      <c r="T675" s="16" t="n"/>
      <c r="U675" s="16" t="n"/>
      <c r="V675" s="16" t="n"/>
      <c r="W675" s="16" t="n"/>
      <c r="X675" s="16" t="n"/>
      <c r="Y675" s="17" t="n"/>
      <c r="Z675" s="120" t="n"/>
      <c r="AB675" s="55" t="inlineStr">
        <is>
          <t>NV 6 · CE 1</t>
        </is>
      </c>
      <c r="AC675" s="130" t="n"/>
      <c r="AD675" s="16" t="n"/>
      <c r="AE675" s="17" t="n"/>
      <c r="AF675" s="137">
        <f>DADOS_INVOC!$IB$11</f>
        <v/>
      </c>
      <c r="AG675" s="16" t="n"/>
      <c r="AH675" s="16" t="n"/>
      <c r="AI675" s="16" t="n"/>
      <c r="AJ675" s="16" t="n"/>
      <c r="AK675" s="16" t="n"/>
      <c r="AL675" s="16" t="n"/>
      <c r="AM675" s="16" t="n"/>
      <c r="AN675" s="16" t="n"/>
      <c r="AO675" s="16" t="n"/>
      <c r="AP675" s="16" t="n"/>
      <c r="AQ675" s="16" t="n"/>
      <c r="AR675" s="17" t="n"/>
      <c r="AS675" s="120" t="n"/>
    </row>
    <row r="676" hidden="1" outlineLevel="1">
      <c r="A676" s="8" t="n"/>
      <c r="B676" s="14" t="n"/>
      <c r="C676" s="120" t="n"/>
      <c r="D676" s="120" t="n"/>
      <c r="E676" s="120" t="n"/>
      <c r="F676" s="120" t="n"/>
      <c r="G676" s="120" t="n"/>
      <c r="I676" s="55" t="inlineStr">
        <is>
          <t>NV 10 · CE 2</t>
        </is>
      </c>
      <c r="J676" s="130" t="n"/>
      <c r="K676" s="16" t="n"/>
      <c r="L676" s="17" t="n"/>
      <c r="M676" s="137">
        <f>DADOS_INVOC!$IC$5</f>
        <v/>
      </c>
      <c r="N676" s="16" t="n"/>
      <c r="O676" s="16" t="n"/>
      <c r="P676" s="16" t="n"/>
      <c r="Q676" s="16" t="n"/>
      <c r="R676" s="16" t="n"/>
      <c r="S676" s="16" t="n"/>
      <c r="T676" s="16" t="n"/>
      <c r="U676" s="16" t="n"/>
      <c r="V676" s="16" t="n"/>
      <c r="W676" s="16" t="n"/>
      <c r="X676" s="16" t="n"/>
      <c r="Y676" s="17" t="n"/>
      <c r="Z676" s="120" t="n"/>
      <c r="AB676" s="55" t="inlineStr">
        <is>
          <t>NV 10 · CE 2</t>
        </is>
      </c>
      <c r="AC676" s="130" t="n"/>
      <c r="AD676" s="16" t="n"/>
      <c r="AE676" s="17" t="n"/>
      <c r="AF676" s="137">
        <f>DADOS_INVOC!$IC$11</f>
        <v/>
      </c>
      <c r="AG676" s="16" t="n"/>
      <c r="AH676" s="16" t="n"/>
      <c r="AI676" s="16" t="n"/>
      <c r="AJ676" s="16" t="n"/>
      <c r="AK676" s="16" t="n"/>
      <c r="AL676" s="16" t="n"/>
      <c r="AM676" s="16" t="n"/>
      <c r="AN676" s="16" t="n"/>
      <c r="AO676" s="16" t="n"/>
      <c r="AP676" s="16" t="n"/>
      <c r="AQ676" s="16" t="n"/>
      <c r="AR676" s="17" t="n"/>
      <c r="AS676" s="120" t="n"/>
    </row>
    <row r="677" hidden="1" outlineLevel="1">
      <c r="A677" s="8" t="n"/>
      <c r="B677" s="14" t="n"/>
      <c r="C677" s="120" t="n"/>
      <c r="D677" s="120" t="n"/>
      <c r="E677" s="120" t="n"/>
      <c r="F677" s="120" t="n"/>
      <c r="G677" s="120" t="n"/>
      <c r="I677" s="55" t="inlineStr">
        <is>
          <t>NV 14 · CE 3</t>
        </is>
      </c>
      <c r="J677" s="130" t="n"/>
      <c r="K677" s="16" t="n"/>
      <c r="L677" s="17" t="n"/>
      <c r="M677" s="137">
        <f>DADOS_INVOC!$ID$5</f>
        <v/>
      </c>
      <c r="N677" s="16" t="n"/>
      <c r="O677" s="16" t="n"/>
      <c r="P677" s="16" t="n"/>
      <c r="Q677" s="16" t="n"/>
      <c r="R677" s="16" t="n"/>
      <c r="S677" s="16" t="n"/>
      <c r="T677" s="16" t="n"/>
      <c r="U677" s="16" t="n"/>
      <c r="V677" s="16" t="n"/>
      <c r="W677" s="16" t="n"/>
      <c r="X677" s="16" t="n"/>
      <c r="Y677" s="17" t="n"/>
      <c r="Z677" s="120" t="n"/>
      <c r="AB677" s="55" t="inlineStr">
        <is>
          <t>NV 14 · CE 3</t>
        </is>
      </c>
      <c r="AC677" s="130" t="n"/>
      <c r="AD677" s="16" t="n"/>
      <c r="AE677" s="17" t="n"/>
      <c r="AF677" s="137">
        <f>DADOS_INVOC!$ID$11</f>
        <v/>
      </c>
      <c r="AG677" s="16" t="n"/>
      <c r="AH677" s="16" t="n"/>
      <c r="AI677" s="16" t="n"/>
      <c r="AJ677" s="16" t="n"/>
      <c r="AK677" s="16" t="n"/>
      <c r="AL677" s="16" t="n"/>
      <c r="AM677" s="16" t="n"/>
      <c r="AN677" s="16" t="n"/>
      <c r="AO677" s="16" t="n"/>
      <c r="AP677" s="16" t="n"/>
      <c r="AQ677" s="16" t="n"/>
      <c r="AR677" s="17" t="n"/>
      <c r="AS677" s="120" t="n"/>
    </row>
    <row r="678" hidden="1" outlineLevel="1">
      <c r="A678" s="8" t="n"/>
      <c r="B678" s="14" t="n"/>
      <c r="C678" s="120" t="n"/>
      <c r="D678" s="120" t="n"/>
      <c r="E678" s="120" t="n"/>
      <c r="F678" s="120" t="n"/>
      <c r="G678" s="120" t="n"/>
      <c r="I678" s="55" t="inlineStr">
        <is>
          <t>NV 18 · CE 3</t>
        </is>
      </c>
      <c r="J678" s="130" t="n"/>
      <c r="K678" s="16" t="n"/>
      <c r="L678" s="17" t="n"/>
      <c r="M678" s="137">
        <f>DADOS_INVOC!$IE$5</f>
        <v/>
      </c>
      <c r="N678" s="16" t="n"/>
      <c r="O678" s="16" t="n"/>
      <c r="P678" s="16" t="n"/>
      <c r="Q678" s="16" t="n"/>
      <c r="R678" s="16" t="n"/>
      <c r="S678" s="16" t="n"/>
      <c r="T678" s="16" t="n"/>
      <c r="U678" s="16" t="n"/>
      <c r="V678" s="16" t="n"/>
      <c r="W678" s="16" t="n"/>
      <c r="X678" s="16" t="n"/>
      <c r="Y678" s="17" t="n"/>
      <c r="Z678" s="120" t="n"/>
      <c r="AB678" s="55" t="inlineStr">
        <is>
          <t>NV 18 · CE 3</t>
        </is>
      </c>
      <c r="AC678" s="130" t="n"/>
      <c r="AD678" s="16" t="n"/>
      <c r="AE678" s="17" t="n"/>
      <c r="AF678" s="137">
        <f>DADOS_INVOC!$IE$11</f>
        <v/>
      </c>
      <c r="AG678" s="16" t="n"/>
      <c r="AH678" s="16" t="n"/>
      <c r="AI678" s="16" t="n"/>
      <c r="AJ678" s="16" t="n"/>
      <c r="AK678" s="16" t="n"/>
      <c r="AL678" s="16" t="n"/>
      <c r="AM678" s="16" t="n"/>
      <c r="AN678" s="16" t="n"/>
      <c r="AO678" s="16" t="n"/>
      <c r="AP678" s="16" t="n"/>
      <c r="AQ678" s="16" t="n"/>
      <c r="AR678" s="17" t="n"/>
      <c r="AS678" s="120" t="n"/>
    </row>
    <row r="679" hidden="1" outlineLevel="1">
      <c r="A679" s="8" t="n"/>
      <c r="B679" s="14" t="n"/>
      <c r="C679" s="120" t="n"/>
      <c r="D679" s="120" t="n"/>
      <c r="E679" s="120" t="n"/>
      <c r="F679" s="120" t="n"/>
      <c r="G679" s="120" t="n"/>
      <c r="I679" s="55" t="inlineStr">
        <is>
          <t>NV 22 · CE 3</t>
        </is>
      </c>
      <c r="J679" s="130" t="n"/>
      <c r="K679" s="16" t="n"/>
      <c r="L679" s="17" t="n"/>
      <c r="M679" s="137">
        <f>DADOS_INVOC!$IF$5</f>
        <v/>
      </c>
      <c r="N679" s="16" t="n"/>
      <c r="O679" s="16" t="n"/>
      <c r="P679" s="16" t="n"/>
      <c r="Q679" s="16" t="n"/>
      <c r="R679" s="16" t="n"/>
      <c r="S679" s="16" t="n"/>
      <c r="T679" s="16" t="n"/>
      <c r="U679" s="16" t="n"/>
      <c r="V679" s="16" t="n"/>
      <c r="W679" s="16" t="n"/>
      <c r="X679" s="16" t="n"/>
      <c r="Y679" s="17" t="n"/>
      <c r="Z679" s="120" t="n"/>
      <c r="AB679" s="55" t="inlineStr">
        <is>
          <t>NV 22 · CE 3</t>
        </is>
      </c>
      <c r="AC679" s="130" t="n"/>
      <c r="AD679" s="16" t="n"/>
      <c r="AE679" s="17" t="n"/>
      <c r="AF679" s="137">
        <f>DADOS_INVOC!$IF$11</f>
        <v/>
      </c>
      <c r="AG679" s="16" t="n"/>
      <c r="AH679" s="16" t="n"/>
      <c r="AI679" s="16" t="n"/>
      <c r="AJ679" s="16" t="n"/>
      <c r="AK679" s="16" t="n"/>
      <c r="AL679" s="16" t="n"/>
      <c r="AM679" s="16" t="n"/>
      <c r="AN679" s="16" t="n"/>
      <c r="AO679" s="16" t="n"/>
      <c r="AP679" s="16" t="n"/>
      <c r="AQ679" s="16" t="n"/>
      <c r="AR679" s="17" t="n"/>
      <c r="AS679" s="120" t="n"/>
    </row>
    <row r="680" hidden="1" outlineLevel="1">
      <c r="A680" s="8" t="n"/>
      <c r="B680" s="14" t="n"/>
      <c r="C680" s="120" t="n"/>
      <c r="D680" s="120" t="n"/>
      <c r="E680" s="120" t="n"/>
      <c r="F680" s="120" t="n"/>
      <c r="G680" s="120" t="n"/>
      <c r="I680" s="55" t="inlineStr">
        <is>
          <t>NV 26 · CE 3</t>
        </is>
      </c>
      <c r="J680" s="130" t="n"/>
      <c r="K680" s="16" t="n"/>
      <c r="L680" s="17" t="n"/>
      <c r="M680" s="137">
        <f>DADOS_INVOC!$IG$5</f>
        <v/>
      </c>
      <c r="N680" s="16" t="n"/>
      <c r="O680" s="16" t="n"/>
      <c r="P680" s="16" t="n"/>
      <c r="Q680" s="16" t="n"/>
      <c r="R680" s="16" t="n"/>
      <c r="S680" s="16" t="n"/>
      <c r="T680" s="16" t="n"/>
      <c r="U680" s="16" t="n"/>
      <c r="V680" s="16" t="n"/>
      <c r="W680" s="16" t="n"/>
      <c r="X680" s="16" t="n"/>
      <c r="Y680" s="17" t="n"/>
      <c r="Z680" s="120" t="n"/>
      <c r="AB680" s="55" t="inlineStr">
        <is>
          <t>NV 26 · CE 3</t>
        </is>
      </c>
      <c r="AC680" s="130" t="n"/>
      <c r="AD680" s="16" t="n"/>
      <c r="AE680" s="17" t="n"/>
      <c r="AF680" s="137">
        <f>DADOS_INVOC!$IG$11</f>
        <v/>
      </c>
      <c r="AG680" s="16" t="n"/>
      <c r="AH680" s="16" t="n"/>
      <c r="AI680" s="16" t="n"/>
      <c r="AJ680" s="16" t="n"/>
      <c r="AK680" s="16" t="n"/>
      <c r="AL680" s="16" t="n"/>
      <c r="AM680" s="16" t="n"/>
      <c r="AN680" s="16" t="n"/>
      <c r="AO680" s="16" t="n"/>
      <c r="AP680" s="16" t="n"/>
      <c r="AQ680" s="16" t="n"/>
      <c r="AR680" s="17" t="n"/>
      <c r="AS680" s="120" t="n"/>
    </row>
    <row r="681" hidden="1" outlineLevel="1">
      <c r="A681" s="8" t="n"/>
      <c r="B681" s="14" t="n"/>
      <c r="C681" s="120" t="n"/>
      <c r="D681" s="120" t="n"/>
      <c r="E681" s="120" t="n"/>
      <c r="F681" s="120" t="n"/>
      <c r="G681" s="120" t="n"/>
      <c r="I681" s="55" t="inlineStr">
        <is>
          <t>NV 30 · CE 3</t>
        </is>
      </c>
      <c r="J681" s="130" t="n"/>
      <c r="K681" s="16" t="n"/>
      <c r="L681" s="17" t="n"/>
      <c r="M681" s="137">
        <f>DADOS_INVOC!$IH$5</f>
        <v/>
      </c>
      <c r="N681" s="16" t="n"/>
      <c r="O681" s="16" t="n"/>
      <c r="P681" s="16" t="n"/>
      <c r="Q681" s="16" t="n"/>
      <c r="R681" s="16" t="n"/>
      <c r="S681" s="16" t="n"/>
      <c r="T681" s="16" t="n"/>
      <c r="U681" s="16" t="n"/>
      <c r="V681" s="16" t="n"/>
      <c r="W681" s="16" t="n"/>
      <c r="X681" s="16" t="n"/>
      <c r="Y681" s="17" t="n"/>
      <c r="Z681" s="120" t="n"/>
      <c r="AB681" s="55" t="inlineStr">
        <is>
          <t>NV 30 · CE 3</t>
        </is>
      </c>
      <c r="AC681" s="130" t="n"/>
      <c r="AD681" s="16" t="n"/>
      <c r="AE681" s="17" t="n"/>
      <c r="AF681" s="137">
        <f>DADOS_INVOC!$IH$11</f>
        <v/>
      </c>
      <c r="AG681" s="16" t="n"/>
      <c r="AH681" s="16" t="n"/>
      <c r="AI681" s="16" t="n"/>
      <c r="AJ681" s="16" t="n"/>
      <c r="AK681" s="16" t="n"/>
      <c r="AL681" s="16" t="n"/>
      <c r="AM681" s="16" t="n"/>
      <c r="AN681" s="16" t="n"/>
      <c r="AO681" s="16" t="n"/>
      <c r="AP681" s="16" t="n"/>
      <c r="AQ681" s="16" t="n"/>
      <c r="AR681" s="17" t="n"/>
      <c r="AS681" s="120" t="n"/>
    </row>
    <row r="682" hidden="1" outlineLevel="1">
      <c r="A682" s="8" t="n"/>
      <c r="B682" s="14" t="n"/>
      <c r="C682" s="120" t="n"/>
      <c r="D682" s="120" t="n"/>
      <c r="E682" s="120" t="n"/>
      <c r="F682" s="120" t="n"/>
      <c r="G682" s="120" t="n"/>
      <c r="I682" s="120" t="n"/>
      <c r="J682" s="120" t="n"/>
      <c r="K682" s="120" t="n"/>
      <c r="L682" s="120" t="n"/>
      <c r="M682" s="120" t="n"/>
      <c r="N682" s="120" t="n"/>
      <c r="O682" s="120" t="n"/>
      <c r="P682" s="120" t="n"/>
      <c r="Q682" s="120" t="n"/>
      <c r="R682" s="120" t="n"/>
      <c r="S682" s="120" t="n"/>
      <c r="T682" s="120" t="n"/>
      <c r="U682" s="120" t="n"/>
      <c r="V682" s="120" t="n"/>
      <c r="W682" s="120" t="n"/>
      <c r="X682" s="120" t="n"/>
      <c r="Y682" s="120" t="n"/>
      <c r="Z682" s="120" t="n"/>
      <c r="AB682" s="120" t="n"/>
      <c r="AC682" s="120" t="n"/>
      <c r="AD682" s="120" t="n"/>
      <c r="AE682" s="120" t="n"/>
      <c r="AF682" s="120" t="n"/>
      <c r="AG682" s="120" t="n"/>
      <c r="AH682" s="120" t="n"/>
      <c r="AI682" s="120" t="n"/>
      <c r="AJ682" s="120" t="n"/>
      <c r="AK682" s="120" t="n"/>
      <c r="AL682" s="120" t="n"/>
      <c r="AM682" s="120" t="n"/>
      <c r="AN682" s="120" t="n"/>
      <c r="AO682" s="120" t="n"/>
      <c r="AP682" s="120" t="n"/>
      <c r="AQ682" s="120" t="n"/>
      <c r="AR682" s="120" t="n"/>
      <c r="AS682" s="120" t="n"/>
    </row>
    <row r="683" hidden="1" outlineLevel="1">
      <c r="A683" s="8" t="n"/>
      <c r="B683" s="14" t="n"/>
      <c r="C683" s="120" t="n"/>
      <c r="D683" s="120" t="n"/>
      <c r="E683" s="120" t="n"/>
      <c r="F683" s="120" t="n"/>
      <c r="G683" s="120" t="n"/>
      <c r="I683" s="13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0" t="n"/>
      <c r="AB683" s="13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0" t="n"/>
    </row>
    <row r="684" hidden="1" outlineLevel="2">
      <c r="A684" s="8" t="n"/>
      <c r="B684" s="14" t="n"/>
      <c r="C684" s="120" t="n"/>
      <c r="D684" s="120" t="n"/>
      <c r="E684" s="120" t="n"/>
      <c r="F684" s="120" t="n"/>
      <c r="G684" s="120" t="n"/>
      <c r="I684" s="120" t="n"/>
      <c r="J684" s="120" t="n"/>
      <c r="K684" s="120" t="n"/>
      <c r="L684" s="120" t="n"/>
      <c r="M684" s="120" t="n"/>
      <c r="N684" s="120" t="n"/>
      <c r="O684" s="120" t="n"/>
      <c r="P684" s="120" t="n"/>
      <c r="Q684" s="120" t="n"/>
      <c r="R684" s="120" t="n"/>
      <c r="S684" s="120" t="n"/>
      <c r="T684" s="120" t="n"/>
      <c r="U684" s="120" t="n"/>
      <c r="V684" s="120" t="n"/>
      <c r="W684" s="120" t="n"/>
      <c r="X684" s="120" t="n"/>
      <c r="Y684" s="120" t="n"/>
      <c r="Z684" s="120" t="n"/>
      <c r="AB684" s="120" t="n"/>
      <c r="AC684" s="120" t="n"/>
      <c r="AD684" s="120" t="n"/>
      <c r="AE684" s="120" t="n"/>
      <c r="AF684" s="120" t="n"/>
      <c r="AG684" s="120" t="n"/>
      <c r="AH684" s="120" t="n"/>
      <c r="AI684" s="120" t="n"/>
      <c r="AJ684" s="120" t="n"/>
      <c r="AK684" s="120" t="n"/>
      <c r="AL684" s="120" t="n"/>
      <c r="AM684" s="120" t="n"/>
      <c r="AN684" s="120" t="n"/>
      <c r="AO684" s="120" t="n"/>
      <c r="AP684" s="120" t="n"/>
      <c r="AQ684" s="120" t="n"/>
      <c r="AR684" s="120" t="n"/>
      <c r="AS684" s="120" t="n"/>
    </row>
    <row r="685" hidden="1" outlineLevel="2">
      <c r="A685" s="8" t="n"/>
      <c r="B685" s="14" t="n"/>
      <c r="C685" s="120" t="n"/>
      <c r="D685" s="120" t="n"/>
      <c r="E685" s="120" t="n"/>
      <c r="F685" s="120" t="n"/>
      <c r="G685" s="120" t="n"/>
      <c r="I685" s="55">
        <f>DADOS_INVOC!$PI$44</f>
        <v/>
      </c>
      <c r="J685" s="16" t="n"/>
      <c r="K685" s="16" t="n"/>
      <c r="L685" s="16" t="n"/>
      <c r="M685" s="17" t="n"/>
      <c r="N685" s="120" t="n"/>
      <c r="O685" s="55">
        <f>DADOS_INVOC!$PI$45</f>
        <v/>
      </c>
      <c r="P685" s="16" t="n"/>
      <c r="Q685" s="16" t="n"/>
      <c r="R685" s="16" t="n"/>
      <c r="S685" s="17" t="n"/>
      <c r="T685" s="120" t="n"/>
      <c r="U685" s="55">
        <f>DADOS_INVOC!$PI$46</f>
        <v/>
      </c>
      <c r="V685" s="16" t="n"/>
      <c r="W685" s="16" t="n"/>
      <c r="X685" s="16" t="n"/>
      <c r="Y685" s="17" t="n"/>
      <c r="Z685" s="120" t="n"/>
      <c r="AB685" s="55">
        <f>DADOS_INVOC!$PI$122</f>
        <v/>
      </c>
      <c r="AC685" s="16" t="n"/>
      <c r="AD685" s="16" t="n"/>
      <c r="AE685" s="16" t="n"/>
      <c r="AF685" s="17" t="n"/>
      <c r="AG685" s="120" t="n"/>
      <c r="AH685" s="55">
        <f>DADOS_INVOC!$PI$123</f>
        <v/>
      </c>
      <c r="AI685" s="16" t="n"/>
      <c r="AJ685" s="16" t="n"/>
      <c r="AK685" s="16" t="n"/>
      <c r="AL685" s="17" t="n"/>
      <c r="AM685" s="120" t="n"/>
      <c r="AN685" s="55">
        <f>DADOS_INVOC!$PI$124</f>
        <v/>
      </c>
      <c r="AO685" s="16" t="n"/>
      <c r="AP685" s="16" t="n"/>
      <c r="AQ685" s="16" t="n"/>
      <c r="AR685" s="17" t="n"/>
      <c r="AS685" s="120" t="n"/>
    </row>
    <row r="686" hidden="1" outlineLevel="2">
      <c r="A686" s="8" t="n"/>
      <c r="B686" s="14" t="n"/>
      <c r="C686" s="120" t="n"/>
      <c r="D686" s="120" t="n"/>
      <c r="E686" s="120" t="n"/>
      <c r="F686" s="120" t="n"/>
      <c r="G686" s="120" t="n"/>
      <c r="I686" s="127" t="n">
        <v>0</v>
      </c>
      <c r="J686" s="115" t="n"/>
      <c r="K686" s="16" t="n"/>
      <c r="L686" s="17" t="n"/>
      <c r="M686" s="128">
        <f>DADOS_INVOC!$PG$44</f>
        <v/>
      </c>
      <c r="N686" s="120" t="n"/>
      <c r="O686" s="127" t="n">
        <v>1</v>
      </c>
      <c r="P686" s="115" t="n"/>
      <c r="Q686" s="16" t="n"/>
      <c r="R686" s="17" t="n"/>
      <c r="S686" s="128">
        <f>DADOS_INVOC!$PG$45</f>
        <v/>
      </c>
      <c r="T686" s="120" t="n"/>
      <c r="U686" s="127" t="n">
        <v>1</v>
      </c>
      <c r="V686" s="115" t="n"/>
      <c r="W686" s="16" t="n"/>
      <c r="X686" s="17" t="n"/>
      <c r="Y686" s="128">
        <f>DADOS_INVOC!$PG$46</f>
        <v/>
      </c>
      <c r="Z686" s="120" t="n"/>
      <c r="AB686" s="127" t="n">
        <v>0</v>
      </c>
      <c r="AC686" s="115" t="n"/>
      <c r="AD686" s="16" t="n"/>
      <c r="AE686" s="17" t="n"/>
      <c r="AF686" s="128">
        <f>DADOS_INVOC!$PG$122</f>
        <v/>
      </c>
      <c r="AG686" s="120" t="n"/>
      <c r="AH686" s="127" t="n">
        <v>1</v>
      </c>
      <c r="AI686" s="115" t="n"/>
      <c r="AJ686" s="16" t="n"/>
      <c r="AK686" s="17" t="n"/>
      <c r="AL686" s="128">
        <f>DADOS_INVOC!$PG$123</f>
        <v/>
      </c>
      <c r="AM686" s="120" t="n"/>
      <c r="AN686" s="127" t="n">
        <v>1</v>
      </c>
      <c r="AO686" s="115" t="n"/>
      <c r="AP686" s="16" t="n"/>
      <c r="AQ686" s="17" t="n"/>
      <c r="AR686" s="128">
        <f>DADOS_INVOC!$PG$124</f>
        <v/>
      </c>
      <c r="AS686" s="120" t="n"/>
    </row>
    <row r="687" hidden="1" outlineLevel="3">
      <c r="A687" s="8" t="n"/>
      <c r="B687" s="14" t="n"/>
      <c r="C687" s="120" t="n"/>
      <c r="D687" s="120" t="n"/>
      <c r="E687" s="120" t="n"/>
      <c r="F687" s="120" t="n"/>
      <c r="G687" s="120" t="n"/>
      <c r="I687" s="55" t="inlineStr">
        <is>
          <t>COMO É</t>
        </is>
      </c>
      <c r="J687" s="16" t="n"/>
      <c r="K687" s="16" t="n"/>
      <c r="L687" s="16" t="n"/>
      <c r="M687" s="17" t="n"/>
      <c r="N687" s="120" t="n"/>
      <c r="O687" s="55" t="inlineStr">
        <is>
          <t>COMO É</t>
        </is>
      </c>
      <c r="P687" s="16" t="n"/>
      <c r="Q687" s="16" t="n"/>
      <c r="R687" s="16" t="n"/>
      <c r="S687" s="17" t="n"/>
      <c r="T687" s="120" t="n"/>
      <c r="U687" s="55" t="inlineStr">
        <is>
          <t>COMO É</t>
        </is>
      </c>
      <c r="V687" s="16" t="n"/>
      <c r="W687" s="16" t="n"/>
      <c r="X687" s="16" t="n"/>
      <c r="Y687" s="17" t="n"/>
      <c r="Z687" s="120" t="n"/>
      <c r="AB687" s="55" t="inlineStr">
        <is>
          <t>COMO É</t>
        </is>
      </c>
      <c r="AC687" s="16" t="n"/>
      <c r="AD687" s="16" t="n"/>
      <c r="AE687" s="16" t="n"/>
      <c r="AF687" s="17" t="n"/>
      <c r="AG687" s="120" t="n"/>
      <c r="AH687" s="55" t="inlineStr">
        <is>
          <t>COMO É</t>
        </is>
      </c>
      <c r="AI687" s="16" t="n"/>
      <c r="AJ687" s="16" t="n"/>
      <c r="AK687" s="16" t="n"/>
      <c r="AL687" s="17" t="n"/>
      <c r="AM687" s="120" t="n"/>
      <c r="AN687" s="55" t="inlineStr">
        <is>
          <t>COMO É</t>
        </is>
      </c>
      <c r="AO687" s="16" t="n"/>
      <c r="AP687" s="16" t="n"/>
      <c r="AQ687" s="16" t="n"/>
      <c r="AR687" s="17" t="n"/>
      <c r="AS687" s="120" t="n"/>
    </row>
    <row r="688" hidden="1" outlineLevel="3">
      <c r="A688" s="8" t="n"/>
      <c r="B688" s="14" t="n"/>
      <c r="C688" s="120" t="n"/>
      <c r="D688" s="120" t="n"/>
      <c r="E688" s="120" t="n"/>
      <c r="F688" s="120" t="n"/>
      <c r="G688" s="120" t="n"/>
      <c r="I688" s="116" t="n"/>
      <c r="J688" s="19" t="n"/>
      <c r="K688" s="19" t="n"/>
      <c r="L688" s="19" t="n"/>
      <c r="M688" s="20" t="n"/>
      <c r="N688" s="120" t="n"/>
      <c r="O688" s="116" t="n"/>
      <c r="P688" s="19" t="n"/>
      <c r="Q688" s="19" t="n"/>
      <c r="R688" s="19" t="n"/>
      <c r="S688" s="20" t="n"/>
      <c r="T688" s="120" t="n"/>
      <c r="U688" s="116" t="n"/>
      <c r="V688" s="19" t="n"/>
      <c r="W688" s="19" t="n"/>
      <c r="X688" s="19" t="n"/>
      <c r="Y688" s="20" t="n"/>
      <c r="Z688" s="120" t="n"/>
      <c r="AB688" s="116" t="n"/>
      <c r="AC688" s="19" t="n"/>
      <c r="AD688" s="19" t="n"/>
      <c r="AE688" s="19" t="n"/>
      <c r="AF688" s="20" t="n"/>
      <c r="AG688" s="120" t="n"/>
      <c r="AH688" s="116" t="n"/>
      <c r="AI688" s="19" t="n"/>
      <c r="AJ688" s="19" t="n"/>
      <c r="AK688" s="19" t="n"/>
      <c r="AL688" s="20" t="n"/>
      <c r="AM688" s="120" t="n"/>
      <c r="AN688" s="116" t="n"/>
      <c r="AO688" s="19" t="n"/>
      <c r="AP688" s="19" t="n"/>
      <c r="AQ688" s="19" t="n"/>
      <c r="AR688" s="20" t="n"/>
      <c r="AS688" s="120" t="n"/>
    </row>
    <row r="689" hidden="1" outlineLevel="3">
      <c r="A689" s="8" t="n"/>
      <c r="B689" s="14" t="n"/>
      <c r="C689" s="120" t="n"/>
      <c r="D689" s="120" t="n"/>
      <c r="E689" s="120" t="n"/>
      <c r="F689" s="120" t="n"/>
      <c r="G689" s="120" t="n"/>
      <c r="I689" s="21" t="n"/>
      <c r="M689" s="22" t="n"/>
      <c r="N689" s="120" t="n"/>
      <c r="O689" s="21" t="n"/>
      <c r="S689" s="22" t="n"/>
      <c r="T689" s="120" t="n"/>
      <c r="U689" s="21" t="n"/>
      <c r="Y689" s="22" t="n"/>
      <c r="Z689" s="120" t="n"/>
      <c r="AB689" s="21" t="n"/>
      <c r="AF689" s="22" t="n"/>
      <c r="AG689" s="120" t="n"/>
      <c r="AH689" s="21" t="n"/>
      <c r="AL689" s="22" t="n"/>
      <c r="AM689" s="120" t="n"/>
      <c r="AN689" s="21" t="n"/>
      <c r="AR689" s="22" t="n"/>
      <c r="AS689" s="120" t="n"/>
    </row>
    <row r="690" hidden="1" outlineLevel="3">
      <c r="A690" s="8" t="n"/>
      <c r="B690" s="14" t="n"/>
      <c r="C690" s="120" t="n"/>
      <c r="D690" s="120" t="n"/>
      <c r="E690" s="120" t="n"/>
      <c r="F690" s="120" t="n"/>
      <c r="G690" s="120" t="n"/>
      <c r="I690" s="23" t="n"/>
      <c r="J690" s="24" t="n"/>
      <c r="K690" s="24" t="n"/>
      <c r="L690" s="24" t="n"/>
      <c r="M690" s="25" t="n"/>
      <c r="N690" s="120" t="n"/>
      <c r="O690" s="23" t="n"/>
      <c r="P690" s="24" t="n"/>
      <c r="Q690" s="24" t="n"/>
      <c r="R690" s="24" t="n"/>
      <c r="S690" s="25" t="n"/>
      <c r="T690" s="120" t="n"/>
      <c r="U690" s="23" t="n"/>
      <c r="V690" s="24" t="n"/>
      <c r="W690" s="24" t="n"/>
      <c r="X690" s="24" t="n"/>
      <c r="Y690" s="25" t="n"/>
      <c r="Z690" s="120" t="n"/>
      <c r="AB690" s="23" t="n"/>
      <c r="AC690" s="24" t="n"/>
      <c r="AD690" s="24" t="n"/>
      <c r="AE690" s="24" t="n"/>
      <c r="AF690" s="25" t="n"/>
      <c r="AG690" s="120" t="n"/>
      <c r="AH690" s="23" t="n"/>
      <c r="AI690" s="24" t="n"/>
      <c r="AJ690" s="24" t="n"/>
      <c r="AK690" s="24" t="n"/>
      <c r="AL690" s="25" t="n"/>
      <c r="AM690" s="120" t="n"/>
      <c r="AN690" s="23" t="n"/>
      <c r="AO690" s="24" t="n"/>
      <c r="AP690" s="24" t="n"/>
      <c r="AQ690" s="24" t="n"/>
      <c r="AR690" s="25" t="n"/>
      <c r="AS690" s="120" t="n"/>
    </row>
    <row r="691" hidden="1" outlineLevel="2">
      <c r="A691" s="8" t="n"/>
      <c r="B691" s="14" t="n"/>
      <c r="C691" s="120" t="n"/>
      <c r="D691" s="120" t="n"/>
      <c r="E691" s="120" t="n"/>
      <c r="F691" s="120" t="n"/>
      <c r="G691" s="120" t="n"/>
      <c r="I691" s="124" t="inlineStr">
        <is>
          <t>Projétil</t>
        </is>
      </c>
      <c r="J691" s="17" t="n"/>
      <c r="K691" s="68">
        <f>DADOS_INVOC!$PN$44</f>
        <v/>
      </c>
      <c r="L691" s="17" t="n"/>
      <c r="M691" s="68">
        <f>DADOS_INVOC!$PJ$44</f>
        <v/>
      </c>
      <c r="N691" s="120" t="n"/>
      <c r="O691" s="124" t="inlineStr">
        <is>
          <t>Projétil</t>
        </is>
      </c>
      <c r="P691" s="17" t="n"/>
      <c r="Q691" s="68">
        <f>DADOS_INVOC!$PN$45</f>
        <v/>
      </c>
      <c r="R691" s="17" t="n"/>
      <c r="S691" s="68">
        <f>DADOS_INVOC!$PJ$45</f>
        <v/>
      </c>
      <c r="T691" s="120" t="n"/>
      <c r="U691" s="124" t="inlineStr">
        <is>
          <t>Projétil</t>
        </is>
      </c>
      <c r="V691" s="17" t="n"/>
      <c r="W691" s="68">
        <f>DADOS_INVOC!$PN$46</f>
        <v/>
      </c>
      <c r="X691" s="17" t="n"/>
      <c r="Y691" s="68">
        <f>DADOS_INVOC!$PJ$46</f>
        <v/>
      </c>
      <c r="Z691" s="120" t="n"/>
      <c r="AB691" s="124" t="inlineStr">
        <is>
          <t>Projétil</t>
        </is>
      </c>
      <c r="AC691" s="17" t="n"/>
      <c r="AD691" s="68">
        <f>DADOS_INVOC!$PN$122</f>
        <v/>
      </c>
      <c r="AE691" s="17" t="n"/>
      <c r="AF691" s="68">
        <f>DADOS_INVOC!$PJ$122</f>
        <v/>
      </c>
      <c r="AG691" s="120" t="n"/>
      <c r="AH691" s="124" t="inlineStr">
        <is>
          <t>Projétil</t>
        </is>
      </c>
      <c r="AI691" s="17" t="n"/>
      <c r="AJ691" s="68">
        <f>DADOS_INVOC!$PN$123</f>
        <v/>
      </c>
      <c r="AK691" s="17" t="n"/>
      <c r="AL691" s="68">
        <f>DADOS_INVOC!$PJ$123</f>
        <v/>
      </c>
      <c r="AM691" s="120" t="n"/>
      <c r="AN691" s="124" t="inlineStr">
        <is>
          <t>Projétil</t>
        </is>
      </c>
      <c r="AO691" s="17" t="n"/>
      <c r="AP691" s="68">
        <f>DADOS_INVOC!$PN$124</f>
        <v/>
      </c>
      <c r="AQ691" s="17" t="n"/>
      <c r="AR691" s="68">
        <f>DADOS_INVOC!$PJ$124</f>
        <v/>
      </c>
      <c r="AS691" s="120" t="n"/>
    </row>
    <row r="692" hidden="1" outlineLevel="2">
      <c r="A692" s="8" t="n"/>
      <c r="B692" s="14" t="n"/>
      <c r="C692" s="120" t="n"/>
      <c r="D692" s="120" t="n"/>
      <c r="E692" s="120" t="n"/>
      <c r="F692" s="120" t="n"/>
      <c r="G692" s="120" t="n"/>
      <c r="I692" s="124" t="n"/>
      <c r="J692" s="17" t="n"/>
      <c r="K692" s="124" t="n"/>
      <c r="L692" s="16" t="n"/>
      <c r="M692" s="17" t="n"/>
      <c r="N692" s="120" t="n"/>
      <c r="O692" s="124" t="n"/>
      <c r="P692" s="17" t="n"/>
      <c r="Q692" s="124" t="n"/>
      <c r="R692" s="16" t="n"/>
      <c r="S692" s="17" t="n"/>
      <c r="T692" s="120" t="n"/>
      <c r="U692" s="124" t="n"/>
      <c r="V692" s="17" t="n"/>
      <c r="W692" s="124" t="n"/>
      <c r="X692" s="16" t="n"/>
      <c r="Y692" s="17" t="n"/>
      <c r="Z692" s="120" t="n"/>
      <c r="AB692" s="124" t="n"/>
      <c r="AC692" s="17" t="n"/>
      <c r="AD692" s="124" t="n"/>
      <c r="AE692" s="16" t="n"/>
      <c r="AF692" s="17" t="n"/>
      <c r="AG692" s="120" t="n"/>
      <c r="AH692" s="124" t="n"/>
      <c r="AI692" s="17" t="n"/>
      <c r="AJ692" s="124" t="n"/>
      <c r="AK692" s="16" t="n"/>
      <c r="AL692" s="17" t="n"/>
      <c r="AM692" s="120" t="n"/>
      <c r="AN692" s="124" t="n"/>
      <c r="AO692" s="17" t="n"/>
      <c r="AP692" s="124" t="n"/>
      <c r="AQ692" s="16" t="n"/>
      <c r="AR692" s="17" t="n"/>
      <c r="AS692" s="120" t="n"/>
    </row>
    <row r="693" hidden="1" outlineLevel="2">
      <c r="A693" s="8" t="n"/>
      <c r="B693" s="14" t="n"/>
      <c r="C693" s="120" t="n"/>
      <c r="D693" s="120" t="n"/>
      <c r="E693" s="120" t="n"/>
      <c r="F693" s="120" t="n"/>
      <c r="G693" s="120" t="n"/>
      <c r="I693" s="124">
        <f>DADOS_INVOC!$PK$44</f>
        <v/>
      </c>
      <c r="J693" s="17" t="n"/>
      <c r="K693" s="124">
        <f>DADOS_INVOC!$PM$44</f>
        <v/>
      </c>
      <c r="L693" s="16" t="n"/>
      <c r="M693" s="17" t="n"/>
      <c r="N693" s="120" t="n"/>
      <c r="O693" s="124">
        <f>DADOS_INVOC!$PK$45</f>
        <v/>
      </c>
      <c r="P693" s="17" t="n"/>
      <c r="Q693" s="124">
        <f>DADOS_INVOC!$PM$45</f>
        <v/>
      </c>
      <c r="R693" s="16" t="n"/>
      <c r="S693" s="17" t="n"/>
      <c r="T693" s="120" t="n"/>
      <c r="U693" s="124">
        <f>DADOS_INVOC!$PK$46</f>
        <v/>
      </c>
      <c r="V693" s="17" t="n"/>
      <c r="W693" s="124">
        <f>DADOS_INVOC!$PM$46</f>
        <v/>
      </c>
      <c r="X693" s="16" t="n"/>
      <c r="Y693" s="17" t="n"/>
      <c r="Z693" s="120" t="n"/>
      <c r="AB693" s="124">
        <f>DADOS_INVOC!$PK$122</f>
        <v/>
      </c>
      <c r="AC693" s="17" t="n"/>
      <c r="AD693" s="124">
        <f>DADOS_INVOC!$PM$122</f>
        <v/>
      </c>
      <c r="AE693" s="16" t="n"/>
      <c r="AF693" s="17" t="n"/>
      <c r="AG693" s="120" t="n"/>
      <c r="AH693" s="124">
        <f>DADOS_INVOC!$PK$123</f>
        <v/>
      </c>
      <c r="AI693" s="17" t="n"/>
      <c r="AJ693" s="124">
        <f>DADOS_INVOC!$PM$123</f>
        <v/>
      </c>
      <c r="AK693" s="16" t="n"/>
      <c r="AL693" s="17" t="n"/>
      <c r="AM693" s="120" t="n"/>
      <c r="AN693" s="124">
        <f>DADOS_INVOC!$PK$124</f>
        <v/>
      </c>
      <c r="AO693" s="17" t="n"/>
      <c r="AP693" s="124">
        <f>DADOS_INVOC!$PM$124</f>
        <v/>
      </c>
      <c r="AQ693" s="16" t="n"/>
      <c r="AR693" s="17" t="n"/>
      <c r="AS693" s="120" t="n"/>
    </row>
    <row r="694" hidden="1" outlineLevel="2">
      <c r="A694" s="8" t="n"/>
      <c r="B694" s="14" t="n"/>
      <c r="C694" s="120" t="n"/>
      <c r="D694" s="120" t="n"/>
      <c r="E694" s="120" t="n"/>
      <c r="F694" s="120" t="n"/>
      <c r="G694" s="120" t="n"/>
      <c r="I694" s="129">
        <f>DADOS_INVOC!$PS$44</f>
        <v/>
      </c>
      <c r="J694" s="16" t="n"/>
      <c r="K694" s="16" t="n"/>
      <c r="L694" s="16" t="n"/>
      <c r="M694" s="17" t="n"/>
      <c r="N694" s="120" t="n"/>
      <c r="O694" s="129">
        <f>DADOS_INVOC!$PS$45</f>
        <v/>
      </c>
      <c r="P694" s="16" t="n"/>
      <c r="Q694" s="16" t="n"/>
      <c r="R694" s="16" t="n"/>
      <c r="S694" s="17" t="n"/>
      <c r="T694" s="120" t="n"/>
      <c r="U694" s="129">
        <f>DADOS_INVOC!$PS$46</f>
        <v/>
      </c>
      <c r="V694" s="16" t="n"/>
      <c r="W694" s="16" t="n"/>
      <c r="X694" s="16" t="n"/>
      <c r="Y694" s="17" t="n"/>
      <c r="Z694" s="120" t="n"/>
      <c r="AB694" s="129">
        <f>DADOS_INVOC!$PS$122</f>
        <v/>
      </c>
      <c r="AC694" s="16" t="n"/>
      <c r="AD694" s="16" t="n"/>
      <c r="AE694" s="16" t="n"/>
      <c r="AF694" s="17" t="n"/>
      <c r="AG694" s="120" t="n"/>
      <c r="AH694" s="129">
        <f>DADOS_INVOC!$PS$123</f>
        <v/>
      </c>
      <c r="AI694" s="16" t="n"/>
      <c r="AJ694" s="16" t="n"/>
      <c r="AK694" s="16" t="n"/>
      <c r="AL694" s="17" t="n"/>
      <c r="AM694" s="120" t="n"/>
      <c r="AN694" s="129">
        <f>DADOS_INVOC!$PS$124</f>
        <v/>
      </c>
      <c r="AO694" s="16" t="n"/>
      <c r="AP694" s="16" t="n"/>
      <c r="AQ694" s="16" t="n"/>
      <c r="AR694" s="17" t="n"/>
      <c r="AS694" s="120" t="n"/>
    </row>
    <row r="695" hidden="1" outlineLevel="3">
      <c r="A695" s="8" t="n"/>
      <c r="B695" s="14" t="n"/>
      <c r="C695" s="120" t="n"/>
      <c r="D695" s="120" t="n"/>
      <c r="E695" s="120" t="n"/>
      <c r="F695" s="120" t="n"/>
      <c r="G695" s="120" t="n"/>
      <c r="I695" s="55" t="inlineStr">
        <is>
          <t>MELHORIAS</t>
        </is>
      </c>
      <c r="J695" s="130" t="n"/>
      <c r="K695" s="16" t="n"/>
      <c r="L695" s="17" t="n"/>
      <c r="M695" s="129">
        <f>DADOS_INVOC!$PV$44</f>
        <v/>
      </c>
      <c r="N695" s="120" t="n"/>
      <c r="O695" s="55" t="inlineStr">
        <is>
          <t>MELHORIAS</t>
        </is>
      </c>
      <c r="P695" s="130" t="n"/>
      <c r="Q695" s="16" t="n"/>
      <c r="R695" s="17" t="n"/>
      <c r="S695" s="129">
        <f>DADOS_INVOC!$PV$45</f>
        <v/>
      </c>
      <c r="T695" s="120" t="n"/>
      <c r="U695" s="55" t="inlineStr">
        <is>
          <t>MELHORIAS</t>
        </is>
      </c>
      <c r="V695" s="130" t="n"/>
      <c r="W695" s="16" t="n"/>
      <c r="X695" s="17" t="n"/>
      <c r="Y695" s="129">
        <f>DADOS_INVOC!$PV$46</f>
        <v/>
      </c>
      <c r="Z695" s="120" t="n"/>
      <c r="AB695" s="55" t="inlineStr">
        <is>
          <t>MELHORIAS</t>
        </is>
      </c>
      <c r="AC695" s="130" t="n"/>
      <c r="AD695" s="16" t="n"/>
      <c r="AE695" s="17" t="n"/>
      <c r="AF695" s="129">
        <f>DADOS_INVOC!$PV$122</f>
        <v/>
      </c>
      <c r="AG695" s="120" t="n"/>
      <c r="AH695" s="55" t="inlineStr">
        <is>
          <t>MELHORIAS</t>
        </is>
      </c>
      <c r="AI695" s="130" t="n"/>
      <c r="AJ695" s="16" t="n"/>
      <c r="AK695" s="17" t="n"/>
      <c r="AL695" s="129">
        <f>DADOS_INVOC!$PV$123</f>
        <v/>
      </c>
      <c r="AM695" s="120" t="n"/>
      <c r="AN695" s="55" t="inlineStr">
        <is>
          <t>MELHORIAS</t>
        </is>
      </c>
      <c r="AO695" s="130" t="n"/>
      <c r="AP695" s="16" t="n"/>
      <c r="AQ695" s="17" t="n"/>
      <c r="AR695" s="129">
        <f>DADOS_INVOC!$PV$124</f>
        <v/>
      </c>
      <c r="AS695" s="120" t="n"/>
    </row>
    <row r="696" hidden="1" outlineLevel="3">
      <c r="A696" s="8" t="n"/>
      <c r="B696" s="14" t="n"/>
      <c r="C696" s="120" t="n"/>
      <c r="D696" s="120" t="n"/>
      <c r="E696" s="120" t="n"/>
      <c r="F696" s="120" t="n"/>
      <c r="G696" s="120" t="n"/>
      <c r="I696" s="131" t="n"/>
      <c r="J696" s="130" t="n"/>
      <c r="K696" s="16" t="n"/>
      <c r="L696" s="17" t="n"/>
      <c r="M696" s="129">
        <f>DADOS_INVOC!$PW$44</f>
        <v/>
      </c>
      <c r="N696" s="120" t="n"/>
      <c r="O696" s="131" t="n"/>
      <c r="P696" s="130" t="n"/>
      <c r="Q696" s="16" t="n"/>
      <c r="R696" s="17" t="n"/>
      <c r="S696" s="129">
        <f>DADOS_INVOC!$PW$45</f>
        <v/>
      </c>
      <c r="T696" s="120" t="n"/>
      <c r="U696" s="131" t="n"/>
      <c r="V696" s="130" t="n"/>
      <c r="W696" s="16" t="n"/>
      <c r="X696" s="17" t="n"/>
      <c r="Y696" s="129">
        <f>DADOS_INVOC!$PW$46</f>
        <v/>
      </c>
      <c r="Z696" s="120" t="n"/>
      <c r="AB696" s="131" t="n"/>
      <c r="AC696" s="130" t="n"/>
      <c r="AD696" s="16" t="n"/>
      <c r="AE696" s="17" t="n"/>
      <c r="AF696" s="129">
        <f>DADOS_INVOC!$PW$122</f>
        <v/>
      </c>
      <c r="AG696" s="120" t="n"/>
      <c r="AH696" s="131" t="n"/>
      <c r="AI696" s="130" t="n"/>
      <c r="AJ696" s="16" t="n"/>
      <c r="AK696" s="17" t="n"/>
      <c r="AL696" s="129">
        <f>DADOS_INVOC!$PW$123</f>
        <v/>
      </c>
      <c r="AM696" s="120" t="n"/>
      <c r="AN696" s="131" t="n"/>
      <c r="AO696" s="130" t="n"/>
      <c r="AP696" s="16" t="n"/>
      <c r="AQ696" s="17" t="n"/>
      <c r="AR696" s="129">
        <f>DADOS_INVOC!$PW$124</f>
        <v/>
      </c>
      <c r="AS696" s="120" t="n"/>
    </row>
    <row r="697" hidden="1" outlineLevel="3">
      <c r="A697" s="8" t="n"/>
      <c r="B697" s="14" t="n"/>
      <c r="C697" s="120" t="n"/>
      <c r="D697" s="120" t="n"/>
      <c r="E697" s="120" t="n"/>
      <c r="F697" s="120" t="n"/>
      <c r="G697" s="120" t="n"/>
      <c r="I697" s="131" t="n"/>
      <c r="J697" s="130" t="n"/>
      <c r="K697" s="16" t="n"/>
      <c r="L697" s="17" t="n"/>
      <c r="M697" s="129">
        <f>DADOS_INVOC!$PX$44</f>
        <v/>
      </c>
      <c r="N697" s="120" t="n"/>
      <c r="O697" s="131" t="n"/>
      <c r="P697" s="130" t="n"/>
      <c r="Q697" s="16" t="n"/>
      <c r="R697" s="17" t="n"/>
      <c r="S697" s="129">
        <f>DADOS_INVOC!$PX$45</f>
        <v/>
      </c>
      <c r="T697" s="120" t="n"/>
      <c r="U697" s="131" t="n"/>
      <c r="V697" s="130" t="n"/>
      <c r="W697" s="16" t="n"/>
      <c r="X697" s="17" t="n"/>
      <c r="Y697" s="129">
        <f>DADOS_INVOC!$PX$46</f>
        <v/>
      </c>
      <c r="Z697" s="120" t="n"/>
      <c r="AB697" s="131" t="n"/>
      <c r="AC697" s="130" t="n"/>
      <c r="AD697" s="16" t="n"/>
      <c r="AE697" s="17" t="n"/>
      <c r="AF697" s="129">
        <f>DADOS_INVOC!$PX$122</f>
        <v/>
      </c>
      <c r="AG697" s="120" t="n"/>
      <c r="AH697" s="131" t="n"/>
      <c r="AI697" s="130" t="n"/>
      <c r="AJ697" s="16" t="n"/>
      <c r="AK697" s="17" t="n"/>
      <c r="AL697" s="129">
        <f>DADOS_INVOC!$PX$123</f>
        <v/>
      </c>
      <c r="AM697" s="120" t="n"/>
      <c r="AN697" s="131" t="n"/>
      <c r="AO697" s="130" t="n"/>
      <c r="AP697" s="16" t="n"/>
      <c r="AQ697" s="17" t="n"/>
      <c r="AR697" s="129">
        <f>DADOS_INVOC!$PX$124</f>
        <v/>
      </c>
      <c r="AS697" s="120" t="n"/>
    </row>
    <row r="698" hidden="1" outlineLevel="3">
      <c r="A698" s="8" t="n"/>
      <c r="B698" s="14" t="n"/>
      <c r="C698" s="120" t="n"/>
      <c r="D698" s="120" t="n"/>
      <c r="E698" s="120" t="n"/>
      <c r="F698" s="120" t="n"/>
      <c r="G698" s="120" t="n"/>
      <c r="I698" s="125" t="n"/>
      <c r="J698" s="130" t="n"/>
      <c r="K698" s="16" t="n"/>
      <c r="L698" s="17" t="n"/>
      <c r="M698" s="129">
        <f>DADOS_INVOC!$PY$44</f>
        <v/>
      </c>
      <c r="N698" s="120" t="n"/>
      <c r="O698" s="125" t="n"/>
      <c r="P698" s="130" t="n"/>
      <c r="Q698" s="16" t="n"/>
      <c r="R698" s="17" t="n"/>
      <c r="S698" s="129">
        <f>DADOS_INVOC!$PY$45</f>
        <v/>
      </c>
      <c r="T698" s="120" t="n"/>
      <c r="U698" s="125" t="n"/>
      <c r="V698" s="130" t="n"/>
      <c r="W698" s="16" t="n"/>
      <c r="X698" s="17" t="n"/>
      <c r="Y698" s="129">
        <f>DADOS_INVOC!$PY$46</f>
        <v/>
      </c>
      <c r="Z698" s="120" t="n"/>
      <c r="AB698" s="125" t="n"/>
      <c r="AC698" s="130" t="n"/>
      <c r="AD698" s="16" t="n"/>
      <c r="AE698" s="17" t="n"/>
      <c r="AF698" s="129">
        <f>DADOS_INVOC!$PY$122</f>
        <v/>
      </c>
      <c r="AG698" s="120" t="n"/>
      <c r="AH698" s="125" t="n"/>
      <c r="AI698" s="130" t="n"/>
      <c r="AJ698" s="16" t="n"/>
      <c r="AK698" s="17" t="n"/>
      <c r="AL698" s="129">
        <f>DADOS_INVOC!$PY$123</f>
        <v/>
      </c>
      <c r="AM698" s="120" t="n"/>
      <c r="AN698" s="125" t="n"/>
      <c r="AO698" s="130" t="n"/>
      <c r="AP698" s="16" t="n"/>
      <c r="AQ698" s="17" t="n"/>
      <c r="AR698" s="129">
        <f>DADOS_INVOC!$PY$124</f>
        <v/>
      </c>
      <c r="AS698" s="120" t="n"/>
    </row>
    <row r="699" hidden="1" outlineLevel="3">
      <c r="A699" s="8" t="n"/>
      <c r="B699" s="14" t="n"/>
      <c r="C699" s="120" t="n"/>
      <c r="D699" s="120" t="n"/>
      <c r="E699" s="120" t="n"/>
      <c r="F699" s="120" t="n"/>
      <c r="G699" s="120" t="n"/>
      <c r="I699" s="55" t="inlineStr">
        <is>
          <t>RESTRIÇÕES</t>
        </is>
      </c>
      <c r="J699" s="130" t="n"/>
      <c r="K699" s="16" t="n"/>
      <c r="L699" s="17" t="n"/>
      <c r="M699" s="129">
        <f>DADOS_INVOC!$PZ$44</f>
        <v/>
      </c>
      <c r="N699" s="120" t="n"/>
      <c r="O699" s="55" t="inlineStr">
        <is>
          <t>RESTRIÇÕES</t>
        </is>
      </c>
      <c r="P699" s="130" t="n"/>
      <c r="Q699" s="16" t="n"/>
      <c r="R699" s="17" t="n"/>
      <c r="S699" s="129">
        <f>DADOS_INVOC!$PZ$45</f>
        <v/>
      </c>
      <c r="T699" s="120" t="n"/>
      <c r="U699" s="55" t="inlineStr">
        <is>
          <t>RESTRIÇÕES</t>
        </is>
      </c>
      <c r="V699" s="130" t="n"/>
      <c r="W699" s="16" t="n"/>
      <c r="X699" s="17" t="n"/>
      <c r="Y699" s="129">
        <f>DADOS_INVOC!$PZ$46</f>
        <v/>
      </c>
      <c r="Z699" s="120" t="n"/>
      <c r="AB699" s="55" t="inlineStr">
        <is>
          <t>RESTRIÇÕES</t>
        </is>
      </c>
      <c r="AC699" s="130" t="n"/>
      <c r="AD699" s="16" t="n"/>
      <c r="AE699" s="17" t="n"/>
      <c r="AF699" s="129">
        <f>DADOS_INVOC!$PZ$122</f>
        <v/>
      </c>
      <c r="AG699" s="120" t="n"/>
      <c r="AH699" s="55" t="inlineStr">
        <is>
          <t>RESTRIÇÕES</t>
        </is>
      </c>
      <c r="AI699" s="130" t="n"/>
      <c r="AJ699" s="16" t="n"/>
      <c r="AK699" s="17" t="n"/>
      <c r="AL699" s="129">
        <f>DADOS_INVOC!$PZ$123</f>
        <v/>
      </c>
      <c r="AM699" s="120" t="n"/>
      <c r="AN699" s="55" t="inlineStr">
        <is>
          <t>RESTRIÇÕES</t>
        </is>
      </c>
      <c r="AO699" s="130" t="n"/>
      <c r="AP699" s="16" t="n"/>
      <c r="AQ699" s="17" t="n"/>
      <c r="AR699" s="129">
        <f>DADOS_INVOC!$PZ$124</f>
        <v/>
      </c>
      <c r="AS699" s="120" t="n"/>
    </row>
    <row r="700" hidden="1" outlineLevel="3">
      <c r="A700" s="8" t="n"/>
      <c r="B700" s="14" t="n"/>
      <c r="C700" s="120" t="n"/>
      <c r="D700" s="120" t="n"/>
      <c r="E700" s="120" t="n"/>
      <c r="F700" s="120" t="n"/>
      <c r="G700" s="120" t="n"/>
      <c r="I700" s="125" t="n"/>
      <c r="J700" s="130" t="n"/>
      <c r="K700" s="16" t="n"/>
      <c r="L700" s="17" t="n"/>
      <c r="M700" s="129">
        <f>DADOS_INVOC!$QA$44</f>
        <v/>
      </c>
      <c r="N700" s="120" t="n"/>
      <c r="O700" s="125" t="n"/>
      <c r="P700" s="130" t="n"/>
      <c r="Q700" s="16" t="n"/>
      <c r="R700" s="17" t="n"/>
      <c r="S700" s="129">
        <f>DADOS_INVOC!$QA$45</f>
        <v/>
      </c>
      <c r="T700" s="120" t="n"/>
      <c r="U700" s="125" t="n"/>
      <c r="V700" s="130" t="n"/>
      <c r="W700" s="16" t="n"/>
      <c r="X700" s="17" t="n"/>
      <c r="Y700" s="129">
        <f>DADOS_INVOC!$QA$46</f>
        <v/>
      </c>
      <c r="Z700" s="120" t="n"/>
      <c r="AB700" s="125" t="n"/>
      <c r="AC700" s="130" t="n"/>
      <c r="AD700" s="16" t="n"/>
      <c r="AE700" s="17" t="n"/>
      <c r="AF700" s="129">
        <f>DADOS_INVOC!$QA$122</f>
        <v/>
      </c>
      <c r="AG700" s="120" t="n"/>
      <c r="AH700" s="125" t="n"/>
      <c r="AI700" s="130" t="n"/>
      <c r="AJ700" s="16" t="n"/>
      <c r="AK700" s="17" t="n"/>
      <c r="AL700" s="129">
        <f>DADOS_INVOC!$QA$123</f>
        <v/>
      </c>
      <c r="AM700" s="120" t="n"/>
      <c r="AN700" s="125" t="n"/>
      <c r="AO700" s="130" t="n"/>
      <c r="AP700" s="16" t="n"/>
      <c r="AQ700" s="17" t="n"/>
      <c r="AR700" s="129">
        <f>DADOS_INVOC!$QA$124</f>
        <v/>
      </c>
      <c r="AS700" s="120" t="n"/>
    </row>
    <row r="701" hidden="1" outlineLevel="3">
      <c r="A701" s="8" t="n"/>
      <c r="B701" s="14" t="n"/>
      <c r="C701" s="120" t="n"/>
      <c r="D701" s="120" t="n"/>
      <c r="E701" s="120" t="n"/>
      <c r="F701" s="120" t="n"/>
      <c r="G701" s="120" t="n"/>
      <c r="I701" s="55" t="inlineStr">
        <is>
          <t>CONTA</t>
        </is>
      </c>
      <c r="J701" s="132">
        <f>DADOS_INVOC!$PT$44</f>
        <v/>
      </c>
      <c r="K701" s="16" t="n"/>
      <c r="L701" s="16" t="n"/>
      <c r="M701" s="17" t="n"/>
      <c r="N701" s="120" t="n"/>
      <c r="O701" s="55" t="inlineStr">
        <is>
          <t>CONTA</t>
        </is>
      </c>
      <c r="P701" s="132">
        <f>DADOS_INVOC!$PT$45</f>
        <v/>
      </c>
      <c r="Q701" s="16" t="n"/>
      <c r="R701" s="16" t="n"/>
      <c r="S701" s="17" t="n"/>
      <c r="T701" s="120" t="n"/>
      <c r="U701" s="55" t="inlineStr">
        <is>
          <t>CONTA</t>
        </is>
      </c>
      <c r="V701" s="132">
        <f>DADOS_INVOC!$PT$46</f>
        <v/>
      </c>
      <c r="W701" s="16" t="n"/>
      <c r="X701" s="16" t="n"/>
      <c r="Y701" s="17" t="n"/>
      <c r="Z701" s="120" t="n"/>
      <c r="AB701" s="55" t="inlineStr">
        <is>
          <t>CONTA</t>
        </is>
      </c>
      <c r="AC701" s="132">
        <f>DADOS_INVOC!$PT$122</f>
        <v/>
      </c>
      <c r="AD701" s="16" t="n"/>
      <c r="AE701" s="16" t="n"/>
      <c r="AF701" s="17" t="n"/>
      <c r="AG701" s="120" t="n"/>
      <c r="AH701" s="55" t="inlineStr">
        <is>
          <t>CONTA</t>
        </is>
      </c>
      <c r="AI701" s="132">
        <f>DADOS_INVOC!$PT$123</f>
        <v/>
      </c>
      <c r="AJ701" s="16" t="n"/>
      <c r="AK701" s="16" t="n"/>
      <c r="AL701" s="17" t="n"/>
      <c r="AM701" s="120" t="n"/>
      <c r="AN701" s="55" t="inlineStr">
        <is>
          <t>CONTA</t>
        </is>
      </c>
      <c r="AO701" s="132">
        <f>DADOS_INVOC!$PT$124</f>
        <v/>
      </c>
      <c r="AP701" s="16" t="n"/>
      <c r="AQ701" s="16" t="n"/>
      <c r="AR701" s="17" t="n"/>
      <c r="AS701" s="120" t="n"/>
    </row>
    <row r="702" hidden="1" outlineLevel="3">
      <c r="A702" s="8" t="n"/>
      <c r="B702" s="14" t="n"/>
      <c r="C702" s="120" t="n"/>
      <c r="D702" s="120" t="n"/>
      <c r="E702" s="120" t="n"/>
      <c r="F702" s="120" t="n"/>
      <c r="G702" s="120" t="n"/>
      <c r="I702" s="55" t="inlineStr">
        <is>
          <t>AMPLIAR</t>
        </is>
      </c>
      <c r="J702" s="132">
        <f>DADOS_INVOC!$PU$44</f>
        <v/>
      </c>
      <c r="K702" s="19" t="n"/>
      <c r="L702" s="19" t="n"/>
      <c r="M702" s="20" t="n"/>
      <c r="N702" s="120" t="n"/>
      <c r="O702" s="55" t="inlineStr">
        <is>
          <t>AMPLIAR</t>
        </is>
      </c>
      <c r="P702" s="132">
        <f>DADOS_INVOC!$PU$45</f>
        <v/>
      </c>
      <c r="Q702" s="19" t="n"/>
      <c r="R702" s="19" t="n"/>
      <c r="S702" s="20" t="n"/>
      <c r="T702" s="120" t="n"/>
      <c r="U702" s="55" t="inlineStr">
        <is>
          <t>AMPLIAR</t>
        </is>
      </c>
      <c r="V702" s="132">
        <f>DADOS_INVOC!$PU$46</f>
        <v/>
      </c>
      <c r="W702" s="19" t="n"/>
      <c r="X702" s="19" t="n"/>
      <c r="Y702" s="20" t="n"/>
      <c r="Z702" s="120" t="n"/>
      <c r="AB702" s="55" t="inlineStr">
        <is>
          <t>AMPLIAR</t>
        </is>
      </c>
      <c r="AC702" s="132">
        <f>DADOS_INVOC!$PU$122</f>
        <v/>
      </c>
      <c r="AD702" s="19" t="n"/>
      <c r="AE702" s="19" t="n"/>
      <c r="AF702" s="20" t="n"/>
      <c r="AG702" s="120" t="n"/>
      <c r="AH702" s="55" t="inlineStr">
        <is>
          <t>AMPLIAR</t>
        </is>
      </c>
      <c r="AI702" s="132">
        <f>DADOS_INVOC!$PU$123</f>
        <v/>
      </c>
      <c r="AJ702" s="19" t="n"/>
      <c r="AK702" s="19" t="n"/>
      <c r="AL702" s="20" t="n"/>
      <c r="AM702" s="120" t="n"/>
      <c r="AN702" s="55" t="inlineStr">
        <is>
          <t>AMPLIAR</t>
        </is>
      </c>
      <c r="AO702" s="132">
        <f>DADOS_INVOC!$PU$124</f>
        <v/>
      </c>
      <c r="AP702" s="19" t="n"/>
      <c r="AQ702" s="19" t="n"/>
      <c r="AR702" s="20" t="n"/>
      <c r="AS702" s="120" t="n"/>
    </row>
    <row r="703" hidden="1" outlineLevel="3">
      <c r="A703" s="8" t="n"/>
      <c r="B703" s="14" t="n"/>
      <c r="C703" s="120" t="n"/>
      <c r="D703" s="120" t="n"/>
      <c r="E703" s="120" t="n"/>
      <c r="F703" s="120" t="n"/>
      <c r="G703" s="120" t="n"/>
      <c r="I703" s="125" t="n"/>
      <c r="J703" s="23" t="n"/>
      <c r="K703" s="24" t="n"/>
      <c r="L703" s="24" t="n"/>
      <c r="M703" s="25" t="n"/>
      <c r="N703" s="120" t="n"/>
      <c r="O703" s="125" t="n"/>
      <c r="P703" s="23" t="n"/>
      <c r="Q703" s="24" t="n"/>
      <c r="R703" s="24" t="n"/>
      <c r="S703" s="25" t="n"/>
      <c r="T703" s="120" t="n"/>
      <c r="U703" s="125" t="n"/>
      <c r="V703" s="23" t="n"/>
      <c r="W703" s="24" t="n"/>
      <c r="X703" s="24" t="n"/>
      <c r="Y703" s="25" t="n"/>
      <c r="Z703" s="120" t="n"/>
      <c r="AB703" s="125" t="n"/>
      <c r="AC703" s="23" t="n"/>
      <c r="AD703" s="24" t="n"/>
      <c r="AE703" s="24" t="n"/>
      <c r="AF703" s="25" t="n"/>
      <c r="AG703" s="120" t="n"/>
      <c r="AH703" s="125" t="n"/>
      <c r="AI703" s="23" t="n"/>
      <c r="AJ703" s="24" t="n"/>
      <c r="AK703" s="24" t="n"/>
      <c r="AL703" s="25" t="n"/>
      <c r="AM703" s="120" t="n"/>
      <c r="AN703" s="125" t="n"/>
      <c r="AO703" s="23" t="n"/>
      <c r="AP703" s="24" t="n"/>
      <c r="AQ703" s="24" t="n"/>
      <c r="AR703" s="25" t="n"/>
      <c r="AS703" s="120" t="n"/>
    </row>
    <row r="704" hidden="1" outlineLevel="3">
      <c r="A704" s="8" t="n"/>
      <c r="B704" s="14" t="n"/>
      <c r="C704" s="120" t="n"/>
      <c r="D704" s="120" t="n"/>
      <c r="E704" s="120" t="n"/>
      <c r="F704" s="120" t="n"/>
      <c r="G704" s="120" t="n"/>
      <c r="I704" s="132">
        <f>DADOS_INVOC!$PH$44</f>
        <v/>
      </c>
      <c r="J704" s="19" t="n"/>
      <c r="K704" s="19" t="n"/>
      <c r="L704" s="19" t="n"/>
      <c r="M704" s="20" t="n"/>
      <c r="N704" s="120" t="n"/>
      <c r="O704" s="132">
        <f>DADOS_INVOC!$PH$45</f>
        <v/>
      </c>
      <c r="P704" s="19" t="n"/>
      <c r="Q704" s="19" t="n"/>
      <c r="R704" s="19" t="n"/>
      <c r="S704" s="20" t="n"/>
      <c r="T704" s="120" t="n"/>
      <c r="U704" s="132">
        <f>DADOS_INVOC!$PH$46</f>
        <v/>
      </c>
      <c r="V704" s="19" t="n"/>
      <c r="W704" s="19" t="n"/>
      <c r="X704" s="19" t="n"/>
      <c r="Y704" s="20" t="n"/>
      <c r="Z704" s="120" t="n"/>
      <c r="AB704" s="132">
        <f>DADOS_INVOC!$PH$122</f>
        <v/>
      </c>
      <c r="AC704" s="19" t="n"/>
      <c r="AD704" s="19" t="n"/>
      <c r="AE704" s="19" t="n"/>
      <c r="AF704" s="20" t="n"/>
      <c r="AG704" s="120" t="n"/>
      <c r="AH704" s="132">
        <f>DADOS_INVOC!$PH$123</f>
        <v/>
      </c>
      <c r="AI704" s="19" t="n"/>
      <c r="AJ704" s="19" t="n"/>
      <c r="AK704" s="19" t="n"/>
      <c r="AL704" s="20" t="n"/>
      <c r="AM704" s="120" t="n"/>
      <c r="AN704" s="132">
        <f>DADOS_INVOC!$PH$124</f>
        <v/>
      </c>
      <c r="AO704" s="19" t="n"/>
      <c r="AP704" s="19" t="n"/>
      <c r="AQ704" s="19" t="n"/>
      <c r="AR704" s="20" t="n"/>
      <c r="AS704" s="120" t="n"/>
    </row>
    <row r="705" hidden="1" outlineLevel="3">
      <c r="A705" s="8" t="n"/>
      <c r="B705" s="14" t="n"/>
      <c r="C705" s="120" t="n"/>
      <c r="D705" s="120" t="n"/>
      <c r="E705" s="120" t="n"/>
      <c r="F705" s="120" t="n"/>
      <c r="G705" s="120" t="n"/>
      <c r="I705" s="23" t="n"/>
      <c r="J705" s="24" t="n"/>
      <c r="K705" s="24" t="n"/>
      <c r="L705" s="24" t="n"/>
      <c r="M705" s="25" t="n"/>
      <c r="N705" s="120" t="n"/>
      <c r="O705" s="23" t="n"/>
      <c r="P705" s="24" t="n"/>
      <c r="Q705" s="24" t="n"/>
      <c r="R705" s="24" t="n"/>
      <c r="S705" s="25" t="n"/>
      <c r="T705" s="120" t="n"/>
      <c r="U705" s="23" t="n"/>
      <c r="V705" s="24" t="n"/>
      <c r="W705" s="24" t="n"/>
      <c r="X705" s="24" t="n"/>
      <c r="Y705" s="25" t="n"/>
      <c r="Z705" s="120" t="n"/>
      <c r="AB705" s="23" t="n"/>
      <c r="AC705" s="24" t="n"/>
      <c r="AD705" s="24" t="n"/>
      <c r="AE705" s="24" t="n"/>
      <c r="AF705" s="25" t="n"/>
      <c r="AG705" s="120" t="n"/>
      <c r="AH705" s="23" t="n"/>
      <c r="AI705" s="24" t="n"/>
      <c r="AJ705" s="24" t="n"/>
      <c r="AK705" s="24" t="n"/>
      <c r="AL705" s="25" t="n"/>
      <c r="AM705" s="120" t="n"/>
      <c r="AN705" s="23" t="n"/>
      <c r="AO705" s="24" t="n"/>
      <c r="AP705" s="24" t="n"/>
      <c r="AQ705" s="24" t="n"/>
      <c r="AR705" s="25" t="n"/>
      <c r="AS705" s="120" t="n"/>
    </row>
    <row r="706" hidden="1" outlineLevel="2">
      <c r="A706" s="8" t="n"/>
      <c r="B706" s="14" t="n"/>
      <c r="C706" s="120" t="n"/>
      <c r="D706" s="120" t="n"/>
      <c r="E706" s="120" t="n"/>
      <c r="F706" s="120" t="n"/>
      <c r="G706" s="120" t="n"/>
      <c r="I706" s="120" t="n"/>
      <c r="J706" s="120" t="n"/>
      <c r="K706" s="120" t="n"/>
      <c r="L706" s="120" t="n"/>
      <c r="M706" s="120" t="n"/>
      <c r="N706" s="120" t="n"/>
      <c r="O706" s="120" t="n"/>
      <c r="P706" s="120" t="n"/>
      <c r="Q706" s="120" t="n"/>
      <c r="R706" s="120" t="n"/>
      <c r="S706" s="120" t="n"/>
      <c r="T706" s="120" t="n"/>
      <c r="U706" s="120" t="n"/>
      <c r="V706" s="120" t="n"/>
      <c r="W706" s="120" t="n"/>
      <c r="X706" s="120" t="n"/>
      <c r="Y706" s="120" t="n"/>
      <c r="Z706" s="120" t="n"/>
      <c r="AB706" s="120" t="n"/>
      <c r="AC706" s="120" t="n"/>
      <c r="AD706" s="120" t="n"/>
      <c r="AE706" s="120" t="n"/>
      <c r="AF706" s="120" t="n"/>
      <c r="AG706" s="120" t="n"/>
      <c r="AH706" s="120" t="n"/>
      <c r="AI706" s="120" t="n"/>
      <c r="AJ706" s="120" t="n"/>
      <c r="AK706" s="120" t="n"/>
      <c r="AL706" s="120" t="n"/>
      <c r="AM706" s="120" t="n"/>
      <c r="AN706" s="120" t="n"/>
      <c r="AO706" s="120" t="n"/>
      <c r="AP706" s="120" t="n"/>
      <c r="AQ706" s="120" t="n"/>
      <c r="AR706" s="120" t="n"/>
      <c r="AS706" s="120" t="n"/>
    </row>
    <row r="707" hidden="1" outlineLevel="2">
      <c r="A707" s="8" t="n"/>
      <c r="B707" s="14" t="n"/>
      <c r="C707" s="120" t="n"/>
      <c r="D707" s="120" t="n"/>
      <c r="E707" s="120" t="n"/>
      <c r="F707" s="120" t="n"/>
      <c r="G707" s="120" t="n"/>
      <c r="I707" s="55">
        <f>DADOS_INVOC!$PI$47</f>
        <v/>
      </c>
      <c r="J707" s="16" t="n"/>
      <c r="K707" s="16" t="n"/>
      <c r="L707" s="16" t="n"/>
      <c r="M707" s="17" t="n"/>
      <c r="N707" s="120" t="n"/>
      <c r="O707" s="55">
        <f>DADOS_INVOC!$PI$48</f>
        <v/>
      </c>
      <c r="P707" s="16" t="n"/>
      <c r="Q707" s="16" t="n"/>
      <c r="R707" s="16" t="n"/>
      <c r="S707" s="17" t="n"/>
      <c r="T707" s="120" t="n"/>
      <c r="U707" s="55">
        <f>DADOS_INVOC!$PI$49</f>
        <v/>
      </c>
      <c r="V707" s="16" t="n"/>
      <c r="W707" s="16" t="n"/>
      <c r="X707" s="16" t="n"/>
      <c r="Y707" s="17" t="n"/>
      <c r="Z707" s="120" t="n"/>
      <c r="AB707" s="55">
        <f>DADOS_INVOC!$PI$125</f>
        <v/>
      </c>
      <c r="AC707" s="16" t="n"/>
      <c r="AD707" s="16" t="n"/>
      <c r="AE707" s="16" t="n"/>
      <c r="AF707" s="17" t="n"/>
      <c r="AG707" s="120" t="n"/>
      <c r="AH707" s="55">
        <f>DADOS_INVOC!$PI$126</f>
        <v/>
      </c>
      <c r="AI707" s="16" t="n"/>
      <c r="AJ707" s="16" t="n"/>
      <c r="AK707" s="16" t="n"/>
      <c r="AL707" s="17" t="n"/>
      <c r="AM707" s="120" t="n"/>
      <c r="AN707" s="55">
        <f>DADOS_INVOC!$PI$127</f>
        <v/>
      </c>
      <c r="AO707" s="16" t="n"/>
      <c r="AP707" s="16" t="n"/>
      <c r="AQ707" s="16" t="n"/>
      <c r="AR707" s="17" t="n"/>
      <c r="AS707" s="120" t="n"/>
    </row>
    <row r="708" hidden="1" outlineLevel="2">
      <c r="A708" s="8" t="n"/>
      <c r="B708" s="14" t="n"/>
      <c r="C708" s="120" t="n"/>
      <c r="D708" s="120" t="n"/>
      <c r="E708" s="120" t="n"/>
      <c r="F708" s="120" t="n"/>
      <c r="G708" s="120" t="n"/>
      <c r="I708" s="127" t="n">
        <v>1</v>
      </c>
      <c r="J708" s="115" t="n"/>
      <c r="K708" s="16" t="n"/>
      <c r="L708" s="17" t="n"/>
      <c r="M708" s="128">
        <f>DADOS_INVOC!$PG$47</f>
        <v/>
      </c>
      <c r="N708" s="120" t="n"/>
      <c r="O708" s="127" t="n">
        <v>1</v>
      </c>
      <c r="P708" s="115" t="n"/>
      <c r="Q708" s="16" t="n"/>
      <c r="R708" s="17" t="n"/>
      <c r="S708" s="128">
        <f>DADOS_INVOC!$PG$48</f>
        <v/>
      </c>
      <c r="T708" s="120" t="n"/>
      <c r="U708" s="127" t="n">
        <v>1</v>
      </c>
      <c r="V708" s="115" t="n"/>
      <c r="W708" s="16" t="n"/>
      <c r="X708" s="17" t="n"/>
      <c r="Y708" s="128">
        <f>DADOS_INVOC!$PG$49</f>
        <v/>
      </c>
      <c r="Z708" s="120" t="n"/>
      <c r="AB708" s="127" t="n">
        <v>1</v>
      </c>
      <c r="AC708" s="115" t="n"/>
      <c r="AD708" s="16" t="n"/>
      <c r="AE708" s="17" t="n"/>
      <c r="AF708" s="128">
        <f>DADOS_INVOC!$PG$125</f>
        <v/>
      </c>
      <c r="AG708" s="120" t="n"/>
      <c r="AH708" s="127" t="n">
        <v>1</v>
      </c>
      <c r="AI708" s="115" t="n"/>
      <c r="AJ708" s="16" t="n"/>
      <c r="AK708" s="17" t="n"/>
      <c r="AL708" s="128">
        <f>DADOS_INVOC!$PG$126</f>
        <v/>
      </c>
      <c r="AM708" s="120" t="n"/>
      <c r="AN708" s="127" t="n">
        <v>1</v>
      </c>
      <c r="AO708" s="115" t="n"/>
      <c r="AP708" s="16" t="n"/>
      <c r="AQ708" s="17" t="n"/>
      <c r="AR708" s="128">
        <f>DADOS_INVOC!$PG$127</f>
        <v/>
      </c>
      <c r="AS708" s="120" t="n"/>
    </row>
    <row r="709" hidden="1" outlineLevel="3">
      <c r="A709" s="8" t="n"/>
      <c r="B709" s="14" t="n"/>
      <c r="C709" s="120" t="n"/>
      <c r="D709" s="120" t="n"/>
      <c r="E709" s="120" t="n"/>
      <c r="F709" s="120" t="n"/>
      <c r="G709" s="120" t="n"/>
      <c r="I709" s="55" t="inlineStr">
        <is>
          <t>COMO É</t>
        </is>
      </c>
      <c r="J709" s="16" t="n"/>
      <c r="K709" s="16" t="n"/>
      <c r="L709" s="16" t="n"/>
      <c r="M709" s="17" t="n"/>
      <c r="N709" s="120" t="n"/>
      <c r="O709" s="55" t="inlineStr">
        <is>
          <t>COMO É</t>
        </is>
      </c>
      <c r="P709" s="16" t="n"/>
      <c r="Q709" s="16" t="n"/>
      <c r="R709" s="16" t="n"/>
      <c r="S709" s="17" t="n"/>
      <c r="T709" s="120" t="n"/>
      <c r="U709" s="55" t="inlineStr">
        <is>
          <t>COMO É</t>
        </is>
      </c>
      <c r="V709" s="16" t="n"/>
      <c r="W709" s="16" t="n"/>
      <c r="X709" s="16" t="n"/>
      <c r="Y709" s="17" t="n"/>
      <c r="Z709" s="120" t="n"/>
      <c r="AB709" s="55" t="inlineStr">
        <is>
          <t>COMO É</t>
        </is>
      </c>
      <c r="AC709" s="16" t="n"/>
      <c r="AD709" s="16" t="n"/>
      <c r="AE709" s="16" t="n"/>
      <c r="AF709" s="17" t="n"/>
      <c r="AG709" s="120" t="n"/>
      <c r="AH709" s="55" t="inlineStr">
        <is>
          <t>COMO É</t>
        </is>
      </c>
      <c r="AI709" s="16" t="n"/>
      <c r="AJ709" s="16" t="n"/>
      <c r="AK709" s="16" t="n"/>
      <c r="AL709" s="17" t="n"/>
      <c r="AM709" s="120" t="n"/>
      <c r="AN709" s="55" t="inlineStr">
        <is>
          <t>COMO É</t>
        </is>
      </c>
      <c r="AO709" s="16" t="n"/>
      <c r="AP709" s="16" t="n"/>
      <c r="AQ709" s="16" t="n"/>
      <c r="AR709" s="17" t="n"/>
      <c r="AS709" s="120" t="n"/>
    </row>
    <row r="710" hidden="1" outlineLevel="3">
      <c r="A710" s="8" t="n"/>
      <c r="B710" s="14" t="n"/>
      <c r="C710" s="120" t="n"/>
      <c r="D710" s="120" t="n"/>
      <c r="E710" s="120" t="n"/>
      <c r="F710" s="120" t="n"/>
      <c r="G710" s="120" t="n"/>
      <c r="I710" s="116" t="n"/>
      <c r="J710" s="19" t="n"/>
      <c r="K710" s="19" t="n"/>
      <c r="L710" s="19" t="n"/>
      <c r="M710" s="20" t="n"/>
      <c r="N710" s="120" t="n"/>
      <c r="O710" s="116" t="n"/>
      <c r="P710" s="19" t="n"/>
      <c r="Q710" s="19" t="n"/>
      <c r="R710" s="19" t="n"/>
      <c r="S710" s="20" t="n"/>
      <c r="T710" s="120" t="n"/>
      <c r="U710" s="116" t="n"/>
      <c r="V710" s="19" t="n"/>
      <c r="W710" s="19" t="n"/>
      <c r="X710" s="19" t="n"/>
      <c r="Y710" s="20" t="n"/>
      <c r="Z710" s="120" t="n"/>
      <c r="AB710" s="116" t="n"/>
      <c r="AC710" s="19" t="n"/>
      <c r="AD710" s="19" t="n"/>
      <c r="AE710" s="19" t="n"/>
      <c r="AF710" s="20" t="n"/>
      <c r="AG710" s="120" t="n"/>
      <c r="AH710" s="116" t="n"/>
      <c r="AI710" s="19" t="n"/>
      <c r="AJ710" s="19" t="n"/>
      <c r="AK710" s="19" t="n"/>
      <c r="AL710" s="20" t="n"/>
      <c r="AM710" s="120" t="n"/>
      <c r="AN710" s="116" t="n"/>
      <c r="AO710" s="19" t="n"/>
      <c r="AP710" s="19" t="n"/>
      <c r="AQ710" s="19" t="n"/>
      <c r="AR710" s="20" t="n"/>
      <c r="AS710" s="120" t="n"/>
    </row>
    <row r="711" hidden="1" outlineLevel="3">
      <c r="A711" s="8" t="n"/>
      <c r="B711" s="14" t="n"/>
      <c r="C711" s="120" t="n"/>
      <c r="D711" s="120" t="n"/>
      <c r="E711" s="120" t="n"/>
      <c r="F711" s="120" t="n"/>
      <c r="G711" s="120" t="n"/>
      <c r="I711" s="21" t="n"/>
      <c r="M711" s="22" t="n"/>
      <c r="N711" s="120" t="n"/>
      <c r="O711" s="21" t="n"/>
      <c r="S711" s="22" t="n"/>
      <c r="T711" s="120" t="n"/>
      <c r="U711" s="21" t="n"/>
      <c r="Y711" s="22" t="n"/>
      <c r="Z711" s="120" t="n"/>
      <c r="AB711" s="21" t="n"/>
      <c r="AF711" s="22" t="n"/>
      <c r="AG711" s="120" t="n"/>
      <c r="AH711" s="21" t="n"/>
      <c r="AL711" s="22" t="n"/>
      <c r="AM711" s="120" t="n"/>
      <c r="AN711" s="21" t="n"/>
      <c r="AR711" s="22" t="n"/>
      <c r="AS711" s="120" t="n"/>
    </row>
    <row r="712" hidden="1" outlineLevel="3">
      <c r="A712" s="8" t="n"/>
      <c r="B712" s="14" t="n"/>
      <c r="C712" s="120" t="n"/>
      <c r="D712" s="120" t="n"/>
      <c r="E712" s="120" t="n"/>
      <c r="F712" s="120" t="n"/>
      <c r="G712" s="120" t="n"/>
      <c r="I712" s="23" t="n"/>
      <c r="J712" s="24" t="n"/>
      <c r="K712" s="24" t="n"/>
      <c r="L712" s="24" t="n"/>
      <c r="M712" s="25" t="n"/>
      <c r="N712" s="120" t="n"/>
      <c r="O712" s="23" t="n"/>
      <c r="P712" s="24" t="n"/>
      <c r="Q712" s="24" t="n"/>
      <c r="R712" s="24" t="n"/>
      <c r="S712" s="25" t="n"/>
      <c r="T712" s="120" t="n"/>
      <c r="U712" s="23" t="n"/>
      <c r="V712" s="24" t="n"/>
      <c r="W712" s="24" t="n"/>
      <c r="X712" s="24" t="n"/>
      <c r="Y712" s="25" t="n"/>
      <c r="Z712" s="120" t="n"/>
      <c r="AB712" s="23" t="n"/>
      <c r="AC712" s="24" t="n"/>
      <c r="AD712" s="24" t="n"/>
      <c r="AE712" s="24" t="n"/>
      <c r="AF712" s="25" t="n"/>
      <c r="AG712" s="120" t="n"/>
      <c r="AH712" s="23" t="n"/>
      <c r="AI712" s="24" t="n"/>
      <c r="AJ712" s="24" t="n"/>
      <c r="AK712" s="24" t="n"/>
      <c r="AL712" s="25" t="n"/>
      <c r="AM712" s="120" t="n"/>
      <c r="AN712" s="23" t="n"/>
      <c r="AO712" s="24" t="n"/>
      <c r="AP712" s="24" t="n"/>
      <c r="AQ712" s="24" t="n"/>
      <c r="AR712" s="25" t="n"/>
      <c r="AS712" s="120" t="n"/>
    </row>
    <row r="713" hidden="1" outlineLevel="2">
      <c r="A713" s="8" t="n"/>
      <c r="B713" s="14" t="n"/>
      <c r="C713" s="120" t="n"/>
      <c r="D713" s="120" t="n"/>
      <c r="E713" s="120" t="n"/>
      <c r="F713" s="120" t="n"/>
      <c r="G713" s="120" t="n"/>
      <c r="I713" s="124" t="inlineStr">
        <is>
          <t>Projétil</t>
        </is>
      </c>
      <c r="J713" s="17" t="n"/>
      <c r="K713" s="68">
        <f>DADOS_INVOC!$PN$47</f>
        <v/>
      </c>
      <c r="L713" s="17" t="n"/>
      <c r="M713" s="68">
        <f>DADOS_INVOC!$PJ$47</f>
        <v/>
      </c>
      <c r="N713" s="120" t="n"/>
      <c r="O713" s="124" t="inlineStr">
        <is>
          <t>Projétil</t>
        </is>
      </c>
      <c r="P713" s="17" t="n"/>
      <c r="Q713" s="68">
        <f>DADOS_INVOC!$PN$48</f>
        <v/>
      </c>
      <c r="R713" s="17" t="n"/>
      <c r="S713" s="68">
        <f>DADOS_INVOC!$PJ$48</f>
        <v/>
      </c>
      <c r="T713" s="120" t="n"/>
      <c r="U713" s="124" t="inlineStr">
        <is>
          <t>Projétil</t>
        </is>
      </c>
      <c r="V713" s="17" t="n"/>
      <c r="W713" s="68">
        <f>DADOS_INVOC!$PN$49</f>
        <v/>
      </c>
      <c r="X713" s="17" t="n"/>
      <c r="Y713" s="68">
        <f>DADOS_INVOC!$PJ$49</f>
        <v/>
      </c>
      <c r="Z713" s="120" t="n"/>
      <c r="AB713" s="124" t="inlineStr">
        <is>
          <t>Projétil</t>
        </is>
      </c>
      <c r="AC713" s="17" t="n"/>
      <c r="AD713" s="68">
        <f>DADOS_INVOC!$PN$125</f>
        <v/>
      </c>
      <c r="AE713" s="17" t="n"/>
      <c r="AF713" s="68">
        <f>DADOS_INVOC!$PJ$125</f>
        <v/>
      </c>
      <c r="AG713" s="120" t="n"/>
      <c r="AH713" s="124" t="inlineStr">
        <is>
          <t>Projétil</t>
        </is>
      </c>
      <c r="AI713" s="17" t="n"/>
      <c r="AJ713" s="68">
        <f>DADOS_INVOC!$PN$126</f>
        <v/>
      </c>
      <c r="AK713" s="17" t="n"/>
      <c r="AL713" s="68">
        <f>DADOS_INVOC!$PJ$126</f>
        <v/>
      </c>
      <c r="AM713" s="120" t="n"/>
      <c r="AN713" s="124" t="inlineStr">
        <is>
          <t>Projétil</t>
        </is>
      </c>
      <c r="AO713" s="17" t="n"/>
      <c r="AP713" s="68">
        <f>DADOS_INVOC!$PN$127</f>
        <v/>
      </c>
      <c r="AQ713" s="17" t="n"/>
      <c r="AR713" s="68">
        <f>DADOS_INVOC!$PJ$127</f>
        <v/>
      </c>
      <c r="AS713" s="120" t="n"/>
    </row>
    <row r="714" hidden="1" outlineLevel="2">
      <c r="A714" s="8" t="n"/>
      <c r="B714" s="14" t="n"/>
      <c r="C714" s="120" t="n"/>
      <c r="D714" s="120" t="n"/>
      <c r="E714" s="120" t="n"/>
      <c r="F714" s="120" t="n"/>
      <c r="G714" s="120" t="n"/>
      <c r="I714" s="124" t="n"/>
      <c r="J714" s="17" t="n"/>
      <c r="K714" s="124" t="n"/>
      <c r="L714" s="16" t="n"/>
      <c r="M714" s="17" t="n"/>
      <c r="N714" s="120" t="n"/>
      <c r="O714" s="124" t="n"/>
      <c r="P714" s="17" t="n"/>
      <c r="Q714" s="124" t="n"/>
      <c r="R714" s="16" t="n"/>
      <c r="S714" s="17" t="n"/>
      <c r="T714" s="120" t="n"/>
      <c r="U714" s="124" t="n"/>
      <c r="V714" s="17" t="n"/>
      <c r="W714" s="124" t="n"/>
      <c r="X714" s="16" t="n"/>
      <c r="Y714" s="17" t="n"/>
      <c r="Z714" s="120" t="n"/>
      <c r="AB714" s="124" t="n"/>
      <c r="AC714" s="17" t="n"/>
      <c r="AD714" s="124" t="n"/>
      <c r="AE714" s="16" t="n"/>
      <c r="AF714" s="17" t="n"/>
      <c r="AG714" s="120" t="n"/>
      <c r="AH714" s="124" t="n"/>
      <c r="AI714" s="17" t="n"/>
      <c r="AJ714" s="124" t="n"/>
      <c r="AK714" s="16" t="n"/>
      <c r="AL714" s="17" t="n"/>
      <c r="AM714" s="120" t="n"/>
      <c r="AN714" s="124" t="n"/>
      <c r="AO714" s="17" t="n"/>
      <c r="AP714" s="124" t="n"/>
      <c r="AQ714" s="16" t="n"/>
      <c r="AR714" s="17" t="n"/>
      <c r="AS714" s="120" t="n"/>
    </row>
    <row r="715" hidden="1" outlineLevel="2">
      <c r="A715" s="8" t="n"/>
      <c r="B715" s="14" t="n"/>
      <c r="C715" s="120" t="n"/>
      <c r="D715" s="120" t="n"/>
      <c r="E715" s="120" t="n"/>
      <c r="F715" s="120" t="n"/>
      <c r="G715" s="120" t="n"/>
      <c r="I715" s="124">
        <f>DADOS_INVOC!$PK$47</f>
        <v/>
      </c>
      <c r="J715" s="17" t="n"/>
      <c r="K715" s="124">
        <f>DADOS_INVOC!$PM$47</f>
        <v/>
      </c>
      <c r="L715" s="16" t="n"/>
      <c r="M715" s="17" t="n"/>
      <c r="N715" s="120" t="n"/>
      <c r="O715" s="124">
        <f>DADOS_INVOC!$PK$48</f>
        <v/>
      </c>
      <c r="P715" s="17" t="n"/>
      <c r="Q715" s="124">
        <f>DADOS_INVOC!$PM$48</f>
        <v/>
      </c>
      <c r="R715" s="16" t="n"/>
      <c r="S715" s="17" t="n"/>
      <c r="T715" s="120" t="n"/>
      <c r="U715" s="124">
        <f>DADOS_INVOC!$PK$49</f>
        <v/>
      </c>
      <c r="V715" s="17" t="n"/>
      <c r="W715" s="124">
        <f>DADOS_INVOC!$PM$49</f>
        <v/>
      </c>
      <c r="X715" s="16" t="n"/>
      <c r="Y715" s="17" t="n"/>
      <c r="Z715" s="120" t="n"/>
      <c r="AB715" s="124">
        <f>DADOS_INVOC!$PK$125</f>
        <v/>
      </c>
      <c r="AC715" s="17" t="n"/>
      <c r="AD715" s="124">
        <f>DADOS_INVOC!$PM$125</f>
        <v/>
      </c>
      <c r="AE715" s="16" t="n"/>
      <c r="AF715" s="17" t="n"/>
      <c r="AG715" s="120" t="n"/>
      <c r="AH715" s="124">
        <f>DADOS_INVOC!$PK$126</f>
        <v/>
      </c>
      <c r="AI715" s="17" t="n"/>
      <c r="AJ715" s="124">
        <f>DADOS_INVOC!$PM$126</f>
        <v/>
      </c>
      <c r="AK715" s="16" t="n"/>
      <c r="AL715" s="17" t="n"/>
      <c r="AM715" s="120" t="n"/>
      <c r="AN715" s="124">
        <f>DADOS_INVOC!$PK$127</f>
        <v/>
      </c>
      <c r="AO715" s="17" t="n"/>
      <c r="AP715" s="124">
        <f>DADOS_INVOC!$PM$127</f>
        <v/>
      </c>
      <c r="AQ715" s="16" t="n"/>
      <c r="AR715" s="17" t="n"/>
      <c r="AS715" s="120" t="n"/>
    </row>
    <row r="716" hidden="1" outlineLevel="2">
      <c r="A716" s="8" t="n"/>
      <c r="B716" s="14" t="n"/>
      <c r="C716" s="120" t="n"/>
      <c r="D716" s="120" t="n"/>
      <c r="E716" s="120" t="n"/>
      <c r="F716" s="120" t="n"/>
      <c r="G716" s="120" t="n"/>
      <c r="I716" s="129">
        <f>DADOS_INVOC!$PS$47</f>
        <v/>
      </c>
      <c r="J716" s="16" t="n"/>
      <c r="K716" s="16" t="n"/>
      <c r="L716" s="16" t="n"/>
      <c r="M716" s="17" t="n"/>
      <c r="N716" s="120" t="n"/>
      <c r="O716" s="129">
        <f>DADOS_INVOC!$PS$48</f>
        <v/>
      </c>
      <c r="P716" s="16" t="n"/>
      <c r="Q716" s="16" t="n"/>
      <c r="R716" s="16" t="n"/>
      <c r="S716" s="17" t="n"/>
      <c r="T716" s="120" t="n"/>
      <c r="U716" s="129">
        <f>DADOS_INVOC!$PS$49</f>
        <v/>
      </c>
      <c r="V716" s="16" t="n"/>
      <c r="W716" s="16" t="n"/>
      <c r="X716" s="16" t="n"/>
      <c r="Y716" s="17" t="n"/>
      <c r="Z716" s="120" t="n"/>
      <c r="AB716" s="129">
        <f>DADOS_INVOC!$PS$125</f>
        <v/>
      </c>
      <c r="AC716" s="16" t="n"/>
      <c r="AD716" s="16" t="n"/>
      <c r="AE716" s="16" t="n"/>
      <c r="AF716" s="17" t="n"/>
      <c r="AG716" s="120" t="n"/>
      <c r="AH716" s="129">
        <f>DADOS_INVOC!$PS$126</f>
        <v/>
      </c>
      <c r="AI716" s="16" t="n"/>
      <c r="AJ716" s="16" t="n"/>
      <c r="AK716" s="16" t="n"/>
      <c r="AL716" s="17" t="n"/>
      <c r="AM716" s="120" t="n"/>
      <c r="AN716" s="129">
        <f>DADOS_INVOC!$PS$127</f>
        <v/>
      </c>
      <c r="AO716" s="16" t="n"/>
      <c r="AP716" s="16" t="n"/>
      <c r="AQ716" s="16" t="n"/>
      <c r="AR716" s="17" t="n"/>
      <c r="AS716" s="120" t="n"/>
    </row>
    <row r="717" hidden="1" outlineLevel="3">
      <c r="A717" s="8" t="n"/>
      <c r="B717" s="14" t="n"/>
      <c r="C717" s="120" t="n"/>
      <c r="D717" s="120" t="n"/>
      <c r="E717" s="120" t="n"/>
      <c r="F717" s="120" t="n"/>
      <c r="G717" s="120" t="n"/>
      <c r="I717" s="55" t="inlineStr">
        <is>
          <t>MELHORIAS</t>
        </is>
      </c>
      <c r="J717" s="130" t="n"/>
      <c r="K717" s="16" t="n"/>
      <c r="L717" s="17" t="n"/>
      <c r="M717" s="129">
        <f>DADOS_INVOC!$PV$47</f>
        <v/>
      </c>
      <c r="N717" s="120" t="n"/>
      <c r="O717" s="55" t="inlineStr">
        <is>
          <t>MELHORIAS</t>
        </is>
      </c>
      <c r="P717" s="130" t="n"/>
      <c r="Q717" s="16" t="n"/>
      <c r="R717" s="17" t="n"/>
      <c r="S717" s="129">
        <f>DADOS_INVOC!$PV$48</f>
        <v/>
      </c>
      <c r="T717" s="120" t="n"/>
      <c r="U717" s="55" t="inlineStr">
        <is>
          <t>MELHORIAS</t>
        </is>
      </c>
      <c r="V717" s="130" t="n"/>
      <c r="W717" s="16" t="n"/>
      <c r="X717" s="17" t="n"/>
      <c r="Y717" s="129">
        <f>DADOS_INVOC!$PV$49</f>
        <v/>
      </c>
      <c r="Z717" s="120" t="n"/>
      <c r="AB717" s="55" t="inlineStr">
        <is>
          <t>MELHORIAS</t>
        </is>
      </c>
      <c r="AC717" s="130" t="n"/>
      <c r="AD717" s="16" t="n"/>
      <c r="AE717" s="17" t="n"/>
      <c r="AF717" s="129">
        <f>DADOS_INVOC!$PV$125</f>
        <v/>
      </c>
      <c r="AG717" s="120" t="n"/>
      <c r="AH717" s="55" t="inlineStr">
        <is>
          <t>MELHORIAS</t>
        </is>
      </c>
      <c r="AI717" s="130" t="n"/>
      <c r="AJ717" s="16" t="n"/>
      <c r="AK717" s="17" t="n"/>
      <c r="AL717" s="129">
        <f>DADOS_INVOC!$PV$126</f>
        <v/>
      </c>
      <c r="AM717" s="120" t="n"/>
      <c r="AN717" s="55" t="inlineStr">
        <is>
          <t>MELHORIAS</t>
        </is>
      </c>
      <c r="AO717" s="130" t="n"/>
      <c r="AP717" s="16" t="n"/>
      <c r="AQ717" s="17" t="n"/>
      <c r="AR717" s="129">
        <f>DADOS_INVOC!$PV$127</f>
        <v/>
      </c>
      <c r="AS717" s="120" t="n"/>
    </row>
    <row r="718" hidden="1" outlineLevel="3">
      <c r="A718" s="8" t="n"/>
      <c r="B718" s="14" t="n"/>
      <c r="C718" s="120" t="n"/>
      <c r="D718" s="120" t="n"/>
      <c r="E718" s="120" t="n"/>
      <c r="F718" s="120" t="n"/>
      <c r="G718" s="120" t="n"/>
      <c r="I718" s="131" t="n"/>
      <c r="J718" s="130" t="n"/>
      <c r="K718" s="16" t="n"/>
      <c r="L718" s="17" t="n"/>
      <c r="M718" s="129">
        <f>DADOS_INVOC!$PW$47</f>
        <v/>
      </c>
      <c r="N718" s="120" t="n"/>
      <c r="O718" s="131" t="n"/>
      <c r="P718" s="130" t="n"/>
      <c r="Q718" s="16" t="n"/>
      <c r="R718" s="17" t="n"/>
      <c r="S718" s="129">
        <f>DADOS_INVOC!$PW$48</f>
        <v/>
      </c>
      <c r="T718" s="120" t="n"/>
      <c r="U718" s="131" t="n"/>
      <c r="V718" s="130" t="n"/>
      <c r="W718" s="16" t="n"/>
      <c r="X718" s="17" t="n"/>
      <c r="Y718" s="129">
        <f>DADOS_INVOC!$PW$49</f>
        <v/>
      </c>
      <c r="Z718" s="120" t="n"/>
      <c r="AB718" s="131" t="n"/>
      <c r="AC718" s="130" t="n"/>
      <c r="AD718" s="16" t="n"/>
      <c r="AE718" s="17" t="n"/>
      <c r="AF718" s="129">
        <f>DADOS_INVOC!$PW$125</f>
        <v/>
      </c>
      <c r="AG718" s="120" t="n"/>
      <c r="AH718" s="131" t="n"/>
      <c r="AI718" s="130" t="n"/>
      <c r="AJ718" s="16" t="n"/>
      <c r="AK718" s="17" t="n"/>
      <c r="AL718" s="129">
        <f>DADOS_INVOC!$PW$126</f>
        <v/>
      </c>
      <c r="AM718" s="120" t="n"/>
      <c r="AN718" s="131" t="n"/>
      <c r="AO718" s="130" t="n"/>
      <c r="AP718" s="16" t="n"/>
      <c r="AQ718" s="17" t="n"/>
      <c r="AR718" s="129">
        <f>DADOS_INVOC!$PW$127</f>
        <v/>
      </c>
      <c r="AS718" s="120" t="n"/>
    </row>
    <row r="719" hidden="1" outlineLevel="3">
      <c r="A719" s="8" t="n"/>
      <c r="B719" s="14" t="n"/>
      <c r="C719" s="120" t="n"/>
      <c r="D719" s="120" t="n"/>
      <c r="E719" s="120" t="n"/>
      <c r="F719" s="120" t="n"/>
      <c r="G719" s="120" t="n"/>
      <c r="I719" s="131" t="n"/>
      <c r="J719" s="130" t="n"/>
      <c r="K719" s="16" t="n"/>
      <c r="L719" s="17" t="n"/>
      <c r="M719" s="129">
        <f>DADOS_INVOC!$PX$47</f>
        <v/>
      </c>
      <c r="N719" s="120" t="n"/>
      <c r="O719" s="131" t="n"/>
      <c r="P719" s="130" t="n"/>
      <c r="Q719" s="16" t="n"/>
      <c r="R719" s="17" t="n"/>
      <c r="S719" s="129">
        <f>DADOS_INVOC!$PX$48</f>
        <v/>
      </c>
      <c r="T719" s="120" t="n"/>
      <c r="U719" s="131" t="n"/>
      <c r="V719" s="130" t="n"/>
      <c r="W719" s="16" t="n"/>
      <c r="X719" s="17" t="n"/>
      <c r="Y719" s="129">
        <f>DADOS_INVOC!$PX$49</f>
        <v/>
      </c>
      <c r="Z719" s="120" t="n"/>
      <c r="AB719" s="131" t="n"/>
      <c r="AC719" s="130" t="n"/>
      <c r="AD719" s="16" t="n"/>
      <c r="AE719" s="17" t="n"/>
      <c r="AF719" s="129">
        <f>DADOS_INVOC!$PX$125</f>
        <v/>
      </c>
      <c r="AG719" s="120" t="n"/>
      <c r="AH719" s="131" t="n"/>
      <c r="AI719" s="130" t="n"/>
      <c r="AJ719" s="16" t="n"/>
      <c r="AK719" s="17" t="n"/>
      <c r="AL719" s="129">
        <f>DADOS_INVOC!$PX$126</f>
        <v/>
      </c>
      <c r="AM719" s="120" t="n"/>
      <c r="AN719" s="131" t="n"/>
      <c r="AO719" s="130" t="n"/>
      <c r="AP719" s="16" t="n"/>
      <c r="AQ719" s="17" t="n"/>
      <c r="AR719" s="129">
        <f>DADOS_INVOC!$PX$127</f>
        <v/>
      </c>
      <c r="AS719" s="120" t="n"/>
    </row>
    <row r="720" hidden="1" outlineLevel="3">
      <c r="A720" s="8" t="n"/>
      <c r="B720" s="14" t="n"/>
      <c r="C720" s="120" t="n"/>
      <c r="D720" s="120" t="n"/>
      <c r="E720" s="120" t="n"/>
      <c r="F720" s="120" t="n"/>
      <c r="G720" s="120" t="n"/>
      <c r="I720" s="125" t="n"/>
      <c r="J720" s="130" t="n"/>
      <c r="K720" s="16" t="n"/>
      <c r="L720" s="17" t="n"/>
      <c r="M720" s="129">
        <f>DADOS_INVOC!$PY$47</f>
        <v/>
      </c>
      <c r="N720" s="120" t="n"/>
      <c r="O720" s="125" t="n"/>
      <c r="P720" s="130" t="n"/>
      <c r="Q720" s="16" t="n"/>
      <c r="R720" s="17" t="n"/>
      <c r="S720" s="129">
        <f>DADOS_INVOC!$PY$48</f>
        <v/>
      </c>
      <c r="T720" s="120" t="n"/>
      <c r="U720" s="125" t="n"/>
      <c r="V720" s="130" t="n"/>
      <c r="W720" s="16" t="n"/>
      <c r="X720" s="17" t="n"/>
      <c r="Y720" s="129">
        <f>DADOS_INVOC!$PY$49</f>
        <v/>
      </c>
      <c r="Z720" s="120" t="n"/>
      <c r="AB720" s="125" t="n"/>
      <c r="AC720" s="130" t="n"/>
      <c r="AD720" s="16" t="n"/>
      <c r="AE720" s="17" t="n"/>
      <c r="AF720" s="129">
        <f>DADOS_INVOC!$PY$125</f>
        <v/>
      </c>
      <c r="AG720" s="120" t="n"/>
      <c r="AH720" s="125" t="n"/>
      <c r="AI720" s="130" t="n"/>
      <c r="AJ720" s="16" t="n"/>
      <c r="AK720" s="17" t="n"/>
      <c r="AL720" s="129">
        <f>DADOS_INVOC!$PY$126</f>
        <v/>
      </c>
      <c r="AM720" s="120" t="n"/>
      <c r="AN720" s="125" t="n"/>
      <c r="AO720" s="130" t="n"/>
      <c r="AP720" s="16" t="n"/>
      <c r="AQ720" s="17" t="n"/>
      <c r="AR720" s="129">
        <f>DADOS_INVOC!$PY$127</f>
        <v/>
      </c>
      <c r="AS720" s="120" t="n"/>
    </row>
    <row r="721" hidden="1" outlineLevel="3">
      <c r="A721" s="8" t="n"/>
      <c r="B721" s="14" t="n"/>
      <c r="C721" s="120" t="n"/>
      <c r="D721" s="120" t="n"/>
      <c r="E721" s="120" t="n"/>
      <c r="F721" s="120" t="n"/>
      <c r="G721" s="120" t="n"/>
      <c r="I721" s="55" t="inlineStr">
        <is>
          <t>RESTRIÇÕES</t>
        </is>
      </c>
      <c r="J721" s="130" t="n"/>
      <c r="K721" s="16" t="n"/>
      <c r="L721" s="17" t="n"/>
      <c r="M721" s="129">
        <f>DADOS_INVOC!$PZ$47</f>
        <v/>
      </c>
      <c r="N721" s="120" t="n"/>
      <c r="O721" s="55" t="inlineStr">
        <is>
          <t>RESTRIÇÕES</t>
        </is>
      </c>
      <c r="P721" s="130" t="n"/>
      <c r="Q721" s="16" t="n"/>
      <c r="R721" s="17" t="n"/>
      <c r="S721" s="129">
        <f>DADOS_INVOC!$PZ$48</f>
        <v/>
      </c>
      <c r="T721" s="120" t="n"/>
      <c r="U721" s="55" t="inlineStr">
        <is>
          <t>RESTRIÇÕES</t>
        </is>
      </c>
      <c r="V721" s="130" t="n"/>
      <c r="W721" s="16" t="n"/>
      <c r="X721" s="17" t="n"/>
      <c r="Y721" s="129">
        <f>DADOS_INVOC!$PZ$49</f>
        <v/>
      </c>
      <c r="Z721" s="120" t="n"/>
      <c r="AB721" s="55" t="inlineStr">
        <is>
          <t>RESTRIÇÕES</t>
        </is>
      </c>
      <c r="AC721" s="130" t="n"/>
      <c r="AD721" s="16" t="n"/>
      <c r="AE721" s="17" t="n"/>
      <c r="AF721" s="129">
        <f>DADOS_INVOC!$PZ$125</f>
        <v/>
      </c>
      <c r="AG721" s="120" t="n"/>
      <c r="AH721" s="55" t="inlineStr">
        <is>
          <t>RESTRIÇÕES</t>
        </is>
      </c>
      <c r="AI721" s="130" t="n"/>
      <c r="AJ721" s="16" t="n"/>
      <c r="AK721" s="17" t="n"/>
      <c r="AL721" s="129">
        <f>DADOS_INVOC!$PZ$126</f>
        <v/>
      </c>
      <c r="AM721" s="120" t="n"/>
      <c r="AN721" s="55" t="inlineStr">
        <is>
          <t>RESTRIÇÕES</t>
        </is>
      </c>
      <c r="AO721" s="130" t="n"/>
      <c r="AP721" s="16" t="n"/>
      <c r="AQ721" s="17" t="n"/>
      <c r="AR721" s="129">
        <f>DADOS_INVOC!$PZ$127</f>
        <v/>
      </c>
      <c r="AS721" s="120" t="n"/>
    </row>
    <row r="722" hidden="1" outlineLevel="3">
      <c r="A722" s="8" t="n"/>
      <c r="B722" s="14" t="n"/>
      <c r="C722" s="120" t="n"/>
      <c r="D722" s="120" t="n"/>
      <c r="E722" s="120" t="n"/>
      <c r="F722" s="120" t="n"/>
      <c r="G722" s="120" t="n"/>
      <c r="I722" s="125" t="n"/>
      <c r="J722" s="130" t="n"/>
      <c r="K722" s="16" t="n"/>
      <c r="L722" s="17" t="n"/>
      <c r="M722" s="129">
        <f>DADOS_INVOC!$QA$47</f>
        <v/>
      </c>
      <c r="N722" s="120" t="n"/>
      <c r="O722" s="125" t="n"/>
      <c r="P722" s="130" t="n"/>
      <c r="Q722" s="16" t="n"/>
      <c r="R722" s="17" t="n"/>
      <c r="S722" s="129">
        <f>DADOS_INVOC!$QA$48</f>
        <v/>
      </c>
      <c r="T722" s="120" t="n"/>
      <c r="U722" s="125" t="n"/>
      <c r="V722" s="130" t="n"/>
      <c r="W722" s="16" t="n"/>
      <c r="X722" s="17" t="n"/>
      <c r="Y722" s="129">
        <f>DADOS_INVOC!$QA$49</f>
        <v/>
      </c>
      <c r="Z722" s="120" t="n"/>
      <c r="AB722" s="125" t="n"/>
      <c r="AC722" s="130" t="n"/>
      <c r="AD722" s="16" t="n"/>
      <c r="AE722" s="17" t="n"/>
      <c r="AF722" s="129">
        <f>DADOS_INVOC!$QA$125</f>
        <v/>
      </c>
      <c r="AG722" s="120" t="n"/>
      <c r="AH722" s="125" t="n"/>
      <c r="AI722" s="130" t="n"/>
      <c r="AJ722" s="16" t="n"/>
      <c r="AK722" s="17" t="n"/>
      <c r="AL722" s="129">
        <f>DADOS_INVOC!$QA$126</f>
        <v/>
      </c>
      <c r="AM722" s="120" t="n"/>
      <c r="AN722" s="125" t="n"/>
      <c r="AO722" s="130" t="n"/>
      <c r="AP722" s="16" t="n"/>
      <c r="AQ722" s="17" t="n"/>
      <c r="AR722" s="129">
        <f>DADOS_INVOC!$QA$127</f>
        <v/>
      </c>
      <c r="AS722" s="120" t="n"/>
    </row>
    <row r="723" hidden="1" outlineLevel="3">
      <c r="A723" s="8" t="n"/>
      <c r="B723" s="14" t="n"/>
      <c r="C723" s="120" t="n"/>
      <c r="D723" s="120" t="n"/>
      <c r="E723" s="120" t="n"/>
      <c r="F723" s="120" t="n"/>
      <c r="G723" s="120" t="n"/>
      <c r="I723" s="55" t="inlineStr">
        <is>
          <t>CONTA</t>
        </is>
      </c>
      <c r="J723" s="132">
        <f>DADOS_INVOC!$PT$47</f>
        <v/>
      </c>
      <c r="K723" s="16" t="n"/>
      <c r="L723" s="16" t="n"/>
      <c r="M723" s="17" t="n"/>
      <c r="N723" s="120" t="n"/>
      <c r="O723" s="55" t="inlineStr">
        <is>
          <t>CONTA</t>
        </is>
      </c>
      <c r="P723" s="132">
        <f>DADOS_INVOC!$PT$48</f>
        <v/>
      </c>
      <c r="Q723" s="16" t="n"/>
      <c r="R723" s="16" t="n"/>
      <c r="S723" s="17" t="n"/>
      <c r="T723" s="120" t="n"/>
      <c r="U723" s="55" t="inlineStr">
        <is>
          <t>CONTA</t>
        </is>
      </c>
      <c r="V723" s="132">
        <f>DADOS_INVOC!$PT$49</f>
        <v/>
      </c>
      <c r="W723" s="16" t="n"/>
      <c r="X723" s="16" t="n"/>
      <c r="Y723" s="17" t="n"/>
      <c r="Z723" s="120" t="n"/>
      <c r="AB723" s="55" t="inlineStr">
        <is>
          <t>CONTA</t>
        </is>
      </c>
      <c r="AC723" s="132">
        <f>DADOS_INVOC!$PT$125</f>
        <v/>
      </c>
      <c r="AD723" s="16" t="n"/>
      <c r="AE723" s="16" t="n"/>
      <c r="AF723" s="17" t="n"/>
      <c r="AG723" s="120" t="n"/>
      <c r="AH723" s="55" t="inlineStr">
        <is>
          <t>CONTA</t>
        </is>
      </c>
      <c r="AI723" s="132">
        <f>DADOS_INVOC!$PT$126</f>
        <v/>
      </c>
      <c r="AJ723" s="16" t="n"/>
      <c r="AK723" s="16" t="n"/>
      <c r="AL723" s="17" t="n"/>
      <c r="AM723" s="120" t="n"/>
      <c r="AN723" s="55" t="inlineStr">
        <is>
          <t>CONTA</t>
        </is>
      </c>
      <c r="AO723" s="132">
        <f>DADOS_INVOC!$PT$127</f>
        <v/>
      </c>
      <c r="AP723" s="16" t="n"/>
      <c r="AQ723" s="16" t="n"/>
      <c r="AR723" s="17" t="n"/>
      <c r="AS723" s="120" t="n"/>
    </row>
    <row r="724" hidden="1" outlineLevel="3">
      <c r="A724" s="8" t="n"/>
      <c r="B724" s="14" t="n"/>
      <c r="C724" s="120" t="n"/>
      <c r="D724" s="120" t="n"/>
      <c r="E724" s="120" t="n"/>
      <c r="F724" s="120" t="n"/>
      <c r="G724" s="120" t="n"/>
      <c r="I724" s="55" t="inlineStr">
        <is>
          <t>AMPLIAR</t>
        </is>
      </c>
      <c r="J724" s="132">
        <f>DADOS_INVOC!$PU$47</f>
        <v/>
      </c>
      <c r="K724" s="19" t="n"/>
      <c r="L724" s="19" t="n"/>
      <c r="M724" s="20" t="n"/>
      <c r="N724" s="120" t="n"/>
      <c r="O724" s="55" t="inlineStr">
        <is>
          <t>AMPLIAR</t>
        </is>
      </c>
      <c r="P724" s="132">
        <f>DADOS_INVOC!$PU$48</f>
        <v/>
      </c>
      <c r="Q724" s="19" t="n"/>
      <c r="R724" s="19" t="n"/>
      <c r="S724" s="20" t="n"/>
      <c r="T724" s="120" t="n"/>
      <c r="U724" s="55" t="inlineStr">
        <is>
          <t>AMPLIAR</t>
        </is>
      </c>
      <c r="V724" s="132">
        <f>DADOS_INVOC!$PU$49</f>
        <v/>
      </c>
      <c r="W724" s="19" t="n"/>
      <c r="X724" s="19" t="n"/>
      <c r="Y724" s="20" t="n"/>
      <c r="Z724" s="120" t="n"/>
      <c r="AB724" s="55" t="inlineStr">
        <is>
          <t>AMPLIAR</t>
        </is>
      </c>
      <c r="AC724" s="132">
        <f>DADOS_INVOC!$PU$125</f>
        <v/>
      </c>
      <c r="AD724" s="19" t="n"/>
      <c r="AE724" s="19" t="n"/>
      <c r="AF724" s="20" t="n"/>
      <c r="AG724" s="120" t="n"/>
      <c r="AH724" s="55" t="inlineStr">
        <is>
          <t>AMPLIAR</t>
        </is>
      </c>
      <c r="AI724" s="132">
        <f>DADOS_INVOC!$PU$126</f>
        <v/>
      </c>
      <c r="AJ724" s="19" t="n"/>
      <c r="AK724" s="19" t="n"/>
      <c r="AL724" s="20" t="n"/>
      <c r="AM724" s="120" t="n"/>
      <c r="AN724" s="55" t="inlineStr">
        <is>
          <t>AMPLIAR</t>
        </is>
      </c>
      <c r="AO724" s="132">
        <f>DADOS_INVOC!$PU$127</f>
        <v/>
      </c>
      <c r="AP724" s="19" t="n"/>
      <c r="AQ724" s="19" t="n"/>
      <c r="AR724" s="20" t="n"/>
      <c r="AS724" s="120" t="n"/>
    </row>
    <row r="725" hidden="1" outlineLevel="3">
      <c r="A725" s="8" t="n"/>
      <c r="B725" s="14" t="n"/>
      <c r="C725" s="120" t="n"/>
      <c r="D725" s="120" t="n"/>
      <c r="E725" s="120" t="n"/>
      <c r="F725" s="120" t="n"/>
      <c r="G725" s="120" t="n"/>
      <c r="I725" s="125" t="n"/>
      <c r="J725" s="23" t="n"/>
      <c r="K725" s="24" t="n"/>
      <c r="L725" s="24" t="n"/>
      <c r="M725" s="25" t="n"/>
      <c r="N725" s="120" t="n"/>
      <c r="O725" s="125" t="n"/>
      <c r="P725" s="23" t="n"/>
      <c r="Q725" s="24" t="n"/>
      <c r="R725" s="24" t="n"/>
      <c r="S725" s="25" t="n"/>
      <c r="T725" s="120" t="n"/>
      <c r="U725" s="125" t="n"/>
      <c r="V725" s="23" t="n"/>
      <c r="W725" s="24" t="n"/>
      <c r="X725" s="24" t="n"/>
      <c r="Y725" s="25" t="n"/>
      <c r="Z725" s="120" t="n"/>
      <c r="AB725" s="125" t="n"/>
      <c r="AC725" s="23" t="n"/>
      <c r="AD725" s="24" t="n"/>
      <c r="AE725" s="24" t="n"/>
      <c r="AF725" s="25" t="n"/>
      <c r="AG725" s="120" t="n"/>
      <c r="AH725" s="125" t="n"/>
      <c r="AI725" s="23" t="n"/>
      <c r="AJ725" s="24" t="n"/>
      <c r="AK725" s="24" t="n"/>
      <c r="AL725" s="25" t="n"/>
      <c r="AM725" s="120" t="n"/>
      <c r="AN725" s="125" t="n"/>
      <c r="AO725" s="23" t="n"/>
      <c r="AP725" s="24" t="n"/>
      <c r="AQ725" s="24" t="n"/>
      <c r="AR725" s="25" t="n"/>
      <c r="AS725" s="120" t="n"/>
    </row>
    <row r="726" hidden="1" outlineLevel="3">
      <c r="A726" s="8" t="n"/>
      <c r="B726" s="14" t="n"/>
      <c r="C726" s="120" t="n"/>
      <c r="D726" s="120" t="n"/>
      <c r="E726" s="120" t="n"/>
      <c r="F726" s="120" t="n"/>
      <c r="G726" s="120" t="n"/>
      <c r="I726" s="132">
        <f>DADOS_INVOC!$PH$47</f>
        <v/>
      </c>
      <c r="J726" s="19" t="n"/>
      <c r="K726" s="19" t="n"/>
      <c r="L726" s="19" t="n"/>
      <c r="M726" s="20" t="n"/>
      <c r="N726" s="120" t="n"/>
      <c r="O726" s="132">
        <f>DADOS_INVOC!$PH$48</f>
        <v/>
      </c>
      <c r="P726" s="19" t="n"/>
      <c r="Q726" s="19" t="n"/>
      <c r="R726" s="19" t="n"/>
      <c r="S726" s="20" t="n"/>
      <c r="T726" s="120" t="n"/>
      <c r="U726" s="132">
        <f>DADOS_INVOC!$PH$49</f>
        <v/>
      </c>
      <c r="V726" s="19" t="n"/>
      <c r="W726" s="19" t="n"/>
      <c r="X726" s="19" t="n"/>
      <c r="Y726" s="20" t="n"/>
      <c r="Z726" s="120" t="n"/>
      <c r="AB726" s="132">
        <f>DADOS_INVOC!$PH$125</f>
        <v/>
      </c>
      <c r="AC726" s="19" t="n"/>
      <c r="AD726" s="19" t="n"/>
      <c r="AE726" s="19" t="n"/>
      <c r="AF726" s="20" t="n"/>
      <c r="AG726" s="120" t="n"/>
      <c r="AH726" s="132">
        <f>DADOS_INVOC!$PH$126</f>
        <v/>
      </c>
      <c r="AI726" s="19" t="n"/>
      <c r="AJ726" s="19" t="n"/>
      <c r="AK726" s="19" t="n"/>
      <c r="AL726" s="20" t="n"/>
      <c r="AM726" s="120" t="n"/>
      <c r="AN726" s="132">
        <f>DADOS_INVOC!$PH$127</f>
        <v/>
      </c>
      <c r="AO726" s="19" t="n"/>
      <c r="AP726" s="19" t="n"/>
      <c r="AQ726" s="19" t="n"/>
      <c r="AR726" s="20" t="n"/>
      <c r="AS726" s="120" t="n"/>
    </row>
    <row r="727" hidden="1" outlineLevel="3">
      <c r="A727" s="8" t="n"/>
      <c r="B727" s="14" t="n"/>
      <c r="C727" s="120" t="n"/>
      <c r="D727" s="120" t="n"/>
      <c r="E727" s="120" t="n"/>
      <c r="F727" s="120" t="n"/>
      <c r="G727" s="120" t="n"/>
      <c r="I727" s="23" t="n"/>
      <c r="J727" s="24" t="n"/>
      <c r="K727" s="24" t="n"/>
      <c r="L727" s="24" t="n"/>
      <c r="M727" s="25" t="n"/>
      <c r="N727" s="120" t="n"/>
      <c r="O727" s="23" t="n"/>
      <c r="P727" s="24" t="n"/>
      <c r="Q727" s="24" t="n"/>
      <c r="R727" s="24" t="n"/>
      <c r="S727" s="25" t="n"/>
      <c r="T727" s="120" t="n"/>
      <c r="U727" s="23" t="n"/>
      <c r="V727" s="24" t="n"/>
      <c r="W727" s="24" t="n"/>
      <c r="X727" s="24" t="n"/>
      <c r="Y727" s="25" t="n"/>
      <c r="Z727" s="120" t="n"/>
      <c r="AB727" s="23" t="n"/>
      <c r="AC727" s="24" t="n"/>
      <c r="AD727" s="24" t="n"/>
      <c r="AE727" s="24" t="n"/>
      <c r="AF727" s="25" t="n"/>
      <c r="AG727" s="120" t="n"/>
      <c r="AH727" s="23" t="n"/>
      <c r="AI727" s="24" t="n"/>
      <c r="AJ727" s="24" t="n"/>
      <c r="AK727" s="24" t="n"/>
      <c r="AL727" s="25" t="n"/>
      <c r="AM727" s="120" t="n"/>
      <c r="AN727" s="23" t="n"/>
      <c r="AO727" s="24" t="n"/>
      <c r="AP727" s="24" t="n"/>
      <c r="AQ727" s="24" t="n"/>
      <c r="AR727" s="25" t="n"/>
      <c r="AS727" s="120" t="n"/>
    </row>
    <row r="728" hidden="1" outlineLevel="2">
      <c r="A728" s="8" t="n"/>
      <c r="B728" s="14" t="n"/>
      <c r="C728" s="120" t="n"/>
      <c r="D728" s="120" t="n"/>
      <c r="E728" s="120" t="n"/>
      <c r="F728" s="120" t="n"/>
      <c r="G728" s="120" t="n"/>
      <c r="I728" s="120" t="n"/>
      <c r="J728" s="120" t="n"/>
      <c r="K728" s="120" t="n"/>
      <c r="L728" s="120" t="n"/>
      <c r="M728" s="120" t="n"/>
      <c r="N728" s="120" t="n"/>
      <c r="O728" s="120" t="n"/>
      <c r="P728" s="120" t="n"/>
      <c r="Q728" s="120" t="n"/>
      <c r="R728" s="120" t="n"/>
      <c r="S728" s="120" t="n"/>
      <c r="T728" s="120" t="n"/>
      <c r="U728" s="120" t="n"/>
      <c r="V728" s="120" t="n"/>
      <c r="W728" s="120" t="n"/>
      <c r="X728" s="120" t="n"/>
      <c r="Y728" s="120" t="n"/>
      <c r="Z728" s="120" t="n"/>
      <c r="AB728" s="120" t="n"/>
      <c r="AC728" s="120" t="n"/>
      <c r="AD728" s="120" t="n"/>
      <c r="AE728" s="120" t="n"/>
      <c r="AF728" s="120" t="n"/>
      <c r="AG728" s="120" t="n"/>
      <c r="AH728" s="120" t="n"/>
      <c r="AI728" s="120" t="n"/>
      <c r="AJ728" s="120" t="n"/>
      <c r="AK728" s="120" t="n"/>
      <c r="AL728" s="120" t="n"/>
      <c r="AM728" s="120" t="n"/>
      <c r="AN728" s="120" t="n"/>
      <c r="AO728" s="120" t="n"/>
      <c r="AP728" s="120" t="n"/>
      <c r="AQ728" s="120" t="n"/>
      <c r="AR728" s="120" t="n"/>
      <c r="AS728" s="120" t="n"/>
    </row>
    <row r="729" hidden="1" outlineLevel="2">
      <c r="A729" s="8" t="n"/>
      <c r="B729" s="14" t="n"/>
      <c r="C729" s="120" t="n"/>
      <c r="D729" s="120" t="n"/>
      <c r="E729" s="120" t="n"/>
      <c r="F729" s="120" t="n"/>
      <c r="G729" s="120" t="n"/>
      <c r="I729" s="55">
        <f>DADOS_INVOC!$PI$50</f>
        <v/>
      </c>
      <c r="J729" s="16" t="n"/>
      <c r="K729" s="16" t="n"/>
      <c r="L729" s="16" t="n"/>
      <c r="M729" s="17" t="n"/>
      <c r="N729" s="120" t="n"/>
      <c r="O729" s="120" t="n"/>
      <c r="P729" s="120" t="n"/>
      <c r="Q729" s="120" t="n"/>
      <c r="R729" s="120" t="n"/>
      <c r="S729" s="120" t="n"/>
      <c r="T729" s="120" t="n"/>
      <c r="U729" s="120" t="n"/>
      <c r="V729" s="120" t="n"/>
      <c r="W729" s="120" t="n"/>
      <c r="X729" s="120" t="n"/>
      <c r="Y729" s="120" t="n"/>
      <c r="Z729" s="120" t="n"/>
      <c r="AB729" s="55">
        <f>DADOS_INVOC!$PI$128</f>
        <v/>
      </c>
      <c r="AC729" s="16" t="n"/>
      <c r="AD729" s="16" t="n"/>
      <c r="AE729" s="16" t="n"/>
      <c r="AF729" s="17" t="n"/>
      <c r="AG729" s="120" t="n"/>
      <c r="AH729" s="120" t="n"/>
      <c r="AI729" s="120" t="n"/>
      <c r="AJ729" s="120" t="n"/>
      <c r="AK729" s="120" t="n"/>
      <c r="AL729" s="120" t="n"/>
      <c r="AM729" s="120" t="n"/>
      <c r="AN729" s="120" t="n"/>
      <c r="AO729" s="120" t="n"/>
      <c r="AP729" s="120" t="n"/>
      <c r="AQ729" s="120" t="n"/>
      <c r="AR729" s="120" t="n"/>
      <c r="AS729" s="120" t="n"/>
    </row>
    <row r="730" hidden="1" outlineLevel="2">
      <c r="A730" s="8" t="n"/>
      <c r="B730" s="14" t="n"/>
      <c r="C730" s="120" t="n"/>
      <c r="D730" s="120" t="n"/>
      <c r="E730" s="120" t="n"/>
      <c r="F730" s="120" t="n"/>
      <c r="G730" s="120" t="n"/>
      <c r="I730" s="127" t="n">
        <v>1</v>
      </c>
      <c r="J730" s="115" t="n"/>
      <c r="K730" s="16" t="n"/>
      <c r="L730" s="17" t="n"/>
      <c r="M730" s="128">
        <f>DADOS_INVOC!$PG$50</f>
        <v/>
      </c>
      <c r="N730" s="120" t="n"/>
      <c r="O730" s="120" t="n"/>
      <c r="P730" s="120" t="n"/>
      <c r="Q730" s="120" t="n"/>
      <c r="R730" s="120" t="n"/>
      <c r="S730" s="120" t="n"/>
      <c r="T730" s="120" t="n"/>
      <c r="U730" s="120" t="n"/>
      <c r="V730" s="120" t="n"/>
      <c r="W730" s="120" t="n"/>
      <c r="X730" s="120" t="n"/>
      <c r="Y730" s="120" t="n"/>
      <c r="Z730" s="120" t="n"/>
      <c r="AB730" s="127" t="n">
        <v>1</v>
      </c>
      <c r="AC730" s="115" t="n"/>
      <c r="AD730" s="16" t="n"/>
      <c r="AE730" s="17" t="n"/>
      <c r="AF730" s="128">
        <f>DADOS_INVOC!$PG$128</f>
        <v/>
      </c>
      <c r="AG730" s="120" t="n"/>
      <c r="AH730" s="120" t="n"/>
      <c r="AI730" s="120" t="n"/>
      <c r="AJ730" s="120" t="n"/>
      <c r="AK730" s="120" t="n"/>
      <c r="AL730" s="120" t="n"/>
      <c r="AM730" s="120" t="n"/>
      <c r="AN730" s="120" t="n"/>
      <c r="AO730" s="120" t="n"/>
      <c r="AP730" s="120" t="n"/>
      <c r="AQ730" s="120" t="n"/>
      <c r="AR730" s="120" t="n"/>
      <c r="AS730" s="120" t="n"/>
    </row>
    <row r="731" hidden="1" outlineLevel="3">
      <c r="A731" s="8" t="n"/>
      <c r="B731" s="14" t="n"/>
      <c r="C731" s="120" t="n"/>
      <c r="D731" s="120" t="n"/>
      <c r="E731" s="120" t="n"/>
      <c r="F731" s="120" t="n"/>
      <c r="G731" s="120" t="n"/>
      <c r="I731" s="55" t="inlineStr">
        <is>
          <t>COMO É</t>
        </is>
      </c>
      <c r="J731" s="16" t="n"/>
      <c r="K731" s="16" t="n"/>
      <c r="L731" s="16" t="n"/>
      <c r="M731" s="17" t="n"/>
      <c r="N731" s="120" t="n"/>
      <c r="O731" s="120" t="n"/>
      <c r="P731" s="120" t="n"/>
      <c r="Q731" s="120" t="n"/>
      <c r="R731" s="120" t="n"/>
      <c r="S731" s="120" t="n"/>
      <c r="T731" s="120" t="n"/>
      <c r="U731" s="120" t="n"/>
      <c r="V731" s="120" t="n"/>
      <c r="W731" s="120" t="n"/>
      <c r="X731" s="120" t="n"/>
      <c r="Y731" s="120" t="n"/>
      <c r="Z731" s="120" t="n"/>
      <c r="AB731" s="55" t="inlineStr">
        <is>
          <t>COMO É</t>
        </is>
      </c>
      <c r="AC731" s="16" t="n"/>
      <c r="AD731" s="16" t="n"/>
      <c r="AE731" s="16" t="n"/>
      <c r="AF731" s="17" t="n"/>
      <c r="AG731" s="120" t="n"/>
      <c r="AH731" s="120" t="n"/>
      <c r="AI731" s="120" t="n"/>
      <c r="AJ731" s="120" t="n"/>
      <c r="AK731" s="120" t="n"/>
      <c r="AL731" s="120" t="n"/>
      <c r="AM731" s="120" t="n"/>
      <c r="AN731" s="120" t="n"/>
      <c r="AO731" s="120" t="n"/>
      <c r="AP731" s="120" t="n"/>
      <c r="AQ731" s="120" t="n"/>
      <c r="AR731" s="120" t="n"/>
      <c r="AS731" s="120" t="n"/>
    </row>
    <row r="732" hidden="1" outlineLevel="3">
      <c r="A732" s="8" t="n"/>
      <c r="B732" s="14" t="n"/>
      <c r="C732" s="120" t="n"/>
      <c r="D732" s="120" t="n"/>
      <c r="E732" s="120" t="n"/>
      <c r="F732" s="120" t="n"/>
      <c r="G732" s="120" t="n"/>
      <c r="I732" s="116" t="n"/>
      <c r="J732" s="19" t="n"/>
      <c r="K732" s="19" t="n"/>
      <c r="L732" s="19" t="n"/>
      <c r="M732" s="20" t="n"/>
      <c r="N732" s="120" t="n"/>
      <c r="O732" s="120" t="n"/>
      <c r="P732" s="120" t="n"/>
      <c r="Q732" s="120" t="n"/>
      <c r="R732" s="120" t="n"/>
      <c r="S732" s="120" t="n"/>
      <c r="T732" s="120" t="n"/>
      <c r="U732" s="120" t="n"/>
      <c r="V732" s="120" t="n"/>
      <c r="W732" s="120" t="n"/>
      <c r="X732" s="120" t="n"/>
      <c r="Y732" s="120" t="n"/>
      <c r="Z732" s="120" t="n"/>
      <c r="AB732" s="116" t="n"/>
      <c r="AC732" s="19" t="n"/>
      <c r="AD732" s="19" t="n"/>
      <c r="AE732" s="19" t="n"/>
      <c r="AF732" s="20" t="n"/>
      <c r="AG732" s="120" t="n"/>
      <c r="AH732" s="120" t="n"/>
      <c r="AI732" s="120" t="n"/>
      <c r="AJ732" s="120" t="n"/>
      <c r="AK732" s="120" t="n"/>
      <c r="AL732" s="120" t="n"/>
      <c r="AM732" s="120" t="n"/>
      <c r="AN732" s="120" t="n"/>
      <c r="AO732" s="120" t="n"/>
      <c r="AP732" s="120" t="n"/>
      <c r="AQ732" s="120" t="n"/>
      <c r="AR732" s="120" t="n"/>
      <c r="AS732" s="120" t="n"/>
    </row>
    <row r="733" hidden="1" outlineLevel="3">
      <c r="A733" s="8" t="n"/>
      <c r="B733" s="14" t="n"/>
      <c r="C733" s="120" t="n"/>
      <c r="D733" s="120" t="n"/>
      <c r="E733" s="120" t="n"/>
      <c r="F733" s="120" t="n"/>
      <c r="G733" s="120" t="n"/>
      <c r="I733" s="21" t="n"/>
      <c r="M733" s="22" t="n"/>
      <c r="N733" s="120" t="n"/>
      <c r="O733" s="120" t="n"/>
      <c r="P733" s="120" t="n"/>
      <c r="Q733" s="120" t="n"/>
      <c r="R733" s="120" t="n"/>
      <c r="S733" s="120" t="n"/>
      <c r="T733" s="120" t="n"/>
      <c r="U733" s="120" t="n"/>
      <c r="V733" s="120" t="n"/>
      <c r="W733" s="120" t="n"/>
      <c r="X733" s="120" t="n"/>
      <c r="Y733" s="120" t="n"/>
      <c r="Z733" s="120" t="n"/>
      <c r="AB733" s="21" t="n"/>
      <c r="AF733" s="22" t="n"/>
      <c r="AG733" s="120" t="n"/>
      <c r="AH733" s="120" t="n"/>
      <c r="AI733" s="120" t="n"/>
      <c r="AJ733" s="120" t="n"/>
      <c r="AK733" s="120" t="n"/>
      <c r="AL733" s="120" t="n"/>
      <c r="AM733" s="120" t="n"/>
      <c r="AN733" s="120" t="n"/>
      <c r="AO733" s="120" t="n"/>
      <c r="AP733" s="120" t="n"/>
      <c r="AQ733" s="120" t="n"/>
      <c r="AR733" s="120" t="n"/>
      <c r="AS733" s="120" t="n"/>
    </row>
    <row r="734" hidden="1" outlineLevel="3">
      <c r="A734" s="8" t="n"/>
      <c r="B734" s="14" t="n"/>
      <c r="C734" s="120" t="n"/>
      <c r="D734" s="120" t="n"/>
      <c r="E734" s="120" t="n"/>
      <c r="F734" s="120" t="n"/>
      <c r="G734" s="120" t="n"/>
      <c r="I734" s="23" t="n"/>
      <c r="J734" s="24" t="n"/>
      <c r="K734" s="24" t="n"/>
      <c r="L734" s="24" t="n"/>
      <c r="M734" s="25" t="n"/>
      <c r="N734" s="120" t="n"/>
      <c r="O734" s="120" t="n"/>
      <c r="P734" s="120" t="n"/>
      <c r="Q734" s="120" t="n"/>
      <c r="R734" s="120" t="n"/>
      <c r="S734" s="120" t="n"/>
      <c r="T734" s="120" t="n"/>
      <c r="U734" s="120" t="n"/>
      <c r="V734" s="120" t="n"/>
      <c r="W734" s="120" t="n"/>
      <c r="X734" s="120" t="n"/>
      <c r="Y734" s="120" t="n"/>
      <c r="Z734" s="120" t="n"/>
      <c r="AB734" s="23" t="n"/>
      <c r="AC734" s="24" t="n"/>
      <c r="AD734" s="24" t="n"/>
      <c r="AE734" s="24" t="n"/>
      <c r="AF734" s="25" t="n"/>
      <c r="AG734" s="120" t="n"/>
      <c r="AH734" s="120" t="n"/>
      <c r="AI734" s="120" t="n"/>
      <c r="AJ734" s="120" t="n"/>
      <c r="AK734" s="120" t="n"/>
      <c r="AL734" s="120" t="n"/>
      <c r="AM734" s="120" t="n"/>
      <c r="AN734" s="120" t="n"/>
      <c r="AO734" s="120" t="n"/>
      <c r="AP734" s="120" t="n"/>
      <c r="AQ734" s="120" t="n"/>
      <c r="AR734" s="120" t="n"/>
      <c r="AS734" s="120" t="n"/>
    </row>
    <row r="735" hidden="1" outlineLevel="2">
      <c r="A735" s="8" t="n"/>
      <c r="B735" s="14" t="n"/>
      <c r="C735" s="120" t="n"/>
      <c r="D735" s="120" t="n"/>
      <c r="E735" s="120" t="n"/>
      <c r="F735" s="120" t="n"/>
      <c r="G735" s="120" t="n"/>
      <c r="I735" s="124" t="inlineStr">
        <is>
          <t>Projétil</t>
        </is>
      </c>
      <c r="J735" s="17" t="n"/>
      <c r="K735" s="68">
        <f>DADOS_INVOC!$PN$50</f>
        <v/>
      </c>
      <c r="L735" s="17" t="n"/>
      <c r="M735" s="68">
        <f>DADOS_INVOC!$PJ$50</f>
        <v/>
      </c>
      <c r="N735" s="120" t="n"/>
      <c r="O735" s="120" t="n"/>
      <c r="P735" s="120" t="n"/>
      <c r="Q735" s="120" t="n"/>
      <c r="R735" s="120" t="n"/>
      <c r="S735" s="120" t="n"/>
      <c r="T735" s="120" t="n"/>
      <c r="U735" s="120" t="n"/>
      <c r="V735" s="120" t="n"/>
      <c r="W735" s="120" t="n"/>
      <c r="X735" s="120" t="n"/>
      <c r="Y735" s="120" t="n"/>
      <c r="Z735" s="120" t="n"/>
      <c r="AB735" s="124" t="inlineStr">
        <is>
          <t>Projétil</t>
        </is>
      </c>
      <c r="AC735" s="17" t="n"/>
      <c r="AD735" s="68">
        <f>DADOS_INVOC!$PN$128</f>
        <v/>
      </c>
      <c r="AE735" s="17" t="n"/>
      <c r="AF735" s="68">
        <f>DADOS_INVOC!$PJ$128</f>
        <v/>
      </c>
      <c r="AG735" s="120" t="n"/>
      <c r="AH735" s="120" t="n"/>
      <c r="AI735" s="120" t="n"/>
      <c r="AJ735" s="120" t="n"/>
      <c r="AK735" s="120" t="n"/>
      <c r="AL735" s="120" t="n"/>
      <c r="AM735" s="120" t="n"/>
      <c r="AN735" s="120" t="n"/>
      <c r="AO735" s="120" t="n"/>
      <c r="AP735" s="120" t="n"/>
      <c r="AQ735" s="120" t="n"/>
      <c r="AR735" s="120" t="n"/>
      <c r="AS735" s="120" t="n"/>
    </row>
    <row r="736" hidden="1" outlineLevel="2">
      <c r="A736" s="8" t="n"/>
      <c r="B736" s="14" t="n"/>
      <c r="C736" s="120" t="n"/>
      <c r="D736" s="120" t="n"/>
      <c r="E736" s="120" t="n"/>
      <c r="F736" s="120" t="n"/>
      <c r="G736" s="120" t="n"/>
      <c r="I736" s="124" t="n"/>
      <c r="J736" s="17" t="n"/>
      <c r="K736" s="124" t="n"/>
      <c r="L736" s="16" t="n"/>
      <c r="M736" s="17" t="n"/>
      <c r="N736" s="120" t="n"/>
      <c r="O736" s="120" t="n"/>
      <c r="P736" s="120" t="n"/>
      <c r="Q736" s="120" t="n"/>
      <c r="R736" s="120" t="n"/>
      <c r="S736" s="120" t="n"/>
      <c r="T736" s="120" t="n"/>
      <c r="U736" s="120" t="n"/>
      <c r="V736" s="120" t="n"/>
      <c r="W736" s="120" t="n"/>
      <c r="X736" s="120" t="n"/>
      <c r="Y736" s="120" t="n"/>
      <c r="Z736" s="120" t="n"/>
      <c r="AB736" s="124" t="n"/>
      <c r="AC736" s="17" t="n"/>
      <c r="AD736" s="124" t="n"/>
      <c r="AE736" s="16" t="n"/>
      <c r="AF736" s="17" t="n"/>
      <c r="AG736" s="120" t="n"/>
      <c r="AH736" s="120" t="n"/>
      <c r="AI736" s="120" t="n"/>
      <c r="AJ736" s="120" t="n"/>
      <c r="AK736" s="120" t="n"/>
      <c r="AL736" s="120" t="n"/>
      <c r="AM736" s="120" t="n"/>
      <c r="AN736" s="120" t="n"/>
      <c r="AO736" s="120" t="n"/>
      <c r="AP736" s="120" t="n"/>
      <c r="AQ736" s="120" t="n"/>
      <c r="AR736" s="120" t="n"/>
      <c r="AS736" s="120" t="n"/>
    </row>
    <row r="737" hidden="1" outlineLevel="2">
      <c r="A737" s="8" t="n"/>
      <c r="B737" s="14" t="n"/>
      <c r="C737" s="120" t="n"/>
      <c r="D737" s="120" t="n"/>
      <c r="E737" s="120" t="n"/>
      <c r="F737" s="120" t="n"/>
      <c r="G737" s="120" t="n"/>
      <c r="I737" s="124">
        <f>DADOS_INVOC!$PK$50</f>
        <v/>
      </c>
      <c r="J737" s="17" t="n"/>
      <c r="K737" s="124">
        <f>DADOS_INVOC!$PM$50</f>
        <v/>
      </c>
      <c r="L737" s="16" t="n"/>
      <c r="M737" s="17" t="n"/>
      <c r="N737" s="120" t="n"/>
      <c r="O737" s="120" t="n"/>
      <c r="P737" s="120" t="n"/>
      <c r="Q737" s="120" t="n"/>
      <c r="R737" s="120" t="n"/>
      <c r="S737" s="120" t="n"/>
      <c r="T737" s="120" t="n"/>
      <c r="U737" s="120" t="n"/>
      <c r="V737" s="120" t="n"/>
      <c r="W737" s="120" t="n"/>
      <c r="X737" s="120" t="n"/>
      <c r="Y737" s="120" t="n"/>
      <c r="Z737" s="120" t="n"/>
      <c r="AB737" s="124">
        <f>DADOS_INVOC!$PK$128</f>
        <v/>
      </c>
      <c r="AC737" s="17" t="n"/>
      <c r="AD737" s="124">
        <f>DADOS_INVOC!$PM$128</f>
        <v/>
      </c>
      <c r="AE737" s="16" t="n"/>
      <c r="AF737" s="17" t="n"/>
      <c r="AG737" s="120" t="n"/>
      <c r="AH737" s="120" t="n"/>
      <c r="AI737" s="120" t="n"/>
      <c r="AJ737" s="120" t="n"/>
      <c r="AK737" s="120" t="n"/>
      <c r="AL737" s="120" t="n"/>
      <c r="AM737" s="120" t="n"/>
      <c r="AN737" s="120" t="n"/>
      <c r="AO737" s="120" t="n"/>
      <c r="AP737" s="120" t="n"/>
      <c r="AQ737" s="120" t="n"/>
      <c r="AR737" s="120" t="n"/>
      <c r="AS737" s="120" t="n"/>
    </row>
    <row r="738" hidden="1" outlineLevel="2">
      <c r="A738" s="8" t="n"/>
      <c r="B738" s="14" t="n"/>
      <c r="C738" s="120" t="n"/>
      <c r="D738" s="120" t="n"/>
      <c r="E738" s="120" t="n"/>
      <c r="F738" s="120" t="n"/>
      <c r="G738" s="120" t="n"/>
      <c r="I738" s="129">
        <f>DADOS_INVOC!$PS$50</f>
        <v/>
      </c>
      <c r="J738" s="16" t="n"/>
      <c r="K738" s="16" t="n"/>
      <c r="L738" s="16" t="n"/>
      <c r="M738" s="17" t="n"/>
      <c r="N738" s="120" t="n"/>
      <c r="O738" s="120" t="n"/>
      <c r="P738" s="120" t="n"/>
      <c r="Q738" s="120" t="n"/>
      <c r="R738" s="120" t="n"/>
      <c r="S738" s="120" t="n"/>
      <c r="T738" s="120" t="n"/>
      <c r="U738" s="120" t="n"/>
      <c r="V738" s="120" t="n"/>
      <c r="W738" s="120" t="n"/>
      <c r="X738" s="120" t="n"/>
      <c r="Y738" s="120" t="n"/>
      <c r="Z738" s="120" t="n"/>
      <c r="AB738" s="129">
        <f>DADOS_INVOC!$PS$128</f>
        <v/>
      </c>
      <c r="AC738" s="16" t="n"/>
      <c r="AD738" s="16" t="n"/>
      <c r="AE738" s="16" t="n"/>
      <c r="AF738" s="17" t="n"/>
      <c r="AG738" s="120" t="n"/>
      <c r="AH738" s="120" t="n"/>
      <c r="AI738" s="120" t="n"/>
      <c r="AJ738" s="120" t="n"/>
      <c r="AK738" s="120" t="n"/>
      <c r="AL738" s="120" t="n"/>
      <c r="AM738" s="120" t="n"/>
      <c r="AN738" s="120" t="n"/>
      <c r="AO738" s="120" t="n"/>
      <c r="AP738" s="120" t="n"/>
      <c r="AQ738" s="120" t="n"/>
      <c r="AR738" s="120" t="n"/>
      <c r="AS738" s="120" t="n"/>
    </row>
    <row r="739" hidden="1" outlineLevel="3">
      <c r="A739" s="8" t="n"/>
      <c r="B739" s="14" t="n"/>
      <c r="C739" s="120" t="n"/>
      <c r="D739" s="120" t="n"/>
      <c r="E739" s="120" t="n"/>
      <c r="F739" s="120" t="n"/>
      <c r="G739" s="120" t="n"/>
      <c r="I739" s="55" t="inlineStr">
        <is>
          <t>MELHORIAS</t>
        </is>
      </c>
      <c r="J739" s="130" t="n"/>
      <c r="K739" s="16" t="n"/>
      <c r="L739" s="17" t="n"/>
      <c r="M739" s="129">
        <f>DADOS_INVOC!$PV$50</f>
        <v/>
      </c>
      <c r="N739" s="120" t="n"/>
      <c r="O739" s="120" t="n"/>
      <c r="P739" s="120" t="n"/>
      <c r="Q739" s="120" t="n"/>
      <c r="R739" s="120" t="n"/>
      <c r="S739" s="120" t="n"/>
      <c r="T739" s="120" t="n"/>
      <c r="U739" s="120" t="n"/>
      <c r="V739" s="120" t="n"/>
      <c r="W739" s="120" t="n"/>
      <c r="X739" s="120" t="n"/>
      <c r="Y739" s="120" t="n"/>
      <c r="Z739" s="120" t="n"/>
      <c r="AB739" s="55" t="inlineStr">
        <is>
          <t>MELHORIAS</t>
        </is>
      </c>
      <c r="AC739" s="130" t="n"/>
      <c r="AD739" s="16" t="n"/>
      <c r="AE739" s="17" t="n"/>
      <c r="AF739" s="129">
        <f>DADOS_INVOC!$PV$128</f>
        <v/>
      </c>
      <c r="AG739" s="120" t="n"/>
      <c r="AH739" s="120" t="n"/>
      <c r="AI739" s="120" t="n"/>
      <c r="AJ739" s="120" t="n"/>
      <c r="AK739" s="120" t="n"/>
      <c r="AL739" s="120" t="n"/>
      <c r="AM739" s="120" t="n"/>
      <c r="AN739" s="120" t="n"/>
      <c r="AO739" s="120" t="n"/>
      <c r="AP739" s="120" t="n"/>
      <c r="AQ739" s="120" t="n"/>
      <c r="AR739" s="120" t="n"/>
      <c r="AS739" s="120" t="n"/>
    </row>
    <row r="740" hidden="1" outlineLevel="3">
      <c r="A740" s="8" t="n"/>
      <c r="B740" s="14" t="n"/>
      <c r="C740" s="120" t="n"/>
      <c r="D740" s="120" t="n"/>
      <c r="E740" s="120" t="n"/>
      <c r="F740" s="120" t="n"/>
      <c r="G740" s="120" t="n"/>
      <c r="I740" s="131" t="n"/>
      <c r="J740" s="130" t="n"/>
      <c r="K740" s="16" t="n"/>
      <c r="L740" s="17" t="n"/>
      <c r="M740" s="129">
        <f>DADOS_INVOC!$PW$50</f>
        <v/>
      </c>
      <c r="N740" s="120" t="n"/>
      <c r="O740" s="120" t="n"/>
      <c r="P740" s="120" t="n"/>
      <c r="Q740" s="120" t="n"/>
      <c r="R740" s="120" t="n"/>
      <c r="S740" s="120" t="n"/>
      <c r="T740" s="120" t="n"/>
      <c r="U740" s="120" t="n"/>
      <c r="V740" s="120" t="n"/>
      <c r="W740" s="120" t="n"/>
      <c r="X740" s="120" t="n"/>
      <c r="Y740" s="120" t="n"/>
      <c r="Z740" s="120" t="n"/>
      <c r="AB740" s="131" t="n"/>
      <c r="AC740" s="130" t="n"/>
      <c r="AD740" s="16" t="n"/>
      <c r="AE740" s="17" t="n"/>
      <c r="AF740" s="129">
        <f>DADOS_INVOC!$PW$128</f>
        <v/>
      </c>
      <c r="AG740" s="120" t="n"/>
      <c r="AH740" s="120" t="n"/>
      <c r="AI740" s="120" t="n"/>
      <c r="AJ740" s="120" t="n"/>
      <c r="AK740" s="120" t="n"/>
      <c r="AL740" s="120" t="n"/>
      <c r="AM740" s="120" t="n"/>
      <c r="AN740" s="120" t="n"/>
      <c r="AO740" s="120" t="n"/>
      <c r="AP740" s="120" t="n"/>
      <c r="AQ740" s="120" t="n"/>
      <c r="AR740" s="120" t="n"/>
      <c r="AS740" s="120" t="n"/>
    </row>
    <row r="741" hidden="1" outlineLevel="3">
      <c r="A741" s="8" t="n"/>
      <c r="B741" s="14" t="n"/>
      <c r="C741" s="120" t="n"/>
      <c r="D741" s="120" t="n"/>
      <c r="E741" s="120" t="n"/>
      <c r="F741" s="120" t="n"/>
      <c r="G741" s="120" t="n"/>
      <c r="I741" s="131" t="n"/>
      <c r="J741" s="130" t="n"/>
      <c r="K741" s="16" t="n"/>
      <c r="L741" s="17" t="n"/>
      <c r="M741" s="129">
        <f>DADOS_INVOC!$PX$50</f>
        <v/>
      </c>
      <c r="N741" s="120" t="n"/>
      <c r="O741" s="120" t="n"/>
      <c r="P741" s="120" t="n"/>
      <c r="Q741" s="120" t="n"/>
      <c r="R741" s="120" t="n"/>
      <c r="S741" s="120" t="n"/>
      <c r="T741" s="120" t="n"/>
      <c r="U741" s="120" t="n"/>
      <c r="V741" s="120" t="n"/>
      <c r="W741" s="120" t="n"/>
      <c r="X741" s="120" t="n"/>
      <c r="Y741" s="120" t="n"/>
      <c r="Z741" s="120" t="n"/>
      <c r="AB741" s="131" t="n"/>
      <c r="AC741" s="130" t="n"/>
      <c r="AD741" s="16" t="n"/>
      <c r="AE741" s="17" t="n"/>
      <c r="AF741" s="129">
        <f>DADOS_INVOC!$PX$128</f>
        <v/>
      </c>
      <c r="AG741" s="120" t="n"/>
      <c r="AH741" s="120" t="n"/>
      <c r="AI741" s="120" t="n"/>
      <c r="AJ741" s="120" t="n"/>
      <c r="AK741" s="120" t="n"/>
      <c r="AL741" s="120" t="n"/>
      <c r="AM741" s="120" t="n"/>
      <c r="AN741" s="120" t="n"/>
      <c r="AO741" s="120" t="n"/>
      <c r="AP741" s="120" t="n"/>
      <c r="AQ741" s="120" t="n"/>
      <c r="AR741" s="120" t="n"/>
      <c r="AS741" s="120" t="n"/>
    </row>
    <row r="742" hidden="1" outlineLevel="3">
      <c r="A742" s="8" t="n"/>
      <c r="B742" s="14" t="n"/>
      <c r="C742" s="120" t="n"/>
      <c r="D742" s="120" t="n"/>
      <c r="E742" s="120" t="n"/>
      <c r="F742" s="120" t="n"/>
      <c r="G742" s="120" t="n"/>
      <c r="I742" s="125" t="n"/>
      <c r="J742" s="130" t="n"/>
      <c r="K742" s="16" t="n"/>
      <c r="L742" s="17" t="n"/>
      <c r="M742" s="129">
        <f>DADOS_INVOC!$PY$50</f>
        <v/>
      </c>
      <c r="N742" s="120" t="n"/>
      <c r="O742" s="120" t="n"/>
      <c r="P742" s="120" t="n"/>
      <c r="Q742" s="120" t="n"/>
      <c r="R742" s="120" t="n"/>
      <c r="S742" s="120" t="n"/>
      <c r="T742" s="120" t="n"/>
      <c r="U742" s="120" t="n"/>
      <c r="V742" s="120" t="n"/>
      <c r="W742" s="120" t="n"/>
      <c r="X742" s="120" t="n"/>
      <c r="Y742" s="120" t="n"/>
      <c r="Z742" s="120" t="n"/>
      <c r="AB742" s="125" t="n"/>
      <c r="AC742" s="130" t="n"/>
      <c r="AD742" s="16" t="n"/>
      <c r="AE742" s="17" t="n"/>
      <c r="AF742" s="129">
        <f>DADOS_INVOC!$PY$128</f>
        <v/>
      </c>
      <c r="AG742" s="120" t="n"/>
      <c r="AH742" s="120" t="n"/>
      <c r="AI742" s="120" t="n"/>
      <c r="AJ742" s="120" t="n"/>
      <c r="AK742" s="120" t="n"/>
      <c r="AL742" s="120" t="n"/>
      <c r="AM742" s="120" t="n"/>
      <c r="AN742" s="120" t="n"/>
      <c r="AO742" s="120" t="n"/>
      <c r="AP742" s="120" t="n"/>
      <c r="AQ742" s="120" t="n"/>
      <c r="AR742" s="120" t="n"/>
      <c r="AS742" s="120" t="n"/>
    </row>
    <row r="743" hidden="1" outlineLevel="3">
      <c r="A743" s="8" t="n"/>
      <c r="B743" s="14" t="n"/>
      <c r="C743" s="120" t="n"/>
      <c r="D743" s="120" t="n"/>
      <c r="E743" s="120" t="n"/>
      <c r="F743" s="120" t="n"/>
      <c r="G743" s="120" t="n"/>
      <c r="I743" s="55" t="inlineStr">
        <is>
          <t>RESTRIÇÕES</t>
        </is>
      </c>
      <c r="J743" s="130" t="n"/>
      <c r="K743" s="16" t="n"/>
      <c r="L743" s="17" t="n"/>
      <c r="M743" s="129">
        <f>DADOS_INVOC!$PZ$50</f>
        <v/>
      </c>
      <c r="N743" s="120" t="n"/>
      <c r="O743" s="120" t="n"/>
      <c r="P743" s="120" t="n"/>
      <c r="Q743" s="120" t="n"/>
      <c r="R743" s="120" t="n"/>
      <c r="S743" s="120" t="n"/>
      <c r="T743" s="120" t="n"/>
      <c r="U743" s="120" t="n"/>
      <c r="V743" s="120" t="n"/>
      <c r="W743" s="120" t="n"/>
      <c r="X743" s="120" t="n"/>
      <c r="Y743" s="120" t="n"/>
      <c r="Z743" s="120" t="n"/>
      <c r="AB743" s="55" t="inlineStr">
        <is>
          <t>RESTRIÇÕES</t>
        </is>
      </c>
      <c r="AC743" s="130" t="n"/>
      <c r="AD743" s="16" t="n"/>
      <c r="AE743" s="17" t="n"/>
      <c r="AF743" s="129">
        <f>DADOS_INVOC!$PZ$128</f>
        <v/>
      </c>
      <c r="AG743" s="120" t="n"/>
      <c r="AH743" s="120" t="n"/>
      <c r="AI743" s="120" t="n"/>
      <c r="AJ743" s="120" t="n"/>
      <c r="AK743" s="120" t="n"/>
      <c r="AL743" s="120" t="n"/>
      <c r="AM743" s="120" t="n"/>
      <c r="AN743" s="120" t="n"/>
      <c r="AO743" s="120" t="n"/>
      <c r="AP743" s="120" t="n"/>
      <c r="AQ743" s="120" t="n"/>
      <c r="AR743" s="120" t="n"/>
      <c r="AS743" s="120" t="n"/>
    </row>
    <row r="744" hidden="1" outlineLevel="3">
      <c r="A744" s="8" t="n"/>
      <c r="B744" s="14" t="n"/>
      <c r="C744" s="120" t="n"/>
      <c r="D744" s="120" t="n"/>
      <c r="E744" s="120" t="n"/>
      <c r="F744" s="120" t="n"/>
      <c r="G744" s="120" t="n"/>
      <c r="I744" s="125" t="n"/>
      <c r="J744" s="130" t="n"/>
      <c r="K744" s="16" t="n"/>
      <c r="L744" s="17" t="n"/>
      <c r="M744" s="129">
        <f>DADOS_INVOC!$QA$50</f>
        <v/>
      </c>
      <c r="N744" s="120" t="n"/>
      <c r="O744" s="120" t="n"/>
      <c r="P744" s="120" t="n"/>
      <c r="Q744" s="120" t="n"/>
      <c r="R744" s="120" t="n"/>
      <c r="S744" s="120" t="n"/>
      <c r="T744" s="120" t="n"/>
      <c r="U744" s="120" t="n"/>
      <c r="V744" s="120" t="n"/>
      <c r="W744" s="120" t="n"/>
      <c r="X744" s="120" t="n"/>
      <c r="Y744" s="120" t="n"/>
      <c r="Z744" s="120" t="n"/>
      <c r="AB744" s="125" t="n"/>
      <c r="AC744" s="130" t="n"/>
      <c r="AD744" s="16" t="n"/>
      <c r="AE744" s="17" t="n"/>
      <c r="AF744" s="129">
        <f>DADOS_INVOC!$QA$128</f>
        <v/>
      </c>
      <c r="AG744" s="120" t="n"/>
      <c r="AH744" s="120" t="n"/>
      <c r="AI744" s="120" t="n"/>
      <c r="AJ744" s="120" t="n"/>
      <c r="AK744" s="120" t="n"/>
      <c r="AL744" s="120" t="n"/>
      <c r="AM744" s="120" t="n"/>
      <c r="AN744" s="120" t="n"/>
      <c r="AO744" s="120" t="n"/>
      <c r="AP744" s="120" t="n"/>
      <c r="AQ744" s="120" t="n"/>
      <c r="AR744" s="120" t="n"/>
      <c r="AS744" s="120" t="n"/>
    </row>
    <row r="745" hidden="1" outlineLevel="3">
      <c r="A745" s="8" t="n"/>
      <c r="B745" s="14" t="n"/>
      <c r="C745" s="120" t="n"/>
      <c r="D745" s="120" t="n"/>
      <c r="E745" s="120" t="n"/>
      <c r="F745" s="120" t="n"/>
      <c r="G745" s="120" t="n"/>
      <c r="I745" s="55" t="inlineStr">
        <is>
          <t>CONTA</t>
        </is>
      </c>
      <c r="J745" s="132">
        <f>DADOS_INVOC!$PT$50</f>
        <v/>
      </c>
      <c r="K745" s="16" t="n"/>
      <c r="L745" s="16" t="n"/>
      <c r="M745" s="17" t="n"/>
      <c r="N745" s="120" t="n"/>
      <c r="O745" s="120" t="n"/>
      <c r="P745" s="120" t="n"/>
      <c r="Q745" s="120" t="n"/>
      <c r="R745" s="120" t="n"/>
      <c r="S745" s="120" t="n"/>
      <c r="T745" s="120" t="n"/>
      <c r="U745" s="120" t="n"/>
      <c r="V745" s="120" t="n"/>
      <c r="W745" s="120" t="n"/>
      <c r="X745" s="120" t="n"/>
      <c r="Y745" s="120" t="n"/>
      <c r="Z745" s="120" t="n"/>
      <c r="AB745" s="55" t="inlineStr">
        <is>
          <t>CONTA</t>
        </is>
      </c>
      <c r="AC745" s="132">
        <f>DADOS_INVOC!$PT$128</f>
        <v/>
      </c>
      <c r="AD745" s="16" t="n"/>
      <c r="AE745" s="16" t="n"/>
      <c r="AF745" s="17" t="n"/>
      <c r="AG745" s="120" t="n"/>
      <c r="AH745" s="120" t="n"/>
      <c r="AI745" s="120" t="n"/>
      <c r="AJ745" s="120" t="n"/>
      <c r="AK745" s="120" t="n"/>
      <c r="AL745" s="120" t="n"/>
      <c r="AM745" s="120" t="n"/>
      <c r="AN745" s="120" t="n"/>
      <c r="AO745" s="120" t="n"/>
      <c r="AP745" s="120" t="n"/>
      <c r="AQ745" s="120" t="n"/>
      <c r="AR745" s="120" t="n"/>
      <c r="AS745" s="120" t="n"/>
    </row>
    <row r="746" hidden="1" outlineLevel="3">
      <c r="A746" s="8" t="n"/>
      <c r="B746" s="14" t="n"/>
      <c r="C746" s="120" t="n"/>
      <c r="D746" s="120" t="n"/>
      <c r="E746" s="120" t="n"/>
      <c r="F746" s="120" t="n"/>
      <c r="G746" s="120" t="n"/>
      <c r="I746" s="55" t="inlineStr">
        <is>
          <t>AMPLIAR</t>
        </is>
      </c>
      <c r="J746" s="132">
        <f>DADOS_INVOC!$PU$50</f>
        <v/>
      </c>
      <c r="K746" s="19" t="n"/>
      <c r="L746" s="19" t="n"/>
      <c r="M746" s="20" t="n"/>
      <c r="N746" s="120" t="n"/>
      <c r="O746" s="120" t="n"/>
      <c r="P746" s="120" t="n"/>
      <c r="Q746" s="120" t="n"/>
      <c r="R746" s="120" t="n"/>
      <c r="S746" s="120" t="n"/>
      <c r="T746" s="120" t="n"/>
      <c r="U746" s="120" t="n"/>
      <c r="V746" s="120" t="n"/>
      <c r="W746" s="120" t="n"/>
      <c r="X746" s="120" t="n"/>
      <c r="Y746" s="120" t="n"/>
      <c r="Z746" s="120" t="n"/>
      <c r="AB746" s="55" t="inlineStr">
        <is>
          <t>AMPLIAR</t>
        </is>
      </c>
      <c r="AC746" s="132">
        <f>DADOS_INVOC!$PU$128</f>
        <v/>
      </c>
      <c r="AD746" s="19" t="n"/>
      <c r="AE746" s="19" t="n"/>
      <c r="AF746" s="20" t="n"/>
      <c r="AG746" s="120" t="n"/>
      <c r="AH746" s="120" t="n"/>
      <c r="AI746" s="120" t="n"/>
      <c r="AJ746" s="120" t="n"/>
      <c r="AK746" s="120" t="n"/>
      <c r="AL746" s="120" t="n"/>
      <c r="AM746" s="120" t="n"/>
      <c r="AN746" s="120" t="n"/>
      <c r="AO746" s="120" t="n"/>
      <c r="AP746" s="120" t="n"/>
      <c r="AQ746" s="120" t="n"/>
      <c r="AR746" s="120" t="n"/>
      <c r="AS746" s="120" t="n"/>
    </row>
    <row r="747" hidden="1" outlineLevel="3">
      <c r="A747" s="8" t="n"/>
      <c r="B747" s="14" t="n"/>
      <c r="C747" s="120" t="n"/>
      <c r="D747" s="120" t="n"/>
      <c r="E747" s="120" t="n"/>
      <c r="F747" s="120" t="n"/>
      <c r="G747" s="120" t="n"/>
      <c r="I747" s="125" t="n"/>
      <c r="J747" s="23" t="n"/>
      <c r="K747" s="24" t="n"/>
      <c r="L747" s="24" t="n"/>
      <c r="M747" s="25" t="n"/>
      <c r="N747" s="120" t="n"/>
      <c r="O747" s="120" t="n"/>
      <c r="P747" s="120" t="n"/>
      <c r="Q747" s="120" t="n"/>
      <c r="R747" s="120" t="n"/>
      <c r="S747" s="120" t="n"/>
      <c r="T747" s="120" t="n"/>
      <c r="U747" s="120" t="n"/>
      <c r="V747" s="120" t="n"/>
      <c r="W747" s="120" t="n"/>
      <c r="X747" s="120" t="n"/>
      <c r="Y747" s="120" t="n"/>
      <c r="Z747" s="120" t="n"/>
      <c r="AB747" s="125" t="n"/>
      <c r="AC747" s="23" t="n"/>
      <c r="AD747" s="24" t="n"/>
      <c r="AE747" s="24" t="n"/>
      <c r="AF747" s="25" t="n"/>
      <c r="AG747" s="120" t="n"/>
      <c r="AH747" s="120" t="n"/>
      <c r="AI747" s="120" t="n"/>
      <c r="AJ747" s="120" t="n"/>
      <c r="AK747" s="120" t="n"/>
      <c r="AL747" s="120" t="n"/>
      <c r="AM747" s="120" t="n"/>
      <c r="AN747" s="120" t="n"/>
      <c r="AO747" s="120" t="n"/>
      <c r="AP747" s="120" t="n"/>
      <c r="AQ747" s="120" t="n"/>
      <c r="AR747" s="120" t="n"/>
      <c r="AS747" s="120" t="n"/>
    </row>
    <row r="748" hidden="1" outlineLevel="3">
      <c r="A748" s="8" t="n"/>
      <c r="B748" s="14" t="n"/>
      <c r="C748" s="120" t="n"/>
      <c r="D748" s="120" t="n"/>
      <c r="E748" s="120" t="n"/>
      <c r="F748" s="120" t="n"/>
      <c r="G748" s="120" t="n"/>
      <c r="I748" s="132">
        <f>DADOS_INVOC!$PH$50</f>
        <v/>
      </c>
      <c r="J748" s="19" t="n"/>
      <c r="K748" s="19" t="n"/>
      <c r="L748" s="19" t="n"/>
      <c r="M748" s="20" t="n"/>
      <c r="N748" s="120" t="n"/>
      <c r="O748" s="120" t="n"/>
      <c r="P748" s="120" t="n"/>
      <c r="Q748" s="120" t="n"/>
      <c r="R748" s="120" t="n"/>
      <c r="S748" s="120" t="n"/>
      <c r="T748" s="120" t="n"/>
      <c r="U748" s="120" t="n"/>
      <c r="V748" s="120" t="n"/>
      <c r="W748" s="120" t="n"/>
      <c r="X748" s="120" t="n"/>
      <c r="Y748" s="120" t="n"/>
      <c r="Z748" s="120" t="n"/>
      <c r="AB748" s="132">
        <f>DADOS_INVOC!$PH$128</f>
        <v/>
      </c>
      <c r="AC748" s="19" t="n"/>
      <c r="AD748" s="19" t="n"/>
      <c r="AE748" s="19" t="n"/>
      <c r="AF748" s="20" t="n"/>
      <c r="AG748" s="120" t="n"/>
      <c r="AH748" s="120" t="n"/>
      <c r="AI748" s="120" t="n"/>
      <c r="AJ748" s="120" t="n"/>
      <c r="AK748" s="120" t="n"/>
      <c r="AL748" s="120" t="n"/>
      <c r="AM748" s="120" t="n"/>
      <c r="AN748" s="120" t="n"/>
      <c r="AO748" s="120" t="n"/>
      <c r="AP748" s="120" t="n"/>
      <c r="AQ748" s="120" t="n"/>
      <c r="AR748" s="120" t="n"/>
      <c r="AS748" s="120" t="n"/>
    </row>
    <row r="749" hidden="1" outlineLevel="3">
      <c r="A749" s="8" t="n"/>
      <c r="B749" s="14" t="n"/>
      <c r="C749" s="120" t="n"/>
      <c r="D749" s="120" t="n"/>
      <c r="E749" s="120" t="n"/>
      <c r="F749" s="120" t="n"/>
      <c r="G749" s="120" t="n"/>
      <c r="I749" s="23" t="n"/>
      <c r="J749" s="24" t="n"/>
      <c r="K749" s="24" t="n"/>
      <c r="L749" s="24" t="n"/>
      <c r="M749" s="25" t="n"/>
      <c r="N749" s="120" t="n"/>
      <c r="O749" s="120" t="n"/>
      <c r="P749" s="120" t="n"/>
      <c r="Q749" s="120" t="n"/>
      <c r="R749" s="120" t="n"/>
      <c r="S749" s="120" t="n"/>
      <c r="T749" s="120" t="n"/>
      <c r="U749" s="120" t="n"/>
      <c r="V749" s="120" t="n"/>
      <c r="W749" s="120" t="n"/>
      <c r="X749" s="120" t="n"/>
      <c r="Y749" s="120" t="n"/>
      <c r="Z749" s="120" t="n"/>
      <c r="AB749" s="23" t="n"/>
      <c r="AC749" s="24" t="n"/>
      <c r="AD749" s="24" t="n"/>
      <c r="AE749" s="24" t="n"/>
      <c r="AF749" s="25" t="n"/>
      <c r="AG749" s="120" t="n"/>
      <c r="AH749" s="120" t="n"/>
      <c r="AI749" s="120" t="n"/>
      <c r="AJ749" s="120" t="n"/>
      <c r="AK749" s="120" t="n"/>
      <c r="AL749" s="120" t="n"/>
      <c r="AM749" s="120" t="n"/>
      <c r="AN749" s="120" t="n"/>
      <c r="AO749" s="120" t="n"/>
      <c r="AP749" s="120" t="n"/>
      <c r="AQ749" s="120" t="n"/>
      <c r="AR749" s="120" t="n"/>
      <c r="AS749" s="120" t="n"/>
    </row>
    <row r="750" hidden="1" outlineLevel="1">
      <c r="A750" s="8" t="n"/>
      <c r="B750" s="14" t="n"/>
      <c r="C750" s="120" t="n"/>
      <c r="D750" s="120" t="n"/>
      <c r="E750" s="120" t="n"/>
      <c r="F750" s="120" t="n"/>
      <c r="G750" s="120" t="n"/>
      <c r="I750" s="120" t="n"/>
      <c r="J750" s="120" t="n"/>
      <c r="K750" s="120" t="n"/>
      <c r="L750" s="120" t="n"/>
      <c r="M750" s="120" t="n"/>
      <c r="N750" s="120" t="n"/>
      <c r="O750" s="120" t="n"/>
      <c r="P750" s="120" t="n"/>
      <c r="Q750" s="120" t="n"/>
      <c r="R750" s="120" t="n"/>
      <c r="S750" s="120" t="n"/>
      <c r="T750" s="120" t="n"/>
      <c r="U750" s="120" t="n"/>
      <c r="V750" s="120" t="n"/>
      <c r="W750" s="120" t="n"/>
      <c r="X750" s="120" t="n"/>
      <c r="Y750" s="120" t="n"/>
      <c r="Z750" s="120" t="n"/>
      <c r="AB750" s="120" t="n"/>
      <c r="AC750" s="120" t="n"/>
      <c r="AD750" s="120" t="n"/>
      <c r="AE750" s="120" t="n"/>
      <c r="AF750" s="120" t="n"/>
      <c r="AG750" s="120" t="n"/>
      <c r="AH750" s="120" t="n"/>
      <c r="AI750" s="120" t="n"/>
      <c r="AJ750" s="120" t="n"/>
      <c r="AK750" s="120" t="n"/>
      <c r="AL750" s="120" t="n"/>
      <c r="AM750" s="120" t="n"/>
      <c r="AN750" s="120" t="n"/>
      <c r="AO750" s="120" t="n"/>
      <c r="AP750" s="120" t="n"/>
      <c r="AQ750" s="120" t="n"/>
      <c r="AR750" s="120" t="n"/>
      <c r="AS750" s="120" t="n"/>
    </row>
    <row r="751" hidden="1" outlineLevel="1">
      <c r="A751" s="8" t="n"/>
      <c r="B751" s="14" t="n"/>
      <c r="C751" s="120" t="n"/>
      <c r="D751" s="120" t="n"/>
      <c r="E751" s="120" t="n"/>
      <c r="F751" s="120" t="n"/>
      <c r="G751" s="120" t="n"/>
      <c r="I751" s="13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0" t="n"/>
      <c r="AB751" s="13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0" t="n"/>
    </row>
    <row r="752" hidden="1" outlineLevel="2">
      <c r="A752" s="8" t="n"/>
      <c r="B752" s="14" t="n"/>
      <c r="C752" s="120" t="n"/>
      <c r="D752" s="120" t="n"/>
      <c r="E752" s="120" t="n"/>
      <c r="F752" s="120" t="n"/>
      <c r="G752" s="120" t="n"/>
      <c r="I752" s="120" t="n"/>
      <c r="J752" s="120" t="n"/>
      <c r="K752" s="120" t="n"/>
      <c r="L752" s="120" t="n"/>
      <c r="M752" s="120" t="n"/>
      <c r="N752" s="120" t="n"/>
      <c r="O752" s="120" t="n"/>
      <c r="P752" s="120" t="n"/>
      <c r="Q752" s="120" t="n"/>
      <c r="R752" s="120" t="n"/>
      <c r="S752" s="120" t="n"/>
      <c r="T752" s="120" t="n"/>
      <c r="U752" s="120" t="n"/>
      <c r="V752" s="120" t="n"/>
      <c r="W752" s="120" t="n"/>
      <c r="X752" s="120" t="n"/>
      <c r="Y752" s="120" t="n"/>
      <c r="Z752" s="120" t="n"/>
      <c r="AB752" s="120" t="n"/>
      <c r="AC752" s="120" t="n"/>
      <c r="AD752" s="120" t="n"/>
      <c r="AE752" s="120" t="n"/>
      <c r="AF752" s="120" t="n"/>
      <c r="AG752" s="120" t="n"/>
      <c r="AH752" s="120" t="n"/>
      <c r="AI752" s="120" t="n"/>
      <c r="AJ752" s="120" t="n"/>
      <c r="AK752" s="120" t="n"/>
      <c r="AL752" s="120" t="n"/>
      <c r="AM752" s="120" t="n"/>
      <c r="AN752" s="120" t="n"/>
      <c r="AO752" s="120" t="n"/>
      <c r="AP752" s="120" t="n"/>
      <c r="AQ752" s="120" t="n"/>
      <c r="AR752" s="120" t="n"/>
      <c r="AS752" s="120" t="n"/>
    </row>
    <row r="753" hidden="1" outlineLevel="2">
      <c r="A753" s="8" t="n"/>
      <c r="B753" s="14" t="n"/>
      <c r="C753" s="120" t="n"/>
      <c r="D753" s="120" t="n"/>
      <c r="E753" s="120" t="n"/>
      <c r="F753" s="120" t="n"/>
      <c r="G753" s="120" t="n"/>
      <c r="I753" s="55">
        <f>DADOS_INVOC!$PI$51</f>
        <v/>
      </c>
      <c r="J753" s="16" t="n"/>
      <c r="K753" s="16" t="n"/>
      <c r="L753" s="16" t="n"/>
      <c r="M753" s="17" t="n"/>
      <c r="N753" s="120" t="n"/>
      <c r="O753" s="55">
        <f>DADOS_INVOC!$PI$52</f>
        <v/>
      </c>
      <c r="P753" s="16" t="n"/>
      <c r="Q753" s="16" t="n"/>
      <c r="R753" s="16" t="n"/>
      <c r="S753" s="17" t="n"/>
      <c r="T753" s="120" t="n"/>
      <c r="U753" s="55">
        <f>DADOS_INVOC!$PI$53</f>
        <v/>
      </c>
      <c r="V753" s="16" t="n"/>
      <c r="W753" s="16" t="n"/>
      <c r="X753" s="16" t="n"/>
      <c r="Y753" s="17" t="n"/>
      <c r="Z753" s="120" t="n"/>
      <c r="AB753" s="55">
        <f>DADOS_INVOC!$PI$129</f>
        <v/>
      </c>
      <c r="AC753" s="16" t="n"/>
      <c r="AD753" s="16" t="n"/>
      <c r="AE753" s="16" t="n"/>
      <c r="AF753" s="17" t="n"/>
      <c r="AG753" s="120" t="n"/>
      <c r="AH753" s="55">
        <f>DADOS_INVOC!$PI$130</f>
        <v/>
      </c>
      <c r="AI753" s="16" t="n"/>
      <c r="AJ753" s="16" t="n"/>
      <c r="AK753" s="16" t="n"/>
      <c r="AL753" s="17" t="n"/>
      <c r="AM753" s="120" t="n"/>
      <c r="AN753" s="55">
        <f>DADOS_INVOC!$PI$131</f>
        <v/>
      </c>
      <c r="AO753" s="16" t="n"/>
      <c r="AP753" s="16" t="n"/>
      <c r="AQ753" s="16" t="n"/>
      <c r="AR753" s="17" t="n"/>
      <c r="AS753" s="120" t="n"/>
    </row>
    <row r="754" hidden="1" outlineLevel="2">
      <c r="A754" s="8" t="n"/>
      <c r="B754" s="14" t="n"/>
      <c r="C754" s="120" t="n"/>
      <c r="D754" s="120" t="n"/>
      <c r="E754" s="120" t="n"/>
      <c r="F754" s="120" t="n"/>
      <c r="G754" s="120" t="n"/>
      <c r="I754" s="127" t="n">
        <v>1</v>
      </c>
      <c r="J754" s="115" t="n"/>
      <c r="K754" s="16" t="n"/>
      <c r="L754" s="17" t="n"/>
      <c r="M754" s="128">
        <f>DADOS_INVOC!$PG$51</f>
        <v/>
      </c>
      <c r="N754" s="120" t="n"/>
      <c r="O754" s="127" t="n">
        <v>1</v>
      </c>
      <c r="P754" s="115" t="n"/>
      <c r="Q754" s="16" t="n"/>
      <c r="R754" s="17" t="n"/>
      <c r="S754" s="128">
        <f>DADOS_INVOC!$PG$52</f>
        <v/>
      </c>
      <c r="T754" s="120" t="n"/>
      <c r="U754" s="127" t="n">
        <v>1</v>
      </c>
      <c r="V754" s="115" t="n"/>
      <c r="W754" s="16" t="n"/>
      <c r="X754" s="17" t="n"/>
      <c r="Y754" s="128">
        <f>DADOS_INVOC!$PG$53</f>
        <v/>
      </c>
      <c r="Z754" s="120" t="n"/>
      <c r="AB754" s="127" t="n">
        <v>1</v>
      </c>
      <c r="AC754" s="115" t="n"/>
      <c r="AD754" s="16" t="n"/>
      <c r="AE754" s="17" t="n"/>
      <c r="AF754" s="128">
        <f>DADOS_INVOC!$PG$129</f>
        <v/>
      </c>
      <c r="AG754" s="120" t="n"/>
      <c r="AH754" s="127" t="n">
        <v>1</v>
      </c>
      <c r="AI754" s="115" t="n"/>
      <c r="AJ754" s="16" t="n"/>
      <c r="AK754" s="17" t="n"/>
      <c r="AL754" s="128">
        <f>DADOS_INVOC!$PG$130</f>
        <v/>
      </c>
      <c r="AM754" s="120" t="n"/>
      <c r="AN754" s="127" t="n">
        <v>1</v>
      </c>
      <c r="AO754" s="115" t="n"/>
      <c r="AP754" s="16" t="n"/>
      <c r="AQ754" s="17" t="n"/>
      <c r="AR754" s="128">
        <f>DADOS_INVOC!$PG$131</f>
        <v/>
      </c>
      <c r="AS754" s="120" t="n"/>
    </row>
    <row r="755" hidden="1" outlineLevel="3">
      <c r="A755" s="8" t="n"/>
      <c r="B755" s="14" t="n"/>
      <c r="C755" s="120" t="n"/>
      <c r="D755" s="120" t="n"/>
      <c r="E755" s="120" t="n"/>
      <c r="F755" s="120" t="n"/>
      <c r="G755" s="120" t="n"/>
      <c r="I755" s="55" t="inlineStr">
        <is>
          <t>COMO É</t>
        </is>
      </c>
      <c r="J755" s="16" t="n"/>
      <c r="K755" s="16" t="n"/>
      <c r="L755" s="16" t="n"/>
      <c r="M755" s="17" t="n"/>
      <c r="N755" s="120" t="n"/>
      <c r="O755" s="55" t="inlineStr">
        <is>
          <t>COMO É</t>
        </is>
      </c>
      <c r="P755" s="16" t="n"/>
      <c r="Q755" s="16" t="n"/>
      <c r="R755" s="16" t="n"/>
      <c r="S755" s="17" t="n"/>
      <c r="T755" s="120" t="n"/>
      <c r="U755" s="55" t="inlineStr">
        <is>
          <t>COMO É</t>
        </is>
      </c>
      <c r="V755" s="16" t="n"/>
      <c r="W755" s="16" t="n"/>
      <c r="X755" s="16" t="n"/>
      <c r="Y755" s="17" t="n"/>
      <c r="Z755" s="120" t="n"/>
      <c r="AB755" s="55" t="inlineStr">
        <is>
          <t>COMO É</t>
        </is>
      </c>
      <c r="AC755" s="16" t="n"/>
      <c r="AD755" s="16" t="n"/>
      <c r="AE755" s="16" t="n"/>
      <c r="AF755" s="17" t="n"/>
      <c r="AG755" s="120" t="n"/>
      <c r="AH755" s="55" t="inlineStr">
        <is>
          <t>COMO É</t>
        </is>
      </c>
      <c r="AI755" s="16" t="n"/>
      <c r="AJ755" s="16" t="n"/>
      <c r="AK755" s="16" t="n"/>
      <c r="AL755" s="17" t="n"/>
      <c r="AM755" s="120" t="n"/>
      <c r="AN755" s="55" t="inlineStr">
        <is>
          <t>COMO É</t>
        </is>
      </c>
      <c r="AO755" s="16" t="n"/>
      <c r="AP755" s="16" t="n"/>
      <c r="AQ755" s="16" t="n"/>
      <c r="AR755" s="17" t="n"/>
      <c r="AS755" s="120" t="n"/>
    </row>
    <row r="756" hidden="1" outlineLevel="3">
      <c r="A756" s="8" t="n"/>
      <c r="B756" s="14" t="n"/>
      <c r="C756" s="120" t="n"/>
      <c r="D756" s="120" t="n"/>
      <c r="E756" s="120" t="n"/>
      <c r="F756" s="120" t="n"/>
      <c r="G756" s="120" t="n"/>
      <c r="I756" s="116" t="n"/>
      <c r="J756" s="19" t="n"/>
      <c r="K756" s="19" t="n"/>
      <c r="L756" s="19" t="n"/>
      <c r="M756" s="20" t="n"/>
      <c r="N756" s="120" t="n"/>
      <c r="O756" s="116" t="n"/>
      <c r="P756" s="19" t="n"/>
      <c r="Q756" s="19" t="n"/>
      <c r="R756" s="19" t="n"/>
      <c r="S756" s="20" t="n"/>
      <c r="T756" s="120" t="n"/>
      <c r="U756" s="116" t="n"/>
      <c r="V756" s="19" t="n"/>
      <c r="W756" s="19" t="n"/>
      <c r="X756" s="19" t="n"/>
      <c r="Y756" s="20" t="n"/>
      <c r="Z756" s="120" t="n"/>
      <c r="AB756" s="116" t="n"/>
      <c r="AC756" s="19" t="n"/>
      <c r="AD756" s="19" t="n"/>
      <c r="AE756" s="19" t="n"/>
      <c r="AF756" s="20" t="n"/>
      <c r="AG756" s="120" t="n"/>
      <c r="AH756" s="116" t="n"/>
      <c r="AI756" s="19" t="n"/>
      <c r="AJ756" s="19" t="n"/>
      <c r="AK756" s="19" t="n"/>
      <c r="AL756" s="20" t="n"/>
      <c r="AM756" s="120" t="n"/>
      <c r="AN756" s="116" t="n"/>
      <c r="AO756" s="19" t="n"/>
      <c r="AP756" s="19" t="n"/>
      <c r="AQ756" s="19" t="n"/>
      <c r="AR756" s="20" t="n"/>
      <c r="AS756" s="120" t="n"/>
    </row>
    <row r="757" hidden="1" outlineLevel="3">
      <c r="A757" s="8" t="n"/>
      <c r="B757" s="14" t="n"/>
      <c r="C757" s="120" t="n"/>
      <c r="D757" s="120" t="n"/>
      <c r="E757" s="120" t="n"/>
      <c r="F757" s="120" t="n"/>
      <c r="G757" s="120" t="n"/>
      <c r="I757" s="21" t="n"/>
      <c r="M757" s="22" t="n"/>
      <c r="N757" s="120" t="n"/>
      <c r="O757" s="21" t="n"/>
      <c r="S757" s="22" t="n"/>
      <c r="T757" s="120" t="n"/>
      <c r="U757" s="21" t="n"/>
      <c r="Y757" s="22" t="n"/>
      <c r="Z757" s="120" t="n"/>
      <c r="AB757" s="21" t="n"/>
      <c r="AF757" s="22" t="n"/>
      <c r="AG757" s="120" t="n"/>
      <c r="AH757" s="21" t="n"/>
      <c r="AL757" s="22" t="n"/>
      <c r="AM757" s="120" t="n"/>
      <c r="AN757" s="21" t="n"/>
      <c r="AR757" s="22" t="n"/>
      <c r="AS757" s="120" t="n"/>
    </row>
    <row r="758" hidden="1" outlineLevel="3">
      <c r="A758" s="8" t="n"/>
      <c r="B758" s="14" t="n"/>
      <c r="C758" s="120" t="n"/>
      <c r="D758" s="120" t="n"/>
      <c r="E758" s="120" t="n"/>
      <c r="F758" s="120" t="n"/>
      <c r="G758" s="120" t="n"/>
      <c r="I758" s="23" t="n"/>
      <c r="J758" s="24" t="n"/>
      <c r="K758" s="24" t="n"/>
      <c r="L758" s="24" t="n"/>
      <c r="M758" s="25" t="n"/>
      <c r="N758" s="120" t="n"/>
      <c r="O758" s="23" t="n"/>
      <c r="P758" s="24" t="n"/>
      <c r="Q758" s="24" t="n"/>
      <c r="R758" s="24" t="n"/>
      <c r="S758" s="25" t="n"/>
      <c r="T758" s="120" t="n"/>
      <c r="U758" s="23" t="n"/>
      <c r="V758" s="24" t="n"/>
      <c r="W758" s="24" t="n"/>
      <c r="X758" s="24" t="n"/>
      <c r="Y758" s="25" t="n"/>
      <c r="Z758" s="120" t="n"/>
      <c r="AB758" s="23" t="n"/>
      <c r="AC758" s="24" t="n"/>
      <c r="AD758" s="24" t="n"/>
      <c r="AE758" s="24" t="n"/>
      <c r="AF758" s="25" t="n"/>
      <c r="AG758" s="120" t="n"/>
      <c r="AH758" s="23" t="n"/>
      <c r="AI758" s="24" t="n"/>
      <c r="AJ758" s="24" t="n"/>
      <c r="AK758" s="24" t="n"/>
      <c r="AL758" s="25" t="n"/>
      <c r="AM758" s="120" t="n"/>
      <c r="AN758" s="23" t="n"/>
      <c r="AO758" s="24" t="n"/>
      <c r="AP758" s="24" t="n"/>
      <c r="AQ758" s="24" t="n"/>
      <c r="AR758" s="25" t="n"/>
      <c r="AS758" s="120" t="n"/>
    </row>
    <row r="759" hidden="1" outlineLevel="2">
      <c r="A759" s="8" t="n"/>
      <c r="B759" s="14" t="n"/>
      <c r="C759" s="120" t="n"/>
      <c r="D759" s="120" t="n"/>
      <c r="E759" s="120" t="n"/>
      <c r="F759" s="120" t="n"/>
      <c r="G759" s="120" t="n"/>
      <c r="I759" s="124" t="inlineStr">
        <is>
          <t>Projétil</t>
        </is>
      </c>
      <c r="J759" s="17" t="n"/>
      <c r="K759" s="68">
        <f>DADOS_INVOC!$PN$51</f>
        <v/>
      </c>
      <c r="L759" s="17" t="n"/>
      <c r="M759" s="68">
        <f>DADOS_INVOC!$PJ$51</f>
        <v/>
      </c>
      <c r="N759" s="120" t="n"/>
      <c r="O759" s="124" t="inlineStr">
        <is>
          <t>Projétil</t>
        </is>
      </c>
      <c r="P759" s="17" t="n"/>
      <c r="Q759" s="68">
        <f>DADOS_INVOC!$PN$52</f>
        <v/>
      </c>
      <c r="R759" s="17" t="n"/>
      <c r="S759" s="68">
        <f>DADOS_INVOC!$PJ$52</f>
        <v/>
      </c>
      <c r="T759" s="120" t="n"/>
      <c r="U759" s="124" t="inlineStr">
        <is>
          <t>Projétil</t>
        </is>
      </c>
      <c r="V759" s="17" t="n"/>
      <c r="W759" s="68">
        <f>DADOS_INVOC!$PN$53</f>
        <v/>
      </c>
      <c r="X759" s="17" t="n"/>
      <c r="Y759" s="68">
        <f>DADOS_INVOC!$PJ$53</f>
        <v/>
      </c>
      <c r="Z759" s="120" t="n"/>
      <c r="AB759" s="124" t="inlineStr">
        <is>
          <t>Projétil</t>
        </is>
      </c>
      <c r="AC759" s="17" t="n"/>
      <c r="AD759" s="68">
        <f>DADOS_INVOC!$PN$129</f>
        <v/>
      </c>
      <c r="AE759" s="17" t="n"/>
      <c r="AF759" s="68">
        <f>DADOS_INVOC!$PJ$129</f>
        <v/>
      </c>
      <c r="AG759" s="120" t="n"/>
      <c r="AH759" s="124" t="inlineStr">
        <is>
          <t>Projétil</t>
        </is>
      </c>
      <c r="AI759" s="17" t="n"/>
      <c r="AJ759" s="68">
        <f>DADOS_INVOC!$PN$130</f>
        <v/>
      </c>
      <c r="AK759" s="17" t="n"/>
      <c r="AL759" s="68">
        <f>DADOS_INVOC!$PJ$130</f>
        <v/>
      </c>
      <c r="AM759" s="120" t="n"/>
      <c r="AN759" s="124" t="inlineStr">
        <is>
          <t>Projétil</t>
        </is>
      </c>
      <c r="AO759" s="17" t="n"/>
      <c r="AP759" s="68">
        <f>DADOS_INVOC!$PN$131</f>
        <v/>
      </c>
      <c r="AQ759" s="17" t="n"/>
      <c r="AR759" s="68">
        <f>DADOS_INVOC!$PJ$131</f>
        <v/>
      </c>
      <c r="AS759" s="120" t="n"/>
    </row>
    <row r="760" hidden="1" outlineLevel="2">
      <c r="A760" s="8" t="n"/>
      <c r="B760" s="14" t="n"/>
      <c r="C760" s="120" t="n"/>
      <c r="D760" s="120" t="n"/>
      <c r="E760" s="120" t="n"/>
      <c r="F760" s="120" t="n"/>
      <c r="G760" s="120" t="n"/>
      <c r="I760" s="124" t="n"/>
      <c r="J760" s="17" t="n"/>
      <c r="K760" s="124" t="n"/>
      <c r="L760" s="16" t="n"/>
      <c r="M760" s="17" t="n"/>
      <c r="N760" s="120" t="n"/>
      <c r="O760" s="124" t="n"/>
      <c r="P760" s="17" t="n"/>
      <c r="Q760" s="124" t="n"/>
      <c r="R760" s="16" t="n"/>
      <c r="S760" s="17" t="n"/>
      <c r="T760" s="120" t="n"/>
      <c r="U760" s="124" t="n"/>
      <c r="V760" s="17" t="n"/>
      <c r="W760" s="124" t="n"/>
      <c r="X760" s="16" t="n"/>
      <c r="Y760" s="17" t="n"/>
      <c r="Z760" s="120" t="n"/>
      <c r="AB760" s="124" t="n"/>
      <c r="AC760" s="17" t="n"/>
      <c r="AD760" s="124" t="n"/>
      <c r="AE760" s="16" t="n"/>
      <c r="AF760" s="17" t="n"/>
      <c r="AG760" s="120" t="n"/>
      <c r="AH760" s="124" t="n"/>
      <c r="AI760" s="17" t="n"/>
      <c r="AJ760" s="124" t="n"/>
      <c r="AK760" s="16" t="n"/>
      <c r="AL760" s="17" t="n"/>
      <c r="AM760" s="120" t="n"/>
      <c r="AN760" s="124" t="n"/>
      <c r="AO760" s="17" t="n"/>
      <c r="AP760" s="124" t="n"/>
      <c r="AQ760" s="16" t="n"/>
      <c r="AR760" s="17" t="n"/>
      <c r="AS760" s="120" t="n"/>
    </row>
    <row r="761" hidden="1" outlineLevel="2">
      <c r="A761" s="8" t="n"/>
      <c r="B761" s="14" t="n"/>
      <c r="C761" s="120" t="n"/>
      <c r="D761" s="120" t="n"/>
      <c r="E761" s="120" t="n"/>
      <c r="F761" s="120" t="n"/>
      <c r="G761" s="120" t="n"/>
      <c r="I761" s="124">
        <f>DADOS_INVOC!$PK$51</f>
        <v/>
      </c>
      <c r="J761" s="17" t="n"/>
      <c r="K761" s="124">
        <f>DADOS_INVOC!$PM$51</f>
        <v/>
      </c>
      <c r="L761" s="16" t="n"/>
      <c r="M761" s="17" t="n"/>
      <c r="N761" s="120" t="n"/>
      <c r="O761" s="124">
        <f>DADOS_INVOC!$PK$52</f>
        <v/>
      </c>
      <c r="P761" s="17" t="n"/>
      <c r="Q761" s="124">
        <f>DADOS_INVOC!$PM$52</f>
        <v/>
      </c>
      <c r="R761" s="16" t="n"/>
      <c r="S761" s="17" t="n"/>
      <c r="T761" s="120" t="n"/>
      <c r="U761" s="124">
        <f>DADOS_INVOC!$PK$53</f>
        <v/>
      </c>
      <c r="V761" s="17" t="n"/>
      <c r="W761" s="124">
        <f>DADOS_INVOC!$PM$53</f>
        <v/>
      </c>
      <c r="X761" s="16" t="n"/>
      <c r="Y761" s="17" t="n"/>
      <c r="Z761" s="120" t="n"/>
      <c r="AB761" s="124">
        <f>DADOS_INVOC!$PK$129</f>
        <v/>
      </c>
      <c r="AC761" s="17" t="n"/>
      <c r="AD761" s="124">
        <f>DADOS_INVOC!$PM$129</f>
        <v/>
      </c>
      <c r="AE761" s="16" t="n"/>
      <c r="AF761" s="17" t="n"/>
      <c r="AG761" s="120" t="n"/>
      <c r="AH761" s="124">
        <f>DADOS_INVOC!$PK$130</f>
        <v/>
      </c>
      <c r="AI761" s="17" t="n"/>
      <c r="AJ761" s="124">
        <f>DADOS_INVOC!$PM$130</f>
        <v/>
      </c>
      <c r="AK761" s="16" t="n"/>
      <c r="AL761" s="17" t="n"/>
      <c r="AM761" s="120" t="n"/>
      <c r="AN761" s="124">
        <f>DADOS_INVOC!$PK$131</f>
        <v/>
      </c>
      <c r="AO761" s="17" t="n"/>
      <c r="AP761" s="124">
        <f>DADOS_INVOC!$PM$131</f>
        <v/>
      </c>
      <c r="AQ761" s="16" t="n"/>
      <c r="AR761" s="17" t="n"/>
      <c r="AS761" s="120" t="n"/>
    </row>
    <row r="762" hidden="1" outlineLevel="2">
      <c r="A762" s="8" t="n"/>
      <c r="B762" s="14" t="n"/>
      <c r="C762" s="120" t="n"/>
      <c r="D762" s="120" t="n"/>
      <c r="E762" s="120" t="n"/>
      <c r="F762" s="120" t="n"/>
      <c r="G762" s="120" t="n"/>
      <c r="I762" s="129">
        <f>DADOS_INVOC!$PS$51</f>
        <v/>
      </c>
      <c r="J762" s="16" t="n"/>
      <c r="K762" s="16" t="n"/>
      <c r="L762" s="16" t="n"/>
      <c r="M762" s="17" t="n"/>
      <c r="N762" s="120" t="n"/>
      <c r="O762" s="129">
        <f>DADOS_INVOC!$PS$52</f>
        <v/>
      </c>
      <c r="P762" s="16" t="n"/>
      <c r="Q762" s="16" t="n"/>
      <c r="R762" s="16" t="n"/>
      <c r="S762" s="17" t="n"/>
      <c r="T762" s="120" t="n"/>
      <c r="U762" s="129">
        <f>DADOS_INVOC!$PS$53</f>
        <v/>
      </c>
      <c r="V762" s="16" t="n"/>
      <c r="W762" s="16" t="n"/>
      <c r="X762" s="16" t="n"/>
      <c r="Y762" s="17" t="n"/>
      <c r="Z762" s="120" t="n"/>
      <c r="AB762" s="129">
        <f>DADOS_INVOC!$PS$129</f>
        <v/>
      </c>
      <c r="AC762" s="16" t="n"/>
      <c r="AD762" s="16" t="n"/>
      <c r="AE762" s="16" t="n"/>
      <c r="AF762" s="17" t="n"/>
      <c r="AG762" s="120" t="n"/>
      <c r="AH762" s="129">
        <f>DADOS_INVOC!$PS$130</f>
        <v/>
      </c>
      <c r="AI762" s="16" t="n"/>
      <c r="AJ762" s="16" t="n"/>
      <c r="AK762" s="16" t="n"/>
      <c r="AL762" s="17" t="n"/>
      <c r="AM762" s="120" t="n"/>
      <c r="AN762" s="129">
        <f>DADOS_INVOC!$PS$131</f>
        <v/>
      </c>
      <c r="AO762" s="16" t="n"/>
      <c r="AP762" s="16" t="n"/>
      <c r="AQ762" s="16" t="n"/>
      <c r="AR762" s="17" t="n"/>
      <c r="AS762" s="120" t="n"/>
    </row>
    <row r="763" hidden="1" outlineLevel="3">
      <c r="A763" s="8" t="n"/>
      <c r="B763" s="14" t="n"/>
      <c r="C763" s="120" t="n"/>
      <c r="D763" s="120" t="n"/>
      <c r="E763" s="120" t="n"/>
      <c r="F763" s="120" t="n"/>
      <c r="G763" s="120" t="n"/>
      <c r="I763" s="55" t="inlineStr">
        <is>
          <t>MELHORIAS</t>
        </is>
      </c>
      <c r="J763" s="130" t="n"/>
      <c r="K763" s="16" t="n"/>
      <c r="L763" s="17" t="n"/>
      <c r="M763" s="129">
        <f>DADOS_INVOC!$PV$51</f>
        <v/>
      </c>
      <c r="N763" s="120" t="n"/>
      <c r="O763" s="55" t="inlineStr">
        <is>
          <t>MELHORIAS</t>
        </is>
      </c>
      <c r="P763" s="130" t="n"/>
      <c r="Q763" s="16" t="n"/>
      <c r="R763" s="17" t="n"/>
      <c r="S763" s="129">
        <f>DADOS_INVOC!$PV$52</f>
        <v/>
      </c>
      <c r="T763" s="120" t="n"/>
      <c r="U763" s="55" t="inlineStr">
        <is>
          <t>MELHORIAS</t>
        </is>
      </c>
      <c r="V763" s="130" t="n"/>
      <c r="W763" s="16" t="n"/>
      <c r="X763" s="17" t="n"/>
      <c r="Y763" s="129">
        <f>DADOS_INVOC!$PV$53</f>
        <v/>
      </c>
      <c r="Z763" s="120" t="n"/>
      <c r="AB763" s="55" t="inlineStr">
        <is>
          <t>MELHORIAS</t>
        </is>
      </c>
      <c r="AC763" s="130" t="n"/>
      <c r="AD763" s="16" t="n"/>
      <c r="AE763" s="17" t="n"/>
      <c r="AF763" s="129">
        <f>DADOS_INVOC!$PV$129</f>
        <v/>
      </c>
      <c r="AG763" s="120" t="n"/>
      <c r="AH763" s="55" t="inlineStr">
        <is>
          <t>MELHORIAS</t>
        </is>
      </c>
      <c r="AI763" s="130" t="n"/>
      <c r="AJ763" s="16" t="n"/>
      <c r="AK763" s="17" t="n"/>
      <c r="AL763" s="129">
        <f>DADOS_INVOC!$PV$130</f>
        <v/>
      </c>
      <c r="AM763" s="120" t="n"/>
      <c r="AN763" s="55" t="inlineStr">
        <is>
          <t>MELHORIAS</t>
        </is>
      </c>
      <c r="AO763" s="130" t="n"/>
      <c r="AP763" s="16" t="n"/>
      <c r="AQ763" s="17" t="n"/>
      <c r="AR763" s="129">
        <f>DADOS_INVOC!$PV$131</f>
        <v/>
      </c>
      <c r="AS763" s="120" t="n"/>
    </row>
    <row r="764" hidden="1" outlineLevel="3">
      <c r="A764" s="8" t="n"/>
      <c r="B764" s="14" t="n"/>
      <c r="C764" s="120" t="n"/>
      <c r="D764" s="120" t="n"/>
      <c r="E764" s="120" t="n"/>
      <c r="F764" s="120" t="n"/>
      <c r="G764" s="120" t="n"/>
      <c r="I764" s="131" t="n"/>
      <c r="J764" s="130" t="n"/>
      <c r="K764" s="16" t="n"/>
      <c r="L764" s="17" t="n"/>
      <c r="M764" s="129">
        <f>DADOS_INVOC!$PW$51</f>
        <v/>
      </c>
      <c r="N764" s="120" t="n"/>
      <c r="O764" s="131" t="n"/>
      <c r="P764" s="130" t="n"/>
      <c r="Q764" s="16" t="n"/>
      <c r="R764" s="17" t="n"/>
      <c r="S764" s="129">
        <f>DADOS_INVOC!$PW$52</f>
        <v/>
      </c>
      <c r="T764" s="120" t="n"/>
      <c r="U764" s="131" t="n"/>
      <c r="V764" s="130" t="n"/>
      <c r="W764" s="16" t="n"/>
      <c r="X764" s="17" t="n"/>
      <c r="Y764" s="129">
        <f>DADOS_INVOC!$PW$53</f>
        <v/>
      </c>
      <c r="Z764" s="120" t="n"/>
      <c r="AB764" s="131" t="n"/>
      <c r="AC764" s="130" t="n"/>
      <c r="AD764" s="16" t="n"/>
      <c r="AE764" s="17" t="n"/>
      <c r="AF764" s="129">
        <f>DADOS_INVOC!$PW$129</f>
        <v/>
      </c>
      <c r="AG764" s="120" t="n"/>
      <c r="AH764" s="131" t="n"/>
      <c r="AI764" s="130" t="n"/>
      <c r="AJ764" s="16" t="n"/>
      <c r="AK764" s="17" t="n"/>
      <c r="AL764" s="129">
        <f>DADOS_INVOC!$PW$130</f>
        <v/>
      </c>
      <c r="AM764" s="120" t="n"/>
      <c r="AN764" s="131" t="n"/>
      <c r="AO764" s="130" t="n"/>
      <c r="AP764" s="16" t="n"/>
      <c r="AQ764" s="17" t="n"/>
      <c r="AR764" s="129">
        <f>DADOS_INVOC!$PW$131</f>
        <v/>
      </c>
      <c r="AS764" s="120" t="n"/>
    </row>
    <row r="765" hidden="1" outlineLevel="3">
      <c r="A765" s="8" t="n"/>
      <c r="B765" s="14" t="n"/>
      <c r="C765" s="120" t="n"/>
      <c r="D765" s="120" t="n"/>
      <c r="E765" s="120" t="n"/>
      <c r="F765" s="120" t="n"/>
      <c r="G765" s="120" t="n"/>
      <c r="I765" s="131" t="n"/>
      <c r="J765" s="130" t="n"/>
      <c r="K765" s="16" t="n"/>
      <c r="L765" s="17" t="n"/>
      <c r="M765" s="129">
        <f>DADOS_INVOC!$PX$51</f>
        <v/>
      </c>
      <c r="N765" s="120" t="n"/>
      <c r="O765" s="131" t="n"/>
      <c r="P765" s="130" t="n"/>
      <c r="Q765" s="16" t="n"/>
      <c r="R765" s="17" t="n"/>
      <c r="S765" s="129">
        <f>DADOS_INVOC!$PX$52</f>
        <v/>
      </c>
      <c r="T765" s="120" t="n"/>
      <c r="U765" s="131" t="n"/>
      <c r="V765" s="130" t="n"/>
      <c r="W765" s="16" t="n"/>
      <c r="X765" s="17" t="n"/>
      <c r="Y765" s="129">
        <f>DADOS_INVOC!$PX$53</f>
        <v/>
      </c>
      <c r="Z765" s="120" t="n"/>
      <c r="AB765" s="131" t="n"/>
      <c r="AC765" s="130" t="n"/>
      <c r="AD765" s="16" t="n"/>
      <c r="AE765" s="17" t="n"/>
      <c r="AF765" s="129">
        <f>DADOS_INVOC!$PX$129</f>
        <v/>
      </c>
      <c r="AG765" s="120" t="n"/>
      <c r="AH765" s="131" t="n"/>
      <c r="AI765" s="130" t="n"/>
      <c r="AJ765" s="16" t="n"/>
      <c r="AK765" s="17" t="n"/>
      <c r="AL765" s="129">
        <f>DADOS_INVOC!$PX$130</f>
        <v/>
      </c>
      <c r="AM765" s="120" t="n"/>
      <c r="AN765" s="131" t="n"/>
      <c r="AO765" s="130" t="n"/>
      <c r="AP765" s="16" t="n"/>
      <c r="AQ765" s="17" t="n"/>
      <c r="AR765" s="129">
        <f>DADOS_INVOC!$PX$131</f>
        <v/>
      </c>
      <c r="AS765" s="120" t="n"/>
    </row>
    <row r="766" hidden="1" outlineLevel="3">
      <c r="A766" s="8" t="n"/>
      <c r="B766" s="14" t="n"/>
      <c r="C766" s="120" t="n"/>
      <c r="D766" s="120" t="n"/>
      <c r="E766" s="120" t="n"/>
      <c r="F766" s="120" t="n"/>
      <c r="G766" s="120" t="n"/>
      <c r="I766" s="125" t="n"/>
      <c r="J766" s="130" t="n"/>
      <c r="K766" s="16" t="n"/>
      <c r="L766" s="17" t="n"/>
      <c r="M766" s="129">
        <f>DADOS_INVOC!$PY$51</f>
        <v/>
      </c>
      <c r="N766" s="120" t="n"/>
      <c r="O766" s="125" t="n"/>
      <c r="P766" s="130" t="n"/>
      <c r="Q766" s="16" t="n"/>
      <c r="R766" s="17" t="n"/>
      <c r="S766" s="129">
        <f>DADOS_INVOC!$PY$52</f>
        <v/>
      </c>
      <c r="T766" s="120" t="n"/>
      <c r="U766" s="125" t="n"/>
      <c r="V766" s="130" t="n"/>
      <c r="W766" s="16" t="n"/>
      <c r="X766" s="17" t="n"/>
      <c r="Y766" s="129">
        <f>DADOS_INVOC!$PY$53</f>
        <v/>
      </c>
      <c r="Z766" s="120" t="n"/>
      <c r="AB766" s="125" t="n"/>
      <c r="AC766" s="130" t="n"/>
      <c r="AD766" s="16" t="n"/>
      <c r="AE766" s="17" t="n"/>
      <c r="AF766" s="129">
        <f>DADOS_INVOC!$PY$129</f>
        <v/>
      </c>
      <c r="AG766" s="120" t="n"/>
      <c r="AH766" s="125" t="n"/>
      <c r="AI766" s="130" t="n"/>
      <c r="AJ766" s="16" t="n"/>
      <c r="AK766" s="17" t="n"/>
      <c r="AL766" s="129">
        <f>DADOS_INVOC!$PY$130</f>
        <v/>
      </c>
      <c r="AM766" s="120" t="n"/>
      <c r="AN766" s="125" t="n"/>
      <c r="AO766" s="130" t="n"/>
      <c r="AP766" s="16" t="n"/>
      <c r="AQ766" s="17" t="n"/>
      <c r="AR766" s="129">
        <f>DADOS_INVOC!$PY$131</f>
        <v/>
      </c>
      <c r="AS766" s="120" t="n"/>
    </row>
    <row r="767" hidden="1" outlineLevel="3">
      <c r="A767" s="8" t="n"/>
      <c r="B767" s="14" t="n"/>
      <c r="C767" s="120" t="n"/>
      <c r="D767" s="120" t="n"/>
      <c r="E767" s="120" t="n"/>
      <c r="F767" s="120" t="n"/>
      <c r="G767" s="120" t="n"/>
      <c r="I767" s="55" t="inlineStr">
        <is>
          <t>RESTRIÇÕES</t>
        </is>
      </c>
      <c r="J767" s="130" t="n"/>
      <c r="K767" s="16" t="n"/>
      <c r="L767" s="17" t="n"/>
      <c r="M767" s="129">
        <f>DADOS_INVOC!$PZ$51</f>
        <v/>
      </c>
      <c r="N767" s="120" t="n"/>
      <c r="O767" s="55" t="inlineStr">
        <is>
          <t>RESTRIÇÕES</t>
        </is>
      </c>
      <c r="P767" s="130" t="n"/>
      <c r="Q767" s="16" t="n"/>
      <c r="R767" s="17" t="n"/>
      <c r="S767" s="129">
        <f>DADOS_INVOC!$PZ$52</f>
        <v/>
      </c>
      <c r="T767" s="120" t="n"/>
      <c r="U767" s="55" t="inlineStr">
        <is>
          <t>RESTRIÇÕES</t>
        </is>
      </c>
      <c r="V767" s="130" t="n"/>
      <c r="W767" s="16" t="n"/>
      <c r="X767" s="17" t="n"/>
      <c r="Y767" s="129">
        <f>DADOS_INVOC!$PZ$53</f>
        <v/>
      </c>
      <c r="Z767" s="120" t="n"/>
      <c r="AB767" s="55" t="inlineStr">
        <is>
          <t>RESTRIÇÕES</t>
        </is>
      </c>
      <c r="AC767" s="130" t="n"/>
      <c r="AD767" s="16" t="n"/>
      <c r="AE767" s="17" t="n"/>
      <c r="AF767" s="129">
        <f>DADOS_INVOC!$PZ$129</f>
        <v/>
      </c>
      <c r="AG767" s="120" t="n"/>
      <c r="AH767" s="55" t="inlineStr">
        <is>
          <t>RESTRIÇÕES</t>
        </is>
      </c>
      <c r="AI767" s="130" t="n"/>
      <c r="AJ767" s="16" t="n"/>
      <c r="AK767" s="17" t="n"/>
      <c r="AL767" s="129">
        <f>DADOS_INVOC!$PZ$130</f>
        <v/>
      </c>
      <c r="AM767" s="120" t="n"/>
      <c r="AN767" s="55" t="inlineStr">
        <is>
          <t>RESTRIÇÕES</t>
        </is>
      </c>
      <c r="AO767" s="130" t="n"/>
      <c r="AP767" s="16" t="n"/>
      <c r="AQ767" s="17" t="n"/>
      <c r="AR767" s="129">
        <f>DADOS_INVOC!$PZ$131</f>
        <v/>
      </c>
      <c r="AS767" s="120" t="n"/>
    </row>
    <row r="768" hidden="1" outlineLevel="3">
      <c r="A768" s="8" t="n"/>
      <c r="B768" s="14" t="n"/>
      <c r="C768" s="120" t="n"/>
      <c r="D768" s="120" t="n"/>
      <c r="E768" s="120" t="n"/>
      <c r="F768" s="120" t="n"/>
      <c r="G768" s="120" t="n"/>
      <c r="I768" s="125" t="n"/>
      <c r="J768" s="130" t="n"/>
      <c r="K768" s="16" t="n"/>
      <c r="L768" s="17" t="n"/>
      <c r="M768" s="129">
        <f>DADOS_INVOC!$QA$51</f>
        <v/>
      </c>
      <c r="N768" s="120" t="n"/>
      <c r="O768" s="125" t="n"/>
      <c r="P768" s="130" t="n"/>
      <c r="Q768" s="16" t="n"/>
      <c r="R768" s="17" t="n"/>
      <c r="S768" s="129">
        <f>DADOS_INVOC!$QA$52</f>
        <v/>
      </c>
      <c r="T768" s="120" t="n"/>
      <c r="U768" s="125" t="n"/>
      <c r="V768" s="130" t="n"/>
      <c r="W768" s="16" t="n"/>
      <c r="X768" s="17" t="n"/>
      <c r="Y768" s="129">
        <f>DADOS_INVOC!$QA$53</f>
        <v/>
      </c>
      <c r="Z768" s="120" t="n"/>
      <c r="AB768" s="125" t="n"/>
      <c r="AC768" s="130" t="n"/>
      <c r="AD768" s="16" t="n"/>
      <c r="AE768" s="17" t="n"/>
      <c r="AF768" s="129">
        <f>DADOS_INVOC!$QA$129</f>
        <v/>
      </c>
      <c r="AG768" s="120" t="n"/>
      <c r="AH768" s="125" t="n"/>
      <c r="AI768" s="130" t="n"/>
      <c r="AJ768" s="16" t="n"/>
      <c r="AK768" s="17" t="n"/>
      <c r="AL768" s="129">
        <f>DADOS_INVOC!$QA$130</f>
        <v/>
      </c>
      <c r="AM768" s="120" t="n"/>
      <c r="AN768" s="125" t="n"/>
      <c r="AO768" s="130" t="n"/>
      <c r="AP768" s="16" t="n"/>
      <c r="AQ768" s="17" t="n"/>
      <c r="AR768" s="129">
        <f>DADOS_INVOC!$QA$131</f>
        <v/>
      </c>
      <c r="AS768" s="120" t="n"/>
    </row>
    <row r="769" hidden="1" outlineLevel="3">
      <c r="A769" s="8" t="n"/>
      <c r="B769" s="14" t="n"/>
      <c r="C769" s="120" t="n"/>
      <c r="D769" s="120" t="n"/>
      <c r="E769" s="120" t="n"/>
      <c r="F769" s="120" t="n"/>
      <c r="G769" s="120" t="n"/>
      <c r="I769" s="55" t="inlineStr">
        <is>
          <t>CONTA</t>
        </is>
      </c>
      <c r="J769" s="132">
        <f>DADOS_INVOC!$PT$51</f>
        <v/>
      </c>
      <c r="K769" s="16" t="n"/>
      <c r="L769" s="16" t="n"/>
      <c r="M769" s="17" t="n"/>
      <c r="N769" s="120" t="n"/>
      <c r="O769" s="55" t="inlineStr">
        <is>
          <t>CONTA</t>
        </is>
      </c>
      <c r="P769" s="132">
        <f>DADOS_INVOC!$PT$52</f>
        <v/>
      </c>
      <c r="Q769" s="16" t="n"/>
      <c r="R769" s="16" t="n"/>
      <c r="S769" s="17" t="n"/>
      <c r="T769" s="120" t="n"/>
      <c r="U769" s="55" t="inlineStr">
        <is>
          <t>CONTA</t>
        </is>
      </c>
      <c r="V769" s="132">
        <f>DADOS_INVOC!$PT$53</f>
        <v/>
      </c>
      <c r="W769" s="16" t="n"/>
      <c r="X769" s="16" t="n"/>
      <c r="Y769" s="17" t="n"/>
      <c r="Z769" s="120" t="n"/>
      <c r="AB769" s="55" t="inlineStr">
        <is>
          <t>CONTA</t>
        </is>
      </c>
      <c r="AC769" s="132">
        <f>DADOS_INVOC!$PT$129</f>
        <v/>
      </c>
      <c r="AD769" s="16" t="n"/>
      <c r="AE769" s="16" t="n"/>
      <c r="AF769" s="17" t="n"/>
      <c r="AG769" s="120" t="n"/>
      <c r="AH769" s="55" t="inlineStr">
        <is>
          <t>CONTA</t>
        </is>
      </c>
      <c r="AI769" s="132">
        <f>DADOS_INVOC!$PT$130</f>
        <v/>
      </c>
      <c r="AJ769" s="16" t="n"/>
      <c r="AK769" s="16" t="n"/>
      <c r="AL769" s="17" t="n"/>
      <c r="AM769" s="120" t="n"/>
      <c r="AN769" s="55" t="inlineStr">
        <is>
          <t>CONTA</t>
        </is>
      </c>
      <c r="AO769" s="132">
        <f>DADOS_INVOC!$PT$131</f>
        <v/>
      </c>
      <c r="AP769" s="16" t="n"/>
      <c r="AQ769" s="16" t="n"/>
      <c r="AR769" s="17" t="n"/>
      <c r="AS769" s="120" t="n"/>
    </row>
    <row r="770" hidden="1" outlineLevel="3">
      <c r="A770" s="8" t="n"/>
      <c r="B770" s="14" t="n"/>
      <c r="C770" s="120" t="n"/>
      <c r="D770" s="120" t="n"/>
      <c r="E770" s="120" t="n"/>
      <c r="F770" s="120" t="n"/>
      <c r="G770" s="120" t="n"/>
      <c r="I770" s="55" t="inlineStr">
        <is>
          <t>AMPLIAR</t>
        </is>
      </c>
      <c r="J770" s="132">
        <f>DADOS_INVOC!$PU$51</f>
        <v/>
      </c>
      <c r="K770" s="19" t="n"/>
      <c r="L770" s="19" t="n"/>
      <c r="M770" s="20" t="n"/>
      <c r="N770" s="120" t="n"/>
      <c r="O770" s="55" t="inlineStr">
        <is>
          <t>AMPLIAR</t>
        </is>
      </c>
      <c r="P770" s="132">
        <f>DADOS_INVOC!$PU$52</f>
        <v/>
      </c>
      <c r="Q770" s="19" t="n"/>
      <c r="R770" s="19" t="n"/>
      <c r="S770" s="20" t="n"/>
      <c r="T770" s="120" t="n"/>
      <c r="U770" s="55" t="inlineStr">
        <is>
          <t>AMPLIAR</t>
        </is>
      </c>
      <c r="V770" s="132">
        <f>DADOS_INVOC!$PU$53</f>
        <v/>
      </c>
      <c r="W770" s="19" t="n"/>
      <c r="X770" s="19" t="n"/>
      <c r="Y770" s="20" t="n"/>
      <c r="Z770" s="120" t="n"/>
      <c r="AB770" s="55" t="inlineStr">
        <is>
          <t>AMPLIAR</t>
        </is>
      </c>
      <c r="AC770" s="132">
        <f>DADOS_INVOC!$PU$129</f>
        <v/>
      </c>
      <c r="AD770" s="19" t="n"/>
      <c r="AE770" s="19" t="n"/>
      <c r="AF770" s="20" t="n"/>
      <c r="AG770" s="120" t="n"/>
      <c r="AH770" s="55" t="inlineStr">
        <is>
          <t>AMPLIAR</t>
        </is>
      </c>
      <c r="AI770" s="132">
        <f>DADOS_INVOC!$PU$130</f>
        <v/>
      </c>
      <c r="AJ770" s="19" t="n"/>
      <c r="AK770" s="19" t="n"/>
      <c r="AL770" s="20" t="n"/>
      <c r="AM770" s="120" t="n"/>
      <c r="AN770" s="55" t="inlineStr">
        <is>
          <t>AMPLIAR</t>
        </is>
      </c>
      <c r="AO770" s="132">
        <f>DADOS_INVOC!$PU$131</f>
        <v/>
      </c>
      <c r="AP770" s="19" t="n"/>
      <c r="AQ770" s="19" t="n"/>
      <c r="AR770" s="20" t="n"/>
      <c r="AS770" s="120" t="n"/>
    </row>
    <row r="771" hidden="1" outlineLevel="3">
      <c r="A771" s="8" t="n"/>
      <c r="B771" s="14" t="n"/>
      <c r="C771" s="120" t="n"/>
      <c r="D771" s="120" t="n"/>
      <c r="E771" s="120" t="n"/>
      <c r="F771" s="120" t="n"/>
      <c r="G771" s="120" t="n"/>
      <c r="I771" s="125" t="n"/>
      <c r="J771" s="23" t="n"/>
      <c r="K771" s="24" t="n"/>
      <c r="L771" s="24" t="n"/>
      <c r="M771" s="25" t="n"/>
      <c r="N771" s="120" t="n"/>
      <c r="O771" s="125" t="n"/>
      <c r="P771" s="23" t="n"/>
      <c r="Q771" s="24" t="n"/>
      <c r="R771" s="24" t="n"/>
      <c r="S771" s="25" t="n"/>
      <c r="T771" s="120" t="n"/>
      <c r="U771" s="125" t="n"/>
      <c r="V771" s="23" t="n"/>
      <c r="W771" s="24" t="n"/>
      <c r="X771" s="24" t="n"/>
      <c r="Y771" s="25" t="n"/>
      <c r="Z771" s="120" t="n"/>
      <c r="AB771" s="125" t="n"/>
      <c r="AC771" s="23" t="n"/>
      <c r="AD771" s="24" t="n"/>
      <c r="AE771" s="24" t="n"/>
      <c r="AF771" s="25" t="n"/>
      <c r="AG771" s="120" t="n"/>
      <c r="AH771" s="125" t="n"/>
      <c r="AI771" s="23" t="n"/>
      <c r="AJ771" s="24" t="n"/>
      <c r="AK771" s="24" t="n"/>
      <c r="AL771" s="25" t="n"/>
      <c r="AM771" s="120" t="n"/>
      <c r="AN771" s="125" t="n"/>
      <c r="AO771" s="23" t="n"/>
      <c r="AP771" s="24" t="n"/>
      <c r="AQ771" s="24" t="n"/>
      <c r="AR771" s="25" t="n"/>
      <c r="AS771" s="120" t="n"/>
    </row>
    <row r="772" hidden="1" outlineLevel="3">
      <c r="A772" s="8" t="n"/>
      <c r="B772" s="14" t="n"/>
      <c r="C772" s="120" t="n"/>
      <c r="D772" s="120" t="n"/>
      <c r="E772" s="120" t="n"/>
      <c r="F772" s="120" t="n"/>
      <c r="G772" s="120" t="n"/>
      <c r="I772" s="132">
        <f>DADOS_INVOC!$PH$51</f>
        <v/>
      </c>
      <c r="J772" s="19" t="n"/>
      <c r="K772" s="19" t="n"/>
      <c r="L772" s="19" t="n"/>
      <c r="M772" s="20" t="n"/>
      <c r="N772" s="120" t="n"/>
      <c r="O772" s="132">
        <f>DADOS_INVOC!$PH$52</f>
        <v/>
      </c>
      <c r="P772" s="19" t="n"/>
      <c r="Q772" s="19" t="n"/>
      <c r="R772" s="19" t="n"/>
      <c r="S772" s="20" t="n"/>
      <c r="T772" s="120" t="n"/>
      <c r="U772" s="132">
        <f>DADOS_INVOC!$PH$53</f>
        <v/>
      </c>
      <c r="V772" s="19" t="n"/>
      <c r="W772" s="19" t="n"/>
      <c r="X772" s="19" t="n"/>
      <c r="Y772" s="20" t="n"/>
      <c r="Z772" s="120" t="n"/>
      <c r="AB772" s="132">
        <f>DADOS_INVOC!$PH$129</f>
        <v/>
      </c>
      <c r="AC772" s="19" t="n"/>
      <c r="AD772" s="19" t="n"/>
      <c r="AE772" s="19" t="n"/>
      <c r="AF772" s="20" t="n"/>
      <c r="AG772" s="120" t="n"/>
      <c r="AH772" s="132">
        <f>DADOS_INVOC!$PH$130</f>
        <v/>
      </c>
      <c r="AI772" s="19" t="n"/>
      <c r="AJ772" s="19" t="n"/>
      <c r="AK772" s="19" t="n"/>
      <c r="AL772" s="20" t="n"/>
      <c r="AM772" s="120" t="n"/>
      <c r="AN772" s="132">
        <f>DADOS_INVOC!$PH$131</f>
        <v/>
      </c>
      <c r="AO772" s="19" t="n"/>
      <c r="AP772" s="19" t="n"/>
      <c r="AQ772" s="19" t="n"/>
      <c r="AR772" s="20" t="n"/>
      <c r="AS772" s="120" t="n"/>
    </row>
    <row r="773" hidden="1" outlineLevel="3">
      <c r="A773" s="8" t="n"/>
      <c r="B773" s="14" t="n"/>
      <c r="C773" s="120" t="n"/>
      <c r="D773" s="120" t="n"/>
      <c r="E773" s="120" t="n"/>
      <c r="F773" s="120" t="n"/>
      <c r="G773" s="120" t="n"/>
      <c r="I773" s="23" t="n"/>
      <c r="J773" s="24" t="n"/>
      <c r="K773" s="24" t="n"/>
      <c r="L773" s="24" t="n"/>
      <c r="M773" s="25" t="n"/>
      <c r="N773" s="120" t="n"/>
      <c r="O773" s="23" t="n"/>
      <c r="P773" s="24" t="n"/>
      <c r="Q773" s="24" t="n"/>
      <c r="R773" s="24" t="n"/>
      <c r="S773" s="25" t="n"/>
      <c r="T773" s="120" t="n"/>
      <c r="U773" s="23" t="n"/>
      <c r="V773" s="24" t="n"/>
      <c r="W773" s="24" t="n"/>
      <c r="X773" s="24" t="n"/>
      <c r="Y773" s="25" t="n"/>
      <c r="Z773" s="120" t="n"/>
      <c r="AB773" s="23" t="n"/>
      <c r="AC773" s="24" t="n"/>
      <c r="AD773" s="24" t="n"/>
      <c r="AE773" s="24" t="n"/>
      <c r="AF773" s="25" t="n"/>
      <c r="AG773" s="120" t="n"/>
      <c r="AH773" s="23" t="n"/>
      <c r="AI773" s="24" t="n"/>
      <c r="AJ773" s="24" t="n"/>
      <c r="AK773" s="24" t="n"/>
      <c r="AL773" s="25" t="n"/>
      <c r="AM773" s="120" t="n"/>
      <c r="AN773" s="23" t="n"/>
      <c r="AO773" s="24" t="n"/>
      <c r="AP773" s="24" t="n"/>
      <c r="AQ773" s="24" t="n"/>
      <c r="AR773" s="25" t="n"/>
      <c r="AS773" s="120" t="n"/>
    </row>
    <row r="774" hidden="1" outlineLevel="2">
      <c r="A774" s="8" t="n"/>
      <c r="B774" s="14" t="n"/>
      <c r="C774" s="120" t="n"/>
      <c r="D774" s="120" t="n"/>
      <c r="E774" s="120" t="n"/>
      <c r="F774" s="120" t="n"/>
      <c r="G774" s="120" t="n"/>
      <c r="I774" s="120" t="n"/>
      <c r="J774" s="120" t="n"/>
      <c r="K774" s="120" t="n"/>
      <c r="L774" s="120" t="n"/>
      <c r="M774" s="120" t="n"/>
      <c r="N774" s="120" t="n"/>
      <c r="O774" s="120" t="n"/>
      <c r="P774" s="120" t="n"/>
      <c r="Q774" s="120" t="n"/>
      <c r="R774" s="120" t="n"/>
      <c r="S774" s="120" t="n"/>
      <c r="T774" s="120" t="n"/>
      <c r="U774" s="120" t="n"/>
      <c r="V774" s="120" t="n"/>
      <c r="W774" s="120" t="n"/>
      <c r="X774" s="120" t="n"/>
      <c r="Y774" s="120" t="n"/>
      <c r="Z774" s="120" t="n"/>
      <c r="AB774" s="120" t="n"/>
      <c r="AC774" s="120" t="n"/>
      <c r="AD774" s="120" t="n"/>
      <c r="AE774" s="120" t="n"/>
      <c r="AF774" s="120" t="n"/>
      <c r="AG774" s="120" t="n"/>
      <c r="AH774" s="120" t="n"/>
      <c r="AI774" s="120" t="n"/>
      <c r="AJ774" s="120" t="n"/>
      <c r="AK774" s="120" t="n"/>
      <c r="AL774" s="120" t="n"/>
      <c r="AM774" s="120" t="n"/>
      <c r="AN774" s="120" t="n"/>
      <c r="AO774" s="120" t="n"/>
      <c r="AP774" s="120" t="n"/>
      <c r="AQ774" s="120" t="n"/>
      <c r="AR774" s="120" t="n"/>
      <c r="AS774" s="120" t="n"/>
    </row>
    <row r="775" hidden="1" outlineLevel="2">
      <c r="A775" s="8" t="n"/>
      <c r="B775" s="14" t="n"/>
      <c r="C775" s="120" t="n"/>
      <c r="D775" s="120" t="n"/>
      <c r="E775" s="120" t="n"/>
      <c r="F775" s="120" t="n"/>
      <c r="G775" s="120"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0"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0" t="n"/>
    </row>
    <row r="776" hidden="1" outlineLevel="2">
      <c r="A776" s="8" t="n"/>
      <c r="B776" s="14" t="n"/>
      <c r="C776" s="120" t="n"/>
      <c r="D776" s="120" t="n"/>
      <c r="E776" s="120" t="n"/>
      <c r="F776" s="120" t="n"/>
      <c r="G776" s="120" t="n"/>
      <c r="I776" s="55" t="inlineStr">
        <is>
          <t>TRILHA · CE 1</t>
        </is>
      </c>
      <c r="J776" s="130" t="n"/>
      <c r="K776" s="16" t="n"/>
      <c r="L776" s="17" t="n"/>
      <c r="M776" s="137">
        <f>DADOS_INVOC!$II$5</f>
        <v/>
      </c>
      <c r="N776" s="16" t="n"/>
      <c r="O776" s="16" t="n"/>
      <c r="P776" s="16" t="n"/>
      <c r="Q776" s="16" t="n"/>
      <c r="R776" s="16" t="n"/>
      <c r="S776" s="16" t="n"/>
      <c r="T776" s="16" t="n"/>
      <c r="U776" s="16" t="n"/>
      <c r="V776" s="16" t="n"/>
      <c r="W776" s="16" t="n"/>
      <c r="X776" s="16" t="n"/>
      <c r="Y776" s="17" t="n"/>
      <c r="Z776" s="120" t="n"/>
      <c r="AB776" s="55" t="inlineStr">
        <is>
          <t>TRILHA · CE 1</t>
        </is>
      </c>
      <c r="AC776" s="130" t="n"/>
      <c r="AD776" s="16" t="n"/>
      <c r="AE776" s="17" t="n"/>
      <c r="AF776" s="137">
        <f>DADOS_INVOC!$II$11</f>
        <v/>
      </c>
      <c r="AG776" s="16" t="n"/>
      <c r="AH776" s="16" t="n"/>
      <c r="AI776" s="16" t="n"/>
      <c r="AJ776" s="16" t="n"/>
      <c r="AK776" s="16" t="n"/>
      <c r="AL776" s="16" t="n"/>
      <c r="AM776" s="16" t="n"/>
      <c r="AN776" s="16" t="n"/>
      <c r="AO776" s="16" t="n"/>
      <c r="AP776" s="16" t="n"/>
      <c r="AQ776" s="16" t="n"/>
      <c r="AR776" s="17" t="n"/>
      <c r="AS776" s="120" t="n"/>
    </row>
    <row r="777" hidden="1" outlineLevel="2">
      <c r="A777" s="8" t="n"/>
      <c r="B777" s="14" t="n"/>
      <c r="C777" s="120" t="n"/>
      <c r="D777" s="120" t="n"/>
      <c r="E777" s="120" t="n"/>
      <c r="F777" s="120" t="n"/>
      <c r="G777" s="120" t="n"/>
      <c r="I777" s="55" t="inlineStr">
        <is>
          <t>TRILHA · CE 1</t>
        </is>
      </c>
      <c r="J777" s="130" t="n"/>
      <c r="K777" s="16" t="n"/>
      <c r="L777" s="17" t="n"/>
      <c r="M777" s="137">
        <f>DADOS_INVOC!$IJ$5</f>
        <v/>
      </c>
      <c r="N777" s="16" t="n"/>
      <c r="O777" s="16" t="n"/>
      <c r="P777" s="16" t="n"/>
      <c r="Q777" s="16" t="n"/>
      <c r="R777" s="16" t="n"/>
      <c r="S777" s="16" t="n"/>
      <c r="T777" s="16" t="n"/>
      <c r="U777" s="16" t="n"/>
      <c r="V777" s="16" t="n"/>
      <c r="W777" s="16" t="n"/>
      <c r="X777" s="16" t="n"/>
      <c r="Y777" s="17" t="n"/>
      <c r="Z777" s="120" t="n"/>
      <c r="AB777" s="55" t="inlineStr">
        <is>
          <t>TRILHA · CE 1</t>
        </is>
      </c>
      <c r="AC777" s="130" t="n"/>
      <c r="AD777" s="16" t="n"/>
      <c r="AE777" s="17" t="n"/>
      <c r="AF777" s="137">
        <f>DADOS_INVOC!$IJ$11</f>
        <v/>
      </c>
      <c r="AG777" s="16" t="n"/>
      <c r="AH777" s="16" t="n"/>
      <c r="AI777" s="16" t="n"/>
      <c r="AJ777" s="16" t="n"/>
      <c r="AK777" s="16" t="n"/>
      <c r="AL777" s="16" t="n"/>
      <c r="AM777" s="16" t="n"/>
      <c r="AN777" s="16" t="n"/>
      <c r="AO777" s="16" t="n"/>
      <c r="AP777" s="16" t="n"/>
      <c r="AQ777" s="16" t="n"/>
      <c r="AR777" s="17" t="n"/>
      <c r="AS777" s="120" t="n"/>
    </row>
    <row r="778" hidden="1" outlineLevel="2">
      <c r="A778" s="8" t="n"/>
      <c r="B778" s="14" t="n"/>
      <c r="C778" s="120" t="n"/>
      <c r="D778" s="120" t="n"/>
      <c r="E778" s="120" t="n"/>
      <c r="F778" s="120" t="n"/>
      <c r="G778" s="120" t="n"/>
      <c r="I778" s="55" t="inlineStr">
        <is>
          <t>TRILHA · CE 1</t>
        </is>
      </c>
      <c r="J778" s="130" t="n"/>
      <c r="K778" s="16" t="n"/>
      <c r="L778" s="17" t="n"/>
      <c r="M778" s="137">
        <f>DADOS_INVOC!$IK$5</f>
        <v/>
      </c>
      <c r="N778" s="16" t="n"/>
      <c r="O778" s="16" t="n"/>
      <c r="P778" s="16" t="n"/>
      <c r="Q778" s="16" t="n"/>
      <c r="R778" s="16" t="n"/>
      <c r="S778" s="16" t="n"/>
      <c r="T778" s="16" t="n"/>
      <c r="U778" s="16" t="n"/>
      <c r="V778" s="16" t="n"/>
      <c r="W778" s="16" t="n"/>
      <c r="X778" s="16" t="n"/>
      <c r="Y778" s="17" t="n"/>
      <c r="Z778" s="120" t="n"/>
      <c r="AB778" s="55" t="inlineStr">
        <is>
          <t>TRILHA · CE 1</t>
        </is>
      </c>
      <c r="AC778" s="130" t="n"/>
      <c r="AD778" s="16" t="n"/>
      <c r="AE778" s="17" t="n"/>
      <c r="AF778" s="137">
        <f>DADOS_INVOC!$IK$11</f>
        <v/>
      </c>
      <c r="AG778" s="16" t="n"/>
      <c r="AH778" s="16" t="n"/>
      <c r="AI778" s="16" t="n"/>
      <c r="AJ778" s="16" t="n"/>
      <c r="AK778" s="16" t="n"/>
      <c r="AL778" s="16" t="n"/>
      <c r="AM778" s="16" t="n"/>
      <c r="AN778" s="16" t="n"/>
      <c r="AO778" s="16" t="n"/>
      <c r="AP778" s="16" t="n"/>
      <c r="AQ778" s="16" t="n"/>
      <c r="AR778" s="17" t="n"/>
      <c r="AS778" s="120" t="n"/>
    </row>
    <row r="779" hidden="1" outlineLevel="1">
      <c r="A779" s="8" t="n"/>
      <c r="B779" s="14" t="n"/>
      <c r="C779" s="120" t="n"/>
      <c r="D779" s="120" t="n"/>
      <c r="E779" s="120" t="n"/>
      <c r="F779" s="120" t="n"/>
      <c r="G779" s="120" t="n"/>
      <c r="I779" s="120" t="n"/>
      <c r="J779" s="120" t="n"/>
      <c r="K779" s="120" t="n"/>
      <c r="L779" s="120" t="n"/>
      <c r="M779" s="120" t="n"/>
      <c r="N779" s="120" t="n"/>
      <c r="O779" s="120" t="n"/>
      <c r="P779" s="120" t="n"/>
      <c r="Q779" s="120" t="n"/>
      <c r="R779" s="120" t="n"/>
      <c r="S779" s="120" t="n"/>
      <c r="T779" s="120" t="n"/>
      <c r="U779" s="120" t="n"/>
      <c r="V779" s="120" t="n"/>
      <c r="W779" s="120" t="n"/>
      <c r="X779" s="120" t="n"/>
      <c r="Y779" s="120" t="n"/>
      <c r="Z779" s="120" t="n"/>
      <c r="AB779" s="120" t="n"/>
      <c r="AC779" s="120" t="n"/>
      <c r="AD779" s="120" t="n"/>
      <c r="AE779" s="120" t="n"/>
      <c r="AF779" s="120" t="n"/>
      <c r="AG779" s="120" t="n"/>
      <c r="AH779" s="120" t="n"/>
      <c r="AI779" s="120" t="n"/>
      <c r="AJ779" s="120" t="n"/>
      <c r="AK779" s="120" t="n"/>
      <c r="AL779" s="120" t="n"/>
      <c r="AM779" s="120" t="n"/>
      <c r="AN779" s="120" t="n"/>
      <c r="AO779" s="120" t="n"/>
      <c r="AP779" s="120" t="n"/>
      <c r="AQ779" s="120" t="n"/>
      <c r="AR779" s="120" t="n"/>
      <c r="AS779" s="120" t="n"/>
    </row>
    <row r="780" hidden="1" outlineLevel="1">
      <c r="A780" s="8" t="n"/>
      <c r="B780" s="14" t="n"/>
      <c r="C780" s="120" t="n"/>
      <c r="D780" s="120" t="n"/>
      <c r="E780" s="120" t="n"/>
      <c r="F780" s="120" t="n"/>
      <c r="G780" s="120" t="n"/>
      <c r="I780" s="13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0" t="n"/>
      <c r="AB780" s="13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0" t="n"/>
    </row>
    <row r="781" hidden="1" outlineLevel="2">
      <c r="A781" s="8" t="n"/>
      <c r="B781" s="14" t="n"/>
      <c r="C781" s="120" t="n"/>
      <c r="D781" s="120" t="n"/>
      <c r="E781" s="120" t="n"/>
      <c r="F781" s="120" t="n"/>
      <c r="G781" s="120" t="n"/>
      <c r="I781" s="120" t="n"/>
      <c r="J781" s="120" t="n"/>
      <c r="K781" s="120" t="n"/>
      <c r="L781" s="120" t="n"/>
      <c r="M781" s="120" t="n"/>
      <c r="N781" s="120" t="n"/>
      <c r="O781" s="120" t="n"/>
      <c r="P781" s="120" t="n"/>
      <c r="Q781" s="120" t="n"/>
      <c r="R781" s="120" t="n"/>
      <c r="S781" s="120" t="n"/>
      <c r="T781" s="120" t="n"/>
      <c r="U781" s="120" t="n"/>
      <c r="V781" s="120" t="n"/>
      <c r="W781" s="120" t="n"/>
      <c r="X781" s="120" t="n"/>
      <c r="Y781" s="120" t="n"/>
      <c r="Z781" s="120" t="n"/>
      <c r="AB781" s="120" t="n"/>
      <c r="AC781" s="120" t="n"/>
      <c r="AD781" s="120" t="n"/>
      <c r="AE781" s="120" t="n"/>
      <c r="AF781" s="120" t="n"/>
      <c r="AG781" s="120" t="n"/>
      <c r="AH781" s="120" t="n"/>
      <c r="AI781" s="120" t="n"/>
      <c r="AJ781" s="120" t="n"/>
      <c r="AK781" s="120" t="n"/>
      <c r="AL781" s="120" t="n"/>
      <c r="AM781" s="120" t="n"/>
      <c r="AN781" s="120" t="n"/>
      <c r="AO781" s="120" t="n"/>
      <c r="AP781" s="120" t="n"/>
      <c r="AQ781" s="120" t="n"/>
      <c r="AR781" s="120" t="n"/>
      <c r="AS781" s="120" t="n"/>
    </row>
    <row r="782" hidden="1" outlineLevel="2">
      <c r="A782" s="8" t="n"/>
      <c r="B782" s="14" t="n"/>
      <c r="C782" s="120" t="n"/>
      <c r="D782" s="120" t="n"/>
      <c r="E782" s="120" t="n"/>
      <c r="F782" s="120" t="n"/>
      <c r="G782" s="120" t="n"/>
      <c r="I782" s="55" t="inlineStr">
        <is>
          <t>LIBERAÇÃO MÁXIMA 1</t>
        </is>
      </c>
      <c r="J782" s="16" t="n"/>
      <c r="K782" s="16" t="n"/>
      <c r="L782" s="16" t="n"/>
      <c r="M782" s="17" t="n"/>
      <c r="N782" s="120" t="n"/>
      <c r="O782" s="55" t="inlineStr">
        <is>
          <t>LIBERAÇÃO MÁXIMA 2</t>
        </is>
      </c>
      <c r="P782" s="16" t="n"/>
      <c r="Q782" s="16" t="n"/>
      <c r="R782" s="16" t="n"/>
      <c r="S782" s="17" t="n"/>
      <c r="T782" s="120" t="n"/>
      <c r="U782" s="55" t="inlineStr">
        <is>
          <t>LIBERAÇÃO MÁXIMA 3</t>
        </is>
      </c>
      <c r="V782" s="16" t="n"/>
      <c r="W782" s="16" t="n"/>
      <c r="X782" s="16" t="n"/>
      <c r="Y782" s="17" t="n"/>
      <c r="Z782" s="120" t="n"/>
      <c r="AB782" s="55" t="inlineStr">
        <is>
          <t>LIBERAÇÃO MÁXIMA 1</t>
        </is>
      </c>
      <c r="AC782" s="16" t="n"/>
      <c r="AD782" s="16" t="n"/>
      <c r="AE782" s="16" t="n"/>
      <c r="AF782" s="17" t="n"/>
      <c r="AG782" s="120" t="n"/>
      <c r="AH782" s="55" t="inlineStr">
        <is>
          <t>LIBERAÇÃO MÁXIMA 2</t>
        </is>
      </c>
      <c r="AI782" s="16" t="n"/>
      <c r="AJ782" s="16" t="n"/>
      <c r="AK782" s="16" t="n"/>
      <c r="AL782" s="17" t="n"/>
      <c r="AM782" s="120" t="n"/>
      <c r="AN782" s="55" t="inlineStr">
        <is>
          <t>LIBERAÇÃO MÁXIMA 3</t>
        </is>
      </c>
      <c r="AO782" s="16" t="n"/>
      <c r="AP782" s="16" t="n"/>
      <c r="AQ782" s="16" t="n"/>
      <c r="AR782" s="17" t="n"/>
      <c r="AS782" s="120" t="n"/>
    </row>
    <row r="783" hidden="1" outlineLevel="2">
      <c r="A783" s="8" t="n"/>
      <c r="B783" s="14" t="n"/>
      <c r="C783" s="120" t="n"/>
      <c r="D783" s="120" t="n"/>
      <c r="E783" s="120" t="n"/>
      <c r="F783" s="120" t="n"/>
      <c r="G783" s="120" t="n"/>
      <c r="I783" s="127" t="n">
        <v>3</v>
      </c>
      <c r="J783" s="115" t="n"/>
      <c r="K783" s="16" t="n"/>
      <c r="L783" s="17" t="n"/>
      <c r="M783" s="128">
        <f>DADOS_INVOC!$IL$5</f>
        <v/>
      </c>
      <c r="N783" s="120" t="n"/>
      <c r="O783" s="127" t="n">
        <v>3</v>
      </c>
      <c r="P783" s="115" t="n"/>
      <c r="Q783" s="16" t="n"/>
      <c r="R783" s="17" t="n"/>
      <c r="S783" s="128">
        <f>DADOS_INVOC!$IM$5</f>
        <v/>
      </c>
      <c r="T783" s="120" t="n"/>
      <c r="U783" s="127" t="n">
        <v>3</v>
      </c>
      <c r="V783" s="115" t="n"/>
      <c r="W783" s="16" t="n"/>
      <c r="X783" s="17" t="n"/>
      <c r="Y783" s="128">
        <f>DADOS_INVOC!$IN$5</f>
        <v/>
      </c>
      <c r="Z783" s="120" t="n"/>
      <c r="AB783" s="127" t="n">
        <v>3</v>
      </c>
      <c r="AC783" s="115" t="n"/>
      <c r="AD783" s="16" t="n"/>
      <c r="AE783" s="17" t="n"/>
      <c r="AF783" s="128">
        <f>DADOS_INVOC!$IL$11</f>
        <v/>
      </c>
      <c r="AG783" s="120" t="n"/>
      <c r="AH783" s="127" t="n">
        <v>3</v>
      </c>
      <c r="AI783" s="115" t="n"/>
      <c r="AJ783" s="16" t="n"/>
      <c r="AK783" s="17" t="n"/>
      <c r="AL783" s="128">
        <f>DADOS_INVOC!$IM$11</f>
        <v/>
      </c>
      <c r="AM783" s="120" t="n"/>
      <c r="AN783" s="127" t="n">
        <v>3</v>
      </c>
      <c r="AO783" s="115" t="n"/>
      <c r="AP783" s="16" t="n"/>
      <c r="AQ783" s="17" t="n"/>
      <c r="AR783" s="128">
        <f>DADOS_INVOC!$IN$11</f>
        <v/>
      </c>
      <c r="AS783" s="120" t="n"/>
    </row>
    <row r="784" hidden="1" outlineLevel="2">
      <c r="A784" s="8" t="n"/>
      <c r="B784" s="14" t="n"/>
      <c r="C784" s="120" t="n"/>
      <c r="D784" s="120" t="n"/>
      <c r="E784" s="120" t="n"/>
      <c r="F784" s="120" t="n"/>
      <c r="G784" s="120" t="n"/>
      <c r="I784" s="116" t="n"/>
      <c r="J784" s="19" t="n"/>
      <c r="K784" s="19" t="n"/>
      <c r="L784" s="19" t="n"/>
      <c r="M784" s="20" t="n"/>
      <c r="N784" s="120" t="n"/>
      <c r="O784" s="116" t="n"/>
      <c r="P784" s="19" t="n"/>
      <c r="Q784" s="19" t="n"/>
      <c r="R784" s="19" t="n"/>
      <c r="S784" s="20" t="n"/>
      <c r="T784" s="120" t="n"/>
      <c r="U784" s="116" t="n"/>
      <c r="V784" s="19" t="n"/>
      <c r="W784" s="19" t="n"/>
      <c r="X784" s="19" t="n"/>
      <c r="Y784" s="20" t="n"/>
      <c r="Z784" s="120" t="n"/>
      <c r="AB784" s="116" t="n"/>
      <c r="AC784" s="19" t="n"/>
      <c r="AD784" s="19" t="n"/>
      <c r="AE784" s="19" t="n"/>
      <c r="AF784" s="20" t="n"/>
      <c r="AG784" s="120" t="n"/>
      <c r="AH784" s="116" t="n"/>
      <c r="AI784" s="19" t="n"/>
      <c r="AJ784" s="19" t="n"/>
      <c r="AK784" s="19" t="n"/>
      <c r="AL784" s="20" t="n"/>
      <c r="AM784" s="120" t="n"/>
      <c r="AN784" s="116" t="n"/>
      <c r="AO784" s="19" t="n"/>
      <c r="AP784" s="19" t="n"/>
      <c r="AQ784" s="19" t="n"/>
      <c r="AR784" s="20" t="n"/>
      <c r="AS784" s="120" t="n"/>
    </row>
    <row r="785" hidden="1" outlineLevel="2">
      <c r="A785" s="8" t="n"/>
      <c r="B785" s="14" t="n"/>
      <c r="C785" s="120" t="n"/>
      <c r="D785" s="120" t="n"/>
      <c r="E785" s="120" t="n"/>
      <c r="F785" s="120" t="n"/>
      <c r="G785" s="120" t="n"/>
      <c r="I785" s="21" t="n"/>
      <c r="M785" s="22" t="n"/>
      <c r="N785" s="120" t="n"/>
      <c r="O785" s="21" t="n"/>
      <c r="S785" s="22" t="n"/>
      <c r="T785" s="120" t="n"/>
      <c r="U785" s="21" t="n"/>
      <c r="Y785" s="22" t="n"/>
      <c r="Z785" s="120" t="n"/>
      <c r="AB785" s="21" t="n"/>
      <c r="AF785" s="22" t="n"/>
      <c r="AG785" s="120" t="n"/>
      <c r="AH785" s="21" t="n"/>
      <c r="AL785" s="22" t="n"/>
      <c r="AM785" s="120" t="n"/>
      <c r="AN785" s="21" t="n"/>
      <c r="AR785" s="22" t="n"/>
      <c r="AS785" s="120" t="n"/>
    </row>
    <row r="786" hidden="1" outlineLevel="2">
      <c r="A786" s="8" t="n"/>
      <c r="B786" s="14" t="n"/>
      <c r="C786" s="120" t="n"/>
      <c r="D786" s="120" t="n"/>
      <c r="E786" s="120" t="n"/>
      <c r="F786" s="120" t="n"/>
      <c r="G786" s="120" t="n"/>
      <c r="I786" s="21" t="n"/>
      <c r="M786" s="22" t="n"/>
      <c r="N786" s="120" t="n"/>
      <c r="O786" s="21" t="n"/>
      <c r="S786" s="22" t="n"/>
      <c r="T786" s="120" t="n"/>
      <c r="U786" s="21" t="n"/>
      <c r="Y786" s="22" t="n"/>
      <c r="Z786" s="120" t="n"/>
      <c r="AB786" s="21" t="n"/>
      <c r="AF786" s="22" t="n"/>
      <c r="AG786" s="120" t="n"/>
      <c r="AH786" s="21" t="n"/>
      <c r="AL786" s="22" t="n"/>
      <c r="AM786" s="120" t="n"/>
      <c r="AN786" s="21" t="n"/>
      <c r="AR786" s="22" t="n"/>
      <c r="AS786" s="120" t="n"/>
    </row>
    <row r="787" hidden="1" outlineLevel="2">
      <c r="A787" s="8" t="n"/>
      <c r="B787" s="14" t="n"/>
      <c r="C787" s="120" t="n"/>
      <c r="D787" s="120" t="n"/>
      <c r="E787" s="120" t="n"/>
      <c r="F787" s="120" t="n"/>
      <c r="G787" s="120" t="n"/>
      <c r="I787" s="23" t="n"/>
      <c r="J787" s="24" t="n"/>
      <c r="K787" s="24" t="n"/>
      <c r="L787" s="24" t="n"/>
      <c r="M787" s="25" t="n"/>
      <c r="N787" s="120" t="n"/>
      <c r="O787" s="23" t="n"/>
      <c r="P787" s="24" t="n"/>
      <c r="Q787" s="24" t="n"/>
      <c r="R787" s="24" t="n"/>
      <c r="S787" s="25" t="n"/>
      <c r="T787" s="120" t="n"/>
      <c r="U787" s="23" t="n"/>
      <c r="V787" s="24" t="n"/>
      <c r="W787" s="24" t="n"/>
      <c r="X787" s="24" t="n"/>
      <c r="Y787" s="25" t="n"/>
      <c r="Z787" s="120" t="n"/>
      <c r="AB787" s="23" t="n"/>
      <c r="AC787" s="24" t="n"/>
      <c r="AD787" s="24" t="n"/>
      <c r="AE787" s="24" t="n"/>
      <c r="AF787" s="25" t="n"/>
      <c r="AG787" s="120" t="n"/>
      <c r="AH787" s="23" t="n"/>
      <c r="AI787" s="24" t="n"/>
      <c r="AJ787" s="24" t="n"/>
      <c r="AK787" s="24" t="n"/>
      <c r="AL787" s="25" t="n"/>
      <c r="AM787" s="120" t="n"/>
      <c r="AN787" s="23" t="n"/>
      <c r="AO787" s="24" t="n"/>
      <c r="AP787" s="24" t="n"/>
      <c r="AQ787" s="24" t="n"/>
      <c r="AR787" s="25" t="n"/>
      <c r="AS787" s="120" t="n"/>
    </row>
    <row r="788" hidden="1" outlineLevel="2">
      <c r="A788" s="8" t="n"/>
      <c r="B788" s="14" t="n"/>
      <c r="C788" s="120" t="n"/>
      <c r="D788" s="120" t="n"/>
      <c r="E788" s="120" t="n"/>
      <c r="F788" s="120" t="n"/>
      <c r="G788" s="120" t="n"/>
      <c r="I788" s="68">
        <f>DADOS_INVOC!$IO$5</f>
        <v/>
      </c>
      <c r="J788" s="16" t="n"/>
      <c r="K788" s="16" t="n"/>
      <c r="L788" s="16" t="n"/>
      <c r="M788" s="17" t="n"/>
      <c r="N788" s="120" t="n"/>
      <c r="O788" s="68">
        <f>DADOS_INVOC!$IP$5</f>
        <v/>
      </c>
      <c r="P788" s="16" t="n"/>
      <c r="Q788" s="16" t="n"/>
      <c r="R788" s="16" t="n"/>
      <c r="S788" s="17" t="n"/>
      <c r="T788" s="120" t="n"/>
      <c r="U788" s="68">
        <f>DADOS_INVOC!$IQ$5</f>
        <v/>
      </c>
      <c r="V788" s="16" t="n"/>
      <c r="W788" s="16" t="n"/>
      <c r="X788" s="16" t="n"/>
      <c r="Y788" s="17" t="n"/>
      <c r="Z788" s="120" t="n"/>
      <c r="AB788" s="68">
        <f>DADOS_INVOC!$IO$11</f>
        <v/>
      </c>
      <c r="AC788" s="16" t="n"/>
      <c r="AD788" s="16" t="n"/>
      <c r="AE788" s="16" t="n"/>
      <c r="AF788" s="17" t="n"/>
      <c r="AG788" s="120" t="n"/>
      <c r="AH788" s="68">
        <f>DADOS_INVOC!$IP$11</f>
        <v/>
      </c>
      <c r="AI788" s="16" t="n"/>
      <c r="AJ788" s="16" t="n"/>
      <c r="AK788" s="16" t="n"/>
      <c r="AL788" s="17" t="n"/>
      <c r="AM788" s="120" t="n"/>
      <c r="AN788" s="68">
        <f>DADOS_INVOC!$IQ$11</f>
        <v/>
      </c>
      <c r="AO788" s="16" t="n"/>
      <c r="AP788" s="16" t="n"/>
      <c r="AQ788" s="16" t="n"/>
      <c r="AR788" s="17" t="n"/>
      <c r="AS788" s="120" t="n"/>
    </row>
    <row r="789" hidden="1" outlineLevel="2">
      <c r="A789" s="8" t="n"/>
      <c r="B789" s="14" t="n"/>
      <c r="C789" s="120" t="n"/>
      <c r="D789" s="120" t="n"/>
      <c r="E789" s="120" t="n"/>
      <c r="F789" s="120" t="n"/>
      <c r="G789" s="120" t="n"/>
      <c r="I789" s="124" t="inlineStr">
        <is>
          <t>Sua Ação Completa + a básica dela</t>
        </is>
      </c>
      <c r="J789" s="16" t="n"/>
      <c r="K789" s="16" t="n"/>
      <c r="L789" s="16" t="n"/>
      <c r="M789" s="17" t="n"/>
      <c r="N789" s="120" t="n"/>
      <c r="O789" s="124" t="inlineStr">
        <is>
          <t>Sua Ação Completa + a básica dela</t>
        </is>
      </c>
      <c r="P789" s="16" t="n"/>
      <c r="Q789" s="16" t="n"/>
      <c r="R789" s="16" t="n"/>
      <c r="S789" s="17" t="n"/>
      <c r="T789" s="120" t="n"/>
      <c r="U789" s="124" t="inlineStr">
        <is>
          <t>Sua Ação Completa + a básica dela</t>
        </is>
      </c>
      <c r="V789" s="16" t="n"/>
      <c r="W789" s="16" t="n"/>
      <c r="X789" s="16" t="n"/>
      <c r="Y789" s="17" t="n"/>
      <c r="Z789" s="120" t="n"/>
      <c r="AB789" s="124" t="inlineStr">
        <is>
          <t>Sua Ação Completa + a básica dela</t>
        </is>
      </c>
      <c r="AC789" s="16" t="n"/>
      <c r="AD789" s="16" t="n"/>
      <c r="AE789" s="16" t="n"/>
      <c r="AF789" s="17" t="n"/>
      <c r="AG789" s="120" t="n"/>
      <c r="AH789" s="124" t="inlineStr">
        <is>
          <t>Sua Ação Completa + a básica dela</t>
        </is>
      </c>
      <c r="AI789" s="16" t="n"/>
      <c r="AJ789" s="16" t="n"/>
      <c r="AK789" s="16" t="n"/>
      <c r="AL789" s="17" t="n"/>
      <c r="AM789" s="120" t="n"/>
      <c r="AN789" s="124" t="inlineStr">
        <is>
          <t>Sua Ação Completa + a básica dela</t>
        </is>
      </c>
      <c r="AO789" s="16" t="n"/>
      <c r="AP789" s="16" t="n"/>
      <c r="AQ789" s="16" t="n"/>
      <c r="AR789" s="17" t="n"/>
      <c r="AS789" s="120" t="n"/>
    </row>
    <row r="790" hidden="1" outlineLevel="2">
      <c r="A790" s="8" t="n"/>
      <c r="B790" s="14" t="n"/>
      <c r="C790" s="120" t="n"/>
      <c r="D790" s="120" t="n"/>
      <c r="E790" s="120" t="n"/>
      <c r="F790" s="120" t="n"/>
      <c r="G790" s="120" t="n"/>
      <c r="I790" s="120" t="n"/>
      <c r="J790" s="120" t="n"/>
      <c r="K790" s="120" t="n"/>
      <c r="L790" s="120" t="n"/>
      <c r="M790" s="120" t="n"/>
      <c r="N790" s="120" t="n"/>
      <c r="O790" s="120" t="n"/>
      <c r="P790" s="120" t="n"/>
      <c r="Q790" s="120" t="n"/>
      <c r="R790" s="120" t="n"/>
      <c r="S790" s="120" t="n"/>
      <c r="T790" s="120" t="n"/>
      <c r="U790" s="120" t="n"/>
      <c r="V790" s="120" t="n"/>
      <c r="W790" s="120" t="n"/>
      <c r="X790" s="120" t="n"/>
      <c r="Y790" s="120" t="n"/>
      <c r="Z790" s="120" t="n"/>
      <c r="AB790" s="120" t="n"/>
      <c r="AC790" s="120" t="n"/>
      <c r="AD790" s="120" t="n"/>
      <c r="AE790" s="120" t="n"/>
      <c r="AF790" s="120" t="n"/>
      <c r="AG790" s="120" t="n"/>
      <c r="AH790" s="120" t="n"/>
      <c r="AI790" s="120" t="n"/>
      <c r="AJ790" s="120" t="n"/>
      <c r="AK790" s="120" t="n"/>
      <c r="AL790" s="120" t="n"/>
      <c r="AM790" s="120" t="n"/>
      <c r="AN790" s="120" t="n"/>
      <c r="AO790" s="120" t="n"/>
      <c r="AP790" s="120" t="n"/>
      <c r="AQ790" s="120" t="n"/>
      <c r="AR790" s="120" t="n"/>
      <c r="AS790" s="120" t="n"/>
    </row>
    <row r="791" hidden="1" outlineLevel="2">
      <c r="A791" s="8" t="n"/>
      <c r="B791" s="14" t="n"/>
      <c r="C791" s="120" t="n"/>
      <c r="D791" s="120" t="n"/>
      <c r="E791" s="120" t="n"/>
      <c r="F791" s="120" t="n"/>
      <c r="G791" s="120" t="n"/>
      <c r="I791" s="55" t="inlineStr">
        <is>
          <t>TÉCNICA MÁXIMA</t>
        </is>
      </c>
      <c r="J791" s="16" t="n"/>
      <c r="K791" s="16" t="n"/>
      <c r="L791" s="16" t="n"/>
      <c r="M791" s="17" t="n"/>
      <c r="N791" s="120" t="n"/>
      <c r="O791" s="55" t="inlineStr">
        <is>
          <t>EXPANSÃO DE DOMÍNIO</t>
        </is>
      </c>
      <c r="P791" s="16" t="n"/>
      <c r="Q791" s="16" t="n"/>
      <c r="R791" s="16" t="n"/>
      <c r="S791" s="17" t="n"/>
      <c r="T791" s="120" t="n"/>
      <c r="U791" s="120" t="n"/>
      <c r="V791" s="120" t="n"/>
      <c r="W791" s="120" t="n"/>
      <c r="X791" s="120" t="n"/>
      <c r="Y791" s="120" t="n"/>
      <c r="Z791" s="120" t="n"/>
      <c r="AB791" s="55" t="inlineStr">
        <is>
          <t>TÉCNICA MÁXIMA</t>
        </is>
      </c>
      <c r="AC791" s="16" t="n"/>
      <c r="AD791" s="16" t="n"/>
      <c r="AE791" s="16" t="n"/>
      <c r="AF791" s="17" t="n"/>
      <c r="AG791" s="120" t="n"/>
      <c r="AH791" s="55" t="inlineStr">
        <is>
          <t>EXPANSÃO DE DOMÍNIO</t>
        </is>
      </c>
      <c r="AI791" s="16" t="n"/>
      <c r="AJ791" s="16" t="n"/>
      <c r="AK791" s="16" t="n"/>
      <c r="AL791" s="17" t="n"/>
      <c r="AM791" s="120" t="n"/>
      <c r="AN791" s="120" t="n"/>
      <c r="AO791" s="120" t="n"/>
      <c r="AP791" s="120" t="n"/>
      <c r="AQ791" s="120" t="n"/>
      <c r="AR791" s="120" t="n"/>
      <c r="AS791" s="120" t="n"/>
    </row>
    <row r="792" hidden="1" outlineLevel="2">
      <c r="A792" s="8" t="n"/>
      <c r="B792" s="14" t="n"/>
      <c r="C792" s="120" t="n"/>
      <c r="D792" s="120" t="n"/>
      <c r="E792" s="120" t="n"/>
      <c r="F792" s="120" t="n"/>
      <c r="G792" s="120" t="n"/>
      <c r="I792" s="115" t="n"/>
      <c r="J792" s="16" t="n"/>
      <c r="K792" s="16" t="n"/>
      <c r="L792" s="17" t="n"/>
      <c r="M792" s="128">
        <f>DADOS_INVOC!$IR$5</f>
        <v/>
      </c>
      <c r="N792" s="120" t="n"/>
      <c r="O792" s="115" t="n"/>
      <c r="P792" s="16" t="n"/>
      <c r="Q792" s="16" t="n"/>
      <c r="R792" s="17" t="n"/>
      <c r="S792" s="128">
        <f>DADOS_INVOC!$IT$5</f>
        <v/>
      </c>
      <c r="T792" s="120" t="n"/>
      <c r="U792" s="120" t="n"/>
      <c r="V792" s="120" t="n"/>
      <c r="W792" s="120" t="n"/>
      <c r="X792" s="120" t="n"/>
      <c r="Y792" s="120" t="n"/>
      <c r="Z792" s="120" t="n"/>
      <c r="AB792" s="115" t="n"/>
      <c r="AC792" s="16" t="n"/>
      <c r="AD792" s="16" t="n"/>
      <c r="AE792" s="17" t="n"/>
      <c r="AF792" s="128">
        <f>DADOS_INVOC!$IR$11</f>
        <v/>
      </c>
      <c r="AG792" s="120" t="n"/>
      <c r="AH792" s="115" t="n"/>
      <c r="AI792" s="16" t="n"/>
      <c r="AJ792" s="16" t="n"/>
      <c r="AK792" s="17" t="n"/>
      <c r="AL792" s="128">
        <f>DADOS_INVOC!$IT$11</f>
        <v/>
      </c>
      <c r="AM792" s="120" t="n"/>
      <c r="AN792" s="120" t="n"/>
      <c r="AO792" s="120" t="n"/>
      <c r="AP792" s="120" t="n"/>
      <c r="AQ792" s="120" t="n"/>
      <c r="AR792" s="120" t="n"/>
      <c r="AS792" s="120" t="n"/>
    </row>
    <row r="793" hidden="1" outlineLevel="2">
      <c r="A793" s="8" t="n"/>
      <c r="B793" s="14" t="n"/>
      <c r="C793" s="120" t="n"/>
      <c r="D793" s="120" t="n"/>
      <c r="E793" s="120" t="n"/>
      <c r="F793" s="120" t="n"/>
      <c r="G793" s="120" t="n"/>
      <c r="I793" s="116" t="n"/>
      <c r="J793" s="19" t="n"/>
      <c r="K793" s="19" t="n"/>
      <c r="L793" s="19" t="n"/>
      <c r="M793" s="20" t="n"/>
      <c r="N793" s="120" t="n"/>
      <c r="O793" s="116" t="n"/>
      <c r="P793" s="19" t="n"/>
      <c r="Q793" s="19" t="n"/>
      <c r="R793" s="19" t="n"/>
      <c r="S793" s="20" t="n"/>
      <c r="T793" s="120" t="n"/>
      <c r="U793" s="120" t="n"/>
      <c r="V793" s="120" t="n"/>
      <c r="W793" s="120" t="n"/>
      <c r="X793" s="120" t="n"/>
      <c r="Y793" s="120" t="n"/>
      <c r="Z793" s="120" t="n"/>
      <c r="AB793" s="116" t="n"/>
      <c r="AC793" s="19" t="n"/>
      <c r="AD793" s="19" t="n"/>
      <c r="AE793" s="19" t="n"/>
      <c r="AF793" s="20" t="n"/>
      <c r="AG793" s="120" t="n"/>
      <c r="AH793" s="116" t="n"/>
      <c r="AI793" s="19" t="n"/>
      <c r="AJ793" s="19" t="n"/>
      <c r="AK793" s="19" t="n"/>
      <c r="AL793" s="20" t="n"/>
      <c r="AM793" s="120" t="n"/>
      <c r="AN793" s="120" t="n"/>
      <c r="AO793" s="120" t="n"/>
      <c r="AP793" s="120" t="n"/>
      <c r="AQ793" s="120" t="n"/>
      <c r="AR793" s="120" t="n"/>
      <c r="AS793" s="120" t="n"/>
    </row>
    <row r="794" hidden="1" outlineLevel="2">
      <c r="A794" s="8" t="n"/>
      <c r="B794" s="14" t="n"/>
      <c r="C794" s="120" t="n"/>
      <c r="D794" s="120" t="n"/>
      <c r="E794" s="120" t="n"/>
      <c r="F794" s="120" t="n"/>
      <c r="G794" s="120" t="n"/>
      <c r="I794" s="21" t="n"/>
      <c r="M794" s="22" t="n"/>
      <c r="N794" s="120" t="n"/>
      <c r="O794" s="21" t="n"/>
      <c r="S794" s="22" t="n"/>
      <c r="T794" s="120" t="n"/>
      <c r="U794" s="120" t="n"/>
      <c r="V794" s="120" t="n"/>
      <c r="W794" s="120" t="n"/>
      <c r="X794" s="120" t="n"/>
      <c r="Y794" s="120" t="n"/>
      <c r="Z794" s="120" t="n"/>
      <c r="AB794" s="21" t="n"/>
      <c r="AF794" s="22" t="n"/>
      <c r="AG794" s="120" t="n"/>
      <c r="AH794" s="21" t="n"/>
      <c r="AL794" s="22" t="n"/>
      <c r="AM794" s="120" t="n"/>
      <c r="AN794" s="120" t="n"/>
      <c r="AO794" s="120" t="n"/>
      <c r="AP794" s="120" t="n"/>
      <c r="AQ794" s="120" t="n"/>
      <c r="AR794" s="120" t="n"/>
      <c r="AS794" s="120" t="n"/>
    </row>
    <row r="795" hidden="1" outlineLevel="2">
      <c r="A795" s="8" t="n"/>
      <c r="B795" s="14" t="n"/>
      <c r="C795" s="120" t="n"/>
      <c r="D795" s="120" t="n"/>
      <c r="E795" s="120" t="n"/>
      <c r="F795" s="120" t="n"/>
      <c r="G795" s="120" t="n"/>
      <c r="I795" s="21" t="n"/>
      <c r="M795" s="22" t="n"/>
      <c r="N795" s="120" t="n"/>
      <c r="O795" s="21" t="n"/>
      <c r="S795" s="22" t="n"/>
      <c r="T795" s="120" t="n"/>
      <c r="U795" s="120" t="n"/>
      <c r="V795" s="120" t="n"/>
      <c r="W795" s="120" t="n"/>
      <c r="X795" s="120" t="n"/>
      <c r="Y795" s="120" t="n"/>
      <c r="Z795" s="120" t="n"/>
      <c r="AB795" s="21" t="n"/>
      <c r="AF795" s="22" t="n"/>
      <c r="AG795" s="120" t="n"/>
      <c r="AH795" s="21" t="n"/>
      <c r="AL795" s="22" t="n"/>
      <c r="AM795" s="120" t="n"/>
      <c r="AN795" s="120" t="n"/>
      <c r="AO795" s="120" t="n"/>
      <c r="AP795" s="120" t="n"/>
      <c r="AQ795" s="120" t="n"/>
      <c r="AR795" s="120" t="n"/>
      <c r="AS795" s="120" t="n"/>
    </row>
    <row r="796" hidden="1" outlineLevel="2">
      <c r="A796" s="8" t="n"/>
      <c r="B796" s="14" t="n"/>
      <c r="C796" s="120" t="n"/>
      <c r="D796" s="120" t="n"/>
      <c r="E796" s="120" t="n"/>
      <c r="F796" s="120" t="n"/>
      <c r="G796" s="120" t="n"/>
      <c r="I796" s="23" t="n"/>
      <c r="J796" s="24" t="n"/>
      <c r="K796" s="24" t="n"/>
      <c r="L796" s="24" t="n"/>
      <c r="M796" s="25" t="n"/>
      <c r="N796" s="120" t="n"/>
      <c r="O796" s="23" t="n"/>
      <c r="P796" s="24" t="n"/>
      <c r="Q796" s="24" t="n"/>
      <c r="R796" s="24" t="n"/>
      <c r="S796" s="25" t="n"/>
      <c r="T796" s="120" t="n"/>
      <c r="U796" s="120" t="n"/>
      <c r="V796" s="120" t="n"/>
      <c r="W796" s="120" t="n"/>
      <c r="X796" s="120" t="n"/>
      <c r="Y796" s="120" t="n"/>
      <c r="Z796" s="120" t="n"/>
      <c r="AB796" s="23" t="n"/>
      <c r="AC796" s="24" t="n"/>
      <c r="AD796" s="24" t="n"/>
      <c r="AE796" s="24" t="n"/>
      <c r="AF796" s="25" t="n"/>
      <c r="AG796" s="120" t="n"/>
      <c r="AH796" s="23" t="n"/>
      <c r="AI796" s="24" t="n"/>
      <c r="AJ796" s="24" t="n"/>
      <c r="AK796" s="24" t="n"/>
      <c r="AL796" s="25" t="n"/>
      <c r="AM796" s="120" t="n"/>
      <c r="AN796" s="120" t="n"/>
      <c r="AO796" s="120" t="n"/>
      <c r="AP796" s="120" t="n"/>
      <c r="AQ796" s="120" t="n"/>
      <c r="AR796" s="120" t="n"/>
      <c r="AS796" s="120" t="n"/>
    </row>
    <row r="797" hidden="1" outlineLevel="2">
      <c r="A797" s="8" t="n"/>
      <c r="B797" s="14" t="n"/>
      <c r="C797" s="120" t="n"/>
      <c r="D797" s="120" t="n"/>
      <c r="E797" s="120" t="n"/>
      <c r="F797" s="120" t="n"/>
      <c r="G797" s="120" t="n"/>
      <c r="I797" s="68">
        <f>DADOS_INVOC!$IS$5</f>
        <v/>
      </c>
      <c r="J797" s="16" t="n"/>
      <c r="K797" s="16" t="n"/>
      <c r="L797" s="16" t="n"/>
      <c r="M797" s="17" t="n"/>
      <c r="N797" s="120" t="n"/>
      <c r="O797" s="124" t="n"/>
      <c r="P797" s="17" t="n"/>
      <c r="Q797" s="68">
        <f>DADOS_INVOC!$IU$5</f>
        <v/>
      </c>
      <c r="R797" s="16" t="n"/>
      <c r="S797" s="17" t="n"/>
      <c r="T797" s="120" t="n"/>
      <c r="U797" s="120" t="n"/>
      <c r="V797" s="120" t="n"/>
      <c r="W797" s="120" t="n"/>
      <c r="X797" s="120" t="n"/>
      <c r="Y797" s="120" t="n"/>
      <c r="Z797" s="120" t="n"/>
      <c r="AB797" s="68">
        <f>DADOS_INVOC!$IS$11</f>
        <v/>
      </c>
      <c r="AC797" s="16" t="n"/>
      <c r="AD797" s="16" t="n"/>
      <c r="AE797" s="16" t="n"/>
      <c r="AF797" s="17" t="n"/>
      <c r="AG797" s="120" t="n"/>
      <c r="AH797" s="124" t="n"/>
      <c r="AI797" s="17" t="n"/>
      <c r="AJ797" s="68">
        <f>DADOS_INVOC!$IU$11</f>
        <v/>
      </c>
      <c r="AK797" s="16" t="n"/>
      <c r="AL797" s="17" t="n"/>
      <c r="AM797" s="120" t="n"/>
      <c r="AN797" s="120" t="n"/>
      <c r="AO797" s="120" t="n"/>
      <c r="AP797" s="120" t="n"/>
      <c r="AQ797" s="120" t="n"/>
      <c r="AR797" s="120" t="n"/>
      <c r="AS797" s="120" t="n"/>
    </row>
    <row r="798" hidden="1" outlineLevel="2">
      <c r="A798" s="8" t="n"/>
      <c r="B798" s="14" t="n"/>
      <c r="C798" s="120" t="n"/>
      <c r="D798" s="120" t="n"/>
      <c r="E798" s="120" t="n"/>
      <c r="F798" s="120" t="n"/>
      <c r="G798" s="120" t="n"/>
      <c r="I798" s="124" t="inlineStr">
        <is>
          <t>Sua Ação Completa + a básica dela</t>
        </is>
      </c>
      <c r="J798" s="16" t="n"/>
      <c r="K798" s="16" t="n"/>
      <c r="L798" s="16" t="n"/>
      <c r="M798" s="17" t="n"/>
      <c r="N798" s="120" t="n"/>
      <c r="O798" s="129">
        <f>DADOS_INVOC!$IV$5</f>
        <v/>
      </c>
      <c r="P798" s="16" t="n"/>
      <c r="Q798" s="16" t="n"/>
      <c r="R798" s="16" t="n"/>
      <c r="S798" s="17" t="n"/>
      <c r="T798" s="120" t="n"/>
      <c r="U798" s="120" t="n"/>
      <c r="V798" s="120" t="n"/>
      <c r="W798" s="120" t="n"/>
      <c r="X798" s="120" t="n"/>
      <c r="Y798" s="120" t="n"/>
      <c r="Z798" s="120" t="n"/>
      <c r="AB798" s="124" t="inlineStr">
        <is>
          <t>Sua Ação Completa + a básica dela</t>
        </is>
      </c>
      <c r="AC798" s="16" t="n"/>
      <c r="AD798" s="16" t="n"/>
      <c r="AE798" s="16" t="n"/>
      <c r="AF798" s="17" t="n"/>
      <c r="AG798" s="120" t="n"/>
      <c r="AH798" s="129">
        <f>DADOS_INVOC!$IV$11</f>
        <v/>
      </c>
      <c r="AI798" s="16" t="n"/>
      <c r="AJ798" s="16" t="n"/>
      <c r="AK798" s="16" t="n"/>
      <c r="AL798" s="17" t="n"/>
      <c r="AM798" s="120" t="n"/>
      <c r="AN798" s="120" t="n"/>
      <c r="AO798" s="120" t="n"/>
      <c r="AP798" s="120" t="n"/>
      <c r="AQ798" s="120" t="n"/>
      <c r="AR798" s="120" t="n"/>
      <c r="AS798" s="120" t="n"/>
    </row>
    <row r="799">
      <c r="A799" s="8" t="n"/>
      <c r="B799" s="14" t="n"/>
      <c r="C799" s="120" t="n"/>
      <c r="D799" s="120" t="n"/>
      <c r="E799" s="120" t="n"/>
      <c r="F799" s="120" t="n"/>
      <c r="G799" s="120" t="n"/>
      <c r="H799" s="120" t="n"/>
      <c r="I799" s="120" t="n"/>
      <c r="J799" s="120" t="n"/>
      <c r="K799" s="120" t="n"/>
      <c r="L799" s="120" t="n"/>
      <c r="M799" s="120" t="n"/>
      <c r="N799" s="120" t="n"/>
      <c r="O799" s="120" t="n"/>
      <c r="P799" s="120" t="n"/>
      <c r="Q799" s="120" t="n"/>
      <c r="R799" s="120" t="n"/>
      <c r="S799" s="120" t="n"/>
      <c r="T799" s="120" t="n"/>
      <c r="U799" s="120" t="n"/>
      <c r="V799" s="120" t="n"/>
      <c r="W799" s="120" t="n"/>
      <c r="X799" s="120" t="n"/>
      <c r="Y799" s="120" t="n"/>
      <c r="Z799" s="120" t="n"/>
      <c r="AA799" s="120" t="n"/>
      <c r="AB799" s="120" t="n"/>
      <c r="AC799" s="120" t="n"/>
      <c r="AD799" s="120" t="n"/>
      <c r="AE799" s="120" t="n"/>
      <c r="AF799" s="120" t="n"/>
      <c r="AG799" s="120" t="n"/>
      <c r="AH799" s="120" t="n"/>
      <c r="AI799" s="120" t="n"/>
      <c r="AJ799" s="120" t="n"/>
      <c r="AK799" s="120" t="n"/>
      <c r="AL799" s="120" t="n"/>
      <c r="AM799" s="120" t="n"/>
      <c r="AN799" s="120" t="n"/>
      <c r="AO799" s="120" t="n"/>
      <c r="AP799" s="120" t="n"/>
      <c r="AQ799" s="120" t="n"/>
      <c r="AR799" s="120" t="n"/>
      <c r="AS799" s="120" t="n"/>
    </row>
    <row r="800">
      <c r="A800" s="8" t="n"/>
      <c r="B800" s="14" t="n"/>
      <c r="C800" s="120" t="n"/>
      <c r="D800" s="120" t="n"/>
      <c r="E800" s="120" t="n"/>
      <c r="F800" s="120" t="n"/>
      <c r="G800" s="120" t="n"/>
      <c r="H800" s="120" t="n"/>
      <c r="I800" s="120" t="n"/>
      <c r="J800" s="120" t="n"/>
      <c r="K800" s="120" t="n"/>
      <c r="L800" s="120" t="n"/>
      <c r="M800" s="120" t="n"/>
      <c r="N800" s="120" t="n"/>
      <c r="O800" s="120" t="n"/>
      <c r="P800" s="120" t="n"/>
      <c r="Q800" s="120" t="n"/>
      <c r="R800" s="120" t="n"/>
      <c r="S800" s="120" t="n"/>
      <c r="T800" s="120" t="n"/>
      <c r="U800" s="120" t="n"/>
      <c r="V800" s="120" t="n"/>
      <c r="W800" s="120" t="n"/>
      <c r="X800" s="120" t="n"/>
      <c r="Y800" s="120" t="n"/>
      <c r="Z800" s="120" t="n"/>
      <c r="AA800" s="120" t="n"/>
      <c r="AB800" s="120" t="n"/>
      <c r="AC800" s="120" t="n"/>
      <c r="AD800" s="120" t="n"/>
      <c r="AE800" s="120" t="n"/>
      <c r="AF800" s="120" t="n"/>
      <c r="AG800" s="120" t="n"/>
      <c r="AH800" s="120" t="n"/>
      <c r="AI800" s="120" t="n"/>
      <c r="AJ800" s="120" t="n"/>
      <c r="AK800" s="120" t="n"/>
      <c r="AL800" s="120" t="n"/>
      <c r="AM800" s="120" t="n"/>
      <c r="AN800" s="120" t="n"/>
      <c r="AO800" s="120" t="n"/>
      <c r="AP800" s="120" t="n"/>
      <c r="AQ800" s="120" t="n"/>
      <c r="AR800" s="120" t="n"/>
      <c r="AS800" s="120" t="n"/>
    </row>
    <row r="801">
      <c r="A801" s="8" t="n"/>
      <c r="B801" s="14" t="n"/>
      <c r="C801" s="120" t="n"/>
      <c r="D801" s="120" t="n"/>
      <c r="E801" s="120" t="n"/>
      <c r="F801" s="120" t="n"/>
      <c r="G801" s="120" t="n"/>
      <c r="H801" s="138" t="n">
        <v>5</v>
      </c>
      <c r="I801" s="139" t="n">
        <v>5</v>
      </c>
      <c r="J801" s="123">
        <f>DADOS_INVOC!$GS$6</f>
        <v/>
      </c>
      <c r="K801" s="19" t="n"/>
      <c r="L801" s="19" t="n"/>
      <c r="M801" s="19" t="n"/>
      <c r="N801" s="19" t="n"/>
      <c r="O801" s="19" t="n"/>
      <c r="P801" s="19" t="n"/>
      <c r="Q801" s="19" t="n"/>
      <c r="R801" s="19" t="n"/>
      <c r="S801" s="19" t="n"/>
      <c r="T801" s="19" t="n"/>
      <c r="U801" s="19" t="n"/>
      <c r="V801" s="19" t="n"/>
      <c r="W801" s="19" t="n"/>
      <c r="X801" s="19" t="n"/>
      <c r="Y801" s="20" t="n"/>
      <c r="Z801" s="120" t="n"/>
      <c r="AA801" s="138" t="n">
        <v>11</v>
      </c>
      <c r="AB801" s="139" t="n">
        <v>11</v>
      </c>
      <c r="AC801" s="123">
        <f>DADOS_INVOC!$GS$12</f>
        <v/>
      </c>
      <c r="AD801" s="19" t="n"/>
      <c r="AE801" s="19" t="n"/>
      <c r="AF801" s="19" t="n"/>
      <c r="AG801" s="19" t="n"/>
      <c r="AH801" s="19" t="n"/>
      <c r="AI801" s="19" t="n"/>
      <c r="AJ801" s="19" t="n"/>
      <c r="AK801" s="19" t="n"/>
      <c r="AL801" s="19" t="n"/>
      <c r="AM801" s="19" t="n"/>
      <c r="AN801" s="19" t="n"/>
      <c r="AO801" s="19" t="n"/>
      <c r="AP801" s="19" t="n"/>
      <c r="AQ801" s="19" t="n"/>
      <c r="AR801" s="20" t="n"/>
      <c r="AS801" s="120" t="n"/>
    </row>
    <row r="802">
      <c r="A802" s="8" t="n"/>
      <c r="B802" s="14" t="n"/>
      <c r="C802" s="120" t="n"/>
      <c r="D802" s="120" t="n"/>
      <c r="E802" s="120" t="n"/>
      <c r="F802" s="120" t="n"/>
      <c r="G802" s="120" t="n"/>
      <c r="I802" s="125" t="n"/>
      <c r="J802" s="23" t="n"/>
      <c r="K802" s="24" t="n"/>
      <c r="L802" s="24" t="n"/>
      <c r="M802" s="24" t="n"/>
      <c r="N802" s="24" t="n"/>
      <c r="O802" s="24" t="n"/>
      <c r="P802" s="24" t="n"/>
      <c r="Q802" s="24" t="n"/>
      <c r="R802" s="24" t="n"/>
      <c r="S802" s="24" t="n"/>
      <c r="T802" s="24" t="n"/>
      <c r="U802" s="24" t="n"/>
      <c r="V802" s="24" t="n"/>
      <c r="W802" s="24" t="n"/>
      <c r="X802" s="24" t="n"/>
      <c r="Y802" s="25" t="n"/>
      <c r="Z802" s="120"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20" t="n"/>
    </row>
    <row r="803" hidden="1" outlineLevel="1">
      <c r="A803" s="8" t="n"/>
      <c r="B803" s="14" t="n"/>
      <c r="C803" s="120" t="n"/>
      <c r="D803" s="120" t="n"/>
      <c r="E803" s="120" t="n"/>
      <c r="F803" s="120" t="n"/>
      <c r="G803" s="120" t="n"/>
      <c r="H803" s="140">
        <f>DADOS_INVOC!$GT$6</f>
        <v/>
      </c>
      <c r="I803" s="120" t="n"/>
      <c r="J803" s="120" t="n"/>
      <c r="K803" s="120" t="n"/>
      <c r="L803" s="120" t="n"/>
      <c r="M803" s="120" t="n"/>
      <c r="N803" s="120" t="n"/>
      <c r="O803" s="120" t="n"/>
      <c r="P803" s="120" t="n"/>
      <c r="Q803" s="120" t="n"/>
      <c r="R803" s="120" t="n"/>
      <c r="S803" s="120" t="n"/>
      <c r="T803" s="120" t="n"/>
      <c r="U803" s="120" t="n"/>
      <c r="V803" s="120" t="n"/>
      <c r="W803" s="120" t="n"/>
      <c r="X803" s="120" t="n"/>
      <c r="Y803" s="120" t="n"/>
      <c r="Z803" s="120" t="n"/>
      <c r="AA803" s="140">
        <f>DADOS_INVOC!$GT$12</f>
        <v/>
      </c>
      <c r="AB803" s="120" t="n"/>
      <c r="AC803" s="120" t="n"/>
      <c r="AD803" s="120" t="n"/>
      <c r="AE803" s="120" t="n"/>
      <c r="AF803" s="120" t="n"/>
      <c r="AG803" s="120" t="n"/>
      <c r="AH803" s="120" t="n"/>
      <c r="AI803" s="120" t="n"/>
      <c r="AJ803" s="120" t="n"/>
      <c r="AK803" s="120" t="n"/>
      <c r="AL803" s="120" t="n"/>
      <c r="AM803" s="120" t="n"/>
      <c r="AN803" s="120" t="n"/>
      <c r="AO803" s="120" t="n"/>
      <c r="AP803" s="120" t="n"/>
      <c r="AQ803" s="120" t="n"/>
      <c r="AR803" s="120" t="n"/>
      <c r="AS803" s="120" t="n"/>
    </row>
    <row r="804" hidden="1" outlineLevel="1">
      <c r="A804" s="8" t="n"/>
      <c r="B804" s="14" t="n"/>
      <c r="C804" s="120" t="n"/>
      <c r="D804" s="120" t="n"/>
      <c r="E804" s="120" t="n"/>
      <c r="F804" s="120" t="n"/>
      <c r="G804" s="120" t="n"/>
      <c r="I804" s="55" t="inlineStr">
        <is>
          <t>NOME</t>
        </is>
      </c>
      <c r="J804" s="16" t="n"/>
      <c r="K804" s="16" t="n"/>
      <c r="L804" s="16" t="n"/>
      <c r="M804" s="17" t="n"/>
      <c r="N804" s="120" t="n"/>
      <c r="O804" s="55" t="inlineStr">
        <is>
          <t>NÍVEL</t>
        </is>
      </c>
      <c r="P804" s="55" t="inlineStr">
        <is>
          <t>CLASSE</t>
        </is>
      </c>
      <c r="Q804" s="55" t="inlineStr">
        <is>
          <t>MAESTRIA</t>
        </is>
      </c>
      <c r="R804" s="55" t="inlineStr">
        <is>
          <t>ENTRADA</t>
        </is>
      </c>
      <c r="S804" s="55" t="inlineStr">
        <is>
          <t>RETORNO</t>
        </is>
      </c>
      <c r="T804" s="120" t="n"/>
      <c r="U804" s="55" t="inlineStr">
        <is>
          <t>VIDA ATUAL</t>
        </is>
      </c>
      <c r="V804" s="55" t="inlineStr">
        <is>
          <t>VIDA MÁXIMA</t>
        </is>
      </c>
      <c r="W804" s="55" t="inlineStr">
        <is>
          <t>TEMPORÁRIA</t>
        </is>
      </c>
      <c r="X804" s="55" t="inlineStr">
        <is>
          <t>± PERDA / GANHO</t>
        </is>
      </c>
      <c r="Y804" s="55">
        <f>DADOS_INVOC!$HN$6</f>
        <v/>
      </c>
      <c r="Z804" s="120" t="n"/>
      <c r="AB804" s="55" t="inlineStr">
        <is>
          <t>NOME</t>
        </is>
      </c>
      <c r="AC804" s="16" t="n"/>
      <c r="AD804" s="16" t="n"/>
      <c r="AE804" s="16" t="n"/>
      <c r="AF804" s="17" t="n"/>
      <c r="AG804" s="120" t="n"/>
      <c r="AH804" s="55" t="inlineStr">
        <is>
          <t>NÍVEL</t>
        </is>
      </c>
      <c r="AI804" s="55" t="inlineStr">
        <is>
          <t>CLASSE</t>
        </is>
      </c>
      <c r="AJ804" s="55" t="inlineStr">
        <is>
          <t>MAESTRIA</t>
        </is>
      </c>
      <c r="AK804" s="55" t="inlineStr">
        <is>
          <t>ENTRADA</t>
        </is>
      </c>
      <c r="AL804" s="55" t="inlineStr">
        <is>
          <t>RETORNO</t>
        </is>
      </c>
      <c r="AM804" s="120" t="n"/>
      <c r="AN804" s="55" t="inlineStr">
        <is>
          <t>VIDA ATUAL</t>
        </is>
      </c>
      <c r="AO804" s="55" t="inlineStr">
        <is>
          <t>VIDA MÁXIMA</t>
        </is>
      </c>
      <c r="AP804" s="55" t="inlineStr">
        <is>
          <t>TEMPORÁRIA</t>
        </is>
      </c>
      <c r="AQ804" s="55" t="inlineStr">
        <is>
          <t>± PERDA / GANHO</t>
        </is>
      </c>
      <c r="AR804" s="55">
        <f>DADOS_INVOC!$HN$12</f>
        <v/>
      </c>
      <c r="AS804" s="120" t="n"/>
    </row>
    <row r="805" hidden="1" outlineLevel="1">
      <c r="A805" s="8" t="n"/>
      <c r="B805" s="14" t="n"/>
      <c r="C805" s="120" t="n"/>
      <c r="D805" s="120" t="n"/>
      <c r="E805" s="120" t="n"/>
      <c r="F805" s="120" t="n"/>
      <c r="G805" s="120" t="n"/>
      <c r="I805" s="83" t="n"/>
      <c r="J805" s="19" t="n"/>
      <c r="K805" s="19" t="n"/>
      <c r="L805" s="19" t="n"/>
      <c r="M805" s="20" t="n"/>
      <c r="N805" s="120" t="n"/>
      <c r="O805" s="92">
        <f>DADOS_INVOC!$FG$6</f>
        <v/>
      </c>
      <c r="P805" s="92">
        <f>DADOS_INVOC!$FH$6</f>
        <v/>
      </c>
      <c r="Q805" s="92">
        <f>DADOS_INVOC!$GU$6</f>
        <v/>
      </c>
      <c r="R805" s="92">
        <f>DADOS_INVOC!$GV$6</f>
        <v/>
      </c>
      <c r="S805" s="92">
        <f>DADOS_INVOC!$GW$6</f>
        <v/>
      </c>
      <c r="T805" s="120" t="n"/>
      <c r="U805" s="92" t="n"/>
      <c r="V805" s="92">
        <f>DADOS_INVOC!$FX$6</f>
        <v/>
      </c>
      <c r="W805" s="92" t="n"/>
      <c r="X805" s="92" t="n"/>
      <c r="Y805" s="92" t="n"/>
      <c r="Z805" s="120" t="n"/>
      <c r="AB805" s="83" t="n"/>
      <c r="AC805" s="19" t="n"/>
      <c r="AD805" s="19" t="n"/>
      <c r="AE805" s="19" t="n"/>
      <c r="AF805" s="20" t="n"/>
      <c r="AG805" s="120" t="n"/>
      <c r="AH805" s="92">
        <f>DADOS_INVOC!$FG$12</f>
        <v/>
      </c>
      <c r="AI805" s="92">
        <f>DADOS_INVOC!$FH$12</f>
        <v/>
      </c>
      <c r="AJ805" s="92">
        <f>DADOS_INVOC!$GU$12</f>
        <v/>
      </c>
      <c r="AK805" s="92">
        <f>DADOS_INVOC!$GV$12</f>
        <v/>
      </c>
      <c r="AL805" s="92">
        <f>DADOS_INVOC!$GW$12</f>
        <v/>
      </c>
      <c r="AM805" s="120" t="n"/>
      <c r="AN805" s="92" t="n"/>
      <c r="AO805" s="92">
        <f>DADOS_INVOC!$FX$12</f>
        <v/>
      </c>
      <c r="AP805" s="92" t="n"/>
      <c r="AQ805" s="92" t="n"/>
      <c r="AR805" s="92" t="n"/>
      <c r="AS805" s="120" t="n"/>
    </row>
    <row r="806" hidden="1" outlineLevel="1">
      <c r="A806" s="8" t="n"/>
      <c r="B806" s="14" t="n"/>
      <c r="C806" s="120" t="n"/>
      <c r="D806" s="120" t="n"/>
      <c r="E806" s="120" t="n"/>
      <c r="F806" s="120" t="n"/>
      <c r="G806" s="120" t="n"/>
      <c r="I806" s="23" t="n"/>
      <c r="J806" s="24" t="n"/>
      <c r="K806" s="24" t="n"/>
      <c r="L806" s="24" t="n"/>
      <c r="M806" s="25" t="n"/>
      <c r="N806" s="120" t="n"/>
      <c r="O806" s="125" t="n"/>
      <c r="P806" s="125" t="n"/>
      <c r="Q806" s="125" t="n"/>
      <c r="R806" s="125" t="n"/>
      <c r="S806" s="125" t="n"/>
      <c r="T806" s="120" t="n"/>
      <c r="U806" s="125" t="n"/>
      <c r="V806" s="125" t="n"/>
      <c r="W806" s="125" t="n"/>
      <c r="X806" s="125" t="n"/>
      <c r="Y806" s="125" t="n"/>
      <c r="Z806" s="120" t="n"/>
      <c r="AB806" s="23" t="n"/>
      <c r="AC806" s="24" t="n"/>
      <c r="AD806" s="24" t="n"/>
      <c r="AE806" s="24" t="n"/>
      <c r="AF806" s="25" t="n"/>
      <c r="AG806" s="120" t="n"/>
      <c r="AH806" s="125" t="n"/>
      <c r="AI806" s="125" t="n"/>
      <c r="AJ806" s="125" t="n"/>
      <c r="AK806" s="125" t="n"/>
      <c r="AL806" s="125" t="n"/>
      <c r="AM806" s="120" t="n"/>
      <c r="AN806" s="125" t="n"/>
      <c r="AO806" s="125" t="n"/>
      <c r="AP806" s="125" t="n"/>
      <c r="AQ806" s="125" t="n"/>
      <c r="AR806" s="125" t="n"/>
      <c r="AS806" s="120" t="n"/>
    </row>
    <row r="807" hidden="1" outlineLevel="1">
      <c r="A807" s="8" t="n"/>
      <c r="B807" s="14" t="n"/>
      <c r="C807" s="120" t="n"/>
      <c r="D807" s="120" t="n"/>
      <c r="E807" s="120" t="n"/>
      <c r="F807" s="120" t="n"/>
      <c r="G807" s="120" t="n"/>
      <c r="I807" s="141" t="inlineStr">
        <is>
          <t>FOTO
式神</t>
        </is>
      </c>
      <c r="J807" s="19" t="n"/>
      <c r="K807" s="19" t="n"/>
      <c r="L807" s="19" t="n"/>
      <c r="M807" s="20" t="n"/>
      <c r="N807" s="120" t="n"/>
      <c r="O807" s="120" t="n"/>
      <c r="P807" s="120" t="n"/>
      <c r="Q807" s="120" t="n"/>
      <c r="R807" s="120" t="n"/>
      <c r="S807" s="120" t="n"/>
      <c r="T807" s="120" t="n"/>
      <c r="U807" s="130">
        <f>IFERROR(SPARKLINE(DADOS_INVOC!$FY$6,{"charttype","bar";"max",MAX(1,DADOS_INVOC!$FX$6);"color1",DADOS_INVOC!$CW$12}),"")</f>
        <v/>
      </c>
      <c r="V807" s="16" t="n"/>
      <c r="W807" s="16" t="n"/>
      <c r="X807" s="16" t="n"/>
      <c r="Y807" s="17" t="n"/>
      <c r="Z807" s="120" t="n"/>
      <c r="AB807" s="141" t="inlineStr">
        <is>
          <t>FOTO
式神</t>
        </is>
      </c>
      <c r="AC807" s="19" t="n"/>
      <c r="AD807" s="19" t="n"/>
      <c r="AE807" s="19" t="n"/>
      <c r="AF807" s="20" t="n"/>
      <c r="AG807" s="120" t="n"/>
      <c r="AH807" s="120" t="n"/>
      <c r="AI807" s="120" t="n"/>
      <c r="AJ807" s="120" t="n"/>
      <c r="AK807" s="120" t="n"/>
      <c r="AL807" s="120" t="n"/>
      <c r="AM807" s="120" t="n"/>
      <c r="AN807" s="130">
        <f>IFERROR(SPARKLINE(DADOS_INVOC!$FY$12,{"charttype","bar";"max",MAX(1,DADOS_INVOC!$FX$12);"color1",DADOS_INVOC!$CW$12}),"")</f>
        <v/>
      </c>
      <c r="AO807" s="16" t="n"/>
      <c r="AP807" s="16" t="n"/>
      <c r="AQ807" s="16" t="n"/>
      <c r="AR807" s="17" t="n"/>
      <c r="AS807" s="120" t="n"/>
    </row>
    <row r="808" hidden="1" outlineLevel="1">
      <c r="A808" s="8" t="n"/>
      <c r="B808" s="14" t="n"/>
      <c r="C808" s="120" t="n"/>
      <c r="D808" s="120" t="n"/>
      <c r="E808" s="120" t="n"/>
      <c r="F808" s="120" t="n"/>
      <c r="G808" s="120" t="n"/>
      <c r="I808" s="21" t="n"/>
      <c r="M808" s="22" t="n"/>
      <c r="N808" s="120" t="n"/>
      <c r="O808" s="55">
        <f>DADOS_INVOC!$GX$6</f>
        <v/>
      </c>
      <c r="P808" s="16" t="n"/>
      <c r="Q808" s="16" t="n"/>
      <c r="R808" s="16" t="n"/>
      <c r="S808" s="17" t="n"/>
      <c r="T808" s="120" t="n"/>
      <c r="U808" s="120" t="n"/>
      <c r="V808" s="120" t="n"/>
      <c r="W808" s="120" t="n"/>
      <c r="X808" s="120" t="n"/>
      <c r="Y808" s="120" t="n"/>
      <c r="Z808" s="120" t="n"/>
      <c r="AB808" s="21" t="n"/>
      <c r="AF808" s="22" t="n"/>
      <c r="AG808" s="120" t="n"/>
      <c r="AH808" s="55">
        <f>DADOS_INVOC!$GX$12</f>
        <v/>
      </c>
      <c r="AI808" s="16" t="n"/>
      <c r="AJ808" s="16" t="n"/>
      <c r="AK808" s="16" t="n"/>
      <c r="AL808" s="17" t="n"/>
      <c r="AM808" s="120" t="n"/>
      <c r="AN808" s="120" t="n"/>
      <c r="AO808" s="120" t="n"/>
      <c r="AP808" s="120" t="n"/>
      <c r="AQ808" s="120" t="n"/>
      <c r="AR808" s="120" t="n"/>
      <c r="AS808" s="120" t="n"/>
    </row>
    <row r="809" hidden="1" outlineLevel="1">
      <c r="A809" s="8" t="n"/>
      <c r="B809" s="14" t="n"/>
      <c r="C809" s="120" t="n"/>
      <c r="D809" s="120" t="n"/>
      <c r="E809" s="120" t="n"/>
      <c r="F809" s="120" t="n"/>
      <c r="G809" s="120" t="n"/>
      <c r="I809" s="21" t="n"/>
      <c r="M809" s="22" t="n"/>
      <c r="N809" s="120" t="n"/>
      <c r="O809" s="55" t="inlineStr">
        <is>
          <t>FOR</t>
        </is>
      </c>
      <c r="P809" s="55" t="inlineStr">
        <is>
          <t>DES</t>
        </is>
      </c>
      <c r="Q809" s="55" t="inlineStr">
        <is>
          <t>CON</t>
        </is>
      </c>
      <c r="R809" s="55" t="inlineStr">
        <is>
          <t>INT</t>
        </is>
      </c>
      <c r="S809" s="55" t="inlineStr">
        <is>
          <t>ESS</t>
        </is>
      </c>
      <c r="T809" s="120" t="n"/>
      <c r="U809" s="55" t="inlineStr">
        <is>
          <t>CONDIÇÕES E USOS GASTOS</t>
        </is>
      </c>
      <c r="V809" s="16" t="n"/>
      <c r="W809" s="16" t="n"/>
      <c r="X809" s="16" t="n"/>
      <c r="Y809" s="17" t="n"/>
      <c r="Z809" s="120" t="n"/>
      <c r="AB809" s="21" t="n"/>
      <c r="AF809" s="22" t="n"/>
      <c r="AG809" s="120" t="n"/>
      <c r="AH809" s="55" t="inlineStr">
        <is>
          <t>FOR</t>
        </is>
      </c>
      <c r="AI809" s="55" t="inlineStr">
        <is>
          <t>DES</t>
        </is>
      </c>
      <c r="AJ809" s="55" t="inlineStr">
        <is>
          <t>CON</t>
        </is>
      </c>
      <c r="AK809" s="55" t="inlineStr">
        <is>
          <t>INT</t>
        </is>
      </c>
      <c r="AL809" s="55" t="inlineStr">
        <is>
          <t>ESS</t>
        </is>
      </c>
      <c r="AM809" s="120" t="n"/>
      <c r="AN809" s="55" t="inlineStr">
        <is>
          <t>CONDIÇÕES E USOS GASTOS</t>
        </is>
      </c>
      <c r="AO809" s="16" t="n"/>
      <c r="AP809" s="16" t="n"/>
      <c r="AQ809" s="16" t="n"/>
      <c r="AR809" s="17" t="n"/>
      <c r="AS809" s="120" t="n"/>
    </row>
    <row r="810" hidden="1" outlineLevel="1">
      <c r="A810" s="8" t="n"/>
      <c r="B810" s="14" t="n"/>
      <c r="C810" s="120" t="n"/>
      <c r="D810" s="120" t="n"/>
      <c r="E810" s="120" t="n"/>
      <c r="F810" s="120" t="n"/>
      <c r="G810" s="120" t="n"/>
      <c r="I810" s="21" t="n"/>
      <c r="M810" s="22" t="n"/>
      <c r="N810" s="120" t="n"/>
      <c r="O810" s="92">
        <f>DADOS_INVOC!$FJ$6</f>
        <v/>
      </c>
      <c r="P810" s="92">
        <f>DADOS_INVOC!$FK$6</f>
        <v/>
      </c>
      <c r="Q810" s="92">
        <f>DADOS_INVOC!$FL$6</f>
        <v/>
      </c>
      <c r="R810" s="92">
        <f>DADOS_INVOC!$FM$6</f>
        <v/>
      </c>
      <c r="S810" s="92">
        <f>DADOS_INVOC!$FN$6</f>
        <v/>
      </c>
      <c r="T810" s="120" t="n"/>
      <c r="U810" s="116" t="n"/>
      <c r="V810" s="19" t="n"/>
      <c r="W810" s="19" t="n"/>
      <c r="X810" s="19" t="n"/>
      <c r="Y810" s="20" t="n"/>
      <c r="Z810" s="120" t="n"/>
      <c r="AB810" s="21" t="n"/>
      <c r="AF810" s="22" t="n"/>
      <c r="AG810" s="120" t="n"/>
      <c r="AH810" s="92">
        <f>DADOS_INVOC!$FJ$12</f>
        <v/>
      </c>
      <c r="AI810" s="92">
        <f>DADOS_INVOC!$FK$12</f>
        <v/>
      </c>
      <c r="AJ810" s="92">
        <f>DADOS_INVOC!$FL$12</f>
        <v/>
      </c>
      <c r="AK810" s="92">
        <f>DADOS_INVOC!$FM$12</f>
        <v/>
      </c>
      <c r="AL810" s="92">
        <f>DADOS_INVOC!$FN$12</f>
        <v/>
      </c>
      <c r="AM810" s="120" t="n"/>
      <c r="AN810" s="116" t="n"/>
      <c r="AO810" s="19" t="n"/>
      <c r="AP810" s="19" t="n"/>
      <c r="AQ810" s="19" t="n"/>
      <c r="AR810" s="20" t="n"/>
      <c r="AS810" s="120" t="n"/>
    </row>
    <row r="811" hidden="1" outlineLevel="1">
      <c r="A811" s="8" t="n"/>
      <c r="B811" s="14" t="n"/>
      <c r="C811" s="120" t="n"/>
      <c r="D811" s="120" t="n"/>
      <c r="E811" s="120" t="n"/>
      <c r="F811" s="120" t="n"/>
      <c r="G811" s="120" t="n"/>
      <c r="I811" s="21" t="n"/>
      <c r="M811" s="22" t="n"/>
      <c r="N811" s="120" t="n"/>
      <c r="O811" s="125" t="n"/>
      <c r="P811" s="125" t="n"/>
      <c r="Q811" s="125" t="n"/>
      <c r="R811" s="125" t="n"/>
      <c r="S811" s="125" t="n"/>
      <c r="T811" s="120" t="n"/>
      <c r="U811" s="21" t="n"/>
      <c r="Y811" s="22" t="n"/>
      <c r="Z811" s="120" t="n"/>
      <c r="AB811" s="21" t="n"/>
      <c r="AF811" s="22" t="n"/>
      <c r="AG811" s="120" t="n"/>
      <c r="AH811" s="125" t="n"/>
      <c r="AI811" s="125" t="n"/>
      <c r="AJ811" s="125" t="n"/>
      <c r="AK811" s="125" t="n"/>
      <c r="AL811" s="125" t="n"/>
      <c r="AM811" s="120" t="n"/>
      <c r="AN811" s="21" t="n"/>
      <c r="AR811" s="22" t="n"/>
      <c r="AS811" s="120" t="n"/>
    </row>
    <row r="812" hidden="1" outlineLevel="1">
      <c r="A812" s="8" t="n"/>
      <c r="B812" s="14" t="n"/>
      <c r="C812" s="120" t="n"/>
      <c r="D812" s="120" t="n"/>
      <c r="E812" s="120" t="n"/>
      <c r="F812" s="120" t="n"/>
      <c r="G812" s="120" t="n"/>
      <c r="I812" s="21" t="n"/>
      <c r="M812" s="22" t="n"/>
      <c r="N812" s="120" t="n"/>
      <c r="O812" s="142" t="n">
        <v>0</v>
      </c>
      <c r="P812" s="142" t="n">
        <v>0</v>
      </c>
      <c r="Q812" s="142" t="n">
        <v>0</v>
      </c>
      <c r="R812" s="142" t="n">
        <v>0</v>
      </c>
      <c r="S812" s="142" t="n">
        <v>0</v>
      </c>
      <c r="T812" s="120" t="n"/>
      <c r="U812" s="21" t="n"/>
      <c r="Y812" s="22" t="n"/>
      <c r="Z812" s="120" t="n"/>
      <c r="AB812" s="21" t="n"/>
      <c r="AF812" s="22" t="n"/>
      <c r="AG812" s="120" t="n"/>
      <c r="AH812" s="142" t="n">
        <v>0</v>
      </c>
      <c r="AI812" s="142" t="n">
        <v>0</v>
      </c>
      <c r="AJ812" s="142" t="n">
        <v>0</v>
      </c>
      <c r="AK812" s="142" t="n">
        <v>0</v>
      </c>
      <c r="AL812" s="142" t="n">
        <v>0</v>
      </c>
      <c r="AM812" s="120" t="n"/>
      <c r="AN812" s="21" t="n"/>
      <c r="AR812" s="22" t="n"/>
      <c r="AS812" s="120" t="n"/>
    </row>
    <row r="813" hidden="1" outlineLevel="1">
      <c r="A813" s="8" t="n"/>
      <c r="B813" s="14" t="n"/>
      <c r="C813" s="120" t="n"/>
      <c r="D813" s="120" t="n"/>
      <c r="E813" s="120" t="n"/>
      <c r="F813" s="120" t="n"/>
      <c r="G813" s="120" t="n"/>
      <c r="I813" s="21" t="n"/>
      <c r="M813" s="22" t="n"/>
      <c r="N813" s="120" t="n"/>
      <c r="O813" s="144" t="n">
        <v>0</v>
      </c>
      <c r="P813" s="144" t="n">
        <v>0</v>
      </c>
      <c r="Q813" s="144" t="n">
        <v>0</v>
      </c>
      <c r="R813" s="144" t="n">
        <v>0</v>
      </c>
      <c r="S813" s="144" t="n">
        <v>0</v>
      </c>
      <c r="T813" s="120" t="n"/>
      <c r="U813" s="21" t="n"/>
      <c r="Y813" s="22" t="n"/>
      <c r="Z813" s="120" t="n"/>
      <c r="AB813" s="21" t="n"/>
      <c r="AF813" s="22" t="n"/>
      <c r="AG813" s="120" t="n"/>
      <c r="AH813" s="144" t="n">
        <v>0</v>
      </c>
      <c r="AI813" s="144" t="n">
        <v>0</v>
      </c>
      <c r="AJ813" s="144" t="n">
        <v>0</v>
      </c>
      <c r="AK813" s="144" t="n">
        <v>0</v>
      </c>
      <c r="AL813" s="144" t="n">
        <v>0</v>
      </c>
      <c r="AM813" s="120" t="n"/>
      <c r="AN813" s="21" t="n"/>
      <c r="AR813" s="22" t="n"/>
      <c r="AS813" s="120" t="n"/>
    </row>
    <row r="814" hidden="1" outlineLevel="1">
      <c r="A814" s="8" t="n"/>
      <c r="B814" s="14" t="n"/>
      <c r="C814" s="120" t="n"/>
      <c r="D814" s="120" t="n"/>
      <c r="E814" s="120" t="n"/>
      <c r="F814" s="120" t="n"/>
      <c r="G814" s="120" t="n"/>
      <c r="I814" s="21" t="n"/>
      <c r="M814" s="22" t="n"/>
      <c r="N814" s="120" t="n"/>
      <c r="O814" s="120" t="n"/>
      <c r="P814" s="120" t="n"/>
      <c r="Q814" s="120" t="n"/>
      <c r="R814" s="120" t="n"/>
      <c r="S814" s="120" t="n"/>
      <c r="T814" s="120" t="n"/>
      <c r="U814" s="21" t="n"/>
      <c r="Y814" s="22" t="n"/>
      <c r="Z814" s="120" t="n"/>
      <c r="AB814" s="21" t="n"/>
      <c r="AF814" s="22" t="n"/>
      <c r="AG814" s="120" t="n"/>
      <c r="AH814" s="120" t="n"/>
      <c r="AI814" s="120" t="n"/>
      <c r="AJ814" s="120" t="n"/>
      <c r="AK814" s="120" t="n"/>
      <c r="AL814" s="120" t="n"/>
      <c r="AM814" s="120" t="n"/>
      <c r="AN814" s="21" t="n"/>
      <c r="AR814" s="22" t="n"/>
      <c r="AS814" s="120" t="n"/>
    </row>
    <row r="815" hidden="1" outlineLevel="1">
      <c r="A815" s="8" t="n"/>
      <c r="B815" s="14" t="n"/>
      <c r="C815" s="120" t="n"/>
      <c r="D815" s="120" t="n"/>
      <c r="E815" s="120" t="n"/>
      <c r="F815" s="120" t="n"/>
      <c r="G815" s="120" t="n"/>
      <c r="I815" s="21" t="n"/>
      <c r="M815" s="22" t="n"/>
      <c r="N815" s="120" t="n"/>
      <c r="O815" s="55" t="inlineStr">
        <is>
          <t>ATAQUE</t>
        </is>
      </c>
      <c r="P815" s="55" t="inlineStr">
        <is>
          <t>CD</t>
        </is>
      </c>
      <c r="Q815" s="55" t="inlineStr">
        <is>
          <t>DEFESA</t>
        </is>
      </c>
      <c r="R815" s="55" t="inlineStr">
        <is>
          <t>VIDA MÁXIMA</t>
        </is>
      </c>
      <c r="S815" s="55" t="inlineStr">
        <is>
          <t>DESLOCAMENTO</t>
        </is>
      </c>
      <c r="T815" s="120" t="n"/>
      <c r="U815" s="21" t="n"/>
      <c r="Y815" s="22" t="n"/>
      <c r="Z815" s="120" t="n"/>
      <c r="AB815" s="21" t="n"/>
      <c r="AF815" s="22" t="n"/>
      <c r="AG815" s="120" t="n"/>
      <c r="AH815" s="55" t="inlineStr">
        <is>
          <t>ATAQUE</t>
        </is>
      </c>
      <c r="AI815" s="55" t="inlineStr">
        <is>
          <t>CD</t>
        </is>
      </c>
      <c r="AJ815" s="55" t="inlineStr">
        <is>
          <t>DEFESA</t>
        </is>
      </c>
      <c r="AK815" s="55" t="inlineStr">
        <is>
          <t>VIDA MÁXIMA</t>
        </is>
      </c>
      <c r="AL815" s="55" t="inlineStr">
        <is>
          <t>DESLOCAMENTO</t>
        </is>
      </c>
      <c r="AM815" s="120" t="n"/>
      <c r="AN815" s="21" t="n"/>
      <c r="AR815" s="22" t="n"/>
      <c r="AS815" s="120" t="n"/>
    </row>
    <row r="816" hidden="1" outlineLevel="1">
      <c r="A816" s="8" t="n"/>
      <c r="B816" s="14" t="n"/>
      <c r="C816" s="120" t="n"/>
      <c r="D816" s="120" t="n"/>
      <c r="E816" s="120" t="n"/>
      <c r="F816" s="120" t="n"/>
      <c r="G816" s="120" t="n"/>
      <c r="I816" s="21" t="n"/>
      <c r="M816" s="22" t="n"/>
      <c r="N816" s="120" t="n"/>
      <c r="O816" s="92">
        <f>DADOS_INVOC!$GY$6</f>
        <v/>
      </c>
      <c r="P816" s="92">
        <f>DADOS_INVOC!$GZ$6</f>
        <v/>
      </c>
      <c r="Q816" s="92">
        <f>DADOS_INVOC!$FV$6</f>
        <v/>
      </c>
      <c r="R816" s="92">
        <f>DADOS_INVOC!$FX$6</f>
        <v/>
      </c>
      <c r="S816" s="92">
        <f>DADOS_INVOC!$HA$6</f>
        <v/>
      </c>
      <c r="T816" s="120" t="n"/>
      <c r="U816" s="23" t="n"/>
      <c r="V816" s="24" t="n"/>
      <c r="W816" s="24" t="n"/>
      <c r="X816" s="24" t="n"/>
      <c r="Y816" s="25" t="n"/>
      <c r="Z816" s="120" t="n"/>
      <c r="AB816" s="21" t="n"/>
      <c r="AF816" s="22" t="n"/>
      <c r="AG816" s="120" t="n"/>
      <c r="AH816" s="92">
        <f>DADOS_INVOC!$GY$12</f>
        <v/>
      </c>
      <c r="AI816" s="92">
        <f>DADOS_INVOC!$GZ$12</f>
        <v/>
      </c>
      <c r="AJ816" s="92">
        <f>DADOS_INVOC!$FV$12</f>
        <v/>
      </c>
      <c r="AK816" s="92">
        <f>DADOS_INVOC!$FX$12</f>
        <v/>
      </c>
      <c r="AL816" s="92">
        <f>DADOS_INVOC!$HA$12</f>
        <v/>
      </c>
      <c r="AM816" s="120" t="n"/>
      <c r="AN816" s="23" t="n"/>
      <c r="AO816" s="24" t="n"/>
      <c r="AP816" s="24" t="n"/>
      <c r="AQ816" s="24" t="n"/>
      <c r="AR816" s="25" t="n"/>
      <c r="AS816" s="120" t="n"/>
    </row>
    <row r="817" hidden="1" outlineLevel="1">
      <c r="A817" s="8" t="n"/>
      <c r="B817" s="14" t="n"/>
      <c r="C817" s="120" t="n"/>
      <c r="D817" s="120" t="n"/>
      <c r="E817" s="120" t="n"/>
      <c r="F817" s="120" t="n"/>
      <c r="G817" s="120" t="n"/>
      <c r="I817" s="21" t="n"/>
      <c r="M817" s="22" t="n"/>
      <c r="N817" s="120" t="n"/>
      <c r="O817" s="125" t="n"/>
      <c r="P817" s="125" t="n"/>
      <c r="Q817" s="125" t="n"/>
      <c r="R817" s="125" t="n"/>
      <c r="S817" s="125" t="n"/>
      <c r="T817" s="120" t="n"/>
      <c r="U817" s="120" t="n"/>
      <c r="V817" s="120" t="n"/>
      <c r="W817" s="120" t="n"/>
      <c r="X817" s="120" t="n"/>
      <c r="Y817" s="120" t="n"/>
      <c r="Z817" s="120" t="n"/>
      <c r="AB817" s="21" t="n"/>
      <c r="AF817" s="22" t="n"/>
      <c r="AG817" s="120" t="n"/>
      <c r="AH817" s="125" t="n"/>
      <c r="AI817" s="125" t="n"/>
      <c r="AJ817" s="125" t="n"/>
      <c r="AK817" s="125" t="n"/>
      <c r="AL817" s="125" t="n"/>
      <c r="AM817" s="120" t="n"/>
      <c r="AN817" s="120" t="n"/>
      <c r="AO817" s="120" t="n"/>
      <c r="AP817" s="120" t="n"/>
      <c r="AQ817" s="120" t="n"/>
      <c r="AR817" s="120" t="n"/>
      <c r="AS817" s="120" t="n"/>
    </row>
    <row r="818" hidden="1" outlineLevel="1">
      <c r="A818" s="8" t="n"/>
      <c r="B818" s="14" t="n"/>
      <c r="C818" s="120" t="n"/>
      <c r="D818" s="120" t="n"/>
      <c r="E818" s="120" t="n"/>
      <c r="F818" s="120" t="n"/>
      <c r="G818" s="120" t="n"/>
      <c r="I818" s="21" t="n"/>
      <c r="M818" s="22" t="n"/>
      <c r="N818" s="120" t="n"/>
      <c r="O818" s="144" t="n">
        <v>0</v>
      </c>
      <c r="P818" s="144" t="n">
        <v>0</v>
      </c>
      <c r="Q818" s="144" t="n">
        <v>0</v>
      </c>
      <c r="R818" s="144" t="n">
        <v>0</v>
      </c>
      <c r="S818" s="144" t="n">
        <v>0</v>
      </c>
      <c r="T818" s="120" t="n"/>
      <c r="U818" s="55" t="inlineStr">
        <is>
          <t>ANOTAÇÕES</t>
        </is>
      </c>
      <c r="V818" s="16" t="n"/>
      <c r="W818" s="16" t="n"/>
      <c r="X818" s="16" t="n"/>
      <c r="Y818" s="17" t="n"/>
      <c r="Z818" s="120" t="n"/>
      <c r="AB818" s="21" t="n"/>
      <c r="AF818" s="22" t="n"/>
      <c r="AG818" s="120" t="n"/>
      <c r="AH818" s="144" t="n">
        <v>0</v>
      </c>
      <c r="AI818" s="144" t="n">
        <v>0</v>
      </c>
      <c r="AJ818" s="144" t="n">
        <v>0</v>
      </c>
      <c r="AK818" s="144" t="n">
        <v>0</v>
      </c>
      <c r="AL818" s="144" t="n">
        <v>0</v>
      </c>
      <c r="AM818" s="120" t="n"/>
      <c r="AN818" s="55" t="inlineStr">
        <is>
          <t>ANOTAÇÕES</t>
        </is>
      </c>
      <c r="AO818" s="16" t="n"/>
      <c r="AP818" s="16" t="n"/>
      <c r="AQ818" s="16" t="n"/>
      <c r="AR818" s="17" t="n"/>
      <c r="AS818" s="120" t="n"/>
    </row>
    <row r="819" hidden="1" outlineLevel="1">
      <c r="A819" s="8" t="n"/>
      <c r="B819" s="14" t="n"/>
      <c r="C819" s="120" t="n"/>
      <c r="D819" s="120" t="n"/>
      <c r="E819" s="120" t="n"/>
      <c r="F819" s="120" t="n"/>
      <c r="G819" s="120" t="n"/>
      <c r="I819" s="21" t="n"/>
      <c r="M819" s="22" t="n"/>
      <c r="N819" s="120" t="n"/>
      <c r="O819" s="120" t="n"/>
      <c r="P819" s="120" t="n"/>
      <c r="Q819" s="120" t="n"/>
      <c r="R819" s="120" t="n"/>
      <c r="S819" s="120" t="n"/>
      <c r="T819" s="120" t="n"/>
      <c r="U819" s="116" t="n"/>
      <c r="V819" s="19" t="n"/>
      <c r="W819" s="19" t="n"/>
      <c r="X819" s="19" t="n"/>
      <c r="Y819" s="20" t="n"/>
      <c r="Z819" s="120" t="n"/>
      <c r="AB819" s="21" t="n"/>
      <c r="AF819" s="22" t="n"/>
      <c r="AG819" s="120" t="n"/>
      <c r="AH819" s="120" t="n"/>
      <c r="AI819" s="120" t="n"/>
      <c r="AJ819" s="120" t="n"/>
      <c r="AK819" s="120" t="n"/>
      <c r="AL819" s="120" t="n"/>
      <c r="AM819" s="120" t="n"/>
      <c r="AN819" s="116" t="n"/>
      <c r="AO819" s="19" t="n"/>
      <c r="AP819" s="19" t="n"/>
      <c r="AQ819" s="19" t="n"/>
      <c r="AR819" s="20" t="n"/>
      <c r="AS819" s="120" t="n"/>
    </row>
    <row r="820" hidden="1" outlineLevel="1">
      <c r="A820" s="8" t="n"/>
      <c r="B820" s="14" t="n"/>
      <c r="C820" s="120" t="n"/>
      <c r="D820" s="120" t="n"/>
      <c r="E820" s="120" t="n"/>
      <c r="F820" s="120" t="n"/>
      <c r="G820" s="120" t="n"/>
      <c r="I820" s="21" t="n"/>
      <c r="M820" s="22" t="n"/>
      <c r="N820" s="120" t="n"/>
      <c r="O820" s="55" t="inlineStr">
        <is>
          <t>FÍSICO</t>
        </is>
      </c>
      <c r="P820" s="55" t="inlineStr">
        <is>
          <t>VIGOR</t>
        </is>
      </c>
      <c r="Q820" s="55" t="inlineStr">
        <is>
          <t>INTELECTO</t>
        </is>
      </c>
      <c r="R820" s="55" t="inlineStr">
        <is>
          <t>ESPÍRITO</t>
        </is>
      </c>
      <c r="S820" s="55" t="inlineStr">
        <is>
          <t>CARGA MÁXIMA</t>
        </is>
      </c>
      <c r="T820" s="120" t="n"/>
      <c r="U820" s="21" t="n"/>
      <c r="Y820" s="22" t="n"/>
      <c r="Z820" s="120" t="n"/>
      <c r="AB820" s="21" t="n"/>
      <c r="AF820" s="22" t="n"/>
      <c r="AG820" s="120" t="n"/>
      <c r="AH820" s="55" t="inlineStr">
        <is>
          <t>FÍSICO</t>
        </is>
      </c>
      <c r="AI820" s="55" t="inlineStr">
        <is>
          <t>VIGOR</t>
        </is>
      </c>
      <c r="AJ820" s="55" t="inlineStr">
        <is>
          <t>INTELECTO</t>
        </is>
      </c>
      <c r="AK820" s="55" t="inlineStr">
        <is>
          <t>ESPÍRITO</t>
        </is>
      </c>
      <c r="AL820" s="55" t="inlineStr">
        <is>
          <t>CARGA MÁXIMA</t>
        </is>
      </c>
      <c r="AM820" s="120" t="n"/>
      <c r="AN820" s="21" t="n"/>
      <c r="AR820" s="22" t="n"/>
      <c r="AS820" s="120" t="n"/>
    </row>
    <row r="821" hidden="1" outlineLevel="1">
      <c r="A821" s="8" t="n"/>
      <c r="B821" s="14" t="n"/>
      <c r="C821" s="120" t="n"/>
      <c r="D821" s="120" t="n"/>
      <c r="E821" s="120" t="n"/>
      <c r="F821" s="120" t="n"/>
      <c r="G821" s="120" t="n"/>
      <c r="I821" s="21" t="n"/>
      <c r="M821" s="22" t="n"/>
      <c r="N821" s="120" t="n"/>
      <c r="O821" s="92">
        <f>DADOS_INVOC!$HB$6</f>
        <v/>
      </c>
      <c r="P821" s="92">
        <f>DADOS_INVOC!$HC$6</f>
        <v/>
      </c>
      <c r="Q821" s="92">
        <f>DADOS_INVOC!$HD$6</f>
        <v/>
      </c>
      <c r="R821" s="92">
        <f>DADOS_INVOC!$HE$6</f>
        <v/>
      </c>
      <c r="S821" s="92">
        <f>DADOS_INVOC!$GO$6</f>
        <v/>
      </c>
      <c r="T821" s="120" t="n"/>
      <c r="U821" s="21" t="n"/>
      <c r="Y821" s="22" t="n"/>
      <c r="Z821" s="120" t="n"/>
      <c r="AB821" s="21" t="n"/>
      <c r="AF821" s="22" t="n"/>
      <c r="AG821" s="120" t="n"/>
      <c r="AH821" s="92">
        <f>DADOS_INVOC!$HB$12</f>
        <v/>
      </c>
      <c r="AI821" s="92">
        <f>DADOS_INVOC!$HC$12</f>
        <v/>
      </c>
      <c r="AJ821" s="92">
        <f>DADOS_INVOC!$HD$12</f>
        <v/>
      </c>
      <c r="AK821" s="92">
        <f>DADOS_INVOC!$HE$12</f>
        <v/>
      </c>
      <c r="AL821" s="92">
        <f>DADOS_INVOC!$GO$12</f>
        <v/>
      </c>
      <c r="AM821" s="120" t="n"/>
      <c r="AN821" s="21" t="n"/>
      <c r="AR821" s="22" t="n"/>
      <c r="AS821" s="120" t="n"/>
    </row>
    <row r="822" hidden="1" outlineLevel="1">
      <c r="A822" s="8" t="n"/>
      <c r="B822" s="14" t="n"/>
      <c r="C822" s="120" t="n"/>
      <c r="D822" s="120" t="n"/>
      <c r="E822" s="120" t="n"/>
      <c r="F822" s="120" t="n"/>
      <c r="G822" s="120" t="n"/>
      <c r="I822" s="21" t="n"/>
      <c r="M822" s="22" t="n"/>
      <c r="N822" s="120" t="n"/>
      <c r="O822" s="125" t="n"/>
      <c r="P822" s="125" t="n"/>
      <c r="Q822" s="125" t="n"/>
      <c r="R822" s="125" t="n"/>
      <c r="S822" s="125" t="n"/>
      <c r="T822" s="120" t="n"/>
      <c r="U822" s="21" t="n"/>
      <c r="Y822" s="22" t="n"/>
      <c r="Z822" s="120" t="n"/>
      <c r="AB822" s="21" t="n"/>
      <c r="AF822" s="22" t="n"/>
      <c r="AG822" s="120" t="n"/>
      <c r="AH822" s="125" t="n"/>
      <c r="AI822" s="125" t="n"/>
      <c r="AJ822" s="125" t="n"/>
      <c r="AK822" s="125" t="n"/>
      <c r="AL822" s="125" t="n"/>
      <c r="AM822" s="120" t="n"/>
      <c r="AN822" s="21" t="n"/>
      <c r="AR822" s="22" t="n"/>
      <c r="AS822" s="120" t="n"/>
    </row>
    <row r="823" hidden="1" outlineLevel="1">
      <c r="A823" s="8" t="n"/>
      <c r="B823" s="14" t="n"/>
      <c r="C823" s="120" t="n"/>
      <c r="D823" s="120" t="n"/>
      <c r="E823" s="120" t="n"/>
      <c r="F823" s="120" t="n"/>
      <c r="G823" s="120" t="n"/>
      <c r="I823" s="21" t="n"/>
      <c r="M823" s="22" t="n"/>
      <c r="N823" s="120" t="n"/>
      <c r="O823" s="144" t="n">
        <v>0</v>
      </c>
      <c r="P823" s="144" t="n">
        <v>0</v>
      </c>
      <c r="Q823" s="144" t="n">
        <v>0</v>
      </c>
      <c r="R823" s="144" t="n">
        <v>0</v>
      </c>
      <c r="S823" s="120" t="n"/>
      <c r="T823" s="120" t="n"/>
      <c r="U823" s="21" t="n"/>
      <c r="Y823" s="22" t="n"/>
      <c r="Z823" s="120" t="n"/>
      <c r="AB823" s="21" t="n"/>
      <c r="AF823" s="22" t="n"/>
      <c r="AG823" s="120" t="n"/>
      <c r="AH823" s="144" t="n">
        <v>0</v>
      </c>
      <c r="AI823" s="144" t="n">
        <v>0</v>
      </c>
      <c r="AJ823" s="144" t="n">
        <v>0</v>
      </c>
      <c r="AK823" s="144" t="n">
        <v>0</v>
      </c>
      <c r="AL823" s="120" t="n"/>
      <c r="AM823" s="120" t="n"/>
      <c r="AN823" s="21" t="n"/>
      <c r="AR823" s="22" t="n"/>
      <c r="AS823" s="120" t="n"/>
    </row>
    <row r="824" hidden="1" outlineLevel="1">
      <c r="A824" s="8" t="n"/>
      <c r="B824" s="14" t="n"/>
      <c r="C824" s="120" t="n"/>
      <c r="D824" s="120" t="n"/>
      <c r="E824" s="120" t="n"/>
      <c r="F824" s="120" t="n"/>
      <c r="G824" s="120" t="n"/>
      <c r="I824" s="21" t="n"/>
      <c r="M824" s="22" t="n"/>
      <c r="N824" s="120" t="n"/>
      <c r="O824" s="120" t="n"/>
      <c r="P824" s="120" t="n"/>
      <c r="Q824" s="120" t="n"/>
      <c r="R824" s="120" t="n"/>
      <c r="S824" s="120" t="n"/>
      <c r="T824" s="120" t="n"/>
      <c r="U824" s="21" t="n"/>
      <c r="Y824" s="22" t="n"/>
      <c r="Z824" s="120" t="n"/>
      <c r="AB824" s="21" t="n"/>
      <c r="AF824" s="22" t="n"/>
      <c r="AG824" s="120" t="n"/>
      <c r="AH824" s="120" t="n"/>
      <c r="AI824" s="120" t="n"/>
      <c r="AJ824" s="120" t="n"/>
      <c r="AK824" s="120" t="n"/>
      <c r="AL824" s="120" t="n"/>
      <c r="AM824" s="120" t="n"/>
      <c r="AN824" s="21" t="n"/>
      <c r="AR824" s="22" t="n"/>
      <c r="AS824" s="120" t="n"/>
    </row>
    <row r="825" hidden="1" outlineLevel="1">
      <c r="A825" s="8" t="n"/>
      <c r="B825" s="14" t="n"/>
      <c r="C825" s="120" t="n"/>
      <c r="D825" s="120" t="n"/>
      <c r="E825" s="120" t="n"/>
      <c r="F825" s="120" t="n"/>
      <c r="G825" s="120" t="n"/>
      <c r="I825" s="21" t="n"/>
      <c r="M825" s="22" t="n"/>
      <c r="N825" s="120" t="n"/>
      <c r="O825" s="55" t="inlineStr">
        <is>
          <t>ATRIBUTO DE ACERTO</t>
        </is>
      </c>
      <c r="P825" s="17" t="n"/>
      <c r="Q825" s="55" t="inlineStr">
        <is>
          <t>FÍSICO USA</t>
        </is>
      </c>
      <c r="R825" s="17" t="n"/>
      <c r="S825" s="55" t="inlineStr">
        <is>
          <t>TR TREINADO</t>
        </is>
      </c>
      <c r="T825" s="120" t="n"/>
      <c r="U825" s="21" t="n"/>
      <c r="Y825" s="22" t="n"/>
      <c r="Z825" s="120" t="n"/>
      <c r="AB825" s="21" t="n"/>
      <c r="AF825" s="22" t="n"/>
      <c r="AG825" s="120" t="n"/>
      <c r="AH825" s="55" t="inlineStr">
        <is>
          <t>ATRIBUTO DE ACERTO</t>
        </is>
      </c>
      <c r="AI825" s="17" t="n"/>
      <c r="AJ825" s="55" t="inlineStr">
        <is>
          <t>FÍSICO USA</t>
        </is>
      </c>
      <c r="AK825" s="17" t="n"/>
      <c r="AL825" s="55" t="inlineStr">
        <is>
          <t>TR TREINADO</t>
        </is>
      </c>
      <c r="AM825" s="120" t="n"/>
      <c r="AN825" s="21" t="n"/>
      <c r="AR825" s="22" t="n"/>
      <c r="AS825" s="120" t="n"/>
    </row>
    <row r="826" hidden="1" outlineLevel="1">
      <c r="A826" s="8" t="n"/>
      <c r="B826" s="14" t="n"/>
      <c r="C826" s="120" t="n"/>
      <c r="D826" s="120" t="n"/>
      <c r="E826" s="120" t="n"/>
      <c r="F826" s="120" t="n"/>
      <c r="G826" s="120" t="n"/>
      <c r="I826" s="21" t="n"/>
      <c r="M826" s="22" t="n"/>
      <c r="N826" s="120" t="n"/>
      <c r="O826" s="124" t="n"/>
      <c r="P826" s="20" t="n"/>
      <c r="Q826" s="124" t="inlineStr">
        <is>
          <t>Força</t>
        </is>
      </c>
      <c r="R826" s="20" t="n"/>
      <c r="S826" s="124" t="n"/>
      <c r="T826" s="120" t="n"/>
      <c r="U826" s="21" t="n"/>
      <c r="Y826" s="22" t="n"/>
      <c r="Z826" s="120" t="n"/>
      <c r="AB826" s="21" t="n"/>
      <c r="AF826" s="22" t="n"/>
      <c r="AG826" s="120" t="n"/>
      <c r="AH826" s="124" t="n"/>
      <c r="AI826" s="20" t="n"/>
      <c r="AJ826" s="124" t="inlineStr">
        <is>
          <t>Força</t>
        </is>
      </c>
      <c r="AK826" s="20" t="n"/>
      <c r="AL826" s="124" t="n"/>
      <c r="AM826" s="120" t="n"/>
      <c r="AN826" s="21" t="n"/>
      <c r="AR826" s="22" t="n"/>
      <c r="AS826" s="120" t="n"/>
    </row>
    <row r="827" hidden="1" outlineLevel="1">
      <c r="A827" s="8" t="n"/>
      <c r="B827" s="14" t="n"/>
      <c r="C827" s="120" t="n"/>
      <c r="D827" s="120" t="n"/>
      <c r="E827" s="120" t="n"/>
      <c r="F827" s="120" t="n"/>
      <c r="G827" s="120" t="n"/>
      <c r="I827" s="21" t="n"/>
      <c r="M827" s="22" t="n"/>
      <c r="N827" s="120" t="n"/>
      <c r="O827" s="23" t="n"/>
      <c r="P827" s="25" t="n"/>
      <c r="Q827" s="23" t="n"/>
      <c r="R827" s="25" t="n"/>
      <c r="S827" s="125" t="n"/>
      <c r="T827" s="120" t="n"/>
      <c r="U827" s="21" t="n"/>
      <c r="Y827" s="22" t="n"/>
      <c r="Z827" s="120" t="n"/>
      <c r="AB827" s="21" t="n"/>
      <c r="AF827" s="22" t="n"/>
      <c r="AG827" s="120" t="n"/>
      <c r="AH827" s="23" t="n"/>
      <c r="AI827" s="25" t="n"/>
      <c r="AJ827" s="23" t="n"/>
      <c r="AK827" s="25" t="n"/>
      <c r="AL827" s="125" t="n"/>
      <c r="AM827" s="120" t="n"/>
      <c r="AN827" s="21" t="n"/>
      <c r="AR827" s="22" t="n"/>
      <c r="AS827" s="120" t="n"/>
    </row>
    <row r="828" hidden="1" outlineLevel="1">
      <c r="A828" s="8" t="n"/>
      <c r="B828" s="14" t="n"/>
      <c r="C828" s="120" t="n"/>
      <c r="D828" s="120" t="n"/>
      <c r="E828" s="120" t="n"/>
      <c r="F828" s="120" t="n"/>
      <c r="G828" s="120" t="n"/>
      <c r="I828" s="21" t="n"/>
      <c r="M828" s="22" t="n"/>
      <c r="N828" s="120" t="n"/>
      <c r="O828" s="120" t="n"/>
      <c r="P828" s="120" t="n"/>
      <c r="Q828" s="120" t="n"/>
      <c r="R828" s="120" t="n"/>
      <c r="S828" s="120" t="n"/>
      <c r="T828" s="120" t="n"/>
      <c r="U828" s="21" t="n"/>
      <c r="Y828" s="22" t="n"/>
      <c r="Z828" s="120" t="n"/>
      <c r="AB828" s="21" t="n"/>
      <c r="AF828" s="22" t="n"/>
      <c r="AG828" s="120" t="n"/>
      <c r="AH828" s="120" t="n"/>
      <c r="AI828" s="120" t="n"/>
      <c r="AJ828" s="120" t="n"/>
      <c r="AK828" s="120" t="n"/>
      <c r="AL828" s="120" t="n"/>
      <c r="AM828" s="120" t="n"/>
      <c r="AN828" s="21" t="n"/>
      <c r="AR828" s="22" t="n"/>
      <c r="AS828" s="120" t="n"/>
    </row>
    <row r="829" hidden="1" outlineLevel="1">
      <c r="A829" s="8" t="n"/>
      <c r="B829" s="14" t="n"/>
      <c r="C829" s="120" t="n"/>
      <c r="D829" s="120" t="n"/>
      <c r="E829" s="120" t="n"/>
      <c r="F829" s="120" t="n"/>
      <c r="G829" s="120" t="n"/>
      <c r="I829" s="21" t="n"/>
      <c r="M829" s="22" t="n"/>
      <c r="N829" s="120" t="n"/>
      <c r="O829" s="55">
        <f>DADOS_INVOC!$HF$6</f>
        <v/>
      </c>
      <c r="P829" s="16" t="n"/>
      <c r="Q829" s="16" t="n"/>
      <c r="R829" s="16" t="n"/>
      <c r="S829" s="17" t="n"/>
      <c r="T829" s="120" t="n"/>
      <c r="U829" s="21" t="n"/>
      <c r="Y829" s="22" t="n"/>
      <c r="Z829" s="120" t="n"/>
      <c r="AB829" s="21" t="n"/>
      <c r="AF829" s="22" t="n"/>
      <c r="AG829" s="120" t="n"/>
      <c r="AH829" s="55">
        <f>DADOS_INVOC!$HF$12</f>
        <v/>
      </c>
      <c r="AI829" s="16" t="n"/>
      <c r="AJ829" s="16" t="n"/>
      <c r="AK829" s="16" t="n"/>
      <c r="AL829" s="17" t="n"/>
      <c r="AM829" s="120" t="n"/>
      <c r="AN829" s="21" t="n"/>
      <c r="AR829" s="22" t="n"/>
      <c r="AS829" s="120" t="n"/>
    </row>
    <row r="830" hidden="1" outlineLevel="1">
      <c r="A830" s="8" t="n"/>
      <c r="B830" s="14" t="n"/>
      <c r="C830" s="120" t="n"/>
      <c r="D830" s="120" t="n"/>
      <c r="E830" s="120" t="n"/>
      <c r="F830" s="120" t="n"/>
      <c r="G830" s="120" t="n"/>
      <c r="I830" s="21" t="n"/>
      <c r="M830" s="22" t="n"/>
      <c r="N830" s="120" t="n"/>
      <c r="O830" s="130" t="n"/>
      <c r="P830" s="16" t="n"/>
      <c r="Q830" s="17" t="n"/>
      <c r="R830" s="124">
        <f>DADOS_INVOC!$HG$6</f>
        <v/>
      </c>
      <c r="S830" s="17" t="n"/>
      <c r="T830" s="120" t="n"/>
      <c r="U830" s="23" t="n"/>
      <c r="V830" s="24" t="n"/>
      <c r="W830" s="24" t="n"/>
      <c r="X830" s="24" t="n"/>
      <c r="Y830" s="25" t="n"/>
      <c r="Z830" s="120" t="n"/>
      <c r="AB830" s="21" t="n"/>
      <c r="AF830" s="22" t="n"/>
      <c r="AG830" s="120" t="n"/>
      <c r="AH830" s="130" t="n"/>
      <c r="AI830" s="16" t="n"/>
      <c r="AJ830" s="17" t="n"/>
      <c r="AK830" s="124">
        <f>DADOS_INVOC!$HG$12</f>
        <v/>
      </c>
      <c r="AL830" s="17" t="n"/>
      <c r="AM830" s="120" t="n"/>
      <c r="AN830" s="23" t="n"/>
      <c r="AO830" s="24" t="n"/>
      <c r="AP830" s="24" t="n"/>
      <c r="AQ830" s="24" t="n"/>
      <c r="AR830" s="25" t="n"/>
      <c r="AS830" s="120" t="n"/>
    </row>
    <row r="831" hidden="1" outlineLevel="1">
      <c r="A831" s="8" t="n"/>
      <c r="B831" s="14" t="n"/>
      <c r="C831" s="120" t="n"/>
      <c r="D831" s="120" t="n"/>
      <c r="E831" s="120" t="n"/>
      <c r="F831" s="120" t="n"/>
      <c r="G831" s="120" t="n"/>
      <c r="I831" s="21" t="n"/>
      <c r="M831" s="22" t="n"/>
      <c r="N831" s="120" t="n"/>
      <c r="O831" s="130" t="n"/>
      <c r="P831" s="16" t="n"/>
      <c r="Q831" s="17" t="n"/>
      <c r="R831" s="124">
        <f>DADOS_INVOC!$HH$6</f>
        <v/>
      </c>
      <c r="S831" s="17" t="n"/>
      <c r="T831" s="120" t="n"/>
      <c r="U831" s="120" t="n"/>
      <c r="V831" s="120" t="n"/>
      <c r="W831" s="120" t="n"/>
      <c r="X831" s="120" t="n"/>
      <c r="Y831" s="120" t="n"/>
      <c r="Z831" s="120" t="n"/>
      <c r="AB831" s="21" t="n"/>
      <c r="AF831" s="22" t="n"/>
      <c r="AG831" s="120" t="n"/>
      <c r="AH831" s="130" t="n"/>
      <c r="AI831" s="16" t="n"/>
      <c r="AJ831" s="17" t="n"/>
      <c r="AK831" s="124">
        <f>DADOS_INVOC!$HH$12</f>
        <v/>
      </c>
      <c r="AL831" s="17" t="n"/>
      <c r="AM831" s="120" t="n"/>
      <c r="AN831" s="120" t="n"/>
      <c r="AO831" s="120" t="n"/>
      <c r="AP831" s="120" t="n"/>
      <c r="AQ831" s="120" t="n"/>
      <c r="AR831" s="120" t="n"/>
      <c r="AS831" s="120" t="n"/>
    </row>
    <row r="832" hidden="1" outlineLevel="1">
      <c r="A832" s="8" t="n"/>
      <c r="B832" s="14" t="n"/>
      <c r="C832" s="120" t="n"/>
      <c r="D832" s="120" t="n"/>
      <c r="E832" s="120" t="n"/>
      <c r="F832" s="120" t="n"/>
      <c r="G832" s="120" t="n"/>
      <c r="I832" s="23" t="n"/>
      <c r="J832" s="24" t="n"/>
      <c r="K832" s="24" t="n"/>
      <c r="L832" s="24" t="n"/>
      <c r="M832" s="25" t="n"/>
      <c r="N832" s="120" t="n"/>
      <c r="O832" s="130" t="n"/>
      <c r="P832" s="16" t="n"/>
      <c r="Q832" s="17" t="n"/>
      <c r="R832" s="124">
        <f>DADOS_INVOC!$HI$6</f>
        <v/>
      </c>
      <c r="S832" s="17" t="n"/>
      <c r="T832" s="120" t="n"/>
      <c r="U832" s="55">
        <f>DADOS_INVOC!$HO$6</f>
        <v/>
      </c>
      <c r="V832" s="16" t="n"/>
      <c r="W832" s="16" t="n"/>
      <c r="X832" s="16" t="n"/>
      <c r="Y832" s="17" t="n"/>
      <c r="Z832" s="120" t="n"/>
      <c r="AB832" s="23" t="n"/>
      <c r="AC832" s="24" t="n"/>
      <c r="AD832" s="24" t="n"/>
      <c r="AE832" s="24" t="n"/>
      <c r="AF832" s="25" t="n"/>
      <c r="AG832" s="120" t="n"/>
      <c r="AH832" s="130" t="n"/>
      <c r="AI832" s="16" t="n"/>
      <c r="AJ832" s="17" t="n"/>
      <c r="AK832" s="124">
        <f>DADOS_INVOC!$HI$12</f>
        <v/>
      </c>
      <c r="AL832" s="17" t="n"/>
      <c r="AM832" s="120" t="n"/>
      <c r="AN832" s="55">
        <f>DADOS_INVOC!$HO$12</f>
        <v/>
      </c>
      <c r="AO832" s="16" t="n"/>
      <c r="AP832" s="16" t="n"/>
      <c r="AQ832" s="16" t="n"/>
      <c r="AR832" s="17" t="n"/>
      <c r="AS832" s="120" t="n"/>
    </row>
    <row r="833" hidden="1" outlineLevel="1">
      <c r="A833" s="8" t="n"/>
      <c r="B833" s="14" t="n"/>
      <c r="C833" s="120" t="n"/>
      <c r="D833" s="120" t="n"/>
      <c r="E833" s="120" t="n"/>
      <c r="F833" s="120" t="n"/>
      <c r="G833" s="120" t="n"/>
      <c r="I833" s="120" t="n"/>
      <c r="J833" s="120" t="n"/>
      <c r="K833" s="120" t="n"/>
      <c r="L833" s="120" t="n"/>
      <c r="M833" s="120" t="n"/>
      <c r="N833" s="120" t="n"/>
      <c r="O833" s="130" t="n"/>
      <c r="P833" s="16" t="n"/>
      <c r="Q833" s="17" t="n"/>
      <c r="R833" s="124">
        <f>DADOS_INVOC!$HJ$6</f>
        <v/>
      </c>
      <c r="S833" s="17" t="n"/>
      <c r="T833" s="120" t="n"/>
      <c r="U833" s="116" t="n"/>
      <c r="V833" s="19" t="n"/>
      <c r="W833" s="19" t="n"/>
      <c r="X833" s="19" t="n"/>
      <c r="Y833" s="20" t="n"/>
      <c r="Z833" s="120" t="n"/>
      <c r="AB833" s="120" t="n"/>
      <c r="AC833" s="120" t="n"/>
      <c r="AD833" s="120" t="n"/>
      <c r="AE833" s="120" t="n"/>
      <c r="AF833" s="120" t="n"/>
      <c r="AG833" s="120" t="n"/>
      <c r="AH833" s="130" t="n"/>
      <c r="AI833" s="16" t="n"/>
      <c r="AJ833" s="17" t="n"/>
      <c r="AK833" s="124">
        <f>DADOS_INVOC!$HJ$12</f>
        <v/>
      </c>
      <c r="AL833" s="17" t="n"/>
      <c r="AM833" s="120" t="n"/>
      <c r="AN833" s="116" t="n"/>
      <c r="AO833" s="19" t="n"/>
      <c r="AP833" s="19" t="n"/>
      <c r="AQ833" s="19" t="n"/>
      <c r="AR833" s="20" t="n"/>
      <c r="AS833" s="120" t="n"/>
    </row>
    <row r="834" hidden="1" outlineLevel="1">
      <c r="A834" s="8" t="n"/>
      <c r="B834" s="14" t="n"/>
      <c r="C834" s="120" t="n"/>
      <c r="D834" s="120" t="n"/>
      <c r="E834" s="120" t="n"/>
      <c r="F834" s="120" t="n"/>
      <c r="G834" s="120" t="n"/>
      <c r="I834" s="55" t="inlineStr">
        <is>
          <t>TIPO</t>
        </is>
      </c>
      <c r="J834" s="16" t="n"/>
      <c r="K834" s="16" t="n"/>
      <c r="L834" s="16" t="n"/>
      <c r="M834" s="17" t="n"/>
      <c r="N834" s="120" t="n"/>
      <c r="O834" s="130" t="n"/>
      <c r="P834" s="16" t="n"/>
      <c r="Q834" s="17" t="n"/>
      <c r="R834" s="124">
        <f>DADOS_INVOC!$HK$6</f>
        <v/>
      </c>
      <c r="S834" s="17" t="n"/>
      <c r="T834" s="120" t="n"/>
      <c r="U834" s="21" t="n"/>
      <c r="Y834" s="22" t="n"/>
      <c r="Z834" s="120" t="n"/>
      <c r="AB834" s="55" t="inlineStr">
        <is>
          <t>TIPO</t>
        </is>
      </c>
      <c r="AC834" s="16" t="n"/>
      <c r="AD834" s="16" t="n"/>
      <c r="AE834" s="16" t="n"/>
      <c r="AF834" s="17" t="n"/>
      <c r="AG834" s="120" t="n"/>
      <c r="AH834" s="130" t="n"/>
      <c r="AI834" s="16" t="n"/>
      <c r="AJ834" s="17" t="n"/>
      <c r="AK834" s="124">
        <f>DADOS_INVOC!$HK$12</f>
        <v/>
      </c>
      <c r="AL834" s="17" t="n"/>
      <c r="AM834" s="120" t="n"/>
      <c r="AN834" s="21" t="n"/>
      <c r="AR834" s="22" t="n"/>
      <c r="AS834" s="120" t="n"/>
    </row>
    <row r="835" hidden="1" outlineLevel="1">
      <c r="A835" s="8" t="n"/>
      <c r="B835" s="14" t="n"/>
      <c r="C835" s="120" t="n"/>
      <c r="D835" s="120" t="n"/>
      <c r="E835" s="120" t="n"/>
      <c r="F835" s="120" t="n"/>
      <c r="G835" s="120" t="n"/>
      <c r="I835" s="124" t="inlineStr">
        <is>
          <t>Shikigami de técnica</t>
        </is>
      </c>
      <c r="J835" s="19" t="n"/>
      <c r="K835" s="19" t="n"/>
      <c r="L835" s="19" t="n"/>
      <c r="M835" s="20" t="n"/>
      <c r="N835" s="120" t="n"/>
      <c r="O835" s="130" t="n"/>
      <c r="P835" s="16" t="n"/>
      <c r="Q835" s="17" t="n"/>
      <c r="R835" s="124">
        <f>DADOS_INVOC!$HL$6</f>
        <v/>
      </c>
      <c r="S835" s="17" t="n"/>
      <c r="T835" s="120" t="n"/>
      <c r="U835" s="23" t="n"/>
      <c r="V835" s="24" t="n"/>
      <c r="W835" s="24" t="n"/>
      <c r="X835" s="24" t="n"/>
      <c r="Y835" s="25" t="n"/>
      <c r="Z835" s="120" t="n"/>
      <c r="AB835" s="124" t="inlineStr">
        <is>
          <t>Shikigami de técnica</t>
        </is>
      </c>
      <c r="AC835" s="19" t="n"/>
      <c r="AD835" s="19" t="n"/>
      <c r="AE835" s="19" t="n"/>
      <c r="AF835" s="20" t="n"/>
      <c r="AG835" s="120" t="n"/>
      <c r="AH835" s="130" t="n"/>
      <c r="AI835" s="16" t="n"/>
      <c r="AJ835" s="17" t="n"/>
      <c r="AK835" s="124">
        <f>DADOS_INVOC!$HL$12</f>
        <v/>
      </c>
      <c r="AL835" s="17" t="n"/>
      <c r="AM835" s="120" t="n"/>
      <c r="AN835" s="23" t="n"/>
      <c r="AO835" s="24" t="n"/>
      <c r="AP835" s="24" t="n"/>
      <c r="AQ835" s="24" t="n"/>
      <c r="AR835" s="25" t="n"/>
      <c r="AS835" s="120" t="n"/>
    </row>
    <row r="836" hidden="1" outlineLevel="1">
      <c r="A836" s="8" t="n"/>
      <c r="B836" s="14" t="n"/>
      <c r="C836" s="120" t="n"/>
      <c r="D836" s="120" t="n"/>
      <c r="E836" s="120" t="n"/>
      <c r="F836" s="120" t="n"/>
      <c r="G836" s="120" t="n"/>
      <c r="I836" s="23" t="n"/>
      <c r="J836" s="24" t="n"/>
      <c r="K836" s="24" t="n"/>
      <c r="L836" s="24" t="n"/>
      <c r="M836" s="25" t="n"/>
      <c r="N836" s="120" t="n"/>
      <c r="O836" s="130" t="n"/>
      <c r="P836" s="16" t="n"/>
      <c r="Q836" s="17" t="n"/>
      <c r="R836" s="124">
        <f>DADOS_INVOC!$HM$6</f>
        <v/>
      </c>
      <c r="S836" s="17" t="n"/>
      <c r="T836" s="120" t="n"/>
      <c r="U836" s="120" t="n"/>
      <c r="V836" s="120" t="n"/>
      <c r="W836" s="120" t="n"/>
      <c r="X836" s="120" t="n"/>
      <c r="Y836" s="120" t="n"/>
      <c r="Z836" s="120" t="n"/>
      <c r="AB836" s="23" t="n"/>
      <c r="AC836" s="24" t="n"/>
      <c r="AD836" s="24" t="n"/>
      <c r="AE836" s="24" t="n"/>
      <c r="AF836" s="25" t="n"/>
      <c r="AG836" s="120" t="n"/>
      <c r="AH836" s="130" t="n"/>
      <c r="AI836" s="16" t="n"/>
      <c r="AJ836" s="17" t="n"/>
      <c r="AK836" s="124">
        <f>DADOS_INVOC!$HM$12</f>
        <v/>
      </c>
      <c r="AL836" s="17" t="n"/>
      <c r="AM836" s="120" t="n"/>
      <c r="AN836" s="120" t="n"/>
      <c r="AO836" s="120" t="n"/>
      <c r="AP836" s="120" t="n"/>
      <c r="AQ836" s="120" t="n"/>
      <c r="AR836" s="120" t="n"/>
      <c r="AS836" s="120" t="n"/>
    </row>
    <row r="837" hidden="1" outlineLevel="1">
      <c r="A837" s="8" t="n"/>
      <c r="B837" s="14" t="n"/>
      <c r="C837" s="120" t="n"/>
      <c r="D837" s="120" t="n"/>
      <c r="E837" s="120" t="n"/>
      <c r="F837" s="120" t="n"/>
      <c r="G837" s="120" t="n"/>
      <c r="I837" s="120" t="n"/>
      <c r="J837" s="120" t="n"/>
      <c r="K837" s="120" t="n"/>
      <c r="L837" s="120" t="n"/>
      <c r="M837" s="120" t="n"/>
      <c r="N837" s="120" t="n"/>
      <c r="O837" s="120" t="n"/>
      <c r="P837" s="120" t="n"/>
      <c r="Q837" s="120" t="n"/>
      <c r="R837" s="120" t="n"/>
      <c r="S837" s="120" t="n"/>
      <c r="T837" s="120" t="n"/>
      <c r="U837" s="55" t="inlineStr">
        <is>
          <t>CORPO, SENTIDOS E COMUNICAÇÃO</t>
        </is>
      </c>
      <c r="V837" s="16" t="n"/>
      <c r="W837" s="16" t="n"/>
      <c r="X837" s="16" t="n"/>
      <c r="Y837" s="17" t="n"/>
      <c r="Z837" s="120" t="n"/>
      <c r="AB837" s="120" t="n"/>
      <c r="AC837" s="120" t="n"/>
      <c r="AD837" s="120" t="n"/>
      <c r="AE837" s="120" t="n"/>
      <c r="AF837" s="120" t="n"/>
      <c r="AG837" s="120" t="n"/>
      <c r="AH837" s="120" t="n"/>
      <c r="AI837" s="120" t="n"/>
      <c r="AJ837" s="120" t="n"/>
      <c r="AK837" s="120" t="n"/>
      <c r="AL837" s="120" t="n"/>
      <c r="AM837" s="120" t="n"/>
      <c r="AN837" s="55" t="inlineStr">
        <is>
          <t>CORPO, SENTIDOS E COMUNICAÇÃO</t>
        </is>
      </c>
      <c r="AO837" s="16" t="n"/>
      <c r="AP837" s="16" t="n"/>
      <c r="AQ837" s="16" t="n"/>
      <c r="AR837" s="17" t="n"/>
      <c r="AS837" s="120" t="n"/>
    </row>
    <row r="838" hidden="1" outlineLevel="1">
      <c r="A838" s="8" t="n"/>
      <c r="B838" s="14" t="n"/>
      <c r="C838" s="120" t="n"/>
      <c r="D838" s="120" t="n"/>
      <c r="E838" s="120" t="n"/>
      <c r="F838" s="120" t="n"/>
      <c r="G838" s="120" t="n"/>
      <c r="I838" s="55" t="inlineStr">
        <is>
          <t>AQUISIÇÃO</t>
        </is>
      </c>
      <c r="J838" s="17" t="n"/>
      <c r="K838" s="55" t="inlineStr">
        <is>
          <t>OBTIDA NO NÍVEL</t>
        </is>
      </c>
      <c r="L838" s="55" t="inlineStr">
        <is>
          <t>TALISMÃ</t>
        </is>
      </c>
      <c r="M838" s="17" t="n"/>
      <c r="N838" s="120" t="n"/>
      <c r="O838" s="55">
        <f>DADOS_INVOC!$HP$6</f>
        <v/>
      </c>
      <c r="P838" s="16" t="n"/>
      <c r="Q838" s="16" t="n"/>
      <c r="R838" s="16" t="n"/>
      <c r="S838" s="17" t="n"/>
      <c r="T838" s="120" t="n"/>
      <c r="U838" s="116" t="n"/>
      <c r="V838" s="19" t="n"/>
      <c r="W838" s="19" t="n"/>
      <c r="X838" s="19" t="n"/>
      <c r="Y838" s="20" t="n"/>
      <c r="Z838" s="120" t="n"/>
      <c r="AB838" s="55" t="inlineStr">
        <is>
          <t>AQUISIÇÃO</t>
        </is>
      </c>
      <c r="AC838" s="17" t="n"/>
      <c r="AD838" s="55" t="inlineStr">
        <is>
          <t>OBTIDA NO NÍVEL</t>
        </is>
      </c>
      <c r="AE838" s="55" t="inlineStr">
        <is>
          <t>TALISMÃ</t>
        </is>
      </c>
      <c r="AF838" s="17" t="n"/>
      <c r="AG838" s="120" t="n"/>
      <c r="AH838" s="55">
        <f>DADOS_INVOC!$HP$12</f>
        <v/>
      </c>
      <c r="AI838" s="16" t="n"/>
      <c r="AJ838" s="16" t="n"/>
      <c r="AK838" s="16" t="n"/>
      <c r="AL838" s="17" t="n"/>
      <c r="AM838" s="120" t="n"/>
      <c r="AN838" s="116" t="n"/>
      <c r="AO838" s="19" t="n"/>
      <c r="AP838" s="19" t="n"/>
      <c r="AQ838" s="19" t="n"/>
      <c r="AR838" s="20" t="n"/>
      <c r="AS838" s="120" t="n"/>
    </row>
    <row r="839" hidden="1" outlineLevel="1">
      <c r="A839" s="8" t="n"/>
      <c r="B839" s="14" t="n"/>
      <c r="C839" s="120" t="n"/>
      <c r="D839" s="120" t="n"/>
      <c r="E839" s="120" t="n"/>
      <c r="F839" s="120" t="n"/>
      <c r="G839" s="120" t="n"/>
      <c r="I839" s="124" t="inlineStr">
        <is>
          <t>Espaço conhecido</t>
        </is>
      </c>
      <c r="J839" s="20" t="n"/>
      <c r="K839" s="124" t="n"/>
      <c r="L839" s="124" t="inlineStr">
        <is>
          <t>Sem carga</t>
        </is>
      </c>
      <c r="M839" s="20" t="n"/>
      <c r="N839" s="120" t="n"/>
      <c r="O839" s="55" t="inlineStr">
        <is>
          <t>LIVRE</t>
        </is>
      </c>
      <c r="P839" s="55" t="inlineStr">
        <is>
          <t>LIVRE · TRILHA</t>
        </is>
      </c>
      <c r="Q839" s="55" t="inlineStr">
        <is>
          <t>ABERTA</t>
        </is>
      </c>
      <c r="R839" s="55" t="inlineStr">
        <is>
          <t>ABERTA</t>
        </is>
      </c>
      <c r="S839" s="55" t="inlineStr">
        <is>
          <t>ABERTA · TRILHA</t>
        </is>
      </c>
      <c r="T839" s="120" t="n"/>
      <c r="U839" s="21" t="n"/>
      <c r="Y839" s="22" t="n"/>
      <c r="Z839" s="120" t="n"/>
      <c r="AB839" s="124" t="inlineStr">
        <is>
          <t>Espaço conhecido</t>
        </is>
      </c>
      <c r="AC839" s="20" t="n"/>
      <c r="AD839" s="124" t="n"/>
      <c r="AE839" s="124" t="inlineStr">
        <is>
          <t>Sem carga</t>
        </is>
      </c>
      <c r="AF839" s="20" t="n"/>
      <c r="AG839" s="120" t="n"/>
      <c r="AH839" s="55" t="inlineStr">
        <is>
          <t>LIVRE</t>
        </is>
      </c>
      <c r="AI839" s="55" t="inlineStr">
        <is>
          <t>LIVRE · TRILHA</t>
        </is>
      </c>
      <c r="AJ839" s="55" t="inlineStr">
        <is>
          <t>ABERTA</t>
        </is>
      </c>
      <c r="AK839" s="55" t="inlineStr">
        <is>
          <t>ABERTA</t>
        </is>
      </c>
      <c r="AL839" s="55" t="inlineStr">
        <is>
          <t>ABERTA · TRILHA</t>
        </is>
      </c>
      <c r="AM839" s="120" t="n"/>
      <c r="AN839" s="21" t="n"/>
      <c r="AR839" s="22" t="n"/>
      <c r="AS839" s="120" t="n"/>
    </row>
    <row r="840" hidden="1" outlineLevel="1">
      <c r="A840" s="8" t="n"/>
      <c r="B840" s="14" t="n"/>
      <c r="C840" s="120" t="n"/>
      <c r="D840" s="120" t="n"/>
      <c r="E840" s="120" t="n"/>
      <c r="F840" s="120" t="n"/>
      <c r="G840" s="120" t="n"/>
      <c r="I840" s="23" t="n"/>
      <c r="J840" s="25" t="n"/>
      <c r="K840" s="125" t="n"/>
      <c r="L840" s="23" t="n"/>
      <c r="M840" s="25" t="n"/>
      <c r="N840" s="120" t="n"/>
      <c r="O840" s="124" t="n"/>
      <c r="P840" s="124" t="n"/>
      <c r="Q840" s="124" t="n"/>
      <c r="R840" s="124" t="n"/>
      <c r="S840" s="124" t="n"/>
      <c r="T840" s="120" t="n"/>
      <c r="U840" s="21" t="n"/>
      <c r="Y840" s="22" t="n"/>
      <c r="Z840" s="120" t="n"/>
      <c r="AB840" s="23" t="n"/>
      <c r="AC840" s="25" t="n"/>
      <c r="AD840" s="125" t="n"/>
      <c r="AE840" s="23" t="n"/>
      <c r="AF840" s="25" t="n"/>
      <c r="AG840" s="120" t="n"/>
      <c r="AH840" s="124" t="n"/>
      <c r="AI840" s="124" t="n"/>
      <c r="AJ840" s="124" t="n"/>
      <c r="AK840" s="124" t="n"/>
      <c r="AL840" s="124" t="n"/>
      <c r="AM840" s="120" t="n"/>
      <c r="AN840" s="21" t="n"/>
      <c r="AR840" s="22" t="n"/>
      <c r="AS840" s="120" t="n"/>
    </row>
    <row r="841" hidden="1" outlineLevel="1">
      <c r="A841" s="8" t="n"/>
      <c r="B841" s="14" t="n"/>
      <c r="C841" s="120" t="n"/>
      <c r="D841" s="120" t="n"/>
      <c r="E841" s="120" t="n"/>
      <c r="F841" s="120" t="n"/>
      <c r="G841" s="120" t="n"/>
      <c r="I841" s="120" t="n"/>
      <c r="J841" s="120" t="n"/>
      <c r="K841" s="120" t="n"/>
      <c r="L841" s="120" t="n"/>
      <c r="M841" s="120" t="n"/>
      <c r="N841" s="120" t="n"/>
      <c r="O841" s="125" t="n"/>
      <c r="P841" s="125" t="n"/>
      <c r="Q841" s="125" t="n"/>
      <c r="R841" s="125" t="n"/>
      <c r="S841" s="125" t="n"/>
      <c r="T841" s="120" t="n"/>
      <c r="U841" s="23" t="n"/>
      <c r="V841" s="24" t="n"/>
      <c r="W841" s="24" t="n"/>
      <c r="X841" s="24" t="n"/>
      <c r="Y841" s="25" t="n"/>
      <c r="Z841" s="120" t="n"/>
      <c r="AB841" s="120" t="n"/>
      <c r="AC841" s="120" t="n"/>
      <c r="AD841" s="120" t="n"/>
      <c r="AE841" s="120" t="n"/>
      <c r="AF841" s="120" t="n"/>
      <c r="AG841" s="120" t="n"/>
      <c r="AH841" s="125" t="n"/>
      <c r="AI841" s="125" t="n"/>
      <c r="AJ841" s="125" t="n"/>
      <c r="AK841" s="125" t="n"/>
      <c r="AL841" s="125" t="n"/>
      <c r="AM841" s="120" t="n"/>
      <c r="AN841" s="23" t="n"/>
      <c r="AO841" s="24" t="n"/>
      <c r="AP841" s="24" t="n"/>
      <c r="AQ841" s="24" t="n"/>
      <c r="AR841" s="25" t="n"/>
      <c r="AS841" s="120" t="n"/>
    </row>
    <row r="842" hidden="1" outlineLevel="1">
      <c r="A842" s="8" t="n"/>
      <c r="B842" s="14" t="n"/>
      <c r="C842" s="120" t="n"/>
      <c r="D842" s="120" t="n"/>
      <c r="E842" s="120" t="n"/>
      <c r="F842" s="120" t="n"/>
      <c r="G842" s="120" t="n"/>
      <c r="I842" s="120" t="n"/>
      <c r="J842" s="120" t="n"/>
      <c r="K842" s="120" t="n"/>
      <c r="L842" s="120" t="n"/>
      <c r="M842" s="120" t="n"/>
      <c r="N842" s="120" t="n"/>
      <c r="O842" s="120" t="n"/>
      <c r="P842" s="120" t="n"/>
      <c r="Q842" s="120" t="n"/>
      <c r="R842" s="120" t="n"/>
      <c r="S842" s="120" t="n"/>
      <c r="T842" s="120" t="n"/>
      <c r="U842" s="120" t="n"/>
      <c r="V842" s="120" t="n"/>
      <c r="W842" s="120" t="n"/>
      <c r="X842" s="120" t="n"/>
      <c r="Y842" s="120" t="n"/>
      <c r="Z842" s="120" t="n"/>
      <c r="AB842" s="120" t="n"/>
      <c r="AC842" s="120" t="n"/>
      <c r="AD842" s="120" t="n"/>
      <c r="AE842" s="120" t="n"/>
      <c r="AF842" s="120" t="n"/>
      <c r="AG842" s="120" t="n"/>
      <c r="AH842" s="120" t="n"/>
      <c r="AI842" s="120" t="n"/>
      <c r="AJ842" s="120" t="n"/>
      <c r="AK842" s="120" t="n"/>
      <c r="AL842" s="120" t="n"/>
      <c r="AM842" s="120" t="n"/>
      <c r="AN842" s="120" t="n"/>
      <c r="AO842" s="120" t="n"/>
      <c r="AP842" s="120" t="n"/>
      <c r="AQ842" s="120" t="n"/>
      <c r="AR842" s="120" t="n"/>
      <c r="AS842" s="120" t="n"/>
    </row>
    <row r="843" hidden="1" outlineLevel="1">
      <c r="A843" s="8" t="n"/>
      <c r="B843" s="14" t="n"/>
      <c r="C843" s="120" t="n"/>
      <c r="D843" s="120" t="n"/>
      <c r="E843" s="120" t="n"/>
      <c r="F843" s="120" t="n"/>
      <c r="G843" s="120"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0"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0" t="n"/>
    </row>
    <row r="844" hidden="1" outlineLevel="1">
      <c r="A844" s="8" t="n"/>
      <c r="B844" s="14" t="n"/>
      <c r="C844" s="120" t="n"/>
      <c r="D844" s="120" t="n"/>
      <c r="E844" s="120" t="n"/>
      <c r="F844" s="120" t="n"/>
      <c r="G844" s="120" t="n"/>
      <c r="I844" s="116" t="n"/>
      <c r="J844" s="19" t="n"/>
      <c r="K844" s="19" t="n"/>
      <c r="L844" s="19" t="n"/>
      <c r="M844" s="19" t="n"/>
      <c r="N844" s="19" t="n"/>
      <c r="O844" s="19" t="n"/>
      <c r="P844" s="19" t="n"/>
      <c r="Q844" s="19" t="n"/>
      <c r="R844" s="19" t="n"/>
      <c r="S844" s="19" t="n"/>
      <c r="T844" s="19" t="n"/>
      <c r="U844" s="19" t="n"/>
      <c r="V844" s="19" t="n"/>
      <c r="W844" s="19" t="n"/>
      <c r="X844" s="19" t="n"/>
      <c r="Y844" s="20" t="n"/>
      <c r="Z844" s="120" t="n"/>
      <c r="AB844" s="116" t="n"/>
      <c r="AC844" s="19" t="n"/>
      <c r="AD844" s="19" t="n"/>
      <c r="AE844" s="19" t="n"/>
      <c r="AF844" s="19" t="n"/>
      <c r="AG844" s="19" t="n"/>
      <c r="AH844" s="19" t="n"/>
      <c r="AI844" s="19" t="n"/>
      <c r="AJ844" s="19" t="n"/>
      <c r="AK844" s="19" t="n"/>
      <c r="AL844" s="19" t="n"/>
      <c r="AM844" s="19" t="n"/>
      <c r="AN844" s="19" t="n"/>
      <c r="AO844" s="19" t="n"/>
      <c r="AP844" s="19" t="n"/>
      <c r="AQ844" s="19" t="n"/>
      <c r="AR844" s="20" t="n"/>
      <c r="AS844" s="120" t="n"/>
    </row>
    <row r="845" hidden="1" outlineLevel="1">
      <c r="A845" s="8" t="n"/>
      <c r="B845" s="14" t="n"/>
      <c r="C845" s="120" t="n"/>
      <c r="D845" s="120" t="n"/>
      <c r="E845" s="120" t="n"/>
      <c r="F845" s="120" t="n"/>
      <c r="G845" s="120" t="n"/>
      <c r="I845" s="23" t="n"/>
      <c r="J845" s="24" t="n"/>
      <c r="K845" s="24" t="n"/>
      <c r="L845" s="24" t="n"/>
      <c r="M845" s="24" t="n"/>
      <c r="N845" s="24" t="n"/>
      <c r="O845" s="24" t="n"/>
      <c r="P845" s="24" t="n"/>
      <c r="Q845" s="24" t="n"/>
      <c r="R845" s="24" t="n"/>
      <c r="S845" s="24" t="n"/>
      <c r="T845" s="24" t="n"/>
      <c r="U845" s="24" t="n"/>
      <c r="V845" s="24" t="n"/>
      <c r="W845" s="24" t="n"/>
      <c r="X845" s="24" t="n"/>
      <c r="Y845" s="25" t="n"/>
      <c r="Z845" s="120"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0" t="n"/>
    </row>
    <row r="846" hidden="1" outlineLevel="1">
      <c r="A846" s="8" t="n"/>
      <c r="B846" s="14" t="n"/>
      <c r="C846" s="120" t="n"/>
      <c r="D846" s="120" t="n"/>
      <c r="E846" s="120" t="n"/>
      <c r="F846" s="120" t="n"/>
      <c r="G846" s="120" t="n"/>
      <c r="I846" s="120" t="n"/>
      <c r="J846" s="120" t="n"/>
      <c r="K846" s="120" t="n"/>
      <c r="L846" s="120" t="n"/>
      <c r="M846" s="120" t="n"/>
      <c r="N846" s="120" t="n"/>
      <c r="O846" s="120" t="n"/>
      <c r="P846" s="120" t="n"/>
      <c r="Q846" s="120" t="n"/>
      <c r="R846" s="120" t="n"/>
      <c r="S846" s="120" t="n"/>
      <c r="T846" s="120" t="n"/>
      <c r="U846" s="120" t="n"/>
      <c r="V846" s="120" t="n"/>
      <c r="W846" s="120" t="n"/>
      <c r="X846" s="120" t="n"/>
      <c r="Y846" s="120" t="n"/>
      <c r="Z846" s="120" t="n"/>
      <c r="AB846" s="120" t="n"/>
      <c r="AC846" s="120" t="n"/>
      <c r="AD846" s="120" t="n"/>
      <c r="AE846" s="120" t="n"/>
      <c r="AF846" s="120" t="n"/>
      <c r="AG846" s="120" t="n"/>
      <c r="AH846" s="120" t="n"/>
      <c r="AI846" s="120" t="n"/>
      <c r="AJ846" s="120" t="n"/>
      <c r="AK846" s="120" t="n"/>
      <c r="AL846" s="120" t="n"/>
      <c r="AM846" s="120" t="n"/>
      <c r="AN846" s="120" t="n"/>
      <c r="AO846" s="120" t="n"/>
      <c r="AP846" s="120" t="n"/>
      <c r="AQ846" s="120" t="n"/>
      <c r="AR846" s="120" t="n"/>
      <c r="AS846" s="120" t="n"/>
    </row>
    <row r="847" hidden="1" outlineLevel="1">
      <c r="A847" s="8" t="n"/>
      <c r="B847" s="14" t="n"/>
      <c r="C847" s="120" t="n"/>
      <c r="D847" s="120" t="n"/>
      <c r="E847" s="120" t="n"/>
      <c r="F847" s="120" t="n"/>
      <c r="G847" s="120" t="n"/>
      <c r="I847" s="133">
        <f>DADOS_INVOC!$HQ$6</f>
        <v/>
      </c>
      <c r="J847" s="16" t="n"/>
      <c r="K847" s="16" t="n"/>
      <c r="L847" s="16" t="n"/>
      <c r="M847" s="16" t="n"/>
      <c r="N847" s="16" t="n"/>
      <c r="O847" s="16" t="n"/>
      <c r="P847" s="16" t="n"/>
      <c r="Q847" s="16" t="n"/>
      <c r="R847" s="16" t="n"/>
      <c r="S847" s="16" t="n"/>
      <c r="T847" s="16" t="n"/>
      <c r="U847" s="16" t="n"/>
      <c r="V847" s="16" t="n"/>
      <c r="W847" s="16" t="n"/>
      <c r="X847" s="16" t="n"/>
      <c r="Y847" s="17" t="n"/>
      <c r="Z847" s="120" t="n"/>
      <c r="AB847" s="133">
        <f>DADOS_INVOC!$HQ$12</f>
        <v/>
      </c>
      <c r="AC847" s="16" t="n"/>
      <c r="AD847" s="16" t="n"/>
      <c r="AE847" s="16" t="n"/>
      <c r="AF847" s="16" t="n"/>
      <c r="AG847" s="16" t="n"/>
      <c r="AH847" s="16" t="n"/>
      <c r="AI847" s="16" t="n"/>
      <c r="AJ847" s="16" t="n"/>
      <c r="AK847" s="16" t="n"/>
      <c r="AL847" s="16" t="n"/>
      <c r="AM847" s="16" t="n"/>
      <c r="AN847" s="16" t="n"/>
      <c r="AO847" s="16" t="n"/>
      <c r="AP847" s="16" t="n"/>
      <c r="AQ847" s="16" t="n"/>
      <c r="AR847" s="17" t="n"/>
      <c r="AS847" s="120" t="n"/>
    </row>
    <row r="848" hidden="1" outlineLevel="1">
      <c r="A848" s="8" t="n"/>
      <c r="B848" s="14" t="n"/>
      <c r="C848" s="120" t="n"/>
      <c r="D848" s="120" t="n"/>
      <c r="E848" s="120" t="n"/>
      <c r="F848" s="120" t="n"/>
      <c r="G848" s="120" t="n"/>
      <c r="I848" s="120" t="n"/>
      <c r="J848" s="120" t="n"/>
      <c r="K848" s="120" t="n"/>
      <c r="L848" s="120" t="n"/>
      <c r="M848" s="120" t="n"/>
      <c r="N848" s="120" t="n"/>
      <c r="O848" s="120" t="n"/>
      <c r="P848" s="120" t="n"/>
      <c r="Q848" s="120" t="n"/>
      <c r="R848" s="120" t="n"/>
      <c r="S848" s="120" t="n"/>
      <c r="T848" s="120" t="n"/>
      <c r="U848" s="120" t="n"/>
      <c r="V848" s="120" t="n"/>
      <c r="W848" s="120" t="n"/>
      <c r="X848" s="120" t="n"/>
      <c r="Y848" s="120" t="n"/>
      <c r="Z848" s="120" t="n"/>
      <c r="AB848" s="120" t="n"/>
      <c r="AC848" s="120" t="n"/>
      <c r="AD848" s="120" t="n"/>
      <c r="AE848" s="120" t="n"/>
      <c r="AF848" s="120" t="n"/>
      <c r="AG848" s="120" t="n"/>
      <c r="AH848" s="120" t="n"/>
      <c r="AI848" s="120" t="n"/>
      <c r="AJ848" s="120" t="n"/>
      <c r="AK848" s="120" t="n"/>
      <c r="AL848" s="120" t="n"/>
      <c r="AM848" s="120" t="n"/>
      <c r="AN848" s="120" t="n"/>
      <c r="AO848" s="120" t="n"/>
      <c r="AP848" s="120" t="n"/>
      <c r="AQ848" s="120" t="n"/>
      <c r="AR848" s="120" t="n"/>
      <c r="AS848" s="120" t="n"/>
    </row>
    <row r="849" hidden="1" outlineLevel="1">
      <c r="A849" s="8" t="n"/>
      <c r="B849" s="14" t="n"/>
      <c r="C849" s="120" t="n"/>
      <c r="D849" s="120" t="n"/>
      <c r="E849" s="120" t="n"/>
      <c r="F849" s="120" t="n"/>
      <c r="G849" s="120" t="n"/>
      <c r="I849" s="55">
        <f>DADOS_INVOC!$PI$54</f>
        <v/>
      </c>
      <c r="J849" s="16" t="n"/>
      <c r="K849" s="16" t="n"/>
      <c r="L849" s="16" t="n"/>
      <c r="M849" s="17" t="n"/>
      <c r="N849" s="120" t="n"/>
      <c r="O849" s="55">
        <f>DADOS_INVOC!$PI$55</f>
        <v/>
      </c>
      <c r="P849" s="16" t="n"/>
      <c r="Q849" s="16" t="n"/>
      <c r="R849" s="16" t="n"/>
      <c r="S849" s="17" t="n"/>
      <c r="T849" s="120" t="n"/>
      <c r="U849" s="55">
        <f>DADOS_INVOC!$PI$56</f>
        <v/>
      </c>
      <c r="V849" s="16" t="n"/>
      <c r="W849" s="16" t="n"/>
      <c r="X849" s="16" t="n"/>
      <c r="Y849" s="17" t="n"/>
      <c r="Z849" s="120" t="n"/>
      <c r="AB849" s="55">
        <f>DADOS_INVOC!$PI$132</f>
        <v/>
      </c>
      <c r="AC849" s="16" t="n"/>
      <c r="AD849" s="16" t="n"/>
      <c r="AE849" s="16" t="n"/>
      <c r="AF849" s="17" t="n"/>
      <c r="AG849" s="120" t="n"/>
      <c r="AH849" s="55">
        <f>DADOS_INVOC!$PI$133</f>
        <v/>
      </c>
      <c r="AI849" s="16" t="n"/>
      <c r="AJ849" s="16" t="n"/>
      <c r="AK849" s="16" t="n"/>
      <c r="AL849" s="17" t="n"/>
      <c r="AM849" s="120" t="n"/>
      <c r="AN849" s="55">
        <f>DADOS_INVOC!$PI$134</f>
        <v/>
      </c>
      <c r="AO849" s="16" t="n"/>
      <c r="AP849" s="16" t="n"/>
      <c r="AQ849" s="16" t="n"/>
      <c r="AR849" s="17" t="n"/>
      <c r="AS849" s="120" t="n"/>
    </row>
    <row r="850" hidden="1" outlineLevel="1">
      <c r="A850" s="8" t="n"/>
      <c r="B850" s="14" t="n"/>
      <c r="C850" s="120" t="n"/>
      <c r="D850" s="120" t="n"/>
      <c r="E850" s="120" t="n"/>
      <c r="F850" s="120" t="n"/>
      <c r="G850" s="120" t="n"/>
      <c r="I850" s="127" t="n">
        <v>0</v>
      </c>
      <c r="J850" s="115" t="n"/>
      <c r="K850" s="16" t="n"/>
      <c r="L850" s="17" t="n"/>
      <c r="M850" s="128">
        <f>DADOS_INVOC!$PG$54</f>
        <v/>
      </c>
      <c r="N850" s="120" t="n"/>
      <c r="O850" s="127" t="n">
        <v>1</v>
      </c>
      <c r="P850" s="115" t="n"/>
      <c r="Q850" s="16" t="n"/>
      <c r="R850" s="17" t="n"/>
      <c r="S850" s="128">
        <f>DADOS_INVOC!$PG$55</f>
        <v/>
      </c>
      <c r="T850" s="120" t="n"/>
      <c r="U850" s="127" t="n">
        <v>1</v>
      </c>
      <c r="V850" s="115" t="n"/>
      <c r="W850" s="16" t="n"/>
      <c r="X850" s="17" t="n"/>
      <c r="Y850" s="128">
        <f>DADOS_INVOC!$PG$56</f>
        <v/>
      </c>
      <c r="Z850" s="120" t="n"/>
      <c r="AB850" s="127" t="n">
        <v>0</v>
      </c>
      <c r="AC850" s="115" t="n"/>
      <c r="AD850" s="16" t="n"/>
      <c r="AE850" s="17" t="n"/>
      <c r="AF850" s="128">
        <f>DADOS_INVOC!$PG$132</f>
        <v/>
      </c>
      <c r="AG850" s="120" t="n"/>
      <c r="AH850" s="127" t="n">
        <v>1</v>
      </c>
      <c r="AI850" s="115" t="n"/>
      <c r="AJ850" s="16" t="n"/>
      <c r="AK850" s="17" t="n"/>
      <c r="AL850" s="128">
        <f>DADOS_INVOC!$PG$133</f>
        <v/>
      </c>
      <c r="AM850" s="120" t="n"/>
      <c r="AN850" s="127" t="n">
        <v>1</v>
      </c>
      <c r="AO850" s="115" t="n"/>
      <c r="AP850" s="16" t="n"/>
      <c r="AQ850" s="17" t="n"/>
      <c r="AR850" s="128">
        <f>DADOS_INVOC!$PG$134</f>
        <v/>
      </c>
      <c r="AS850" s="120" t="n"/>
    </row>
    <row r="851" hidden="1" outlineLevel="2">
      <c r="A851" s="8" t="n"/>
      <c r="B851" s="14" t="n"/>
      <c r="C851" s="120" t="n"/>
      <c r="D851" s="120" t="n"/>
      <c r="E851" s="120" t="n"/>
      <c r="F851" s="120" t="n"/>
      <c r="G851" s="120" t="n"/>
      <c r="I851" s="55" t="inlineStr">
        <is>
          <t>COMO É</t>
        </is>
      </c>
      <c r="J851" s="16" t="n"/>
      <c r="K851" s="16" t="n"/>
      <c r="L851" s="16" t="n"/>
      <c r="M851" s="17" t="n"/>
      <c r="N851" s="120" t="n"/>
      <c r="O851" s="55" t="inlineStr">
        <is>
          <t>COMO É</t>
        </is>
      </c>
      <c r="P851" s="16" t="n"/>
      <c r="Q851" s="16" t="n"/>
      <c r="R851" s="16" t="n"/>
      <c r="S851" s="17" t="n"/>
      <c r="T851" s="120" t="n"/>
      <c r="U851" s="55" t="inlineStr">
        <is>
          <t>COMO É</t>
        </is>
      </c>
      <c r="V851" s="16" t="n"/>
      <c r="W851" s="16" t="n"/>
      <c r="X851" s="16" t="n"/>
      <c r="Y851" s="17" t="n"/>
      <c r="Z851" s="120" t="n"/>
      <c r="AB851" s="55" t="inlineStr">
        <is>
          <t>COMO É</t>
        </is>
      </c>
      <c r="AC851" s="16" t="n"/>
      <c r="AD851" s="16" t="n"/>
      <c r="AE851" s="16" t="n"/>
      <c r="AF851" s="17" t="n"/>
      <c r="AG851" s="120" t="n"/>
      <c r="AH851" s="55" t="inlineStr">
        <is>
          <t>COMO É</t>
        </is>
      </c>
      <c r="AI851" s="16" t="n"/>
      <c r="AJ851" s="16" t="n"/>
      <c r="AK851" s="16" t="n"/>
      <c r="AL851" s="17" t="n"/>
      <c r="AM851" s="120" t="n"/>
      <c r="AN851" s="55" t="inlineStr">
        <is>
          <t>COMO É</t>
        </is>
      </c>
      <c r="AO851" s="16" t="n"/>
      <c r="AP851" s="16" t="n"/>
      <c r="AQ851" s="16" t="n"/>
      <c r="AR851" s="17" t="n"/>
      <c r="AS851" s="120" t="n"/>
    </row>
    <row r="852" hidden="1" outlineLevel="2">
      <c r="A852" s="8" t="n"/>
      <c r="B852" s="14" t="n"/>
      <c r="C852" s="120" t="n"/>
      <c r="D852" s="120" t="n"/>
      <c r="E852" s="120" t="n"/>
      <c r="F852" s="120" t="n"/>
      <c r="G852" s="120" t="n"/>
      <c r="I852" s="116" t="n"/>
      <c r="J852" s="19" t="n"/>
      <c r="K852" s="19" t="n"/>
      <c r="L852" s="19" t="n"/>
      <c r="M852" s="20" t="n"/>
      <c r="N852" s="120" t="n"/>
      <c r="O852" s="116" t="n"/>
      <c r="P852" s="19" t="n"/>
      <c r="Q852" s="19" t="n"/>
      <c r="R852" s="19" t="n"/>
      <c r="S852" s="20" t="n"/>
      <c r="T852" s="120" t="n"/>
      <c r="U852" s="116" t="n"/>
      <c r="V852" s="19" t="n"/>
      <c r="W852" s="19" t="n"/>
      <c r="X852" s="19" t="n"/>
      <c r="Y852" s="20" t="n"/>
      <c r="Z852" s="120" t="n"/>
      <c r="AB852" s="116" t="n"/>
      <c r="AC852" s="19" t="n"/>
      <c r="AD852" s="19" t="n"/>
      <c r="AE852" s="19" t="n"/>
      <c r="AF852" s="20" t="n"/>
      <c r="AG852" s="120" t="n"/>
      <c r="AH852" s="116" t="n"/>
      <c r="AI852" s="19" t="n"/>
      <c r="AJ852" s="19" t="n"/>
      <c r="AK852" s="19" t="n"/>
      <c r="AL852" s="20" t="n"/>
      <c r="AM852" s="120" t="n"/>
      <c r="AN852" s="116" t="n"/>
      <c r="AO852" s="19" t="n"/>
      <c r="AP852" s="19" t="n"/>
      <c r="AQ852" s="19" t="n"/>
      <c r="AR852" s="20" t="n"/>
      <c r="AS852" s="120" t="n"/>
    </row>
    <row r="853" hidden="1" outlineLevel="2">
      <c r="A853" s="8" t="n"/>
      <c r="B853" s="14" t="n"/>
      <c r="C853" s="120" t="n"/>
      <c r="D853" s="120" t="n"/>
      <c r="E853" s="120" t="n"/>
      <c r="F853" s="120" t="n"/>
      <c r="G853" s="120" t="n"/>
      <c r="I853" s="21" t="n"/>
      <c r="M853" s="22" t="n"/>
      <c r="N853" s="120" t="n"/>
      <c r="O853" s="21" t="n"/>
      <c r="S853" s="22" t="n"/>
      <c r="T853" s="120" t="n"/>
      <c r="U853" s="21" t="n"/>
      <c r="Y853" s="22" t="n"/>
      <c r="Z853" s="120" t="n"/>
      <c r="AB853" s="21" t="n"/>
      <c r="AF853" s="22" t="n"/>
      <c r="AG853" s="120" t="n"/>
      <c r="AH853" s="21" t="n"/>
      <c r="AL853" s="22" t="n"/>
      <c r="AM853" s="120" t="n"/>
      <c r="AN853" s="21" t="n"/>
      <c r="AR853" s="22" t="n"/>
      <c r="AS853" s="120" t="n"/>
    </row>
    <row r="854" hidden="1" outlineLevel="2">
      <c r="A854" s="8" t="n"/>
      <c r="B854" s="14" t="n"/>
      <c r="C854" s="120" t="n"/>
      <c r="D854" s="120" t="n"/>
      <c r="E854" s="120" t="n"/>
      <c r="F854" s="120" t="n"/>
      <c r="G854" s="120" t="n"/>
      <c r="I854" s="23" t="n"/>
      <c r="J854" s="24" t="n"/>
      <c r="K854" s="24" t="n"/>
      <c r="L854" s="24" t="n"/>
      <c r="M854" s="25" t="n"/>
      <c r="N854" s="120" t="n"/>
      <c r="O854" s="23" t="n"/>
      <c r="P854" s="24" t="n"/>
      <c r="Q854" s="24" t="n"/>
      <c r="R854" s="24" t="n"/>
      <c r="S854" s="25" t="n"/>
      <c r="T854" s="120" t="n"/>
      <c r="U854" s="23" t="n"/>
      <c r="V854" s="24" t="n"/>
      <c r="W854" s="24" t="n"/>
      <c r="X854" s="24" t="n"/>
      <c r="Y854" s="25" t="n"/>
      <c r="Z854" s="120" t="n"/>
      <c r="AB854" s="23" t="n"/>
      <c r="AC854" s="24" t="n"/>
      <c r="AD854" s="24" t="n"/>
      <c r="AE854" s="24" t="n"/>
      <c r="AF854" s="25" t="n"/>
      <c r="AG854" s="120" t="n"/>
      <c r="AH854" s="23" t="n"/>
      <c r="AI854" s="24" t="n"/>
      <c r="AJ854" s="24" t="n"/>
      <c r="AK854" s="24" t="n"/>
      <c r="AL854" s="25" t="n"/>
      <c r="AM854" s="120" t="n"/>
      <c r="AN854" s="23" t="n"/>
      <c r="AO854" s="24" t="n"/>
      <c r="AP854" s="24" t="n"/>
      <c r="AQ854" s="24" t="n"/>
      <c r="AR854" s="25" t="n"/>
      <c r="AS854" s="120" t="n"/>
    </row>
    <row r="855" hidden="1" outlineLevel="1">
      <c r="A855" s="8" t="n"/>
      <c r="B855" s="14" t="n"/>
      <c r="C855" s="120" t="n"/>
      <c r="D855" s="120" t="n"/>
      <c r="E855" s="120" t="n"/>
      <c r="F855" s="120" t="n"/>
      <c r="G855" s="120" t="n"/>
      <c r="I855" s="124" t="inlineStr">
        <is>
          <t>Projétil</t>
        </is>
      </c>
      <c r="J855" s="17" t="n"/>
      <c r="K855" s="68">
        <f>DADOS_INVOC!$PN$54</f>
        <v/>
      </c>
      <c r="L855" s="17" t="n"/>
      <c r="M855" s="68">
        <f>DADOS_INVOC!$PJ$54</f>
        <v/>
      </c>
      <c r="N855" s="120" t="n"/>
      <c r="O855" s="124" t="inlineStr">
        <is>
          <t>Projétil</t>
        </is>
      </c>
      <c r="P855" s="17" t="n"/>
      <c r="Q855" s="68">
        <f>DADOS_INVOC!$PN$55</f>
        <v/>
      </c>
      <c r="R855" s="17" t="n"/>
      <c r="S855" s="68">
        <f>DADOS_INVOC!$PJ$55</f>
        <v/>
      </c>
      <c r="T855" s="120" t="n"/>
      <c r="U855" s="124" t="inlineStr">
        <is>
          <t>Projétil</t>
        </is>
      </c>
      <c r="V855" s="17" t="n"/>
      <c r="W855" s="68">
        <f>DADOS_INVOC!$PN$56</f>
        <v/>
      </c>
      <c r="X855" s="17" t="n"/>
      <c r="Y855" s="68">
        <f>DADOS_INVOC!$PJ$56</f>
        <v/>
      </c>
      <c r="Z855" s="120" t="n"/>
      <c r="AB855" s="124" t="inlineStr">
        <is>
          <t>Projétil</t>
        </is>
      </c>
      <c r="AC855" s="17" t="n"/>
      <c r="AD855" s="68">
        <f>DADOS_INVOC!$PN$132</f>
        <v/>
      </c>
      <c r="AE855" s="17" t="n"/>
      <c r="AF855" s="68">
        <f>DADOS_INVOC!$PJ$132</f>
        <v/>
      </c>
      <c r="AG855" s="120" t="n"/>
      <c r="AH855" s="124" t="inlineStr">
        <is>
          <t>Projétil</t>
        </is>
      </c>
      <c r="AI855" s="17" t="n"/>
      <c r="AJ855" s="68">
        <f>DADOS_INVOC!$PN$133</f>
        <v/>
      </c>
      <c r="AK855" s="17" t="n"/>
      <c r="AL855" s="68">
        <f>DADOS_INVOC!$PJ$133</f>
        <v/>
      </c>
      <c r="AM855" s="120" t="n"/>
      <c r="AN855" s="124" t="inlineStr">
        <is>
          <t>Projétil</t>
        </is>
      </c>
      <c r="AO855" s="17" t="n"/>
      <c r="AP855" s="68">
        <f>DADOS_INVOC!$PN$134</f>
        <v/>
      </c>
      <c r="AQ855" s="17" t="n"/>
      <c r="AR855" s="68">
        <f>DADOS_INVOC!$PJ$134</f>
        <v/>
      </c>
      <c r="AS855" s="120" t="n"/>
    </row>
    <row r="856" hidden="1" outlineLevel="1">
      <c r="A856" s="8" t="n"/>
      <c r="B856" s="14" t="n"/>
      <c r="C856" s="120" t="n"/>
      <c r="D856" s="120" t="n"/>
      <c r="E856" s="120" t="n"/>
      <c r="F856" s="120" t="n"/>
      <c r="G856" s="120" t="n"/>
      <c r="I856" s="124" t="n"/>
      <c r="J856" s="17" t="n"/>
      <c r="K856" s="124" t="n"/>
      <c r="L856" s="16" t="n"/>
      <c r="M856" s="17" t="n"/>
      <c r="N856" s="120" t="n"/>
      <c r="O856" s="124" t="n"/>
      <c r="P856" s="17" t="n"/>
      <c r="Q856" s="124" t="n"/>
      <c r="R856" s="16" t="n"/>
      <c r="S856" s="17" t="n"/>
      <c r="T856" s="120" t="n"/>
      <c r="U856" s="124" t="n"/>
      <c r="V856" s="17" t="n"/>
      <c r="W856" s="124" t="n"/>
      <c r="X856" s="16" t="n"/>
      <c r="Y856" s="17" t="n"/>
      <c r="Z856" s="120" t="n"/>
      <c r="AB856" s="124" t="n"/>
      <c r="AC856" s="17" t="n"/>
      <c r="AD856" s="124" t="n"/>
      <c r="AE856" s="16" t="n"/>
      <c r="AF856" s="17" t="n"/>
      <c r="AG856" s="120" t="n"/>
      <c r="AH856" s="124" t="n"/>
      <c r="AI856" s="17" t="n"/>
      <c r="AJ856" s="124" t="n"/>
      <c r="AK856" s="16" t="n"/>
      <c r="AL856" s="17" t="n"/>
      <c r="AM856" s="120" t="n"/>
      <c r="AN856" s="124" t="n"/>
      <c r="AO856" s="17" t="n"/>
      <c r="AP856" s="124" t="n"/>
      <c r="AQ856" s="16" t="n"/>
      <c r="AR856" s="17" t="n"/>
      <c r="AS856" s="120" t="n"/>
    </row>
    <row r="857" hidden="1" outlineLevel="1">
      <c r="A857" s="8" t="n"/>
      <c r="B857" s="14" t="n"/>
      <c r="C857" s="120" t="n"/>
      <c r="D857" s="120" t="n"/>
      <c r="E857" s="120" t="n"/>
      <c r="F857" s="120" t="n"/>
      <c r="G857" s="120" t="n"/>
      <c r="I857" s="124">
        <f>DADOS_INVOC!$PK$54</f>
        <v/>
      </c>
      <c r="J857" s="17" t="n"/>
      <c r="K857" s="124">
        <f>DADOS_INVOC!$PM$54</f>
        <v/>
      </c>
      <c r="L857" s="16" t="n"/>
      <c r="M857" s="17" t="n"/>
      <c r="N857" s="120" t="n"/>
      <c r="O857" s="124">
        <f>DADOS_INVOC!$PK$55</f>
        <v/>
      </c>
      <c r="P857" s="17" t="n"/>
      <c r="Q857" s="124">
        <f>DADOS_INVOC!$PM$55</f>
        <v/>
      </c>
      <c r="R857" s="16" t="n"/>
      <c r="S857" s="17" t="n"/>
      <c r="T857" s="120" t="n"/>
      <c r="U857" s="124">
        <f>DADOS_INVOC!$PK$56</f>
        <v/>
      </c>
      <c r="V857" s="17" t="n"/>
      <c r="W857" s="124">
        <f>DADOS_INVOC!$PM$56</f>
        <v/>
      </c>
      <c r="X857" s="16" t="n"/>
      <c r="Y857" s="17" t="n"/>
      <c r="Z857" s="120" t="n"/>
      <c r="AB857" s="124">
        <f>DADOS_INVOC!$PK$132</f>
        <v/>
      </c>
      <c r="AC857" s="17" t="n"/>
      <c r="AD857" s="124">
        <f>DADOS_INVOC!$PM$132</f>
        <v/>
      </c>
      <c r="AE857" s="16" t="n"/>
      <c r="AF857" s="17" t="n"/>
      <c r="AG857" s="120" t="n"/>
      <c r="AH857" s="124">
        <f>DADOS_INVOC!$PK$133</f>
        <v/>
      </c>
      <c r="AI857" s="17" t="n"/>
      <c r="AJ857" s="124">
        <f>DADOS_INVOC!$PM$133</f>
        <v/>
      </c>
      <c r="AK857" s="16" t="n"/>
      <c r="AL857" s="17" t="n"/>
      <c r="AM857" s="120" t="n"/>
      <c r="AN857" s="124">
        <f>DADOS_INVOC!$PK$134</f>
        <v/>
      </c>
      <c r="AO857" s="17" t="n"/>
      <c r="AP857" s="124">
        <f>DADOS_INVOC!$PM$134</f>
        <v/>
      </c>
      <c r="AQ857" s="16" t="n"/>
      <c r="AR857" s="17" t="n"/>
      <c r="AS857" s="120" t="n"/>
    </row>
    <row r="858" hidden="1" outlineLevel="1">
      <c r="A858" s="8" t="n"/>
      <c r="B858" s="14" t="n"/>
      <c r="C858" s="120" t="n"/>
      <c r="D858" s="120" t="n"/>
      <c r="E858" s="120" t="n"/>
      <c r="F858" s="120" t="n"/>
      <c r="G858" s="120" t="n"/>
      <c r="I858" s="129">
        <f>DADOS_INVOC!$PS$54</f>
        <v/>
      </c>
      <c r="J858" s="16" t="n"/>
      <c r="K858" s="16" t="n"/>
      <c r="L858" s="16" t="n"/>
      <c r="M858" s="17" t="n"/>
      <c r="N858" s="120" t="n"/>
      <c r="O858" s="129">
        <f>DADOS_INVOC!$PS$55</f>
        <v/>
      </c>
      <c r="P858" s="16" t="n"/>
      <c r="Q858" s="16" t="n"/>
      <c r="R858" s="16" t="n"/>
      <c r="S858" s="17" t="n"/>
      <c r="T858" s="120" t="n"/>
      <c r="U858" s="129">
        <f>DADOS_INVOC!$PS$56</f>
        <v/>
      </c>
      <c r="V858" s="16" t="n"/>
      <c r="W858" s="16" t="n"/>
      <c r="X858" s="16" t="n"/>
      <c r="Y858" s="17" t="n"/>
      <c r="Z858" s="120" t="n"/>
      <c r="AB858" s="129">
        <f>DADOS_INVOC!$PS$132</f>
        <v/>
      </c>
      <c r="AC858" s="16" t="n"/>
      <c r="AD858" s="16" t="n"/>
      <c r="AE858" s="16" t="n"/>
      <c r="AF858" s="17" t="n"/>
      <c r="AG858" s="120" t="n"/>
      <c r="AH858" s="129">
        <f>DADOS_INVOC!$PS$133</f>
        <v/>
      </c>
      <c r="AI858" s="16" t="n"/>
      <c r="AJ858" s="16" t="n"/>
      <c r="AK858" s="16" t="n"/>
      <c r="AL858" s="17" t="n"/>
      <c r="AM858" s="120" t="n"/>
      <c r="AN858" s="129">
        <f>DADOS_INVOC!$PS$134</f>
        <v/>
      </c>
      <c r="AO858" s="16" t="n"/>
      <c r="AP858" s="16" t="n"/>
      <c r="AQ858" s="16" t="n"/>
      <c r="AR858" s="17" t="n"/>
      <c r="AS858" s="120" t="n"/>
    </row>
    <row r="859" hidden="1" outlineLevel="2">
      <c r="A859" s="8" t="n"/>
      <c r="B859" s="14" t="n"/>
      <c r="C859" s="120" t="n"/>
      <c r="D859" s="120" t="n"/>
      <c r="E859" s="120" t="n"/>
      <c r="F859" s="120" t="n"/>
      <c r="G859" s="120" t="n"/>
      <c r="I859" s="55" t="inlineStr">
        <is>
          <t>MELHORIAS</t>
        </is>
      </c>
      <c r="J859" s="130" t="n"/>
      <c r="K859" s="16" t="n"/>
      <c r="L859" s="17" t="n"/>
      <c r="M859" s="129">
        <f>DADOS_INVOC!$PV$54</f>
        <v/>
      </c>
      <c r="N859" s="120" t="n"/>
      <c r="O859" s="55" t="inlineStr">
        <is>
          <t>MELHORIAS</t>
        </is>
      </c>
      <c r="P859" s="130" t="n"/>
      <c r="Q859" s="16" t="n"/>
      <c r="R859" s="17" t="n"/>
      <c r="S859" s="129">
        <f>DADOS_INVOC!$PV$55</f>
        <v/>
      </c>
      <c r="T859" s="120" t="n"/>
      <c r="U859" s="55" t="inlineStr">
        <is>
          <t>MELHORIAS</t>
        </is>
      </c>
      <c r="V859" s="130" t="n"/>
      <c r="W859" s="16" t="n"/>
      <c r="X859" s="17" t="n"/>
      <c r="Y859" s="129">
        <f>DADOS_INVOC!$PV$56</f>
        <v/>
      </c>
      <c r="Z859" s="120" t="n"/>
      <c r="AB859" s="55" t="inlineStr">
        <is>
          <t>MELHORIAS</t>
        </is>
      </c>
      <c r="AC859" s="130" t="n"/>
      <c r="AD859" s="16" t="n"/>
      <c r="AE859" s="17" t="n"/>
      <c r="AF859" s="129">
        <f>DADOS_INVOC!$PV$132</f>
        <v/>
      </c>
      <c r="AG859" s="120" t="n"/>
      <c r="AH859" s="55" t="inlineStr">
        <is>
          <t>MELHORIAS</t>
        </is>
      </c>
      <c r="AI859" s="130" t="n"/>
      <c r="AJ859" s="16" t="n"/>
      <c r="AK859" s="17" t="n"/>
      <c r="AL859" s="129">
        <f>DADOS_INVOC!$PV$133</f>
        <v/>
      </c>
      <c r="AM859" s="120" t="n"/>
      <c r="AN859" s="55" t="inlineStr">
        <is>
          <t>MELHORIAS</t>
        </is>
      </c>
      <c r="AO859" s="130" t="n"/>
      <c r="AP859" s="16" t="n"/>
      <c r="AQ859" s="17" t="n"/>
      <c r="AR859" s="129">
        <f>DADOS_INVOC!$PV$134</f>
        <v/>
      </c>
      <c r="AS859" s="120" t="n"/>
    </row>
    <row r="860" hidden="1" outlineLevel="2">
      <c r="A860" s="8" t="n"/>
      <c r="B860" s="14" t="n"/>
      <c r="C860" s="120" t="n"/>
      <c r="D860" s="120" t="n"/>
      <c r="E860" s="120" t="n"/>
      <c r="F860" s="120" t="n"/>
      <c r="G860" s="120" t="n"/>
      <c r="I860" s="131" t="n"/>
      <c r="J860" s="130" t="n"/>
      <c r="K860" s="16" t="n"/>
      <c r="L860" s="17" t="n"/>
      <c r="M860" s="129">
        <f>DADOS_INVOC!$PW$54</f>
        <v/>
      </c>
      <c r="N860" s="120" t="n"/>
      <c r="O860" s="131" t="n"/>
      <c r="P860" s="130" t="n"/>
      <c r="Q860" s="16" t="n"/>
      <c r="R860" s="17" t="n"/>
      <c r="S860" s="129">
        <f>DADOS_INVOC!$PW$55</f>
        <v/>
      </c>
      <c r="T860" s="120" t="n"/>
      <c r="U860" s="131" t="n"/>
      <c r="V860" s="130" t="n"/>
      <c r="W860" s="16" t="n"/>
      <c r="X860" s="17" t="n"/>
      <c r="Y860" s="129">
        <f>DADOS_INVOC!$PW$56</f>
        <v/>
      </c>
      <c r="Z860" s="120" t="n"/>
      <c r="AB860" s="131" t="n"/>
      <c r="AC860" s="130" t="n"/>
      <c r="AD860" s="16" t="n"/>
      <c r="AE860" s="17" t="n"/>
      <c r="AF860" s="129">
        <f>DADOS_INVOC!$PW$132</f>
        <v/>
      </c>
      <c r="AG860" s="120" t="n"/>
      <c r="AH860" s="131" t="n"/>
      <c r="AI860" s="130" t="n"/>
      <c r="AJ860" s="16" t="n"/>
      <c r="AK860" s="17" t="n"/>
      <c r="AL860" s="129">
        <f>DADOS_INVOC!$PW$133</f>
        <v/>
      </c>
      <c r="AM860" s="120" t="n"/>
      <c r="AN860" s="131" t="n"/>
      <c r="AO860" s="130" t="n"/>
      <c r="AP860" s="16" t="n"/>
      <c r="AQ860" s="17" t="n"/>
      <c r="AR860" s="129">
        <f>DADOS_INVOC!$PW$134</f>
        <v/>
      </c>
      <c r="AS860" s="120" t="n"/>
    </row>
    <row r="861" hidden="1" outlineLevel="2">
      <c r="A861" s="8" t="n"/>
      <c r="B861" s="14" t="n"/>
      <c r="C861" s="120" t="n"/>
      <c r="D861" s="120" t="n"/>
      <c r="E861" s="120" t="n"/>
      <c r="F861" s="120" t="n"/>
      <c r="G861" s="120" t="n"/>
      <c r="I861" s="131" t="n"/>
      <c r="J861" s="130" t="n"/>
      <c r="K861" s="16" t="n"/>
      <c r="L861" s="17" t="n"/>
      <c r="M861" s="129">
        <f>DADOS_INVOC!$PX$54</f>
        <v/>
      </c>
      <c r="N861" s="120" t="n"/>
      <c r="O861" s="131" t="n"/>
      <c r="P861" s="130" t="n"/>
      <c r="Q861" s="16" t="n"/>
      <c r="R861" s="17" t="n"/>
      <c r="S861" s="129">
        <f>DADOS_INVOC!$PX$55</f>
        <v/>
      </c>
      <c r="T861" s="120" t="n"/>
      <c r="U861" s="131" t="n"/>
      <c r="V861" s="130" t="n"/>
      <c r="W861" s="16" t="n"/>
      <c r="X861" s="17" t="n"/>
      <c r="Y861" s="129">
        <f>DADOS_INVOC!$PX$56</f>
        <v/>
      </c>
      <c r="Z861" s="120" t="n"/>
      <c r="AB861" s="131" t="n"/>
      <c r="AC861" s="130" t="n"/>
      <c r="AD861" s="16" t="n"/>
      <c r="AE861" s="17" t="n"/>
      <c r="AF861" s="129">
        <f>DADOS_INVOC!$PX$132</f>
        <v/>
      </c>
      <c r="AG861" s="120" t="n"/>
      <c r="AH861" s="131" t="n"/>
      <c r="AI861" s="130" t="n"/>
      <c r="AJ861" s="16" t="n"/>
      <c r="AK861" s="17" t="n"/>
      <c r="AL861" s="129">
        <f>DADOS_INVOC!$PX$133</f>
        <v/>
      </c>
      <c r="AM861" s="120" t="n"/>
      <c r="AN861" s="131" t="n"/>
      <c r="AO861" s="130" t="n"/>
      <c r="AP861" s="16" t="n"/>
      <c r="AQ861" s="17" t="n"/>
      <c r="AR861" s="129">
        <f>DADOS_INVOC!$PX$134</f>
        <v/>
      </c>
      <c r="AS861" s="120" t="n"/>
    </row>
    <row r="862" hidden="1" outlineLevel="2">
      <c r="A862" s="8" t="n"/>
      <c r="B862" s="14" t="n"/>
      <c r="C862" s="120" t="n"/>
      <c r="D862" s="120" t="n"/>
      <c r="E862" s="120" t="n"/>
      <c r="F862" s="120" t="n"/>
      <c r="G862" s="120" t="n"/>
      <c r="I862" s="125" t="n"/>
      <c r="J862" s="130" t="n"/>
      <c r="K862" s="16" t="n"/>
      <c r="L862" s="17" t="n"/>
      <c r="M862" s="129">
        <f>DADOS_INVOC!$PY$54</f>
        <v/>
      </c>
      <c r="N862" s="120" t="n"/>
      <c r="O862" s="125" t="n"/>
      <c r="P862" s="130" t="n"/>
      <c r="Q862" s="16" t="n"/>
      <c r="R862" s="17" t="n"/>
      <c r="S862" s="129">
        <f>DADOS_INVOC!$PY$55</f>
        <v/>
      </c>
      <c r="T862" s="120" t="n"/>
      <c r="U862" s="125" t="n"/>
      <c r="V862" s="130" t="n"/>
      <c r="W862" s="16" t="n"/>
      <c r="X862" s="17" t="n"/>
      <c r="Y862" s="129">
        <f>DADOS_INVOC!$PY$56</f>
        <v/>
      </c>
      <c r="Z862" s="120" t="n"/>
      <c r="AB862" s="125" t="n"/>
      <c r="AC862" s="130" t="n"/>
      <c r="AD862" s="16" t="n"/>
      <c r="AE862" s="17" t="n"/>
      <c r="AF862" s="129">
        <f>DADOS_INVOC!$PY$132</f>
        <v/>
      </c>
      <c r="AG862" s="120" t="n"/>
      <c r="AH862" s="125" t="n"/>
      <c r="AI862" s="130" t="n"/>
      <c r="AJ862" s="16" t="n"/>
      <c r="AK862" s="17" t="n"/>
      <c r="AL862" s="129">
        <f>DADOS_INVOC!$PY$133</f>
        <v/>
      </c>
      <c r="AM862" s="120" t="n"/>
      <c r="AN862" s="125" t="n"/>
      <c r="AO862" s="130" t="n"/>
      <c r="AP862" s="16" t="n"/>
      <c r="AQ862" s="17" t="n"/>
      <c r="AR862" s="129">
        <f>DADOS_INVOC!$PY$134</f>
        <v/>
      </c>
      <c r="AS862" s="120" t="n"/>
    </row>
    <row r="863" hidden="1" outlineLevel="2">
      <c r="A863" s="8" t="n"/>
      <c r="B863" s="14" t="n"/>
      <c r="C863" s="120" t="n"/>
      <c r="D863" s="120" t="n"/>
      <c r="E863" s="120" t="n"/>
      <c r="F863" s="120" t="n"/>
      <c r="G863" s="120" t="n"/>
      <c r="I863" s="55" t="inlineStr">
        <is>
          <t>RESTRIÇÕES</t>
        </is>
      </c>
      <c r="J863" s="130" t="n"/>
      <c r="K863" s="16" t="n"/>
      <c r="L863" s="17" t="n"/>
      <c r="M863" s="129">
        <f>DADOS_INVOC!$PZ$54</f>
        <v/>
      </c>
      <c r="N863" s="120" t="n"/>
      <c r="O863" s="55" t="inlineStr">
        <is>
          <t>RESTRIÇÕES</t>
        </is>
      </c>
      <c r="P863" s="130" t="n"/>
      <c r="Q863" s="16" t="n"/>
      <c r="R863" s="17" t="n"/>
      <c r="S863" s="129">
        <f>DADOS_INVOC!$PZ$55</f>
        <v/>
      </c>
      <c r="T863" s="120" t="n"/>
      <c r="U863" s="55" t="inlineStr">
        <is>
          <t>RESTRIÇÕES</t>
        </is>
      </c>
      <c r="V863" s="130" t="n"/>
      <c r="W863" s="16" t="n"/>
      <c r="X863" s="17" t="n"/>
      <c r="Y863" s="129">
        <f>DADOS_INVOC!$PZ$56</f>
        <v/>
      </c>
      <c r="Z863" s="120" t="n"/>
      <c r="AB863" s="55" t="inlineStr">
        <is>
          <t>RESTRIÇÕES</t>
        </is>
      </c>
      <c r="AC863" s="130" t="n"/>
      <c r="AD863" s="16" t="n"/>
      <c r="AE863" s="17" t="n"/>
      <c r="AF863" s="129">
        <f>DADOS_INVOC!$PZ$132</f>
        <v/>
      </c>
      <c r="AG863" s="120" t="n"/>
      <c r="AH863" s="55" t="inlineStr">
        <is>
          <t>RESTRIÇÕES</t>
        </is>
      </c>
      <c r="AI863" s="130" t="n"/>
      <c r="AJ863" s="16" t="n"/>
      <c r="AK863" s="17" t="n"/>
      <c r="AL863" s="129">
        <f>DADOS_INVOC!$PZ$133</f>
        <v/>
      </c>
      <c r="AM863" s="120" t="n"/>
      <c r="AN863" s="55" t="inlineStr">
        <is>
          <t>RESTRIÇÕES</t>
        </is>
      </c>
      <c r="AO863" s="130" t="n"/>
      <c r="AP863" s="16" t="n"/>
      <c r="AQ863" s="17" t="n"/>
      <c r="AR863" s="129">
        <f>DADOS_INVOC!$PZ$134</f>
        <v/>
      </c>
      <c r="AS863" s="120" t="n"/>
    </row>
    <row r="864" hidden="1" outlineLevel="2">
      <c r="A864" s="8" t="n"/>
      <c r="B864" s="14" t="n"/>
      <c r="C864" s="120" t="n"/>
      <c r="D864" s="120" t="n"/>
      <c r="E864" s="120" t="n"/>
      <c r="F864" s="120" t="n"/>
      <c r="G864" s="120" t="n"/>
      <c r="I864" s="125" t="n"/>
      <c r="J864" s="130" t="n"/>
      <c r="K864" s="16" t="n"/>
      <c r="L864" s="17" t="n"/>
      <c r="M864" s="129">
        <f>DADOS_INVOC!$QA$54</f>
        <v/>
      </c>
      <c r="N864" s="120" t="n"/>
      <c r="O864" s="125" t="n"/>
      <c r="P864" s="130" t="n"/>
      <c r="Q864" s="16" t="n"/>
      <c r="R864" s="17" t="n"/>
      <c r="S864" s="129">
        <f>DADOS_INVOC!$QA$55</f>
        <v/>
      </c>
      <c r="T864" s="120" t="n"/>
      <c r="U864" s="125" t="n"/>
      <c r="V864" s="130" t="n"/>
      <c r="W864" s="16" t="n"/>
      <c r="X864" s="17" t="n"/>
      <c r="Y864" s="129">
        <f>DADOS_INVOC!$QA$56</f>
        <v/>
      </c>
      <c r="Z864" s="120" t="n"/>
      <c r="AB864" s="125" t="n"/>
      <c r="AC864" s="130" t="n"/>
      <c r="AD864" s="16" t="n"/>
      <c r="AE864" s="17" t="n"/>
      <c r="AF864" s="129">
        <f>DADOS_INVOC!$QA$132</f>
        <v/>
      </c>
      <c r="AG864" s="120" t="n"/>
      <c r="AH864" s="125" t="n"/>
      <c r="AI864" s="130" t="n"/>
      <c r="AJ864" s="16" t="n"/>
      <c r="AK864" s="17" t="n"/>
      <c r="AL864" s="129">
        <f>DADOS_INVOC!$QA$133</f>
        <v/>
      </c>
      <c r="AM864" s="120" t="n"/>
      <c r="AN864" s="125" t="n"/>
      <c r="AO864" s="130" t="n"/>
      <c r="AP864" s="16" t="n"/>
      <c r="AQ864" s="17" t="n"/>
      <c r="AR864" s="129">
        <f>DADOS_INVOC!$QA$134</f>
        <v/>
      </c>
      <c r="AS864" s="120" t="n"/>
    </row>
    <row r="865" hidden="1" outlineLevel="2">
      <c r="A865" s="8" t="n"/>
      <c r="B865" s="14" t="n"/>
      <c r="C865" s="120" t="n"/>
      <c r="D865" s="120" t="n"/>
      <c r="E865" s="120" t="n"/>
      <c r="F865" s="120" t="n"/>
      <c r="G865" s="120" t="n"/>
      <c r="I865" s="55" t="inlineStr">
        <is>
          <t>CONTA</t>
        </is>
      </c>
      <c r="J865" s="132">
        <f>DADOS_INVOC!$PT$54</f>
        <v/>
      </c>
      <c r="K865" s="16" t="n"/>
      <c r="L865" s="16" t="n"/>
      <c r="M865" s="17" t="n"/>
      <c r="N865" s="120" t="n"/>
      <c r="O865" s="55" t="inlineStr">
        <is>
          <t>CONTA</t>
        </is>
      </c>
      <c r="P865" s="132">
        <f>DADOS_INVOC!$PT$55</f>
        <v/>
      </c>
      <c r="Q865" s="16" t="n"/>
      <c r="R865" s="16" t="n"/>
      <c r="S865" s="17" t="n"/>
      <c r="T865" s="120" t="n"/>
      <c r="U865" s="55" t="inlineStr">
        <is>
          <t>CONTA</t>
        </is>
      </c>
      <c r="V865" s="132">
        <f>DADOS_INVOC!$PT$56</f>
        <v/>
      </c>
      <c r="W865" s="16" t="n"/>
      <c r="X865" s="16" t="n"/>
      <c r="Y865" s="17" t="n"/>
      <c r="Z865" s="120" t="n"/>
      <c r="AB865" s="55" t="inlineStr">
        <is>
          <t>CONTA</t>
        </is>
      </c>
      <c r="AC865" s="132">
        <f>DADOS_INVOC!$PT$132</f>
        <v/>
      </c>
      <c r="AD865" s="16" t="n"/>
      <c r="AE865" s="16" t="n"/>
      <c r="AF865" s="17" t="n"/>
      <c r="AG865" s="120" t="n"/>
      <c r="AH865" s="55" t="inlineStr">
        <is>
          <t>CONTA</t>
        </is>
      </c>
      <c r="AI865" s="132">
        <f>DADOS_INVOC!$PT$133</f>
        <v/>
      </c>
      <c r="AJ865" s="16" t="n"/>
      <c r="AK865" s="16" t="n"/>
      <c r="AL865" s="17" t="n"/>
      <c r="AM865" s="120" t="n"/>
      <c r="AN865" s="55" t="inlineStr">
        <is>
          <t>CONTA</t>
        </is>
      </c>
      <c r="AO865" s="132">
        <f>DADOS_INVOC!$PT$134</f>
        <v/>
      </c>
      <c r="AP865" s="16" t="n"/>
      <c r="AQ865" s="16" t="n"/>
      <c r="AR865" s="17" t="n"/>
      <c r="AS865" s="120" t="n"/>
    </row>
    <row r="866" hidden="1" outlineLevel="2">
      <c r="A866" s="8" t="n"/>
      <c r="B866" s="14" t="n"/>
      <c r="C866" s="120" t="n"/>
      <c r="D866" s="120" t="n"/>
      <c r="E866" s="120" t="n"/>
      <c r="F866" s="120" t="n"/>
      <c r="G866" s="120" t="n"/>
      <c r="I866" s="55" t="inlineStr">
        <is>
          <t>AMPLIAR</t>
        </is>
      </c>
      <c r="J866" s="132">
        <f>DADOS_INVOC!$PU$54</f>
        <v/>
      </c>
      <c r="K866" s="19" t="n"/>
      <c r="L866" s="19" t="n"/>
      <c r="M866" s="20" t="n"/>
      <c r="N866" s="120" t="n"/>
      <c r="O866" s="55" t="inlineStr">
        <is>
          <t>AMPLIAR</t>
        </is>
      </c>
      <c r="P866" s="132">
        <f>DADOS_INVOC!$PU$55</f>
        <v/>
      </c>
      <c r="Q866" s="19" t="n"/>
      <c r="R866" s="19" t="n"/>
      <c r="S866" s="20" t="n"/>
      <c r="T866" s="120" t="n"/>
      <c r="U866" s="55" t="inlineStr">
        <is>
          <t>AMPLIAR</t>
        </is>
      </c>
      <c r="V866" s="132">
        <f>DADOS_INVOC!$PU$56</f>
        <v/>
      </c>
      <c r="W866" s="19" t="n"/>
      <c r="X866" s="19" t="n"/>
      <c r="Y866" s="20" t="n"/>
      <c r="Z866" s="120" t="n"/>
      <c r="AB866" s="55" t="inlineStr">
        <is>
          <t>AMPLIAR</t>
        </is>
      </c>
      <c r="AC866" s="132">
        <f>DADOS_INVOC!$PU$132</f>
        <v/>
      </c>
      <c r="AD866" s="19" t="n"/>
      <c r="AE866" s="19" t="n"/>
      <c r="AF866" s="20" t="n"/>
      <c r="AG866" s="120" t="n"/>
      <c r="AH866" s="55" t="inlineStr">
        <is>
          <t>AMPLIAR</t>
        </is>
      </c>
      <c r="AI866" s="132">
        <f>DADOS_INVOC!$PU$133</f>
        <v/>
      </c>
      <c r="AJ866" s="19" t="n"/>
      <c r="AK866" s="19" t="n"/>
      <c r="AL866" s="20" t="n"/>
      <c r="AM866" s="120" t="n"/>
      <c r="AN866" s="55" t="inlineStr">
        <is>
          <t>AMPLIAR</t>
        </is>
      </c>
      <c r="AO866" s="132">
        <f>DADOS_INVOC!$PU$134</f>
        <v/>
      </c>
      <c r="AP866" s="19" t="n"/>
      <c r="AQ866" s="19" t="n"/>
      <c r="AR866" s="20" t="n"/>
      <c r="AS866" s="120" t="n"/>
    </row>
    <row r="867" hidden="1" outlineLevel="2">
      <c r="A867" s="8" t="n"/>
      <c r="B867" s="14" t="n"/>
      <c r="C867" s="120" t="n"/>
      <c r="D867" s="120" t="n"/>
      <c r="E867" s="120" t="n"/>
      <c r="F867" s="120" t="n"/>
      <c r="G867" s="120" t="n"/>
      <c r="I867" s="125" t="n"/>
      <c r="J867" s="23" t="n"/>
      <c r="K867" s="24" t="n"/>
      <c r="L867" s="24" t="n"/>
      <c r="M867" s="25" t="n"/>
      <c r="N867" s="120" t="n"/>
      <c r="O867" s="125" t="n"/>
      <c r="P867" s="23" t="n"/>
      <c r="Q867" s="24" t="n"/>
      <c r="R867" s="24" t="n"/>
      <c r="S867" s="25" t="n"/>
      <c r="T867" s="120" t="n"/>
      <c r="U867" s="125" t="n"/>
      <c r="V867" s="23" t="n"/>
      <c r="W867" s="24" t="n"/>
      <c r="X867" s="24" t="n"/>
      <c r="Y867" s="25" t="n"/>
      <c r="Z867" s="120" t="n"/>
      <c r="AB867" s="125" t="n"/>
      <c r="AC867" s="23" t="n"/>
      <c r="AD867" s="24" t="n"/>
      <c r="AE867" s="24" t="n"/>
      <c r="AF867" s="25" t="n"/>
      <c r="AG867" s="120" t="n"/>
      <c r="AH867" s="125" t="n"/>
      <c r="AI867" s="23" t="n"/>
      <c r="AJ867" s="24" t="n"/>
      <c r="AK867" s="24" t="n"/>
      <c r="AL867" s="25" t="n"/>
      <c r="AM867" s="120" t="n"/>
      <c r="AN867" s="125" t="n"/>
      <c r="AO867" s="23" t="n"/>
      <c r="AP867" s="24" t="n"/>
      <c r="AQ867" s="24" t="n"/>
      <c r="AR867" s="25" t="n"/>
      <c r="AS867" s="120" t="n"/>
    </row>
    <row r="868" hidden="1" outlineLevel="2">
      <c r="A868" s="8" t="n"/>
      <c r="B868" s="14" t="n"/>
      <c r="C868" s="120" t="n"/>
      <c r="D868" s="120" t="n"/>
      <c r="E868" s="120" t="n"/>
      <c r="F868" s="120" t="n"/>
      <c r="G868" s="120" t="n"/>
      <c r="I868" s="132">
        <f>DADOS_INVOC!$PH$54</f>
        <v/>
      </c>
      <c r="J868" s="19" t="n"/>
      <c r="K868" s="19" t="n"/>
      <c r="L868" s="19" t="n"/>
      <c r="M868" s="20" t="n"/>
      <c r="N868" s="120" t="n"/>
      <c r="O868" s="132">
        <f>DADOS_INVOC!$PH$55</f>
        <v/>
      </c>
      <c r="P868" s="19" t="n"/>
      <c r="Q868" s="19" t="n"/>
      <c r="R868" s="19" t="n"/>
      <c r="S868" s="20" t="n"/>
      <c r="T868" s="120" t="n"/>
      <c r="U868" s="132">
        <f>DADOS_INVOC!$PH$56</f>
        <v/>
      </c>
      <c r="V868" s="19" t="n"/>
      <c r="W868" s="19" t="n"/>
      <c r="X868" s="19" t="n"/>
      <c r="Y868" s="20" t="n"/>
      <c r="Z868" s="120" t="n"/>
      <c r="AB868" s="132">
        <f>DADOS_INVOC!$PH$132</f>
        <v/>
      </c>
      <c r="AC868" s="19" t="n"/>
      <c r="AD868" s="19" t="n"/>
      <c r="AE868" s="19" t="n"/>
      <c r="AF868" s="20" t="n"/>
      <c r="AG868" s="120" t="n"/>
      <c r="AH868" s="132">
        <f>DADOS_INVOC!$PH$133</f>
        <v/>
      </c>
      <c r="AI868" s="19" t="n"/>
      <c r="AJ868" s="19" t="n"/>
      <c r="AK868" s="19" t="n"/>
      <c r="AL868" s="20" t="n"/>
      <c r="AM868" s="120" t="n"/>
      <c r="AN868" s="132">
        <f>DADOS_INVOC!$PH$134</f>
        <v/>
      </c>
      <c r="AO868" s="19" t="n"/>
      <c r="AP868" s="19" t="n"/>
      <c r="AQ868" s="19" t="n"/>
      <c r="AR868" s="20" t="n"/>
      <c r="AS868" s="120" t="n"/>
    </row>
    <row r="869" hidden="1" outlineLevel="2">
      <c r="A869" s="8" t="n"/>
      <c r="B869" s="14" t="n"/>
      <c r="C869" s="120" t="n"/>
      <c r="D869" s="120" t="n"/>
      <c r="E869" s="120" t="n"/>
      <c r="F869" s="120" t="n"/>
      <c r="G869" s="120" t="n"/>
      <c r="I869" s="23" t="n"/>
      <c r="J869" s="24" t="n"/>
      <c r="K869" s="24" t="n"/>
      <c r="L869" s="24" t="n"/>
      <c r="M869" s="25" t="n"/>
      <c r="N869" s="120" t="n"/>
      <c r="O869" s="23" t="n"/>
      <c r="P869" s="24" t="n"/>
      <c r="Q869" s="24" t="n"/>
      <c r="R869" s="24" t="n"/>
      <c r="S869" s="25" t="n"/>
      <c r="T869" s="120" t="n"/>
      <c r="U869" s="23" t="n"/>
      <c r="V869" s="24" t="n"/>
      <c r="W869" s="24" t="n"/>
      <c r="X869" s="24" t="n"/>
      <c r="Y869" s="25" t="n"/>
      <c r="Z869" s="120" t="n"/>
      <c r="AB869" s="23" t="n"/>
      <c r="AC869" s="24" t="n"/>
      <c r="AD869" s="24" t="n"/>
      <c r="AE869" s="24" t="n"/>
      <c r="AF869" s="25" t="n"/>
      <c r="AG869" s="120" t="n"/>
      <c r="AH869" s="23" t="n"/>
      <c r="AI869" s="24" t="n"/>
      <c r="AJ869" s="24" t="n"/>
      <c r="AK869" s="24" t="n"/>
      <c r="AL869" s="25" t="n"/>
      <c r="AM869" s="120" t="n"/>
      <c r="AN869" s="23" t="n"/>
      <c r="AO869" s="24" t="n"/>
      <c r="AP869" s="24" t="n"/>
      <c r="AQ869" s="24" t="n"/>
      <c r="AR869" s="25" t="n"/>
      <c r="AS869" s="120" t="n"/>
    </row>
    <row r="870" hidden="1" outlineLevel="1">
      <c r="A870" s="8" t="n"/>
      <c r="B870" s="14" t="n"/>
      <c r="C870" s="120" t="n"/>
      <c r="D870" s="120" t="n"/>
      <c r="E870" s="120" t="n"/>
      <c r="F870" s="120" t="n"/>
      <c r="G870" s="120" t="n"/>
      <c r="I870" s="120" t="n"/>
      <c r="J870" s="120" t="n"/>
      <c r="K870" s="120" t="n"/>
      <c r="L870" s="120" t="n"/>
      <c r="M870" s="120" t="n"/>
      <c r="N870" s="120" t="n"/>
      <c r="O870" s="120" t="n"/>
      <c r="P870" s="120" t="n"/>
      <c r="Q870" s="120" t="n"/>
      <c r="R870" s="120" t="n"/>
      <c r="S870" s="120" t="n"/>
      <c r="T870" s="120" t="n"/>
      <c r="U870" s="120" t="n"/>
      <c r="V870" s="120" t="n"/>
      <c r="W870" s="120" t="n"/>
      <c r="X870" s="120" t="n"/>
      <c r="Y870" s="120" t="n"/>
      <c r="Z870" s="120" t="n"/>
      <c r="AB870" s="120" t="n"/>
      <c r="AC870" s="120" t="n"/>
      <c r="AD870" s="120" t="n"/>
      <c r="AE870" s="120" t="n"/>
      <c r="AF870" s="120" t="n"/>
      <c r="AG870" s="120" t="n"/>
      <c r="AH870" s="120" t="n"/>
      <c r="AI870" s="120" t="n"/>
      <c r="AJ870" s="120" t="n"/>
      <c r="AK870" s="120" t="n"/>
      <c r="AL870" s="120" t="n"/>
      <c r="AM870" s="120" t="n"/>
      <c r="AN870" s="120" t="n"/>
      <c r="AO870" s="120" t="n"/>
      <c r="AP870" s="120" t="n"/>
      <c r="AQ870" s="120" t="n"/>
      <c r="AR870" s="120" t="n"/>
      <c r="AS870" s="120" t="n"/>
    </row>
    <row r="871" hidden="1" outlineLevel="1">
      <c r="A871" s="8" t="n"/>
      <c r="B871" s="14" t="n"/>
      <c r="C871" s="120" t="n"/>
      <c r="D871" s="120" t="n"/>
      <c r="E871" s="120" t="n"/>
      <c r="F871" s="120" t="n"/>
      <c r="G871" s="120" t="n"/>
      <c r="I871" s="55">
        <f>DADOS_INVOC!$HR$6</f>
        <v/>
      </c>
      <c r="J871" s="16" t="n"/>
      <c r="K871" s="16" t="n"/>
      <c r="L871" s="16" t="n"/>
      <c r="M871" s="16" t="n"/>
      <c r="N871" s="16" t="n"/>
      <c r="O871" s="16" t="n"/>
      <c r="P871" s="16" t="n"/>
      <c r="Q871" s="16" t="n"/>
      <c r="R871" s="16" t="n"/>
      <c r="S871" s="16" t="n"/>
      <c r="T871" s="16" t="n"/>
      <c r="U871" s="16" t="n"/>
      <c r="V871" s="16" t="n"/>
      <c r="W871" s="16" t="n"/>
      <c r="X871" s="16" t="n"/>
      <c r="Y871" s="17" t="n"/>
      <c r="Z871" s="120" t="n"/>
      <c r="AB871" s="55">
        <f>DADOS_INVOC!$HR$12</f>
        <v/>
      </c>
      <c r="AC871" s="16" t="n"/>
      <c r="AD871" s="16" t="n"/>
      <c r="AE871" s="16" t="n"/>
      <c r="AF871" s="16" t="n"/>
      <c r="AG871" s="16" t="n"/>
      <c r="AH871" s="16" t="n"/>
      <c r="AI871" s="16" t="n"/>
      <c r="AJ871" s="16" t="n"/>
      <c r="AK871" s="16" t="n"/>
      <c r="AL871" s="16" t="n"/>
      <c r="AM871" s="16" t="n"/>
      <c r="AN871" s="16" t="n"/>
      <c r="AO871" s="16" t="n"/>
      <c r="AP871" s="16" t="n"/>
      <c r="AQ871" s="16" t="n"/>
      <c r="AR871" s="17" t="n"/>
      <c r="AS871" s="120" t="n"/>
    </row>
    <row r="872" hidden="1" outlineLevel="1">
      <c r="A872" s="8" t="n"/>
      <c r="B872" s="14" t="n"/>
      <c r="C872" s="120" t="n"/>
      <c r="D872" s="120" t="n"/>
      <c r="E872" s="120" t="n"/>
      <c r="F872" s="120" t="n"/>
      <c r="G872" s="120" t="n"/>
      <c r="I872" s="55" t="inlineStr">
        <is>
          <t>NV 1 · CE 1</t>
        </is>
      </c>
      <c r="J872" s="130" t="n"/>
      <c r="K872" s="16" t="n"/>
      <c r="L872" s="17" t="n"/>
      <c r="M872" s="137">
        <f>DADOS_INVOC!$IA$6</f>
        <v/>
      </c>
      <c r="N872" s="16" t="n"/>
      <c r="O872" s="16" t="n"/>
      <c r="P872" s="16" t="n"/>
      <c r="Q872" s="16" t="n"/>
      <c r="R872" s="16" t="n"/>
      <c r="S872" s="16" t="n"/>
      <c r="T872" s="16" t="n"/>
      <c r="U872" s="16" t="n"/>
      <c r="V872" s="16" t="n"/>
      <c r="W872" s="16" t="n"/>
      <c r="X872" s="16" t="n"/>
      <c r="Y872" s="17" t="n"/>
      <c r="Z872" s="120" t="n"/>
      <c r="AB872" s="55" t="inlineStr">
        <is>
          <t>NV 1 · CE 1</t>
        </is>
      </c>
      <c r="AC872" s="130" t="n"/>
      <c r="AD872" s="16" t="n"/>
      <c r="AE872" s="17" t="n"/>
      <c r="AF872" s="137">
        <f>DADOS_INVOC!$IA$12</f>
        <v/>
      </c>
      <c r="AG872" s="16" t="n"/>
      <c r="AH872" s="16" t="n"/>
      <c r="AI872" s="16" t="n"/>
      <c r="AJ872" s="16" t="n"/>
      <c r="AK872" s="16" t="n"/>
      <c r="AL872" s="16" t="n"/>
      <c r="AM872" s="16" t="n"/>
      <c r="AN872" s="16" t="n"/>
      <c r="AO872" s="16" t="n"/>
      <c r="AP872" s="16" t="n"/>
      <c r="AQ872" s="16" t="n"/>
      <c r="AR872" s="17" t="n"/>
      <c r="AS872" s="120" t="n"/>
    </row>
    <row r="873" hidden="1" outlineLevel="1">
      <c r="A873" s="8" t="n"/>
      <c r="B873" s="14" t="n"/>
      <c r="C873" s="120" t="n"/>
      <c r="D873" s="120" t="n"/>
      <c r="E873" s="120" t="n"/>
      <c r="F873" s="120" t="n"/>
      <c r="G873" s="120" t="n"/>
      <c r="I873" s="55" t="inlineStr">
        <is>
          <t>NV 6 · CE 1</t>
        </is>
      </c>
      <c r="J873" s="130" t="n"/>
      <c r="K873" s="16" t="n"/>
      <c r="L873" s="17" t="n"/>
      <c r="M873" s="137">
        <f>DADOS_INVOC!$IB$6</f>
        <v/>
      </c>
      <c r="N873" s="16" t="n"/>
      <c r="O873" s="16" t="n"/>
      <c r="P873" s="16" t="n"/>
      <c r="Q873" s="16" t="n"/>
      <c r="R873" s="16" t="n"/>
      <c r="S873" s="16" t="n"/>
      <c r="T873" s="16" t="n"/>
      <c r="U873" s="16" t="n"/>
      <c r="V873" s="16" t="n"/>
      <c r="W873" s="16" t="n"/>
      <c r="X873" s="16" t="n"/>
      <c r="Y873" s="17" t="n"/>
      <c r="Z873" s="120" t="n"/>
      <c r="AB873" s="55" t="inlineStr">
        <is>
          <t>NV 6 · CE 1</t>
        </is>
      </c>
      <c r="AC873" s="130" t="n"/>
      <c r="AD873" s="16" t="n"/>
      <c r="AE873" s="17" t="n"/>
      <c r="AF873" s="137">
        <f>DADOS_INVOC!$IB$12</f>
        <v/>
      </c>
      <c r="AG873" s="16" t="n"/>
      <c r="AH873" s="16" t="n"/>
      <c r="AI873" s="16" t="n"/>
      <c r="AJ873" s="16" t="n"/>
      <c r="AK873" s="16" t="n"/>
      <c r="AL873" s="16" t="n"/>
      <c r="AM873" s="16" t="n"/>
      <c r="AN873" s="16" t="n"/>
      <c r="AO873" s="16" t="n"/>
      <c r="AP873" s="16" t="n"/>
      <c r="AQ873" s="16" t="n"/>
      <c r="AR873" s="17" t="n"/>
      <c r="AS873" s="120" t="n"/>
    </row>
    <row r="874" hidden="1" outlineLevel="1">
      <c r="A874" s="8" t="n"/>
      <c r="B874" s="14" t="n"/>
      <c r="C874" s="120" t="n"/>
      <c r="D874" s="120" t="n"/>
      <c r="E874" s="120" t="n"/>
      <c r="F874" s="120" t="n"/>
      <c r="G874" s="120" t="n"/>
      <c r="I874" s="55" t="inlineStr">
        <is>
          <t>NV 10 · CE 2</t>
        </is>
      </c>
      <c r="J874" s="130" t="n"/>
      <c r="K874" s="16" t="n"/>
      <c r="L874" s="17" t="n"/>
      <c r="M874" s="137">
        <f>DADOS_INVOC!$IC$6</f>
        <v/>
      </c>
      <c r="N874" s="16" t="n"/>
      <c r="O874" s="16" t="n"/>
      <c r="P874" s="16" t="n"/>
      <c r="Q874" s="16" t="n"/>
      <c r="R874" s="16" t="n"/>
      <c r="S874" s="16" t="n"/>
      <c r="T874" s="16" t="n"/>
      <c r="U874" s="16" t="n"/>
      <c r="V874" s="16" t="n"/>
      <c r="W874" s="16" t="n"/>
      <c r="X874" s="16" t="n"/>
      <c r="Y874" s="17" t="n"/>
      <c r="Z874" s="120" t="n"/>
      <c r="AB874" s="55" t="inlineStr">
        <is>
          <t>NV 10 · CE 2</t>
        </is>
      </c>
      <c r="AC874" s="130" t="n"/>
      <c r="AD874" s="16" t="n"/>
      <c r="AE874" s="17" t="n"/>
      <c r="AF874" s="137">
        <f>DADOS_INVOC!$IC$12</f>
        <v/>
      </c>
      <c r="AG874" s="16" t="n"/>
      <c r="AH874" s="16" t="n"/>
      <c r="AI874" s="16" t="n"/>
      <c r="AJ874" s="16" t="n"/>
      <c r="AK874" s="16" t="n"/>
      <c r="AL874" s="16" t="n"/>
      <c r="AM874" s="16" t="n"/>
      <c r="AN874" s="16" t="n"/>
      <c r="AO874" s="16" t="n"/>
      <c r="AP874" s="16" t="n"/>
      <c r="AQ874" s="16" t="n"/>
      <c r="AR874" s="17" t="n"/>
      <c r="AS874" s="120" t="n"/>
    </row>
    <row r="875" hidden="1" outlineLevel="1">
      <c r="A875" s="8" t="n"/>
      <c r="B875" s="14" t="n"/>
      <c r="C875" s="120" t="n"/>
      <c r="D875" s="120" t="n"/>
      <c r="E875" s="120" t="n"/>
      <c r="F875" s="120" t="n"/>
      <c r="G875" s="120" t="n"/>
      <c r="I875" s="55" t="inlineStr">
        <is>
          <t>NV 14 · CE 3</t>
        </is>
      </c>
      <c r="J875" s="130" t="n"/>
      <c r="K875" s="16" t="n"/>
      <c r="L875" s="17" t="n"/>
      <c r="M875" s="137">
        <f>DADOS_INVOC!$ID$6</f>
        <v/>
      </c>
      <c r="N875" s="16" t="n"/>
      <c r="O875" s="16" t="n"/>
      <c r="P875" s="16" t="n"/>
      <c r="Q875" s="16" t="n"/>
      <c r="R875" s="16" t="n"/>
      <c r="S875" s="16" t="n"/>
      <c r="T875" s="16" t="n"/>
      <c r="U875" s="16" t="n"/>
      <c r="V875" s="16" t="n"/>
      <c r="W875" s="16" t="n"/>
      <c r="X875" s="16" t="n"/>
      <c r="Y875" s="17" t="n"/>
      <c r="Z875" s="120" t="n"/>
      <c r="AB875" s="55" t="inlineStr">
        <is>
          <t>NV 14 · CE 3</t>
        </is>
      </c>
      <c r="AC875" s="130" t="n"/>
      <c r="AD875" s="16" t="n"/>
      <c r="AE875" s="17" t="n"/>
      <c r="AF875" s="137">
        <f>DADOS_INVOC!$ID$12</f>
        <v/>
      </c>
      <c r="AG875" s="16" t="n"/>
      <c r="AH875" s="16" t="n"/>
      <c r="AI875" s="16" t="n"/>
      <c r="AJ875" s="16" t="n"/>
      <c r="AK875" s="16" t="n"/>
      <c r="AL875" s="16" t="n"/>
      <c r="AM875" s="16" t="n"/>
      <c r="AN875" s="16" t="n"/>
      <c r="AO875" s="16" t="n"/>
      <c r="AP875" s="16" t="n"/>
      <c r="AQ875" s="16" t="n"/>
      <c r="AR875" s="17" t="n"/>
      <c r="AS875" s="120" t="n"/>
    </row>
    <row r="876" hidden="1" outlineLevel="1">
      <c r="A876" s="8" t="n"/>
      <c r="B876" s="14" t="n"/>
      <c r="C876" s="120" t="n"/>
      <c r="D876" s="120" t="n"/>
      <c r="E876" s="120" t="n"/>
      <c r="F876" s="120" t="n"/>
      <c r="G876" s="120" t="n"/>
      <c r="I876" s="55" t="inlineStr">
        <is>
          <t>NV 18 · CE 3</t>
        </is>
      </c>
      <c r="J876" s="130" t="n"/>
      <c r="K876" s="16" t="n"/>
      <c r="L876" s="17" t="n"/>
      <c r="M876" s="137">
        <f>DADOS_INVOC!$IE$6</f>
        <v/>
      </c>
      <c r="N876" s="16" t="n"/>
      <c r="O876" s="16" t="n"/>
      <c r="P876" s="16" t="n"/>
      <c r="Q876" s="16" t="n"/>
      <c r="R876" s="16" t="n"/>
      <c r="S876" s="16" t="n"/>
      <c r="T876" s="16" t="n"/>
      <c r="U876" s="16" t="n"/>
      <c r="V876" s="16" t="n"/>
      <c r="W876" s="16" t="n"/>
      <c r="X876" s="16" t="n"/>
      <c r="Y876" s="17" t="n"/>
      <c r="Z876" s="120" t="n"/>
      <c r="AB876" s="55" t="inlineStr">
        <is>
          <t>NV 18 · CE 3</t>
        </is>
      </c>
      <c r="AC876" s="130" t="n"/>
      <c r="AD876" s="16" t="n"/>
      <c r="AE876" s="17" t="n"/>
      <c r="AF876" s="137">
        <f>DADOS_INVOC!$IE$12</f>
        <v/>
      </c>
      <c r="AG876" s="16" t="n"/>
      <c r="AH876" s="16" t="n"/>
      <c r="AI876" s="16" t="n"/>
      <c r="AJ876" s="16" t="n"/>
      <c r="AK876" s="16" t="n"/>
      <c r="AL876" s="16" t="n"/>
      <c r="AM876" s="16" t="n"/>
      <c r="AN876" s="16" t="n"/>
      <c r="AO876" s="16" t="n"/>
      <c r="AP876" s="16" t="n"/>
      <c r="AQ876" s="16" t="n"/>
      <c r="AR876" s="17" t="n"/>
      <c r="AS876" s="120" t="n"/>
    </row>
    <row r="877" hidden="1" outlineLevel="1">
      <c r="A877" s="8" t="n"/>
      <c r="B877" s="14" t="n"/>
      <c r="C877" s="120" t="n"/>
      <c r="D877" s="120" t="n"/>
      <c r="E877" s="120" t="n"/>
      <c r="F877" s="120" t="n"/>
      <c r="G877" s="120" t="n"/>
      <c r="I877" s="55" t="inlineStr">
        <is>
          <t>NV 22 · CE 3</t>
        </is>
      </c>
      <c r="J877" s="130" t="n"/>
      <c r="K877" s="16" t="n"/>
      <c r="L877" s="17" t="n"/>
      <c r="M877" s="137">
        <f>DADOS_INVOC!$IF$6</f>
        <v/>
      </c>
      <c r="N877" s="16" t="n"/>
      <c r="O877" s="16" t="n"/>
      <c r="P877" s="16" t="n"/>
      <c r="Q877" s="16" t="n"/>
      <c r="R877" s="16" t="n"/>
      <c r="S877" s="16" t="n"/>
      <c r="T877" s="16" t="n"/>
      <c r="U877" s="16" t="n"/>
      <c r="V877" s="16" t="n"/>
      <c r="W877" s="16" t="n"/>
      <c r="X877" s="16" t="n"/>
      <c r="Y877" s="17" t="n"/>
      <c r="Z877" s="120" t="n"/>
      <c r="AB877" s="55" t="inlineStr">
        <is>
          <t>NV 22 · CE 3</t>
        </is>
      </c>
      <c r="AC877" s="130" t="n"/>
      <c r="AD877" s="16" t="n"/>
      <c r="AE877" s="17" t="n"/>
      <c r="AF877" s="137">
        <f>DADOS_INVOC!$IF$12</f>
        <v/>
      </c>
      <c r="AG877" s="16" t="n"/>
      <c r="AH877" s="16" t="n"/>
      <c r="AI877" s="16" t="n"/>
      <c r="AJ877" s="16" t="n"/>
      <c r="AK877" s="16" t="n"/>
      <c r="AL877" s="16" t="n"/>
      <c r="AM877" s="16" t="n"/>
      <c r="AN877" s="16" t="n"/>
      <c r="AO877" s="16" t="n"/>
      <c r="AP877" s="16" t="n"/>
      <c r="AQ877" s="16" t="n"/>
      <c r="AR877" s="17" t="n"/>
      <c r="AS877" s="120" t="n"/>
    </row>
    <row r="878" hidden="1" outlineLevel="1">
      <c r="A878" s="8" t="n"/>
      <c r="B878" s="14" t="n"/>
      <c r="C878" s="120" t="n"/>
      <c r="D878" s="120" t="n"/>
      <c r="E878" s="120" t="n"/>
      <c r="F878" s="120" t="n"/>
      <c r="G878" s="120" t="n"/>
      <c r="I878" s="55" t="inlineStr">
        <is>
          <t>NV 26 · CE 3</t>
        </is>
      </c>
      <c r="J878" s="130" t="n"/>
      <c r="K878" s="16" t="n"/>
      <c r="L878" s="17" t="n"/>
      <c r="M878" s="137">
        <f>DADOS_INVOC!$IG$6</f>
        <v/>
      </c>
      <c r="N878" s="16" t="n"/>
      <c r="O878" s="16" t="n"/>
      <c r="P878" s="16" t="n"/>
      <c r="Q878" s="16" t="n"/>
      <c r="R878" s="16" t="n"/>
      <c r="S878" s="16" t="n"/>
      <c r="T878" s="16" t="n"/>
      <c r="U878" s="16" t="n"/>
      <c r="V878" s="16" t="n"/>
      <c r="W878" s="16" t="n"/>
      <c r="X878" s="16" t="n"/>
      <c r="Y878" s="17" t="n"/>
      <c r="Z878" s="120" t="n"/>
      <c r="AB878" s="55" t="inlineStr">
        <is>
          <t>NV 26 · CE 3</t>
        </is>
      </c>
      <c r="AC878" s="130" t="n"/>
      <c r="AD878" s="16" t="n"/>
      <c r="AE878" s="17" t="n"/>
      <c r="AF878" s="137">
        <f>DADOS_INVOC!$IG$12</f>
        <v/>
      </c>
      <c r="AG878" s="16" t="n"/>
      <c r="AH878" s="16" t="n"/>
      <c r="AI878" s="16" t="n"/>
      <c r="AJ878" s="16" t="n"/>
      <c r="AK878" s="16" t="n"/>
      <c r="AL878" s="16" t="n"/>
      <c r="AM878" s="16" t="n"/>
      <c r="AN878" s="16" t="n"/>
      <c r="AO878" s="16" t="n"/>
      <c r="AP878" s="16" t="n"/>
      <c r="AQ878" s="16" t="n"/>
      <c r="AR878" s="17" t="n"/>
      <c r="AS878" s="120" t="n"/>
    </row>
    <row r="879" hidden="1" outlineLevel="1">
      <c r="A879" s="8" t="n"/>
      <c r="B879" s="14" t="n"/>
      <c r="C879" s="120" t="n"/>
      <c r="D879" s="120" t="n"/>
      <c r="E879" s="120" t="n"/>
      <c r="F879" s="120" t="n"/>
      <c r="G879" s="120" t="n"/>
      <c r="I879" s="55" t="inlineStr">
        <is>
          <t>NV 30 · CE 3</t>
        </is>
      </c>
      <c r="J879" s="130" t="n"/>
      <c r="K879" s="16" t="n"/>
      <c r="L879" s="17" t="n"/>
      <c r="M879" s="137">
        <f>DADOS_INVOC!$IH$6</f>
        <v/>
      </c>
      <c r="N879" s="16" t="n"/>
      <c r="O879" s="16" t="n"/>
      <c r="P879" s="16" t="n"/>
      <c r="Q879" s="16" t="n"/>
      <c r="R879" s="16" t="n"/>
      <c r="S879" s="16" t="n"/>
      <c r="T879" s="16" t="n"/>
      <c r="U879" s="16" t="n"/>
      <c r="V879" s="16" t="n"/>
      <c r="W879" s="16" t="n"/>
      <c r="X879" s="16" t="n"/>
      <c r="Y879" s="17" t="n"/>
      <c r="Z879" s="120" t="n"/>
      <c r="AB879" s="55" t="inlineStr">
        <is>
          <t>NV 30 · CE 3</t>
        </is>
      </c>
      <c r="AC879" s="130" t="n"/>
      <c r="AD879" s="16" t="n"/>
      <c r="AE879" s="17" t="n"/>
      <c r="AF879" s="137">
        <f>DADOS_INVOC!$IH$12</f>
        <v/>
      </c>
      <c r="AG879" s="16" t="n"/>
      <c r="AH879" s="16" t="n"/>
      <c r="AI879" s="16" t="n"/>
      <c r="AJ879" s="16" t="n"/>
      <c r="AK879" s="16" t="n"/>
      <c r="AL879" s="16" t="n"/>
      <c r="AM879" s="16" t="n"/>
      <c r="AN879" s="16" t="n"/>
      <c r="AO879" s="16" t="n"/>
      <c r="AP879" s="16" t="n"/>
      <c r="AQ879" s="16" t="n"/>
      <c r="AR879" s="17" t="n"/>
      <c r="AS879" s="120" t="n"/>
    </row>
    <row r="880" hidden="1" outlineLevel="1">
      <c r="A880" s="8" t="n"/>
      <c r="B880" s="14" t="n"/>
      <c r="C880" s="120" t="n"/>
      <c r="D880" s="120" t="n"/>
      <c r="E880" s="120" t="n"/>
      <c r="F880" s="120" t="n"/>
      <c r="G880" s="120" t="n"/>
      <c r="I880" s="120" t="n"/>
      <c r="J880" s="120" t="n"/>
      <c r="K880" s="120" t="n"/>
      <c r="L880" s="120" t="n"/>
      <c r="M880" s="120" t="n"/>
      <c r="N880" s="120" t="n"/>
      <c r="O880" s="120" t="n"/>
      <c r="P880" s="120" t="n"/>
      <c r="Q880" s="120" t="n"/>
      <c r="R880" s="120" t="n"/>
      <c r="S880" s="120" t="n"/>
      <c r="T880" s="120" t="n"/>
      <c r="U880" s="120" t="n"/>
      <c r="V880" s="120" t="n"/>
      <c r="W880" s="120" t="n"/>
      <c r="X880" s="120" t="n"/>
      <c r="Y880" s="120" t="n"/>
      <c r="Z880" s="120" t="n"/>
      <c r="AB880" s="120" t="n"/>
      <c r="AC880" s="120" t="n"/>
      <c r="AD880" s="120" t="n"/>
      <c r="AE880" s="120" t="n"/>
      <c r="AF880" s="120" t="n"/>
      <c r="AG880" s="120" t="n"/>
      <c r="AH880" s="120" t="n"/>
      <c r="AI880" s="120" t="n"/>
      <c r="AJ880" s="120" t="n"/>
      <c r="AK880" s="120" t="n"/>
      <c r="AL880" s="120" t="n"/>
      <c r="AM880" s="120" t="n"/>
      <c r="AN880" s="120" t="n"/>
      <c r="AO880" s="120" t="n"/>
      <c r="AP880" s="120" t="n"/>
      <c r="AQ880" s="120" t="n"/>
      <c r="AR880" s="120" t="n"/>
      <c r="AS880" s="120" t="n"/>
    </row>
    <row r="881" hidden="1" outlineLevel="1">
      <c r="A881" s="8" t="n"/>
      <c r="B881" s="14" t="n"/>
      <c r="C881" s="120" t="n"/>
      <c r="D881" s="120" t="n"/>
      <c r="E881" s="120" t="n"/>
      <c r="F881" s="120" t="n"/>
      <c r="G881" s="120" t="n"/>
      <c r="I881" s="13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0" t="n"/>
      <c r="AB881" s="13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0" t="n"/>
    </row>
    <row r="882" hidden="1" outlineLevel="2">
      <c r="A882" s="8" t="n"/>
      <c r="B882" s="14" t="n"/>
      <c r="C882" s="120" t="n"/>
      <c r="D882" s="120" t="n"/>
      <c r="E882" s="120" t="n"/>
      <c r="F882" s="120" t="n"/>
      <c r="G882" s="120" t="n"/>
      <c r="I882" s="120" t="n"/>
      <c r="J882" s="120" t="n"/>
      <c r="K882" s="120" t="n"/>
      <c r="L882" s="120" t="n"/>
      <c r="M882" s="120" t="n"/>
      <c r="N882" s="120" t="n"/>
      <c r="O882" s="120" t="n"/>
      <c r="P882" s="120" t="n"/>
      <c r="Q882" s="120" t="n"/>
      <c r="R882" s="120" t="n"/>
      <c r="S882" s="120" t="n"/>
      <c r="T882" s="120" t="n"/>
      <c r="U882" s="120" t="n"/>
      <c r="V882" s="120" t="n"/>
      <c r="W882" s="120" t="n"/>
      <c r="X882" s="120" t="n"/>
      <c r="Y882" s="120" t="n"/>
      <c r="Z882" s="120" t="n"/>
      <c r="AB882" s="120" t="n"/>
      <c r="AC882" s="120" t="n"/>
      <c r="AD882" s="120" t="n"/>
      <c r="AE882" s="120" t="n"/>
      <c r="AF882" s="120" t="n"/>
      <c r="AG882" s="120" t="n"/>
      <c r="AH882" s="120" t="n"/>
      <c r="AI882" s="120" t="n"/>
      <c r="AJ882" s="120" t="n"/>
      <c r="AK882" s="120" t="n"/>
      <c r="AL882" s="120" t="n"/>
      <c r="AM882" s="120" t="n"/>
      <c r="AN882" s="120" t="n"/>
      <c r="AO882" s="120" t="n"/>
      <c r="AP882" s="120" t="n"/>
      <c r="AQ882" s="120" t="n"/>
      <c r="AR882" s="120" t="n"/>
      <c r="AS882" s="120" t="n"/>
    </row>
    <row r="883" hidden="1" outlineLevel="2">
      <c r="A883" s="8" t="n"/>
      <c r="B883" s="14" t="n"/>
      <c r="C883" s="120" t="n"/>
      <c r="D883" s="120" t="n"/>
      <c r="E883" s="120" t="n"/>
      <c r="F883" s="120" t="n"/>
      <c r="G883" s="120" t="n"/>
      <c r="I883" s="55">
        <f>DADOS_INVOC!$PI$57</f>
        <v/>
      </c>
      <c r="J883" s="16" t="n"/>
      <c r="K883" s="16" t="n"/>
      <c r="L883" s="16" t="n"/>
      <c r="M883" s="17" t="n"/>
      <c r="N883" s="120" t="n"/>
      <c r="O883" s="55">
        <f>DADOS_INVOC!$PI$58</f>
        <v/>
      </c>
      <c r="P883" s="16" t="n"/>
      <c r="Q883" s="16" t="n"/>
      <c r="R883" s="16" t="n"/>
      <c r="S883" s="17" t="n"/>
      <c r="T883" s="120" t="n"/>
      <c r="U883" s="55">
        <f>DADOS_INVOC!$PI$59</f>
        <v/>
      </c>
      <c r="V883" s="16" t="n"/>
      <c r="W883" s="16" t="n"/>
      <c r="X883" s="16" t="n"/>
      <c r="Y883" s="17" t="n"/>
      <c r="Z883" s="120" t="n"/>
      <c r="AB883" s="55">
        <f>DADOS_INVOC!$PI$135</f>
        <v/>
      </c>
      <c r="AC883" s="16" t="n"/>
      <c r="AD883" s="16" t="n"/>
      <c r="AE883" s="16" t="n"/>
      <c r="AF883" s="17" t="n"/>
      <c r="AG883" s="120" t="n"/>
      <c r="AH883" s="55">
        <f>DADOS_INVOC!$PI$136</f>
        <v/>
      </c>
      <c r="AI883" s="16" t="n"/>
      <c r="AJ883" s="16" t="n"/>
      <c r="AK883" s="16" t="n"/>
      <c r="AL883" s="17" t="n"/>
      <c r="AM883" s="120" t="n"/>
      <c r="AN883" s="55">
        <f>DADOS_INVOC!$PI$137</f>
        <v/>
      </c>
      <c r="AO883" s="16" t="n"/>
      <c r="AP883" s="16" t="n"/>
      <c r="AQ883" s="16" t="n"/>
      <c r="AR883" s="17" t="n"/>
      <c r="AS883" s="120" t="n"/>
    </row>
    <row r="884" hidden="1" outlineLevel="2">
      <c r="A884" s="8" t="n"/>
      <c r="B884" s="14" t="n"/>
      <c r="C884" s="120" t="n"/>
      <c r="D884" s="120" t="n"/>
      <c r="E884" s="120" t="n"/>
      <c r="F884" s="120" t="n"/>
      <c r="G884" s="120" t="n"/>
      <c r="I884" s="127" t="n">
        <v>0</v>
      </c>
      <c r="J884" s="115" t="n"/>
      <c r="K884" s="16" t="n"/>
      <c r="L884" s="17" t="n"/>
      <c r="M884" s="128">
        <f>DADOS_INVOC!$PG$57</f>
        <v/>
      </c>
      <c r="N884" s="120" t="n"/>
      <c r="O884" s="127" t="n">
        <v>1</v>
      </c>
      <c r="P884" s="115" t="n"/>
      <c r="Q884" s="16" t="n"/>
      <c r="R884" s="17" t="n"/>
      <c r="S884" s="128">
        <f>DADOS_INVOC!$PG$58</f>
        <v/>
      </c>
      <c r="T884" s="120" t="n"/>
      <c r="U884" s="127" t="n">
        <v>1</v>
      </c>
      <c r="V884" s="115" t="n"/>
      <c r="W884" s="16" t="n"/>
      <c r="X884" s="17" t="n"/>
      <c r="Y884" s="128">
        <f>DADOS_INVOC!$PG$59</f>
        <v/>
      </c>
      <c r="Z884" s="120" t="n"/>
      <c r="AB884" s="127" t="n">
        <v>0</v>
      </c>
      <c r="AC884" s="115" t="n"/>
      <c r="AD884" s="16" t="n"/>
      <c r="AE884" s="17" t="n"/>
      <c r="AF884" s="128">
        <f>DADOS_INVOC!$PG$135</f>
        <v/>
      </c>
      <c r="AG884" s="120" t="n"/>
      <c r="AH884" s="127" t="n">
        <v>1</v>
      </c>
      <c r="AI884" s="115" t="n"/>
      <c r="AJ884" s="16" t="n"/>
      <c r="AK884" s="17" t="n"/>
      <c r="AL884" s="128">
        <f>DADOS_INVOC!$PG$136</f>
        <v/>
      </c>
      <c r="AM884" s="120" t="n"/>
      <c r="AN884" s="127" t="n">
        <v>1</v>
      </c>
      <c r="AO884" s="115" t="n"/>
      <c r="AP884" s="16" t="n"/>
      <c r="AQ884" s="17" t="n"/>
      <c r="AR884" s="128">
        <f>DADOS_INVOC!$PG$137</f>
        <v/>
      </c>
      <c r="AS884" s="120" t="n"/>
    </row>
    <row r="885" hidden="1" outlineLevel="3">
      <c r="A885" s="8" t="n"/>
      <c r="B885" s="14" t="n"/>
      <c r="C885" s="120" t="n"/>
      <c r="D885" s="120" t="n"/>
      <c r="E885" s="120" t="n"/>
      <c r="F885" s="120" t="n"/>
      <c r="G885" s="120" t="n"/>
      <c r="I885" s="55" t="inlineStr">
        <is>
          <t>COMO É</t>
        </is>
      </c>
      <c r="J885" s="16" t="n"/>
      <c r="K885" s="16" t="n"/>
      <c r="L885" s="16" t="n"/>
      <c r="M885" s="17" t="n"/>
      <c r="N885" s="120" t="n"/>
      <c r="O885" s="55" t="inlineStr">
        <is>
          <t>COMO É</t>
        </is>
      </c>
      <c r="P885" s="16" t="n"/>
      <c r="Q885" s="16" t="n"/>
      <c r="R885" s="16" t="n"/>
      <c r="S885" s="17" t="n"/>
      <c r="T885" s="120" t="n"/>
      <c r="U885" s="55" t="inlineStr">
        <is>
          <t>COMO É</t>
        </is>
      </c>
      <c r="V885" s="16" t="n"/>
      <c r="W885" s="16" t="n"/>
      <c r="X885" s="16" t="n"/>
      <c r="Y885" s="17" t="n"/>
      <c r="Z885" s="120" t="n"/>
      <c r="AB885" s="55" t="inlineStr">
        <is>
          <t>COMO É</t>
        </is>
      </c>
      <c r="AC885" s="16" t="n"/>
      <c r="AD885" s="16" t="n"/>
      <c r="AE885" s="16" t="n"/>
      <c r="AF885" s="17" t="n"/>
      <c r="AG885" s="120" t="n"/>
      <c r="AH885" s="55" t="inlineStr">
        <is>
          <t>COMO É</t>
        </is>
      </c>
      <c r="AI885" s="16" t="n"/>
      <c r="AJ885" s="16" t="n"/>
      <c r="AK885" s="16" t="n"/>
      <c r="AL885" s="17" t="n"/>
      <c r="AM885" s="120" t="n"/>
      <c r="AN885" s="55" t="inlineStr">
        <is>
          <t>COMO É</t>
        </is>
      </c>
      <c r="AO885" s="16" t="n"/>
      <c r="AP885" s="16" t="n"/>
      <c r="AQ885" s="16" t="n"/>
      <c r="AR885" s="17" t="n"/>
      <c r="AS885" s="120" t="n"/>
    </row>
    <row r="886" hidden="1" outlineLevel="3">
      <c r="A886" s="8" t="n"/>
      <c r="B886" s="14" t="n"/>
      <c r="C886" s="120" t="n"/>
      <c r="D886" s="120" t="n"/>
      <c r="E886" s="120" t="n"/>
      <c r="F886" s="120" t="n"/>
      <c r="G886" s="120" t="n"/>
      <c r="I886" s="116" t="n"/>
      <c r="J886" s="19" t="n"/>
      <c r="K886" s="19" t="n"/>
      <c r="L886" s="19" t="n"/>
      <c r="M886" s="20" t="n"/>
      <c r="N886" s="120" t="n"/>
      <c r="O886" s="116" t="n"/>
      <c r="P886" s="19" t="n"/>
      <c r="Q886" s="19" t="n"/>
      <c r="R886" s="19" t="n"/>
      <c r="S886" s="20" t="n"/>
      <c r="T886" s="120" t="n"/>
      <c r="U886" s="116" t="n"/>
      <c r="V886" s="19" t="n"/>
      <c r="W886" s="19" t="n"/>
      <c r="X886" s="19" t="n"/>
      <c r="Y886" s="20" t="n"/>
      <c r="Z886" s="120" t="n"/>
      <c r="AB886" s="116" t="n"/>
      <c r="AC886" s="19" t="n"/>
      <c r="AD886" s="19" t="n"/>
      <c r="AE886" s="19" t="n"/>
      <c r="AF886" s="20" t="n"/>
      <c r="AG886" s="120" t="n"/>
      <c r="AH886" s="116" t="n"/>
      <c r="AI886" s="19" t="n"/>
      <c r="AJ886" s="19" t="n"/>
      <c r="AK886" s="19" t="n"/>
      <c r="AL886" s="20" t="n"/>
      <c r="AM886" s="120" t="n"/>
      <c r="AN886" s="116" t="n"/>
      <c r="AO886" s="19" t="n"/>
      <c r="AP886" s="19" t="n"/>
      <c r="AQ886" s="19" t="n"/>
      <c r="AR886" s="20" t="n"/>
      <c r="AS886" s="120" t="n"/>
    </row>
    <row r="887" hidden="1" outlineLevel="3">
      <c r="A887" s="8" t="n"/>
      <c r="B887" s="14" t="n"/>
      <c r="C887" s="120" t="n"/>
      <c r="D887" s="120" t="n"/>
      <c r="E887" s="120" t="n"/>
      <c r="F887" s="120" t="n"/>
      <c r="G887" s="120" t="n"/>
      <c r="I887" s="21" t="n"/>
      <c r="M887" s="22" t="n"/>
      <c r="N887" s="120" t="n"/>
      <c r="O887" s="21" t="n"/>
      <c r="S887" s="22" t="n"/>
      <c r="T887" s="120" t="n"/>
      <c r="U887" s="21" t="n"/>
      <c r="Y887" s="22" t="n"/>
      <c r="Z887" s="120" t="n"/>
      <c r="AB887" s="21" t="n"/>
      <c r="AF887" s="22" t="n"/>
      <c r="AG887" s="120" t="n"/>
      <c r="AH887" s="21" t="n"/>
      <c r="AL887" s="22" t="n"/>
      <c r="AM887" s="120" t="n"/>
      <c r="AN887" s="21" t="n"/>
      <c r="AR887" s="22" t="n"/>
      <c r="AS887" s="120" t="n"/>
    </row>
    <row r="888" hidden="1" outlineLevel="3">
      <c r="A888" s="8" t="n"/>
      <c r="B888" s="14" t="n"/>
      <c r="C888" s="120" t="n"/>
      <c r="D888" s="120" t="n"/>
      <c r="E888" s="120" t="n"/>
      <c r="F888" s="120" t="n"/>
      <c r="G888" s="120" t="n"/>
      <c r="I888" s="23" t="n"/>
      <c r="J888" s="24" t="n"/>
      <c r="K888" s="24" t="n"/>
      <c r="L888" s="24" t="n"/>
      <c r="M888" s="25" t="n"/>
      <c r="N888" s="120" t="n"/>
      <c r="O888" s="23" t="n"/>
      <c r="P888" s="24" t="n"/>
      <c r="Q888" s="24" t="n"/>
      <c r="R888" s="24" t="n"/>
      <c r="S888" s="25" t="n"/>
      <c r="T888" s="120" t="n"/>
      <c r="U888" s="23" t="n"/>
      <c r="V888" s="24" t="n"/>
      <c r="W888" s="24" t="n"/>
      <c r="X888" s="24" t="n"/>
      <c r="Y888" s="25" t="n"/>
      <c r="Z888" s="120" t="n"/>
      <c r="AB888" s="23" t="n"/>
      <c r="AC888" s="24" t="n"/>
      <c r="AD888" s="24" t="n"/>
      <c r="AE888" s="24" t="n"/>
      <c r="AF888" s="25" t="n"/>
      <c r="AG888" s="120" t="n"/>
      <c r="AH888" s="23" t="n"/>
      <c r="AI888" s="24" t="n"/>
      <c r="AJ888" s="24" t="n"/>
      <c r="AK888" s="24" t="n"/>
      <c r="AL888" s="25" t="n"/>
      <c r="AM888" s="120" t="n"/>
      <c r="AN888" s="23" t="n"/>
      <c r="AO888" s="24" t="n"/>
      <c r="AP888" s="24" t="n"/>
      <c r="AQ888" s="24" t="n"/>
      <c r="AR888" s="25" t="n"/>
      <c r="AS888" s="120" t="n"/>
    </row>
    <row r="889" hidden="1" outlineLevel="2">
      <c r="A889" s="8" t="n"/>
      <c r="B889" s="14" t="n"/>
      <c r="C889" s="120" t="n"/>
      <c r="D889" s="120" t="n"/>
      <c r="E889" s="120" t="n"/>
      <c r="F889" s="120" t="n"/>
      <c r="G889" s="120" t="n"/>
      <c r="I889" s="124" t="inlineStr">
        <is>
          <t>Projétil</t>
        </is>
      </c>
      <c r="J889" s="17" t="n"/>
      <c r="K889" s="68">
        <f>DADOS_INVOC!$PN$57</f>
        <v/>
      </c>
      <c r="L889" s="17" t="n"/>
      <c r="M889" s="68">
        <f>DADOS_INVOC!$PJ$57</f>
        <v/>
      </c>
      <c r="N889" s="120" t="n"/>
      <c r="O889" s="124" t="inlineStr">
        <is>
          <t>Projétil</t>
        </is>
      </c>
      <c r="P889" s="17" t="n"/>
      <c r="Q889" s="68">
        <f>DADOS_INVOC!$PN$58</f>
        <v/>
      </c>
      <c r="R889" s="17" t="n"/>
      <c r="S889" s="68">
        <f>DADOS_INVOC!$PJ$58</f>
        <v/>
      </c>
      <c r="T889" s="120" t="n"/>
      <c r="U889" s="124" t="inlineStr">
        <is>
          <t>Projétil</t>
        </is>
      </c>
      <c r="V889" s="17" t="n"/>
      <c r="W889" s="68">
        <f>DADOS_INVOC!$PN$59</f>
        <v/>
      </c>
      <c r="X889" s="17" t="n"/>
      <c r="Y889" s="68">
        <f>DADOS_INVOC!$PJ$59</f>
        <v/>
      </c>
      <c r="Z889" s="120" t="n"/>
      <c r="AB889" s="124" t="inlineStr">
        <is>
          <t>Projétil</t>
        </is>
      </c>
      <c r="AC889" s="17" t="n"/>
      <c r="AD889" s="68">
        <f>DADOS_INVOC!$PN$135</f>
        <v/>
      </c>
      <c r="AE889" s="17" t="n"/>
      <c r="AF889" s="68">
        <f>DADOS_INVOC!$PJ$135</f>
        <v/>
      </c>
      <c r="AG889" s="120" t="n"/>
      <c r="AH889" s="124" t="inlineStr">
        <is>
          <t>Projétil</t>
        </is>
      </c>
      <c r="AI889" s="17" t="n"/>
      <c r="AJ889" s="68">
        <f>DADOS_INVOC!$PN$136</f>
        <v/>
      </c>
      <c r="AK889" s="17" t="n"/>
      <c r="AL889" s="68">
        <f>DADOS_INVOC!$PJ$136</f>
        <v/>
      </c>
      <c r="AM889" s="120" t="n"/>
      <c r="AN889" s="124" t="inlineStr">
        <is>
          <t>Projétil</t>
        </is>
      </c>
      <c r="AO889" s="17" t="n"/>
      <c r="AP889" s="68">
        <f>DADOS_INVOC!$PN$137</f>
        <v/>
      </c>
      <c r="AQ889" s="17" t="n"/>
      <c r="AR889" s="68">
        <f>DADOS_INVOC!$PJ$137</f>
        <v/>
      </c>
      <c r="AS889" s="120" t="n"/>
    </row>
    <row r="890" hidden="1" outlineLevel="2">
      <c r="A890" s="8" t="n"/>
      <c r="B890" s="14" t="n"/>
      <c r="C890" s="120" t="n"/>
      <c r="D890" s="120" t="n"/>
      <c r="E890" s="120" t="n"/>
      <c r="F890" s="120" t="n"/>
      <c r="G890" s="120" t="n"/>
      <c r="I890" s="124" t="n"/>
      <c r="J890" s="17" t="n"/>
      <c r="K890" s="124" t="n"/>
      <c r="L890" s="16" t="n"/>
      <c r="M890" s="17" t="n"/>
      <c r="N890" s="120" t="n"/>
      <c r="O890" s="124" t="n"/>
      <c r="P890" s="17" t="n"/>
      <c r="Q890" s="124" t="n"/>
      <c r="R890" s="16" t="n"/>
      <c r="S890" s="17" t="n"/>
      <c r="T890" s="120" t="n"/>
      <c r="U890" s="124" t="n"/>
      <c r="V890" s="17" t="n"/>
      <c r="W890" s="124" t="n"/>
      <c r="X890" s="16" t="n"/>
      <c r="Y890" s="17" t="n"/>
      <c r="Z890" s="120" t="n"/>
      <c r="AB890" s="124" t="n"/>
      <c r="AC890" s="17" t="n"/>
      <c r="AD890" s="124" t="n"/>
      <c r="AE890" s="16" t="n"/>
      <c r="AF890" s="17" t="n"/>
      <c r="AG890" s="120" t="n"/>
      <c r="AH890" s="124" t="n"/>
      <c r="AI890" s="17" t="n"/>
      <c r="AJ890" s="124" t="n"/>
      <c r="AK890" s="16" t="n"/>
      <c r="AL890" s="17" t="n"/>
      <c r="AM890" s="120" t="n"/>
      <c r="AN890" s="124" t="n"/>
      <c r="AO890" s="17" t="n"/>
      <c r="AP890" s="124" t="n"/>
      <c r="AQ890" s="16" t="n"/>
      <c r="AR890" s="17" t="n"/>
      <c r="AS890" s="120" t="n"/>
    </row>
    <row r="891" hidden="1" outlineLevel="2">
      <c r="A891" s="8" t="n"/>
      <c r="B891" s="14" t="n"/>
      <c r="C891" s="120" t="n"/>
      <c r="D891" s="120" t="n"/>
      <c r="E891" s="120" t="n"/>
      <c r="F891" s="120" t="n"/>
      <c r="G891" s="120" t="n"/>
      <c r="I891" s="124">
        <f>DADOS_INVOC!$PK$57</f>
        <v/>
      </c>
      <c r="J891" s="17" t="n"/>
      <c r="K891" s="124">
        <f>DADOS_INVOC!$PM$57</f>
        <v/>
      </c>
      <c r="L891" s="16" t="n"/>
      <c r="M891" s="17" t="n"/>
      <c r="N891" s="120" t="n"/>
      <c r="O891" s="124">
        <f>DADOS_INVOC!$PK$58</f>
        <v/>
      </c>
      <c r="P891" s="17" t="n"/>
      <c r="Q891" s="124">
        <f>DADOS_INVOC!$PM$58</f>
        <v/>
      </c>
      <c r="R891" s="16" t="n"/>
      <c r="S891" s="17" t="n"/>
      <c r="T891" s="120" t="n"/>
      <c r="U891" s="124">
        <f>DADOS_INVOC!$PK$59</f>
        <v/>
      </c>
      <c r="V891" s="17" t="n"/>
      <c r="W891" s="124">
        <f>DADOS_INVOC!$PM$59</f>
        <v/>
      </c>
      <c r="X891" s="16" t="n"/>
      <c r="Y891" s="17" t="n"/>
      <c r="Z891" s="120" t="n"/>
      <c r="AB891" s="124">
        <f>DADOS_INVOC!$PK$135</f>
        <v/>
      </c>
      <c r="AC891" s="17" t="n"/>
      <c r="AD891" s="124">
        <f>DADOS_INVOC!$PM$135</f>
        <v/>
      </c>
      <c r="AE891" s="16" t="n"/>
      <c r="AF891" s="17" t="n"/>
      <c r="AG891" s="120" t="n"/>
      <c r="AH891" s="124">
        <f>DADOS_INVOC!$PK$136</f>
        <v/>
      </c>
      <c r="AI891" s="17" t="n"/>
      <c r="AJ891" s="124">
        <f>DADOS_INVOC!$PM$136</f>
        <v/>
      </c>
      <c r="AK891" s="16" t="n"/>
      <c r="AL891" s="17" t="n"/>
      <c r="AM891" s="120" t="n"/>
      <c r="AN891" s="124">
        <f>DADOS_INVOC!$PK$137</f>
        <v/>
      </c>
      <c r="AO891" s="17" t="n"/>
      <c r="AP891" s="124">
        <f>DADOS_INVOC!$PM$137</f>
        <v/>
      </c>
      <c r="AQ891" s="16" t="n"/>
      <c r="AR891" s="17" t="n"/>
      <c r="AS891" s="120" t="n"/>
    </row>
    <row r="892" hidden="1" outlineLevel="2">
      <c r="A892" s="8" t="n"/>
      <c r="B892" s="14" t="n"/>
      <c r="C892" s="120" t="n"/>
      <c r="D892" s="120" t="n"/>
      <c r="E892" s="120" t="n"/>
      <c r="F892" s="120" t="n"/>
      <c r="G892" s="120" t="n"/>
      <c r="I892" s="129">
        <f>DADOS_INVOC!$PS$57</f>
        <v/>
      </c>
      <c r="J892" s="16" t="n"/>
      <c r="K892" s="16" t="n"/>
      <c r="L892" s="16" t="n"/>
      <c r="M892" s="17" t="n"/>
      <c r="N892" s="120" t="n"/>
      <c r="O892" s="129">
        <f>DADOS_INVOC!$PS$58</f>
        <v/>
      </c>
      <c r="P892" s="16" t="n"/>
      <c r="Q892" s="16" t="n"/>
      <c r="R892" s="16" t="n"/>
      <c r="S892" s="17" t="n"/>
      <c r="T892" s="120" t="n"/>
      <c r="U892" s="129">
        <f>DADOS_INVOC!$PS$59</f>
        <v/>
      </c>
      <c r="V892" s="16" t="n"/>
      <c r="W892" s="16" t="n"/>
      <c r="X892" s="16" t="n"/>
      <c r="Y892" s="17" t="n"/>
      <c r="Z892" s="120" t="n"/>
      <c r="AB892" s="129">
        <f>DADOS_INVOC!$PS$135</f>
        <v/>
      </c>
      <c r="AC892" s="16" t="n"/>
      <c r="AD892" s="16" t="n"/>
      <c r="AE892" s="16" t="n"/>
      <c r="AF892" s="17" t="n"/>
      <c r="AG892" s="120" t="n"/>
      <c r="AH892" s="129">
        <f>DADOS_INVOC!$PS$136</f>
        <v/>
      </c>
      <c r="AI892" s="16" t="n"/>
      <c r="AJ892" s="16" t="n"/>
      <c r="AK892" s="16" t="n"/>
      <c r="AL892" s="17" t="n"/>
      <c r="AM892" s="120" t="n"/>
      <c r="AN892" s="129">
        <f>DADOS_INVOC!$PS$137</f>
        <v/>
      </c>
      <c r="AO892" s="16" t="n"/>
      <c r="AP892" s="16" t="n"/>
      <c r="AQ892" s="16" t="n"/>
      <c r="AR892" s="17" t="n"/>
      <c r="AS892" s="120" t="n"/>
    </row>
    <row r="893" hidden="1" outlineLevel="3">
      <c r="A893" s="8" t="n"/>
      <c r="B893" s="14" t="n"/>
      <c r="C893" s="120" t="n"/>
      <c r="D893" s="120" t="n"/>
      <c r="E893" s="120" t="n"/>
      <c r="F893" s="120" t="n"/>
      <c r="G893" s="120" t="n"/>
      <c r="I893" s="55" t="inlineStr">
        <is>
          <t>MELHORIAS</t>
        </is>
      </c>
      <c r="J893" s="130" t="n"/>
      <c r="K893" s="16" t="n"/>
      <c r="L893" s="17" t="n"/>
      <c r="M893" s="129">
        <f>DADOS_INVOC!$PV$57</f>
        <v/>
      </c>
      <c r="N893" s="120" t="n"/>
      <c r="O893" s="55" t="inlineStr">
        <is>
          <t>MELHORIAS</t>
        </is>
      </c>
      <c r="P893" s="130" t="n"/>
      <c r="Q893" s="16" t="n"/>
      <c r="R893" s="17" t="n"/>
      <c r="S893" s="129">
        <f>DADOS_INVOC!$PV$58</f>
        <v/>
      </c>
      <c r="T893" s="120" t="n"/>
      <c r="U893" s="55" t="inlineStr">
        <is>
          <t>MELHORIAS</t>
        </is>
      </c>
      <c r="V893" s="130" t="n"/>
      <c r="W893" s="16" t="n"/>
      <c r="X893" s="17" t="n"/>
      <c r="Y893" s="129">
        <f>DADOS_INVOC!$PV$59</f>
        <v/>
      </c>
      <c r="Z893" s="120" t="n"/>
      <c r="AB893" s="55" t="inlineStr">
        <is>
          <t>MELHORIAS</t>
        </is>
      </c>
      <c r="AC893" s="130" t="n"/>
      <c r="AD893" s="16" t="n"/>
      <c r="AE893" s="17" t="n"/>
      <c r="AF893" s="129">
        <f>DADOS_INVOC!$PV$135</f>
        <v/>
      </c>
      <c r="AG893" s="120" t="n"/>
      <c r="AH893" s="55" t="inlineStr">
        <is>
          <t>MELHORIAS</t>
        </is>
      </c>
      <c r="AI893" s="130" t="n"/>
      <c r="AJ893" s="16" t="n"/>
      <c r="AK893" s="17" t="n"/>
      <c r="AL893" s="129">
        <f>DADOS_INVOC!$PV$136</f>
        <v/>
      </c>
      <c r="AM893" s="120" t="n"/>
      <c r="AN893" s="55" t="inlineStr">
        <is>
          <t>MELHORIAS</t>
        </is>
      </c>
      <c r="AO893" s="130" t="n"/>
      <c r="AP893" s="16" t="n"/>
      <c r="AQ893" s="17" t="n"/>
      <c r="AR893" s="129">
        <f>DADOS_INVOC!$PV$137</f>
        <v/>
      </c>
      <c r="AS893" s="120" t="n"/>
    </row>
    <row r="894" hidden="1" outlineLevel="3">
      <c r="A894" s="8" t="n"/>
      <c r="B894" s="14" t="n"/>
      <c r="C894" s="120" t="n"/>
      <c r="D894" s="120" t="n"/>
      <c r="E894" s="120" t="n"/>
      <c r="F894" s="120" t="n"/>
      <c r="G894" s="120" t="n"/>
      <c r="I894" s="131" t="n"/>
      <c r="J894" s="130" t="n"/>
      <c r="K894" s="16" t="n"/>
      <c r="L894" s="17" t="n"/>
      <c r="M894" s="129">
        <f>DADOS_INVOC!$PW$57</f>
        <v/>
      </c>
      <c r="N894" s="120" t="n"/>
      <c r="O894" s="131" t="n"/>
      <c r="P894" s="130" t="n"/>
      <c r="Q894" s="16" t="n"/>
      <c r="R894" s="17" t="n"/>
      <c r="S894" s="129">
        <f>DADOS_INVOC!$PW$58</f>
        <v/>
      </c>
      <c r="T894" s="120" t="n"/>
      <c r="U894" s="131" t="n"/>
      <c r="V894" s="130" t="n"/>
      <c r="W894" s="16" t="n"/>
      <c r="X894" s="17" t="n"/>
      <c r="Y894" s="129">
        <f>DADOS_INVOC!$PW$59</f>
        <v/>
      </c>
      <c r="Z894" s="120" t="n"/>
      <c r="AB894" s="131" t="n"/>
      <c r="AC894" s="130" t="n"/>
      <c r="AD894" s="16" t="n"/>
      <c r="AE894" s="17" t="n"/>
      <c r="AF894" s="129">
        <f>DADOS_INVOC!$PW$135</f>
        <v/>
      </c>
      <c r="AG894" s="120" t="n"/>
      <c r="AH894" s="131" t="n"/>
      <c r="AI894" s="130" t="n"/>
      <c r="AJ894" s="16" t="n"/>
      <c r="AK894" s="17" t="n"/>
      <c r="AL894" s="129">
        <f>DADOS_INVOC!$PW$136</f>
        <v/>
      </c>
      <c r="AM894" s="120" t="n"/>
      <c r="AN894" s="131" t="n"/>
      <c r="AO894" s="130" t="n"/>
      <c r="AP894" s="16" t="n"/>
      <c r="AQ894" s="17" t="n"/>
      <c r="AR894" s="129">
        <f>DADOS_INVOC!$PW$137</f>
        <v/>
      </c>
      <c r="AS894" s="120" t="n"/>
    </row>
    <row r="895" hidden="1" outlineLevel="3">
      <c r="A895" s="8" t="n"/>
      <c r="B895" s="14" t="n"/>
      <c r="C895" s="120" t="n"/>
      <c r="D895" s="120" t="n"/>
      <c r="E895" s="120" t="n"/>
      <c r="F895" s="120" t="n"/>
      <c r="G895" s="120" t="n"/>
      <c r="I895" s="131" t="n"/>
      <c r="J895" s="130" t="n"/>
      <c r="K895" s="16" t="n"/>
      <c r="L895" s="17" t="n"/>
      <c r="M895" s="129">
        <f>DADOS_INVOC!$PX$57</f>
        <v/>
      </c>
      <c r="N895" s="120" t="n"/>
      <c r="O895" s="131" t="n"/>
      <c r="P895" s="130" t="n"/>
      <c r="Q895" s="16" t="n"/>
      <c r="R895" s="17" t="n"/>
      <c r="S895" s="129">
        <f>DADOS_INVOC!$PX$58</f>
        <v/>
      </c>
      <c r="T895" s="120" t="n"/>
      <c r="U895" s="131" t="n"/>
      <c r="V895" s="130" t="n"/>
      <c r="W895" s="16" t="n"/>
      <c r="X895" s="17" t="n"/>
      <c r="Y895" s="129">
        <f>DADOS_INVOC!$PX$59</f>
        <v/>
      </c>
      <c r="Z895" s="120" t="n"/>
      <c r="AB895" s="131" t="n"/>
      <c r="AC895" s="130" t="n"/>
      <c r="AD895" s="16" t="n"/>
      <c r="AE895" s="17" t="n"/>
      <c r="AF895" s="129">
        <f>DADOS_INVOC!$PX$135</f>
        <v/>
      </c>
      <c r="AG895" s="120" t="n"/>
      <c r="AH895" s="131" t="n"/>
      <c r="AI895" s="130" t="n"/>
      <c r="AJ895" s="16" t="n"/>
      <c r="AK895" s="17" t="n"/>
      <c r="AL895" s="129">
        <f>DADOS_INVOC!$PX$136</f>
        <v/>
      </c>
      <c r="AM895" s="120" t="n"/>
      <c r="AN895" s="131" t="n"/>
      <c r="AO895" s="130" t="n"/>
      <c r="AP895" s="16" t="n"/>
      <c r="AQ895" s="17" t="n"/>
      <c r="AR895" s="129">
        <f>DADOS_INVOC!$PX$137</f>
        <v/>
      </c>
      <c r="AS895" s="120" t="n"/>
    </row>
    <row r="896" hidden="1" outlineLevel="3">
      <c r="A896" s="8" t="n"/>
      <c r="B896" s="14" t="n"/>
      <c r="C896" s="120" t="n"/>
      <c r="D896" s="120" t="n"/>
      <c r="E896" s="120" t="n"/>
      <c r="F896" s="120" t="n"/>
      <c r="G896" s="120" t="n"/>
      <c r="I896" s="125" t="n"/>
      <c r="J896" s="130" t="n"/>
      <c r="K896" s="16" t="n"/>
      <c r="L896" s="17" t="n"/>
      <c r="M896" s="129">
        <f>DADOS_INVOC!$PY$57</f>
        <v/>
      </c>
      <c r="N896" s="120" t="n"/>
      <c r="O896" s="125" t="n"/>
      <c r="P896" s="130" t="n"/>
      <c r="Q896" s="16" t="n"/>
      <c r="R896" s="17" t="n"/>
      <c r="S896" s="129">
        <f>DADOS_INVOC!$PY$58</f>
        <v/>
      </c>
      <c r="T896" s="120" t="n"/>
      <c r="U896" s="125" t="n"/>
      <c r="V896" s="130" t="n"/>
      <c r="W896" s="16" t="n"/>
      <c r="X896" s="17" t="n"/>
      <c r="Y896" s="129">
        <f>DADOS_INVOC!$PY$59</f>
        <v/>
      </c>
      <c r="Z896" s="120" t="n"/>
      <c r="AB896" s="125" t="n"/>
      <c r="AC896" s="130" t="n"/>
      <c r="AD896" s="16" t="n"/>
      <c r="AE896" s="17" t="n"/>
      <c r="AF896" s="129">
        <f>DADOS_INVOC!$PY$135</f>
        <v/>
      </c>
      <c r="AG896" s="120" t="n"/>
      <c r="AH896" s="125" t="n"/>
      <c r="AI896" s="130" t="n"/>
      <c r="AJ896" s="16" t="n"/>
      <c r="AK896" s="17" t="n"/>
      <c r="AL896" s="129">
        <f>DADOS_INVOC!$PY$136</f>
        <v/>
      </c>
      <c r="AM896" s="120" t="n"/>
      <c r="AN896" s="125" t="n"/>
      <c r="AO896" s="130" t="n"/>
      <c r="AP896" s="16" t="n"/>
      <c r="AQ896" s="17" t="n"/>
      <c r="AR896" s="129">
        <f>DADOS_INVOC!$PY$137</f>
        <v/>
      </c>
      <c r="AS896" s="120" t="n"/>
    </row>
    <row r="897" hidden="1" outlineLevel="3">
      <c r="A897" s="8" t="n"/>
      <c r="B897" s="14" t="n"/>
      <c r="C897" s="120" t="n"/>
      <c r="D897" s="120" t="n"/>
      <c r="E897" s="120" t="n"/>
      <c r="F897" s="120" t="n"/>
      <c r="G897" s="120" t="n"/>
      <c r="I897" s="55" t="inlineStr">
        <is>
          <t>RESTRIÇÕES</t>
        </is>
      </c>
      <c r="J897" s="130" t="n"/>
      <c r="K897" s="16" t="n"/>
      <c r="L897" s="17" t="n"/>
      <c r="M897" s="129">
        <f>DADOS_INVOC!$PZ$57</f>
        <v/>
      </c>
      <c r="N897" s="120" t="n"/>
      <c r="O897" s="55" t="inlineStr">
        <is>
          <t>RESTRIÇÕES</t>
        </is>
      </c>
      <c r="P897" s="130" t="n"/>
      <c r="Q897" s="16" t="n"/>
      <c r="R897" s="17" t="n"/>
      <c r="S897" s="129">
        <f>DADOS_INVOC!$PZ$58</f>
        <v/>
      </c>
      <c r="T897" s="120" t="n"/>
      <c r="U897" s="55" t="inlineStr">
        <is>
          <t>RESTRIÇÕES</t>
        </is>
      </c>
      <c r="V897" s="130" t="n"/>
      <c r="W897" s="16" t="n"/>
      <c r="X897" s="17" t="n"/>
      <c r="Y897" s="129">
        <f>DADOS_INVOC!$PZ$59</f>
        <v/>
      </c>
      <c r="Z897" s="120" t="n"/>
      <c r="AB897" s="55" t="inlineStr">
        <is>
          <t>RESTRIÇÕES</t>
        </is>
      </c>
      <c r="AC897" s="130" t="n"/>
      <c r="AD897" s="16" t="n"/>
      <c r="AE897" s="17" t="n"/>
      <c r="AF897" s="129">
        <f>DADOS_INVOC!$PZ$135</f>
        <v/>
      </c>
      <c r="AG897" s="120" t="n"/>
      <c r="AH897" s="55" t="inlineStr">
        <is>
          <t>RESTRIÇÕES</t>
        </is>
      </c>
      <c r="AI897" s="130" t="n"/>
      <c r="AJ897" s="16" t="n"/>
      <c r="AK897" s="17" t="n"/>
      <c r="AL897" s="129">
        <f>DADOS_INVOC!$PZ$136</f>
        <v/>
      </c>
      <c r="AM897" s="120" t="n"/>
      <c r="AN897" s="55" t="inlineStr">
        <is>
          <t>RESTRIÇÕES</t>
        </is>
      </c>
      <c r="AO897" s="130" t="n"/>
      <c r="AP897" s="16" t="n"/>
      <c r="AQ897" s="17" t="n"/>
      <c r="AR897" s="129">
        <f>DADOS_INVOC!$PZ$137</f>
        <v/>
      </c>
      <c r="AS897" s="120" t="n"/>
    </row>
    <row r="898" hidden="1" outlineLevel="3">
      <c r="A898" s="8" t="n"/>
      <c r="B898" s="14" t="n"/>
      <c r="C898" s="120" t="n"/>
      <c r="D898" s="120" t="n"/>
      <c r="E898" s="120" t="n"/>
      <c r="F898" s="120" t="n"/>
      <c r="G898" s="120" t="n"/>
      <c r="I898" s="125" t="n"/>
      <c r="J898" s="130" t="n"/>
      <c r="K898" s="16" t="n"/>
      <c r="L898" s="17" t="n"/>
      <c r="M898" s="129">
        <f>DADOS_INVOC!$QA$57</f>
        <v/>
      </c>
      <c r="N898" s="120" t="n"/>
      <c r="O898" s="125" t="n"/>
      <c r="P898" s="130" t="n"/>
      <c r="Q898" s="16" t="n"/>
      <c r="R898" s="17" t="n"/>
      <c r="S898" s="129">
        <f>DADOS_INVOC!$QA$58</f>
        <v/>
      </c>
      <c r="T898" s="120" t="n"/>
      <c r="U898" s="125" t="n"/>
      <c r="V898" s="130" t="n"/>
      <c r="W898" s="16" t="n"/>
      <c r="X898" s="17" t="n"/>
      <c r="Y898" s="129">
        <f>DADOS_INVOC!$QA$59</f>
        <v/>
      </c>
      <c r="Z898" s="120" t="n"/>
      <c r="AB898" s="125" t="n"/>
      <c r="AC898" s="130" t="n"/>
      <c r="AD898" s="16" t="n"/>
      <c r="AE898" s="17" t="n"/>
      <c r="AF898" s="129">
        <f>DADOS_INVOC!$QA$135</f>
        <v/>
      </c>
      <c r="AG898" s="120" t="n"/>
      <c r="AH898" s="125" t="n"/>
      <c r="AI898" s="130" t="n"/>
      <c r="AJ898" s="16" t="n"/>
      <c r="AK898" s="17" t="n"/>
      <c r="AL898" s="129">
        <f>DADOS_INVOC!$QA$136</f>
        <v/>
      </c>
      <c r="AM898" s="120" t="n"/>
      <c r="AN898" s="125" t="n"/>
      <c r="AO898" s="130" t="n"/>
      <c r="AP898" s="16" t="n"/>
      <c r="AQ898" s="17" t="n"/>
      <c r="AR898" s="129">
        <f>DADOS_INVOC!$QA$137</f>
        <v/>
      </c>
      <c r="AS898" s="120" t="n"/>
    </row>
    <row r="899" hidden="1" outlineLevel="3">
      <c r="A899" s="8" t="n"/>
      <c r="B899" s="14" t="n"/>
      <c r="C899" s="120" t="n"/>
      <c r="D899" s="120" t="n"/>
      <c r="E899" s="120" t="n"/>
      <c r="F899" s="120" t="n"/>
      <c r="G899" s="120" t="n"/>
      <c r="I899" s="55" t="inlineStr">
        <is>
          <t>CONTA</t>
        </is>
      </c>
      <c r="J899" s="132">
        <f>DADOS_INVOC!$PT$57</f>
        <v/>
      </c>
      <c r="K899" s="16" t="n"/>
      <c r="L899" s="16" t="n"/>
      <c r="M899" s="17" t="n"/>
      <c r="N899" s="120" t="n"/>
      <c r="O899" s="55" t="inlineStr">
        <is>
          <t>CONTA</t>
        </is>
      </c>
      <c r="P899" s="132">
        <f>DADOS_INVOC!$PT$58</f>
        <v/>
      </c>
      <c r="Q899" s="16" t="n"/>
      <c r="R899" s="16" t="n"/>
      <c r="S899" s="17" t="n"/>
      <c r="T899" s="120" t="n"/>
      <c r="U899" s="55" t="inlineStr">
        <is>
          <t>CONTA</t>
        </is>
      </c>
      <c r="V899" s="132">
        <f>DADOS_INVOC!$PT$59</f>
        <v/>
      </c>
      <c r="W899" s="16" t="n"/>
      <c r="X899" s="16" t="n"/>
      <c r="Y899" s="17" t="n"/>
      <c r="Z899" s="120" t="n"/>
      <c r="AB899" s="55" t="inlineStr">
        <is>
          <t>CONTA</t>
        </is>
      </c>
      <c r="AC899" s="132">
        <f>DADOS_INVOC!$PT$135</f>
        <v/>
      </c>
      <c r="AD899" s="16" t="n"/>
      <c r="AE899" s="16" t="n"/>
      <c r="AF899" s="17" t="n"/>
      <c r="AG899" s="120" t="n"/>
      <c r="AH899" s="55" t="inlineStr">
        <is>
          <t>CONTA</t>
        </is>
      </c>
      <c r="AI899" s="132">
        <f>DADOS_INVOC!$PT$136</f>
        <v/>
      </c>
      <c r="AJ899" s="16" t="n"/>
      <c r="AK899" s="16" t="n"/>
      <c r="AL899" s="17" t="n"/>
      <c r="AM899" s="120" t="n"/>
      <c r="AN899" s="55" t="inlineStr">
        <is>
          <t>CONTA</t>
        </is>
      </c>
      <c r="AO899" s="132">
        <f>DADOS_INVOC!$PT$137</f>
        <v/>
      </c>
      <c r="AP899" s="16" t="n"/>
      <c r="AQ899" s="16" t="n"/>
      <c r="AR899" s="17" t="n"/>
      <c r="AS899" s="120" t="n"/>
    </row>
    <row r="900" hidden="1" outlineLevel="3">
      <c r="A900" s="8" t="n"/>
      <c r="B900" s="14" t="n"/>
      <c r="C900" s="120" t="n"/>
      <c r="D900" s="120" t="n"/>
      <c r="E900" s="120" t="n"/>
      <c r="F900" s="120" t="n"/>
      <c r="G900" s="120" t="n"/>
      <c r="I900" s="55" t="inlineStr">
        <is>
          <t>AMPLIAR</t>
        </is>
      </c>
      <c r="J900" s="132">
        <f>DADOS_INVOC!$PU$57</f>
        <v/>
      </c>
      <c r="K900" s="19" t="n"/>
      <c r="L900" s="19" t="n"/>
      <c r="M900" s="20" t="n"/>
      <c r="N900" s="120" t="n"/>
      <c r="O900" s="55" t="inlineStr">
        <is>
          <t>AMPLIAR</t>
        </is>
      </c>
      <c r="P900" s="132">
        <f>DADOS_INVOC!$PU$58</f>
        <v/>
      </c>
      <c r="Q900" s="19" t="n"/>
      <c r="R900" s="19" t="n"/>
      <c r="S900" s="20" t="n"/>
      <c r="T900" s="120" t="n"/>
      <c r="U900" s="55" t="inlineStr">
        <is>
          <t>AMPLIAR</t>
        </is>
      </c>
      <c r="V900" s="132">
        <f>DADOS_INVOC!$PU$59</f>
        <v/>
      </c>
      <c r="W900" s="19" t="n"/>
      <c r="X900" s="19" t="n"/>
      <c r="Y900" s="20" t="n"/>
      <c r="Z900" s="120" t="n"/>
      <c r="AB900" s="55" t="inlineStr">
        <is>
          <t>AMPLIAR</t>
        </is>
      </c>
      <c r="AC900" s="132">
        <f>DADOS_INVOC!$PU$135</f>
        <v/>
      </c>
      <c r="AD900" s="19" t="n"/>
      <c r="AE900" s="19" t="n"/>
      <c r="AF900" s="20" t="n"/>
      <c r="AG900" s="120" t="n"/>
      <c r="AH900" s="55" t="inlineStr">
        <is>
          <t>AMPLIAR</t>
        </is>
      </c>
      <c r="AI900" s="132">
        <f>DADOS_INVOC!$PU$136</f>
        <v/>
      </c>
      <c r="AJ900" s="19" t="n"/>
      <c r="AK900" s="19" t="n"/>
      <c r="AL900" s="20" t="n"/>
      <c r="AM900" s="120" t="n"/>
      <c r="AN900" s="55" t="inlineStr">
        <is>
          <t>AMPLIAR</t>
        </is>
      </c>
      <c r="AO900" s="132">
        <f>DADOS_INVOC!$PU$137</f>
        <v/>
      </c>
      <c r="AP900" s="19" t="n"/>
      <c r="AQ900" s="19" t="n"/>
      <c r="AR900" s="20" t="n"/>
      <c r="AS900" s="120" t="n"/>
    </row>
    <row r="901" hidden="1" outlineLevel="3">
      <c r="A901" s="8" t="n"/>
      <c r="B901" s="14" t="n"/>
      <c r="C901" s="120" t="n"/>
      <c r="D901" s="120" t="n"/>
      <c r="E901" s="120" t="n"/>
      <c r="F901" s="120" t="n"/>
      <c r="G901" s="120" t="n"/>
      <c r="I901" s="125" t="n"/>
      <c r="J901" s="23" t="n"/>
      <c r="K901" s="24" t="n"/>
      <c r="L901" s="24" t="n"/>
      <c r="M901" s="25" t="n"/>
      <c r="N901" s="120" t="n"/>
      <c r="O901" s="125" t="n"/>
      <c r="P901" s="23" t="n"/>
      <c r="Q901" s="24" t="n"/>
      <c r="R901" s="24" t="n"/>
      <c r="S901" s="25" t="n"/>
      <c r="T901" s="120" t="n"/>
      <c r="U901" s="125" t="n"/>
      <c r="V901" s="23" t="n"/>
      <c r="W901" s="24" t="n"/>
      <c r="X901" s="24" t="n"/>
      <c r="Y901" s="25" t="n"/>
      <c r="Z901" s="120" t="n"/>
      <c r="AB901" s="125" t="n"/>
      <c r="AC901" s="23" t="n"/>
      <c r="AD901" s="24" t="n"/>
      <c r="AE901" s="24" t="n"/>
      <c r="AF901" s="25" t="n"/>
      <c r="AG901" s="120" t="n"/>
      <c r="AH901" s="125" t="n"/>
      <c r="AI901" s="23" t="n"/>
      <c r="AJ901" s="24" t="n"/>
      <c r="AK901" s="24" t="n"/>
      <c r="AL901" s="25" t="n"/>
      <c r="AM901" s="120" t="n"/>
      <c r="AN901" s="125" t="n"/>
      <c r="AO901" s="23" t="n"/>
      <c r="AP901" s="24" t="n"/>
      <c r="AQ901" s="24" t="n"/>
      <c r="AR901" s="25" t="n"/>
      <c r="AS901" s="120" t="n"/>
    </row>
    <row r="902" hidden="1" outlineLevel="3">
      <c r="A902" s="8" t="n"/>
      <c r="B902" s="14" t="n"/>
      <c r="C902" s="120" t="n"/>
      <c r="D902" s="120" t="n"/>
      <c r="E902" s="120" t="n"/>
      <c r="F902" s="120" t="n"/>
      <c r="G902" s="120" t="n"/>
      <c r="I902" s="132">
        <f>DADOS_INVOC!$PH$57</f>
        <v/>
      </c>
      <c r="J902" s="19" t="n"/>
      <c r="K902" s="19" t="n"/>
      <c r="L902" s="19" t="n"/>
      <c r="M902" s="20" t="n"/>
      <c r="N902" s="120" t="n"/>
      <c r="O902" s="132">
        <f>DADOS_INVOC!$PH$58</f>
        <v/>
      </c>
      <c r="P902" s="19" t="n"/>
      <c r="Q902" s="19" t="n"/>
      <c r="R902" s="19" t="n"/>
      <c r="S902" s="20" t="n"/>
      <c r="T902" s="120" t="n"/>
      <c r="U902" s="132">
        <f>DADOS_INVOC!$PH$59</f>
        <v/>
      </c>
      <c r="V902" s="19" t="n"/>
      <c r="W902" s="19" t="n"/>
      <c r="X902" s="19" t="n"/>
      <c r="Y902" s="20" t="n"/>
      <c r="Z902" s="120" t="n"/>
      <c r="AB902" s="132">
        <f>DADOS_INVOC!$PH$135</f>
        <v/>
      </c>
      <c r="AC902" s="19" t="n"/>
      <c r="AD902" s="19" t="n"/>
      <c r="AE902" s="19" t="n"/>
      <c r="AF902" s="20" t="n"/>
      <c r="AG902" s="120" t="n"/>
      <c r="AH902" s="132">
        <f>DADOS_INVOC!$PH$136</f>
        <v/>
      </c>
      <c r="AI902" s="19" t="n"/>
      <c r="AJ902" s="19" t="n"/>
      <c r="AK902" s="19" t="n"/>
      <c r="AL902" s="20" t="n"/>
      <c r="AM902" s="120" t="n"/>
      <c r="AN902" s="132">
        <f>DADOS_INVOC!$PH$137</f>
        <v/>
      </c>
      <c r="AO902" s="19" t="n"/>
      <c r="AP902" s="19" t="n"/>
      <c r="AQ902" s="19" t="n"/>
      <c r="AR902" s="20" t="n"/>
      <c r="AS902" s="120" t="n"/>
    </row>
    <row r="903" hidden="1" outlineLevel="3">
      <c r="A903" s="8" t="n"/>
      <c r="B903" s="14" t="n"/>
      <c r="C903" s="120" t="n"/>
      <c r="D903" s="120" t="n"/>
      <c r="E903" s="120" t="n"/>
      <c r="F903" s="120" t="n"/>
      <c r="G903" s="120" t="n"/>
      <c r="I903" s="23" t="n"/>
      <c r="J903" s="24" t="n"/>
      <c r="K903" s="24" t="n"/>
      <c r="L903" s="24" t="n"/>
      <c r="M903" s="25" t="n"/>
      <c r="N903" s="120" t="n"/>
      <c r="O903" s="23" t="n"/>
      <c r="P903" s="24" t="n"/>
      <c r="Q903" s="24" t="n"/>
      <c r="R903" s="24" t="n"/>
      <c r="S903" s="25" t="n"/>
      <c r="T903" s="120" t="n"/>
      <c r="U903" s="23" t="n"/>
      <c r="V903" s="24" t="n"/>
      <c r="W903" s="24" t="n"/>
      <c r="X903" s="24" t="n"/>
      <c r="Y903" s="25" t="n"/>
      <c r="Z903" s="120" t="n"/>
      <c r="AB903" s="23" t="n"/>
      <c r="AC903" s="24" t="n"/>
      <c r="AD903" s="24" t="n"/>
      <c r="AE903" s="24" t="n"/>
      <c r="AF903" s="25" t="n"/>
      <c r="AG903" s="120" t="n"/>
      <c r="AH903" s="23" t="n"/>
      <c r="AI903" s="24" t="n"/>
      <c r="AJ903" s="24" t="n"/>
      <c r="AK903" s="24" t="n"/>
      <c r="AL903" s="25" t="n"/>
      <c r="AM903" s="120" t="n"/>
      <c r="AN903" s="23" t="n"/>
      <c r="AO903" s="24" t="n"/>
      <c r="AP903" s="24" t="n"/>
      <c r="AQ903" s="24" t="n"/>
      <c r="AR903" s="25" t="n"/>
      <c r="AS903" s="120" t="n"/>
    </row>
    <row r="904" hidden="1" outlineLevel="2">
      <c r="A904" s="8" t="n"/>
      <c r="B904" s="14" t="n"/>
      <c r="C904" s="120" t="n"/>
      <c r="D904" s="120" t="n"/>
      <c r="E904" s="120" t="n"/>
      <c r="F904" s="120" t="n"/>
      <c r="G904" s="120" t="n"/>
      <c r="I904" s="120" t="n"/>
      <c r="J904" s="120" t="n"/>
      <c r="K904" s="120" t="n"/>
      <c r="L904" s="120" t="n"/>
      <c r="M904" s="120" t="n"/>
      <c r="N904" s="120" t="n"/>
      <c r="O904" s="120" t="n"/>
      <c r="P904" s="120" t="n"/>
      <c r="Q904" s="120" t="n"/>
      <c r="R904" s="120" t="n"/>
      <c r="S904" s="120" t="n"/>
      <c r="T904" s="120" t="n"/>
      <c r="U904" s="120" t="n"/>
      <c r="V904" s="120" t="n"/>
      <c r="W904" s="120" t="n"/>
      <c r="X904" s="120" t="n"/>
      <c r="Y904" s="120" t="n"/>
      <c r="Z904" s="120" t="n"/>
      <c r="AB904" s="120" t="n"/>
      <c r="AC904" s="120" t="n"/>
      <c r="AD904" s="120" t="n"/>
      <c r="AE904" s="120" t="n"/>
      <c r="AF904" s="120" t="n"/>
      <c r="AG904" s="120" t="n"/>
      <c r="AH904" s="120" t="n"/>
      <c r="AI904" s="120" t="n"/>
      <c r="AJ904" s="120" t="n"/>
      <c r="AK904" s="120" t="n"/>
      <c r="AL904" s="120" t="n"/>
      <c r="AM904" s="120" t="n"/>
      <c r="AN904" s="120" t="n"/>
      <c r="AO904" s="120" t="n"/>
      <c r="AP904" s="120" t="n"/>
      <c r="AQ904" s="120" t="n"/>
      <c r="AR904" s="120" t="n"/>
      <c r="AS904" s="120" t="n"/>
    </row>
    <row r="905" hidden="1" outlineLevel="2">
      <c r="A905" s="8" t="n"/>
      <c r="B905" s="14" t="n"/>
      <c r="C905" s="120" t="n"/>
      <c r="D905" s="120" t="n"/>
      <c r="E905" s="120" t="n"/>
      <c r="F905" s="120" t="n"/>
      <c r="G905" s="120" t="n"/>
      <c r="I905" s="55">
        <f>DADOS_INVOC!$PI$60</f>
        <v/>
      </c>
      <c r="J905" s="16" t="n"/>
      <c r="K905" s="16" t="n"/>
      <c r="L905" s="16" t="n"/>
      <c r="M905" s="17" t="n"/>
      <c r="N905" s="120" t="n"/>
      <c r="O905" s="55">
        <f>DADOS_INVOC!$PI$61</f>
        <v/>
      </c>
      <c r="P905" s="16" t="n"/>
      <c r="Q905" s="16" t="n"/>
      <c r="R905" s="16" t="n"/>
      <c r="S905" s="17" t="n"/>
      <c r="T905" s="120" t="n"/>
      <c r="U905" s="55">
        <f>DADOS_INVOC!$PI$62</f>
        <v/>
      </c>
      <c r="V905" s="16" t="n"/>
      <c r="W905" s="16" t="n"/>
      <c r="X905" s="16" t="n"/>
      <c r="Y905" s="17" t="n"/>
      <c r="Z905" s="120" t="n"/>
      <c r="AB905" s="55">
        <f>DADOS_INVOC!$PI$138</f>
        <v/>
      </c>
      <c r="AC905" s="16" t="n"/>
      <c r="AD905" s="16" t="n"/>
      <c r="AE905" s="16" t="n"/>
      <c r="AF905" s="17" t="n"/>
      <c r="AG905" s="120" t="n"/>
      <c r="AH905" s="55">
        <f>DADOS_INVOC!$PI$139</f>
        <v/>
      </c>
      <c r="AI905" s="16" t="n"/>
      <c r="AJ905" s="16" t="n"/>
      <c r="AK905" s="16" t="n"/>
      <c r="AL905" s="17" t="n"/>
      <c r="AM905" s="120" t="n"/>
      <c r="AN905" s="55">
        <f>DADOS_INVOC!$PI$140</f>
        <v/>
      </c>
      <c r="AO905" s="16" t="n"/>
      <c r="AP905" s="16" t="n"/>
      <c r="AQ905" s="16" t="n"/>
      <c r="AR905" s="17" t="n"/>
      <c r="AS905" s="120" t="n"/>
    </row>
    <row r="906" hidden="1" outlineLevel="2">
      <c r="A906" s="8" t="n"/>
      <c r="B906" s="14" t="n"/>
      <c r="C906" s="120" t="n"/>
      <c r="D906" s="120" t="n"/>
      <c r="E906" s="120" t="n"/>
      <c r="F906" s="120" t="n"/>
      <c r="G906" s="120" t="n"/>
      <c r="I906" s="127" t="n">
        <v>1</v>
      </c>
      <c r="J906" s="115" t="n"/>
      <c r="K906" s="16" t="n"/>
      <c r="L906" s="17" t="n"/>
      <c r="M906" s="128">
        <f>DADOS_INVOC!$PG$60</f>
        <v/>
      </c>
      <c r="N906" s="120" t="n"/>
      <c r="O906" s="127" t="n">
        <v>1</v>
      </c>
      <c r="P906" s="115" t="n"/>
      <c r="Q906" s="16" t="n"/>
      <c r="R906" s="17" t="n"/>
      <c r="S906" s="128">
        <f>DADOS_INVOC!$PG$61</f>
        <v/>
      </c>
      <c r="T906" s="120" t="n"/>
      <c r="U906" s="127" t="n">
        <v>1</v>
      </c>
      <c r="V906" s="115" t="n"/>
      <c r="W906" s="16" t="n"/>
      <c r="X906" s="17" t="n"/>
      <c r="Y906" s="128">
        <f>DADOS_INVOC!$PG$62</f>
        <v/>
      </c>
      <c r="Z906" s="120" t="n"/>
      <c r="AB906" s="127" t="n">
        <v>1</v>
      </c>
      <c r="AC906" s="115" t="n"/>
      <c r="AD906" s="16" t="n"/>
      <c r="AE906" s="17" t="n"/>
      <c r="AF906" s="128">
        <f>DADOS_INVOC!$PG$138</f>
        <v/>
      </c>
      <c r="AG906" s="120" t="n"/>
      <c r="AH906" s="127" t="n">
        <v>1</v>
      </c>
      <c r="AI906" s="115" t="n"/>
      <c r="AJ906" s="16" t="n"/>
      <c r="AK906" s="17" t="n"/>
      <c r="AL906" s="128">
        <f>DADOS_INVOC!$PG$139</f>
        <v/>
      </c>
      <c r="AM906" s="120" t="n"/>
      <c r="AN906" s="127" t="n">
        <v>1</v>
      </c>
      <c r="AO906" s="115" t="n"/>
      <c r="AP906" s="16" t="n"/>
      <c r="AQ906" s="17" t="n"/>
      <c r="AR906" s="128">
        <f>DADOS_INVOC!$PG$140</f>
        <v/>
      </c>
      <c r="AS906" s="120" t="n"/>
    </row>
    <row r="907" hidden="1" outlineLevel="3">
      <c r="A907" s="8" t="n"/>
      <c r="B907" s="14" t="n"/>
      <c r="C907" s="120" t="n"/>
      <c r="D907" s="120" t="n"/>
      <c r="E907" s="120" t="n"/>
      <c r="F907" s="120" t="n"/>
      <c r="G907" s="120" t="n"/>
      <c r="I907" s="55" t="inlineStr">
        <is>
          <t>COMO É</t>
        </is>
      </c>
      <c r="J907" s="16" t="n"/>
      <c r="K907" s="16" t="n"/>
      <c r="L907" s="16" t="n"/>
      <c r="M907" s="17" t="n"/>
      <c r="N907" s="120" t="n"/>
      <c r="O907" s="55" t="inlineStr">
        <is>
          <t>COMO É</t>
        </is>
      </c>
      <c r="P907" s="16" t="n"/>
      <c r="Q907" s="16" t="n"/>
      <c r="R907" s="16" t="n"/>
      <c r="S907" s="17" t="n"/>
      <c r="T907" s="120" t="n"/>
      <c r="U907" s="55" t="inlineStr">
        <is>
          <t>COMO É</t>
        </is>
      </c>
      <c r="V907" s="16" t="n"/>
      <c r="W907" s="16" t="n"/>
      <c r="X907" s="16" t="n"/>
      <c r="Y907" s="17" t="n"/>
      <c r="Z907" s="120" t="n"/>
      <c r="AB907" s="55" t="inlineStr">
        <is>
          <t>COMO É</t>
        </is>
      </c>
      <c r="AC907" s="16" t="n"/>
      <c r="AD907" s="16" t="n"/>
      <c r="AE907" s="16" t="n"/>
      <c r="AF907" s="17" t="n"/>
      <c r="AG907" s="120" t="n"/>
      <c r="AH907" s="55" t="inlineStr">
        <is>
          <t>COMO É</t>
        </is>
      </c>
      <c r="AI907" s="16" t="n"/>
      <c r="AJ907" s="16" t="n"/>
      <c r="AK907" s="16" t="n"/>
      <c r="AL907" s="17" t="n"/>
      <c r="AM907" s="120" t="n"/>
      <c r="AN907" s="55" t="inlineStr">
        <is>
          <t>COMO É</t>
        </is>
      </c>
      <c r="AO907" s="16" t="n"/>
      <c r="AP907" s="16" t="n"/>
      <c r="AQ907" s="16" t="n"/>
      <c r="AR907" s="17" t="n"/>
      <c r="AS907" s="120" t="n"/>
    </row>
    <row r="908" hidden="1" outlineLevel="3">
      <c r="A908" s="8" t="n"/>
      <c r="B908" s="14" t="n"/>
      <c r="C908" s="120" t="n"/>
      <c r="D908" s="120" t="n"/>
      <c r="E908" s="120" t="n"/>
      <c r="F908" s="120" t="n"/>
      <c r="G908" s="120" t="n"/>
      <c r="I908" s="116" t="n"/>
      <c r="J908" s="19" t="n"/>
      <c r="K908" s="19" t="n"/>
      <c r="L908" s="19" t="n"/>
      <c r="M908" s="20" t="n"/>
      <c r="N908" s="120" t="n"/>
      <c r="O908" s="116" t="n"/>
      <c r="P908" s="19" t="n"/>
      <c r="Q908" s="19" t="n"/>
      <c r="R908" s="19" t="n"/>
      <c r="S908" s="20" t="n"/>
      <c r="T908" s="120" t="n"/>
      <c r="U908" s="116" t="n"/>
      <c r="V908" s="19" t="n"/>
      <c r="W908" s="19" t="n"/>
      <c r="X908" s="19" t="n"/>
      <c r="Y908" s="20" t="n"/>
      <c r="Z908" s="120" t="n"/>
      <c r="AB908" s="116" t="n"/>
      <c r="AC908" s="19" t="n"/>
      <c r="AD908" s="19" t="n"/>
      <c r="AE908" s="19" t="n"/>
      <c r="AF908" s="20" t="n"/>
      <c r="AG908" s="120" t="n"/>
      <c r="AH908" s="116" t="n"/>
      <c r="AI908" s="19" t="n"/>
      <c r="AJ908" s="19" t="n"/>
      <c r="AK908" s="19" t="n"/>
      <c r="AL908" s="20" t="n"/>
      <c r="AM908" s="120" t="n"/>
      <c r="AN908" s="116" t="n"/>
      <c r="AO908" s="19" t="n"/>
      <c r="AP908" s="19" t="n"/>
      <c r="AQ908" s="19" t="n"/>
      <c r="AR908" s="20" t="n"/>
      <c r="AS908" s="120" t="n"/>
    </row>
    <row r="909" hidden="1" outlineLevel="3">
      <c r="A909" s="8" t="n"/>
      <c r="B909" s="14" t="n"/>
      <c r="C909" s="120" t="n"/>
      <c r="D909" s="120" t="n"/>
      <c r="E909" s="120" t="n"/>
      <c r="F909" s="120" t="n"/>
      <c r="G909" s="120" t="n"/>
      <c r="I909" s="21" t="n"/>
      <c r="M909" s="22" t="n"/>
      <c r="N909" s="120" t="n"/>
      <c r="O909" s="21" t="n"/>
      <c r="S909" s="22" t="n"/>
      <c r="T909" s="120" t="n"/>
      <c r="U909" s="21" t="n"/>
      <c r="Y909" s="22" t="n"/>
      <c r="Z909" s="120" t="n"/>
      <c r="AB909" s="21" t="n"/>
      <c r="AF909" s="22" t="n"/>
      <c r="AG909" s="120" t="n"/>
      <c r="AH909" s="21" t="n"/>
      <c r="AL909" s="22" t="n"/>
      <c r="AM909" s="120" t="n"/>
      <c r="AN909" s="21" t="n"/>
      <c r="AR909" s="22" t="n"/>
      <c r="AS909" s="120" t="n"/>
    </row>
    <row r="910" hidden="1" outlineLevel="3">
      <c r="A910" s="8" t="n"/>
      <c r="B910" s="14" t="n"/>
      <c r="C910" s="120" t="n"/>
      <c r="D910" s="120" t="n"/>
      <c r="E910" s="120" t="n"/>
      <c r="F910" s="120" t="n"/>
      <c r="G910" s="120" t="n"/>
      <c r="I910" s="23" t="n"/>
      <c r="J910" s="24" t="n"/>
      <c r="K910" s="24" t="n"/>
      <c r="L910" s="24" t="n"/>
      <c r="M910" s="25" t="n"/>
      <c r="N910" s="120" t="n"/>
      <c r="O910" s="23" t="n"/>
      <c r="P910" s="24" t="n"/>
      <c r="Q910" s="24" t="n"/>
      <c r="R910" s="24" t="n"/>
      <c r="S910" s="25" t="n"/>
      <c r="T910" s="120" t="n"/>
      <c r="U910" s="23" t="n"/>
      <c r="V910" s="24" t="n"/>
      <c r="W910" s="24" t="n"/>
      <c r="X910" s="24" t="n"/>
      <c r="Y910" s="25" t="n"/>
      <c r="Z910" s="120" t="n"/>
      <c r="AB910" s="23" t="n"/>
      <c r="AC910" s="24" t="n"/>
      <c r="AD910" s="24" t="n"/>
      <c r="AE910" s="24" t="n"/>
      <c r="AF910" s="25" t="n"/>
      <c r="AG910" s="120" t="n"/>
      <c r="AH910" s="23" t="n"/>
      <c r="AI910" s="24" t="n"/>
      <c r="AJ910" s="24" t="n"/>
      <c r="AK910" s="24" t="n"/>
      <c r="AL910" s="25" t="n"/>
      <c r="AM910" s="120" t="n"/>
      <c r="AN910" s="23" t="n"/>
      <c r="AO910" s="24" t="n"/>
      <c r="AP910" s="24" t="n"/>
      <c r="AQ910" s="24" t="n"/>
      <c r="AR910" s="25" t="n"/>
      <c r="AS910" s="120" t="n"/>
    </row>
    <row r="911" hidden="1" outlineLevel="2">
      <c r="A911" s="8" t="n"/>
      <c r="B911" s="14" t="n"/>
      <c r="C911" s="120" t="n"/>
      <c r="D911" s="120" t="n"/>
      <c r="E911" s="120" t="n"/>
      <c r="F911" s="120" t="n"/>
      <c r="G911" s="120" t="n"/>
      <c r="I911" s="124" t="inlineStr">
        <is>
          <t>Projétil</t>
        </is>
      </c>
      <c r="J911" s="17" t="n"/>
      <c r="K911" s="68">
        <f>DADOS_INVOC!$PN$60</f>
        <v/>
      </c>
      <c r="L911" s="17" t="n"/>
      <c r="M911" s="68">
        <f>DADOS_INVOC!$PJ$60</f>
        <v/>
      </c>
      <c r="N911" s="120" t="n"/>
      <c r="O911" s="124" t="inlineStr">
        <is>
          <t>Projétil</t>
        </is>
      </c>
      <c r="P911" s="17" t="n"/>
      <c r="Q911" s="68">
        <f>DADOS_INVOC!$PN$61</f>
        <v/>
      </c>
      <c r="R911" s="17" t="n"/>
      <c r="S911" s="68">
        <f>DADOS_INVOC!$PJ$61</f>
        <v/>
      </c>
      <c r="T911" s="120" t="n"/>
      <c r="U911" s="124" t="inlineStr">
        <is>
          <t>Projétil</t>
        </is>
      </c>
      <c r="V911" s="17" t="n"/>
      <c r="W911" s="68">
        <f>DADOS_INVOC!$PN$62</f>
        <v/>
      </c>
      <c r="X911" s="17" t="n"/>
      <c r="Y911" s="68">
        <f>DADOS_INVOC!$PJ$62</f>
        <v/>
      </c>
      <c r="Z911" s="120" t="n"/>
      <c r="AB911" s="124" t="inlineStr">
        <is>
          <t>Projétil</t>
        </is>
      </c>
      <c r="AC911" s="17" t="n"/>
      <c r="AD911" s="68">
        <f>DADOS_INVOC!$PN$138</f>
        <v/>
      </c>
      <c r="AE911" s="17" t="n"/>
      <c r="AF911" s="68">
        <f>DADOS_INVOC!$PJ$138</f>
        <v/>
      </c>
      <c r="AG911" s="120" t="n"/>
      <c r="AH911" s="124" t="inlineStr">
        <is>
          <t>Projétil</t>
        </is>
      </c>
      <c r="AI911" s="17" t="n"/>
      <c r="AJ911" s="68">
        <f>DADOS_INVOC!$PN$139</f>
        <v/>
      </c>
      <c r="AK911" s="17" t="n"/>
      <c r="AL911" s="68">
        <f>DADOS_INVOC!$PJ$139</f>
        <v/>
      </c>
      <c r="AM911" s="120" t="n"/>
      <c r="AN911" s="124" t="inlineStr">
        <is>
          <t>Projétil</t>
        </is>
      </c>
      <c r="AO911" s="17" t="n"/>
      <c r="AP911" s="68">
        <f>DADOS_INVOC!$PN$140</f>
        <v/>
      </c>
      <c r="AQ911" s="17" t="n"/>
      <c r="AR911" s="68">
        <f>DADOS_INVOC!$PJ$140</f>
        <v/>
      </c>
      <c r="AS911" s="120" t="n"/>
    </row>
    <row r="912" hidden="1" outlineLevel="2">
      <c r="A912" s="8" t="n"/>
      <c r="B912" s="14" t="n"/>
      <c r="C912" s="120" t="n"/>
      <c r="D912" s="120" t="n"/>
      <c r="E912" s="120" t="n"/>
      <c r="F912" s="120" t="n"/>
      <c r="G912" s="120" t="n"/>
      <c r="I912" s="124" t="n"/>
      <c r="J912" s="17" t="n"/>
      <c r="K912" s="124" t="n"/>
      <c r="L912" s="16" t="n"/>
      <c r="M912" s="17" t="n"/>
      <c r="N912" s="120" t="n"/>
      <c r="O912" s="124" t="n"/>
      <c r="P912" s="17" t="n"/>
      <c r="Q912" s="124" t="n"/>
      <c r="R912" s="16" t="n"/>
      <c r="S912" s="17" t="n"/>
      <c r="T912" s="120" t="n"/>
      <c r="U912" s="124" t="n"/>
      <c r="V912" s="17" t="n"/>
      <c r="W912" s="124" t="n"/>
      <c r="X912" s="16" t="n"/>
      <c r="Y912" s="17" t="n"/>
      <c r="Z912" s="120" t="n"/>
      <c r="AB912" s="124" t="n"/>
      <c r="AC912" s="17" t="n"/>
      <c r="AD912" s="124" t="n"/>
      <c r="AE912" s="16" t="n"/>
      <c r="AF912" s="17" t="n"/>
      <c r="AG912" s="120" t="n"/>
      <c r="AH912" s="124" t="n"/>
      <c r="AI912" s="17" t="n"/>
      <c r="AJ912" s="124" t="n"/>
      <c r="AK912" s="16" t="n"/>
      <c r="AL912" s="17" t="n"/>
      <c r="AM912" s="120" t="n"/>
      <c r="AN912" s="124" t="n"/>
      <c r="AO912" s="17" t="n"/>
      <c r="AP912" s="124" t="n"/>
      <c r="AQ912" s="16" t="n"/>
      <c r="AR912" s="17" t="n"/>
      <c r="AS912" s="120" t="n"/>
    </row>
    <row r="913" hidden="1" outlineLevel="2">
      <c r="A913" s="8" t="n"/>
      <c r="B913" s="14" t="n"/>
      <c r="C913" s="120" t="n"/>
      <c r="D913" s="120" t="n"/>
      <c r="E913" s="120" t="n"/>
      <c r="F913" s="120" t="n"/>
      <c r="G913" s="120" t="n"/>
      <c r="I913" s="124">
        <f>DADOS_INVOC!$PK$60</f>
        <v/>
      </c>
      <c r="J913" s="17" t="n"/>
      <c r="K913" s="124">
        <f>DADOS_INVOC!$PM$60</f>
        <v/>
      </c>
      <c r="L913" s="16" t="n"/>
      <c r="M913" s="17" t="n"/>
      <c r="N913" s="120" t="n"/>
      <c r="O913" s="124">
        <f>DADOS_INVOC!$PK$61</f>
        <v/>
      </c>
      <c r="P913" s="17" t="n"/>
      <c r="Q913" s="124">
        <f>DADOS_INVOC!$PM$61</f>
        <v/>
      </c>
      <c r="R913" s="16" t="n"/>
      <c r="S913" s="17" t="n"/>
      <c r="T913" s="120" t="n"/>
      <c r="U913" s="124">
        <f>DADOS_INVOC!$PK$62</f>
        <v/>
      </c>
      <c r="V913" s="17" t="n"/>
      <c r="W913" s="124">
        <f>DADOS_INVOC!$PM$62</f>
        <v/>
      </c>
      <c r="X913" s="16" t="n"/>
      <c r="Y913" s="17" t="n"/>
      <c r="Z913" s="120" t="n"/>
      <c r="AB913" s="124">
        <f>DADOS_INVOC!$PK$138</f>
        <v/>
      </c>
      <c r="AC913" s="17" t="n"/>
      <c r="AD913" s="124">
        <f>DADOS_INVOC!$PM$138</f>
        <v/>
      </c>
      <c r="AE913" s="16" t="n"/>
      <c r="AF913" s="17" t="n"/>
      <c r="AG913" s="120" t="n"/>
      <c r="AH913" s="124">
        <f>DADOS_INVOC!$PK$139</f>
        <v/>
      </c>
      <c r="AI913" s="17" t="n"/>
      <c r="AJ913" s="124">
        <f>DADOS_INVOC!$PM$139</f>
        <v/>
      </c>
      <c r="AK913" s="16" t="n"/>
      <c r="AL913" s="17" t="n"/>
      <c r="AM913" s="120" t="n"/>
      <c r="AN913" s="124">
        <f>DADOS_INVOC!$PK$140</f>
        <v/>
      </c>
      <c r="AO913" s="17" t="n"/>
      <c r="AP913" s="124">
        <f>DADOS_INVOC!$PM$140</f>
        <v/>
      </c>
      <c r="AQ913" s="16" t="n"/>
      <c r="AR913" s="17" t="n"/>
      <c r="AS913" s="120" t="n"/>
    </row>
    <row r="914" hidden="1" outlineLevel="2">
      <c r="A914" s="8" t="n"/>
      <c r="B914" s="14" t="n"/>
      <c r="C914" s="120" t="n"/>
      <c r="D914" s="120" t="n"/>
      <c r="E914" s="120" t="n"/>
      <c r="F914" s="120" t="n"/>
      <c r="G914" s="120" t="n"/>
      <c r="I914" s="129">
        <f>DADOS_INVOC!$PS$60</f>
        <v/>
      </c>
      <c r="J914" s="16" t="n"/>
      <c r="K914" s="16" t="n"/>
      <c r="L914" s="16" t="n"/>
      <c r="M914" s="17" t="n"/>
      <c r="N914" s="120" t="n"/>
      <c r="O914" s="129">
        <f>DADOS_INVOC!$PS$61</f>
        <v/>
      </c>
      <c r="P914" s="16" t="n"/>
      <c r="Q914" s="16" t="n"/>
      <c r="R914" s="16" t="n"/>
      <c r="S914" s="17" t="n"/>
      <c r="T914" s="120" t="n"/>
      <c r="U914" s="129">
        <f>DADOS_INVOC!$PS$62</f>
        <v/>
      </c>
      <c r="V914" s="16" t="n"/>
      <c r="W914" s="16" t="n"/>
      <c r="X914" s="16" t="n"/>
      <c r="Y914" s="17" t="n"/>
      <c r="Z914" s="120" t="n"/>
      <c r="AB914" s="129">
        <f>DADOS_INVOC!$PS$138</f>
        <v/>
      </c>
      <c r="AC914" s="16" t="n"/>
      <c r="AD914" s="16" t="n"/>
      <c r="AE914" s="16" t="n"/>
      <c r="AF914" s="17" t="n"/>
      <c r="AG914" s="120" t="n"/>
      <c r="AH914" s="129">
        <f>DADOS_INVOC!$PS$139</f>
        <v/>
      </c>
      <c r="AI914" s="16" t="n"/>
      <c r="AJ914" s="16" t="n"/>
      <c r="AK914" s="16" t="n"/>
      <c r="AL914" s="17" t="n"/>
      <c r="AM914" s="120" t="n"/>
      <c r="AN914" s="129">
        <f>DADOS_INVOC!$PS$140</f>
        <v/>
      </c>
      <c r="AO914" s="16" t="n"/>
      <c r="AP914" s="16" t="n"/>
      <c r="AQ914" s="16" t="n"/>
      <c r="AR914" s="17" t="n"/>
      <c r="AS914" s="120" t="n"/>
    </row>
    <row r="915" hidden="1" outlineLevel="3">
      <c r="A915" s="8" t="n"/>
      <c r="B915" s="14" t="n"/>
      <c r="C915" s="120" t="n"/>
      <c r="D915" s="120" t="n"/>
      <c r="E915" s="120" t="n"/>
      <c r="F915" s="120" t="n"/>
      <c r="G915" s="120" t="n"/>
      <c r="I915" s="55" t="inlineStr">
        <is>
          <t>MELHORIAS</t>
        </is>
      </c>
      <c r="J915" s="130" t="n"/>
      <c r="K915" s="16" t="n"/>
      <c r="L915" s="17" t="n"/>
      <c r="M915" s="129">
        <f>DADOS_INVOC!$PV$60</f>
        <v/>
      </c>
      <c r="N915" s="120" t="n"/>
      <c r="O915" s="55" t="inlineStr">
        <is>
          <t>MELHORIAS</t>
        </is>
      </c>
      <c r="P915" s="130" t="n"/>
      <c r="Q915" s="16" t="n"/>
      <c r="R915" s="17" t="n"/>
      <c r="S915" s="129">
        <f>DADOS_INVOC!$PV$61</f>
        <v/>
      </c>
      <c r="T915" s="120" t="n"/>
      <c r="U915" s="55" t="inlineStr">
        <is>
          <t>MELHORIAS</t>
        </is>
      </c>
      <c r="V915" s="130" t="n"/>
      <c r="W915" s="16" t="n"/>
      <c r="X915" s="17" t="n"/>
      <c r="Y915" s="129">
        <f>DADOS_INVOC!$PV$62</f>
        <v/>
      </c>
      <c r="Z915" s="120" t="n"/>
      <c r="AB915" s="55" t="inlineStr">
        <is>
          <t>MELHORIAS</t>
        </is>
      </c>
      <c r="AC915" s="130" t="n"/>
      <c r="AD915" s="16" t="n"/>
      <c r="AE915" s="17" t="n"/>
      <c r="AF915" s="129">
        <f>DADOS_INVOC!$PV$138</f>
        <v/>
      </c>
      <c r="AG915" s="120" t="n"/>
      <c r="AH915" s="55" t="inlineStr">
        <is>
          <t>MELHORIAS</t>
        </is>
      </c>
      <c r="AI915" s="130" t="n"/>
      <c r="AJ915" s="16" t="n"/>
      <c r="AK915" s="17" t="n"/>
      <c r="AL915" s="129">
        <f>DADOS_INVOC!$PV$139</f>
        <v/>
      </c>
      <c r="AM915" s="120" t="n"/>
      <c r="AN915" s="55" t="inlineStr">
        <is>
          <t>MELHORIAS</t>
        </is>
      </c>
      <c r="AO915" s="130" t="n"/>
      <c r="AP915" s="16" t="n"/>
      <c r="AQ915" s="17" t="n"/>
      <c r="AR915" s="129">
        <f>DADOS_INVOC!$PV$140</f>
        <v/>
      </c>
      <c r="AS915" s="120" t="n"/>
    </row>
    <row r="916" hidden="1" outlineLevel="3">
      <c r="A916" s="8" t="n"/>
      <c r="B916" s="14" t="n"/>
      <c r="C916" s="120" t="n"/>
      <c r="D916" s="120" t="n"/>
      <c r="E916" s="120" t="n"/>
      <c r="F916" s="120" t="n"/>
      <c r="G916" s="120" t="n"/>
      <c r="I916" s="131" t="n"/>
      <c r="J916" s="130" t="n"/>
      <c r="K916" s="16" t="n"/>
      <c r="L916" s="17" t="n"/>
      <c r="M916" s="129">
        <f>DADOS_INVOC!$PW$60</f>
        <v/>
      </c>
      <c r="N916" s="120" t="n"/>
      <c r="O916" s="131" t="n"/>
      <c r="P916" s="130" t="n"/>
      <c r="Q916" s="16" t="n"/>
      <c r="R916" s="17" t="n"/>
      <c r="S916" s="129">
        <f>DADOS_INVOC!$PW$61</f>
        <v/>
      </c>
      <c r="T916" s="120" t="n"/>
      <c r="U916" s="131" t="n"/>
      <c r="V916" s="130" t="n"/>
      <c r="W916" s="16" t="n"/>
      <c r="X916" s="17" t="n"/>
      <c r="Y916" s="129">
        <f>DADOS_INVOC!$PW$62</f>
        <v/>
      </c>
      <c r="Z916" s="120" t="n"/>
      <c r="AB916" s="131" t="n"/>
      <c r="AC916" s="130" t="n"/>
      <c r="AD916" s="16" t="n"/>
      <c r="AE916" s="17" t="n"/>
      <c r="AF916" s="129">
        <f>DADOS_INVOC!$PW$138</f>
        <v/>
      </c>
      <c r="AG916" s="120" t="n"/>
      <c r="AH916" s="131" t="n"/>
      <c r="AI916" s="130" t="n"/>
      <c r="AJ916" s="16" t="n"/>
      <c r="AK916" s="17" t="n"/>
      <c r="AL916" s="129">
        <f>DADOS_INVOC!$PW$139</f>
        <v/>
      </c>
      <c r="AM916" s="120" t="n"/>
      <c r="AN916" s="131" t="n"/>
      <c r="AO916" s="130" t="n"/>
      <c r="AP916" s="16" t="n"/>
      <c r="AQ916" s="17" t="n"/>
      <c r="AR916" s="129">
        <f>DADOS_INVOC!$PW$140</f>
        <v/>
      </c>
      <c r="AS916" s="120" t="n"/>
    </row>
    <row r="917" hidden="1" outlineLevel="3">
      <c r="A917" s="8" t="n"/>
      <c r="B917" s="14" t="n"/>
      <c r="C917" s="120" t="n"/>
      <c r="D917" s="120" t="n"/>
      <c r="E917" s="120" t="n"/>
      <c r="F917" s="120" t="n"/>
      <c r="G917" s="120" t="n"/>
      <c r="I917" s="131" t="n"/>
      <c r="J917" s="130" t="n"/>
      <c r="K917" s="16" t="n"/>
      <c r="L917" s="17" t="n"/>
      <c r="M917" s="129">
        <f>DADOS_INVOC!$PX$60</f>
        <v/>
      </c>
      <c r="N917" s="120" t="n"/>
      <c r="O917" s="131" t="n"/>
      <c r="P917" s="130" t="n"/>
      <c r="Q917" s="16" t="n"/>
      <c r="R917" s="17" t="n"/>
      <c r="S917" s="129">
        <f>DADOS_INVOC!$PX$61</f>
        <v/>
      </c>
      <c r="T917" s="120" t="n"/>
      <c r="U917" s="131" t="n"/>
      <c r="V917" s="130" t="n"/>
      <c r="W917" s="16" t="n"/>
      <c r="X917" s="17" t="n"/>
      <c r="Y917" s="129">
        <f>DADOS_INVOC!$PX$62</f>
        <v/>
      </c>
      <c r="Z917" s="120" t="n"/>
      <c r="AB917" s="131" t="n"/>
      <c r="AC917" s="130" t="n"/>
      <c r="AD917" s="16" t="n"/>
      <c r="AE917" s="17" t="n"/>
      <c r="AF917" s="129">
        <f>DADOS_INVOC!$PX$138</f>
        <v/>
      </c>
      <c r="AG917" s="120" t="n"/>
      <c r="AH917" s="131" t="n"/>
      <c r="AI917" s="130" t="n"/>
      <c r="AJ917" s="16" t="n"/>
      <c r="AK917" s="17" t="n"/>
      <c r="AL917" s="129">
        <f>DADOS_INVOC!$PX$139</f>
        <v/>
      </c>
      <c r="AM917" s="120" t="n"/>
      <c r="AN917" s="131" t="n"/>
      <c r="AO917" s="130" t="n"/>
      <c r="AP917" s="16" t="n"/>
      <c r="AQ917" s="17" t="n"/>
      <c r="AR917" s="129">
        <f>DADOS_INVOC!$PX$140</f>
        <v/>
      </c>
      <c r="AS917" s="120" t="n"/>
    </row>
    <row r="918" hidden="1" outlineLevel="3">
      <c r="A918" s="8" t="n"/>
      <c r="B918" s="14" t="n"/>
      <c r="C918" s="120" t="n"/>
      <c r="D918" s="120" t="n"/>
      <c r="E918" s="120" t="n"/>
      <c r="F918" s="120" t="n"/>
      <c r="G918" s="120" t="n"/>
      <c r="I918" s="125" t="n"/>
      <c r="J918" s="130" t="n"/>
      <c r="K918" s="16" t="n"/>
      <c r="L918" s="17" t="n"/>
      <c r="M918" s="129">
        <f>DADOS_INVOC!$PY$60</f>
        <v/>
      </c>
      <c r="N918" s="120" t="n"/>
      <c r="O918" s="125" t="n"/>
      <c r="P918" s="130" t="n"/>
      <c r="Q918" s="16" t="n"/>
      <c r="R918" s="17" t="n"/>
      <c r="S918" s="129">
        <f>DADOS_INVOC!$PY$61</f>
        <v/>
      </c>
      <c r="T918" s="120" t="n"/>
      <c r="U918" s="125" t="n"/>
      <c r="V918" s="130" t="n"/>
      <c r="W918" s="16" t="n"/>
      <c r="X918" s="17" t="n"/>
      <c r="Y918" s="129">
        <f>DADOS_INVOC!$PY$62</f>
        <v/>
      </c>
      <c r="Z918" s="120" t="n"/>
      <c r="AB918" s="125" t="n"/>
      <c r="AC918" s="130" t="n"/>
      <c r="AD918" s="16" t="n"/>
      <c r="AE918" s="17" t="n"/>
      <c r="AF918" s="129">
        <f>DADOS_INVOC!$PY$138</f>
        <v/>
      </c>
      <c r="AG918" s="120" t="n"/>
      <c r="AH918" s="125" t="n"/>
      <c r="AI918" s="130" t="n"/>
      <c r="AJ918" s="16" t="n"/>
      <c r="AK918" s="17" t="n"/>
      <c r="AL918" s="129">
        <f>DADOS_INVOC!$PY$139</f>
        <v/>
      </c>
      <c r="AM918" s="120" t="n"/>
      <c r="AN918" s="125" t="n"/>
      <c r="AO918" s="130" t="n"/>
      <c r="AP918" s="16" t="n"/>
      <c r="AQ918" s="17" t="n"/>
      <c r="AR918" s="129">
        <f>DADOS_INVOC!$PY$140</f>
        <v/>
      </c>
      <c r="AS918" s="120" t="n"/>
    </row>
    <row r="919" hidden="1" outlineLevel="3">
      <c r="A919" s="8" t="n"/>
      <c r="B919" s="14" t="n"/>
      <c r="C919" s="120" t="n"/>
      <c r="D919" s="120" t="n"/>
      <c r="E919" s="120" t="n"/>
      <c r="F919" s="120" t="n"/>
      <c r="G919" s="120" t="n"/>
      <c r="I919" s="55" t="inlineStr">
        <is>
          <t>RESTRIÇÕES</t>
        </is>
      </c>
      <c r="J919" s="130" t="n"/>
      <c r="K919" s="16" t="n"/>
      <c r="L919" s="17" t="n"/>
      <c r="M919" s="129">
        <f>DADOS_INVOC!$PZ$60</f>
        <v/>
      </c>
      <c r="N919" s="120" t="n"/>
      <c r="O919" s="55" t="inlineStr">
        <is>
          <t>RESTRIÇÕES</t>
        </is>
      </c>
      <c r="P919" s="130" t="n"/>
      <c r="Q919" s="16" t="n"/>
      <c r="R919" s="17" t="n"/>
      <c r="S919" s="129">
        <f>DADOS_INVOC!$PZ$61</f>
        <v/>
      </c>
      <c r="T919" s="120" t="n"/>
      <c r="U919" s="55" t="inlineStr">
        <is>
          <t>RESTRIÇÕES</t>
        </is>
      </c>
      <c r="V919" s="130" t="n"/>
      <c r="W919" s="16" t="n"/>
      <c r="X919" s="17" t="n"/>
      <c r="Y919" s="129">
        <f>DADOS_INVOC!$PZ$62</f>
        <v/>
      </c>
      <c r="Z919" s="120" t="n"/>
      <c r="AB919" s="55" t="inlineStr">
        <is>
          <t>RESTRIÇÕES</t>
        </is>
      </c>
      <c r="AC919" s="130" t="n"/>
      <c r="AD919" s="16" t="n"/>
      <c r="AE919" s="17" t="n"/>
      <c r="AF919" s="129">
        <f>DADOS_INVOC!$PZ$138</f>
        <v/>
      </c>
      <c r="AG919" s="120" t="n"/>
      <c r="AH919" s="55" t="inlineStr">
        <is>
          <t>RESTRIÇÕES</t>
        </is>
      </c>
      <c r="AI919" s="130" t="n"/>
      <c r="AJ919" s="16" t="n"/>
      <c r="AK919" s="17" t="n"/>
      <c r="AL919" s="129">
        <f>DADOS_INVOC!$PZ$139</f>
        <v/>
      </c>
      <c r="AM919" s="120" t="n"/>
      <c r="AN919" s="55" t="inlineStr">
        <is>
          <t>RESTRIÇÕES</t>
        </is>
      </c>
      <c r="AO919" s="130" t="n"/>
      <c r="AP919" s="16" t="n"/>
      <c r="AQ919" s="17" t="n"/>
      <c r="AR919" s="129">
        <f>DADOS_INVOC!$PZ$140</f>
        <v/>
      </c>
      <c r="AS919" s="120" t="n"/>
    </row>
    <row r="920" hidden="1" outlineLevel="3">
      <c r="A920" s="8" t="n"/>
      <c r="B920" s="14" t="n"/>
      <c r="C920" s="120" t="n"/>
      <c r="D920" s="120" t="n"/>
      <c r="E920" s="120" t="n"/>
      <c r="F920" s="120" t="n"/>
      <c r="G920" s="120" t="n"/>
      <c r="I920" s="125" t="n"/>
      <c r="J920" s="130" t="n"/>
      <c r="K920" s="16" t="n"/>
      <c r="L920" s="17" t="n"/>
      <c r="M920" s="129">
        <f>DADOS_INVOC!$QA$60</f>
        <v/>
      </c>
      <c r="N920" s="120" t="n"/>
      <c r="O920" s="125" t="n"/>
      <c r="P920" s="130" t="n"/>
      <c r="Q920" s="16" t="n"/>
      <c r="R920" s="17" t="n"/>
      <c r="S920" s="129">
        <f>DADOS_INVOC!$QA$61</f>
        <v/>
      </c>
      <c r="T920" s="120" t="n"/>
      <c r="U920" s="125" t="n"/>
      <c r="V920" s="130" t="n"/>
      <c r="W920" s="16" t="n"/>
      <c r="X920" s="17" t="n"/>
      <c r="Y920" s="129">
        <f>DADOS_INVOC!$QA$62</f>
        <v/>
      </c>
      <c r="Z920" s="120" t="n"/>
      <c r="AB920" s="125" t="n"/>
      <c r="AC920" s="130" t="n"/>
      <c r="AD920" s="16" t="n"/>
      <c r="AE920" s="17" t="n"/>
      <c r="AF920" s="129">
        <f>DADOS_INVOC!$QA$138</f>
        <v/>
      </c>
      <c r="AG920" s="120" t="n"/>
      <c r="AH920" s="125" t="n"/>
      <c r="AI920" s="130" t="n"/>
      <c r="AJ920" s="16" t="n"/>
      <c r="AK920" s="17" t="n"/>
      <c r="AL920" s="129">
        <f>DADOS_INVOC!$QA$139</f>
        <v/>
      </c>
      <c r="AM920" s="120" t="n"/>
      <c r="AN920" s="125" t="n"/>
      <c r="AO920" s="130" t="n"/>
      <c r="AP920" s="16" t="n"/>
      <c r="AQ920" s="17" t="n"/>
      <c r="AR920" s="129">
        <f>DADOS_INVOC!$QA$140</f>
        <v/>
      </c>
      <c r="AS920" s="120" t="n"/>
    </row>
    <row r="921" hidden="1" outlineLevel="3">
      <c r="A921" s="8" t="n"/>
      <c r="B921" s="14" t="n"/>
      <c r="C921" s="120" t="n"/>
      <c r="D921" s="120" t="n"/>
      <c r="E921" s="120" t="n"/>
      <c r="F921" s="120" t="n"/>
      <c r="G921" s="120" t="n"/>
      <c r="I921" s="55" t="inlineStr">
        <is>
          <t>CONTA</t>
        </is>
      </c>
      <c r="J921" s="132">
        <f>DADOS_INVOC!$PT$60</f>
        <v/>
      </c>
      <c r="K921" s="16" t="n"/>
      <c r="L921" s="16" t="n"/>
      <c r="M921" s="17" t="n"/>
      <c r="N921" s="120" t="n"/>
      <c r="O921" s="55" t="inlineStr">
        <is>
          <t>CONTA</t>
        </is>
      </c>
      <c r="P921" s="132">
        <f>DADOS_INVOC!$PT$61</f>
        <v/>
      </c>
      <c r="Q921" s="16" t="n"/>
      <c r="R921" s="16" t="n"/>
      <c r="S921" s="17" t="n"/>
      <c r="T921" s="120" t="n"/>
      <c r="U921" s="55" t="inlineStr">
        <is>
          <t>CONTA</t>
        </is>
      </c>
      <c r="V921" s="132">
        <f>DADOS_INVOC!$PT$62</f>
        <v/>
      </c>
      <c r="W921" s="16" t="n"/>
      <c r="X921" s="16" t="n"/>
      <c r="Y921" s="17" t="n"/>
      <c r="Z921" s="120" t="n"/>
      <c r="AB921" s="55" t="inlineStr">
        <is>
          <t>CONTA</t>
        </is>
      </c>
      <c r="AC921" s="132">
        <f>DADOS_INVOC!$PT$138</f>
        <v/>
      </c>
      <c r="AD921" s="16" t="n"/>
      <c r="AE921" s="16" t="n"/>
      <c r="AF921" s="17" t="n"/>
      <c r="AG921" s="120" t="n"/>
      <c r="AH921" s="55" t="inlineStr">
        <is>
          <t>CONTA</t>
        </is>
      </c>
      <c r="AI921" s="132">
        <f>DADOS_INVOC!$PT$139</f>
        <v/>
      </c>
      <c r="AJ921" s="16" t="n"/>
      <c r="AK921" s="16" t="n"/>
      <c r="AL921" s="17" t="n"/>
      <c r="AM921" s="120" t="n"/>
      <c r="AN921" s="55" t="inlineStr">
        <is>
          <t>CONTA</t>
        </is>
      </c>
      <c r="AO921" s="132">
        <f>DADOS_INVOC!$PT$140</f>
        <v/>
      </c>
      <c r="AP921" s="16" t="n"/>
      <c r="AQ921" s="16" t="n"/>
      <c r="AR921" s="17" t="n"/>
      <c r="AS921" s="120" t="n"/>
    </row>
    <row r="922" hidden="1" outlineLevel="3">
      <c r="A922" s="8" t="n"/>
      <c r="B922" s="14" t="n"/>
      <c r="C922" s="120" t="n"/>
      <c r="D922" s="120" t="n"/>
      <c r="E922" s="120" t="n"/>
      <c r="F922" s="120" t="n"/>
      <c r="G922" s="120" t="n"/>
      <c r="I922" s="55" t="inlineStr">
        <is>
          <t>AMPLIAR</t>
        </is>
      </c>
      <c r="J922" s="132">
        <f>DADOS_INVOC!$PU$60</f>
        <v/>
      </c>
      <c r="K922" s="19" t="n"/>
      <c r="L922" s="19" t="n"/>
      <c r="M922" s="20" t="n"/>
      <c r="N922" s="120" t="n"/>
      <c r="O922" s="55" t="inlineStr">
        <is>
          <t>AMPLIAR</t>
        </is>
      </c>
      <c r="P922" s="132">
        <f>DADOS_INVOC!$PU$61</f>
        <v/>
      </c>
      <c r="Q922" s="19" t="n"/>
      <c r="R922" s="19" t="n"/>
      <c r="S922" s="20" t="n"/>
      <c r="T922" s="120" t="n"/>
      <c r="U922" s="55" t="inlineStr">
        <is>
          <t>AMPLIAR</t>
        </is>
      </c>
      <c r="V922" s="132">
        <f>DADOS_INVOC!$PU$62</f>
        <v/>
      </c>
      <c r="W922" s="19" t="n"/>
      <c r="X922" s="19" t="n"/>
      <c r="Y922" s="20" t="n"/>
      <c r="Z922" s="120" t="n"/>
      <c r="AB922" s="55" t="inlineStr">
        <is>
          <t>AMPLIAR</t>
        </is>
      </c>
      <c r="AC922" s="132">
        <f>DADOS_INVOC!$PU$138</f>
        <v/>
      </c>
      <c r="AD922" s="19" t="n"/>
      <c r="AE922" s="19" t="n"/>
      <c r="AF922" s="20" t="n"/>
      <c r="AG922" s="120" t="n"/>
      <c r="AH922" s="55" t="inlineStr">
        <is>
          <t>AMPLIAR</t>
        </is>
      </c>
      <c r="AI922" s="132">
        <f>DADOS_INVOC!$PU$139</f>
        <v/>
      </c>
      <c r="AJ922" s="19" t="n"/>
      <c r="AK922" s="19" t="n"/>
      <c r="AL922" s="20" t="n"/>
      <c r="AM922" s="120" t="n"/>
      <c r="AN922" s="55" t="inlineStr">
        <is>
          <t>AMPLIAR</t>
        </is>
      </c>
      <c r="AO922" s="132">
        <f>DADOS_INVOC!$PU$140</f>
        <v/>
      </c>
      <c r="AP922" s="19" t="n"/>
      <c r="AQ922" s="19" t="n"/>
      <c r="AR922" s="20" t="n"/>
      <c r="AS922" s="120" t="n"/>
    </row>
    <row r="923" hidden="1" outlineLevel="3">
      <c r="A923" s="8" t="n"/>
      <c r="B923" s="14" t="n"/>
      <c r="C923" s="120" t="n"/>
      <c r="D923" s="120" t="n"/>
      <c r="E923" s="120" t="n"/>
      <c r="F923" s="120" t="n"/>
      <c r="G923" s="120" t="n"/>
      <c r="I923" s="125" t="n"/>
      <c r="J923" s="23" t="n"/>
      <c r="K923" s="24" t="n"/>
      <c r="L923" s="24" t="n"/>
      <c r="M923" s="25" t="n"/>
      <c r="N923" s="120" t="n"/>
      <c r="O923" s="125" t="n"/>
      <c r="P923" s="23" t="n"/>
      <c r="Q923" s="24" t="n"/>
      <c r="R923" s="24" t="n"/>
      <c r="S923" s="25" t="n"/>
      <c r="T923" s="120" t="n"/>
      <c r="U923" s="125" t="n"/>
      <c r="V923" s="23" t="n"/>
      <c r="W923" s="24" t="n"/>
      <c r="X923" s="24" t="n"/>
      <c r="Y923" s="25" t="n"/>
      <c r="Z923" s="120" t="n"/>
      <c r="AB923" s="125" t="n"/>
      <c r="AC923" s="23" t="n"/>
      <c r="AD923" s="24" t="n"/>
      <c r="AE923" s="24" t="n"/>
      <c r="AF923" s="25" t="n"/>
      <c r="AG923" s="120" t="n"/>
      <c r="AH923" s="125" t="n"/>
      <c r="AI923" s="23" t="n"/>
      <c r="AJ923" s="24" t="n"/>
      <c r="AK923" s="24" t="n"/>
      <c r="AL923" s="25" t="n"/>
      <c r="AM923" s="120" t="n"/>
      <c r="AN923" s="125" t="n"/>
      <c r="AO923" s="23" t="n"/>
      <c r="AP923" s="24" t="n"/>
      <c r="AQ923" s="24" t="n"/>
      <c r="AR923" s="25" t="n"/>
      <c r="AS923" s="120" t="n"/>
    </row>
    <row r="924" hidden="1" outlineLevel="3">
      <c r="A924" s="8" t="n"/>
      <c r="B924" s="14" t="n"/>
      <c r="C924" s="120" t="n"/>
      <c r="D924" s="120" t="n"/>
      <c r="E924" s="120" t="n"/>
      <c r="F924" s="120" t="n"/>
      <c r="G924" s="120" t="n"/>
      <c r="I924" s="132">
        <f>DADOS_INVOC!$PH$60</f>
        <v/>
      </c>
      <c r="J924" s="19" t="n"/>
      <c r="K924" s="19" t="n"/>
      <c r="L924" s="19" t="n"/>
      <c r="M924" s="20" t="n"/>
      <c r="N924" s="120" t="n"/>
      <c r="O924" s="132">
        <f>DADOS_INVOC!$PH$61</f>
        <v/>
      </c>
      <c r="P924" s="19" t="n"/>
      <c r="Q924" s="19" t="n"/>
      <c r="R924" s="19" t="n"/>
      <c r="S924" s="20" t="n"/>
      <c r="T924" s="120" t="n"/>
      <c r="U924" s="132">
        <f>DADOS_INVOC!$PH$62</f>
        <v/>
      </c>
      <c r="V924" s="19" t="n"/>
      <c r="W924" s="19" t="n"/>
      <c r="X924" s="19" t="n"/>
      <c r="Y924" s="20" t="n"/>
      <c r="Z924" s="120" t="n"/>
      <c r="AB924" s="132">
        <f>DADOS_INVOC!$PH$138</f>
        <v/>
      </c>
      <c r="AC924" s="19" t="n"/>
      <c r="AD924" s="19" t="n"/>
      <c r="AE924" s="19" t="n"/>
      <c r="AF924" s="20" t="n"/>
      <c r="AG924" s="120" t="n"/>
      <c r="AH924" s="132">
        <f>DADOS_INVOC!$PH$139</f>
        <v/>
      </c>
      <c r="AI924" s="19" t="n"/>
      <c r="AJ924" s="19" t="n"/>
      <c r="AK924" s="19" t="n"/>
      <c r="AL924" s="20" t="n"/>
      <c r="AM924" s="120" t="n"/>
      <c r="AN924" s="132">
        <f>DADOS_INVOC!$PH$140</f>
        <v/>
      </c>
      <c r="AO924" s="19" t="n"/>
      <c r="AP924" s="19" t="n"/>
      <c r="AQ924" s="19" t="n"/>
      <c r="AR924" s="20" t="n"/>
      <c r="AS924" s="120" t="n"/>
    </row>
    <row r="925" hidden="1" outlineLevel="3">
      <c r="A925" s="8" t="n"/>
      <c r="B925" s="14" t="n"/>
      <c r="C925" s="120" t="n"/>
      <c r="D925" s="120" t="n"/>
      <c r="E925" s="120" t="n"/>
      <c r="F925" s="120" t="n"/>
      <c r="G925" s="120" t="n"/>
      <c r="I925" s="23" t="n"/>
      <c r="J925" s="24" t="n"/>
      <c r="K925" s="24" t="n"/>
      <c r="L925" s="24" t="n"/>
      <c r="M925" s="25" t="n"/>
      <c r="N925" s="120" t="n"/>
      <c r="O925" s="23" t="n"/>
      <c r="P925" s="24" t="n"/>
      <c r="Q925" s="24" t="n"/>
      <c r="R925" s="24" t="n"/>
      <c r="S925" s="25" t="n"/>
      <c r="T925" s="120" t="n"/>
      <c r="U925" s="23" t="n"/>
      <c r="V925" s="24" t="n"/>
      <c r="W925" s="24" t="n"/>
      <c r="X925" s="24" t="n"/>
      <c r="Y925" s="25" t="n"/>
      <c r="Z925" s="120" t="n"/>
      <c r="AB925" s="23" t="n"/>
      <c r="AC925" s="24" t="n"/>
      <c r="AD925" s="24" t="n"/>
      <c r="AE925" s="24" t="n"/>
      <c r="AF925" s="25" t="n"/>
      <c r="AG925" s="120" t="n"/>
      <c r="AH925" s="23" t="n"/>
      <c r="AI925" s="24" t="n"/>
      <c r="AJ925" s="24" t="n"/>
      <c r="AK925" s="24" t="n"/>
      <c r="AL925" s="25" t="n"/>
      <c r="AM925" s="120" t="n"/>
      <c r="AN925" s="23" t="n"/>
      <c r="AO925" s="24" t="n"/>
      <c r="AP925" s="24" t="n"/>
      <c r="AQ925" s="24" t="n"/>
      <c r="AR925" s="25" t="n"/>
      <c r="AS925" s="120" t="n"/>
    </row>
    <row r="926" hidden="1" outlineLevel="2">
      <c r="A926" s="8" t="n"/>
      <c r="B926" s="14" t="n"/>
      <c r="C926" s="120" t="n"/>
      <c r="D926" s="120" t="n"/>
      <c r="E926" s="120" t="n"/>
      <c r="F926" s="120" t="n"/>
      <c r="G926" s="120" t="n"/>
      <c r="I926" s="120" t="n"/>
      <c r="J926" s="120" t="n"/>
      <c r="K926" s="120" t="n"/>
      <c r="L926" s="120" t="n"/>
      <c r="M926" s="120" t="n"/>
      <c r="N926" s="120" t="n"/>
      <c r="O926" s="120" t="n"/>
      <c r="P926" s="120" t="n"/>
      <c r="Q926" s="120" t="n"/>
      <c r="R926" s="120" t="n"/>
      <c r="S926" s="120" t="n"/>
      <c r="T926" s="120" t="n"/>
      <c r="U926" s="120" t="n"/>
      <c r="V926" s="120" t="n"/>
      <c r="W926" s="120" t="n"/>
      <c r="X926" s="120" t="n"/>
      <c r="Y926" s="120" t="n"/>
      <c r="Z926" s="120" t="n"/>
      <c r="AB926" s="120" t="n"/>
      <c r="AC926" s="120" t="n"/>
      <c r="AD926" s="120" t="n"/>
      <c r="AE926" s="120" t="n"/>
      <c r="AF926" s="120" t="n"/>
      <c r="AG926" s="120" t="n"/>
      <c r="AH926" s="120" t="n"/>
      <c r="AI926" s="120" t="n"/>
      <c r="AJ926" s="120" t="n"/>
      <c r="AK926" s="120" t="n"/>
      <c r="AL926" s="120" t="n"/>
      <c r="AM926" s="120" t="n"/>
      <c r="AN926" s="120" t="n"/>
      <c r="AO926" s="120" t="n"/>
      <c r="AP926" s="120" t="n"/>
      <c r="AQ926" s="120" t="n"/>
      <c r="AR926" s="120" t="n"/>
      <c r="AS926" s="120" t="n"/>
    </row>
    <row r="927" hidden="1" outlineLevel="2">
      <c r="A927" s="8" t="n"/>
      <c r="B927" s="14" t="n"/>
      <c r="C927" s="120" t="n"/>
      <c r="D927" s="120" t="n"/>
      <c r="E927" s="120" t="n"/>
      <c r="F927" s="120" t="n"/>
      <c r="G927" s="120" t="n"/>
      <c r="I927" s="55">
        <f>DADOS_INVOC!$PI$63</f>
        <v/>
      </c>
      <c r="J927" s="16" t="n"/>
      <c r="K927" s="16" t="n"/>
      <c r="L927" s="16" t="n"/>
      <c r="M927" s="17" t="n"/>
      <c r="N927" s="120" t="n"/>
      <c r="O927" s="120" t="n"/>
      <c r="P927" s="120" t="n"/>
      <c r="Q927" s="120" t="n"/>
      <c r="R927" s="120" t="n"/>
      <c r="S927" s="120" t="n"/>
      <c r="T927" s="120" t="n"/>
      <c r="U927" s="120" t="n"/>
      <c r="V927" s="120" t="n"/>
      <c r="W927" s="120" t="n"/>
      <c r="X927" s="120" t="n"/>
      <c r="Y927" s="120" t="n"/>
      <c r="Z927" s="120" t="n"/>
      <c r="AB927" s="55">
        <f>DADOS_INVOC!$PI$141</f>
        <v/>
      </c>
      <c r="AC927" s="16" t="n"/>
      <c r="AD927" s="16" t="n"/>
      <c r="AE927" s="16" t="n"/>
      <c r="AF927" s="17" t="n"/>
      <c r="AG927" s="120" t="n"/>
      <c r="AH927" s="120" t="n"/>
      <c r="AI927" s="120" t="n"/>
      <c r="AJ927" s="120" t="n"/>
      <c r="AK927" s="120" t="n"/>
      <c r="AL927" s="120" t="n"/>
      <c r="AM927" s="120" t="n"/>
      <c r="AN927" s="120" t="n"/>
      <c r="AO927" s="120" t="n"/>
      <c r="AP927" s="120" t="n"/>
      <c r="AQ927" s="120" t="n"/>
      <c r="AR927" s="120" t="n"/>
      <c r="AS927" s="120" t="n"/>
    </row>
    <row r="928" hidden="1" outlineLevel="2">
      <c r="A928" s="8" t="n"/>
      <c r="B928" s="14" t="n"/>
      <c r="C928" s="120" t="n"/>
      <c r="D928" s="120" t="n"/>
      <c r="E928" s="120" t="n"/>
      <c r="F928" s="120" t="n"/>
      <c r="G928" s="120" t="n"/>
      <c r="I928" s="127" t="n">
        <v>1</v>
      </c>
      <c r="J928" s="115" t="n"/>
      <c r="K928" s="16" t="n"/>
      <c r="L928" s="17" t="n"/>
      <c r="M928" s="128">
        <f>DADOS_INVOC!$PG$63</f>
        <v/>
      </c>
      <c r="N928" s="120" t="n"/>
      <c r="O928" s="120" t="n"/>
      <c r="P928" s="120" t="n"/>
      <c r="Q928" s="120" t="n"/>
      <c r="R928" s="120" t="n"/>
      <c r="S928" s="120" t="n"/>
      <c r="T928" s="120" t="n"/>
      <c r="U928" s="120" t="n"/>
      <c r="V928" s="120" t="n"/>
      <c r="W928" s="120" t="n"/>
      <c r="X928" s="120" t="n"/>
      <c r="Y928" s="120" t="n"/>
      <c r="Z928" s="120" t="n"/>
      <c r="AB928" s="127" t="n">
        <v>1</v>
      </c>
      <c r="AC928" s="115" t="n"/>
      <c r="AD928" s="16" t="n"/>
      <c r="AE928" s="17" t="n"/>
      <c r="AF928" s="128">
        <f>DADOS_INVOC!$PG$141</f>
        <v/>
      </c>
      <c r="AG928" s="120" t="n"/>
      <c r="AH928" s="120" t="n"/>
      <c r="AI928" s="120" t="n"/>
      <c r="AJ928" s="120" t="n"/>
      <c r="AK928" s="120" t="n"/>
      <c r="AL928" s="120" t="n"/>
      <c r="AM928" s="120" t="n"/>
      <c r="AN928" s="120" t="n"/>
      <c r="AO928" s="120" t="n"/>
      <c r="AP928" s="120" t="n"/>
      <c r="AQ928" s="120" t="n"/>
      <c r="AR928" s="120" t="n"/>
      <c r="AS928" s="120" t="n"/>
    </row>
    <row r="929" hidden="1" outlineLevel="3">
      <c r="A929" s="8" t="n"/>
      <c r="B929" s="14" t="n"/>
      <c r="C929" s="120" t="n"/>
      <c r="D929" s="120" t="n"/>
      <c r="E929" s="120" t="n"/>
      <c r="F929" s="120" t="n"/>
      <c r="G929" s="120" t="n"/>
      <c r="I929" s="55" t="inlineStr">
        <is>
          <t>COMO É</t>
        </is>
      </c>
      <c r="J929" s="16" t="n"/>
      <c r="K929" s="16" t="n"/>
      <c r="L929" s="16" t="n"/>
      <c r="M929" s="17" t="n"/>
      <c r="N929" s="120" t="n"/>
      <c r="O929" s="120" t="n"/>
      <c r="P929" s="120" t="n"/>
      <c r="Q929" s="120" t="n"/>
      <c r="R929" s="120" t="n"/>
      <c r="S929" s="120" t="n"/>
      <c r="T929" s="120" t="n"/>
      <c r="U929" s="120" t="n"/>
      <c r="V929" s="120" t="n"/>
      <c r="W929" s="120" t="n"/>
      <c r="X929" s="120" t="n"/>
      <c r="Y929" s="120" t="n"/>
      <c r="Z929" s="120" t="n"/>
      <c r="AB929" s="55" t="inlineStr">
        <is>
          <t>COMO É</t>
        </is>
      </c>
      <c r="AC929" s="16" t="n"/>
      <c r="AD929" s="16" t="n"/>
      <c r="AE929" s="16" t="n"/>
      <c r="AF929" s="17" t="n"/>
      <c r="AG929" s="120" t="n"/>
      <c r="AH929" s="120" t="n"/>
      <c r="AI929" s="120" t="n"/>
      <c r="AJ929" s="120" t="n"/>
      <c r="AK929" s="120" t="n"/>
      <c r="AL929" s="120" t="n"/>
      <c r="AM929" s="120" t="n"/>
      <c r="AN929" s="120" t="n"/>
      <c r="AO929" s="120" t="n"/>
      <c r="AP929" s="120" t="n"/>
      <c r="AQ929" s="120" t="n"/>
      <c r="AR929" s="120" t="n"/>
      <c r="AS929" s="120" t="n"/>
    </row>
    <row r="930" hidden="1" outlineLevel="3">
      <c r="A930" s="8" t="n"/>
      <c r="B930" s="14" t="n"/>
      <c r="C930" s="120" t="n"/>
      <c r="D930" s="120" t="n"/>
      <c r="E930" s="120" t="n"/>
      <c r="F930" s="120" t="n"/>
      <c r="G930" s="120" t="n"/>
      <c r="I930" s="116" t="n"/>
      <c r="J930" s="19" t="n"/>
      <c r="K930" s="19" t="n"/>
      <c r="L930" s="19" t="n"/>
      <c r="M930" s="20" t="n"/>
      <c r="N930" s="120" t="n"/>
      <c r="O930" s="120" t="n"/>
      <c r="P930" s="120" t="n"/>
      <c r="Q930" s="120" t="n"/>
      <c r="R930" s="120" t="n"/>
      <c r="S930" s="120" t="n"/>
      <c r="T930" s="120" t="n"/>
      <c r="U930" s="120" t="n"/>
      <c r="V930" s="120" t="n"/>
      <c r="W930" s="120" t="n"/>
      <c r="X930" s="120" t="n"/>
      <c r="Y930" s="120" t="n"/>
      <c r="Z930" s="120" t="n"/>
      <c r="AB930" s="116" t="n"/>
      <c r="AC930" s="19" t="n"/>
      <c r="AD930" s="19" t="n"/>
      <c r="AE930" s="19" t="n"/>
      <c r="AF930" s="20" t="n"/>
      <c r="AG930" s="120" t="n"/>
      <c r="AH930" s="120" t="n"/>
      <c r="AI930" s="120" t="n"/>
      <c r="AJ930" s="120" t="n"/>
      <c r="AK930" s="120" t="n"/>
      <c r="AL930" s="120" t="n"/>
      <c r="AM930" s="120" t="n"/>
      <c r="AN930" s="120" t="n"/>
      <c r="AO930" s="120" t="n"/>
      <c r="AP930" s="120" t="n"/>
      <c r="AQ930" s="120" t="n"/>
      <c r="AR930" s="120" t="n"/>
      <c r="AS930" s="120" t="n"/>
    </row>
    <row r="931" hidden="1" outlineLevel="3">
      <c r="A931" s="8" t="n"/>
      <c r="B931" s="14" t="n"/>
      <c r="C931" s="120" t="n"/>
      <c r="D931" s="120" t="n"/>
      <c r="E931" s="120" t="n"/>
      <c r="F931" s="120" t="n"/>
      <c r="G931" s="120" t="n"/>
      <c r="I931" s="21" t="n"/>
      <c r="M931" s="22" t="n"/>
      <c r="N931" s="120" t="n"/>
      <c r="O931" s="120" t="n"/>
      <c r="P931" s="120" t="n"/>
      <c r="Q931" s="120" t="n"/>
      <c r="R931" s="120" t="n"/>
      <c r="S931" s="120" t="n"/>
      <c r="T931" s="120" t="n"/>
      <c r="U931" s="120" t="n"/>
      <c r="V931" s="120" t="n"/>
      <c r="W931" s="120" t="n"/>
      <c r="X931" s="120" t="n"/>
      <c r="Y931" s="120" t="n"/>
      <c r="Z931" s="120" t="n"/>
      <c r="AB931" s="21" t="n"/>
      <c r="AF931" s="22" t="n"/>
      <c r="AG931" s="120" t="n"/>
      <c r="AH931" s="120" t="n"/>
      <c r="AI931" s="120" t="n"/>
      <c r="AJ931" s="120" t="n"/>
      <c r="AK931" s="120" t="n"/>
      <c r="AL931" s="120" t="n"/>
      <c r="AM931" s="120" t="n"/>
      <c r="AN931" s="120" t="n"/>
      <c r="AO931" s="120" t="n"/>
      <c r="AP931" s="120" t="n"/>
      <c r="AQ931" s="120" t="n"/>
      <c r="AR931" s="120" t="n"/>
      <c r="AS931" s="120" t="n"/>
    </row>
    <row r="932" hidden="1" outlineLevel="3">
      <c r="A932" s="8" t="n"/>
      <c r="B932" s="14" t="n"/>
      <c r="C932" s="120" t="n"/>
      <c r="D932" s="120" t="n"/>
      <c r="E932" s="120" t="n"/>
      <c r="F932" s="120" t="n"/>
      <c r="G932" s="120" t="n"/>
      <c r="I932" s="23" t="n"/>
      <c r="J932" s="24" t="n"/>
      <c r="K932" s="24" t="n"/>
      <c r="L932" s="24" t="n"/>
      <c r="M932" s="25" t="n"/>
      <c r="N932" s="120" t="n"/>
      <c r="O932" s="120" t="n"/>
      <c r="P932" s="120" t="n"/>
      <c r="Q932" s="120" t="n"/>
      <c r="R932" s="120" t="n"/>
      <c r="S932" s="120" t="n"/>
      <c r="T932" s="120" t="n"/>
      <c r="U932" s="120" t="n"/>
      <c r="V932" s="120" t="n"/>
      <c r="W932" s="120" t="n"/>
      <c r="X932" s="120" t="n"/>
      <c r="Y932" s="120" t="n"/>
      <c r="Z932" s="120" t="n"/>
      <c r="AB932" s="23" t="n"/>
      <c r="AC932" s="24" t="n"/>
      <c r="AD932" s="24" t="n"/>
      <c r="AE932" s="24" t="n"/>
      <c r="AF932" s="25" t="n"/>
      <c r="AG932" s="120" t="n"/>
      <c r="AH932" s="120" t="n"/>
      <c r="AI932" s="120" t="n"/>
      <c r="AJ932" s="120" t="n"/>
      <c r="AK932" s="120" t="n"/>
      <c r="AL932" s="120" t="n"/>
      <c r="AM932" s="120" t="n"/>
      <c r="AN932" s="120" t="n"/>
      <c r="AO932" s="120" t="n"/>
      <c r="AP932" s="120" t="n"/>
      <c r="AQ932" s="120" t="n"/>
      <c r="AR932" s="120" t="n"/>
      <c r="AS932" s="120" t="n"/>
    </row>
    <row r="933" hidden="1" outlineLevel="2">
      <c r="A933" s="8" t="n"/>
      <c r="B933" s="14" t="n"/>
      <c r="C933" s="120" t="n"/>
      <c r="D933" s="120" t="n"/>
      <c r="E933" s="120" t="n"/>
      <c r="F933" s="120" t="n"/>
      <c r="G933" s="120" t="n"/>
      <c r="I933" s="124" t="inlineStr">
        <is>
          <t>Projétil</t>
        </is>
      </c>
      <c r="J933" s="17" t="n"/>
      <c r="K933" s="68">
        <f>DADOS_INVOC!$PN$63</f>
        <v/>
      </c>
      <c r="L933" s="17" t="n"/>
      <c r="M933" s="68">
        <f>DADOS_INVOC!$PJ$63</f>
        <v/>
      </c>
      <c r="N933" s="120" t="n"/>
      <c r="O933" s="120" t="n"/>
      <c r="P933" s="120" t="n"/>
      <c r="Q933" s="120" t="n"/>
      <c r="R933" s="120" t="n"/>
      <c r="S933" s="120" t="n"/>
      <c r="T933" s="120" t="n"/>
      <c r="U933" s="120" t="n"/>
      <c r="V933" s="120" t="n"/>
      <c r="W933" s="120" t="n"/>
      <c r="X933" s="120" t="n"/>
      <c r="Y933" s="120" t="n"/>
      <c r="Z933" s="120" t="n"/>
      <c r="AB933" s="124" t="inlineStr">
        <is>
          <t>Projétil</t>
        </is>
      </c>
      <c r="AC933" s="17" t="n"/>
      <c r="AD933" s="68">
        <f>DADOS_INVOC!$PN$141</f>
        <v/>
      </c>
      <c r="AE933" s="17" t="n"/>
      <c r="AF933" s="68">
        <f>DADOS_INVOC!$PJ$141</f>
        <v/>
      </c>
      <c r="AG933" s="120" t="n"/>
      <c r="AH933" s="120" t="n"/>
      <c r="AI933" s="120" t="n"/>
      <c r="AJ933" s="120" t="n"/>
      <c r="AK933" s="120" t="n"/>
      <c r="AL933" s="120" t="n"/>
      <c r="AM933" s="120" t="n"/>
      <c r="AN933" s="120" t="n"/>
      <c r="AO933" s="120" t="n"/>
      <c r="AP933" s="120" t="n"/>
      <c r="AQ933" s="120" t="n"/>
      <c r="AR933" s="120" t="n"/>
      <c r="AS933" s="120" t="n"/>
    </row>
    <row r="934" hidden="1" outlineLevel="2">
      <c r="A934" s="8" t="n"/>
      <c r="B934" s="14" t="n"/>
      <c r="C934" s="120" t="n"/>
      <c r="D934" s="120" t="n"/>
      <c r="E934" s="120" t="n"/>
      <c r="F934" s="120" t="n"/>
      <c r="G934" s="120" t="n"/>
      <c r="I934" s="124" t="n"/>
      <c r="J934" s="17" t="n"/>
      <c r="K934" s="124" t="n"/>
      <c r="L934" s="16" t="n"/>
      <c r="M934" s="17" t="n"/>
      <c r="N934" s="120" t="n"/>
      <c r="O934" s="120" t="n"/>
      <c r="P934" s="120" t="n"/>
      <c r="Q934" s="120" t="n"/>
      <c r="R934" s="120" t="n"/>
      <c r="S934" s="120" t="n"/>
      <c r="T934" s="120" t="n"/>
      <c r="U934" s="120" t="n"/>
      <c r="V934" s="120" t="n"/>
      <c r="W934" s="120" t="n"/>
      <c r="X934" s="120" t="n"/>
      <c r="Y934" s="120" t="n"/>
      <c r="Z934" s="120" t="n"/>
      <c r="AB934" s="124" t="n"/>
      <c r="AC934" s="17" t="n"/>
      <c r="AD934" s="124" t="n"/>
      <c r="AE934" s="16" t="n"/>
      <c r="AF934" s="17" t="n"/>
      <c r="AG934" s="120" t="n"/>
      <c r="AH934" s="120" t="n"/>
      <c r="AI934" s="120" t="n"/>
      <c r="AJ934" s="120" t="n"/>
      <c r="AK934" s="120" t="n"/>
      <c r="AL934" s="120" t="n"/>
      <c r="AM934" s="120" t="n"/>
      <c r="AN934" s="120" t="n"/>
      <c r="AO934" s="120" t="n"/>
      <c r="AP934" s="120" t="n"/>
      <c r="AQ934" s="120" t="n"/>
      <c r="AR934" s="120" t="n"/>
      <c r="AS934" s="120" t="n"/>
    </row>
    <row r="935" hidden="1" outlineLevel="2">
      <c r="A935" s="8" t="n"/>
      <c r="B935" s="14" t="n"/>
      <c r="C935" s="120" t="n"/>
      <c r="D935" s="120" t="n"/>
      <c r="E935" s="120" t="n"/>
      <c r="F935" s="120" t="n"/>
      <c r="G935" s="120" t="n"/>
      <c r="I935" s="124">
        <f>DADOS_INVOC!$PK$63</f>
        <v/>
      </c>
      <c r="J935" s="17" t="n"/>
      <c r="K935" s="124">
        <f>DADOS_INVOC!$PM$63</f>
        <v/>
      </c>
      <c r="L935" s="16" t="n"/>
      <c r="M935" s="17" t="n"/>
      <c r="N935" s="120" t="n"/>
      <c r="O935" s="120" t="n"/>
      <c r="P935" s="120" t="n"/>
      <c r="Q935" s="120" t="n"/>
      <c r="R935" s="120" t="n"/>
      <c r="S935" s="120" t="n"/>
      <c r="T935" s="120" t="n"/>
      <c r="U935" s="120" t="n"/>
      <c r="V935" s="120" t="n"/>
      <c r="W935" s="120" t="n"/>
      <c r="X935" s="120" t="n"/>
      <c r="Y935" s="120" t="n"/>
      <c r="Z935" s="120" t="n"/>
      <c r="AB935" s="124">
        <f>DADOS_INVOC!$PK$141</f>
        <v/>
      </c>
      <c r="AC935" s="17" t="n"/>
      <c r="AD935" s="124">
        <f>DADOS_INVOC!$PM$141</f>
        <v/>
      </c>
      <c r="AE935" s="16" t="n"/>
      <c r="AF935" s="17" t="n"/>
      <c r="AG935" s="120" t="n"/>
      <c r="AH935" s="120" t="n"/>
      <c r="AI935" s="120" t="n"/>
      <c r="AJ935" s="120" t="n"/>
      <c r="AK935" s="120" t="n"/>
      <c r="AL935" s="120" t="n"/>
      <c r="AM935" s="120" t="n"/>
      <c r="AN935" s="120" t="n"/>
      <c r="AO935" s="120" t="n"/>
      <c r="AP935" s="120" t="n"/>
      <c r="AQ935" s="120" t="n"/>
      <c r="AR935" s="120" t="n"/>
      <c r="AS935" s="120" t="n"/>
    </row>
    <row r="936" hidden="1" outlineLevel="2">
      <c r="A936" s="8" t="n"/>
      <c r="B936" s="14" t="n"/>
      <c r="C936" s="120" t="n"/>
      <c r="D936" s="120" t="n"/>
      <c r="E936" s="120" t="n"/>
      <c r="F936" s="120" t="n"/>
      <c r="G936" s="120" t="n"/>
      <c r="I936" s="129">
        <f>DADOS_INVOC!$PS$63</f>
        <v/>
      </c>
      <c r="J936" s="16" t="n"/>
      <c r="K936" s="16" t="n"/>
      <c r="L936" s="16" t="n"/>
      <c r="M936" s="17" t="n"/>
      <c r="N936" s="120" t="n"/>
      <c r="O936" s="120" t="n"/>
      <c r="P936" s="120" t="n"/>
      <c r="Q936" s="120" t="n"/>
      <c r="R936" s="120" t="n"/>
      <c r="S936" s="120" t="n"/>
      <c r="T936" s="120" t="n"/>
      <c r="U936" s="120" t="n"/>
      <c r="V936" s="120" t="n"/>
      <c r="W936" s="120" t="n"/>
      <c r="X936" s="120" t="n"/>
      <c r="Y936" s="120" t="n"/>
      <c r="Z936" s="120" t="n"/>
      <c r="AB936" s="129">
        <f>DADOS_INVOC!$PS$141</f>
        <v/>
      </c>
      <c r="AC936" s="16" t="n"/>
      <c r="AD936" s="16" t="n"/>
      <c r="AE936" s="16" t="n"/>
      <c r="AF936" s="17" t="n"/>
      <c r="AG936" s="120" t="n"/>
      <c r="AH936" s="120" t="n"/>
      <c r="AI936" s="120" t="n"/>
      <c r="AJ936" s="120" t="n"/>
      <c r="AK936" s="120" t="n"/>
      <c r="AL936" s="120" t="n"/>
      <c r="AM936" s="120" t="n"/>
      <c r="AN936" s="120" t="n"/>
      <c r="AO936" s="120" t="n"/>
      <c r="AP936" s="120" t="n"/>
      <c r="AQ936" s="120" t="n"/>
      <c r="AR936" s="120" t="n"/>
      <c r="AS936" s="120" t="n"/>
    </row>
    <row r="937" hidden="1" outlineLevel="3">
      <c r="A937" s="8" t="n"/>
      <c r="B937" s="14" t="n"/>
      <c r="C937" s="120" t="n"/>
      <c r="D937" s="120" t="n"/>
      <c r="E937" s="120" t="n"/>
      <c r="F937" s="120" t="n"/>
      <c r="G937" s="120" t="n"/>
      <c r="I937" s="55" t="inlineStr">
        <is>
          <t>MELHORIAS</t>
        </is>
      </c>
      <c r="J937" s="130" t="n"/>
      <c r="K937" s="16" t="n"/>
      <c r="L937" s="17" t="n"/>
      <c r="M937" s="129">
        <f>DADOS_INVOC!$PV$63</f>
        <v/>
      </c>
      <c r="N937" s="120" t="n"/>
      <c r="O937" s="120" t="n"/>
      <c r="P937" s="120" t="n"/>
      <c r="Q937" s="120" t="n"/>
      <c r="R937" s="120" t="n"/>
      <c r="S937" s="120" t="n"/>
      <c r="T937" s="120" t="n"/>
      <c r="U937" s="120" t="n"/>
      <c r="V937" s="120" t="n"/>
      <c r="W937" s="120" t="n"/>
      <c r="X937" s="120" t="n"/>
      <c r="Y937" s="120" t="n"/>
      <c r="Z937" s="120" t="n"/>
      <c r="AB937" s="55" t="inlineStr">
        <is>
          <t>MELHORIAS</t>
        </is>
      </c>
      <c r="AC937" s="130" t="n"/>
      <c r="AD937" s="16" t="n"/>
      <c r="AE937" s="17" t="n"/>
      <c r="AF937" s="129">
        <f>DADOS_INVOC!$PV$141</f>
        <v/>
      </c>
      <c r="AG937" s="120" t="n"/>
      <c r="AH937" s="120" t="n"/>
      <c r="AI937" s="120" t="n"/>
      <c r="AJ937" s="120" t="n"/>
      <c r="AK937" s="120" t="n"/>
      <c r="AL937" s="120" t="n"/>
      <c r="AM937" s="120" t="n"/>
      <c r="AN937" s="120" t="n"/>
      <c r="AO937" s="120" t="n"/>
      <c r="AP937" s="120" t="n"/>
      <c r="AQ937" s="120" t="n"/>
      <c r="AR937" s="120" t="n"/>
      <c r="AS937" s="120" t="n"/>
    </row>
    <row r="938" hidden="1" outlineLevel="3">
      <c r="A938" s="8" t="n"/>
      <c r="B938" s="14" t="n"/>
      <c r="C938" s="120" t="n"/>
      <c r="D938" s="120" t="n"/>
      <c r="E938" s="120" t="n"/>
      <c r="F938" s="120" t="n"/>
      <c r="G938" s="120" t="n"/>
      <c r="I938" s="131" t="n"/>
      <c r="J938" s="130" t="n"/>
      <c r="K938" s="16" t="n"/>
      <c r="L938" s="17" t="n"/>
      <c r="M938" s="129">
        <f>DADOS_INVOC!$PW$63</f>
        <v/>
      </c>
      <c r="N938" s="120" t="n"/>
      <c r="O938" s="120" t="n"/>
      <c r="P938" s="120" t="n"/>
      <c r="Q938" s="120" t="n"/>
      <c r="R938" s="120" t="n"/>
      <c r="S938" s="120" t="n"/>
      <c r="T938" s="120" t="n"/>
      <c r="U938" s="120" t="n"/>
      <c r="V938" s="120" t="n"/>
      <c r="W938" s="120" t="n"/>
      <c r="X938" s="120" t="n"/>
      <c r="Y938" s="120" t="n"/>
      <c r="Z938" s="120" t="n"/>
      <c r="AB938" s="131" t="n"/>
      <c r="AC938" s="130" t="n"/>
      <c r="AD938" s="16" t="n"/>
      <c r="AE938" s="17" t="n"/>
      <c r="AF938" s="129">
        <f>DADOS_INVOC!$PW$141</f>
        <v/>
      </c>
      <c r="AG938" s="120" t="n"/>
      <c r="AH938" s="120" t="n"/>
      <c r="AI938" s="120" t="n"/>
      <c r="AJ938" s="120" t="n"/>
      <c r="AK938" s="120" t="n"/>
      <c r="AL938" s="120" t="n"/>
      <c r="AM938" s="120" t="n"/>
      <c r="AN938" s="120" t="n"/>
      <c r="AO938" s="120" t="n"/>
      <c r="AP938" s="120" t="n"/>
      <c r="AQ938" s="120" t="n"/>
      <c r="AR938" s="120" t="n"/>
      <c r="AS938" s="120" t="n"/>
    </row>
    <row r="939" hidden="1" outlineLevel="3">
      <c r="A939" s="8" t="n"/>
      <c r="B939" s="14" t="n"/>
      <c r="C939" s="120" t="n"/>
      <c r="D939" s="120" t="n"/>
      <c r="E939" s="120" t="n"/>
      <c r="F939" s="120" t="n"/>
      <c r="G939" s="120" t="n"/>
      <c r="I939" s="131" t="n"/>
      <c r="J939" s="130" t="n"/>
      <c r="K939" s="16" t="n"/>
      <c r="L939" s="17" t="n"/>
      <c r="M939" s="129">
        <f>DADOS_INVOC!$PX$63</f>
        <v/>
      </c>
      <c r="N939" s="120" t="n"/>
      <c r="O939" s="120" t="n"/>
      <c r="P939" s="120" t="n"/>
      <c r="Q939" s="120" t="n"/>
      <c r="R939" s="120" t="n"/>
      <c r="S939" s="120" t="n"/>
      <c r="T939" s="120" t="n"/>
      <c r="U939" s="120" t="n"/>
      <c r="V939" s="120" t="n"/>
      <c r="W939" s="120" t="n"/>
      <c r="X939" s="120" t="n"/>
      <c r="Y939" s="120" t="n"/>
      <c r="Z939" s="120" t="n"/>
      <c r="AB939" s="131" t="n"/>
      <c r="AC939" s="130" t="n"/>
      <c r="AD939" s="16" t="n"/>
      <c r="AE939" s="17" t="n"/>
      <c r="AF939" s="129">
        <f>DADOS_INVOC!$PX$141</f>
        <v/>
      </c>
      <c r="AG939" s="120" t="n"/>
      <c r="AH939" s="120" t="n"/>
      <c r="AI939" s="120" t="n"/>
      <c r="AJ939" s="120" t="n"/>
      <c r="AK939" s="120" t="n"/>
      <c r="AL939" s="120" t="n"/>
      <c r="AM939" s="120" t="n"/>
      <c r="AN939" s="120" t="n"/>
      <c r="AO939" s="120" t="n"/>
      <c r="AP939" s="120" t="n"/>
      <c r="AQ939" s="120" t="n"/>
      <c r="AR939" s="120" t="n"/>
      <c r="AS939" s="120" t="n"/>
    </row>
    <row r="940" hidden="1" outlineLevel="3">
      <c r="A940" s="8" t="n"/>
      <c r="B940" s="14" t="n"/>
      <c r="C940" s="120" t="n"/>
      <c r="D940" s="120" t="n"/>
      <c r="E940" s="120" t="n"/>
      <c r="F940" s="120" t="n"/>
      <c r="G940" s="120" t="n"/>
      <c r="I940" s="125" t="n"/>
      <c r="J940" s="130" t="n"/>
      <c r="K940" s="16" t="n"/>
      <c r="L940" s="17" t="n"/>
      <c r="M940" s="129">
        <f>DADOS_INVOC!$PY$63</f>
        <v/>
      </c>
      <c r="N940" s="120" t="n"/>
      <c r="O940" s="120" t="n"/>
      <c r="P940" s="120" t="n"/>
      <c r="Q940" s="120" t="n"/>
      <c r="R940" s="120" t="n"/>
      <c r="S940" s="120" t="n"/>
      <c r="T940" s="120" t="n"/>
      <c r="U940" s="120" t="n"/>
      <c r="V940" s="120" t="n"/>
      <c r="W940" s="120" t="n"/>
      <c r="X940" s="120" t="n"/>
      <c r="Y940" s="120" t="n"/>
      <c r="Z940" s="120" t="n"/>
      <c r="AB940" s="125" t="n"/>
      <c r="AC940" s="130" t="n"/>
      <c r="AD940" s="16" t="n"/>
      <c r="AE940" s="17" t="n"/>
      <c r="AF940" s="129">
        <f>DADOS_INVOC!$PY$141</f>
        <v/>
      </c>
      <c r="AG940" s="120" t="n"/>
      <c r="AH940" s="120" t="n"/>
      <c r="AI940" s="120" t="n"/>
      <c r="AJ940" s="120" t="n"/>
      <c r="AK940" s="120" t="n"/>
      <c r="AL940" s="120" t="n"/>
      <c r="AM940" s="120" t="n"/>
      <c r="AN940" s="120" t="n"/>
      <c r="AO940" s="120" t="n"/>
      <c r="AP940" s="120" t="n"/>
      <c r="AQ940" s="120" t="n"/>
      <c r="AR940" s="120" t="n"/>
      <c r="AS940" s="120" t="n"/>
    </row>
    <row r="941" hidden="1" outlineLevel="3">
      <c r="A941" s="8" t="n"/>
      <c r="B941" s="14" t="n"/>
      <c r="C941" s="120" t="n"/>
      <c r="D941" s="120" t="n"/>
      <c r="E941" s="120" t="n"/>
      <c r="F941" s="120" t="n"/>
      <c r="G941" s="120" t="n"/>
      <c r="I941" s="55" t="inlineStr">
        <is>
          <t>RESTRIÇÕES</t>
        </is>
      </c>
      <c r="J941" s="130" t="n"/>
      <c r="K941" s="16" t="n"/>
      <c r="L941" s="17" t="n"/>
      <c r="M941" s="129">
        <f>DADOS_INVOC!$PZ$63</f>
        <v/>
      </c>
      <c r="N941" s="120" t="n"/>
      <c r="O941" s="120" t="n"/>
      <c r="P941" s="120" t="n"/>
      <c r="Q941" s="120" t="n"/>
      <c r="R941" s="120" t="n"/>
      <c r="S941" s="120" t="n"/>
      <c r="T941" s="120" t="n"/>
      <c r="U941" s="120" t="n"/>
      <c r="V941" s="120" t="n"/>
      <c r="W941" s="120" t="n"/>
      <c r="X941" s="120" t="n"/>
      <c r="Y941" s="120" t="n"/>
      <c r="Z941" s="120" t="n"/>
      <c r="AB941" s="55" t="inlineStr">
        <is>
          <t>RESTRIÇÕES</t>
        </is>
      </c>
      <c r="AC941" s="130" t="n"/>
      <c r="AD941" s="16" t="n"/>
      <c r="AE941" s="17" t="n"/>
      <c r="AF941" s="129">
        <f>DADOS_INVOC!$PZ$141</f>
        <v/>
      </c>
      <c r="AG941" s="120" t="n"/>
      <c r="AH941" s="120" t="n"/>
      <c r="AI941" s="120" t="n"/>
      <c r="AJ941" s="120" t="n"/>
      <c r="AK941" s="120" t="n"/>
      <c r="AL941" s="120" t="n"/>
      <c r="AM941" s="120" t="n"/>
      <c r="AN941" s="120" t="n"/>
      <c r="AO941" s="120" t="n"/>
      <c r="AP941" s="120" t="n"/>
      <c r="AQ941" s="120" t="n"/>
      <c r="AR941" s="120" t="n"/>
      <c r="AS941" s="120" t="n"/>
    </row>
    <row r="942" hidden="1" outlineLevel="3">
      <c r="A942" s="8" t="n"/>
      <c r="B942" s="14" t="n"/>
      <c r="C942" s="120" t="n"/>
      <c r="D942" s="120" t="n"/>
      <c r="E942" s="120" t="n"/>
      <c r="F942" s="120" t="n"/>
      <c r="G942" s="120" t="n"/>
      <c r="I942" s="125" t="n"/>
      <c r="J942" s="130" t="n"/>
      <c r="K942" s="16" t="n"/>
      <c r="L942" s="17" t="n"/>
      <c r="M942" s="129">
        <f>DADOS_INVOC!$QA$63</f>
        <v/>
      </c>
      <c r="N942" s="120" t="n"/>
      <c r="O942" s="120" t="n"/>
      <c r="P942" s="120" t="n"/>
      <c r="Q942" s="120" t="n"/>
      <c r="R942" s="120" t="n"/>
      <c r="S942" s="120" t="n"/>
      <c r="T942" s="120" t="n"/>
      <c r="U942" s="120" t="n"/>
      <c r="V942" s="120" t="n"/>
      <c r="W942" s="120" t="n"/>
      <c r="X942" s="120" t="n"/>
      <c r="Y942" s="120" t="n"/>
      <c r="Z942" s="120" t="n"/>
      <c r="AB942" s="125" t="n"/>
      <c r="AC942" s="130" t="n"/>
      <c r="AD942" s="16" t="n"/>
      <c r="AE942" s="17" t="n"/>
      <c r="AF942" s="129">
        <f>DADOS_INVOC!$QA$141</f>
        <v/>
      </c>
      <c r="AG942" s="120" t="n"/>
      <c r="AH942" s="120" t="n"/>
      <c r="AI942" s="120" t="n"/>
      <c r="AJ942" s="120" t="n"/>
      <c r="AK942" s="120" t="n"/>
      <c r="AL942" s="120" t="n"/>
      <c r="AM942" s="120" t="n"/>
      <c r="AN942" s="120" t="n"/>
      <c r="AO942" s="120" t="n"/>
      <c r="AP942" s="120" t="n"/>
      <c r="AQ942" s="120" t="n"/>
      <c r="AR942" s="120" t="n"/>
      <c r="AS942" s="120" t="n"/>
    </row>
    <row r="943" hidden="1" outlineLevel="3">
      <c r="A943" s="8" t="n"/>
      <c r="B943" s="14" t="n"/>
      <c r="C943" s="120" t="n"/>
      <c r="D943" s="120" t="n"/>
      <c r="E943" s="120" t="n"/>
      <c r="F943" s="120" t="n"/>
      <c r="G943" s="120" t="n"/>
      <c r="I943" s="55" t="inlineStr">
        <is>
          <t>CONTA</t>
        </is>
      </c>
      <c r="J943" s="132">
        <f>DADOS_INVOC!$PT$63</f>
        <v/>
      </c>
      <c r="K943" s="16" t="n"/>
      <c r="L943" s="16" t="n"/>
      <c r="M943" s="17" t="n"/>
      <c r="N943" s="120" t="n"/>
      <c r="O943" s="120" t="n"/>
      <c r="P943" s="120" t="n"/>
      <c r="Q943" s="120" t="n"/>
      <c r="R943" s="120" t="n"/>
      <c r="S943" s="120" t="n"/>
      <c r="T943" s="120" t="n"/>
      <c r="U943" s="120" t="n"/>
      <c r="V943" s="120" t="n"/>
      <c r="W943" s="120" t="n"/>
      <c r="X943" s="120" t="n"/>
      <c r="Y943" s="120" t="n"/>
      <c r="Z943" s="120" t="n"/>
      <c r="AB943" s="55" t="inlineStr">
        <is>
          <t>CONTA</t>
        </is>
      </c>
      <c r="AC943" s="132">
        <f>DADOS_INVOC!$PT$141</f>
        <v/>
      </c>
      <c r="AD943" s="16" t="n"/>
      <c r="AE943" s="16" t="n"/>
      <c r="AF943" s="17" t="n"/>
      <c r="AG943" s="120" t="n"/>
      <c r="AH943" s="120" t="n"/>
      <c r="AI943" s="120" t="n"/>
      <c r="AJ943" s="120" t="n"/>
      <c r="AK943" s="120" t="n"/>
      <c r="AL943" s="120" t="n"/>
      <c r="AM943" s="120" t="n"/>
      <c r="AN943" s="120" t="n"/>
      <c r="AO943" s="120" t="n"/>
      <c r="AP943" s="120" t="n"/>
      <c r="AQ943" s="120" t="n"/>
      <c r="AR943" s="120" t="n"/>
      <c r="AS943" s="120" t="n"/>
    </row>
    <row r="944" hidden="1" outlineLevel="3">
      <c r="A944" s="8" t="n"/>
      <c r="B944" s="14" t="n"/>
      <c r="C944" s="120" t="n"/>
      <c r="D944" s="120" t="n"/>
      <c r="E944" s="120" t="n"/>
      <c r="F944" s="120" t="n"/>
      <c r="G944" s="120" t="n"/>
      <c r="I944" s="55" t="inlineStr">
        <is>
          <t>AMPLIAR</t>
        </is>
      </c>
      <c r="J944" s="132">
        <f>DADOS_INVOC!$PU$63</f>
        <v/>
      </c>
      <c r="K944" s="19" t="n"/>
      <c r="L944" s="19" t="n"/>
      <c r="M944" s="20" t="n"/>
      <c r="N944" s="120" t="n"/>
      <c r="O944" s="120" t="n"/>
      <c r="P944" s="120" t="n"/>
      <c r="Q944" s="120" t="n"/>
      <c r="R944" s="120" t="n"/>
      <c r="S944" s="120" t="n"/>
      <c r="T944" s="120" t="n"/>
      <c r="U944" s="120" t="n"/>
      <c r="V944" s="120" t="n"/>
      <c r="W944" s="120" t="n"/>
      <c r="X944" s="120" t="n"/>
      <c r="Y944" s="120" t="n"/>
      <c r="Z944" s="120" t="n"/>
      <c r="AB944" s="55" t="inlineStr">
        <is>
          <t>AMPLIAR</t>
        </is>
      </c>
      <c r="AC944" s="132">
        <f>DADOS_INVOC!$PU$141</f>
        <v/>
      </c>
      <c r="AD944" s="19" t="n"/>
      <c r="AE944" s="19" t="n"/>
      <c r="AF944" s="20" t="n"/>
      <c r="AG944" s="120" t="n"/>
      <c r="AH944" s="120" t="n"/>
      <c r="AI944" s="120" t="n"/>
      <c r="AJ944" s="120" t="n"/>
      <c r="AK944" s="120" t="n"/>
      <c r="AL944" s="120" t="n"/>
      <c r="AM944" s="120" t="n"/>
      <c r="AN944" s="120" t="n"/>
      <c r="AO944" s="120" t="n"/>
      <c r="AP944" s="120" t="n"/>
      <c r="AQ944" s="120" t="n"/>
      <c r="AR944" s="120" t="n"/>
      <c r="AS944" s="120" t="n"/>
    </row>
    <row r="945" hidden="1" outlineLevel="3">
      <c r="A945" s="8" t="n"/>
      <c r="B945" s="14" t="n"/>
      <c r="C945" s="120" t="n"/>
      <c r="D945" s="120" t="n"/>
      <c r="E945" s="120" t="n"/>
      <c r="F945" s="120" t="n"/>
      <c r="G945" s="120" t="n"/>
      <c r="I945" s="125" t="n"/>
      <c r="J945" s="23" t="n"/>
      <c r="K945" s="24" t="n"/>
      <c r="L945" s="24" t="n"/>
      <c r="M945" s="25" t="n"/>
      <c r="N945" s="120" t="n"/>
      <c r="O945" s="120" t="n"/>
      <c r="P945" s="120" t="n"/>
      <c r="Q945" s="120" t="n"/>
      <c r="R945" s="120" t="n"/>
      <c r="S945" s="120" t="n"/>
      <c r="T945" s="120" t="n"/>
      <c r="U945" s="120" t="n"/>
      <c r="V945" s="120" t="n"/>
      <c r="W945" s="120" t="n"/>
      <c r="X945" s="120" t="n"/>
      <c r="Y945" s="120" t="n"/>
      <c r="Z945" s="120" t="n"/>
      <c r="AB945" s="125" t="n"/>
      <c r="AC945" s="23" t="n"/>
      <c r="AD945" s="24" t="n"/>
      <c r="AE945" s="24" t="n"/>
      <c r="AF945" s="25" t="n"/>
      <c r="AG945" s="120" t="n"/>
      <c r="AH945" s="120" t="n"/>
      <c r="AI945" s="120" t="n"/>
      <c r="AJ945" s="120" t="n"/>
      <c r="AK945" s="120" t="n"/>
      <c r="AL945" s="120" t="n"/>
      <c r="AM945" s="120" t="n"/>
      <c r="AN945" s="120" t="n"/>
      <c r="AO945" s="120" t="n"/>
      <c r="AP945" s="120" t="n"/>
      <c r="AQ945" s="120" t="n"/>
      <c r="AR945" s="120" t="n"/>
      <c r="AS945" s="120" t="n"/>
    </row>
    <row r="946" hidden="1" outlineLevel="3">
      <c r="A946" s="8" t="n"/>
      <c r="B946" s="14" t="n"/>
      <c r="C946" s="120" t="n"/>
      <c r="D946" s="120" t="n"/>
      <c r="E946" s="120" t="n"/>
      <c r="F946" s="120" t="n"/>
      <c r="G946" s="120" t="n"/>
      <c r="I946" s="132">
        <f>DADOS_INVOC!$PH$63</f>
        <v/>
      </c>
      <c r="J946" s="19" t="n"/>
      <c r="K946" s="19" t="n"/>
      <c r="L946" s="19" t="n"/>
      <c r="M946" s="20" t="n"/>
      <c r="N946" s="120" t="n"/>
      <c r="O946" s="120" t="n"/>
      <c r="P946" s="120" t="n"/>
      <c r="Q946" s="120" t="n"/>
      <c r="R946" s="120" t="n"/>
      <c r="S946" s="120" t="n"/>
      <c r="T946" s="120" t="n"/>
      <c r="U946" s="120" t="n"/>
      <c r="V946" s="120" t="n"/>
      <c r="W946" s="120" t="n"/>
      <c r="X946" s="120" t="n"/>
      <c r="Y946" s="120" t="n"/>
      <c r="Z946" s="120" t="n"/>
      <c r="AB946" s="132">
        <f>DADOS_INVOC!$PH$141</f>
        <v/>
      </c>
      <c r="AC946" s="19" t="n"/>
      <c r="AD946" s="19" t="n"/>
      <c r="AE946" s="19" t="n"/>
      <c r="AF946" s="20" t="n"/>
      <c r="AG946" s="120" t="n"/>
      <c r="AH946" s="120" t="n"/>
      <c r="AI946" s="120" t="n"/>
      <c r="AJ946" s="120" t="n"/>
      <c r="AK946" s="120" t="n"/>
      <c r="AL946" s="120" t="n"/>
      <c r="AM946" s="120" t="n"/>
      <c r="AN946" s="120" t="n"/>
      <c r="AO946" s="120" t="n"/>
      <c r="AP946" s="120" t="n"/>
      <c r="AQ946" s="120" t="n"/>
      <c r="AR946" s="120" t="n"/>
      <c r="AS946" s="120" t="n"/>
    </row>
    <row r="947" hidden="1" outlineLevel="3">
      <c r="A947" s="8" t="n"/>
      <c r="B947" s="14" t="n"/>
      <c r="C947" s="120" t="n"/>
      <c r="D947" s="120" t="n"/>
      <c r="E947" s="120" t="n"/>
      <c r="F947" s="120" t="n"/>
      <c r="G947" s="120" t="n"/>
      <c r="I947" s="23" t="n"/>
      <c r="J947" s="24" t="n"/>
      <c r="K947" s="24" t="n"/>
      <c r="L947" s="24" t="n"/>
      <c r="M947" s="25" t="n"/>
      <c r="N947" s="120" t="n"/>
      <c r="O947" s="120" t="n"/>
      <c r="P947" s="120" t="n"/>
      <c r="Q947" s="120" t="n"/>
      <c r="R947" s="120" t="n"/>
      <c r="S947" s="120" t="n"/>
      <c r="T947" s="120" t="n"/>
      <c r="U947" s="120" t="n"/>
      <c r="V947" s="120" t="n"/>
      <c r="W947" s="120" t="n"/>
      <c r="X947" s="120" t="n"/>
      <c r="Y947" s="120" t="n"/>
      <c r="Z947" s="120" t="n"/>
      <c r="AB947" s="23" t="n"/>
      <c r="AC947" s="24" t="n"/>
      <c r="AD947" s="24" t="n"/>
      <c r="AE947" s="24" t="n"/>
      <c r="AF947" s="25" t="n"/>
      <c r="AG947" s="120" t="n"/>
      <c r="AH947" s="120" t="n"/>
      <c r="AI947" s="120" t="n"/>
      <c r="AJ947" s="120" t="n"/>
      <c r="AK947" s="120" t="n"/>
      <c r="AL947" s="120" t="n"/>
      <c r="AM947" s="120" t="n"/>
      <c r="AN947" s="120" t="n"/>
      <c r="AO947" s="120" t="n"/>
      <c r="AP947" s="120" t="n"/>
      <c r="AQ947" s="120" t="n"/>
      <c r="AR947" s="120" t="n"/>
      <c r="AS947" s="120" t="n"/>
    </row>
    <row r="948" hidden="1" outlineLevel="1">
      <c r="A948" s="8" t="n"/>
      <c r="B948" s="14" t="n"/>
      <c r="C948" s="120" t="n"/>
      <c r="D948" s="120" t="n"/>
      <c r="E948" s="120" t="n"/>
      <c r="F948" s="120" t="n"/>
      <c r="G948" s="120" t="n"/>
      <c r="I948" s="120" t="n"/>
      <c r="J948" s="120" t="n"/>
      <c r="K948" s="120" t="n"/>
      <c r="L948" s="120" t="n"/>
      <c r="M948" s="120" t="n"/>
      <c r="N948" s="120" t="n"/>
      <c r="O948" s="120" t="n"/>
      <c r="P948" s="120" t="n"/>
      <c r="Q948" s="120" t="n"/>
      <c r="R948" s="120" t="n"/>
      <c r="S948" s="120" t="n"/>
      <c r="T948" s="120" t="n"/>
      <c r="U948" s="120" t="n"/>
      <c r="V948" s="120" t="n"/>
      <c r="W948" s="120" t="n"/>
      <c r="X948" s="120" t="n"/>
      <c r="Y948" s="120" t="n"/>
      <c r="Z948" s="120" t="n"/>
      <c r="AB948" s="120" t="n"/>
      <c r="AC948" s="120" t="n"/>
      <c r="AD948" s="120" t="n"/>
      <c r="AE948" s="120" t="n"/>
      <c r="AF948" s="120" t="n"/>
      <c r="AG948" s="120" t="n"/>
      <c r="AH948" s="120" t="n"/>
      <c r="AI948" s="120" t="n"/>
      <c r="AJ948" s="120" t="n"/>
      <c r="AK948" s="120" t="n"/>
      <c r="AL948" s="120" t="n"/>
      <c r="AM948" s="120" t="n"/>
      <c r="AN948" s="120" t="n"/>
      <c r="AO948" s="120" t="n"/>
      <c r="AP948" s="120" t="n"/>
      <c r="AQ948" s="120" t="n"/>
      <c r="AR948" s="120" t="n"/>
      <c r="AS948" s="120" t="n"/>
    </row>
    <row r="949" hidden="1" outlineLevel="1">
      <c r="A949" s="8" t="n"/>
      <c r="B949" s="14" t="n"/>
      <c r="C949" s="120" t="n"/>
      <c r="D949" s="120" t="n"/>
      <c r="E949" s="120" t="n"/>
      <c r="F949" s="120" t="n"/>
      <c r="G949" s="120" t="n"/>
      <c r="I949" s="13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0" t="n"/>
      <c r="AB949" s="13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0" t="n"/>
    </row>
    <row r="950" hidden="1" outlineLevel="2">
      <c r="A950" s="8" t="n"/>
      <c r="B950" s="14" t="n"/>
      <c r="C950" s="120" t="n"/>
      <c r="D950" s="120" t="n"/>
      <c r="E950" s="120" t="n"/>
      <c r="F950" s="120" t="n"/>
      <c r="G950" s="120" t="n"/>
      <c r="I950" s="120" t="n"/>
      <c r="J950" s="120" t="n"/>
      <c r="K950" s="120" t="n"/>
      <c r="L950" s="120" t="n"/>
      <c r="M950" s="120" t="n"/>
      <c r="N950" s="120" t="n"/>
      <c r="O950" s="120" t="n"/>
      <c r="P950" s="120" t="n"/>
      <c r="Q950" s="120" t="n"/>
      <c r="R950" s="120" t="n"/>
      <c r="S950" s="120" t="n"/>
      <c r="T950" s="120" t="n"/>
      <c r="U950" s="120" t="n"/>
      <c r="V950" s="120" t="n"/>
      <c r="W950" s="120" t="n"/>
      <c r="X950" s="120" t="n"/>
      <c r="Y950" s="120" t="n"/>
      <c r="Z950" s="120" t="n"/>
      <c r="AB950" s="120" t="n"/>
      <c r="AC950" s="120" t="n"/>
      <c r="AD950" s="120" t="n"/>
      <c r="AE950" s="120" t="n"/>
      <c r="AF950" s="120" t="n"/>
      <c r="AG950" s="120" t="n"/>
      <c r="AH950" s="120" t="n"/>
      <c r="AI950" s="120" t="n"/>
      <c r="AJ950" s="120" t="n"/>
      <c r="AK950" s="120" t="n"/>
      <c r="AL950" s="120" t="n"/>
      <c r="AM950" s="120" t="n"/>
      <c r="AN950" s="120" t="n"/>
      <c r="AO950" s="120" t="n"/>
      <c r="AP950" s="120" t="n"/>
      <c r="AQ950" s="120" t="n"/>
      <c r="AR950" s="120" t="n"/>
      <c r="AS950" s="120" t="n"/>
    </row>
    <row r="951" hidden="1" outlineLevel="2">
      <c r="A951" s="8" t="n"/>
      <c r="B951" s="14" t="n"/>
      <c r="C951" s="120" t="n"/>
      <c r="D951" s="120" t="n"/>
      <c r="E951" s="120" t="n"/>
      <c r="F951" s="120" t="n"/>
      <c r="G951" s="120" t="n"/>
      <c r="I951" s="55">
        <f>DADOS_INVOC!$PI$64</f>
        <v/>
      </c>
      <c r="J951" s="16" t="n"/>
      <c r="K951" s="16" t="n"/>
      <c r="L951" s="16" t="n"/>
      <c r="M951" s="17" t="n"/>
      <c r="N951" s="120" t="n"/>
      <c r="O951" s="55">
        <f>DADOS_INVOC!$PI$65</f>
        <v/>
      </c>
      <c r="P951" s="16" t="n"/>
      <c r="Q951" s="16" t="n"/>
      <c r="R951" s="16" t="n"/>
      <c r="S951" s="17" t="n"/>
      <c r="T951" s="120" t="n"/>
      <c r="U951" s="55">
        <f>DADOS_INVOC!$PI$66</f>
        <v/>
      </c>
      <c r="V951" s="16" t="n"/>
      <c r="W951" s="16" t="n"/>
      <c r="X951" s="16" t="n"/>
      <c r="Y951" s="17" t="n"/>
      <c r="Z951" s="120" t="n"/>
      <c r="AB951" s="55">
        <f>DADOS_INVOC!$PI$142</f>
        <v/>
      </c>
      <c r="AC951" s="16" t="n"/>
      <c r="AD951" s="16" t="n"/>
      <c r="AE951" s="16" t="n"/>
      <c r="AF951" s="17" t="n"/>
      <c r="AG951" s="120" t="n"/>
      <c r="AH951" s="55">
        <f>DADOS_INVOC!$PI$143</f>
        <v/>
      </c>
      <c r="AI951" s="16" t="n"/>
      <c r="AJ951" s="16" t="n"/>
      <c r="AK951" s="16" t="n"/>
      <c r="AL951" s="17" t="n"/>
      <c r="AM951" s="120" t="n"/>
      <c r="AN951" s="55">
        <f>DADOS_INVOC!$PI$144</f>
        <v/>
      </c>
      <c r="AO951" s="16" t="n"/>
      <c r="AP951" s="16" t="n"/>
      <c r="AQ951" s="16" t="n"/>
      <c r="AR951" s="17" t="n"/>
      <c r="AS951" s="120" t="n"/>
    </row>
    <row r="952" hidden="1" outlineLevel="2">
      <c r="A952" s="8" t="n"/>
      <c r="B952" s="14" t="n"/>
      <c r="C952" s="120" t="n"/>
      <c r="D952" s="120" t="n"/>
      <c r="E952" s="120" t="n"/>
      <c r="F952" s="120" t="n"/>
      <c r="G952" s="120" t="n"/>
      <c r="I952" s="127" t="n">
        <v>1</v>
      </c>
      <c r="J952" s="115" t="n"/>
      <c r="K952" s="16" t="n"/>
      <c r="L952" s="17" t="n"/>
      <c r="M952" s="128">
        <f>DADOS_INVOC!$PG$64</f>
        <v/>
      </c>
      <c r="N952" s="120" t="n"/>
      <c r="O952" s="127" t="n">
        <v>1</v>
      </c>
      <c r="P952" s="115" t="n"/>
      <c r="Q952" s="16" t="n"/>
      <c r="R952" s="17" t="n"/>
      <c r="S952" s="128">
        <f>DADOS_INVOC!$PG$65</f>
        <v/>
      </c>
      <c r="T952" s="120" t="n"/>
      <c r="U952" s="127" t="n">
        <v>1</v>
      </c>
      <c r="V952" s="115" t="n"/>
      <c r="W952" s="16" t="n"/>
      <c r="X952" s="17" t="n"/>
      <c r="Y952" s="128">
        <f>DADOS_INVOC!$PG$66</f>
        <v/>
      </c>
      <c r="Z952" s="120" t="n"/>
      <c r="AB952" s="127" t="n">
        <v>1</v>
      </c>
      <c r="AC952" s="115" t="n"/>
      <c r="AD952" s="16" t="n"/>
      <c r="AE952" s="17" t="n"/>
      <c r="AF952" s="128">
        <f>DADOS_INVOC!$PG$142</f>
        <v/>
      </c>
      <c r="AG952" s="120" t="n"/>
      <c r="AH952" s="127" t="n">
        <v>1</v>
      </c>
      <c r="AI952" s="115" t="n"/>
      <c r="AJ952" s="16" t="n"/>
      <c r="AK952" s="17" t="n"/>
      <c r="AL952" s="128">
        <f>DADOS_INVOC!$PG$143</f>
        <v/>
      </c>
      <c r="AM952" s="120" t="n"/>
      <c r="AN952" s="127" t="n">
        <v>1</v>
      </c>
      <c r="AO952" s="115" t="n"/>
      <c r="AP952" s="16" t="n"/>
      <c r="AQ952" s="17" t="n"/>
      <c r="AR952" s="128">
        <f>DADOS_INVOC!$PG$144</f>
        <v/>
      </c>
      <c r="AS952" s="120" t="n"/>
    </row>
    <row r="953" hidden="1" outlineLevel="3">
      <c r="A953" s="8" t="n"/>
      <c r="B953" s="14" t="n"/>
      <c r="C953" s="120" t="n"/>
      <c r="D953" s="120" t="n"/>
      <c r="E953" s="120" t="n"/>
      <c r="F953" s="120" t="n"/>
      <c r="G953" s="120" t="n"/>
      <c r="I953" s="55" t="inlineStr">
        <is>
          <t>COMO É</t>
        </is>
      </c>
      <c r="J953" s="16" t="n"/>
      <c r="K953" s="16" t="n"/>
      <c r="L953" s="16" t="n"/>
      <c r="M953" s="17" t="n"/>
      <c r="N953" s="120" t="n"/>
      <c r="O953" s="55" t="inlineStr">
        <is>
          <t>COMO É</t>
        </is>
      </c>
      <c r="P953" s="16" t="n"/>
      <c r="Q953" s="16" t="n"/>
      <c r="R953" s="16" t="n"/>
      <c r="S953" s="17" t="n"/>
      <c r="T953" s="120" t="n"/>
      <c r="U953" s="55" t="inlineStr">
        <is>
          <t>COMO É</t>
        </is>
      </c>
      <c r="V953" s="16" t="n"/>
      <c r="W953" s="16" t="n"/>
      <c r="X953" s="16" t="n"/>
      <c r="Y953" s="17" t="n"/>
      <c r="Z953" s="120" t="n"/>
      <c r="AB953" s="55" t="inlineStr">
        <is>
          <t>COMO É</t>
        </is>
      </c>
      <c r="AC953" s="16" t="n"/>
      <c r="AD953" s="16" t="n"/>
      <c r="AE953" s="16" t="n"/>
      <c r="AF953" s="17" t="n"/>
      <c r="AG953" s="120" t="n"/>
      <c r="AH953" s="55" t="inlineStr">
        <is>
          <t>COMO É</t>
        </is>
      </c>
      <c r="AI953" s="16" t="n"/>
      <c r="AJ953" s="16" t="n"/>
      <c r="AK953" s="16" t="n"/>
      <c r="AL953" s="17" t="n"/>
      <c r="AM953" s="120" t="n"/>
      <c r="AN953" s="55" t="inlineStr">
        <is>
          <t>COMO É</t>
        </is>
      </c>
      <c r="AO953" s="16" t="n"/>
      <c r="AP953" s="16" t="n"/>
      <c r="AQ953" s="16" t="n"/>
      <c r="AR953" s="17" t="n"/>
      <c r="AS953" s="120" t="n"/>
    </row>
    <row r="954" hidden="1" outlineLevel="3">
      <c r="A954" s="8" t="n"/>
      <c r="B954" s="14" t="n"/>
      <c r="C954" s="120" t="n"/>
      <c r="D954" s="120" t="n"/>
      <c r="E954" s="120" t="n"/>
      <c r="F954" s="120" t="n"/>
      <c r="G954" s="120" t="n"/>
      <c r="I954" s="116" t="n"/>
      <c r="J954" s="19" t="n"/>
      <c r="K954" s="19" t="n"/>
      <c r="L954" s="19" t="n"/>
      <c r="M954" s="20" t="n"/>
      <c r="N954" s="120" t="n"/>
      <c r="O954" s="116" t="n"/>
      <c r="P954" s="19" t="n"/>
      <c r="Q954" s="19" t="n"/>
      <c r="R954" s="19" t="n"/>
      <c r="S954" s="20" t="n"/>
      <c r="T954" s="120" t="n"/>
      <c r="U954" s="116" t="n"/>
      <c r="V954" s="19" t="n"/>
      <c r="W954" s="19" t="n"/>
      <c r="X954" s="19" t="n"/>
      <c r="Y954" s="20" t="n"/>
      <c r="Z954" s="120" t="n"/>
      <c r="AB954" s="116" t="n"/>
      <c r="AC954" s="19" t="n"/>
      <c r="AD954" s="19" t="n"/>
      <c r="AE954" s="19" t="n"/>
      <c r="AF954" s="20" t="n"/>
      <c r="AG954" s="120" t="n"/>
      <c r="AH954" s="116" t="n"/>
      <c r="AI954" s="19" t="n"/>
      <c r="AJ954" s="19" t="n"/>
      <c r="AK954" s="19" t="n"/>
      <c r="AL954" s="20" t="n"/>
      <c r="AM954" s="120" t="n"/>
      <c r="AN954" s="116" t="n"/>
      <c r="AO954" s="19" t="n"/>
      <c r="AP954" s="19" t="n"/>
      <c r="AQ954" s="19" t="n"/>
      <c r="AR954" s="20" t="n"/>
      <c r="AS954" s="120" t="n"/>
    </row>
    <row r="955" hidden="1" outlineLevel="3">
      <c r="A955" s="8" t="n"/>
      <c r="B955" s="14" t="n"/>
      <c r="C955" s="120" t="n"/>
      <c r="D955" s="120" t="n"/>
      <c r="E955" s="120" t="n"/>
      <c r="F955" s="120" t="n"/>
      <c r="G955" s="120" t="n"/>
      <c r="I955" s="21" t="n"/>
      <c r="M955" s="22" t="n"/>
      <c r="N955" s="120" t="n"/>
      <c r="O955" s="21" t="n"/>
      <c r="S955" s="22" t="n"/>
      <c r="T955" s="120" t="n"/>
      <c r="U955" s="21" t="n"/>
      <c r="Y955" s="22" t="n"/>
      <c r="Z955" s="120" t="n"/>
      <c r="AB955" s="21" t="n"/>
      <c r="AF955" s="22" t="n"/>
      <c r="AG955" s="120" t="n"/>
      <c r="AH955" s="21" t="n"/>
      <c r="AL955" s="22" t="n"/>
      <c r="AM955" s="120" t="n"/>
      <c r="AN955" s="21" t="n"/>
      <c r="AR955" s="22" t="n"/>
      <c r="AS955" s="120" t="n"/>
    </row>
    <row r="956" hidden="1" outlineLevel="3">
      <c r="A956" s="8" t="n"/>
      <c r="B956" s="14" t="n"/>
      <c r="C956" s="120" t="n"/>
      <c r="D956" s="120" t="n"/>
      <c r="E956" s="120" t="n"/>
      <c r="F956" s="120" t="n"/>
      <c r="G956" s="120" t="n"/>
      <c r="I956" s="23" t="n"/>
      <c r="J956" s="24" t="n"/>
      <c r="K956" s="24" t="n"/>
      <c r="L956" s="24" t="n"/>
      <c r="M956" s="25" t="n"/>
      <c r="N956" s="120" t="n"/>
      <c r="O956" s="23" t="n"/>
      <c r="P956" s="24" t="n"/>
      <c r="Q956" s="24" t="n"/>
      <c r="R956" s="24" t="n"/>
      <c r="S956" s="25" t="n"/>
      <c r="T956" s="120" t="n"/>
      <c r="U956" s="23" t="n"/>
      <c r="V956" s="24" t="n"/>
      <c r="W956" s="24" t="n"/>
      <c r="X956" s="24" t="n"/>
      <c r="Y956" s="25" t="n"/>
      <c r="Z956" s="120" t="n"/>
      <c r="AB956" s="23" t="n"/>
      <c r="AC956" s="24" t="n"/>
      <c r="AD956" s="24" t="n"/>
      <c r="AE956" s="24" t="n"/>
      <c r="AF956" s="25" t="n"/>
      <c r="AG956" s="120" t="n"/>
      <c r="AH956" s="23" t="n"/>
      <c r="AI956" s="24" t="n"/>
      <c r="AJ956" s="24" t="n"/>
      <c r="AK956" s="24" t="n"/>
      <c r="AL956" s="25" t="n"/>
      <c r="AM956" s="120" t="n"/>
      <c r="AN956" s="23" t="n"/>
      <c r="AO956" s="24" t="n"/>
      <c r="AP956" s="24" t="n"/>
      <c r="AQ956" s="24" t="n"/>
      <c r="AR956" s="25" t="n"/>
      <c r="AS956" s="120" t="n"/>
    </row>
    <row r="957" hidden="1" outlineLevel="2">
      <c r="A957" s="8" t="n"/>
      <c r="B957" s="14" t="n"/>
      <c r="C957" s="120" t="n"/>
      <c r="D957" s="120" t="n"/>
      <c r="E957" s="120" t="n"/>
      <c r="F957" s="120" t="n"/>
      <c r="G957" s="120" t="n"/>
      <c r="I957" s="124" t="inlineStr">
        <is>
          <t>Projétil</t>
        </is>
      </c>
      <c r="J957" s="17" t="n"/>
      <c r="K957" s="68">
        <f>DADOS_INVOC!$PN$64</f>
        <v/>
      </c>
      <c r="L957" s="17" t="n"/>
      <c r="M957" s="68">
        <f>DADOS_INVOC!$PJ$64</f>
        <v/>
      </c>
      <c r="N957" s="120" t="n"/>
      <c r="O957" s="124" t="inlineStr">
        <is>
          <t>Projétil</t>
        </is>
      </c>
      <c r="P957" s="17" t="n"/>
      <c r="Q957" s="68">
        <f>DADOS_INVOC!$PN$65</f>
        <v/>
      </c>
      <c r="R957" s="17" t="n"/>
      <c r="S957" s="68">
        <f>DADOS_INVOC!$PJ$65</f>
        <v/>
      </c>
      <c r="T957" s="120" t="n"/>
      <c r="U957" s="124" t="inlineStr">
        <is>
          <t>Projétil</t>
        </is>
      </c>
      <c r="V957" s="17" t="n"/>
      <c r="W957" s="68">
        <f>DADOS_INVOC!$PN$66</f>
        <v/>
      </c>
      <c r="X957" s="17" t="n"/>
      <c r="Y957" s="68">
        <f>DADOS_INVOC!$PJ$66</f>
        <v/>
      </c>
      <c r="Z957" s="120" t="n"/>
      <c r="AB957" s="124" t="inlineStr">
        <is>
          <t>Projétil</t>
        </is>
      </c>
      <c r="AC957" s="17" t="n"/>
      <c r="AD957" s="68">
        <f>DADOS_INVOC!$PN$142</f>
        <v/>
      </c>
      <c r="AE957" s="17" t="n"/>
      <c r="AF957" s="68">
        <f>DADOS_INVOC!$PJ$142</f>
        <v/>
      </c>
      <c r="AG957" s="120" t="n"/>
      <c r="AH957" s="124" t="inlineStr">
        <is>
          <t>Projétil</t>
        </is>
      </c>
      <c r="AI957" s="17" t="n"/>
      <c r="AJ957" s="68">
        <f>DADOS_INVOC!$PN$143</f>
        <v/>
      </c>
      <c r="AK957" s="17" t="n"/>
      <c r="AL957" s="68">
        <f>DADOS_INVOC!$PJ$143</f>
        <v/>
      </c>
      <c r="AM957" s="120" t="n"/>
      <c r="AN957" s="124" t="inlineStr">
        <is>
          <t>Projétil</t>
        </is>
      </c>
      <c r="AO957" s="17" t="n"/>
      <c r="AP957" s="68">
        <f>DADOS_INVOC!$PN$144</f>
        <v/>
      </c>
      <c r="AQ957" s="17" t="n"/>
      <c r="AR957" s="68">
        <f>DADOS_INVOC!$PJ$144</f>
        <v/>
      </c>
      <c r="AS957" s="120" t="n"/>
    </row>
    <row r="958" hidden="1" outlineLevel="2">
      <c r="A958" s="8" t="n"/>
      <c r="B958" s="14" t="n"/>
      <c r="C958" s="120" t="n"/>
      <c r="D958" s="120" t="n"/>
      <c r="E958" s="120" t="n"/>
      <c r="F958" s="120" t="n"/>
      <c r="G958" s="120" t="n"/>
      <c r="I958" s="124" t="n"/>
      <c r="J958" s="17" t="n"/>
      <c r="K958" s="124" t="n"/>
      <c r="L958" s="16" t="n"/>
      <c r="M958" s="17" t="n"/>
      <c r="N958" s="120" t="n"/>
      <c r="O958" s="124" t="n"/>
      <c r="P958" s="17" t="n"/>
      <c r="Q958" s="124" t="n"/>
      <c r="R958" s="16" t="n"/>
      <c r="S958" s="17" t="n"/>
      <c r="T958" s="120" t="n"/>
      <c r="U958" s="124" t="n"/>
      <c r="V958" s="17" t="n"/>
      <c r="W958" s="124" t="n"/>
      <c r="X958" s="16" t="n"/>
      <c r="Y958" s="17" t="n"/>
      <c r="Z958" s="120" t="n"/>
      <c r="AB958" s="124" t="n"/>
      <c r="AC958" s="17" t="n"/>
      <c r="AD958" s="124" t="n"/>
      <c r="AE958" s="16" t="n"/>
      <c r="AF958" s="17" t="n"/>
      <c r="AG958" s="120" t="n"/>
      <c r="AH958" s="124" t="n"/>
      <c r="AI958" s="17" t="n"/>
      <c r="AJ958" s="124" t="n"/>
      <c r="AK958" s="16" t="n"/>
      <c r="AL958" s="17" t="n"/>
      <c r="AM958" s="120" t="n"/>
      <c r="AN958" s="124" t="n"/>
      <c r="AO958" s="17" t="n"/>
      <c r="AP958" s="124" t="n"/>
      <c r="AQ958" s="16" t="n"/>
      <c r="AR958" s="17" t="n"/>
      <c r="AS958" s="120" t="n"/>
    </row>
    <row r="959" hidden="1" outlineLevel="2">
      <c r="A959" s="8" t="n"/>
      <c r="B959" s="14" t="n"/>
      <c r="C959" s="120" t="n"/>
      <c r="D959" s="120" t="n"/>
      <c r="E959" s="120" t="n"/>
      <c r="F959" s="120" t="n"/>
      <c r="G959" s="120" t="n"/>
      <c r="I959" s="124">
        <f>DADOS_INVOC!$PK$64</f>
        <v/>
      </c>
      <c r="J959" s="17" t="n"/>
      <c r="K959" s="124">
        <f>DADOS_INVOC!$PM$64</f>
        <v/>
      </c>
      <c r="L959" s="16" t="n"/>
      <c r="M959" s="17" t="n"/>
      <c r="N959" s="120" t="n"/>
      <c r="O959" s="124">
        <f>DADOS_INVOC!$PK$65</f>
        <v/>
      </c>
      <c r="P959" s="17" t="n"/>
      <c r="Q959" s="124">
        <f>DADOS_INVOC!$PM$65</f>
        <v/>
      </c>
      <c r="R959" s="16" t="n"/>
      <c r="S959" s="17" t="n"/>
      <c r="T959" s="120" t="n"/>
      <c r="U959" s="124">
        <f>DADOS_INVOC!$PK$66</f>
        <v/>
      </c>
      <c r="V959" s="17" t="n"/>
      <c r="W959" s="124">
        <f>DADOS_INVOC!$PM$66</f>
        <v/>
      </c>
      <c r="X959" s="16" t="n"/>
      <c r="Y959" s="17" t="n"/>
      <c r="Z959" s="120" t="n"/>
      <c r="AB959" s="124">
        <f>DADOS_INVOC!$PK$142</f>
        <v/>
      </c>
      <c r="AC959" s="17" t="n"/>
      <c r="AD959" s="124">
        <f>DADOS_INVOC!$PM$142</f>
        <v/>
      </c>
      <c r="AE959" s="16" t="n"/>
      <c r="AF959" s="17" t="n"/>
      <c r="AG959" s="120" t="n"/>
      <c r="AH959" s="124">
        <f>DADOS_INVOC!$PK$143</f>
        <v/>
      </c>
      <c r="AI959" s="17" t="n"/>
      <c r="AJ959" s="124">
        <f>DADOS_INVOC!$PM$143</f>
        <v/>
      </c>
      <c r="AK959" s="16" t="n"/>
      <c r="AL959" s="17" t="n"/>
      <c r="AM959" s="120" t="n"/>
      <c r="AN959" s="124">
        <f>DADOS_INVOC!$PK$144</f>
        <v/>
      </c>
      <c r="AO959" s="17" t="n"/>
      <c r="AP959" s="124">
        <f>DADOS_INVOC!$PM$144</f>
        <v/>
      </c>
      <c r="AQ959" s="16" t="n"/>
      <c r="AR959" s="17" t="n"/>
      <c r="AS959" s="120" t="n"/>
    </row>
    <row r="960" hidden="1" outlineLevel="2">
      <c r="A960" s="8" t="n"/>
      <c r="B960" s="14" t="n"/>
      <c r="C960" s="120" t="n"/>
      <c r="D960" s="120" t="n"/>
      <c r="E960" s="120" t="n"/>
      <c r="F960" s="120" t="n"/>
      <c r="G960" s="120" t="n"/>
      <c r="I960" s="129">
        <f>DADOS_INVOC!$PS$64</f>
        <v/>
      </c>
      <c r="J960" s="16" t="n"/>
      <c r="K960" s="16" t="n"/>
      <c r="L960" s="16" t="n"/>
      <c r="M960" s="17" t="n"/>
      <c r="N960" s="120" t="n"/>
      <c r="O960" s="129">
        <f>DADOS_INVOC!$PS$65</f>
        <v/>
      </c>
      <c r="P960" s="16" t="n"/>
      <c r="Q960" s="16" t="n"/>
      <c r="R960" s="16" t="n"/>
      <c r="S960" s="17" t="n"/>
      <c r="T960" s="120" t="n"/>
      <c r="U960" s="129">
        <f>DADOS_INVOC!$PS$66</f>
        <v/>
      </c>
      <c r="V960" s="16" t="n"/>
      <c r="W960" s="16" t="n"/>
      <c r="X960" s="16" t="n"/>
      <c r="Y960" s="17" t="n"/>
      <c r="Z960" s="120" t="n"/>
      <c r="AB960" s="129">
        <f>DADOS_INVOC!$PS$142</f>
        <v/>
      </c>
      <c r="AC960" s="16" t="n"/>
      <c r="AD960" s="16" t="n"/>
      <c r="AE960" s="16" t="n"/>
      <c r="AF960" s="17" t="n"/>
      <c r="AG960" s="120" t="n"/>
      <c r="AH960" s="129">
        <f>DADOS_INVOC!$PS$143</f>
        <v/>
      </c>
      <c r="AI960" s="16" t="n"/>
      <c r="AJ960" s="16" t="n"/>
      <c r="AK960" s="16" t="n"/>
      <c r="AL960" s="17" t="n"/>
      <c r="AM960" s="120" t="n"/>
      <c r="AN960" s="129">
        <f>DADOS_INVOC!$PS$144</f>
        <v/>
      </c>
      <c r="AO960" s="16" t="n"/>
      <c r="AP960" s="16" t="n"/>
      <c r="AQ960" s="16" t="n"/>
      <c r="AR960" s="17" t="n"/>
      <c r="AS960" s="120" t="n"/>
    </row>
    <row r="961" hidden="1" outlineLevel="3">
      <c r="A961" s="8" t="n"/>
      <c r="B961" s="14" t="n"/>
      <c r="C961" s="120" t="n"/>
      <c r="D961" s="120" t="n"/>
      <c r="E961" s="120" t="n"/>
      <c r="F961" s="120" t="n"/>
      <c r="G961" s="120" t="n"/>
      <c r="I961" s="55" t="inlineStr">
        <is>
          <t>MELHORIAS</t>
        </is>
      </c>
      <c r="J961" s="130" t="n"/>
      <c r="K961" s="16" t="n"/>
      <c r="L961" s="17" t="n"/>
      <c r="M961" s="129">
        <f>DADOS_INVOC!$PV$64</f>
        <v/>
      </c>
      <c r="N961" s="120" t="n"/>
      <c r="O961" s="55" t="inlineStr">
        <is>
          <t>MELHORIAS</t>
        </is>
      </c>
      <c r="P961" s="130" t="n"/>
      <c r="Q961" s="16" t="n"/>
      <c r="R961" s="17" t="n"/>
      <c r="S961" s="129">
        <f>DADOS_INVOC!$PV$65</f>
        <v/>
      </c>
      <c r="T961" s="120" t="n"/>
      <c r="U961" s="55" t="inlineStr">
        <is>
          <t>MELHORIAS</t>
        </is>
      </c>
      <c r="V961" s="130" t="n"/>
      <c r="W961" s="16" t="n"/>
      <c r="X961" s="17" t="n"/>
      <c r="Y961" s="129">
        <f>DADOS_INVOC!$PV$66</f>
        <v/>
      </c>
      <c r="Z961" s="120" t="n"/>
      <c r="AB961" s="55" t="inlineStr">
        <is>
          <t>MELHORIAS</t>
        </is>
      </c>
      <c r="AC961" s="130" t="n"/>
      <c r="AD961" s="16" t="n"/>
      <c r="AE961" s="17" t="n"/>
      <c r="AF961" s="129">
        <f>DADOS_INVOC!$PV$142</f>
        <v/>
      </c>
      <c r="AG961" s="120" t="n"/>
      <c r="AH961" s="55" t="inlineStr">
        <is>
          <t>MELHORIAS</t>
        </is>
      </c>
      <c r="AI961" s="130" t="n"/>
      <c r="AJ961" s="16" t="n"/>
      <c r="AK961" s="17" t="n"/>
      <c r="AL961" s="129">
        <f>DADOS_INVOC!$PV$143</f>
        <v/>
      </c>
      <c r="AM961" s="120" t="n"/>
      <c r="AN961" s="55" t="inlineStr">
        <is>
          <t>MELHORIAS</t>
        </is>
      </c>
      <c r="AO961" s="130" t="n"/>
      <c r="AP961" s="16" t="n"/>
      <c r="AQ961" s="17" t="n"/>
      <c r="AR961" s="129">
        <f>DADOS_INVOC!$PV$144</f>
        <v/>
      </c>
      <c r="AS961" s="120" t="n"/>
    </row>
    <row r="962" hidden="1" outlineLevel="3">
      <c r="A962" s="8" t="n"/>
      <c r="B962" s="14" t="n"/>
      <c r="C962" s="120" t="n"/>
      <c r="D962" s="120" t="n"/>
      <c r="E962" s="120" t="n"/>
      <c r="F962" s="120" t="n"/>
      <c r="G962" s="120" t="n"/>
      <c r="I962" s="131" t="n"/>
      <c r="J962" s="130" t="n"/>
      <c r="K962" s="16" t="n"/>
      <c r="L962" s="17" t="n"/>
      <c r="M962" s="129">
        <f>DADOS_INVOC!$PW$64</f>
        <v/>
      </c>
      <c r="N962" s="120" t="n"/>
      <c r="O962" s="131" t="n"/>
      <c r="P962" s="130" t="n"/>
      <c r="Q962" s="16" t="n"/>
      <c r="R962" s="17" t="n"/>
      <c r="S962" s="129">
        <f>DADOS_INVOC!$PW$65</f>
        <v/>
      </c>
      <c r="T962" s="120" t="n"/>
      <c r="U962" s="131" t="n"/>
      <c r="V962" s="130" t="n"/>
      <c r="W962" s="16" t="n"/>
      <c r="X962" s="17" t="n"/>
      <c r="Y962" s="129">
        <f>DADOS_INVOC!$PW$66</f>
        <v/>
      </c>
      <c r="Z962" s="120" t="n"/>
      <c r="AB962" s="131" t="n"/>
      <c r="AC962" s="130" t="n"/>
      <c r="AD962" s="16" t="n"/>
      <c r="AE962" s="17" t="n"/>
      <c r="AF962" s="129">
        <f>DADOS_INVOC!$PW$142</f>
        <v/>
      </c>
      <c r="AG962" s="120" t="n"/>
      <c r="AH962" s="131" t="n"/>
      <c r="AI962" s="130" t="n"/>
      <c r="AJ962" s="16" t="n"/>
      <c r="AK962" s="17" t="n"/>
      <c r="AL962" s="129">
        <f>DADOS_INVOC!$PW$143</f>
        <v/>
      </c>
      <c r="AM962" s="120" t="n"/>
      <c r="AN962" s="131" t="n"/>
      <c r="AO962" s="130" t="n"/>
      <c r="AP962" s="16" t="n"/>
      <c r="AQ962" s="17" t="n"/>
      <c r="AR962" s="129">
        <f>DADOS_INVOC!$PW$144</f>
        <v/>
      </c>
      <c r="AS962" s="120" t="n"/>
    </row>
    <row r="963" hidden="1" outlineLevel="3">
      <c r="A963" s="8" t="n"/>
      <c r="B963" s="14" t="n"/>
      <c r="C963" s="120" t="n"/>
      <c r="D963" s="120" t="n"/>
      <c r="E963" s="120" t="n"/>
      <c r="F963" s="120" t="n"/>
      <c r="G963" s="120" t="n"/>
      <c r="I963" s="131" t="n"/>
      <c r="J963" s="130" t="n"/>
      <c r="K963" s="16" t="n"/>
      <c r="L963" s="17" t="n"/>
      <c r="M963" s="129">
        <f>DADOS_INVOC!$PX$64</f>
        <v/>
      </c>
      <c r="N963" s="120" t="n"/>
      <c r="O963" s="131" t="n"/>
      <c r="P963" s="130" t="n"/>
      <c r="Q963" s="16" t="n"/>
      <c r="R963" s="17" t="n"/>
      <c r="S963" s="129">
        <f>DADOS_INVOC!$PX$65</f>
        <v/>
      </c>
      <c r="T963" s="120" t="n"/>
      <c r="U963" s="131" t="n"/>
      <c r="V963" s="130" t="n"/>
      <c r="W963" s="16" t="n"/>
      <c r="X963" s="17" t="n"/>
      <c r="Y963" s="129">
        <f>DADOS_INVOC!$PX$66</f>
        <v/>
      </c>
      <c r="Z963" s="120" t="n"/>
      <c r="AB963" s="131" t="n"/>
      <c r="AC963" s="130" t="n"/>
      <c r="AD963" s="16" t="n"/>
      <c r="AE963" s="17" t="n"/>
      <c r="AF963" s="129">
        <f>DADOS_INVOC!$PX$142</f>
        <v/>
      </c>
      <c r="AG963" s="120" t="n"/>
      <c r="AH963" s="131" t="n"/>
      <c r="AI963" s="130" t="n"/>
      <c r="AJ963" s="16" t="n"/>
      <c r="AK963" s="17" t="n"/>
      <c r="AL963" s="129">
        <f>DADOS_INVOC!$PX$143</f>
        <v/>
      </c>
      <c r="AM963" s="120" t="n"/>
      <c r="AN963" s="131" t="n"/>
      <c r="AO963" s="130" t="n"/>
      <c r="AP963" s="16" t="n"/>
      <c r="AQ963" s="17" t="n"/>
      <c r="AR963" s="129">
        <f>DADOS_INVOC!$PX$144</f>
        <v/>
      </c>
      <c r="AS963" s="120" t="n"/>
    </row>
    <row r="964" hidden="1" outlineLevel="3">
      <c r="A964" s="8" t="n"/>
      <c r="B964" s="14" t="n"/>
      <c r="C964" s="120" t="n"/>
      <c r="D964" s="120" t="n"/>
      <c r="E964" s="120" t="n"/>
      <c r="F964" s="120" t="n"/>
      <c r="G964" s="120" t="n"/>
      <c r="I964" s="125" t="n"/>
      <c r="J964" s="130" t="n"/>
      <c r="K964" s="16" t="n"/>
      <c r="L964" s="17" t="n"/>
      <c r="M964" s="129">
        <f>DADOS_INVOC!$PY$64</f>
        <v/>
      </c>
      <c r="N964" s="120" t="n"/>
      <c r="O964" s="125" t="n"/>
      <c r="P964" s="130" t="n"/>
      <c r="Q964" s="16" t="n"/>
      <c r="R964" s="17" t="n"/>
      <c r="S964" s="129">
        <f>DADOS_INVOC!$PY$65</f>
        <v/>
      </c>
      <c r="T964" s="120" t="n"/>
      <c r="U964" s="125" t="n"/>
      <c r="V964" s="130" t="n"/>
      <c r="W964" s="16" t="n"/>
      <c r="X964" s="17" t="n"/>
      <c r="Y964" s="129">
        <f>DADOS_INVOC!$PY$66</f>
        <v/>
      </c>
      <c r="Z964" s="120" t="n"/>
      <c r="AB964" s="125" t="n"/>
      <c r="AC964" s="130" t="n"/>
      <c r="AD964" s="16" t="n"/>
      <c r="AE964" s="17" t="n"/>
      <c r="AF964" s="129">
        <f>DADOS_INVOC!$PY$142</f>
        <v/>
      </c>
      <c r="AG964" s="120" t="n"/>
      <c r="AH964" s="125" t="n"/>
      <c r="AI964" s="130" t="n"/>
      <c r="AJ964" s="16" t="n"/>
      <c r="AK964" s="17" t="n"/>
      <c r="AL964" s="129">
        <f>DADOS_INVOC!$PY$143</f>
        <v/>
      </c>
      <c r="AM964" s="120" t="n"/>
      <c r="AN964" s="125" t="n"/>
      <c r="AO964" s="130" t="n"/>
      <c r="AP964" s="16" t="n"/>
      <c r="AQ964" s="17" t="n"/>
      <c r="AR964" s="129">
        <f>DADOS_INVOC!$PY$144</f>
        <v/>
      </c>
      <c r="AS964" s="120" t="n"/>
    </row>
    <row r="965" hidden="1" outlineLevel="3">
      <c r="A965" s="8" t="n"/>
      <c r="B965" s="14" t="n"/>
      <c r="C965" s="120" t="n"/>
      <c r="D965" s="120" t="n"/>
      <c r="E965" s="120" t="n"/>
      <c r="F965" s="120" t="n"/>
      <c r="G965" s="120" t="n"/>
      <c r="I965" s="55" t="inlineStr">
        <is>
          <t>RESTRIÇÕES</t>
        </is>
      </c>
      <c r="J965" s="130" t="n"/>
      <c r="K965" s="16" t="n"/>
      <c r="L965" s="17" t="n"/>
      <c r="M965" s="129">
        <f>DADOS_INVOC!$PZ$64</f>
        <v/>
      </c>
      <c r="N965" s="120" t="n"/>
      <c r="O965" s="55" t="inlineStr">
        <is>
          <t>RESTRIÇÕES</t>
        </is>
      </c>
      <c r="P965" s="130" t="n"/>
      <c r="Q965" s="16" t="n"/>
      <c r="R965" s="17" t="n"/>
      <c r="S965" s="129">
        <f>DADOS_INVOC!$PZ$65</f>
        <v/>
      </c>
      <c r="T965" s="120" t="n"/>
      <c r="U965" s="55" t="inlineStr">
        <is>
          <t>RESTRIÇÕES</t>
        </is>
      </c>
      <c r="V965" s="130" t="n"/>
      <c r="W965" s="16" t="n"/>
      <c r="X965" s="17" t="n"/>
      <c r="Y965" s="129">
        <f>DADOS_INVOC!$PZ$66</f>
        <v/>
      </c>
      <c r="Z965" s="120" t="n"/>
      <c r="AB965" s="55" t="inlineStr">
        <is>
          <t>RESTRIÇÕES</t>
        </is>
      </c>
      <c r="AC965" s="130" t="n"/>
      <c r="AD965" s="16" t="n"/>
      <c r="AE965" s="17" t="n"/>
      <c r="AF965" s="129">
        <f>DADOS_INVOC!$PZ$142</f>
        <v/>
      </c>
      <c r="AG965" s="120" t="n"/>
      <c r="AH965" s="55" t="inlineStr">
        <is>
          <t>RESTRIÇÕES</t>
        </is>
      </c>
      <c r="AI965" s="130" t="n"/>
      <c r="AJ965" s="16" t="n"/>
      <c r="AK965" s="17" t="n"/>
      <c r="AL965" s="129">
        <f>DADOS_INVOC!$PZ$143</f>
        <v/>
      </c>
      <c r="AM965" s="120" t="n"/>
      <c r="AN965" s="55" t="inlineStr">
        <is>
          <t>RESTRIÇÕES</t>
        </is>
      </c>
      <c r="AO965" s="130" t="n"/>
      <c r="AP965" s="16" t="n"/>
      <c r="AQ965" s="17" t="n"/>
      <c r="AR965" s="129">
        <f>DADOS_INVOC!$PZ$144</f>
        <v/>
      </c>
      <c r="AS965" s="120" t="n"/>
    </row>
    <row r="966" hidden="1" outlineLevel="3">
      <c r="A966" s="8" t="n"/>
      <c r="B966" s="14" t="n"/>
      <c r="C966" s="120" t="n"/>
      <c r="D966" s="120" t="n"/>
      <c r="E966" s="120" t="n"/>
      <c r="F966" s="120" t="n"/>
      <c r="G966" s="120" t="n"/>
      <c r="I966" s="125" t="n"/>
      <c r="J966" s="130" t="n"/>
      <c r="K966" s="16" t="n"/>
      <c r="L966" s="17" t="n"/>
      <c r="M966" s="129">
        <f>DADOS_INVOC!$QA$64</f>
        <v/>
      </c>
      <c r="N966" s="120" t="n"/>
      <c r="O966" s="125" t="n"/>
      <c r="P966" s="130" t="n"/>
      <c r="Q966" s="16" t="n"/>
      <c r="R966" s="17" t="n"/>
      <c r="S966" s="129">
        <f>DADOS_INVOC!$QA$65</f>
        <v/>
      </c>
      <c r="T966" s="120" t="n"/>
      <c r="U966" s="125" t="n"/>
      <c r="V966" s="130" t="n"/>
      <c r="W966" s="16" t="n"/>
      <c r="X966" s="17" t="n"/>
      <c r="Y966" s="129">
        <f>DADOS_INVOC!$QA$66</f>
        <v/>
      </c>
      <c r="Z966" s="120" t="n"/>
      <c r="AB966" s="125" t="n"/>
      <c r="AC966" s="130" t="n"/>
      <c r="AD966" s="16" t="n"/>
      <c r="AE966" s="17" t="n"/>
      <c r="AF966" s="129">
        <f>DADOS_INVOC!$QA$142</f>
        <v/>
      </c>
      <c r="AG966" s="120" t="n"/>
      <c r="AH966" s="125" t="n"/>
      <c r="AI966" s="130" t="n"/>
      <c r="AJ966" s="16" t="n"/>
      <c r="AK966" s="17" t="n"/>
      <c r="AL966" s="129">
        <f>DADOS_INVOC!$QA$143</f>
        <v/>
      </c>
      <c r="AM966" s="120" t="n"/>
      <c r="AN966" s="125" t="n"/>
      <c r="AO966" s="130" t="n"/>
      <c r="AP966" s="16" t="n"/>
      <c r="AQ966" s="17" t="n"/>
      <c r="AR966" s="129">
        <f>DADOS_INVOC!$QA$144</f>
        <v/>
      </c>
      <c r="AS966" s="120" t="n"/>
    </row>
    <row r="967" hidden="1" outlineLevel="3">
      <c r="A967" s="8" t="n"/>
      <c r="B967" s="14" t="n"/>
      <c r="C967" s="120" t="n"/>
      <c r="D967" s="120" t="n"/>
      <c r="E967" s="120" t="n"/>
      <c r="F967" s="120" t="n"/>
      <c r="G967" s="120" t="n"/>
      <c r="I967" s="55" t="inlineStr">
        <is>
          <t>CONTA</t>
        </is>
      </c>
      <c r="J967" s="132">
        <f>DADOS_INVOC!$PT$64</f>
        <v/>
      </c>
      <c r="K967" s="16" t="n"/>
      <c r="L967" s="16" t="n"/>
      <c r="M967" s="17" t="n"/>
      <c r="N967" s="120" t="n"/>
      <c r="O967" s="55" t="inlineStr">
        <is>
          <t>CONTA</t>
        </is>
      </c>
      <c r="P967" s="132">
        <f>DADOS_INVOC!$PT$65</f>
        <v/>
      </c>
      <c r="Q967" s="16" t="n"/>
      <c r="R967" s="16" t="n"/>
      <c r="S967" s="17" t="n"/>
      <c r="T967" s="120" t="n"/>
      <c r="U967" s="55" t="inlineStr">
        <is>
          <t>CONTA</t>
        </is>
      </c>
      <c r="V967" s="132">
        <f>DADOS_INVOC!$PT$66</f>
        <v/>
      </c>
      <c r="W967" s="16" t="n"/>
      <c r="X967" s="16" t="n"/>
      <c r="Y967" s="17" t="n"/>
      <c r="Z967" s="120" t="n"/>
      <c r="AB967" s="55" t="inlineStr">
        <is>
          <t>CONTA</t>
        </is>
      </c>
      <c r="AC967" s="132">
        <f>DADOS_INVOC!$PT$142</f>
        <v/>
      </c>
      <c r="AD967" s="16" t="n"/>
      <c r="AE967" s="16" t="n"/>
      <c r="AF967" s="17" t="n"/>
      <c r="AG967" s="120" t="n"/>
      <c r="AH967" s="55" t="inlineStr">
        <is>
          <t>CONTA</t>
        </is>
      </c>
      <c r="AI967" s="132">
        <f>DADOS_INVOC!$PT$143</f>
        <v/>
      </c>
      <c r="AJ967" s="16" t="n"/>
      <c r="AK967" s="16" t="n"/>
      <c r="AL967" s="17" t="n"/>
      <c r="AM967" s="120" t="n"/>
      <c r="AN967" s="55" t="inlineStr">
        <is>
          <t>CONTA</t>
        </is>
      </c>
      <c r="AO967" s="132">
        <f>DADOS_INVOC!$PT$144</f>
        <v/>
      </c>
      <c r="AP967" s="16" t="n"/>
      <c r="AQ967" s="16" t="n"/>
      <c r="AR967" s="17" t="n"/>
      <c r="AS967" s="120" t="n"/>
    </row>
    <row r="968" hidden="1" outlineLevel="3">
      <c r="A968" s="8" t="n"/>
      <c r="B968" s="14" t="n"/>
      <c r="C968" s="120" t="n"/>
      <c r="D968" s="120" t="n"/>
      <c r="E968" s="120" t="n"/>
      <c r="F968" s="120" t="n"/>
      <c r="G968" s="120" t="n"/>
      <c r="I968" s="55" t="inlineStr">
        <is>
          <t>AMPLIAR</t>
        </is>
      </c>
      <c r="J968" s="132">
        <f>DADOS_INVOC!$PU$64</f>
        <v/>
      </c>
      <c r="K968" s="19" t="n"/>
      <c r="L968" s="19" t="n"/>
      <c r="M968" s="20" t="n"/>
      <c r="N968" s="120" t="n"/>
      <c r="O968" s="55" t="inlineStr">
        <is>
          <t>AMPLIAR</t>
        </is>
      </c>
      <c r="P968" s="132">
        <f>DADOS_INVOC!$PU$65</f>
        <v/>
      </c>
      <c r="Q968" s="19" t="n"/>
      <c r="R968" s="19" t="n"/>
      <c r="S968" s="20" t="n"/>
      <c r="T968" s="120" t="n"/>
      <c r="U968" s="55" t="inlineStr">
        <is>
          <t>AMPLIAR</t>
        </is>
      </c>
      <c r="V968" s="132">
        <f>DADOS_INVOC!$PU$66</f>
        <v/>
      </c>
      <c r="W968" s="19" t="n"/>
      <c r="X968" s="19" t="n"/>
      <c r="Y968" s="20" t="n"/>
      <c r="Z968" s="120" t="n"/>
      <c r="AB968" s="55" t="inlineStr">
        <is>
          <t>AMPLIAR</t>
        </is>
      </c>
      <c r="AC968" s="132">
        <f>DADOS_INVOC!$PU$142</f>
        <v/>
      </c>
      <c r="AD968" s="19" t="n"/>
      <c r="AE968" s="19" t="n"/>
      <c r="AF968" s="20" t="n"/>
      <c r="AG968" s="120" t="n"/>
      <c r="AH968" s="55" t="inlineStr">
        <is>
          <t>AMPLIAR</t>
        </is>
      </c>
      <c r="AI968" s="132">
        <f>DADOS_INVOC!$PU$143</f>
        <v/>
      </c>
      <c r="AJ968" s="19" t="n"/>
      <c r="AK968" s="19" t="n"/>
      <c r="AL968" s="20" t="n"/>
      <c r="AM968" s="120" t="n"/>
      <c r="AN968" s="55" t="inlineStr">
        <is>
          <t>AMPLIAR</t>
        </is>
      </c>
      <c r="AO968" s="132">
        <f>DADOS_INVOC!$PU$144</f>
        <v/>
      </c>
      <c r="AP968" s="19" t="n"/>
      <c r="AQ968" s="19" t="n"/>
      <c r="AR968" s="20" t="n"/>
      <c r="AS968" s="120" t="n"/>
    </row>
    <row r="969" hidden="1" outlineLevel="3">
      <c r="A969" s="8" t="n"/>
      <c r="B969" s="14" t="n"/>
      <c r="C969" s="120" t="n"/>
      <c r="D969" s="120" t="n"/>
      <c r="E969" s="120" t="n"/>
      <c r="F969" s="120" t="n"/>
      <c r="G969" s="120" t="n"/>
      <c r="I969" s="125" t="n"/>
      <c r="J969" s="23" t="n"/>
      <c r="K969" s="24" t="n"/>
      <c r="L969" s="24" t="n"/>
      <c r="M969" s="25" t="n"/>
      <c r="N969" s="120" t="n"/>
      <c r="O969" s="125" t="n"/>
      <c r="P969" s="23" t="n"/>
      <c r="Q969" s="24" t="n"/>
      <c r="R969" s="24" t="n"/>
      <c r="S969" s="25" t="n"/>
      <c r="T969" s="120" t="n"/>
      <c r="U969" s="125" t="n"/>
      <c r="V969" s="23" t="n"/>
      <c r="W969" s="24" t="n"/>
      <c r="X969" s="24" t="n"/>
      <c r="Y969" s="25" t="n"/>
      <c r="Z969" s="120" t="n"/>
      <c r="AB969" s="125" t="n"/>
      <c r="AC969" s="23" t="n"/>
      <c r="AD969" s="24" t="n"/>
      <c r="AE969" s="24" t="n"/>
      <c r="AF969" s="25" t="n"/>
      <c r="AG969" s="120" t="n"/>
      <c r="AH969" s="125" t="n"/>
      <c r="AI969" s="23" t="n"/>
      <c r="AJ969" s="24" t="n"/>
      <c r="AK969" s="24" t="n"/>
      <c r="AL969" s="25" t="n"/>
      <c r="AM969" s="120" t="n"/>
      <c r="AN969" s="125" t="n"/>
      <c r="AO969" s="23" t="n"/>
      <c r="AP969" s="24" t="n"/>
      <c r="AQ969" s="24" t="n"/>
      <c r="AR969" s="25" t="n"/>
      <c r="AS969" s="120" t="n"/>
    </row>
    <row r="970" hidden="1" outlineLevel="3">
      <c r="A970" s="8" t="n"/>
      <c r="B970" s="14" t="n"/>
      <c r="C970" s="120" t="n"/>
      <c r="D970" s="120" t="n"/>
      <c r="E970" s="120" t="n"/>
      <c r="F970" s="120" t="n"/>
      <c r="G970" s="120" t="n"/>
      <c r="I970" s="132">
        <f>DADOS_INVOC!$PH$64</f>
        <v/>
      </c>
      <c r="J970" s="19" t="n"/>
      <c r="K970" s="19" t="n"/>
      <c r="L970" s="19" t="n"/>
      <c r="M970" s="20" t="n"/>
      <c r="N970" s="120" t="n"/>
      <c r="O970" s="132">
        <f>DADOS_INVOC!$PH$65</f>
        <v/>
      </c>
      <c r="P970" s="19" t="n"/>
      <c r="Q970" s="19" t="n"/>
      <c r="R970" s="19" t="n"/>
      <c r="S970" s="20" t="n"/>
      <c r="T970" s="120" t="n"/>
      <c r="U970" s="132">
        <f>DADOS_INVOC!$PH$66</f>
        <v/>
      </c>
      <c r="V970" s="19" t="n"/>
      <c r="W970" s="19" t="n"/>
      <c r="X970" s="19" t="n"/>
      <c r="Y970" s="20" t="n"/>
      <c r="Z970" s="120" t="n"/>
      <c r="AB970" s="132">
        <f>DADOS_INVOC!$PH$142</f>
        <v/>
      </c>
      <c r="AC970" s="19" t="n"/>
      <c r="AD970" s="19" t="n"/>
      <c r="AE970" s="19" t="n"/>
      <c r="AF970" s="20" t="n"/>
      <c r="AG970" s="120" t="n"/>
      <c r="AH970" s="132">
        <f>DADOS_INVOC!$PH$143</f>
        <v/>
      </c>
      <c r="AI970" s="19" t="n"/>
      <c r="AJ970" s="19" t="n"/>
      <c r="AK970" s="19" t="n"/>
      <c r="AL970" s="20" t="n"/>
      <c r="AM970" s="120" t="n"/>
      <c r="AN970" s="132">
        <f>DADOS_INVOC!$PH$144</f>
        <v/>
      </c>
      <c r="AO970" s="19" t="n"/>
      <c r="AP970" s="19" t="n"/>
      <c r="AQ970" s="19" t="n"/>
      <c r="AR970" s="20" t="n"/>
      <c r="AS970" s="120" t="n"/>
    </row>
    <row r="971" hidden="1" outlineLevel="3">
      <c r="A971" s="8" t="n"/>
      <c r="B971" s="14" t="n"/>
      <c r="C971" s="120" t="n"/>
      <c r="D971" s="120" t="n"/>
      <c r="E971" s="120" t="n"/>
      <c r="F971" s="120" t="n"/>
      <c r="G971" s="120" t="n"/>
      <c r="I971" s="23" t="n"/>
      <c r="J971" s="24" t="n"/>
      <c r="K971" s="24" t="n"/>
      <c r="L971" s="24" t="n"/>
      <c r="M971" s="25" t="n"/>
      <c r="N971" s="120" t="n"/>
      <c r="O971" s="23" t="n"/>
      <c r="P971" s="24" t="n"/>
      <c r="Q971" s="24" t="n"/>
      <c r="R971" s="24" t="n"/>
      <c r="S971" s="25" t="n"/>
      <c r="T971" s="120" t="n"/>
      <c r="U971" s="23" t="n"/>
      <c r="V971" s="24" t="n"/>
      <c r="W971" s="24" t="n"/>
      <c r="X971" s="24" t="n"/>
      <c r="Y971" s="25" t="n"/>
      <c r="Z971" s="120" t="n"/>
      <c r="AB971" s="23" t="n"/>
      <c r="AC971" s="24" t="n"/>
      <c r="AD971" s="24" t="n"/>
      <c r="AE971" s="24" t="n"/>
      <c r="AF971" s="25" t="n"/>
      <c r="AG971" s="120" t="n"/>
      <c r="AH971" s="23" t="n"/>
      <c r="AI971" s="24" t="n"/>
      <c r="AJ971" s="24" t="n"/>
      <c r="AK971" s="24" t="n"/>
      <c r="AL971" s="25" t="n"/>
      <c r="AM971" s="120" t="n"/>
      <c r="AN971" s="23" t="n"/>
      <c r="AO971" s="24" t="n"/>
      <c r="AP971" s="24" t="n"/>
      <c r="AQ971" s="24" t="n"/>
      <c r="AR971" s="25" t="n"/>
      <c r="AS971" s="120" t="n"/>
    </row>
    <row r="972" hidden="1" outlineLevel="2">
      <c r="A972" s="8" t="n"/>
      <c r="B972" s="14" t="n"/>
      <c r="C972" s="120" t="n"/>
      <c r="D972" s="120" t="n"/>
      <c r="E972" s="120" t="n"/>
      <c r="F972" s="120" t="n"/>
      <c r="G972" s="120" t="n"/>
      <c r="I972" s="120" t="n"/>
      <c r="J972" s="120" t="n"/>
      <c r="K972" s="120" t="n"/>
      <c r="L972" s="120" t="n"/>
      <c r="M972" s="120" t="n"/>
      <c r="N972" s="120" t="n"/>
      <c r="O972" s="120" t="n"/>
      <c r="P972" s="120" t="n"/>
      <c r="Q972" s="120" t="n"/>
      <c r="R972" s="120" t="n"/>
      <c r="S972" s="120" t="n"/>
      <c r="T972" s="120" t="n"/>
      <c r="U972" s="120" t="n"/>
      <c r="V972" s="120" t="n"/>
      <c r="W972" s="120" t="n"/>
      <c r="X972" s="120" t="n"/>
      <c r="Y972" s="120" t="n"/>
      <c r="Z972" s="120" t="n"/>
      <c r="AB972" s="120" t="n"/>
      <c r="AC972" s="120" t="n"/>
      <c r="AD972" s="120" t="n"/>
      <c r="AE972" s="120" t="n"/>
      <c r="AF972" s="120" t="n"/>
      <c r="AG972" s="120" t="n"/>
      <c r="AH972" s="120" t="n"/>
      <c r="AI972" s="120" t="n"/>
      <c r="AJ972" s="120" t="n"/>
      <c r="AK972" s="120" t="n"/>
      <c r="AL972" s="120" t="n"/>
      <c r="AM972" s="120" t="n"/>
      <c r="AN972" s="120" t="n"/>
      <c r="AO972" s="120" t="n"/>
      <c r="AP972" s="120" t="n"/>
      <c r="AQ972" s="120" t="n"/>
      <c r="AR972" s="120" t="n"/>
      <c r="AS972" s="120" t="n"/>
    </row>
    <row r="973" hidden="1" outlineLevel="2">
      <c r="A973" s="8" t="n"/>
      <c r="B973" s="14" t="n"/>
      <c r="C973" s="120" t="n"/>
      <c r="D973" s="120" t="n"/>
      <c r="E973" s="120" t="n"/>
      <c r="F973" s="120" t="n"/>
      <c r="G973" s="120"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0"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0" t="n"/>
    </row>
    <row r="974" hidden="1" outlineLevel="2">
      <c r="A974" s="8" t="n"/>
      <c r="B974" s="14" t="n"/>
      <c r="C974" s="120" t="n"/>
      <c r="D974" s="120" t="n"/>
      <c r="E974" s="120" t="n"/>
      <c r="F974" s="120" t="n"/>
      <c r="G974" s="120" t="n"/>
      <c r="I974" s="55" t="inlineStr">
        <is>
          <t>TRILHA · CE 1</t>
        </is>
      </c>
      <c r="J974" s="130" t="n"/>
      <c r="K974" s="16" t="n"/>
      <c r="L974" s="17" t="n"/>
      <c r="M974" s="137">
        <f>DADOS_INVOC!$II$6</f>
        <v/>
      </c>
      <c r="N974" s="16" t="n"/>
      <c r="O974" s="16" t="n"/>
      <c r="P974" s="16" t="n"/>
      <c r="Q974" s="16" t="n"/>
      <c r="R974" s="16" t="n"/>
      <c r="S974" s="16" t="n"/>
      <c r="T974" s="16" t="n"/>
      <c r="U974" s="16" t="n"/>
      <c r="V974" s="16" t="n"/>
      <c r="W974" s="16" t="n"/>
      <c r="X974" s="16" t="n"/>
      <c r="Y974" s="17" t="n"/>
      <c r="Z974" s="120" t="n"/>
      <c r="AB974" s="55" t="inlineStr">
        <is>
          <t>TRILHA · CE 1</t>
        </is>
      </c>
      <c r="AC974" s="130" t="n"/>
      <c r="AD974" s="16" t="n"/>
      <c r="AE974" s="17" t="n"/>
      <c r="AF974" s="137">
        <f>DADOS_INVOC!$II$12</f>
        <v/>
      </c>
      <c r="AG974" s="16" t="n"/>
      <c r="AH974" s="16" t="n"/>
      <c r="AI974" s="16" t="n"/>
      <c r="AJ974" s="16" t="n"/>
      <c r="AK974" s="16" t="n"/>
      <c r="AL974" s="16" t="n"/>
      <c r="AM974" s="16" t="n"/>
      <c r="AN974" s="16" t="n"/>
      <c r="AO974" s="16" t="n"/>
      <c r="AP974" s="16" t="n"/>
      <c r="AQ974" s="16" t="n"/>
      <c r="AR974" s="17" t="n"/>
      <c r="AS974" s="120" t="n"/>
    </row>
    <row r="975" hidden="1" outlineLevel="2">
      <c r="A975" s="8" t="n"/>
      <c r="B975" s="14" t="n"/>
      <c r="C975" s="120" t="n"/>
      <c r="D975" s="120" t="n"/>
      <c r="E975" s="120" t="n"/>
      <c r="F975" s="120" t="n"/>
      <c r="G975" s="120" t="n"/>
      <c r="I975" s="55" t="inlineStr">
        <is>
          <t>TRILHA · CE 1</t>
        </is>
      </c>
      <c r="J975" s="130" t="n"/>
      <c r="K975" s="16" t="n"/>
      <c r="L975" s="17" t="n"/>
      <c r="M975" s="137">
        <f>DADOS_INVOC!$IJ$6</f>
        <v/>
      </c>
      <c r="N975" s="16" t="n"/>
      <c r="O975" s="16" t="n"/>
      <c r="P975" s="16" t="n"/>
      <c r="Q975" s="16" t="n"/>
      <c r="R975" s="16" t="n"/>
      <c r="S975" s="16" t="n"/>
      <c r="T975" s="16" t="n"/>
      <c r="U975" s="16" t="n"/>
      <c r="V975" s="16" t="n"/>
      <c r="W975" s="16" t="n"/>
      <c r="X975" s="16" t="n"/>
      <c r="Y975" s="17" t="n"/>
      <c r="Z975" s="120" t="n"/>
      <c r="AB975" s="55" t="inlineStr">
        <is>
          <t>TRILHA · CE 1</t>
        </is>
      </c>
      <c r="AC975" s="130" t="n"/>
      <c r="AD975" s="16" t="n"/>
      <c r="AE975" s="17" t="n"/>
      <c r="AF975" s="137">
        <f>DADOS_INVOC!$IJ$12</f>
        <v/>
      </c>
      <c r="AG975" s="16" t="n"/>
      <c r="AH975" s="16" t="n"/>
      <c r="AI975" s="16" t="n"/>
      <c r="AJ975" s="16" t="n"/>
      <c r="AK975" s="16" t="n"/>
      <c r="AL975" s="16" t="n"/>
      <c r="AM975" s="16" t="n"/>
      <c r="AN975" s="16" t="n"/>
      <c r="AO975" s="16" t="n"/>
      <c r="AP975" s="16" t="n"/>
      <c r="AQ975" s="16" t="n"/>
      <c r="AR975" s="17" t="n"/>
      <c r="AS975" s="120" t="n"/>
    </row>
    <row r="976" hidden="1" outlineLevel="2">
      <c r="A976" s="8" t="n"/>
      <c r="B976" s="14" t="n"/>
      <c r="C976" s="120" t="n"/>
      <c r="D976" s="120" t="n"/>
      <c r="E976" s="120" t="n"/>
      <c r="F976" s="120" t="n"/>
      <c r="G976" s="120" t="n"/>
      <c r="I976" s="55" t="inlineStr">
        <is>
          <t>TRILHA · CE 1</t>
        </is>
      </c>
      <c r="J976" s="130" t="n"/>
      <c r="K976" s="16" t="n"/>
      <c r="L976" s="17" t="n"/>
      <c r="M976" s="137">
        <f>DADOS_INVOC!$IK$6</f>
        <v/>
      </c>
      <c r="N976" s="16" t="n"/>
      <c r="O976" s="16" t="n"/>
      <c r="P976" s="16" t="n"/>
      <c r="Q976" s="16" t="n"/>
      <c r="R976" s="16" t="n"/>
      <c r="S976" s="16" t="n"/>
      <c r="T976" s="16" t="n"/>
      <c r="U976" s="16" t="n"/>
      <c r="V976" s="16" t="n"/>
      <c r="W976" s="16" t="n"/>
      <c r="X976" s="16" t="n"/>
      <c r="Y976" s="17" t="n"/>
      <c r="Z976" s="120" t="n"/>
      <c r="AB976" s="55" t="inlineStr">
        <is>
          <t>TRILHA · CE 1</t>
        </is>
      </c>
      <c r="AC976" s="130" t="n"/>
      <c r="AD976" s="16" t="n"/>
      <c r="AE976" s="17" t="n"/>
      <c r="AF976" s="137">
        <f>DADOS_INVOC!$IK$12</f>
        <v/>
      </c>
      <c r="AG976" s="16" t="n"/>
      <c r="AH976" s="16" t="n"/>
      <c r="AI976" s="16" t="n"/>
      <c r="AJ976" s="16" t="n"/>
      <c r="AK976" s="16" t="n"/>
      <c r="AL976" s="16" t="n"/>
      <c r="AM976" s="16" t="n"/>
      <c r="AN976" s="16" t="n"/>
      <c r="AO976" s="16" t="n"/>
      <c r="AP976" s="16" t="n"/>
      <c r="AQ976" s="16" t="n"/>
      <c r="AR976" s="17" t="n"/>
      <c r="AS976" s="120" t="n"/>
    </row>
    <row r="977" hidden="1" outlineLevel="1">
      <c r="A977" s="8" t="n"/>
      <c r="B977" s="14" t="n"/>
      <c r="C977" s="120" t="n"/>
      <c r="D977" s="120" t="n"/>
      <c r="E977" s="120" t="n"/>
      <c r="F977" s="120" t="n"/>
      <c r="G977" s="120" t="n"/>
      <c r="I977" s="120" t="n"/>
      <c r="J977" s="120" t="n"/>
      <c r="K977" s="120" t="n"/>
      <c r="L977" s="120" t="n"/>
      <c r="M977" s="120" t="n"/>
      <c r="N977" s="120" t="n"/>
      <c r="O977" s="120" t="n"/>
      <c r="P977" s="120" t="n"/>
      <c r="Q977" s="120" t="n"/>
      <c r="R977" s="120" t="n"/>
      <c r="S977" s="120" t="n"/>
      <c r="T977" s="120" t="n"/>
      <c r="U977" s="120" t="n"/>
      <c r="V977" s="120" t="n"/>
      <c r="W977" s="120" t="n"/>
      <c r="X977" s="120" t="n"/>
      <c r="Y977" s="120" t="n"/>
      <c r="Z977" s="120" t="n"/>
      <c r="AB977" s="120" t="n"/>
      <c r="AC977" s="120" t="n"/>
      <c r="AD977" s="120" t="n"/>
      <c r="AE977" s="120" t="n"/>
      <c r="AF977" s="120" t="n"/>
      <c r="AG977" s="120" t="n"/>
      <c r="AH977" s="120" t="n"/>
      <c r="AI977" s="120" t="n"/>
      <c r="AJ977" s="120" t="n"/>
      <c r="AK977" s="120" t="n"/>
      <c r="AL977" s="120" t="n"/>
      <c r="AM977" s="120" t="n"/>
      <c r="AN977" s="120" t="n"/>
      <c r="AO977" s="120" t="n"/>
      <c r="AP977" s="120" t="n"/>
      <c r="AQ977" s="120" t="n"/>
      <c r="AR977" s="120" t="n"/>
      <c r="AS977" s="120" t="n"/>
    </row>
    <row r="978" hidden="1" outlineLevel="1">
      <c r="A978" s="8" t="n"/>
      <c r="B978" s="14" t="n"/>
      <c r="C978" s="120" t="n"/>
      <c r="D978" s="120" t="n"/>
      <c r="E978" s="120" t="n"/>
      <c r="F978" s="120" t="n"/>
      <c r="G978" s="120" t="n"/>
      <c r="I978" s="13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0" t="n"/>
      <c r="AB978" s="13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0" t="n"/>
    </row>
    <row r="979" hidden="1" outlineLevel="2">
      <c r="A979" s="8" t="n"/>
      <c r="B979" s="14" t="n"/>
      <c r="C979" s="120" t="n"/>
      <c r="D979" s="120" t="n"/>
      <c r="E979" s="120" t="n"/>
      <c r="F979" s="120" t="n"/>
      <c r="G979" s="120" t="n"/>
      <c r="I979" s="120" t="n"/>
      <c r="J979" s="120" t="n"/>
      <c r="K979" s="120" t="n"/>
      <c r="L979" s="120" t="n"/>
      <c r="M979" s="120" t="n"/>
      <c r="N979" s="120" t="n"/>
      <c r="O979" s="120" t="n"/>
      <c r="P979" s="120" t="n"/>
      <c r="Q979" s="120" t="n"/>
      <c r="R979" s="120" t="n"/>
      <c r="S979" s="120" t="n"/>
      <c r="T979" s="120" t="n"/>
      <c r="U979" s="120" t="n"/>
      <c r="V979" s="120" t="n"/>
      <c r="W979" s="120" t="n"/>
      <c r="X979" s="120" t="n"/>
      <c r="Y979" s="120" t="n"/>
      <c r="Z979" s="120" t="n"/>
      <c r="AB979" s="120" t="n"/>
      <c r="AC979" s="120" t="n"/>
      <c r="AD979" s="120" t="n"/>
      <c r="AE979" s="120" t="n"/>
      <c r="AF979" s="120" t="n"/>
      <c r="AG979" s="120" t="n"/>
      <c r="AH979" s="120" t="n"/>
      <c r="AI979" s="120" t="n"/>
      <c r="AJ979" s="120" t="n"/>
      <c r="AK979" s="120" t="n"/>
      <c r="AL979" s="120" t="n"/>
      <c r="AM979" s="120" t="n"/>
      <c r="AN979" s="120" t="n"/>
      <c r="AO979" s="120" t="n"/>
      <c r="AP979" s="120" t="n"/>
      <c r="AQ979" s="120" t="n"/>
      <c r="AR979" s="120" t="n"/>
      <c r="AS979" s="120" t="n"/>
    </row>
    <row r="980" hidden="1" outlineLevel="2">
      <c r="A980" s="8" t="n"/>
      <c r="B980" s="14" t="n"/>
      <c r="C980" s="120" t="n"/>
      <c r="D980" s="120" t="n"/>
      <c r="E980" s="120" t="n"/>
      <c r="F980" s="120" t="n"/>
      <c r="G980" s="120" t="n"/>
      <c r="I980" s="55" t="inlineStr">
        <is>
          <t>LIBERAÇÃO MÁXIMA 1</t>
        </is>
      </c>
      <c r="J980" s="16" t="n"/>
      <c r="K980" s="16" t="n"/>
      <c r="L980" s="16" t="n"/>
      <c r="M980" s="17" t="n"/>
      <c r="N980" s="120" t="n"/>
      <c r="O980" s="55" t="inlineStr">
        <is>
          <t>LIBERAÇÃO MÁXIMA 2</t>
        </is>
      </c>
      <c r="P980" s="16" t="n"/>
      <c r="Q980" s="16" t="n"/>
      <c r="R980" s="16" t="n"/>
      <c r="S980" s="17" t="n"/>
      <c r="T980" s="120" t="n"/>
      <c r="U980" s="55" t="inlineStr">
        <is>
          <t>LIBERAÇÃO MÁXIMA 3</t>
        </is>
      </c>
      <c r="V980" s="16" t="n"/>
      <c r="W980" s="16" t="n"/>
      <c r="X980" s="16" t="n"/>
      <c r="Y980" s="17" t="n"/>
      <c r="Z980" s="120" t="n"/>
      <c r="AB980" s="55" t="inlineStr">
        <is>
          <t>LIBERAÇÃO MÁXIMA 1</t>
        </is>
      </c>
      <c r="AC980" s="16" t="n"/>
      <c r="AD980" s="16" t="n"/>
      <c r="AE980" s="16" t="n"/>
      <c r="AF980" s="17" t="n"/>
      <c r="AG980" s="120" t="n"/>
      <c r="AH980" s="55" t="inlineStr">
        <is>
          <t>LIBERAÇÃO MÁXIMA 2</t>
        </is>
      </c>
      <c r="AI980" s="16" t="n"/>
      <c r="AJ980" s="16" t="n"/>
      <c r="AK980" s="16" t="n"/>
      <c r="AL980" s="17" t="n"/>
      <c r="AM980" s="120" t="n"/>
      <c r="AN980" s="55" t="inlineStr">
        <is>
          <t>LIBERAÇÃO MÁXIMA 3</t>
        </is>
      </c>
      <c r="AO980" s="16" t="n"/>
      <c r="AP980" s="16" t="n"/>
      <c r="AQ980" s="16" t="n"/>
      <c r="AR980" s="17" t="n"/>
      <c r="AS980" s="120" t="n"/>
    </row>
    <row r="981" hidden="1" outlineLevel="2">
      <c r="A981" s="8" t="n"/>
      <c r="B981" s="14" t="n"/>
      <c r="C981" s="120" t="n"/>
      <c r="D981" s="120" t="n"/>
      <c r="E981" s="120" t="n"/>
      <c r="F981" s="120" t="n"/>
      <c r="G981" s="120" t="n"/>
      <c r="I981" s="127" t="n">
        <v>3</v>
      </c>
      <c r="J981" s="115" t="n"/>
      <c r="K981" s="16" t="n"/>
      <c r="L981" s="17" t="n"/>
      <c r="M981" s="128">
        <f>DADOS_INVOC!$IL$6</f>
        <v/>
      </c>
      <c r="N981" s="120" t="n"/>
      <c r="O981" s="127" t="n">
        <v>3</v>
      </c>
      <c r="P981" s="115" t="n"/>
      <c r="Q981" s="16" t="n"/>
      <c r="R981" s="17" t="n"/>
      <c r="S981" s="128">
        <f>DADOS_INVOC!$IM$6</f>
        <v/>
      </c>
      <c r="T981" s="120" t="n"/>
      <c r="U981" s="127" t="n">
        <v>3</v>
      </c>
      <c r="V981" s="115" t="n"/>
      <c r="W981" s="16" t="n"/>
      <c r="X981" s="17" t="n"/>
      <c r="Y981" s="128">
        <f>DADOS_INVOC!$IN$6</f>
        <v/>
      </c>
      <c r="Z981" s="120" t="n"/>
      <c r="AB981" s="127" t="n">
        <v>3</v>
      </c>
      <c r="AC981" s="115" t="n"/>
      <c r="AD981" s="16" t="n"/>
      <c r="AE981" s="17" t="n"/>
      <c r="AF981" s="128">
        <f>DADOS_INVOC!$IL$12</f>
        <v/>
      </c>
      <c r="AG981" s="120" t="n"/>
      <c r="AH981" s="127" t="n">
        <v>3</v>
      </c>
      <c r="AI981" s="115" t="n"/>
      <c r="AJ981" s="16" t="n"/>
      <c r="AK981" s="17" t="n"/>
      <c r="AL981" s="128">
        <f>DADOS_INVOC!$IM$12</f>
        <v/>
      </c>
      <c r="AM981" s="120" t="n"/>
      <c r="AN981" s="127" t="n">
        <v>3</v>
      </c>
      <c r="AO981" s="115" t="n"/>
      <c r="AP981" s="16" t="n"/>
      <c r="AQ981" s="17" t="n"/>
      <c r="AR981" s="128">
        <f>DADOS_INVOC!$IN$12</f>
        <v/>
      </c>
      <c r="AS981" s="120" t="n"/>
    </row>
    <row r="982" hidden="1" outlineLevel="2">
      <c r="A982" s="8" t="n"/>
      <c r="B982" s="14" t="n"/>
      <c r="C982" s="120" t="n"/>
      <c r="D982" s="120" t="n"/>
      <c r="E982" s="120" t="n"/>
      <c r="F982" s="120" t="n"/>
      <c r="G982" s="120" t="n"/>
      <c r="I982" s="116" t="n"/>
      <c r="J982" s="19" t="n"/>
      <c r="K982" s="19" t="n"/>
      <c r="L982" s="19" t="n"/>
      <c r="M982" s="20" t="n"/>
      <c r="N982" s="120" t="n"/>
      <c r="O982" s="116" t="n"/>
      <c r="P982" s="19" t="n"/>
      <c r="Q982" s="19" t="n"/>
      <c r="R982" s="19" t="n"/>
      <c r="S982" s="20" t="n"/>
      <c r="T982" s="120" t="n"/>
      <c r="U982" s="116" t="n"/>
      <c r="V982" s="19" t="n"/>
      <c r="W982" s="19" t="n"/>
      <c r="X982" s="19" t="n"/>
      <c r="Y982" s="20" t="n"/>
      <c r="Z982" s="120" t="n"/>
      <c r="AB982" s="116" t="n"/>
      <c r="AC982" s="19" t="n"/>
      <c r="AD982" s="19" t="n"/>
      <c r="AE982" s="19" t="n"/>
      <c r="AF982" s="20" t="n"/>
      <c r="AG982" s="120" t="n"/>
      <c r="AH982" s="116" t="n"/>
      <c r="AI982" s="19" t="n"/>
      <c r="AJ982" s="19" t="n"/>
      <c r="AK982" s="19" t="n"/>
      <c r="AL982" s="20" t="n"/>
      <c r="AM982" s="120" t="n"/>
      <c r="AN982" s="116" t="n"/>
      <c r="AO982" s="19" t="n"/>
      <c r="AP982" s="19" t="n"/>
      <c r="AQ982" s="19" t="n"/>
      <c r="AR982" s="20" t="n"/>
      <c r="AS982" s="120" t="n"/>
    </row>
    <row r="983" hidden="1" outlineLevel="2">
      <c r="A983" s="8" t="n"/>
      <c r="B983" s="14" t="n"/>
      <c r="C983" s="120" t="n"/>
      <c r="D983" s="120" t="n"/>
      <c r="E983" s="120" t="n"/>
      <c r="F983" s="120" t="n"/>
      <c r="G983" s="120" t="n"/>
      <c r="I983" s="21" t="n"/>
      <c r="M983" s="22" t="n"/>
      <c r="N983" s="120" t="n"/>
      <c r="O983" s="21" t="n"/>
      <c r="S983" s="22" t="n"/>
      <c r="T983" s="120" t="n"/>
      <c r="U983" s="21" t="n"/>
      <c r="Y983" s="22" t="n"/>
      <c r="Z983" s="120" t="n"/>
      <c r="AB983" s="21" t="n"/>
      <c r="AF983" s="22" t="n"/>
      <c r="AG983" s="120" t="n"/>
      <c r="AH983" s="21" t="n"/>
      <c r="AL983" s="22" t="n"/>
      <c r="AM983" s="120" t="n"/>
      <c r="AN983" s="21" t="n"/>
      <c r="AR983" s="22" t="n"/>
      <c r="AS983" s="120" t="n"/>
    </row>
    <row r="984" hidden="1" outlineLevel="2">
      <c r="A984" s="8" t="n"/>
      <c r="B984" s="14" t="n"/>
      <c r="C984" s="120" t="n"/>
      <c r="D984" s="120" t="n"/>
      <c r="E984" s="120" t="n"/>
      <c r="F984" s="120" t="n"/>
      <c r="G984" s="120" t="n"/>
      <c r="I984" s="21" t="n"/>
      <c r="M984" s="22" t="n"/>
      <c r="N984" s="120" t="n"/>
      <c r="O984" s="21" t="n"/>
      <c r="S984" s="22" t="n"/>
      <c r="T984" s="120" t="n"/>
      <c r="U984" s="21" t="n"/>
      <c r="Y984" s="22" t="n"/>
      <c r="Z984" s="120" t="n"/>
      <c r="AB984" s="21" t="n"/>
      <c r="AF984" s="22" t="n"/>
      <c r="AG984" s="120" t="n"/>
      <c r="AH984" s="21" t="n"/>
      <c r="AL984" s="22" t="n"/>
      <c r="AM984" s="120" t="n"/>
      <c r="AN984" s="21" t="n"/>
      <c r="AR984" s="22" t="n"/>
      <c r="AS984" s="120" t="n"/>
    </row>
    <row r="985" hidden="1" outlineLevel="2">
      <c r="A985" s="8" t="n"/>
      <c r="B985" s="14" t="n"/>
      <c r="C985" s="120" t="n"/>
      <c r="D985" s="120" t="n"/>
      <c r="E985" s="120" t="n"/>
      <c r="F985" s="120" t="n"/>
      <c r="G985" s="120" t="n"/>
      <c r="I985" s="23" t="n"/>
      <c r="J985" s="24" t="n"/>
      <c r="K985" s="24" t="n"/>
      <c r="L985" s="24" t="n"/>
      <c r="M985" s="25" t="n"/>
      <c r="N985" s="120" t="n"/>
      <c r="O985" s="23" t="n"/>
      <c r="P985" s="24" t="n"/>
      <c r="Q985" s="24" t="n"/>
      <c r="R985" s="24" t="n"/>
      <c r="S985" s="25" t="n"/>
      <c r="T985" s="120" t="n"/>
      <c r="U985" s="23" t="n"/>
      <c r="V985" s="24" t="n"/>
      <c r="W985" s="24" t="n"/>
      <c r="X985" s="24" t="n"/>
      <c r="Y985" s="25" t="n"/>
      <c r="Z985" s="120" t="n"/>
      <c r="AB985" s="23" t="n"/>
      <c r="AC985" s="24" t="n"/>
      <c r="AD985" s="24" t="n"/>
      <c r="AE985" s="24" t="n"/>
      <c r="AF985" s="25" t="n"/>
      <c r="AG985" s="120" t="n"/>
      <c r="AH985" s="23" t="n"/>
      <c r="AI985" s="24" t="n"/>
      <c r="AJ985" s="24" t="n"/>
      <c r="AK985" s="24" t="n"/>
      <c r="AL985" s="25" t="n"/>
      <c r="AM985" s="120" t="n"/>
      <c r="AN985" s="23" t="n"/>
      <c r="AO985" s="24" t="n"/>
      <c r="AP985" s="24" t="n"/>
      <c r="AQ985" s="24" t="n"/>
      <c r="AR985" s="25" t="n"/>
      <c r="AS985" s="120" t="n"/>
    </row>
    <row r="986" hidden="1" outlineLevel="2">
      <c r="A986" s="8" t="n"/>
      <c r="B986" s="14" t="n"/>
      <c r="C986" s="120" t="n"/>
      <c r="D986" s="120" t="n"/>
      <c r="E986" s="120" t="n"/>
      <c r="F986" s="120" t="n"/>
      <c r="G986" s="120" t="n"/>
      <c r="I986" s="68">
        <f>DADOS_INVOC!$IO$6</f>
        <v/>
      </c>
      <c r="J986" s="16" t="n"/>
      <c r="K986" s="16" t="n"/>
      <c r="L986" s="16" t="n"/>
      <c r="M986" s="17" t="n"/>
      <c r="N986" s="120" t="n"/>
      <c r="O986" s="68">
        <f>DADOS_INVOC!$IP$6</f>
        <v/>
      </c>
      <c r="P986" s="16" t="n"/>
      <c r="Q986" s="16" t="n"/>
      <c r="R986" s="16" t="n"/>
      <c r="S986" s="17" t="n"/>
      <c r="T986" s="120" t="n"/>
      <c r="U986" s="68">
        <f>DADOS_INVOC!$IQ$6</f>
        <v/>
      </c>
      <c r="V986" s="16" t="n"/>
      <c r="W986" s="16" t="n"/>
      <c r="X986" s="16" t="n"/>
      <c r="Y986" s="17" t="n"/>
      <c r="Z986" s="120" t="n"/>
      <c r="AB986" s="68">
        <f>DADOS_INVOC!$IO$12</f>
        <v/>
      </c>
      <c r="AC986" s="16" t="n"/>
      <c r="AD986" s="16" t="n"/>
      <c r="AE986" s="16" t="n"/>
      <c r="AF986" s="17" t="n"/>
      <c r="AG986" s="120" t="n"/>
      <c r="AH986" s="68">
        <f>DADOS_INVOC!$IP$12</f>
        <v/>
      </c>
      <c r="AI986" s="16" t="n"/>
      <c r="AJ986" s="16" t="n"/>
      <c r="AK986" s="16" t="n"/>
      <c r="AL986" s="17" t="n"/>
      <c r="AM986" s="120" t="n"/>
      <c r="AN986" s="68">
        <f>DADOS_INVOC!$IQ$12</f>
        <v/>
      </c>
      <c r="AO986" s="16" t="n"/>
      <c r="AP986" s="16" t="n"/>
      <c r="AQ986" s="16" t="n"/>
      <c r="AR986" s="17" t="n"/>
      <c r="AS986" s="120" t="n"/>
    </row>
    <row r="987" hidden="1" outlineLevel="2">
      <c r="A987" s="8" t="n"/>
      <c r="B987" s="14" t="n"/>
      <c r="C987" s="120" t="n"/>
      <c r="D987" s="120" t="n"/>
      <c r="E987" s="120" t="n"/>
      <c r="F987" s="120" t="n"/>
      <c r="G987" s="120" t="n"/>
      <c r="I987" s="124" t="inlineStr">
        <is>
          <t>Sua Ação Completa + a básica dela</t>
        </is>
      </c>
      <c r="J987" s="16" t="n"/>
      <c r="K987" s="16" t="n"/>
      <c r="L987" s="16" t="n"/>
      <c r="M987" s="17" t="n"/>
      <c r="N987" s="120" t="n"/>
      <c r="O987" s="124" t="inlineStr">
        <is>
          <t>Sua Ação Completa + a básica dela</t>
        </is>
      </c>
      <c r="P987" s="16" t="n"/>
      <c r="Q987" s="16" t="n"/>
      <c r="R987" s="16" t="n"/>
      <c r="S987" s="17" t="n"/>
      <c r="T987" s="120" t="n"/>
      <c r="U987" s="124" t="inlineStr">
        <is>
          <t>Sua Ação Completa + a básica dela</t>
        </is>
      </c>
      <c r="V987" s="16" t="n"/>
      <c r="W987" s="16" t="n"/>
      <c r="X987" s="16" t="n"/>
      <c r="Y987" s="17" t="n"/>
      <c r="Z987" s="120" t="n"/>
      <c r="AB987" s="124" t="inlineStr">
        <is>
          <t>Sua Ação Completa + a básica dela</t>
        </is>
      </c>
      <c r="AC987" s="16" t="n"/>
      <c r="AD987" s="16" t="n"/>
      <c r="AE987" s="16" t="n"/>
      <c r="AF987" s="17" t="n"/>
      <c r="AG987" s="120" t="n"/>
      <c r="AH987" s="124" t="inlineStr">
        <is>
          <t>Sua Ação Completa + a básica dela</t>
        </is>
      </c>
      <c r="AI987" s="16" t="n"/>
      <c r="AJ987" s="16" t="n"/>
      <c r="AK987" s="16" t="n"/>
      <c r="AL987" s="17" t="n"/>
      <c r="AM987" s="120" t="n"/>
      <c r="AN987" s="124" t="inlineStr">
        <is>
          <t>Sua Ação Completa + a básica dela</t>
        </is>
      </c>
      <c r="AO987" s="16" t="n"/>
      <c r="AP987" s="16" t="n"/>
      <c r="AQ987" s="16" t="n"/>
      <c r="AR987" s="17" t="n"/>
      <c r="AS987" s="120" t="n"/>
    </row>
    <row r="988" hidden="1" outlineLevel="2">
      <c r="A988" s="8" t="n"/>
      <c r="B988" s="14" t="n"/>
      <c r="C988" s="120" t="n"/>
      <c r="D988" s="120" t="n"/>
      <c r="E988" s="120" t="n"/>
      <c r="F988" s="120" t="n"/>
      <c r="G988" s="120" t="n"/>
      <c r="I988" s="120" t="n"/>
      <c r="J988" s="120" t="n"/>
      <c r="K988" s="120" t="n"/>
      <c r="L988" s="120" t="n"/>
      <c r="M988" s="120" t="n"/>
      <c r="N988" s="120" t="n"/>
      <c r="O988" s="120" t="n"/>
      <c r="P988" s="120" t="n"/>
      <c r="Q988" s="120" t="n"/>
      <c r="R988" s="120" t="n"/>
      <c r="S988" s="120" t="n"/>
      <c r="T988" s="120" t="n"/>
      <c r="U988" s="120" t="n"/>
      <c r="V988" s="120" t="n"/>
      <c r="W988" s="120" t="n"/>
      <c r="X988" s="120" t="n"/>
      <c r="Y988" s="120" t="n"/>
      <c r="Z988" s="120" t="n"/>
      <c r="AB988" s="120" t="n"/>
      <c r="AC988" s="120" t="n"/>
      <c r="AD988" s="120" t="n"/>
      <c r="AE988" s="120" t="n"/>
      <c r="AF988" s="120" t="n"/>
      <c r="AG988" s="120" t="n"/>
      <c r="AH988" s="120" t="n"/>
      <c r="AI988" s="120" t="n"/>
      <c r="AJ988" s="120" t="n"/>
      <c r="AK988" s="120" t="n"/>
      <c r="AL988" s="120" t="n"/>
      <c r="AM988" s="120" t="n"/>
      <c r="AN988" s="120" t="n"/>
      <c r="AO988" s="120" t="n"/>
      <c r="AP988" s="120" t="n"/>
      <c r="AQ988" s="120" t="n"/>
      <c r="AR988" s="120" t="n"/>
      <c r="AS988" s="120" t="n"/>
    </row>
    <row r="989" hidden="1" outlineLevel="2">
      <c r="A989" s="8" t="n"/>
      <c r="B989" s="14" t="n"/>
      <c r="C989" s="120" t="n"/>
      <c r="D989" s="120" t="n"/>
      <c r="E989" s="120" t="n"/>
      <c r="F989" s="120" t="n"/>
      <c r="G989" s="120" t="n"/>
      <c r="I989" s="55" t="inlineStr">
        <is>
          <t>TÉCNICA MÁXIMA</t>
        </is>
      </c>
      <c r="J989" s="16" t="n"/>
      <c r="K989" s="16" t="n"/>
      <c r="L989" s="16" t="n"/>
      <c r="M989" s="17" t="n"/>
      <c r="N989" s="120" t="n"/>
      <c r="O989" s="55" t="inlineStr">
        <is>
          <t>EXPANSÃO DE DOMÍNIO</t>
        </is>
      </c>
      <c r="P989" s="16" t="n"/>
      <c r="Q989" s="16" t="n"/>
      <c r="R989" s="16" t="n"/>
      <c r="S989" s="17" t="n"/>
      <c r="T989" s="120" t="n"/>
      <c r="U989" s="120" t="n"/>
      <c r="V989" s="120" t="n"/>
      <c r="W989" s="120" t="n"/>
      <c r="X989" s="120" t="n"/>
      <c r="Y989" s="120" t="n"/>
      <c r="Z989" s="120" t="n"/>
      <c r="AB989" s="55" t="inlineStr">
        <is>
          <t>TÉCNICA MÁXIMA</t>
        </is>
      </c>
      <c r="AC989" s="16" t="n"/>
      <c r="AD989" s="16" t="n"/>
      <c r="AE989" s="16" t="n"/>
      <c r="AF989" s="17" t="n"/>
      <c r="AG989" s="120" t="n"/>
      <c r="AH989" s="55" t="inlineStr">
        <is>
          <t>EXPANSÃO DE DOMÍNIO</t>
        </is>
      </c>
      <c r="AI989" s="16" t="n"/>
      <c r="AJ989" s="16" t="n"/>
      <c r="AK989" s="16" t="n"/>
      <c r="AL989" s="17" t="n"/>
      <c r="AM989" s="120" t="n"/>
      <c r="AN989" s="120" t="n"/>
      <c r="AO989" s="120" t="n"/>
      <c r="AP989" s="120" t="n"/>
      <c r="AQ989" s="120" t="n"/>
      <c r="AR989" s="120" t="n"/>
      <c r="AS989" s="120" t="n"/>
    </row>
    <row r="990" hidden="1" outlineLevel="2">
      <c r="A990" s="8" t="n"/>
      <c r="B990" s="14" t="n"/>
      <c r="C990" s="120" t="n"/>
      <c r="D990" s="120" t="n"/>
      <c r="E990" s="120" t="n"/>
      <c r="F990" s="120" t="n"/>
      <c r="G990" s="120" t="n"/>
      <c r="I990" s="115" t="n"/>
      <c r="J990" s="16" t="n"/>
      <c r="K990" s="16" t="n"/>
      <c r="L990" s="17" t="n"/>
      <c r="M990" s="128">
        <f>DADOS_INVOC!$IR$6</f>
        <v/>
      </c>
      <c r="N990" s="120" t="n"/>
      <c r="O990" s="115" t="n"/>
      <c r="P990" s="16" t="n"/>
      <c r="Q990" s="16" t="n"/>
      <c r="R990" s="17" t="n"/>
      <c r="S990" s="128">
        <f>DADOS_INVOC!$IT$6</f>
        <v/>
      </c>
      <c r="T990" s="120" t="n"/>
      <c r="U990" s="120" t="n"/>
      <c r="V990" s="120" t="n"/>
      <c r="W990" s="120" t="n"/>
      <c r="X990" s="120" t="n"/>
      <c r="Y990" s="120" t="n"/>
      <c r="Z990" s="120" t="n"/>
      <c r="AB990" s="115" t="n"/>
      <c r="AC990" s="16" t="n"/>
      <c r="AD990" s="16" t="n"/>
      <c r="AE990" s="17" t="n"/>
      <c r="AF990" s="128">
        <f>DADOS_INVOC!$IR$12</f>
        <v/>
      </c>
      <c r="AG990" s="120" t="n"/>
      <c r="AH990" s="115" t="n"/>
      <c r="AI990" s="16" t="n"/>
      <c r="AJ990" s="16" t="n"/>
      <c r="AK990" s="17" t="n"/>
      <c r="AL990" s="128">
        <f>DADOS_INVOC!$IT$12</f>
        <v/>
      </c>
      <c r="AM990" s="120" t="n"/>
      <c r="AN990" s="120" t="n"/>
      <c r="AO990" s="120" t="n"/>
      <c r="AP990" s="120" t="n"/>
      <c r="AQ990" s="120" t="n"/>
      <c r="AR990" s="120" t="n"/>
      <c r="AS990" s="120" t="n"/>
    </row>
    <row r="991" hidden="1" outlineLevel="2">
      <c r="A991" s="8" t="n"/>
      <c r="B991" s="14" t="n"/>
      <c r="C991" s="120" t="n"/>
      <c r="D991" s="120" t="n"/>
      <c r="E991" s="120" t="n"/>
      <c r="F991" s="120" t="n"/>
      <c r="G991" s="120" t="n"/>
      <c r="I991" s="116" t="n"/>
      <c r="J991" s="19" t="n"/>
      <c r="K991" s="19" t="n"/>
      <c r="L991" s="19" t="n"/>
      <c r="M991" s="20" t="n"/>
      <c r="N991" s="120" t="n"/>
      <c r="O991" s="116" t="n"/>
      <c r="P991" s="19" t="n"/>
      <c r="Q991" s="19" t="n"/>
      <c r="R991" s="19" t="n"/>
      <c r="S991" s="20" t="n"/>
      <c r="T991" s="120" t="n"/>
      <c r="U991" s="120" t="n"/>
      <c r="V991" s="120" t="n"/>
      <c r="W991" s="120" t="n"/>
      <c r="X991" s="120" t="n"/>
      <c r="Y991" s="120" t="n"/>
      <c r="Z991" s="120" t="n"/>
      <c r="AB991" s="116" t="n"/>
      <c r="AC991" s="19" t="n"/>
      <c r="AD991" s="19" t="n"/>
      <c r="AE991" s="19" t="n"/>
      <c r="AF991" s="20" t="n"/>
      <c r="AG991" s="120" t="n"/>
      <c r="AH991" s="116" t="n"/>
      <c r="AI991" s="19" t="n"/>
      <c r="AJ991" s="19" t="n"/>
      <c r="AK991" s="19" t="n"/>
      <c r="AL991" s="20" t="n"/>
      <c r="AM991" s="120" t="n"/>
      <c r="AN991" s="120" t="n"/>
      <c r="AO991" s="120" t="n"/>
      <c r="AP991" s="120" t="n"/>
      <c r="AQ991" s="120" t="n"/>
      <c r="AR991" s="120" t="n"/>
      <c r="AS991" s="120" t="n"/>
    </row>
    <row r="992" hidden="1" outlineLevel="2">
      <c r="A992" s="8" t="n"/>
      <c r="B992" s="14" t="n"/>
      <c r="C992" s="120" t="n"/>
      <c r="D992" s="120" t="n"/>
      <c r="E992" s="120" t="n"/>
      <c r="F992" s="120" t="n"/>
      <c r="G992" s="120" t="n"/>
      <c r="I992" s="21" t="n"/>
      <c r="M992" s="22" t="n"/>
      <c r="N992" s="120" t="n"/>
      <c r="O992" s="21" t="n"/>
      <c r="S992" s="22" t="n"/>
      <c r="T992" s="120" t="n"/>
      <c r="U992" s="120" t="n"/>
      <c r="V992" s="120" t="n"/>
      <c r="W992" s="120" t="n"/>
      <c r="X992" s="120" t="n"/>
      <c r="Y992" s="120" t="n"/>
      <c r="Z992" s="120" t="n"/>
      <c r="AB992" s="21" t="n"/>
      <c r="AF992" s="22" t="n"/>
      <c r="AG992" s="120" t="n"/>
      <c r="AH992" s="21" t="n"/>
      <c r="AL992" s="22" t="n"/>
      <c r="AM992" s="120" t="n"/>
      <c r="AN992" s="120" t="n"/>
      <c r="AO992" s="120" t="n"/>
      <c r="AP992" s="120" t="n"/>
      <c r="AQ992" s="120" t="n"/>
      <c r="AR992" s="120" t="n"/>
      <c r="AS992" s="120" t="n"/>
    </row>
    <row r="993" hidden="1" outlineLevel="2">
      <c r="A993" s="8" t="n"/>
      <c r="B993" s="14" t="n"/>
      <c r="C993" s="120" t="n"/>
      <c r="D993" s="120" t="n"/>
      <c r="E993" s="120" t="n"/>
      <c r="F993" s="120" t="n"/>
      <c r="G993" s="120" t="n"/>
      <c r="I993" s="21" t="n"/>
      <c r="M993" s="22" t="n"/>
      <c r="N993" s="120" t="n"/>
      <c r="O993" s="21" t="n"/>
      <c r="S993" s="22" t="n"/>
      <c r="T993" s="120" t="n"/>
      <c r="U993" s="120" t="n"/>
      <c r="V993" s="120" t="n"/>
      <c r="W993" s="120" t="n"/>
      <c r="X993" s="120" t="n"/>
      <c r="Y993" s="120" t="n"/>
      <c r="Z993" s="120" t="n"/>
      <c r="AB993" s="21" t="n"/>
      <c r="AF993" s="22" t="n"/>
      <c r="AG993" s="120" t="n"/>
      <c r="AH993" s="21" t="n"/>
      <c r="AL993" s="22" t="n"/>
      <c r="AM993" s="120" t="n"/>
      <c r="AN993" s="120" t="n"/>
      <c r="AO993" s="120" t="n"/>
      <c r="AP993" s="120" t="n"/>
      <c r="AQ993" s="120" t="n"/>
      <c r="AR993" s="120" t="n"/>
      <c r="AS993" s="120" t="n"/>
    </row>
    <row r="994" hidden="1" outlineLevel="2">
      <c r="A994" s="8" t="n"/>
      <c r="B994" s="14" t="n"/>
      <c r="C994" s="120" t="n"/>
      <c r="D994" s="120" t="n"/>
      <c r="E994" s="120" t="n"/>
      <c r="F994" s="120" t="n"/>
      <c r="G994" s="120" t="n"/>
      <c r="I994" s="23" t="n"/>
      <c r="J994" s="24" t="n"/>
      <c r="K994" s="24" t="n"/>
      <c r="L994" s="24" t="n"/>
      <c r="M994" s="25" t="n"/>
      <c r="N994" s="120" t="n"/>
      <c r="O994" s="23" t="n"/>
      <c r="P994" s="24" t="n"/>
      <c r="Q994" s="24" t="n"/>
      <c r="R994" s="24" t="n"/>
      <c r="S994" s="25" t="n"/>
      <c r="T994" s="120" t="n"/>
      <c r="U994" s="120" t="n"/>
      <c r="V994" s="120" t="n"/>
      <c r="W994" s="120" t="n"/>
      <c r="X994" s="120" t="n"/>
      <c r="Y994" s="120" t="n"/>
      <c r="Z994" s="120" t="n"/>
      <c r="AB994" s="23" t="n"/>
      <c r="AC994" s="24" t="n"/>
      <c r="AD994" s="24" t="n"/>
      <c r="AE994" s="24" t="n"/>
      <c r="AF994" s="25" t="n"/>
      <c r="AG994" s="120" t="n"/>
      <c r="AH994" s="23" t="n"/>
      <c r="AI994" s="24" t="n"/>
      <c r="AJ994" s="24" t="n"/>
      <c r="AK994" s="24" t="n"/>
      <c r="AL994" s="25" t="n"/>
      <c r="AM994" s="120" t="n"/>
      <c r="AN994" s="120" t="n"/>
      <c r="AO994" s="120" t="n"/>
      <c r="AP994" s="120" t="n"/>
      <c r="AQ994" s="120" t="n"/>
      <c r="AR994" s="120" t="n"/>
      <c r="AS994" s="120" t="n"/>
    </row>
    <row r="995" hidden="1" outlineLevel="2">
      <c r="A995" s="8" t="n"/>
      <c r="B995" s="14" t="n"/>
      <c r="C995" s="120" t="n"/>
      <c r="D995" s="120" t="n"/>
      <c r="E995" s="120" t="n"/>
      <c r="F995" s="120" t="n"/>
      <c r="G995" s="120" t="n"/>
      <c r="I995" s="68">
        <f>DADOS_INVOC!$IS$6</f>
        <v/>
      </c>
      <c r="J995" s="16" t="n"/>
      <c r="K995" s="16" t="n"/>
      <c r="L995" s="16" t="n"/>
      <c r="M995" s="17" t="n"/>
      <c r="N995" s="120" t="n"/>
      <c r="O995" s="124" t="n"/>
      <c r="P995" s="17" t="n"/>
      <c r="Q995" s="68">
        <f>DADOS_INVOC!$IU$6</f>
        <v/>
      </c>
      <c r="R995" s="16" t="n"/>
      <c r="S995" s="17" t="n"/>
      <c r="T995" s="120" t="n"/>
      <c r="U995" s="120" t="n"/>
      <c r="V995" s="120" t="n"/>
      <c r="W995" s="120" t="n"/>
      <c r="X995" s="120" t="n"/>
      <c r="Y995" s="120" t="n"/>
      <c r="Z995" s="120" t="n"/>
      <c r="AB995" s="68">
        <f>DADOS_INVOC!$IS$12</f>
        <v/>
      </c>
      <c r="AC995" s="16" t="n"/>
      <c r="AD995" s="16" t="n"/>
      <c r="AE995" s="16" t="n"/>
      <c r="AF995" s="17" t="n"/>
      <c r="AG995" s="120" t="n"/>
      <c r="AH995" s="124" t="n"/>
      <c r="AI995" s="17" t="n"/>
      <c r="AJ995" s="68">
        <f>DADOS_INVOC!$IU$12</f>
        <v/>
      </c>
      <c r="AK995" s="16" t="n"/>
      <c r="AL995" s="17" t="n"/>
      <c r="AM995" s="120" t="n"/>
      <c r="AN995" s="120" t="n"/>
      <c r="AO995" s="120" t="n"/>
      <c r="AP995" s="120" t="n"/>
      <c r="AQ995" s="120" t="n"/>
      <c r="AR995" s="120" t="n"/>
      <c r="AS995" s="120" t="n"/>
    </row>
    <row r="996" hidden="1" outlineLevel="2">
      <c r="A996" s="8" t="n"/>
      <c r="B996" s="14" t="n"/>
      <c r="C996" s="120" t="n"/>
      <c r="D996" s="120" t="n"/>
      <c r="E996" s="120" t="n"/>
      <c r="F996" s="120" t="n"/>
      <c r="G996" s="120" t="n"/>
      <c r="I996" s="124" t="inlineStr">
        <is>
          <t>Sua Ação Completa + a básica dela</t>
        </is>
      </c>
      <c r="J996" s="16" t="n"/>
      <c r="K996" s="16" t="n"/>
      <c r="L996" s="16" t="n"/>
      <c r="M996" s="17" t="n"/>
      <c r="N996" s="120" t="n"/>
      <c r="O996" s="129">
        <f>DADOS_INVOC!$IV$6</f>
        <v/>
      </c>
      <c r="P996" s="16" t="n"/>
      <c r="Q996" s="16" t="n"/>
      <c r="R996" s="16" t="n"/>
      <c r="S996" s="17" t="n"/>
      <c r="T996" s="120" t="n"/>
      <c r="U996" s="120" t="n"/>
      <c r="V996" s="120" t="n"/>
      <c r="W996" s="120" t="n"/>
      <c r="X996" s="120" t="n"/>
      <c r="Y996" s="120" t="n"/>
      <c r="Z996" s="120" t="n"/>
      <c r="AB996" s="124" t="inlineStr">
        <is>
          <t>Sua Ação Completa + a básica dela</t>
        </is>
      </c>
      <c r="AC996" s="16" t="n"/>
      <c r="AD996" s="16" t="n"/>
      <c r="AE996" s="16" t="n"/>
      <c r="AF996" s="17" t="n"/>
      <c r="AG996" s="120" t="n"/>
      <c r="AH996" s="129">
        <f>DADOS_INVOC!$IV$12</f>
        <v/>
      </c>
      <c r="AI996" s="16" t="n"/>
      <c r="AJ996" s="16" t="n"/>
      <c r="AK996" s="16" t="n"/>
      <c r="AL996" s="17" t="n"/>
      <c r="AM996" s="120" t="n"/>
      <c r="AN996" s="120" t="n"/>
      <c r="AO996" s="120" t="n"/>
      <c r="AP996" s="120" t="n"/>
      <c r="AQ996" s="120" t="n"/>
      <c r="AR996" s="120" t="n"/>
      <c r="AS996" s="120" t="n"/>
    </row>
    <row r="997">
      <c r="A997" s="8" t="n"/>
      <c r="B997" s="14" t="n"/>
      <c r="C997" s="120" t="n"/>
      <c r="D997" s="120" t="n"/>
      <c r="E997" s="120" t="n"/>
      <c r="F997" s="120" t="n"/>
      <c r="G997" s="120" t="n"/>
      <c r="H997" s="120" t="n"/>
      <c r="I997" s="120" t="n"/>
      <c r="J997" s="120" t="n"/>
      <c r="K997" s="120" t="n"/>
      <c r="L997" s="120" t="n"/>
      <c r="M997" s="120" t="n"/>
      <c r="N997" s="120" t="n"/>
      <c r="O997" s="120" t="n"/>
      <c r="P997" s="120" t="n"/>
      <c r="Q997" s="120" t="n"/>
      <c r="R997" s="120" t="n"/>
      <c r="S997" s="120" t="n"/>
      <c r="T997" s="120" t="n"/>
      <c r="U997" s="120" t="n"/>
      <c r="V997" s="120" t="n"/>
      <c r="W997" s="120" t="n"/>
      <c r="X997" s="120" t="n"/>
      <c r="Y997" s="120" t="n"/>
      <c r="Z997" s="120" t="n"/>
      <c r="AA997" s="120" t="n"/>
      <c r="AB997" s="120" t="n"/>
      <c r="AC997" s="120" t="n"/>
      <c r="AD997" s="120" t="n"/>
      <c r="AE997" s="120" t="n"/>
      <c r="AF997" s="120" t="n"/>
      <c r="AG997" s="120" t="n"/>
      <c r="AH997" s="120" t="n"/>
      <c r="AI997" s="120" t="n"/>
      <c r="AJ997" s="120" t="n"/>
      <c r="AK997" s="120" t="n"/>
      <c r="AL997" s="120" t="n"/>
      <c r="AM997" s="120" t="n"/>
      <c r="AN997" s="120" t="n"/>
      <c r="AO997" s="120" t="n"/>
      <c r="AP997" s="120" t="n"/>
      <c r="AQ997" s="120" t="n"/>
      <c r="AR997" s="120" t="n"/>
      <c r="AS997" s="120" t="n"/>
    </row>
    <row r="998">
      <c r="A998" s="8" t="n"/>
      <c r="B998" s="14" t="n"/>
      <c r="C998" s="120" t="n"/>
      <c r="D998" s="120" t="n"/>
      <c r="E998" s="120" t="n"/>
      <c r="F998" s="120" t="n"/>
      <c r="G998" s="120" t="n"/>
      <c r="H998" s="120" t="n"/>
      <c r="I998" s="120" t="n"/>
      <c r="J998" s="120" t="n"/>
      <c r="K998" s="120" t="n"/>
      <c r="L998" s="120" t="n"/>
      <c r="M998" s="120" t="n"/>
      <c r="N998" s="120" t="n"/>
      <c r="O998" s="120" t="n"/>
      <c r="P998" s="120" t="n"/>
      <c r="Q998" s="120" t="n"/>
      <c r="R998" s="120" t="n"/>
      <c r="S998" s="120" t="n"/>
      <c r="T998" s="120" t="n"/>
      <c r="U998" s="120" t="n"/>
      <c r="V998" s="120" t="n"/>
      <c r="W998" s="120" t="n"/>
      <c r="X998" s="120" t="n"/>
      <c r="Y998" s="120" t="n"/>
      <c r="Z998" s="120" t="n"/>
      <c r="AA998" s="120" t="n"/>
      <c r="AB998" s="120" t="n"/>
      <c r="AC998" s="120" t="n"/>
      <c r="AD998" s="120" t="n"/>
      <c r="AE998" s="120" t="n"/>
      <c r="AF998" s="120" t="n"/>
      <c r="AG998" s="120" t="n"/>
      <c r="AH998" s="120" t="n"/>
      <c r="AI998" s="120" t="n"/>
      <c r="AJ998" s="120" t="n"/>
      <c r="AK998" s="120" t="n"/>
      <c r="AL998" s="120" t="n"/>
      <c r="AM998" s="120" t="n"/>
      <c r="AN998" s="120" t="n"/>
      <c r="AO998" s="120" t="n"/>
      <c r="AP998" s="120" t="n"/>
      <c r="AQ998" s="120" t="n"/>
      <c r="AR998" s="120" t="n"/>
      <c r="AS998" s="120" t="n"/>
    </row>
    <row r="999">
      <c r="A999" s="8" t="n"/>
      <c r="B999" s="14" t="n"/>
      <c r="C999" s="120" t="n"/>
      <c r="D999" s="120" t="n"/>
      <c r="E999" s="120" t="n"/>
      <c r="F999" s="120" t="n"/>
      <c r="G999" s="120" t="n"/>
      <c r="H999" s="138" t="n">
        <v>6</v>
      </c>
      <c r="I999" s="139" t="n">
        <v>6</v>
      </c>
      <c r="J999" s="123">
        <f>DADOS_INVOC!$GS$7</f>
        <v/>
      </c>
      <c r="K999" s="19" t="n"/>
      <c r="L999" s="19" t="n"/>
      <c r="M999" s="19" t="n"/>
      <c r="N999" s="19" t="n"/>
      <c r="O999" s="19" t="n"/>
      <c r="P999" s="19" t="n"/>
      <c r="Q999" s="19" t="n"/>
      <c r="R999" s="19" t="n"/>
      <c r="S999" s="19" t="n"/>
      <c r="T999" s="19" t="n"/>
      <c r="U999" s="19" t="n"/>
      <c r="V999" s="19" t="n"/>
      <c r="W999" s="19" t="n"/>
      <c r="X999" s="19" t="n"/>
      <c r="Y999" s="20" t="n"/>
      <c r="Z999" s="120" t="n"/>
      <c r="AA999" s="138" t="n">
        <v>12</v>
      </c>
      <c r="AB999" s="139" t="n">
        <v>12</v>
      </c>
      <c r="AC999" s="123">
        <f>DADOS_INVOC!$GS$13</f>
        <v/>
      </c>
      <c r="AD999" s="19" t="n"/>
      <c r="AE999" s="19" t="n"/>
      <c r="AF999" s="19" t="n"/>
      <c r="AG999" s="19" t="n"/>
      <c r="AH999" s="19" t="n"/>
      <c r="AI999" s="19" t="n"/>
      <c r="AJ999" s="19" t="n"/>
      <c r="AK999" s="19" t="n"/>
      <c r="AL999" s="19" t="n"/>
      <c r="AM999" s="19" t="n"/>
      <c r="AN999" s="19" t="n"/>
      <c r="AO999" s="19" t="n"/>
      <c r="AP999" s="19" t="n"/>
      <c r="AQ999" s="19" t="n"/>
      <c r="AR999" s="20" t="n"/>
      <c r="AS999" s="120" t="n"/>
    </row>
    <row r="1000">
      <c r="A1000" s="8" t="n"/>
      <c r="B1000" s="14" t="n"/>
      <c r="C1000" s="120" t="n"/>
      <c r="D1000" s="120" t="n"/>
      <c r="E1000" s="120" t="n"/>
      <c r="F1000" s="120" t="n"/>
      <c r="G1000" s="120"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20"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0" t="n"/>
    </row>
    <row r="1001" hidden="1" outlineLevel="1">
      <c r="A1001" s="8" t="n"/>
      <c r="B1001" s="14" t="n"/>
      <c r="C1001" s="120" t="n"/>
      <c r="D1001" s="120" t="n"/>
      <c r="E1001" s="120" t="n"/>
      <c r="F1001" s="120" t="n"/>
      <c r="G1001" s="120" t="n"/>
      <c r="H1001" s="140">
        <f>DADOS_INVOC!$GT$7</f>
        <v/>
      </c>
      <c r="I1001" s="120" t="n"/>
      <c r="J1001" s="120" t="n"/>
      <c r="K1001" s="120" t="n"/>
      <c r="L1001" s="120" t="n"/>
      <c r="M1001" s="120" t="n"/>
      <c r="N1001" s="120" t="n"/>
      <c r="O1001" s="120" t="n"/>
      <c r="P1001" s="120" t="n"/>
      <c r="Q1001" s="120" t="n"/>
      <c r="R1001" s="120" t="n"/>
      <c r="S1001" s="120" t="n"/>
      <c r="T1001" s="120" t="n"/>
      <c r="U1001" s="120" t="n"/>
      <c r="V1001" s="120" t="n"/>
      <c r="W1001" s="120" t="n"/>
      <c r="X1001" s="120" t="n"/>
      <c r="Y1001" s="120" t="n"/>
      <c r="Z1001" s="120" t="n"/>
      <c r="AA1001" s="140">
        <f>DADOS_INVOC!$GT$13</f>
        <v/>
      </c>
      <c r="AB1001" s="120" t="n"/>
      <c r="AC1001" s="120" t="n"/>
      <c r="AD1001" s="120" t="n"/>
      <c r="AE1001" s="120" t="n"/>
      <c r="AF1001" s="120" t="n"/>
      <c r="AG1001" s="120" t="n"/>
      <c r="AH1001" s="120" t="n"/>
      <c r="AI1001" s="120" t="n"/>
      <c r="AJ1001" s="120" t="n"/>
      <c r="AK1001" s="120" t="n"/>
      <c r="AL1001" s="120" t="n"/>
      <c r="AM1001" s="120" t="n"/>
      <c r="AN1001" s="120" t="n"/>
      <c r="AO1001" s="120" t="n"/>
      <c r="AP1001" s="120" t="n"/>
      <c r="AQ1001" s="120" t="n"/>
      <c r="AR1001" s="120" t="n"/>
      <c r="AS1001" s="120" t="n"/>
    </row>
    <row r="1002" hidden="1" outlineLevel="1">
      <c r="A1002" s="8" t="n"/>
      <c r="B1002" s="14" t="n"/>
      <c r="C1002" s="120" t="n"/>
      <c r="D1002" s="120" t="n"/>
      <c r="E1002" s="120" t="n"/>
      <c r="F1002" s="120" t="n"/>
      <c r="G1002" s="120" t="n"/>
      <c r="I1002" s="55" t="inlineStr">
        <is>
          <t>NOME</t>
        </is>
      </c>
      <c r="J1002" s="16" t="n"/>
      <c r="K1002" s="16" t="n"/>
      <c r="L1002" s="16" t="n"/>
      <c r="M1002" s="17" t="n"/>
      <c r="N1002" s="120" t="n"/>
      <c r="O1002" s="55" t="inlineStr">
        <is>
          <t>NÍVEL</t>
        </is>
      </c>
      <c r="P1002" s="55" t="inlineStr">
        <is>
          <t>CLASSE</t>
        </is>
      </c>
      <c r="Q1002" s="55" t="inlineStr">
        <is>
          <t>MAESTRIA</t>
        </is>
      </c>
      <c r="R1002" s="55" t="inlineStr">
        <is>
          <t>ENTRADA</t>
        </is>
      </c>
      <c r="S1002" s="55" t="inlineStr">
        <is>
          <t>RETORNO</t>
        </is>
      </c>
      <c r="T1002" s="120" t="n"/>
      <c r="U1002" s="55" t="inlineStr">
        <is>
          <t>VIDA ATUAL</t>
        </is>
      </c>
      <c r="V1002" s="55" t="inlineStr">
        <is>
          <t>VIDA MÁXIMA</t>
        </is>
      </c>
      <c r="W1002" s="55" t="inlineStr">
        <is>
          <t>TEMPORÁRIA</t>
        </is>
      </c>
      <c r="X1002" s="55" t="inlineStr">
        <is>
          <t>± PERDA / GANHO</t>
        </is>
      </c>
      <c r="Y1002" s="55">
        <f>DADOS_INVOC!$HN$7</f>
        <v/>
      </c>
      <c r="Z1002" s="120" t="n"/>
      <c r="AB1002" s="55" t="inlineStr">
        <is>
          <t>NOME</t>
        </is>
      </c>
      <c r="AC1002" s="16" t="n"/>
      <c r="AD1002" s="16" t="n"/>
      <c r="AE1002" s="16" t="n"/>
      <c r="AF1002" s="17" t="n"/>
      <c r="AG1002" s="120" t="n"/>
      <c r="AH1002" s="55" t="inlineStr">
        <is>
          <t>NÍVEL</t>
        </is>
      </c>
      <c r="AI1002" s="55" t="inlineStr">
        <is>
          <t>CLASSE</t>
        </is>
      </c>
      <c r="AJ1002" s="55" t="inlineStr">
        <is>
          <t>MAESTRIA</t>
        </is>
      </c>
      <c r="AK1002" s="55" t="inlineStr">
        <is>
          <t>ENTRADA</t>
        </is>
      </c>
      <c r="AL1002" s="55" t="inlineStr">
        <is>
          <t>RETORNO</t>
        </is>
      </c>
      <c r="AM1002" s="120" t="n"/>
      <c r="AN1002" s="55" t="inlineStr">
        <is>
          <t>VIDA ATUAL</t>
        </is>
      </c>
      <c r="AO1002" s="55" t="inlineStr">
        <is>
          <t>VIDA MÁXIMA</t>
        </is>
      </c>
      <c r="AP1002" s="55" t="inlineStr">
        <is>
          <t>TEMPORÁRIA</t>
        </is>
      </c>
      <c r="AQ1002" s="55" t="inlineStr">
        <is>
          <t>± PERDA / GANHO</t>
        </is>
      </c>
      <c r="AR1002" s="55">
        <f>DADOS_INVOC!$HN$13</f>
        <v/>
      </c>
      <c r="AS1002" s="120" t="n"/>
    </row>
    <row r="1003" hidden="1" outlineLevel="1">
      <c r="A1003" s="8" t="n"/>
      <c r="B1003" s="14" t="n"/>
      <c r="C1003" s="120" t="n"/>
      <c r="D1003" s="120" t="n"/>
      <c r="E1003" s="120" t="n"/>
      <c r="F1003" s="120" t="n"/>
      <c r="G1003" s="120" t="n"/>
      <c r="I1003" s="83" t="n"/>
      <c r="J1003" s="19" t="n"/>
      <c r="K1003" s="19" t="n"/>
      <c r="L1003" s="19" t="n"/>
      <c r="M1003" s="20" t="n"/>
      <c r="N1003" s="120" t="n"/>
      <c r="O1003" s="92">
        <f>DADOS_INVOC!$FG$7</f>
        <v/>
      </c>
      <c r="P1003" s="92">
        <f>DADOS_INVOC!$FH$7</f>
        <v/>
      </c>
      <c r="Q1003" s="92">
        <f>DADOS_INVOC!$GU$7</f>
        <v/>
      </c>
      <c r="R1003" s="92">
        <f>DADOS_INVOC!$GV$7</f>
        <v/>
      </c>
      <c r="S1003" s="92">
        <f>DADOS_INVOC!$GW$7</f>
        <v/>
      </c>
      <c r="T1003" s="120" t="n"/>
      <c r="U1003" s="92" t="n"/>
      <c r="V1003" s="92">
        <f>DADOS_INVOC!$FX$7</f>
        <v/>
      </c>
      <c r="W1003" s="92" t="n"/>
      <c r="X1003" s="92" t="n"/>
      <c r="Y1003" s="92" t="n"/>
      <c r="Z1003" s="120" t="n"/>
      <c r="AB1003" s="83" t="n"/>
      <c r="AC1003" s="19" t="n"/>
      <c r="AD1003" s="19" t="n"/>
      <c r="AE1003" s="19" t="n"/>
      <c r="AF1003" s="20" t="n"/>
      <c r="AG1003" s="120" t="n"/>
      <c r="AH1003" s="92">
        <f>DADOS_INVOC!$FG$13</f>
        <v/>
      </c>
      <c r="AI1003" s="92">
        <f>DADOS_INVOC!$FH$13</f>
        <v/>
      </c>
      <c r="AJ1003" s="92">
        <f>DADOS_INVOC!$GU$13</f>
        <v/>
      </c>
      <c r="AK1003" s="92">
        <f>DADOS_INVOC!$GV$13</f>
        <v/>
      </c>
      <c r="AL1003" s="92">
        <f>DADOS_INVOC!$GW$13</f>
        <v/>
      </c>
      <c r="AM1003" s="120" t="n"/>
      <c r="AN1003" s="92" t="n"/>
      <c r="AO1003" s="92">
        <f>DADOS_INVOC!$FX$13</f>
        <v/>
      </c>
      <c r="AP1003" s="92" t="n"/>
      <c r="AQ1003" s="92" t="n"/>
      <c r="AR1003" s="92" t="n"/>
      <c r="AS1003" s="120" t="n"/>
    </row>
    <row r="1004" hidden="1" outlineLevel="1">
      <c r="A1004" s="8" t="n"/>
      <c r="B1004" s="14" t="n"/>
      <c r="C1004" s="120" t="n"/>
      <c r="D1004" s="120" t="n"/>
      <c r="E1004" s="120" t="n"/>
      <c r="F1004" s="120" t="n"/>
      <c r="G1004" s="120" t="n"/>
      <c r="I1004" s="23" t="n"/>
      <c r="J1004" s="24" t="n"/>
      <c r="K1004" s="24" t="n"/>
      <c r="L1004" s="24" t="n"/>
      <c r="M1004" s="25" t="n"/>
      <c r="N1004" s="120" t="n"/>
      <c r="O1004" s="125" t="n"/>
      <c r="P1004" s="125" t="n"/>
      <c r="Q1004" s="125" t="n"/>
      <c r="R1004" s="125" t="n"/>
      <c r="S1004" s="125" t="n"/>
      <c r="T1004" s="120" t="n"/>
      <c r="U1004" s="125" t="n"/>
      <c r="V1004" s="125" t="n"/>
      <c r="W1004" s="125" t="n"/>
      <c r="X1004" s="125" t="n"/>
      <c r="Y1004" s="125" t="n"/>
      <c r="Z1004" s="120" t="n"/>
      <c r="AB1004" s="23" t="n"/>
      <c r="AC1004" s="24" t="n"/>
      <c r="AD1004" s="24" t="n"/>
      <c r="AE1004" s="24" t="n"/>
      <c r="AF1004" s="25" t="n"/>
      <c r="AG1004" s="120" t="n"/>
      <c r="AH1004" s="125" t="n"/>
      <c r="AI1004" s="125" t="n"/>
      <c r="AJ1004" s="125" t="n"/>
      <c r="AK1004" s="125" t="n"/>
      <c r="AL1004" s="125" t="n"/>
      <c r="AM1004" s="120" t="n"/>
      <c r="AN1004" s="125" t="n"/>
      <c r="AO1004" s="125" t="n"/>
      <c r="AP1004" s="125" t="n"/>
      <c r="AQ1004" s="125" t="n"/>
      <c r="AR1004" s="125" t="n"/>
      <c r="AS1004" s="120" t="n"/>
    </row>
    <row r="1005" hidden="1" outlineLevel="1">
      <c r="A1005" s="8" t="n"/>
      <c r="B1005" s="14" t="n"/>
      <c r="C1005" s="120" t="n"/>
      <c r="D1005" s="120" t="n"/>
      <c r="E1005" s="120" t="n"/>
      <c r="F1005" s="120" t="n"/>
      <c r="G1005" s="120" t="n"/>
      <c r="I1005" s="141" t="inlineStr">
        <is>
          <t>FOTO
式神</t>
        </is>
      </c>
      <c r="J1005" s="19" t="n"/>
      <c r="K1005" s="19" t="n"/>
      <c r="L1005" s="19" t="n"/>
      <c r="M1005" s="20" t="n"/>
      <c r="N1005" s="120" t="n"/>
      <c r="O1005" s="120" t="n"/>
      <c r="P1005" s="120" t="n"/>
      <c r="Q1005" s="120" t="n"/>
      <c r="R1005" s="120" t="n"/>
      <c r="S1005" s="120" t="n"/>
      <c r="T1005" s="120" t="n"/>
      <c r="U1005" s="130">
        <f>IFERROR(SPARKLINE(DADOS_INVOC!$FY$7,{"charttype","bar";"max",MAX(1,DADOS_INVOC!$FX$7);"color1",DADOS_INVOC!$CW$12}),"")</f>
        <v/>
      </c>
      <c r="V1005" s="16" t="n"/>
      <c r="W1005" s="16" t="n"/>
      <c r="X1005" s="16" t="n"/>
      <c r="Y1005" s="17" t="n"/>
      <c r="Z1005" s="120" t="n"/>
      <c r="AB1005" s="141" t="inlineStr">
        <is>
          <t>FOTO
式神</t>
        </is>
      </c>
      <c r="AC1005" s="19" t="n"/>
      <c r="AD1005" s="19" t="n"/>
      <c r="AE1005" s="19" t="n"/>
      <c r="AF1005" s="20" t="n"/>
      <c r="AG1005" s="120" t="n"/>
      <c r="AH1005" s="120" t="n"/>
      <c r="AI1005" s="120" t="n"/>
      <c r="AJ1005" s="120" t="n"/>
      <c r="AK1005" s="120" t="n"/>
      <c r="AL1005" s="120" t="n"/>
      <c r="AM1005" s="120" t="n"/>
      <c r="AN1005" s="130">
        <f>IFERROR(SPARKLINE(DADOS_INVOC!$FY$13,{"charttype","bar";"max",MAX(1,DADOS_INVOC!$FX$13);"color1",DADOS_INVOC!$CW$12}),"")</f>
        <v/>
      </c>
      <c r="AO1005" s="16" t="n"/>
      <c r="AP1005" s="16" t="n"/>
      <c r="AQ1005" s="16" t="n"/>
      <c r="AR1005" s="17" t="n"/>
      <c r="AS1005" s="120" t="n"/>
    </row>
    <row r="1006" hidden="1" outlineLevel="1">
      <c r="A1006" s="8" t="n"/>
      <c r="B1006" s="14" t="n"/>
      <c r="C1006" s="120" t="n"/>
      <c r="D1006" s="120" t="n"/>
      <c r="E1006" s="120" t="n"/>
      <c r="F1006" s="120" t="n"/>
      <c r="G1006" s="120" t="n"/>
      <c r="I1006" s="21" t="n"/>
      <c r="M1006" s="22" t="n"/>
      <c r="N1006" s="120" t="n"/>
      <c r="O1006" s="55">
        <f>DADOS_INVOC!$GX$7</f>
        <v/>
      </c>
      <c r="P1006" s="16" t="n"/>
      <c r="Q1006" s="16" t="n"/>
      <c r="R1006" s="16" t="n"/>
      <c r="S1006" s="17" t="n"/>
      <c r="T1006" s="120" t="n"/>
      <c r="U1006" s="120" t="n"/>
      <c r="V1006" s="120" t="n"/>
      <c r="W1006" s="120" t="n"/>
      <c r="X1006" s="120" t="n"/>
      <c r="Y1006" s="120" t="n"/>
      <c r="Z1006" s="120" t="n"/>
      <c r="AB1006" s="21" t="n"/>
      <c r="AF1006" s="22" t="n"/>
      <c r="AG1006" s="120" t="n"/>
      <c r="AH1006" s="55">
        <f>DADOS_INVOC!$GX$13</f>
        <v/>
      </c>
      <c r="AI1006" s="16" t="n"/>
      <c r="AJ1006" s="16" t="n"/>
      <c r="AK1006" s="16" t="n"/>
      <c r="AL1006" s="17" t="n"/>
      <c r="AM1006" s="120" t="n"/>
      <c r="AN1006" s="120" t="n"/>
      <c r="AO1006" s="120" t="n"/>
      <c r="AP1006" s="120" t="n"/>
      <c r="AQ1006" s="120" t="n"/>
      <c r="AR1006" s="120" t="n"/>
      <c r="AS1006" s="120" t="n"/>
    </row>
    <row r="1007" hidden="1" outlineLevel="1">
      <c r="A1007" s="8" t="n"/>
      <c r="B1007" s="14" t="n"/>
      <c r="C1007" s="120" t="n"/>
      <c r="D1007" s="120" t="n"/>
      <c r="E1007" s="120" t="n"/>
      <c r="F1007" s="120" t="n"/>
      <c r="G1007" s="120" t="n"/>
      <c r="I1007" s="21" t="n"/>
      <c r="M1007" s="22" t="n"/>
      <c r="N1007" s="120" t="n"/>
      <c r="O1007" s="55" t="inlineStr">
        <is>
          <t>FOR</t>
        </is>
      </c>
      <c r="P1007" s="55" t="inlineStr">
        <is>
          <t>DES</t>
        </is>
      </c>
      <c r="Q1007" s="55" t="inlineStr">
        <is>
          <t>CON</t>
        </is>
      </c>
      <c r="R1007" s="55" t="inlineStr">
        <is>
          <t>INT</t>
        </is>
      </c>
      <c r="S1007" s="55" t="inlineStr">
        <is>
          <t>ESS</t>
        </is>
      </c>
      <c r="T1007" s="120" t="n"/>
      <c r="U1007" s="55" t="inlineStr">
        <is>
          <t>CONDIÇÕES E USOS GASTOS</t>
        </is>
      </c>
      <c r="V1007" s="16" t="n"/>
      <c r="W1007" s="16" t="n"/>
      <c r="X1007" s="16" t="n"/>
      <c r="Y1007" s="17" t="n"/>
      <c r="Z1007" s="120" t="n"/>
      <c r="AB1007" s="21" t="n"/>
      <c r="AF1007" s="22" t="n"/>
      <c r="AG1007" s="120" t="n"/>
      <c r="AH1007" s="55" t="inlineStr">
        <is>
          <t>FOR</t>
        </is>
      </c>
      <c r="AI1007" s="55" t="inlineStr">
        <is>
          <t>DES</t>
        </is>
      </c>
      <c r="AJ1007" s="55" t="inlineStr">
        <is>
          <t>CON</t>
        </is>
      </c>
      <c r="AK1007" s="55" t="inlineStr">
        <is>
          <t>INT</t>
        </is>
      </c>
      <c r="AL1007" s="55" t="inlineStr">
        <is>
          <t>ESS</t>
        </is>
      </c>
      <c r="AM1007" s="120" t="n"/>
      <c r="AN1007" s="55" t="inlineStr">
        <is>
          <t>CONDIÇÕES E USOS GASTOS</t>
        </is>
      </c>
      <c r="AO1007" s="16" t="n"/>
      <c r="AP1007" s="16" t="n"/>
      <c r="AQ1007" s="16" t="n"/>
      <c r="AR1007" s="17" t="n"/>
      <c r="AS1007" s="120" t="n"/>
    </row>
    <row r="1008" hidden="1" outlineLevel="1">
      <c r="A1008" s="8" t="n"/>
      <c r="B1008" s="14" t="n"/>
      <c r="C1008" s="120" t="n"/>
      <c r="D1008" s="120" t="n"/>
      <c r="E1008" s="120" t="n"/>
      <c r="F1008" s="120" t="n"/>
      <c r="G1008" s="120" t="n"/>
      <c r="I1008" s="21" t="n"/>
      <c r="M1008" s="22" t="n"/>
      <c r="N1008" s="120" t="n"/>
      <c r="O1008" s="92">
        <f>DADOS_INVOC!$FJ$7</f>
        <v/>
      </c>
      <c r="P1008" s="92">
        <f>DADOS_INVOC!$FK$7</f>
        <v/>
      </c>
      <c r="Q1008" s="92">
        <f>DADOS_INVOC!$FL$7</f>
        <v/>
      </c>
      <c r="R1008" s="92">
        <f>DADOS_INVOC!$FM$7</f>
        <v/>
      </c>
      <c r="S1008" s="92">
        <f>DADOS_INVOC!$FN$7</f>
        <v/>
      </c>
      <c r="T1008" s="120" t="n"/>
      <c r="U1008" s="116" t="n"/>
      <c r="V1008" s="19" t="n"/>
      <c r="W1008" s="19" t="n"/>
      <c r="X1008" s="19" t="n"/>
      <c r="Y1008" s="20" t="n"/>
      <c r="Z1008" s="120" t="n"/>
      <c r="AB1008" s="21" t="n"/>
      <c r="AF1008" s="22" t="n"/>
      <c r="AG1008" s="120" t="n"/>
      <c r="AH1008" s="92">
        <f>DADOS_INVOC!$FJ$13</f>
        <v/>
      </c>
      <c r="AI1008" s="92">
        <f>DADOS_INVOC!$FK$13</f>
        <v/>
      </c>
      <c r="AJ1008" s="92">
        <f>DADOS_INVOC!$FL$13</f>
        <v/>
      </c>
      <c r="AK1008" s="92">
        <f>DADOS_INVOC!$FM$13</f>
        <v/>
      </c>
      <c r="AL1008" s="92">
        <f>DADOS_INVOC!$FN$13</f>
        <v/>
      </c>
      <c r="AM1008" s="120" t="n"/>
      <c r="AN1008" s="116" t="n"/>
      <c r="AO1008" s="19" t="n"/>
      <c r="AP1008" s="19" t="n"/>
      <c r="AQ1008" s="19" t="n"/>
      <c r="AR1008" s="20" t="n"/>
      <c r="AS1008" s="120" t="n"/>
    </row>
    <row r="1009" hidden="1" outlineLevel="1">
      <c r="A1009" s="8" t="n"/>
      <c r="B1009" s="14" t="n"/>
      <c r="C1009" s="120" t="n"/>
      <c r="D1009" s="120" t="n"/>
      <c r="E1009" s="120" t="n"/>
      <c r="F1009" s="120" t="n"/>
      <c r="G1009" s="120" t="n"/>
      <c r="I1009" s="21" t="n"/>
      <c r="M1009" s="22" t="n"/>
      <c r="N1009" s="120" t="n"/>
      <c r="O1009" s="125" t="n"/>
      <c r="P1009" s="125" t="n"/>
      <c r="Q1009" s="125" t="n"/>
      <c r="R1009" s="125" t="n"/>
      <c r="S1009" s="125" t="n"/>
      <c r="T1009" s="120" t="n"/>
      <c r="U1009" s="21" t="n"/>
      <c r="Y1009" s="22" t="n"/>
      <c r="Z1009" s="120" t="n"/>
      <c r="AB1009" s="21" t="n"/>
      <c r="AF1009" s="22" t="n"/>
      <c r="AG1009" s="120" t="n"/>
      <c r="AH1009" s="125" t="n"/>
      <c r="AI1009" s="125" t="n"/>
      <c r="AJ1009" s="125" t="n"/>
      <c r="AK1009" s="125" t="n"/>
      <c r="AL1009" s="125" t="n"/>
      <c r="AM1009" s="120" t="n"/>
      <c r="AN1009" s="21" t="n"/>
      <c r="AR1009" s="22" t="n"/>
      <c r="AS1009" s="120" t="n"/>
    </row>
    <row r="1010" hidden="1" outlineLevel="1">
      <c r="A1010" s="8" t="n"/>
      <c r="B1010" s="14" t="n"/>
      <c r="C1010" s="120" t="n"/>
      <c r="D1010" s="120" t="n"/>
      <c r="E1010" s="120" t="n"/>
      <c r="F1010" s="120" t="n"/>
      <c r="G1010" s="120" t="n"/>
      <c r="I1010" s="21" t="n"/>
      <c r="M1010" s="22" t="n"/>
      <c r="N1010" s="120" t="n"/>
      <c r="O1010" s="142" t="n">
        <v>0</v>
      </c>
      <c r="P1010" s="142" t="n">
        <v>0</v>
      </c>
      <c r="Q1010" s="142" t="n">
        <v>0</v>
      </c>
      <c r="R1010" s="142" t="n">
        <v>0</v>
      </c>
      <c r="S1010" s="142" t="n">
        <v>0</v>
      </c>
      <c r="T1010" s="120" t="n"/>
      <c r="U1010" s="21" t="n"/>
      <c r="Y1010" s="22" t="n"/>
      <c r="Z1010" s="120" t="n"/>
      <c r="AB1010" s="21" t="n"/>
      <c r="AF1010" s="22" t="n"/>
      <c r="AG1010" s="120" t="n"/>
      <c r="AH1010" s="142" t="n">
        <v>0</v>
      </c>
      <c r="AI1010" s="142" t="n">
        <v>0</v>
      </c>
      <c r="AJ1010" s="142" t="n">
        <v>0</v>
      </c>
      <c r="AK1010" s="142" t="n">
        <v>0</v>
      </c>
      <c r="AL1010" s="142" t="n">
        <v>0</v>
      </c>
      <c r="AM1010" s="120" t="n"/>
      <c r="AN1010" s="21" t="n"/>
      <c r="AR1010" s="22" t="n"/>
      <c r="AS1010" s="120" t="n"/>
    </row>
    <row r="1011" hidden="1" outlineLevel="1">
      <c r="A1011" s="8" t="n"/>
      <c r="B1011" s="14" t="n"/>
      <c r="C1011" s="120" t="n"/>
      <c r="D1011" s="120" t="n"/>
      <c r="E1011" s="120" t="n"/>
      <c r="F1011" s="120" t="n"/>
      <c r="G1011" s="120" t="n"/>
      <c r="I1011" s="21" t="n"/>
      <c r="M1011" s="22" t="n"/>
      <c r="N1011" s="120" t="n"/>
      <c r="O1011" s="144" t="n">
        <v>0</v>
      </c>
      <c r="P1011" s="144" t="n">
        <v>0</v>
      </c>
      <c r="Q1011" s="144" t="n">
        <v>0</v>
      </c>
      <c r="R1011" s="144" t="n">
        <v>0</v>
      </c>
      <c r="S1011" s="144" t="n">
        <v>0</v>
      </c>
      <c r="T1011" s="120" t="n"/>
      <c r="U1011" s="21" t="n"/>
      <c r="Y1011" s="22" t="n"/>
      <c r="Z1011" s="120" t="n"/>
      <c r="AB1011" s="21" t="n"/>
      <c r="AF1011" s="22" t="n"/>
      <c r="AG1011" s="120" t="n"/>
      <c r="AH1011" s="144" t="n">
        <v>0</v>
      </c>
      <c r="AI1011" s="144" t="n">
        <v>0</v>
      </c>
      <c r="AJ1011" s="144" t="n">
        <v>0</v>
      </c>
      <c r="AK1011" s="144" t="n">
        <v>0</v>
      </c>
      <c r="AL1011" s="144" t="n">
        <v>0</v>
      </c>
      <c r="AM1011" s="120" t="n"/>
      <c r="AN1011" s="21" t="n"/>
      <c r="AR1011" s="22" t="n"/>
      <c r="AS1011" s="120" t="n"/>
    </row>
    <row r="1012" hidden="1" outlineLevel="1">
      <c r="A1012" s="8" t="n"/>
      <c r="B1012" s="14" t="n"/>
      <c r="C1012" s="120" t="n"/>
      <c r="D1012" s="120" t="n"/>
      <c r="E1012" s="120" t="n"/>
      <c r="F1012" s="120" t="n"/>
      <c r="G1012" s="120" t="n"/>
      <c r="I1012" s="21" t="n"/>
      <c r="M1012" s="22" t="n"/>
      <c r="N1012" s="120" t="n"/>
      <c r="O1012" s="120" t="n"/>
      <c r="P1012" s="120" t="n"/>
      <c r="Q1012" s="120" t="n"/>
      <c r="R1012" s="120" t="n"/>
      <c r="S1012" s="120" t="n"/>
      <c r="T1012" s="120" t="n"/>
      <c r="U1012" s="21" t="n"/>
      <c r="Y1012" s="22" t="n"/>
      <c r="Z1012" s="120" t="n"/>
      <c r="AB1012" s="21" t="n"/>
      <c r="AF1012" s="22" t="n"/>
      <c r="AG1012" s="120" t="n"/>
      <c r="AH1012" s="120" t="n"/>
      <c r="AI1012" s="120" t="n"/>
      <c r="AJ1012" s="120" t="n"/>
      <c r="AK1012" s="120" t="n"/>
      <c r="AL1012" s="120" t="n"/>
      <c r="AM1012" s="120" t="n"/>
      <c r="AN1012" s="21" t="n"/>
      <c r="AR1012" s="22" t="n"/>
      <c r="AS1012" s="120" t="n"/>
    </row>
    <row r="1013" hidden="1" outlineLevel="1">
      <c r="A1013" s="8" t="n"/>
      <c r="B1013" s="14" t="n"/>
      <c r="C1013" s="120" t="n"/>
      <c r="D1013" s="120" t="n"/>
      <c r="E1013" s="120" t="n"/>
      <c r="F1013" s="120" t="n"/>
      <c r="G1013" s="120" t="n"/>
      <c r="I1013" s="21" t="n"/>
      <c r="M1013" s="22" t="n"/>
      <c r="N1013" s="120" t="n"/>
      <c r="O1013" s="55" t="inlineStr">
        <is>
          <t>ATAQUE</t>
        </is>
      </c>
      <c r="P1013" s="55" t="inlineStr">
        <is>
          <t>CD</t>
        </is>
      </c>
      <c r="Q1013" s="55" t="inlineStr">
        <is>
          <t>DEFESA</t>
        </is>
      </c>
      <c r="R1013" s="55" t="inlineStr">
        <is>
          <t>VIDA MÁXIMA</t>
        </is>
      </c>
      <c r="S1013" s="55" t="inlineStr">
        <is>
          <t>DESLOCAMENTO</t>
        </is>
      </c>
      <c r="T1013" s="120" t="n"/>
      <c r="U1013" s="21" t="n"/>
      <c r="Y1013" s="22" t="n"/>
      <c r="Z1013" s="120" t="n"/>
      <c r="AB1013" s="21" t="n"/>
      <c r="AF1013" s="22" t="n"/>
      <c r="AG1013" s="120" t="n"/>
      <c r="AH1013" s="55" t="inlineStr">
        <is>
          <t>ATAQUE</t>
        </is>
      </c>
      <c r="AI1013" s="55" t="inlineStr">
        <is>
          <t>CD</t>
        </is>
      </c>
      <c r="AJ1013" s="55" t="inlineStr">
        <is>
          <t>DEFESA</t>
        </is>
      </c>
      <c r="AK1013" s="55" t="inlineStr">
        <is>
          <t>VIDA MÁXIMA</t>
        </is>
      </c>
      <c r="AL1013" s="55" t="inlineStr">
        <is>
          <t>DESLOCAMENTO</t>
        </is>
      </c>
      <c r="AM1013" s="120" t="n"/>
      <c r="AN1013" s="21" t="n"/>
      <c r="AR1013" s="22" t="n"/>
      <c r="AS1013" s="120" t="n"/>
    </row>
    <row r="1014" hidden="1" outlineLevel="1">
      <c r="A1014" s="8" t="n"/>
      <c r="B1014" s="14" t="n"/>
      <c r="C1014" s="120" t="n"/>
      <c r="D1014" s="120" t="n"/>
      <c r="E1014" s="120" t="n"/>
      <c r="F1014" s="120" t="n"/>
      <c r="G1014" s="120" t="n"/>
      <c r="I1014" s="21" t="n"/>
      <c r="M1014" s="22" t="n"/>
      <c r="N1014" s="120" t="n"/>
      <c r="O1014" s="92">
        <f>DADOS_INVOC!$GY$7</f>
        <v/>
      </c>
      <c r="P1014" s="92">
        <f>DADOS_INVOC!$GZ$7</f>
        <v/>
      </c>
      <c r="Q1014" s="92">
        <f>DADOS_INVOC!$FV$7</f>
        <v/>
      </c>
      <c r="R1014" s="92">
        <f>DADOS_INVOC!$FX$7</f>
        <v/>
      </c>
      <c r="S1014" s="92">
        <f>DADOS_INVOC!$HA$7</f>
        <v/>
      </c>
      <c r="T1014" s="120" t="n"/>
      <c r="U1014" s="23" t="n"/>
      <c r="V1014" s="24" t="n"/>
      <c r="W1014" s="24" t="n"/>
      <c r="X1014" s="24" t="n"/>
      <c r="Y1014" s="25" t="n"/>
      <c r="Z1014" s="120" t="n"/>
      <c r="AB1014" s="21" t="n"/>
      <c r="AF1014" s="22" t="n"/>
      <c r="AG1014" s="120" t="n"/>
      <c r="AH1014" s="92">
        <f>DADOS_INVOC!$GY$13</f>
        <v/>
      </c>
      <c r="AI1014" s="92">
        <f>DADOS_INVOC!$GZ$13</f>
        <v/>
      </c>
      <c r="AJ1014" s="92">
        <f>DADOS_INVOC!$FV$13</f>
        <v/>
      </c>
      <c r="AK1014" s="92">
        <f>DADOS_INVOC!$FX$13</f>
        <v/>
      </c>
      <c r="AL1014" s="92">
        <f>DADOS_INVOC!$HA$13</f>
        <v/>
      </c>
      <c r="AM1014" s="120" t="n"/>
      <c r="AN1014" s="23" t="n"/>
      <c r="AO1014" s="24" t="n"/>
      <c r="AP1014" s="24" t="n"/>
      <c r="AQ1014" s="24" t="n"/>
      <c r="AR1014" s="25" t="n"/>
      <c r="AS1014" s="120" t="n"/>
    </row>
    <row r="1015" hidden="1" outlineLevel="1">
      <c r="A1015" s="8" t="n"/>
      <c r="B1015" s="14" t="n"/>
      <c r="C1015" s="120" t="n"/>
      <c r="D1015" s="120" t="n"/>
      <c r="E1015" s="120" t="n"/>
      <c r="F1015" s="120" t="n"/>
      <c r="G1015" s="120" t="n"/>
      <c r="I1015" s="21" t="n"/>
      <c r="M1015" s="22" t="n"/>
      <c r="N1015" s="120" t="n"/>
      <c r="O1015" s="125" t="n"/>
      <c r="P1015" s="125" t="n"/>
      <c r="Q1015" s="125" t="n"/>
      <c r="R1015" s="125" t="n"/>
      <c r="S1015" s="125" t="n"/>
      <c r="T1015" s="120" t="n"/>
      <c r="U1015" s="120" t="n"/>
      <c r="V1015" s="120" t="n"/>
      <c r="W1015" s="120" t="n"/>
      <c r="X1015" s="120" t="n"/>
      <c r="Y1015" s="120" t="n"/>
      <c r="Z1015" s="120" t="n"/>
      <c r="AB1015" s="21" t="n"/>
      <c r="AF1015" s="22" t="n"/>
      <c r="AG1015" s="120" t="n"/>
      <c r="AH1015" s="125" t="n"/>
      <c r="AI1015" s="125" t="n"/>
      <c r="AJ1015" s="125" t="n"/>
      <c r="AK1015" s="125" t="n"/>
      <c r="AL1015" s="125" t="n"/>
      <c r="AM1015" s="120" t="n"/>
      <c r="AN1015" s="120" t="n"/>
      <c r="AO1015" s="120" t="n"/>
      <c r="AP1015" s="120" t="n"/>
      <c r="AQ1015" s="120" t="n"/>
      <c r="AR1015" s="120" t="n"/>
      <c r="AS1015" s="120" t="n"/>
    </row>
    <row r="1016" hidden="1" outlineLevel="1">
      <c r="A1016" s="8" t="n"/>
      <c r="B1016" s="14" t="n"/>
      <c r="C1016" s="120" t="n"/>
      <c r="D1016" s="120" t="n"/>
      <c r="E1016" s="120" t="n"/>
      <c r="F1016" s="120" t="n"/>
      <c r="G1016" s="120" t="n"/>
      <c r="I1016" s="21" t="n"/>
      <c r="M1016" s="22" t="n"/>
      <c r="N1016" s="120" t="n"/>
      <c r="O1016" s="144" t="n">
        <v>0</v>
      </c>
      <c r="P1016" s="144" t="n">
        <v>0</v>
      </c>
      <c r="Q1016" s="144" t="n">
        <v>0</v>
      </c>
      <c r="R1016" s="144" t="n">
        <v>0</v>
      </c>
      <c r="S1016" s="144" t="n">
        <v>0</v>
      </c>
      <c r="T1016" s="120" t="n"/>
      <c r="U1016" s="55" t="inlineStr">
        <is>
          <t>ANOTAÇÕES</t>
        </is>
      </c>
      <c r="V1016" s="16" t="n"/>
      <c r="W1016" s="16" t="n"/>
      <c r="X1016" s="16" t="n"/>
      <c r="Y1016" s="17" t="n"/>
      <c r="Z1016" s="120" t="n"/>
      <c r="AB1016" s="21" t="n"/>
      <c r="AF1016" s="22" t="n"/>
      <c r="AG1016" s="120" t="n"/>
      <c r="AH1016" s="144" t="n">
        <v>0</v>
      </c>
      <c r="AI1016" s="144" t="n">
        <v>0</v>
      </c>
      <c r="AJ1016" s="144" t="n">
        <v>0</v>
      </c>
      <c r="AK1016" s="144" t="n">
        <v>0</v>
      </c>
      <c r="AL1016" s="144" t="n">
        <v>0</v>
      </c>
      <c r="AM1016" s="120" t="n"/>
      <c r="AN1016" s="55" t="inlineStr">
        <is>
          <t>ANOTAÇÕES</t>
        </is>
      </c>
      <c r="AO1016" s="16" t="n"/>
      <c r="AP1016" s="16" t="n"/>
      <c r="AQ1016" s="16" t="n"/>
      <c r="AR1016" s="17" t="n"/>
      <c r="AS1016" s="120" t="n"/>
    </row>
    <row r="1017" hidden="1" outlineLevel="1">
      <c r="A1017" s="8" t="n"/>
      <c r="B1017" s="14" t="n"/>
      <c r="C1017" s="120" t="n"/>
      <c r="D1017" s="120" t="n"/>
      <c r="E1017" s="120" t="n"/>
      <c r="F1017" s="120" t="n"/>
      <c r="G1017" s="120" t="n"/>
      <c r="I1017" s="21" t="n"/>
      <c r="M1017" s="22" t="n"/>
      <c r="N1017" s="120" t="n"/>
      <c r="O1017" s="120" t="n"/>
      <c r="P1017" s="120" t="n"/>
      <c r="Q1017" s="120" t="n"/>
      <c r="R1017" s="120" t="n"/>
      <c r="S1017" s="120" t="n"/>
      <c r="T1017" s="120" t="n"/>
      <c r="U1017" s="116" t="n"/>
      <c r="V1017" s="19" t="n"/>
      <c r="W1017" s="19" t="n"/>
      <c r="X1017" s="19" t="n"/>
      <c r="Y1017" s="20" t="n"/>
      <c r="Z1017" s="120" t="n"/>
      <c r="AB1017" s="21" t="n"/>
      <c r="AF1017" s="22" t="n"/>
      <c r="AG1017" s="120" t="n"/>
      <c r="AH1017" s="120" t="n"/>
      <c r="AI1017" s="120" t="n"/>
      <c r="AJ1017" s="120" t="n"/>
      <c r="AK1017" s="120" t="n"/>
      <c r="AL1017" s="120" t="n"/>
      <c r="AM1017" s="120" t="n"/>
      <c r="AN1017" s="116" t="n"/>
      <c r="AO1017" s="19" t="n"/>
      <c r="AP1017" s="19" t="n"/>
      <c r="AQ1017" s="19" t="n"/>
      <c r="AR1017" s="20" t="n"/>
      <c r="AS1017" s="120" t="n"/>
    </row>
    <row r="1018" hidden="1" outlineLevel="1">
      <c r="A1018" s="8" t="n"/>
      <c r="B1018" s="14" t="n"/>
      <c r="C1018" s="120" t="n"/>
      <c r="D1018" s="120" t="n"/>
      <c r="E1018" s="120" t="n"/>
      <c r="F1018" s="120" t="n"/>
      <c r="G1018" s="120" t="n"/>
      <c r="I1018" s="21" t="n"/>
      <c r="M1018" s="22" t="n"/>
      <c r="N1018" s="120" t="n"/>
      <c r="O1018" s="55" t="inlineStr">
        <is>
          <t>FÍSICO</t>
        </is>
      </c>
      <c r="P1018" s="55" t="inlineStr">
        <is>
          <t>VIGOR</t>
        </is>
      </c>
      <c r="Q1018" s="55" t="inlineStr">
        <is>
          <t>INTELECTO</t>
        </is>
      </c>
      <c r="R1018" s="55" t="inlineStr">
        <is>
          <t>ESPÍRITO</t>
        </is>
      </c>
      <c r="S1018" s="55" t="inlineStr">
        <is>
          <t>CARGA MÁXIMA</t>
        </is>
      </c>
      <c r="T1018" s="120" t="n"/>
      <c r="U1018" s="21" t="n"/>
      <c r="Y1018" s="22" t="n"/>
      <c r="Z1018" s="120" t="n"/>
      <c r="AB1018" s="21" t="n"/>
      <c r="AF1018" s="22" t="n"/>
      <c r="AG1018" s="120" t="n"/>
      <c r="AH1018" s="55" t="inlineStr">
        <is>
          <t>FÍSICO</t>
        </is>
      </c>
      <c r="AI1018" s="55" t="inlineStr">
        <is>
          <t>VIGOR</t>
        </is>
      </c>
      <c r="AJ1018" s="55" t="inlineStr">
        <is>
          <t>INTELECTO</t>
        </is>
      </c>
      <c r="AK1018" s="55" t="inlineStr">
        <is>
          <t>ESPÍRITO</t>
        </is>
      </c>
      <c r="AL1018" s="55" t="inlineStr">
        <is>
          <t>CARGA MÁXIMA</t>
        </is>
      </c>
      <c r="AM1018" s="120" t="n"/>
      <c r="AN1018" s="21" t="n"/>
      <c r="AR1018" s="22" t="n"/>
      <c r="AS1018" s="120" t="n"/>
    </row>
    <row r="1019" hidden="1" outlineLevel="1">
      <c r="A1019" s="8" t="n"/>
      <c r="B1019" s="14" t="n"/>
      <c r="C1019" s="120" t="n"/>
      <c r="D1019" s="120" t="n"/>
      <c r="E1019" s="120" t="n"/>
      <c r="F1019" s="120" t="n"/>
      <c r="G1019" s="120" t="n"/>
      <c r="I1019" s="21" t="n"/>
      <c r="M1019" s="22" t="n"/>
      <c r="N1019" s="120" t="n"/>
      <c r="O1019" s="92">
        <f>DADOS_INVOC!$HB$7</f>
        <v/>
      </c>
      <c r="P1019" s="92">
        <f>DADOS_INVOC!$HC$7</f>
        <v/>
      </c>
      <c r="Q1019" s="92">
        <f>DADOS_INVOC!$HD$7</f>
        <v/>
      </c>
      <c r="R1019" s="92">
        <f>DADOS_INVOC!$HE$7</f>
        <v/>
      </c>
      <c r="S1019" s="92">
        <f>DADOS_INVOC!$GO$7</f>
        <v/>
      </c>
      <c r="T1019" s="120" t="n"/>
      <c r="U1019" s="21" t="n"/>
      <c r="Y1019" s="22" t="n"/>
      <c r="Z1019" s="120" t="n"/>
      <c r="AB1019" s="21" t="n"/>
      <c r="AF1019" s="22" t="n"/>
      <c r="AG1019" s="120" t="n"/>
      <c r="AH1019" s="92">
        <f>DADOS_INVOC!$HB$13</f>
        <v/>
      </c>
      <c r="AI1019" s="92">
        <f>DADOS_INVOC!$HC$13</f>
        <v/>
      </c>
      <c r="AJ1019" s="92">
        <f>DADOS_INVOC!$HD$13</f>
        <v/>
      </c>
      <c r="AK1019" s="92">
        <f>DADOS_INVOC!$HE$13</f>
        <v/>
      </c>
      <c r="AL1019" s="92">
        <f>DADOS_INVOC!$GO$13</f>
        <v/>
      </c>
      <c r="AM1019" s="120" t="n"/>
      <c r="AN1019" s="21" t="n"/>
      <c r="AR1019" s="22" t="n"/>
      <c r="AS1019" s="120" t="n"/>
    </row>
    <row r="1020" hidden="1" outlineLevel="1">
      <c r="A1020" s="8" t="n"/>
      <c r="B1020" s="14" t="n"/>
      <c r="C1020" s="120" t="n"/>
      <c r="D1020" s="120" t="n"/>
      <c r="E1020" s="120" t="n"/>
      <c r="F1020" s="120" t="n"/>
      <c r="G1020" s="120" t="n"/>
      <c r="I1020" s="21" t="n"/>
      <c r="M1020" s="22" t="n"/>
      <c r="N1020" s="120" t="n"/>
      <c r="O1020" s="125" t="n"/>
      <c r="P1020" s="125" t="n"/>
      <c r="Q1020" s="125" t="n"/>
      <c r="R1020" s="125" t="n"/>
      <c r="S1020" s="125" t="n"/>
      <c r="T1020" s="120" t="n"/>
      <c r="U1020" s="21" t="n"/>
      <c r="Y1020" s="22" t="n"/>
      <c r="Z1020" s="120" t="n"/>
      <c r="AB1020" s="21" t="n"/>
      <c r="AF1020" s="22" t="n"/>
      <c r="AG1020" s="120" t="n"/>
      <c r="AH1020" s="125" t="n"/>
      <c r="AI1020" s="125" t="n"/>
      <c r="AJ1020" s="125" t="n"/>
      <c r="AK1020" s="125" t="n"/>
      <c r="AL1020" s="125" t="n"/>
      <c r="AM1020" s="120" t="n"/>
      <c r="AN1020" s="21" t="n"/>
      <c r="AR1020" s="22" t="n"/>
      <c r="AS1020" s="120" t="n"/>
    </row>
    <row r="1021" hidden="1" outlineLevel="1">
      <c r="A1021" s="8" t="n"/>
      <c r="B1021" s="14" t="n"/>
      <c r="C1021" s="120" t="n"/>
      <c r="D1021" s="120" t="n"/>
      <c r="E1021" s="120" t="n"/>
      <c r="F1021" s="120" t="n"/>
      <c r="G1021" s="120" t="n"/>
      <c r="I1021" s="21" t="n"/>
      <c r="M1021" s="22" t="n"/>
      <c r="N1021" s="120" t="n"/>
      <c r="O1021" s="144" t="n">
        <v>0</v>
      </c>
      <c r="P1021" s="144" t="n">
        <v>0</v>
      </c>
      <c r="Q1021" s="144" t="n">
        <v>0</v>
      </c>
      <c r="R1021" s="144" t="n">
        <v>0</v>
      </c>
      <c r="S1021" s="120" t="n"/>
      <c r="T1021" s="120" t="n"/>
      <c r="U1021" s="21" t="n"/>
      <c r="Y1021" s="22" t="n"/>
      <c r="Z1021" s="120" t="n"/>
      <c r="AB1021" s="21" t="n"/>
      <c r="AF1021" s="22" t="n"/>
      <c r="AG1021" s="120" t="n"/>
      <c r="AH1021" s="144" t="n">
        <v>0</v>
      </c>
      <c r="AI1021" s="144" t="n">
        <v>0</v>
      </c>
      <c r="AJ1021" s="144" t="n">
        <v>0</v>
      </c>
      <c r="AK1021" s="144" t="n">
        <v>0</v>
      </c>
      <c r="AL1021" s="120" t="n"/>
      <c r="AM1021" s="120" t="n"/>
      <c r="AN1021" s="21" t="n"/>
      <c r="AR1021" s="22" t="n"/>
      <c r="AS1021" s="120" t="n"/>
    </row>
    <row r="1022" hidden="1" outlineLevel="1">
      <c r="A1022" s="8" t="n"/>
      <c r="B1022" s="14" t="n"/>
      <c r="C1022" s="120" t="n"/>
      <c r="D1022" s="120" t="n"/>
      <c r="E1022" s="120" t="n"/>
      <c r="F1022" s="120" t="n"/>
      <c r="G1022" s="120" t="n"/>
      <c r="I1022" s="21" t="n"/>
      <c r="M1022" s="22" t="n"/>
      <c r="N1022" s="120" t="n"/>
      <c r="O1022" s="120" t="n"/>
      <c r="P1022" s="120" t="n"/>
      <c r="Q1022" s="120" t="n"/>
      <c r="R1022" s="120" t="n"/>
      <c r="S1022" s="120" t="n"/>
      <c r="T1022" s="120" t="n"/>
      <c r="U1022" s="21" t="n"/>
      <c r="Y1022" s="22" t="n"/>
      <c r="Z1022" s="120" t="n"/>
      <c r="AB1022" s="21" t="n"/>
      <c r="AF1022" s="22" t="n"/>
      <c r="AG1022" s="120" t="n"/>
      <c r="AH1022" s="120" t="n"/>
      <c r="AI1022" s="120" t="n"/>
      <c r="AJ1022" s="120" t="n"/>
      <c r="AK1022" s="120" t="n"/>
      <c r="AL1022" s="120" t="n"/>
      <c r="AM1022" s="120" t="n"/>
      <c r="AN1022" s="21" t="n"/>
      <c r="AR1022" s="22" t="n"/>
      <c r="AS1022" s="120" t="n"/>
    </row>
    <row r="1023" hidden="1" outlineLevel="1">
      <c r="A1023" s="8" t="n"/>
      <c r="B1023" s="14" t="n"/>
      <c r="C1023" s="120" t="n"/>
      <c r="D1023" s="120" t="n"/>
      <c r="E1023" s="120" t="n"/>
      <c r="F1023" s="120" t="n"/>
      <c r="G1023" s="120" t="n"/>
      <c r="I1023" s="21" t="n"/>
      <c r="M1023" s="22" t="n"/>
      <c r="N1023" s="120" t="n"/>
      <c r="O1023" s="55" t="inlineStr">
        <is>
          <t>ATRIBUTO DE ACERTO</t>
        </is>
      </c>
      <c r="P1023" s="17" t="n"/>
      <c r="Q1023" s="55" t="inlineStr">
        <is>
          <t>FÍSICO USA</t>
        </is>
      </c>
      <c r="R1023" s="17" t="n"/>
      <c r="S1023" s="55" t="inlineStr">
        <is>
          <t>TR TREINADO</t>
        </is>
      </c>
      <c r="T1023" s="120" t="n"/>
      <c r="U1023" s="21" t="n"/>
      <c r="Y1023" s="22" t="n"/>
      <c r="Z1023" s="120" t="n"/>
      <c r="AB1023" s="21" t="n"/>
      <c r="AF1023" s="22" t="n"/>
      <c r="AG1023" s="120" t="n"/>
      <c r="AH1023" s="55" t="inlineStr">
        <is>
          <t>ATRIBUTO DE ACERTO</t>
        </is>
      </c>
      <c r="AI1023" s="17" t="n"/>
      <c r="AJ1023" s="55" t="inlineStr">
        <is>
          <t>FÍSICO USA</t>
        </is>
      </c>
      <c r="AK1023" s="17" t="n"/>
      <c r="AL1023" s="55" t="inlineStr">
        <is>
          <t>TR TREINADO</t>
        </is>
      </c>
      <c r="AM1023" s="120" t="n"/>
      <c r="AN1023" s="21" t="n"/>
      <c r="AR1023" s="22" t="n"/>
      <c r="AS1023" s="120" t="n"/>
    </row>
    <row r="1024" hidden="1" outlineLevel="1">
      <c r="A1024" s="8" t="n"/>
      <c r="B1024" s="14" t="n"/>
      <c r="C1024" s="120" t="n"/>
      <c r="D1024" s="120" t="n"/>
      <c r="E1024" s="120" t="n"/>
      <c r="F1024" s="120" t="n"/>
      <c r="G1024" s="120" t="n"/>
      <c r="I1024" s="21" t="n"/>
      <c r="M1024" s="22" t="n"/>
      <c r="N1024" s="120" t="n"/>
      <c r="O1024" s="124" t="n"/>
      <c r="P1024" s="20" t="n"/>
      <c r="Q1024" s="124" t="inlineStr">
        <is>
          <t>Força</t>
        </is>
      </c>
      <c r="R1024" s="20" t="n"/>
      <c r="S1024" s="124" t="n"/>
      <c r="T1024" s="120" t="n"/>
      <c r="U1024" s="21" t="n"/>
      <c r="Y1024" s="22" t="n"/>
      <c r="Z1024" s="120" t="n"/>
      <c r="AB1024" s="21" t="n"/>
      <c r="AF1024" s="22" t="n"/>
      <c r="AG1024" s="120" t="n"/>
      <c r="AH1024" s="124" t="n"/>
      <c r="AI1024" s="20" t="n"/>
      <c r="AJ1024" s="124" t="inlineStr">
        <is>
          <t>Força</t>
        </is>
      </c>
      <c r="AK1024" s="20" t="n"/>
      <c r="AL1024" s="124" t="n"/>
      <c r="AM1024" s="120" t="n"/>
      <c r="AN1024" s="21" t="n"/>
      <c r="AR1024" s="22" t="n"/>
      <c r="AS1024" s="120" t="n"/>
    </row>
    <row r="1025" hidden="1" outlineLevel="1">
      <c r="A1025" s="8" t="n"/>
      <c r="B1025" s="14" t="n"/>
      <c r="C1025" s="120" t="n"/>
      <c r="D1025" s="120" t="n"/>
      <c r="E1025" s="120" t="n"/>
      <c r="F1025" s="120" t="n"/>
      <c r="G1025" s="120" t="n"/>
      <c r="I1025" s="21" t="n"/>
      <c r="M1025" s="22" t="n"/>
      <c r="N1025" s="120" t="n"/>
      <c r="O1025" s="23" t="n"/>
      <c r="P1025" s="25" t="n"/>
      <c r="Q1025" s="23" t="n"/>
      <c r="R1025" s="25" t="n"/>
      <c r="S1025" s="125" t="n"/>
      <c r="T1025" s="120" t="n"/>
      <c r="U1025" s="21" t="n"/>
      <c r="Y1025" s="22" t="n"/>
      <c r="Z1025" s="120" t="n"/>
      <c r="AB1025" s="21" t="n"/>
      <c r="AF1025" s="22" t="n"/>
      <c r="AG1025" s="120" t="n"/>
      <c r="AH1025" s="23" t="n"/>
      <c r="AI1025" s="25" t="n"/>
      <c r="AJ1025" s="23" t="n"/>
      <c r="AK1025" s="25" t="n"/>
      <c r="AL1025" s="125" t="n"/>
      <c r="AM1025" s="120" t="n"/>
      <c r="AN1025" s="21" t="n"/>
      <c r="AR1025" s="22" t="n"/>
      <c r="AS1025" s="120" t="n"/>
    </row>
    <row r="1026" hidden="1" outlineLevel="1">
      <c r="A1026" s="8" t="n"/>
      <c r="B1026" s="14" t="n"/>
      <c r="C1026" s="120" t="n"/>
      <c r="D1026" s="120" t="n"/>
      <c r="E1026" s="120" t="n"/>
      <c r="F1026" s="120" t="n"/>
      <c r="G1026" s="120" t="n"/>
      <c r="I1026" s="21" t="n"/>
      <c r="M1026" s="22" t="n"/>
      <c r="N1026" s="120" t="n"/>
      <c r="O1026" s="120" t="n"/>
      <c r="P1026" s="120" t="n"/>
      <c r="Q1026" s="120" t="n"/>
      <c r="R1026" s="120" t="n"/>
      <c r="S1026" s="120" t="n"/>
      <c r="T1026" s="120" t="n"/>
      <c r="U1026" s="21" t="n"/>
      <c r="Y1026" s="22" t="n"/>
      <c r="Z1026" s="120" t="n"/>
      <c r="AB1026" s="21" t="n"/>
      <c r="AF1026" s="22" t="n"/>
      <c r="AG1026" s="120" t="n"/>
      <c r="AH1026" s="120" t="n"/>
      <c r="AI1026" s="120" t="n"/>
      <c r="AJ1026" s="120" t="n"/>
      <c r="AK1026" s="120" t="n"/>
      <c r="AL1026" s="120" t="n"/>
      <c r="AM1026" s="120" t="n"/>
      <c r="AN1026" s="21" t="n"/>
      <c r="AR1026" s="22" t="n"/>
      <c r="AS1026" s="120" t="n"/>
    </row>
    <row r="1027" hidden="1" outlineLevel="1">
      <c r="A1027" s="8" t="n"/>
      <c r="B1027" s="14" t="n"/>
      <c r="C1027" s="120" t="n"/>
      <c r="D1027" s="120" t="n"/>
      <c r="E1027" s="120" t="n"/>
      <c r="F1027" s="120" t="n"/>
      <c r="G1027" s="120" t="n"/>
      <c r="I1027" s="21" t="n"/>
      <c r="M1027" s="22" t="n"/>
      <c r="N1027" s="120" t="n"/>
      <c r="O1027" s="55">
        <f>DADOS_INVOC!$HF$7</f>
        <v/>
      </c>
      <c r="P1027" s="16" t="n"/>
      <c r="Q1027" s="16" t="n"/>
      <c r="R1027" s="16" t="n"/>
      <c r="S1027" s="17" t="n"/>
      <c r="T1027" s="120" t="n"/>
      <c r="U1027" s="21" t="n"/>
      <c r="Y1027" s="22" t="n"/>
      <c r="Z1027" s="120" t="n"/>
      <c r="AB1027" s="21" t="n"/>
      <c r="AF1027" s="22" t="n"/>
      <c r="AG1027" s="120" t="n"/>
      <c r="AH1027" s="55">
        <f>DADOS_INVOC!$HF$13</f>
        <v/>
      </c>
      <c r="AI1027" s="16" t="n"/>
      <c r="AJ1027" s="16" t="n"/>
      <c r="AK1027" s="16" t="n"/>
      <c r="AL1027" s="17" t="n"/>
      <c r="AM1027" s="120" t="n"/>
      <c r="AN1027" s="21" t="n"/>
      <c r="AR1027" s="22" t="n"/>
      <c r="AS1027" s="120" t="n"/>
    </row>
    <row r="1028" hidden="1" outlineLevel="1">
      <c r="A1028" s="8" t="n"/>
      <c r="B1028" s="14" t="n"/>
      <c r="C1028" s="120" t="n"/>
      <c r="D1028" s="120" t="n"/>
      <c r="E1028" s="120" t="n"/>
      <c r="F1028" s="120" t="n"/>
      <c r="G1028" s="120" t="n"/>
      <c r="I1028" s="21" t="n"/>
      <c r="M1028" s="22" t="n"/>
      <c r="N1028" s="120" t="n"/>
      <c r="O1028" s="130" t="n"/>
      <c r="P1028" s="16" t="n"/>
      <c r="Q1028" s="17" t="n"/>
      <c r="R1028" s="124">
        <f>DADOS_INVOC!$HG$7</f>
        <v/>
      </c>
      <c r="S1028" s="17" t="n"/>
      <c r="T1028" s="120" t="n"/>
      <c r="U1028" s="23" t="n"/>
      <c r="V1028" s="24" t="n"/>
      <c r="W1028" s="24" t="n"/>
      <c r="X1028" s="24" t="n"/>
      <c r="Y1028" s="25" t="n"/>
      <c r="Z1028" s="120" t="n"/>
      <c r="AB1028" s="21" t="n"/>
      <c r="AF1028" s="22" t="n"/>
      <c r="AG1028" s="120" t="n"/>
      <c r="AH1028" s="130" t="n"/>
      <c r="AI1028" s="16" t="n"/>
      <c r="AJ1028" s="17" t="n"/>
      <c r="AK1028" s="124">
        <f>DADOS_INVOC!$HG$13</f>
        <v/>
      </c>
      <c r="AL1028" s="17" t="n"/>
      <c r="AM1028" s="120" t="n"/>
      <c r="AN1028" s="23" t="n"/>
      <c r="AO1028" s="24" t="n"/>
      <c r="AP1028" s="24" t="n"/>
      <c r="AQ1028" s="24" t="n"/>
      <c r="AR1028" s="25" t="n"/>
      <c r="AS1028" s="120" t="n"/>
    </row>
    <row r="1029" hidden="1" outlineLevel="1">
      <c r="A1029" s="8" t="n"/>
      <c r="B1029" s="14" t="n"/>
      <c r="C1029" s="120" t="n"/>
      <c r="D1029" s="120" t="n"/>
      <c r="E1029" s="120" t="n"/>
      <c r="F1029" s="120" t="n"/>
      <c r="G1029" s="120" t="n"/>
      <c r="I1029" s="21" t="n"/>
      <c r="M1029" s="22" t="n"/>
      <c r="N1029" s="120" t="n"/>
      <c r="O1029" s="130" t="n"/>
      <c r="P1029" s="16" t="n"/>
      <c r="Q1029" s="17" t="n"/>
      <c r="R1029" s="124">
        <f>DADOS_INVOC!$HH$7</f>
        <v/>
      </c>
      <c r="S1029" s="17" t="n"/>
      <c r="T1029" s="120" t="n"/>
      <c r="U1029" s="120" t="n"/>
      <c r="V1029" s="120" t="n"/>
      <c r="W1029" s="120" t="n"/>
      <c r="X1029" s="120" t="n"/>
      <c r="Y1029" s="120" t="n"/>
      <c r="Z1029" s="120" t="n"/>
      <c r="AB1029" s="21" t="n"/>
      <c r="AF1029" s="22" t="n"/>
      <c r="AG1029" s="120" t="n"/>
      <c r="AH1029" s="130" t="n"/>
      <c r="AI1029" s="16" t="n"/>
      <c r="AJ1029" s="17" t="n"/>
      <c r="AK1029" s="124">
        <f>DADOS_INVOC!$HH$13</f>
        <v/>
      </c>
      <c r="AL1029" s="17" t="n"/>
      <c r="AM1029" s="120" t="n"/>
      <c r="AN1029" s="120" t="n"/>
      <c r="AO1029" s="120" t="n"/>
      <c r="AP1029" s="120" t="n"/>
      <c r="AQ1029" s="120" t="n"/>
      <c r="AR1029" s="120" t="n"/>
      <c r="AS1029" s="120" t="n"/>
    </row>
    <row r="1030" hidden="1" outlineLevel="1">
      <c r="A1030" s="8" t="n"/>
      <c r="B1030" s="14" t="n"/>
      <c r="C1030" s="120" t="n"/>
      <c r="D1030" s="120" t="n"/>
      <c r="E1030" s="120" t="n"/>
      <c r="F1030" s="120" t="n"/>
      <c r="G1030" s="120" t="n"/>
      <c r="I1030" s="23" t="n"/>
      <c r="J1030" s="24" t="n"/>
      <c r="K1030" s="24" t="n"/>
      <c r="L1030" s="24" t="n"/>
      <c r="M1030" s="25" t="n"/>
      <c r="N1030" s="120" t="n"/>
      <c r="O1030" s="130" t="n"/>
      <c r="P1030" s="16" t="n"/>
      <c r="Q1030" s="17" t="n"/>
      <c r="R1030" s="124">
        <f>DADOS_INVOC!$HI$7</f>
        <v/>
      </c>
      <c r="S1030" s="17" t="n"/>
      <c r="T1030" s="120" t="n"/>
      <c r="U1030" s="55">
        <f>DADOS_INVOC!$HO$7</f>
        <v/>
      </c>
      <c r="V1030" s="16" t="n"/>
      <c r="W1030" s="16" t="n"/>
      <c r="X1030" s="16" t="n"/>
      <c r="Y1030" s="17" t="n"/>
      <c r="Z1030" s="120" t="n"/>
      <c r="AB1030" s="23" t="n"/>
      <c r="AC1030" s="24" t="n"/>
      <c r="AD1030" s="24" t="n"/>
      <c r="AE1030" s="24" t="n"/>
      <c r="AF1030" s="25" t="n"/>
      <c r="AG1030" s="120" t="n"/>
      <c r="AH1030" s="130" t="n"/>
      <c r="AI1030" s="16" t="n"/>
      <c r="AJ1030" s="17" t="n"/>
      <c r="AK1030" s="124">
        <f>DADOS_INVOC!$HI$13</f>
        <v/>
      </c>
      <c r="AL1030" s="17" t="n"/>
      <c r="AM1030" s="120" t="n"/>
      <c r="AN1030" s="55">
        <f>DADOS_INVOC!$HO$13</f>
        <v/>
      </c>
      <c r="AO1030" s="16" t="n"/>
      <c r="AP1030" s="16" t="n"/>
      <c r="AQ1030" s="16" t="n"/>
      <c r="AR1030" s="17" t="n"/>
      <c r="AS1030" s="120" t="n"/>
    </row>
    <row r="1031" hidden="1" outlineLevel="1">
      <c r="A1031" s="8" t="n"/>
      <c r="B1031" s="14" t="n"/>
      <c r="C1031" s="120" t="n"/>
      <c r="D1031" s="120" t="n"/>
      <c r="E1031" s="120" t="n"/>
      <c r="F1031" s="120" t="n"/>
      <c r="G1031" s="120" t="n"/>
      <c r="I1031" s="120" t="n"/>
      <c r="J1031" s="120" t="n"/>
      <c r="K1031" s="120" t="n"/>
      <c r="L1031" s="120" t="n"/>
      <c r="M1031" s="120" t="n"/>
      <c r="N1031" s="120" t="n"/>
      <c r="O1031" s="130" t="n"/>
      <c r="P1031" s="16" t="n"/>
      <c r="Q1031" s="17" t="n"/>
      <c r="R1031" s="124">
        <f>DADOS_INVOC!$HJ$7</f>
        <v/>
      </c>
      <c r="S1031" s="17" t="n"/>
      <c r="T1031" s="120" t="n"/>
      <c r="U1031" s="116" t="n"/>
      <c r="V1031" s="19" t="n"/>
      <c r="W1031" s="19" t="n"/>
      <c r="X1031" s="19" t="n"/>
      <c r="Y1031" s="20" t="n"/>
      <c r="Z1031" s="120" t="n"/>
      <c r="AB1031" s="120" t="n"/>
      <c r="AC1031" s="120" t="n"/>
      <c r="AD1031" s="120" t="n"/>
      <c r="AE1031" s="120" t="n"/>
      <c r="AF1031" s="120" t="n"/>
      <c r="AG1031" s="120" t="n"/>
      <c r="AH1031" s="130" t="n"/>
      <c r="AI1031" s="16" t="n"/>
      <c r="AJ1031" s="17" t="n"/>
      <c r="AK1031" s="124">
        <f>DADOS_INVOC!$HJ$13</f>
        <v/>
      </c>
      <c r="AL1031" s="17" t="n"/>
      <c r="AM1031" s="120" t="n"/>
      <c r="AN1031" s="116" t="n"/>
      <c r="AO1031" s="19" t="n"/>
      <c r="AP1031" s="19" t="n"/>
      <c r="AQ1031" s="19" t="n"/>
      <c r="AR1031" s="20" t="n"/>
      <c r="AS1031" s="120" t="n"/>
    </row>
    <row r="1032" hidden="1" outlineLevel="1">
      <c r="A1032" s="8" t="n"/>
      <c r="B1032" s="14" t="n"/>
      <c r="C1032" s="120" t="n"/>
      <c r="D1032" s="120" t="n"/>
      <c r="E1032" s="120" t="n"/>
      <c r="F1032" s="120" t="n"/>
      <c r="G1032" s="120" t="n"/>
      <c r="I1032" s="55" t="inlineStr">
        <is>
          <t>TIPO</t>
        </is>
      </c>
      <c r="J1032" s="16" t="n"/>
      <c r="K1032" s="16" t="n"/>
      <c r="L1032" s="16" t="n"/>
      <c r="M1032" s="17" t="n"/>
      <c r="N1032" s="120" t="n"/>
      <c r="O1032" s="130" t="n"/>
      <c r="P1032" s="16" t="n"/>
      <c r="Q1032" s="17" t="n"/>
      <c r="R1032" s="124">
        <f>DADOS_INVOC!$HK$7</f>
        <v/>
      </c>
      <c r="S1032" s="17" t="n"/>
      <c r="T1032" s="120" t="n"/>
      <c r="U1032" s="21" t="n"/>
      <c r="Y1032" s="22" t="n"/>
      <c r="Z1032" s="120" t="n"/>
      <c r="AB1032" s="55" t="inlineStr">
        <is>
          <t>TIPO</t>
        </is>
      </c>
      <c r="AC1032" s="16" t="n"/>
      <c r="AD1032" s="16" t="n"/>
      <c r="AE1032" s="16" t="n"/>
      <c r="AF1032" s="17" t="n"/>
      <c r="AG1032" s="120" t="n"/>
      <c r="AH1032" s="130" t="n"/>
      <c r="AI1032" s="16" t="n"/>
      <c r="AJ1032" s="17" t="n"/>
      <c r="AK1032" s="124">
        <f>DADOS_INVOC!$HK$13</f>
        <v/>
      </c>
      <c r="AL1032" s="17" t="n"/>
      <c r="AM1032" s="120" t="n"/>
      <c r="AN1032" s="21" t="n"/>
      <c r="AR1032" s="22" t="n"/>
      <c r="AS1032" s="120" t="n"/>
    </row>
    <row r="1033" hidden="1" outlineLevel="1">
      <c r="A1033" s="8" t="n"/>
      <c r="B1033" s="14" t="n"/>
      <c r="C1033" s="120" t="n"/>
      <c r="D1033" s="120" t="n"/>
      <c r="E1033" s="120" t="n"/>
      <c r="F1033" s="120" t="n"/>
      <c r="G1033" s="120" t="n"/>
      <c r="I1033" s="124" t="inlineStr">
        <is>
          <t>Shikigami de técnica</t>
        </is>
      </c>
      <c r="J1033" s="19" t="n"/>
      <c r="K1033" s="19" t="n"/>
      <c r="L1033" s="19" t="n"/>
      <c r="M1033" s="20" t="n"/>
      <c r="N1033" s="120" t="n"/>
      <c r="O1033" s="130" t="n"/>
      <c r="P1033" s="16" t="n"/>
      <c r="Q1033" s="17" t="n"/>
      <c r="R1033" s="124">
        <f>DADOS_INVOC!$HL$7</f>
        <v/>
      </c>
      <c r="S1033" s="17" t="n"/>
      <c r="T1033" s="120" t="n"/>
      <c r="U1033" s="23" t="n"/>
      <c r="V1033" s="24" t="n"/>
      <c r="W1033" s="24" t="n"/>
      <c r="X1033" s="24" t="n"/>
      <c r="Y1033" s="25" t="n"/>
      <c r="Z1033" s="120" t="n"/>
      <c r="AB1033" s="124" t="inlineStr">
        <is>
          <t>Shikigami de técnica</t>
        </is>
      </c>
      <c r="AC1033" s="19" t="n"/>
      <c r="AD1033" s="19" t="n"/>
      <c r="AE1033" s="19" t="n"/>
      <c r="AF1033" s="20" t="n"/>
      <c r="AG1033" s="120" t="n"/>
      <c r="AH1033" s="130" t="n"/>
      <c r="AI1033" s="16" t="n"/>
      <c r="AJ1033" s="17" t="n"/>
      <c r="AK1033" s="124">
        <f>DADOS_INVOC!$HL$13</f>
        <v/>
      </c>
      <c r="AL1033" s="17" t="n"/>
      <c r="AM1033" s="120" t="n"/>
      <c r="AN1033" s="23" t="n"/>
      <c r="AO1033" s="24" t="n"/>
      <c r="AP1033" s="24" t="n"/>
      <c r="AQ1033" s="24" t="n"/>
      <c r="AR1033" s="25" t="n"/>
      <c r="AS1033" s="120" t="n"/>
    </row>
    <row r="1034" hidden="1" outlineLevel="1">
      <c r="A1034" s="8" t="n"/>
      <c r="B1034" s="14" t="n"/>
      <c r="C1034" s="120" t="n"/>
      <c r="D1034" s="120" t="n"/>
      <c r="E1034" s="120" t="n"/>
      <c r="F1034" s="120" t="n"/>
      <c r="G1034" s="120" t="n"/>
      <c r="I1034" s="23" t="n"/>
      <c r="J1034" s="24" t="n"/>
      <c r="K1034" s="24" t="n"/>
      <c r="L1034" s="24" t="n"/>
      <c r="M1034" s="25" t="n"/>
      <c r="N1034" s="120" t="n"/>
      <c r="O1034" s="130" t="n"/>
      <c r="P1034" s="16" t="n"/>
      <c r="Q1034" s="17" t="n"/>
      <c r="R1034" s="124">
        <f>DADOS_INVOC!$HM$7</f>
        <v/>
      </c>
      <c r="S1034" s="17" t="n"/>
      <c r="T1034" s="120" t="n"/>
      <c r="U1034" s="120" t="n"/>
      <c r="V1034" s="120" t="n"/>
      <c r="W1034" s="120" t="n"/>
      <c r="X1034" s="120" t="n"/>
      <c r="Y1034" s="120" t="n"/>
      <c r="Z1034" s="120" t="n"/>
      <c r="AB1034" s="23" t="n"/>
      <c r="AC1034" s="24" t="n"/>
      <c r="AD1034" s="24" t="n"/>
      <c r="AE1034" s="24" t="n"/>
      <c r="AF1034" s="25" t="n"/>
      <c r="AG1034" s="120" t="n"/>
      <c r="AH1034" s="130" t="n"/>
      <c r="AI1034" s="16" t="n"/>
      <c r="AJ1034" s="17" t="n"/>
      <c r="AK1034" s="124">
        <f>DADOS_INVOC!$HM$13</f>
        <v/>
      </c>
      <c r="AL1034" s="17" t="n"/>
      <c r="AM1034" s="120" t="n"/>
      <c r="AN1034" s="120" t="n"/>
      <c r="AO1034" s="120" t="n"/>
      <c r="AP1034" s="120" t="n"/>
      <c r="AQ1034" s="120" t="n"/>
      <c r="AR1034" s="120" t="n"/>
      <c r="AS1034" s="120" t="n"/>
    </row>
    <row r="1035" hidden="1" outlineLevel="1">
      <c r="A1035" s="8" t="n"/>
      <c r="B1035" s="14" t="n"/>
      <c r="C1035" s="120" t="n"/>
      <c r="D1035" s="120" t="n"/>
      <c r="E1035" s="120" t="n"/>
      <c r="F1035" s="120" t="n"/>
      <c r="G1035" s="120" t="n"/>
      <c r="I1035" s="120" t="n"/>
      <c r="J1035" s="120" t="n"/>
      <c r="K1035" s="120" t="n"/>
      <c r="L1035" s="120" t="n"/>
      <c r="M1035" s="120" t="n"/>
      <c r="N1035" s="120" t="n"/>
      <c r="O1035" s="120" t="n"/>
      <c r="P1035" s="120" t="n"/>
      <c r="Q1035" s="120" t="n"/>
      <c r="R1035" s="120" t="n"/>
      <c r="S1035" s="120" t="n"/>
      <c r="T1035" s="120" t="n"/>
      <c r="U1035" s="55" t="inlineStr">
        <is>
          <t>CORPO, SENTIDOS E COMUNICAÇÃO</t>
        </is>
      </c>
      <c r="V1035" s="16" t="n"/>
      <c r="W1035" s="16" t="n"/>
      <c r="X1035" s="16" t="n"/>
      <c r="Y1035" s="17" t="n"/>
      <c r="Z1035" s="120" t="n"/>
      <c r="AB1035" s="120" t="n"/>
      <c r="AC1035" s="120" t="n"/>
      <c r="AD1035" s="120" t="n"/>
      <c r="AE1035" s="120" t="n"/>
      <c r="AF1035" s="120" t="n"/>
      <c r="AG1035" s="120" t="n"/>
      <c r="AH1035" s="120" t="n"/>
      <c r="AI1035" s="120" t="n"/>
      <c r="AJ1035" s="120" t="n"/>
      <c r="AK1035" s="120" t="n"/>
      <c r="AL1035" s="120" t="n"/>
      <c r="AM1035" s="120" t="n"/>
      <c r="AN1035" s="55" t="inlineStr">
        <is>
          <t>CORPO, SENTIDOS E COMUNICAÇÃO</t>
        </is>
      </c>
      <c r="AO1035" s="16" t="n"/>
      <c r="AP1035" s="16" t="n"/>
      <c r="AQ1035" s="16" t="n"/>
      <c r="AR1035" s="17" t="n"/>
      <c r="AS1035" s="120" t="n"/>
    </row>
    <row r="1036" hidden="1" outlineLevel="1">
      <c r="A1036" s="8" t="n"/>
      <c r="B1036" s="14" t="n"/>
      <c r="C1036" s="120" t="n"/>
      <c r="D1036" s="120" t="n"/>
      <c r="E1036" s="120" t="n"/>
      <c r="F1036" s="120" t="n"/>
      <c r="G1036" s="120" t="n"/>
      <c r="I1036" s="55" t="inlineStr">
        <is>
          <t>AQUISIÇÃO</t>
        </is>
      </c>
      <c r="J1036" s="17" t="n"/>
      <c r="K1036" s="55" t="inlineStr">
        <is>
          <t>OBTIDA NO NÍVEL</t>
        </is>
      </c>
      <c r="L1036" s="55" t="inlineStr">
        <is>
          <t>TALISMÃ</t>
        </is>
      </c>
      <c r="M1036" s="17" t="n"/>
      <c r="N1036" s="120" t="n"/>
      <c r="O1036" s="55">
        <f>DADOS_INVOC!$HP$7</f>
        <v/>
      </c>
      <c r="P1036" s="16" t="n"/>
      <c r="Q1036" s="16" t="n"/>
      <c r="R1036" s="16" t="n"/>
      <c r="S1036" s="17" t="n"/>
      <c r="T1036" s="120" t="n"/>
      <c r="U1036" s="116" t="n"/>
      <c r="V1036" s="19" t="n"/>
      <c r="W1036" s="19" t="n"/>
      <c r="X1036" s="19" t="n"/>
      <c r="Y1036" s="20" t="n"/>
      <c r="Z1036" s="120" t="n"/>
      <c r="AB1036" s="55" t="inlineStr">
        <is>
          <t>AQUISIÇÃO</t>
        </is>
      </c>
      <c r="AC1036" s="17" t="n"/>
      <c r="AD1036" s="55" t="inlineStr">
        <is>
          <t>OBTIDA NO NÍVEL</t>
        </is>
      </c>
      <c r="AE1036" s="55" t="inlineStr">
        <is>
          <t>TALISMÃ</t>
        </is>
      </c>
      <c r="AF1036" s="17" t="n"/>
      <c r="AG1036" s="120" t="n"/>
      <c r="AH1036" s="55">
        <f>DADOS_INVOC!$HP$13</f>
        <v/>
      </c>
      <c r="AI1036" s="16" t="n"/>
      <c r="AJ1036" s="16" t="n"/>
      <c r="AK1036" s="16" t="n"/>
      <c r="AL1036" s="17" t="n"/>
      <c r="AM1036" s="120" t="n"/>
      <c r="AN1036" s="116" t="n"/>
      <c r="AO1036" s="19" t="n"/>
      <c r="AP1036" s="19" t="n"/>
      <c r="AQ1036" s="19" t="n"/>
      <c r="AR1036" s="20" t="n"/>
      <c r="AS1036" s="120" t="n"/>
    </row>
    <row r="1037" hidden="1" outlineLevel="1">
      <c r="A1037" s="8" t="n"/>
      <c r="B1037" s="14" t="n"/>
      <c r="C1037" s="120" t="n"/>
      <c r="D1037" s="120" t="n"/>
      <c r="E1037" s="120" t="n"/>
      <c r="F1037" s="120" t="n"/>
      <c r="G1037" s="120" t="n"/>
      <c r="I1037" s="124" t="inlineStr">
        <is>
          <t>Espaço conhecido</t>
        </is>
      </c>
      <c r="J1037" s="20" t="n"/>
      <c r="K1037" s="124" t="n"/>
      <c r="L1037" s="124" t="inlineStr">
        <is>
          <t>Sem carga</t>
        </is>
      </c>
      <c r="M1037" s="20" t="n"/>
      <c r="N1037" s="120" t="n"/>
      <c r="O1037" s="55" t="inlineStr">
        <is>
          <t>LIVRE</t>
        </is>
      </c>
      <c r="P1037" s="55" t="inlineStr">
        <is>
          <t>LIVRE · TRILHA</t>
        </is>
      </c>
      <c r="Q1037" s="55" t="inlineStr">
        <is>
          <t>ABERTA</t>
        </is>
      </c>
      <c r="R1037" s="55" t="inlineStr">
        <is>
          <t>ABERTA</t>
        </is>
      </c>
      <c r="S1037" s="55" t="inlineStr">
        <is>
          <t>ABERTA · TRILHA</t>
        </is>
      </c>
      <c r="T1037" s="120" t="n"/>
      <c r="U1037" s="21" t="n"/>
      <c r="Y1037" s="22" t="n"/>
      <c r="Z1037" s="120" t="n"/>
      <c r="AB1037" s="124" t="inlineStr">
        <is>
          <t>Espaço conhecido</t>
        </is>
      </c>
      <c r="AC1037" s="20" t="n"/>
      <c r="AD1037" s="124" t="n"/>
      <c r="AE1037" s="124" t="inlineStr">
        <is>
          <t>Sem carga</t>
        </is>
      </c>
      <c r="AF1037" s="20" t="n"/>
      <c r="AG1037" s="120" t="n"/>
      <c r="AH1037" s="55" t="inlineStr">
        <is>
          <t>LIVRE</t>
        </is>
      </c>
      <c r="AI1037" s="55" t="inlineStr">
        <is>
          <t>LIVRE · TRILHA</t>
        </is>
      </c>
      <c r="AJ1037" s="55" t="inlineStr">
        <is>
          <t>ABERTA</t>
        </is>
      </c>
      <c r="AK1037" s="55" t="inlineStr">
        <is>
          <t>ABERTA</t>
        </is>
      </c>
      <c r="AL1037" s="55" t="inlineStr">
        <is>
          <t>ABERTA · TRILHA</t>
        </is>
      </c>
      <c r="AM1037" s="120" t="n"/>
      <c r="AN1037" s="21" t="n"/>
      <c r="AR1037" s="22" t="n"/>
      <c r="AS1037" s="120" t="n"/>
    </row>
    <row r="1038" hidden="1" outlineLevel="1">
      <c r="A1038" s="8" t="n"/>
      <c r="B1038" s="14" t="n"/>
      <c r="C1038" s="120" t="n"/>
      <c r="D1038" s="120" t="n"/>
      <c r="E1038" s="120" t="n"/>
      <c r="F1038" s="120" t="n"/>
      <c r="G1038" s="120" t="n"/>
      <c r="I1038" s="23" t="n"/>
      <c r="J1038" s="25" t="n"/>
      <c r="K1038" s="125" t="n"/>
      <c r="L1038" s="23" t="n"/>
      <c r="M1038" s="25" t="n"/>
      <c r="N1038" s="120" t="n"/>
      <c r="O1038" s="124" t="n"/>
      <c r="P1038" s="124" t="n"/>
      <c r="Q1038" s="124" t="n"/>
      <c r="R1038" s="124" t="n"/>
      <c r="S1038" s="124" t="n"/>
      <c r="T1038" s="120" t="n"/>
      <c r="U1038" s="21" t="n"/>
      <c r="Y1038" s="22" t="n"/>
      <c r="Z1038" s="120" t="n"/>
      <c r="AB1038" s="23" t="n"/>
      <c r="AC1038" s="25" t="n"/>
      <c r="AD1038" s="125" t="n"/>
      <c r="AE1038" s="23" t="n"/>
      <c r="AF1038" s="25" t="n"/>
      <c r="AG1038" s="120" t="n"/>
      <c r="AH1038" s="124" t="n"/>
      <c r="AI1038" s="124" t="n"/>
      <c r="AJ1038" s="124" t="n"/>
      <c r="AK1038" s="124" t="n"/>
      <c r="AL1038" s="124" t="n"/>
      <c r="AM1038" s="120" t="n"/>
      <c r="AN1038" s="21" t="n"/>
      <c r="AR1038" s="22" t="n"/>
      <c r="AS1038" s="120" t="n"/>
    </row>
    <row r="1039" hidden="1" outlineLevel="1">
      <c r="A1039" s="8" t="n"/>
      <c r="B1039" s="14" t="n"/>
      <c r="C1039" s="120" t="n"/>
      <c r="D1039" s="120" t="n"/>
      <c r="E1039" s="120" t="n"/>
      <c r="F1039" s="120" t="n"/>
      <c r="G1039" s="120" t="n"/>
      <c r="I1039" s="120" t="n"/>
      <c r="J1039" s="120" t="n"/>
      <c r="K1039" s="120" t="n"/>
      <c r="L1039" s="120" t="n"/>
      <c r="M1039" s="120" t="n"/>
      <c r="N1039" s="120" t="n"/>
      <c r="O1039" s="125" t="n"/>
      <c r="P1039" s="125" t="n"/>
      <c r="Q1039" s="125" t="n"/>
      <c r="R1039" s="125" t="n"/>
      <c r="S1039" s="125" t="n"/>
      <c r="T1039" s="120" t="n"/>
      <c r="U1039" s="23" t="n"/>
      <c r="V1039" s="24" t="n"/>
      <c r="W1039" s="24" t="n"/>
      <c r="X1039" s="24" t="n"/>
      <c r="Y1039" s="25" t="n"/>
      <c r="Z1039" s="120" t="n"/>
      <c r="AB1039" s="120" t="n"/>
      <c r="AC1039" s="120" t="n"/>
      <c r="AD1039" s="120" t="n"/>
      <c r="AE1039" s="120" t="n"/>
      <c r="AF1039" s="120" t="n"/>
      <c r="AG1039" s="120" t="n"/>
      <c r="AH1039" s="125" t="n"/>
      <c r="AI1039" s="125" t="n"/>
      <c r="AJ1039" s="125" t="n"/>
      <c r="AK1039" s="125" t="n"/>
      <c r="AL1039" s="125" t="n"/>
      <c r="AM1039" s="120" t="n"/>
      <c r="AN1039" s="23" t="n"/>
      <c r="AO1039" s="24" t="n"/>
      <c r="AP1039" s="24" t="n"/>
      <c r="AQ1039" s="24" t="n"/>
      <c r="AR1039" s="25" t="n"/>
      <c r="AS1039" s="120" t="n"/>
    </row>
    <row r="1040" hidden="1" outlineLevel="1">
      <c r="A1040" s="8" t="n"/>
      <c r="B1040" s="14" t="n"/>
      <c r="C1040" s="120" t="n"/>
      <c r="D1040" s="120" t="n"/>
      <c r="E1040" s="120" t="n"/>
      <c r="F1040" s="120" t="n"/>
      <c r="G1040" s="120" t="n"/>
      <c r="I1040" s="120" t="n"/>
      <c r="J1040" s="120" t="n"/>
      <c r="K1040" s="120" t="n"/>
      <c r="L1040" s="120" t="n"/>
      <c r="M1040" s="120" t="n"/>
      <c r="N1040" s="120" t="n"/>
      <c r="O1040" s="120" t="n"/>
      <c r="P1040" s="120" t="n"/>
      <c r="Q1040" s="120" t="n"/>
      <c r="R1040" s="120" t="n"/>
      <c r="S1040" s="120" t="n"/>
      <c r="T1040" s="120" t="n"/>
      <c r="U1040" s="120" t="n"/>
      <c r="V1040" s="120" t="n"/>
      <c r="W1040" s="120" t="n"/>
      <c r="X1040" s="120" t="n"/>
      <c r="Y1040" s="120" t="n"/>
      <c r="Z1040" s="120" t="n"/>
      <c r="AB1040" s="120" t="n"/>
      <c r="AC1040" s="120" t="n"/>
      <c r="AD1040" s="120" t="n"/>
      <c r="AE1040" s="120" t="n"/>
      <c r="AF1040" s="120" t="n"/>
      <c r="AG1040" s="120" t="n"/>
      <c r="AH1040" s="120" t="n"/>
      <c r="AI1040" s="120" t="n"/>
      <c r="AJ1040" s="120" t="n"/>
      <c r="AK1040" s="120" t="n"/>
      <c r="AL1040" s="120" t="n"/>
      <c r="AM1040" s="120" t="n"/>
      <c r="AN1040" s="120" t="n"/>
      <c r="AO1040" s="120" t="n"/>
      <c r="AP1040" s="120" t="n"/>
      <c r="AQ1040" s="120" t="n"/>
      <c r="AR1040" s="120" t="n"/>
      <c r="AS1040" s="120" t="n"/>
    </row>
    <row r="1041" hidden="1" outlineLevel="1">
      <c r="A1041" s="8" t="n"/>
      <c r="B1041" s="14" t="n"/>
      <c r="C1041" s="120" t="n"/>
      <c r="D1041" s="120" t="n"/>
      <c r="E1041" s="120" t="n"/>
      <c r="F1041" s="120" t="n"/>
      <c r="G1041" s="120"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0"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0" t="n"/>
    </row>
    <row r="1042" hidden="1" outlineLevel="1">
      <c r="A1042" s="8" t="n"/>
      <c r="B1042" s="14" t="n"/>
      <c r="C1042" s="120" t="n"/>
      <c r="D1042" s="120" t="n"/>
      <c r="E1042" s="120" t="n"/>
      <c r="F1042" s="120" t="n"/>
      <c r="G1042" s="120" t="n"/>
      <c r="I1042" s="116" t="n"/>
      <c r="J1042" s="19" t="n"/>
      <c r="K1042" s="19" t="n"/>
      <c r="L1042" s="19" t="n"/>
      <c r="M1042" s="19" t="n"/>
      <c r="N1042" s="19" t="n"/>
      <c r="O1042" s="19" t="n"/>
      <c r="P1042" s="19" t="n"/>
      <c r="Q1042" s="19" t="n"/>
      <c r="R1042" s="19" t="n"/>
      <c r="S1042" s="19" t="n"/>
      <c r="T1042" s="19" t="n"/>
      <c r="U1042" s="19" t="n"/>
      <c r="V1042" s="19" t="n"/>
      <c r="W1042" s="19" t="n"/>
      <c r="X1042" s="19" t="n"/>
      <c r="Y1042" s="20" t="n"/>
      <c r="Z1042" s="120" t="n"/>
      <c r="AB1042" s="116"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0" t="n"/>
    </row>
    <row r="1043" hidden="1" outlineLevel="1">
      <c r="A1043" s="8" t="n"/>
      <c r="B1043" s="14" t="n"/>
      <c r="C1043" s="120" t="n"/>
      <c r="D1043" s="120" t="n"/>
      <c r="E1043" s="120" t="n"/>
      <c r="F1043" s="120" t="n"/>
      <c r="G1043" s="120"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0"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0" t="n"/>
    </row>
    <row r="1044" hidden="1" outlineLevel="1">
      <c r="A1044" s="8" t="n"/>
      <c r="B1044" s="14" t="n"/>
      <c r="C1044" s="120" t="n"/>
      <c r="D1044" s="120" t="n"/>
      <c r="E1044" s="120" t="n"/>
      <c r="F1044" s="120" t="n"/>
      <c r="G1044" s="120" t="n"/>
      <c r="I1044" s="120" t="n"/>
      <c r="J1044" s="120" t="n"/>
      <c r="K1044" s="120" t="n"/>
      <c r="L1044" s="120" t="n"/>
      <c r="M1044" s="120" t="n"/>
      <c r="N1044" s="120" t="n"/>
      <c r="O1044" s="120" t="n"/>
      <c r="P1044" s="120" t="n"/>
      <c r="Q1044" s="120" t="n"/>
      <c r="R1044" s="120" t="n"/>
      <c r="S1044" s="120" t="n"/>
      <c r="T1044" s="120" t="n"/>
      <c r="U1044" s="120" t="n"/>
      <c r="V1044" s="120" t="n"/>
      <c r="W1044" s="120" t="n"/>
      <c r="X1044" s="120" t="n"/>
      <c r="Y1044" s="120" t="n"/>
      <c r="Z1044" s="120" t="n"/>
      <c r="AB1044" s="120" t="n"/>
      <c r="AC1044" s="120" t="n"/>
      <c r="AD1044" s="120" t="n"/>
      <c r="AE1044" s="120" t="n"/>
      <c r="AF1044" s="120" t="n"/>
      <c r="AG1044" s="120" t="n"/>
      <c r="AH1044" s="120" t="n"/>
      <c r="AI1044" s="120" t="n"/>
      <c r="AJ1044" s="120" t="n"/>
      <c r="AK1044" s="120" t="n"/>
      <c r="AL1044" s="120" t="n"/>
      <c r="AM1044" s="120" t="n"/>
      <c r="AN1044" s="120" t="n"/>
      <c r="AO1044" s="120" t="n"/>
      <c r="AP1044" s="120" t="n"/>
      <c r="AQ1044" s="120" t="n"/>
      <c r="AR1044" s="120" t="n"/>
      <c r="AS1044" s="120" t="n"/>
    </row>
    <row r="1045" hidden="1" outlineLevel="1">
      <c r="A1045" s="8" t="n"/>
      <c r="B1045" s="14" t="n"/>
      <c r="C1045" s="120" t="n"/>
      <c r="D1045" s="120" t="n"/>
      <c r="E1045" s="120" t="n"/>
      <c r="F1045" s="120" t="n"/>
      <c r="G1045" s="120" t="n"/>
      <c r="I1045" s="133">
        <f>DADOS_INVOC!$HQ$7</f>
        <v/>
      </c>
      <c r="J1045" s="16" t="n"/>
      <c r="K1045" s="16" t="n"/>
      <c r="L1045" s="16" t="n"/>
      <c r="M1045" s="16" t="n"/>
      <c r="N1045" s="16" t="n"/>
      <c r="O1045" s="16" t="n"/>
      <c r="P1045" s="16" t="n"/>
      <c r="Q1045" s="16" t="n"/>
      <c r="R1045" s="16" t="n"/>
      <c r="S1045" s="16" t="n"/>
      <c r="T1045" s="16" t="n"/>
      <c r="U1045" s="16" t="n"/>
      <c r="V1045" s="16" t="n"/>
      <c r="W1045" s="16" t="n"/>
      <c r="X1045" s="16" t="n"/>
      <c r="Y1045" s="17" t="n"/>
      <c r="Z1045" s="120" t="n"/>
      <c r="AB1045" s="133">
        <f>DADOS_INVOC!$HQ$13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0" t="n"/>
    </row>
    <row r="1046" hidden="1" outlineLevel="1">
      <c r="A1046" s="8" t="n"/>
      <c r="B1046" s="14" t="n"/>
      <c r="C1046" s="120" t="n"/>
      <c r="D1046" s="120" t="n"/>
      <c r="E1046" s="120" t="n"/>
      <c r="F1046" s="120" t="n"/>
      <c r="G1046" s="120" t="n"/>
      <c r="I1046" s="120" t="n"/>
      <c r="J1046" s="120" t="n"/>
      <c r="K1046" s="120" t="n"/>
      <c r="L1046" s="120" t="n"/>
      <c r="M1046" s="120" t="n"/>
      <c r="N1046" s="120" t="n"/>
      <c r="O1046" s="120" t="n"/>
      <c r="P1046" s="120" t="n"/>
      <c r="Q1046" s="120" t="n"/>
      <c r="R1046" s="120" t="n"/>
      <c r="S1046" s="120" t="n"/>
      <c r="T1046" s="120" t="n"/>
      <c r="U1046" s="120" t="n"/>
      <c r="V1046" s="120" t="n"/>
      <c r="W1046" s="120" t="n"/>
      <c r="X1046" s="120" t="n"/>
      <c r="Y1046" s="120" t="n"/>
      <c r="Z1046" s="120" t="n"/>
      <c r="AB1046" s="120" t="n"/>
      <c r="AC1046" s="120" t="n"/>
      <c r="AD1046" s="120" t="n"/>
      <c r="AE1046" s="120" t="n"/>
      <c r="AF1046" s="120" t="n"/>
      <c r="AG1046" s="120" t="n"/>
      <c r="AH1046" s="120" t="n"/>
      <c r="AI1046" s="120" t="n"/>
      <c r="AJ1046" s="120" t="n"/>
      <c r="AK1046" s="120" t="n"/>
      <c r="AL1046" s="120" t="n"/>
      <c r="AM1046" s="120" t="n"/>
      <c r="AN1046" s="120" t="n"/>
      <c r="AO1046" s="120" t="n"/>
      <c r="AP1046" s="120" t="n"/>
      <c r="AQ1046" s="120" t="n"/>
      <c r="AR1046" s="120" t="n"/>
      <c r="AS1046" s="120" t="n"/>
    </row>
    <row r="1047" hidden="1" outlineLevel="1">
      <c r="A1047" s="8" t="n"/>
      <c r="B1047" s="14" t="n"/>
      <c r="C1047" s="120" t="n"/>
      <c r="D1047" s="120" t="n"/>
      <c r="E1047" s="120" t="n"/>
      <c r="F1047" s="120" t="n"/>
      <c r="G1047" s="120" t="n"/>
      <c r="I1047" s="55">
        <f>DADOS_INVOC!$PI$67</f>
        <v/>
      </c>
      <c r="J1047" s="16" t="n"/>
      <c r="K1047" s="16" t="n"/>
      <c r="L1047" s="16" t="n"/>
      <c r="M1047" s="17" t="n"/>
      <c r="N1047" s="120" t="n"/>
      <c r="O1047" s="55">
        <f>DADOS_INVOC!$PI$68</f>
        <v/>
      </c>
      <c r="P1047" s="16" t="n"/>
      <c r="Q1047" s="16" t="n"/>
      <c r="R1047" s="16" t="n"/>
      <c r="S1047" s="17" t="n"/>
      <c r="T1047" s="120" t="n"/>
      <c r="U1047" s="55">
        <f>DADOS_INVOC!$PI$69</f>
        <v/>
      </c>
      <c r="V1047" s="16" t="n"/>
      <c r="W1047" s="16" t="n"/>
      <c r="X1047" s="16" t="n"/>
      <c r="Y1047" s="17" t="n"/>
      <c r="Z1047" s="120" t="n"/>
      <c r="AB1047" s="55">
        <f>DADOS_INVOC!$PI$145</f>
        <v/>
      </c>
      <c r="AC1047" s="16" t="n"/>
      <c r="AD1047" s="16" t="n"/>
      <c r="AE1047" s="16" t="n"/>
      <c r="AF1047" s="17" t="n"/>
      <c r="AG1047" s="120" t="n"/>
      <c r="AH1047" s="55">
        <f>DADOS_INVOC!$PI$146</f>
        <v/>
      </c>
      <c r="AI1047" s="16" t="n"/>
      <c r="AJ1047" s="16" t="n"/>
      <c r="AK1047" s="16" t="n"/>
      <c r="AL1047" s="17" t="n"/>
      <c r="AM1047" s="120" t="n"/>
      <c r="AN1047" s="55">
        <f>DADOS_INVOC!$PI$147</f>
        <v/>
      </c>
      <c r="AO1047" s="16" t="n"/>
      <c r="AP1047" s="16" t="n"/>
      <c r="AQ1047" s="16" t="n"/>
      <c r="AR1047" s="17" t="n"/>
      <c r="AS1047" s="120" t="n"/>
    </row>
    <row r="1048" hidden="1" outlineLevel="1">
      <c r="A1048" s="8" t="n"/>
      <c r="B1048" s="14" t="n"/>
      <c r="C1048" s="120" t="n"/>
      <c r="D1048" s="120" t="n"/>
      <c r="E1048" s="120" t="n"/>
      <c r="F1048" s="120" t="n"/>
      <c r="G1048" s="120" t="n"/>
      <c r="I1048" s="127" t="n">
        <v>0</v>
      </c>
      <c r="J1048" s="115" t="n"/>
      <c r="K1048" s="16" t="n"/>
      <c r="L1048" s="17" t="n"/>
      <c r="M1048" s="128">
        <f>DADOS_INVOC!$PG$67</f>
        <v/>
      </c>
      <c r="N1048" s="120" t="n"/>
      <c r="O1048" s="127" t="n">
        <v>1</v>
      </c>
      <c r="P1048" s="115" t="n"/>
      <c r="Q1048" s="16" t="n"/>
      <c r="R1048" s="17" t="n"/>
      <c r="S1048" s="128">
        <f>DADOS_INVOC!$PG$68</f>
        <v/>
      </c>
      <c r="T1048" s="120" t="n"/>
      <c r="U1048" s="127" t="n">
        <v>1</v>
      </c>
      <c r="V1048" s="115" t="n"/>
      <c r="W1048" s="16" t="n"/>
      <c r="X1048" s="17" t="n"/>
      <c r="Y1048" s="128">
        <f>DADOS_INVOC!$PG$69</f>
        <v/>
      </c>
      <c r="Z1048" s="120" t="n"/>
      <c r="AB1048" s="127" t="n">
        <v>0</v>
      </c>
      <c r="AC1048" s="115" t="n"/>
      <c r="AD1048" s="16" t="n"/>
      <c r="AE1048" s="17" t="n"/>
      <c r="AF1048" s="128">
        <f>DADOS_INVOC!$PG$145</f>
        <v/>
      </c>
      <c r="AG1048" s="120" t="n"/>
      <c r="AH1048" s="127" t="n">
        <v>1</v>
      </c>
      <c r="AI1048" s="115" t="n"/>
      <c r="AJ1048" s="16" t="n"/>
      <c r="AK1048" s="17" t="n"/>
      <c r="AL1048" s="128">
        <f>DADOS_INVOC!$PG$146</f>
        <v/>
      </c>
      <c r="AM1048" s="120" t="n"/>
      <c r="AN1048" s="127" t="n">
        <v>1</v>
      </c>
      <c r="AO1048" s="115" t="n"/>
      <c r="AP1048" s="16" t="n"/>
      <c r="AQ1048" s="17" t="n"/>
      <c r="AR1048" s="128">
        <f>DADOS_INVOC!$PG$147</f>
        <v/>
      </c>
      <c r="AS1048" s="120" t="n"/>
    </row>
    <row r="1049" hidden="1" outlineLevel="2">
      <c r="A1049" s="8" t="n"/>
      <c r="B1049" s="14" t="n"/>
      <c r="C1049" s="120" t="n"/>
      <c r="D1049" s="120" t="n"/>
      <c r="E1049" s="120" t="n"/>
      <c r="F1049" s="120" t="n"/>
      <c r="G1049" s="120" t="n"/>
      <c r="I1049" s="55" t="inlineStr">
        <is>
          <t>COMO É</t>
        </is>
      </c>
      <c r="J1049" s="16" t="n"/>
      <c r="K1049" s="16" t="n"/>
      <c r="L1049" s="16" t="n"/>
      <c r="M1049" s="17" t="n"/>
      <c r="N1049" s="120" t="n"/>
      <c r="O1049" s="55" t="inlineStr">
        <is>
          <t>COMO É</t>
        </is>
      </c>
      <c r="P1049" s="16" t="n"/>
      <c r="Q1049" s="16" t="n"/>
      <c r="R1049" s="16" t="n"/>
      <c r="S1049" s="17" t="n"/>
      <c r="T1049" s="120" t="n"/>
      <c r="U1049" s="55" t="inlineStr">
        <is>
          <t>COMO É</t>
        </is>
      </c>
      <c r="V1049" s="16" t="n"/>
      <c r="W1049" s="16" t="n"/>
      <c r="X1049" s="16" t="n"/>
      <c r="Y1049" s="17" t="n"/>
      <c r="Z1049" s="120" t="n"/>
      <c r="AB1049" s="55" t="inlineStr">
        <is>
          <t>COMO É</t>
        </is>
      </c>
      <c r="AC1049" s="16" t="n"/>
      <c r="AD1049" s="16" t="n"/>
      <c r="AE1049" s="16" t="n"/>
      <c r="AF1049" s="17" t="n"/>
      <c r="AG1049" s="120" t="n"/>
      <c r="AH1049" s="55" t="inlineStr">
        <is>
          <t>COMO É</t>
        </is>
      </c>
      <c r="AI1049" s="16" t="n"/>
      <c r="AJ1049" s="16" t="n"/>
      <c r="AK1049" s="16" t="n"/>
      <c r="AL1049" s="17" t="n"/>
      <c r="AM1049" s="120" t="n"/>
      <c r="AN1049" s="55" t="inlineStr">
        <is>
          <t>COMO É</t>
        </is>
      </c>
      <c r="AO1049" s="16" t="n"/>
      <c r="AP1049" s="16" t="n"/>
      <c r="AQ1049" s="16" t="n"/>
      <c r="AR1049" s="17" t="n"/>
      <c r="AS1049" s="120" t="n"/>
    </row>
    <row r="1050" hidden="1" outlineLevel="2">
      <c r="A1050" s="8" t="n"/>
      <c r="B1050" s="14" t="n"/>
      <c r="C1050" s="120" t="n"/>
      <c r="D1050" s="120" t="n"/>
      <c r="E1050" s="120" t="n"/>
      <c r="F1050" s="120" t="n"/>
      <c r="G1050" s="120" t="n"/>
      <c r="I1050" s="116" t="n"/>
      <c r="J1050" s="19" t="n"/>
      <c r="K1050" s="19" t="n"/>
      <c r="L1050" s="19" t="n"/>
      <c r="M1050" s="20" t="n"/>
      <c r="N1050" s="120" t="n"/>
      <c r="O1050" s="116" t="n"/>
      <c r="P1050" s="19" t="n"/>
      <c r="Q1050" s="19" t="n"/>
      <c r="R1050" s="19" t="n"/>
      <c r="S1050" s="20" t="n"/>
      <c r="T1050" s="120" t="n"/>
      <c r="U1050" s="116" t="n"/>
      <c r="V1050" s="19" t="n"/>
      <c r="W1050" s="19" t="n"/>
      <c r="X1050" s="19" t="n"/>
      <c r="Y1050" s="20" t="n"/>
      <c r="Z1050" s="120" t="n"/>
      <c r="AB1050" s="116" t="n"/>
      <c r="AC1050" s="19" t="n"/>
      <c r="AD1050" s="19" t="n"/>
      <c r="AE1050" s="19" t="n"/>
      <c r="AF1050" s="20" t="n"/>
      <c r="AG1050" s="120" t="n"/>
      <c r="AH1050" s="116" t="n"/>
      <c r="AI1050" s="19" t="n"/>
      <c r="AJ1050" s="19" t="n"/>
      <c r="AK1050" s="19" t="n"/>
      <c r="AL1050" s="20" t="n"/>
      <c r="AM1050" s="120" t="n"/>
      <c r="AN1050" s="116" t="n"/>
      <c r="AO1050" s="19" t="n"/>
      <c r="AP1050" s="19" t="n"/>
      <c r="AQ1050" s="19" t="n"/>
      <c r="AR1050" s="20" t="n"/>
      <c r="AS1050" s="120" t="n"/>
    </row>
    <row r="1051" hidden="1" outlineLevel="2">
      <c r="A1051" s="8" t="n"/>
      <c r="B1051" s="14" t="n"/>
      <c r="C1051" s="120" t="n"/>
      <c r="D1051" s="120" t="n"/>
      <c r="E1051" s="120" t="n"/>
      <c r="F1051" s="120" t="n"/>
      <c r="G1051" s="120" t="n"/>
      <c r="I1051" s="21" t="n"/>
      <c r="M1051" s="22" t="n"/>
      <c r="N1051" s="120" t="n"/>
      <c r="O1051" s="21" t="n"/>
      <c r="S1051" s="22" t="n"/>
      <c r="T1051" s="120" t="n"/>
      <c r="U1051" s="21" t="n"/>
      <c r="Y1051" s="22" t="n"/>
      <c r="Z1051" s="120" t="n"/>
      <c r="AB1051" s="21" t="n"/>
      <c r="AF1051" s="22" t="n"/>
      <c r="AG1051" s="120" t="n"/>
      <c r="AH1051" s="21" t="n"/>
      <c r="AL1051" s="22" t="n"/>
      <c r="AM1051" s="120" t="n"/>
      <c r="AN1051" s="21" t="n"/>
      <c r="AR1051" s="22" t="n"/>
      <c r="AS1051" s="120" t="n"/>
    </row>
    <row r="1052" hidden="1" outlineLevel="2">
      <c r="A1052" s="8" t="n"/>
      <c r="B1052" s="14" t="n"/>
      <c r="C1052" s="120" t="n"/>
      <c r="D1052" s="120" t="n"/>
      <c r="E1052" s="120" t="n"/>
      <c r="F1052" s="120" t="n"/>
      <c r="G1052" s="120" t="n"/>
      <c r="I1052" s="23" t="n"/>
      <c r="J1052" s="24" t="n"/>
      <c r="K1052" s="24" t="n"/>
      <c r="L1052" s="24" t="n"/>
      <c r="M1052" s="25" t="n"/>
      <c r="N1052" s="120" t="n"/>
      <c r="O1052" s="23" t="n"/>
      <c r="P1052" s="24" t="n"/>
      <c r="Q1052" s="24" t="n"/>
      <c r="R1052" s="24" t="n"/>
      <c r="S1052" s="25" t="n"/>
      <c r="T1052" s="120" t="n"/>
      <c r="U1052" s="23" t="n"/>
      <c r="V1052" s="24" t="n"/>
      <c r="W1052" s="24" t="n"/>
      <c r="X1052" s="24" t="n"/>
      <c r="Y1052" s="25" t="n"/>
      <c r="Z1052" s="120" t="n"/>
      <c r="AB1052" s="23" t="n"/>
      <c r="AC1052" s="24" t="n"/>
      <c r="AD1052" s="24" t="n"/>
      <c r="AE1052" s="24" t="n"/>
      <c r="AF1052" s="25" t="n"/>
      <c r="AG1052" s="120" t="n"/>
      <c r="AH1052" s="23" t="n"/>
      <c r="AI1052" s="24" t="n"/>
      <c r="AJ1052" s="24" t="n"/>
      <c r="AK1052" s="24" t="n"/>
      <c r="AL1052" s="25" t="n"/>
      <c r="AM1052" s="120" t="n"/>
      <c r="AN1052" s="23" t="n"/>
      <c r="AO1052" s="24" t="n"/>
      <c r="AP1052" s="24" t="n"/>
      <c r="AQ1052" s="24" t="n"/>
      <c r="AR1052" s="25" t="n"/>
      <c r="AS1052" s="120" t="n"/>
    </row>
    <row r="1053" hidden="1" outlineLevel="1">
      <c r="A1053" s="8" t="n"/>
      <c r="B1053" s="14" t="n"/>
      <c r="C1053" s="120" t="n"/>
      <c r="D1053" s="120" t="n"/>
      <c r="E1053" s="120" t="n"/>
      <c r="F1053" s="120" t="n"/>
      <c r="G1053" s="120" t="n"/>
      <c r="I1053" s="124" t="inlineStr">
        <is>
          <t>Projétil</t>
        </is>
      </c>
      <c r="J1053" s="17" t="n"/>
      <c r="K1053" s="68">
        <f>DADOS_INVOC!$PN$67</f>
        <v/>
      </c>
      <c r="L1053" s="17" t="n"/>
      <c r="M1053" s="68">
        <f>DADOS_INVOC!$PJ$67</f>
        <v/>
      </c>
      <c r="N1053" s="120" t="n"/>
      <c r="O1053" s="124" t="inlineStr">
        <is>
          <t>Projétil</t>
        </is>
      </c>
      <c r="P1053" s="17" t="n"/>
      <c r="Q1053" s="68">
        <f>DADOS_INVOC!$PN$68</f>
        <v/>
      </c>
      <c r="R1053" s="17" t="n"/>
      <c r="S1053" s="68">
        <f>DADOS_INVOC!$PJ$68</f>
        <v/>
      </c>
      <c r="T1053" s="120" t="n"/>
      <c r="U1053" s="124" t="inlineStr">
        <is>
          <t>Projétil</t>
        </is>
      </c>
      <c r="V1053" s="17" t="n"/>
      <c r="W1053" s="68">
        <f>DADOS_INVOC!$PN$69</f>
        <v/>
      </c>
      <c r="X1053" s="17" t="n"/>
      <c r="Y1053" s="68">
        <f>DADOS_INVOC!$PJ$69</f>
        <v/>
      </c>
      <c r="Z1053" s="120" t="n"/>
      <c r="AB1053" s="124" t="inlineStr">
        <is>
          <t>Projétil</t>
        </is>
      </c>
      <c r="AC1053" s="17" t="n"/>
      <c r="AD1053" s="68">
        <f>DADOS_INVOC!$PN$145</f>
        <v/>
      </c>
      <c r="AE1053" s="17" t="n"/>
      <c r="AF1053" s="68">
        <f>DADOS_INVOC!$PJ$145</f>
        <v/>
      </c>
      <c r="AG1053" s="120" t="n"/>
      <c r="AH1053" s="124" t="inlineStr">
        <is>
          <t>Projétil</t>
        </is>
      </c>
      <c r="AI1053" s="17" t="n"/>
      <c r="AJ1053" s="68">
        <f>DADOS_INVOC!$PN$146</f>
        <v/>
      </c>
      <c r="AK1053" s="17" t="n"/>
      <c r="AL1053" s="68">
        <f>DADOS_INVOC!$PJ$146</f>
        <v/>
      </c>
      <c r="AM1053" s="120" t="n"/>
      <c r="AN1053" s="124" t="inlineStr">
        <is>
          <t>Projétil</t>
        </is>
      </c>
      <c r="AO1053" s="17" t="n"/>
      <c r="AP1053" s="68">
        <f>DADOS_INVOC!$PN$147</f>
        <v/>
      </c>
      <c r="AQ1053" s="17" t="n"/>
      <c r="AR1053" s="68">
        <f>DADOS_INVOC!$PJ$147</f>
        <v/>
      </c>
      <c r="AS1053" s="120" t="n"/>
    </row>
    <row r="1054" hidden="1" outlineLevel="1">
      <c r="A1054" s="8" t="n"/>
      <c r="B1054" s="14" t="n"/>
      <c r="C1054" s="120" t="n"/>
      <c r="D1054" s="120" t="n"/>
      <c r="E1054" s="120" t="n"/>
      <c r="F1054" s="120" t="n"/>
      <c r="G1054" s="120" t="n"/>
      <c r="I1054" s="124" t="n"/>
      <c r="J1054" s="17" t="n"/>
      <c r="K1054" s="124" t="n"/>
      <c r="L1054" s="16" t="n"/>
      <c r="M1054" s="17" t="n"/>
      <c r="N1054" s="120" t="n"/>
      <c r="O1054" s="124" t="n"/>
      <c r="P1054" s="17" t="n"/>
      <c r="Q1054" s="124" t="n"/>
      <c r="R1054" s="16" t="n"/>
      <c r="S1054" s="17" t="n"/>
      <c r="T1054" s="120" t="n"/>
      <c r="U1054" s="124" t="n"/>
      <c r="V1054" s="17" t="n"/>
      <c r="W1054" s="124" t="n"/>
      <c r="X1054" s="16" t="n"/>
      <c r="Y1054" s="17" t="n"/>
      <c r="Z1054" s="120" t="n"/>
      <c r="AB1054" s="124" t="n"/>
      <c r="AC1054" s="17" t="n"/>
      <c r="AD1054" s="124" t="n"/>
      <c r="AE1054" s="16" t="n"/>
      <c r="AF1054" s="17" t="n"/>
      <c r="AG1054" s="120" t="n"/>
      <c r="AH1054" s="124" t="n"/>
      <c r="AI1054" s="17" t="n"/>
      <c r="AJ1054" s="124" t="n"/>
      <c r="AK1054" s="16" t="n"/>
      <c r="AL1054" s="17" t="n"/>
      <c r="AM1054" s="120" t="n"/>
      <c r="AN1054" s="124" t="n"/>
      <c r="AO1054" s="17" t="n"/>
      <c r="AP1054" s="124" t="n"/>
      <c r="AQ1054" s="16" t="n"/>
      <c r="AR1054" s="17" t="n"/>
      <c r="AS1054" s="120" t="n"/>
    </row>
    <row r="1055" hidden="1" outlineLevel="1">
      <c r="A1055" s="8" t="n"/>
      <c r="B1055" s="14" t="n"/>
      <c r="C1055" s="120" t="n"/>
      <c r="D1055" s="120" t="n"/>
      <c r="E1055" s="120" t="n"/>
      <c r="F1055" s="120" t="n"/>
      <c r="G1055" s="120" t="n"/>
      <c r="I1055" s="124">
        <f>DADOS_INVOC!$PK$67</f>
        <v/>
      </c>
      <c r="J1055" s="17" t="n"/>
      <c r="K1055" s="124">
        <f>DADOS_INVOC!$PM$67</f>
        <v/>
      </c>
      <c r="L1055" s="16" t="n"/>
      <c r="M1055" s="17" t="n"/>
      <c r="N1055" s="120" t="n"/>
      <c r="O1055" s="124">
        <f>DADOS_INVOC!$PK$68</f>
        <v/>
      </c>
      <c r="P1055" s="17" t="n"/>
      <c r="Q1055" s="124">
        <f>DADOS_INVOC!$PM$68</f>
        <v/>
      </c>
      <c r="R1055" s="16" t="n"/>
      <c r="S1055" s="17" t="n"/>
      <c r="T1055" s="120" t="n"/>
      <c r="U1055" s="124">
        <f>DADOS_INVOC!$PK$69</f>
        <v/>
      </c>
      <c r="V1055" s="17" t="n"/>
      <c r="W1055" s="124">
        <f>DADOS_INVOC!$PM$69</f>
        <v/>
      </c>
      <c r="X1055" s="16" t="n"/>
      <c r="Y1055" s="17" t="n"/>
      <c r="Z1055" s="120" t="n"/>
      <c r="AB1055" s="124">
        <f>DADOS_INVOC!$PK$145</f>
        <v/>
      </c>
      <c r="AC1055" s="17" t="n"/>
      <c r="AD1055" s="124">
        <f>DADOS_INVOC!$PM$145</f>
        <v/>
      </c>
      <c r="AE1055" s="16" t="n"/>
      <c r="AF1055" s="17" t="n"/>
      <c r="AG1055" s="120" t="n"/>
      <c r="AH1055" s="124">
        <f>DADOS_INVOC!$PK$146</f>
        <v/>
      </c>
      <c r="AI1055" s="17" t="n"/>
      <c r="AJ1055" s="124">
        <f>DADOS_INVOC!$PM$146</f>
        <v/>
      </c>
      <c r="AK1055" s="16" t="n"/>
      <c r="AL1055" s="17" t="n"/>
      <c r="AM1055" s="120" t="n"/>
      <c r="AN1055" s="124">
        <f>DADOS_INVOC!$PK$147</f>
        <v/>
      </c>
      <c r="AO1055" s="17" t="n"/>
      <c r="AP1055" s="124">
        <f>DADOS_INVOC!$PM$147</f>
        <v/>
      </c>
      <c r="AQ1055" s="16" t="n"/>
      <c r="AR1055" s="17" t="n"/>
      <c r="AS1055" s="120" t="n"/>
    </row>
    <row r="1056" hidden="1" outlineLevel="1">
      <c r="A1056" s="8" t="n"/>
      <c r="B1056" s="14" t="n"/>
      <c r="C1056" s="120" t="n"/>
      <c r="D1056" s="120" t="n"/>
      <c r="E1056" s="120" t="n"/>
      <c r="F1056" s="120" t="n"/>
      <c r="G1056" s="120" t="n"/>
      <c r="I1056" s="129">
        <f>DADOS_INVOC!$PS$67</f>
        <v/>
      </c>
      <c r="J1056" s="16" t="n"/>
      <c r="K1056" s="16" t="n"/>
      <c r="L1056" s="16" t="n"/>
      <c r="M1056" s="17" t="n"/>
      <c r="N1056" s="120" t="n"/>
      <c r="O1056" s="129">
        <f>DADOS_INVOC!$PS$68</f>
        <v/>
      </c>
      <c r="P1056" s="16" t="n"/>
      <c r="Q1056" s="16" t="n"/>
      <c r="R1056" s="16" t="n"/>
      <c r="S1056" s="17" t="n"/>
      <c r="T1056" s="120" t="n"/>
      <c r="U1056" s="129">
        <f>DADOS_INVOC!$PS$69</f>
        <v/>
      </c>
      <c r="V1056" s="16" t="n"/>
      <c r="W1056" s="16" t="n"/>
      <c r="X1056" s="16" t="n"/>
      <c r="Y1056" s="17" t="n"/>
      <c r="Z1056" s="120" t="n"/>
      <c r="AB1056" s="129">
        <f>DADOS_INVOC!$PS$145</f>
        <v/>
      </c>
      <c r="AC1056" s="16" t="n"/>
      <c r="AD1056" s="16" t="n"/>
      <c r="AE1056" s="16" t="n"/>
      <c r="AF1056" s="17" t="n"/>
      <c r="AG1056" s="120" t="n"/>
      <c r="AH1056" s="129">
        <f>DADOS_INVOC!$PS$146</f>
        <v/>
      </c>
      <c r="AI1056" s="16" t="n"/>
      <c r="AJ1056" s="16" t="n"/>
      <c r="AK1056" s="16" t="n"/>
      <c r="AL1056" s="17" t="n"/>
      <c r="AM1056" s="120" t="n"/>
      <c r="AN1056" s="129">
        <f>DADOS_INVOC!$PS$147</f>
        <v/>
      </c>
      <c r="AO1056" s="16" t="n"/>
      <c r="AP1056" s="16" t="n"/>
      <c r="AQ1056" s="16" t="n"/>
      <c r="AR1056" s="17" t="n"/>
      <c r="AS1056" s="120" t="n"/>
    </row>
    <row r="1057" hidden="1" outlineLevel="2">
      <c r="A1057" s="8" t="n"/>
      <c r="B1057" s="14" t="n"/>
      <c r="C1057" s="120" t="n"/>
      <c r="D1057" s="120" t="n"/>
      <c r="E1057" s="120" t="n"/>
      <c r="F1057" s="120" t="n"/>
      <c r="G1057" s="120" t="n"/>
      <c r="I1057" s="55" t="inlineStr">
        <is>
          <t>MELHORIAS</t>
        </is>
      </c>
      <c r="J1057" s="130" t="n"/>
      <c r="K1057" s="16" t="n"/>
      <c r="L1057" s="17" t="n"/>
      <c r="M1057" s="129">
        <f>DADOS_INVOC!$PV$67</f>
        <v/>
      </c>
      <c r="N1057" s="120" t="n"/>
      <c r="O1057" s="55" t="inlineStr">
        <is>
          <t>MELHORIAS</t>
        </is>
      </c>
      <c r="P1057" s="130" t="n"/>
      <c r="Q1057" s="16" t="n"/>
      <c r="R1057" s="17" t="n"/>
      <c r="S1057" s="129">
        <f>DADOS_INVOC!$PV$68</f>
        <v/>
      </c>
      <c r="T1057" s="120" t="n"/>
      <c r="U1057" s="55" t="inlineStr">
        <is>
          <t>MELHORIAS</t>
        </is>
      </c>
      <c r="V1057" s="130" t="n"/>
      <c r="W1057" s="16" t="n"/>
      <c r="X1057" s="17" t="n"/>
      <c r="Y1057" s="129">
        <f>DADOS_INVOC!$PV$69</f>
        <v/>
      </c>
      <c r="Z1057" s="120" t="n"/>
      <c r="AB1057" s="55" t="inlineStr">
        <is>
          <t>MELHORIAS</t>
        </is>
      </c>
      <c r="AC1057" s="130" t="n"/>
      <c r="AD1057" s="16" t="n"/>
      <c r="AE1057" s="17" t="n"/>
      <c r="AF1057" s="129">
        <f>DADOS_INVOC!$PV$145</f>
        <v/>
      </c>
      <c r="AG1057" s="120" t="n"/>
      <c r="AH1057" s="55" t="inlineStr">
        <is>
          <t>MELHORIAS</t>
        </is>
      </c>
      <c r="AI1057" s="130" t="n"/>
      <c r="AJ1057" s="16" t="n"/>
      <c r="AK1057" s="17" t="n"/>
      <c r="AL1057" s="129">
        <f>DADOS_INVOC!$PV$146</f>
        <v/>
      </c>
      <c r="AM1057" s="120" t="n"/>
      <c r="AN1057" s="55" t="inlineStr">
        <is>
          <t>MELHORIAS</t>
        </is>
      </c>
      <c r="AO1057" s="130" t="n"/>
      <c r="AP1057" s="16" t="n"/>
      <c r="AQ1057" s="17" t="n"/>
      <c r="AR1057" s="129">
        <f>DADOS_INVOC!$PV$147</f>
        <v/>
      </c>
      <c r="AS1057" s="120" t="n"/>
    </row>
    <row r="1058" hidden="1" outlineLevel="2">
      <c r="A1058" s="8" t="n"/>
      <c r="B1058" s="14" t="n"/>
      <c r="C1058" s="120" t="n"/>
      <c r="D1058" s="120" t="n"/>
      <c r="E1058" s="120" t="n"/>
      <c r="F1058" s="120" t="n"/>
      <c r="G1058" s="120" t="n"/>
      <c r="I1058" s="131" t="n"/>
      <c r="J1058" s="130" t="n"/>
      <c r="K1058" s="16" t="n"/>
      <c r="L1058" s="17" t="n"/>
      <c r="M1058" s="129">
        <f>DADOS_INVOC!$PW$67</f>
        <v/>
      </c>
      <c r="N1058" s="120" t="n"/>
      <c r="O1058" s="131" t="n"/>
      <c r="P1058" s="130" t="n"/>
      <c r="Q1058" s="16" t="n"/>
      <c r="R1058" s="17" t="n"/>
      <c r="S1058" s="129">
        <f>DADOS_INVOC!$PW$68</f>
        <v/>
      </c>
      <c r="T1058" s="120" t="n"/>
      <c r="U1058" s="131" t="n"/>
      <c r="V1058" s="130" t="n"/>
      <c r="W1058" s="16" t="n"/>
      <c r="X1058" s="17" t="n"/>
      <c r="Y1058" s="129">
        <f>DADOS_INVOC!$PW$69</f>
        <v/>
      </c>
      <c r="Z1058" s="120" t="n"/>
      <c r="AB1058" s="131" t="n"/>
      <c r="AC1058" s="130" t="n"/>
      <c r="AD1058" s="16" t="n"/>
      <c r="AE1058" s="17" t="n"/>
      <c r="AF1058" s="129">
        <f>DADOS_INVOC!$PW$145</f>
        <v/>
      </c>
      <c r="AG1058" s="120" t="n"/>
      <c r="AH1058" s="131" t="n"/>
      <c r="AI1058" s="130" t="n"/>
      <c r="AJ1058" s="16" t="n"/>
      <c r="AK1058" s="17" t="n"/>
      <c r="AL1058" s="129">
        <f>DADOS_INVOC!$PW$146</f>
        <v/>
      </c>
      <c r="AM1058" s="120" t="n"/>
      <c r="AN1058" s="131" t="n"/>
      <c r="AO1058" s="130" t="n"/>
      <c r="AP1058" s="16" t="n"/>
      <c r="AQ1058" s="17" t="n"/>
      <c r="AR1058" s="129">
        <f>DADOS_INVOC!$PW$147</f>
        <v/>
      </c>
      <c r="AS1058" s="120" t="n"/>
    </row>
    <row r="1059" hidden="1" outlineLevel="2">
      <c r="A1059" s="8" t="n"/>
      <c r="B1059" s="14" t="n"/>
      <c r="C1059" s="120" t="n"/>
      <c r="D1059" s="120" t="n"/>
      <c r="E1059" s="120" t="n"/>
      <c r="F1059" s="120" t="n"/>
      <c r="G1059" s="120" t="n"/>
      <c r="I1059" s="131" t="n"/>
      <c r="J1059" s="130" t="n"/>
      <c r="K1059" s="16" t="n"/>
      <c r="L1059" s="17" t="n"/>
      <c r="M1059" s="129">
        <f>DADOS_INVOC!$PX$67</f>
        <v/>
      </c>
      <c r="N1059" s="120" t="n"/>
      <c r="O1059" s="131" t="n"/>
      <c r="P1059" s="130" t="n"/>
      <c r="Q1059" s="16" t="n"/>
      <c r="R1059" s="17" t="n"/>
      <c r="S1059" s="129">
        <f>DADOS_INVOC!$PX$68</f>
        <v/>
      </c>
      <c r="T1059" s="120" t="n"/>
      <c r="U1059" s="131" t="n"/>
      <c r="V1059" s="130" t="n"/>
      <c r="W1059" s="16" t="n"/>
      <c r="X1059" s="17" t="n"/>
      <c r="Y1059" s="129">
        <f>DADOS_INVOC!$PX$69</f>
        <v/>
      </c>
      <c r="Z1059" s="120" t="n"/>
      <c r="AB1059" s="131" t="n"/>
      <c r="AC1059" s="130" t="n"/>
      <c r="AD1059" s="16" t="n"/>
      <c r="AE1059" s="17" t="n"/>
      <c r="AF1059" s="129">
        <f>DADOS_INVOC!$PX$145</f>
        <v/>
      </c>
      <c r="AG1059" s="120" t="n"/>
      <c r="AH1059" s="131" t="n"/>
      <c r="AI1059" s="130" t="n"/>
      <c r="AJ1059" s="16" t="n"/>
      <c r="AK1059" s="17" t="n"/>
      <c r="AL1059" s="129">
        <f>DADOS_INVOC!$PX$146</f>
        <v/>
      </c>
      <c r="AM1059" s="120" t="n"/>
      <c r="AN1059" s="131" t="n"/>
      <c r="AO1059" s="130" t="n"/>
      <c r="AP1059" s="16" t="n"/>
      <c r="AQ1059" s="17" t="n"/>
      <c r="AR1059" s="129">
        <f>DADOS_INVOC!$PX$147</f>
        <v/>
      </c>
      <c r="AS1059" s="120" t="n"/>
    </row>
    <row r="1060" hidden="1" outlineLevel="2">
      <c r="A1060" s="8" t="n"/>
      <c r="B1060" s="14" t="n"/>
      <c r="C1060" s="120" t="n"/>
      <c r="D1060" s="120" t="n"/>
      <c r="E1060" s="120" t="n"/>
      <c r="F1060" s="120" t="n"/>
      <c r="G1060" s="120" t="n"/>
      <c r="I1060" s="125" t="n"/>
      <c r="J1060" s="130" t="n"/>
      <c r="K1060" s="16" t="n"/>
      <c r="L1060" s="17" t="n"/>
      <c r="M1060" s="129">
        <f>DADOS_INVOC!$PY$67</f>
        <v/>
      </c>
      <c r="N1060" s="120" t="n"/>
      <c r="O1060" s="125" t="n"/>
      <c r="P1060" s="130" t="n"/>
      <c r="Q1060" s="16" t="n"/>
      <c r="R1060" s="17" t="n"/>
      <c r="S1060" s="129">
        <f>DADOS_INVOC!$PY$68</f>
        <v/>
      </c>
      <c r="T1060" s="120" t="n"/>
      <c r="U1060" s="125" t="n"/>
      <c r="V1060" s="130" t="n"/>
      <c r="W1060" s="16" t="n"/>
      <c r="X1060" s="17" t="n"/>
      <c r="Y1060" s="129">
        <f>DADOS_INVOC!$PY$69</f>
        <v/>
      </c>
      <c r="Z1060" s="120" t="n"/>
      <c r="AB1060" s="125" t="n"/>
      <c r="AC1060" s="130" t="n"/>
      <c r="AD1060" s="16" t="n"/>
      <c r="AE1060" s="17" t="n"/>
      <c r="AF1060" s="129">
        <f>DADOS_INVOC!$PY$145</f>
        <v/>
      </c>
      <c r="AG1060" s="120" t="n"/>
      <c r="AH1060" s="125" t="n"/>
      <c r="AI1060" s="130" t="n"/>
      <c r="AJ1060" s="16" t="n"/>
      <c r="AK1060" s="17" t="n"/>
      <c r="AL1060" s="129">
        <f>DADOS_INVOC!$PY$146</f>
        <v/>
      </c>
      <c r="AM1060" s="120" t="n"/>
      <c r="AN1060" s="125" t="n"/>
      <c r="AO1060" s="130" t="n"/>
      <c r="AP1060" s="16" t="n"/>
      <c r="AQ1060" s="17" t="n"/>
      <c r="AR1060" s="129">
        <f>DADOS_INVOC!$PY$147</f>
        <v/>
      </c>
      <c r="AS1060" s="120" t="n"/>
    </row>
    <row r="1061" hidden="1" outlineLevel="2">
      <c r="A1061" s="8" t="n"/>
      <c r="B1061" s="14" t="n"/>
      <c r="C1061" s="120" t="n"/>
      <c r="D1061" s="120" t="n"/>
      <c r="E1061" s="120" t="n"/>
      <c r="F1061" s="120" t="n"/>
      <c r="G1061" s="120" t="n"/>
      <c r="I1061" s="55" t="inlineStr">
        <is>
          <t>RESTRIÇÕES</t>
        </is>
      </c>
      <c r="J1061" s="130" t="n"/>
      <c r="K1061" s="16" t="n"/>
      <c r="L1061" s="17" t="n"/>
      <c r="M1061" s="129">
        <f>DADOS_INVOC!$PZ$67</f>
        <v/>
      </c>
      <c r="N1061" s="120" t="n"/>
      <c r="O1061" s="55" t="inlineStr">
        <is>
          <t>RESTRIÇÕES</t>
        </is>
      </c>
      <c r="P1061" s="130" t="n"/>
      <c r="Q1061" s="16" t="n"/>
      <c r="R1061" s="17" t="n"/>
      <c r="S1061" s="129">
        <f>DADOS_INVOC!$PZ$68</f>
        <v/>
      </c>
      <c r="T1061" s="120" t="n"/>
      <c r="U1061" s="55" t="inlineStr">
        <is>
          <t>RESTRIÇÕES</t>
        </is>
      </c>
      <c r="V1061" s="130" t="n"/>
      <c r="W1061" s="16" t="n"/>
      <c r="X1061" s="17" t="n"/>
      <c r="Y1061" s="129">
        <f>DADOS_INVOC!$PZ$69</f>
        <v/>
      </c>
      <c r="Z1061" s="120" t="n"/>
      <c r="AB1061" s="55" t="inlineStr">
        <is>
          <t>RESTRIÇÕES</t>
        </is>
      </c>
      <c r="AC1061" s="130" t="n"/>
      <c r="AD1061" s="16" t="n"/>
      <c r="AE1061" s="17" t="n"/>
      <c r="AF1061" s="129">
        <f>DADOS_INVOC!$PZ$145</f>
        <v/>
      </c>
      <c r="AG1061" s="120" t="n"/>
      <c r="AH1061" s="55" t="inlineStr">
        <is>
          <t>RESTRIÇÕES</t>
        </is>
      </c>
      <c r="AI1061" s="130" t="n"/>
      <c r="AJ1061" s="16" t="n"/>
      <c r="AK1061" s="17" t="n"/>
      <c r="AL1061" s="129">
        <f>DADOS_INVOC!$PZ$146</f>
        <v/>
      </c>
      <c r="AM1061" s="120" t="n"/>
      <c r="AN1061" s="55" t="inlineStr">
        <is>
          <t>RESTRIÇÕES</t>
        </is>
      </c>
      <c r="AO1061" s="130" t="n"/>
      <c r="AP1061" s="16" t="n"/>
      <c r="AQ1061" s="17" t="n"/>
      <c r="AR1061" s="129">
        <f>DADOS_INVOC!$PZ$147</f>
        <v/>
      </c>
      <c r="AS1061" s="120" t="n"/>
    </row>
    <row r="1062" hidden="1" outlineLevel="2">
      <c r="A1062" s="8" t="n"/>
      <c r="B1062" s="14" t="n"/>
      <c r="C1062" s="120" t="n"/>
      <c r="D1062" s="120" t="n"/>
      <c r="E1062" s="120" t="n"/>
      <c r="F1062" s="120" t="n"/>
      <c r="G1062" s="120" t="n"/>
      <c r="I1062" s="125" t="n"/>
      <c r="J1062" s="130" t="n"/>
      <c r="K1062" s="16" t="n"/>
      <c r="L1062" s="17" t="n"/>
      <c r="M1062" s="129">
        <f>DADOS_INVOC!$QA$67</f>
        <v/>
      </c>
      <c r="N1062" s="120" t="n"/>
      <c r="O1062" s="125" t="n"/>
      <c r="P1062" s="130" t="n"/>
      <c r="Q1062" s="16" t="n"/>
      <c r="R1062" s="17" t="n"/>
      <c r="S1062" s="129">
        <f>DADOS_INVOC!$QA$68</f>
        <v/>
      </c>
      <c r="T1062" s="120" t="n"/>
      <c r="U1062" s="125" t="n"/>
      <c r="V1062" s="130" t="n"/>
      <c r="W1062" s="16" t="n"/>
      <c r="X1062" s="17" t="n"/>
      <c r="Y1062" s="129">
        <f>DADOS_INVOC!$QA$69</f>
        <v/>
      </c>
      <c r="Z1062" s="120" t="n"/>
      <c r="AB1062" s="125" t="n"/>
      <c r="AC1062" s="130" t="n"/>
      <c r="AD1062" s="16" t="n"/>
      <c r="AE1062" s="17" t="n"/>
      <c r="AF1062" s="129">
        <f>DADOS_INVOC!$QA$145</f>
        <v/>
      </c>
      <c r="AG1062" s="120" t="n"/>
      <c r="AH1062" s="125" t="n"/>
      <c r="AI1062" s="130" t="n"/>
      <c r="AJ1062" s="16" t="n"/>
      <c r="AK1062" s="17" t="n"/>
      <c r="AL1062" s="129">
        <f>DADOS_INVOC!$QA$146</f>
        <v/>
      </c>
      <c r="AM1062" s="120" t="n"/>
      <c r="AN1062" s="125" t="n"/>
      <c r="AO1062" s="130" t="n"/>
      <c r="AP1062" s="16" t="n"/>
      <c r="AQ1062" s="17" t="n"/>
      <c r="AR1062" s="129">
        <f>DADOS_INVOC!$QA$147</f>
        <v/>
      </c>
      <c r="AS1062" s="120" t="n"/>
    </row>
    <row r="1063" hidden="1" outlineLevel="2">
      <c r="A1063" s="8" t="n"/>
      <c r="B1063" s="14" t="n"/>
      <c r="C1063" s="120" t="n"/>
      <c r="D1063" s="120" t="n"/>
      <c r="E1063" s="120" t="n"/>
      <c r="F1063" s="120" t="n"/>
      <c r="G1063" s="120" t="n"/>
      <c r="I1063" s="55" t="inlineStr">
        <is>
          <t>CONTA</t>
        </is>
      </c>
      <c r="J1063" s="132">
        <f>DADOS_INVOC!$PT$67</f>
        <v/>
      </c>
      <c r="K1063" s="16" t="n"/>
      <c r="L1063" s="16" t="n"/>
      <c r="M1063" s="17" t="n"/>
      <c r="N1063" s="120" t="n"/>
      <c r="O1063" s="55" t="inlineStr">
        <is>
          <t>CONTA</t>
        </is>
      </c>
      <c r="P1063" s="132">
        <f>DADOS_INVOC!$PT$68</f>
        <v/>
      </c>
      <c r="Q1063" s="16" t="n"/>
      <c r="R1063" s="16" t="n"/>
      <c r="S1063" s="17" t="n"/>
      <c r="T1063" s="120" t="n"/>
      <c r="U1063" s="55" t="inlineStr">
        <is>
          <t>CONTA</t>
        </is>
      </c>
      <c r="V1063" s="132">
        <f>DADOS_INVOC!$PT$69</f>
        <v/>
      </c>
      <c r="W1063" s="16" t="n"/>
      <c r="X1063" s="16" t="n"/>
      <c r="Y1063" s="17" t="n"/>
      <c r="Z1063" s="120" t="n"/>
      <c r="AB1063" s="55" t="inlineStr">
        <is>
          <t>CONTA</t>
        </is>
      </c>
      <c r="AC1063" s="132">
        <f>DADOS_INVOC!$PT$145</f>
        <v/>
      </c>
      <c r="AD1063" s="16" t="n"/>
      <c r="AE1063" s="16" t="n"/>
      <c r="AF1063" s="17" t="n"/>
      <c r="AG1063" s="120" t="n"/>
      <c r="AH1063" s="55" t="inlineStr">
        <is>
          <t>CONTA</t>
        </is>
      </c>
      <c r="AI1063" s="132">
        <f>DADOS_INVOC!$PT$146</f>
        <v/>
      </c>
      <c r="AJ1063" s="16" t="n"/>
      <c r="AK1063" s="16" t="n"/>
      <c r="AL1063" s="17" t="n"/>
      <c r="AM1063" s="120" t="n"/>
      <c r="AN1063" s="55" t="inlineStr">
        <is>
          <t>CONTA</t>
        </is>
      </c>
      <c r="AO1063" s="132">
        <f>DADOS_INVOC!$PT$147</f>
        <v/>
      </c>
      <c r="AP1063" s="16" t="n"/>
      <c r="AQ1063" s="16" t="n"/>
      <c r="AR1063" s="17" t="n"/>
      <c r="AS1063" s="120" t="n"/>
    </row>
    <row r="1064" hidden="1" outlineLevel="2">
      <c r="A1064" s="8" t="n"/>
      <c r="B1064" s="14" t="n"/>
      <c r="C1064" s="120" t="n"/>
      <c r="D1064" s="120" t="n"/>
      <c r="E1064" s="120" t="n"/>
      <c r="F1064" s="120" t="n"/>
      <c r="G1064" s="120" t="n"/>
      <c r="I1064" s="55" t="inlineStr">
        <is>
          <t>AMPLIAR</t>
        </is>
      </c>
      <c r="J1064" s="132">
        <f>DADOS_INVOC!$PU$67</f>
        <v/>
      </c>
      <c r="K1064" s="19" t="n"/>
      <c r="L1064" s="19" t="n"/>
      <c r="M1064" s="20" t="n"/>
      <c r="N1064" s="120" t="n"/>
      <c r="O1064" s="55" t="inlineStr">
        <is>
          <t>AMPLIAR</t>
        </is>
      </c>
      <c r="P1064" s="132">
        <f>DADOS_INVOC!$PU$68</f>
        <v/>
      </c>
      <c r="Q1064" s="19" t="n"/>
      <c r="R1064" s="19" t="n"/>
      <c r="S1064" s="20" t="n"/>
      <c r="T1064" s="120" t="n"/>
      <c r="U1064" s="55" t="inlineStr">
        <is>
          <t>AMPLIAR</t>
        </is>
      </c>
      <c r="V1064" s="132">
        <f>DADOS_INVOC!$PU$69</f>
        <v/>
      </c>
      <c r="W1064" s="19" t="n"/>
      <c r="X1064" s="19" t="n"/>
      <c r="Y1064" s="20" t="n"/>
      <c r="Z1064" s="120" t="n"/>
      <c r="AB1064" s="55" t="inlineStr">
        <is>
          <t>AMPLIAR</t>
        </is>
      </c>
      <c r="AC1064" s="132">
        <f>DADOS_INVOC!$PU$145</f>
        <v/>
      </c>
      <c r="AD1064" s="19" t="n"/>
      <c r="AE1064" s="19" t="n"/>
      <c r="AF1064" s="20" t="n"/>
      <c r="AG1064" s="120" t="n"/>
      <c r="AH1064" s="55" t="inlineStr">
        <is>
          <t>AMPLIAR</t>
        </is>
      </c>
      <c r="AI1064" s="132">
        <f>DADOS_INVOC!$PU$146</f>
        <v/>
      </c>
      <c r="AJ1064" s="19" t="n"/>
      <c r="AK1064" s="19" t="n"/>
      <c r="AL1064" s="20" t="n"/>
      <c r="AM1064" s="120" t="n"/>
      <c r="AN1064" s="55" t="inlineStr">
        <is>
          <t>AMPLIAR</t>
        </is>
      </c>
      <c r="AO1064" s="132">
        <f>DADOS_INVOC!$PU$147</f>
        <v/>
      </c>
      <c r="AP1064" s="19" t="n"/>
      <c r="AQ1064" s="19" t="n"/>
      <c r="AR1064" s="20" t="n"/>
      <c r="AS1064" s="120" t="n"/>
    </row>
    <row r="1065" hidden="1" outlineLevel="2">
      <c r="A1065" s="8" t="n"/>
      <c r="B1065" s="14" t="n"/>
      <c r="C1065" s="120" t="n"/>
      <c r="D1065" s="120" t="n"/>
      <c r="E1065" s="120" t="n"/>
      <c r="F1065" s="120" t="n"/>
      <c r="G1065" s="120" t="n"/>
      <c r="I1065" s="125" t="n"/>
      <c r="J1065" s="23" t="n"/>
      <c r="K1065" s="24" t="n"/>
      <c r="L1065" s="24" t="n"/>
      <c r="M1065" s="25" t="n"/>
      <c r="N1065" s="120" t="n"/>
      <c r="O1065" s="125" t="n"/>
      <c r="P1065" s="23" t="n"/>
      <c r="Q1065" s="24" t="n"/>
      <c r="R1065" s="24" t="n"/>
      <c r="S1065" s="25" t="n"/>
      <c r="T1065" s="120" t="n"/>
      <c r="U1065" s="125" t="n"/>
      <c r="V1065" s="23" t="n"/>
      <c r="W1065" s="24" t="n"/>
      <c r="X1065" s="24" t="n"/>
      <c r="Y1065" s="25" t="n"/>
      <c r="Z1065" s="120" t="n"/>
      <c r="AB1065" s="125" t="n"/>
      <c r="AC1065" s="23" t="n"/>
      <c r="AD1065" s="24" t="n"/>
      <c r="AE1065" s="24" t="n"/>
      <c r="AF1065" s="25" t="n"/>
      <c r="AG1065" s="120" t="n"/>
      <c r="AH1065" s="125" t="n"/>
      <c r="AI1065" s="23" t="n"/>
      <c r="AJ1065" s="24" t="n"/>
      <c r="AK1065" s="24" t="n"/>
      <c r="AL1065" s="25" t="n"/>
      <c r="AM1065" s="120" t="n"/>
      <c r="AN1065" s="125" t="n"/>
      <c r="AO1065" s="23" t="n"/>
      <c r="AP1065" s="24" t="n"/>
      <c r="AQ1065" s="24" t="n"/>
      <c r="AR1065" s="25" t="n"/>
      <c r="AS1065" s="120" t="n"/>
    </row>
    <row r="1066" hidden="1" outlineLevel="2">
      <c r="A1066" s="8" t="n"/>
      <c r="B1066" s="14" t="n"/>
      <c r="C1066" s="120" t="n"/>
      <c r="D1066" s="120" t="n"/>
      <c r="E1066" s="120" t="n"/>
      <c r="F1066" s="120" t="n"/>
      <c r="G1066" s="120" t="n"/>
      <c r="I1066" s="132">
        <f>DADOS_INVOC!$PH$67</f>
        <v/>
      </c>
      <c r="J1066" s="19" t="n"/>
      <c r="K1066" s="19" t="n"/>
      <c r="L1066" s="19" t="n"/>
      <c r="M1066" s="20" t="n"/>
      <c r="N1066" s="120" t="n"/>
      <c r="O1066" s="132">
        <f>DADOS_INVOC!$PH$68</f>
        <v/>
      </c>
      <c r="P1066" s="19" t="n"/>
      <c r="Q1066" s="19" t="n"/>
      <c r="R1066" s="19" t="n"/>
      <c r="S1066" s="20" t="n"/>
      <c r="T1066" s="120" t="n"/>
      <c r="U1066" s="132">
        <f>DADOS_INVOC!$PH$69</f>
        <v/>
      </c>
      <c r="V1066" s="19" t="n"/>
      <c r="W1066" s="19" t="n"/>
      <c r="X1066" s="19" t="n"/>
      <c r="Y1066" s="20" t="n"/>
      <c r="Z1066" s="120" t="n"/>
      <c r="AB1066" s="132">
        <f>DADOS_INVOC!$PH$145</f>
        <v/>
      </c>
      <c r="AC1066" s="19" t="n"/>
      <c r="AD1066" s="19" t="n"/>
      <c r="AE1066" s="19" t="n"/>
      <c r="AF1066" s="20" t="n"/>
      <c r="AG1066" s="120" t="n"/>
      <c r="AH1066" s="132">
        <f>DADOS_INVOC!$PH$146</f>
        <v/>
      </c>
      <c r="AI1066" s="19" t="n"/>
      <c r="AJ1066" s="19" t="n"/>
      <c r="AK1066" s="19" t="n"/>
      <c r="AL1066" s="20" t="n"/>
      <c r="AM1066" s="120" t="n"/>
      <c r="AN1066" s="132">
        <f>DADOS_INVOC!$PH$147</f>
        <v/>
      </c>
      <c r="AO1066" s="19" t="n"/>
      <c r="AP1066" s="19" t="n"/>
      <c r="AQ1066" s="19" t="n"/>
      <c r="AR1066" s="20" t="n"/>
      <c r="AS1066" s="120" t="n"/>
    </row>
    <row r="1067" hidden="1" outlineLevel="2">
      <c r="A1067" s="8" t="n"/>
      <c r="B1067" s="14" t="n"/>
      <c r="C1067" s="120" t="n"/>
      <c r="D1067" s="120" t="n"/>
      <c r="E1067" s="120" t="n"/>
      <c r="F1067" s="120" t="n"/>
      <c r="G1067" s="120" t="n"/>
      <c r="I1067" s="23" t="n"/>
      <c r="J1067" s="24" t="n"/>
      <c r="K1067" s="24" t="n"/>
      <c r="L1067" s="24" t="n"/>
      <c r="M1067" s="25" t="n"/>
      <c r="N1067" s="120" t="n"/>
      <c r="O1067" s="23" t="n"/>
      <c r="P1067" s="24" t="n"/>
      <c r="Q1067" s="24" t="n"/>
      <c r="R1067" s="24" t="n"/>
      <c r="S1067" s="25" t="n"/>
      <c r="T1067" s="120" t="n"/>
      <c r="U1067" s="23" t="n"/>
      <c r="V1067" s="24" t="n"/>
      <c r="W1067" s="24" t="n"/>
      <c r="X1067" s="24" t="n"/>
      <c r="Y1067" s="25" t="n"/>
      <c r="Z1067" s="120" t="n"/>
      <c r="AB1067" s="23" t="n"/>
      <c r="AC1067" s="24" t="n"/>
      <c r="AD1067" s="24" t="n"/>
      <c r="AE1067" s="24" t="n"/>
      <c r="AF1067" s="25" t="n"/>
      <c r="AG1067" s="120" t="n"/>
      <c r="AH1067" s="23" t="n"/>
      <c r="AI1067" s="24" t="n"/>
      <c r="AJ1067" s="24" t="n"/>
      <c r="AK1067" s="24" t="n"/>
      <c r="AL1067" s="25" t="n"/>
      <c r="AM1067" s="120" t="n"/>
      <c r="AN1067" s="23" t="n"/>
      <c r="AO1067" s="24" t="n"/>
      <c r="AP1067" s="24" t="n"/>
      <c r="AQ1067" s="24" t="n"/>
      <c r="AR1067" s="25" t="n"/>
      <c r="AS1067" s="120" t="n"/>
    </row>
    <row r="1068" hidden="1" outlineLevel="1">
      <c r="A1068" s="8" t="n"/>
      <c r="B1068" s="14" t="n"/>
      <c r="C1068" s="120" t="n"/>
      <c r="D1068" s="120" t="n"/>
      <c r="E1068" s="120" t="n"/>
      <c r="F1068" s="120" t="n"/>
      <c r="G1068" s="120" t="n"/>
      <c r="I1068" s="120" t="n"/>
      <c r="J1068" s="120" t="n"/>
      <c r="K1068" s="120" t="n"/>
      <c r="L1068" s="120" t="n"/>
      <c r="M1068" s="120" t="n"/>
      <c r="N1068" s="120" t="n"/>
      <c r="O1068" s="120" t="n"/>
      <c r="P1068" s="120" t="n"/>
      <c r="Q1068" s="120" t="n"/>
      <c r="R1068" s="120" t="n"/>
      <c r="S1068" s="120" t="n"/>
      <c r="T1068" s="120" t="n"/>
      <c r="U1068" s="120" t="n"/>
      <c r="V1068" s="120" t="n"/>
      <c r="W1068" s="120" t="n"/>
      <c r="X1068" s="120" t="n"/>
      <c r="Y1068" s="120" t="n"/>
      <c r="Z1068" s="120" t="n"/>
      <c r="AB1068" s="120" t="n"/>
      <c r="AC1068" s="120" t="n"/>
      <c r="AD1068" s="120" t="n"/>
      <c r="AE1068" s="120" t="n"/>
      <c r="AF1068" s="120" t="n"/>
      <c r="AG1068" s="120" t="n"/>
      <c r="AH1068" s="120" t="n"/>
      <c r="AI1068" s="120" t="n"/>
      <c r="AJ1068" s="120" t="n"/>
      <c r="AK1068" s="120" t="n"/>
      <c r="AL1068" s="120" t="n"/>
      <c r="AM1068" s="120" t="n"/>
      <c r="AN1068" s="120" t="n"/>
      <c r="AO1068" s="120" t="n"/>
      <c r="AP1068" s="120" t="n"/>
      <c r="AQ1068" s="120" t="n"/>
      <c r="AR1068" s="120" t="n"/>
      <c r="AS1068" s="120" t="n"/>
    </row>
    <row r="1069" hidden="1" outlineLevel="1">
      <c r="A1069" s="8" t="n"/>
      <c r="B1069" s="14" t="n"/>
      <c r="C1069" s="120" t="n"/>
      <c r="D1069" s="120" t="n"/>
      <c r="E1069" s="120" t="n"/>
      <c r="F1069" s="120" t="n"/>
      <c r="G1069" s="120" t="n"/>
      <c r="I1069" s="55">
        <f>DADOS_INVOC!$HR$7</f>
        <v/>
      </c>
      <c r="J1069" s="16" t="n"/>
      <c r="K1069" s="16" t="n"/>
      <c r="L1069" s="16" t="n"/>
      <c r="M1069" s="16" t="n"/>
      <c r="N1069" s="16" t="n"/>
      <c r="O1069" s="16" t="n"/>
      <c r="P1069" s="16" t="n"/>
      <c r="Q1069" s="16" t="n"/>
      <c r="R1069" s="16" t="n"/>
      <c r="S1069" s="16" t="n"/>
      <c r="T1069" s="16" t="n"/>
      <c r="U1069" s="16" t="n"/>
      <c r="V1069" s="16" t="n"/>
      <c r="W1069" s="16" t="n"/>
      <c r="X1069" s="16" t="n"/>
      <c r="Y1069" s="17" t="n"/>
      <c r="Z1069" s="120" t="n"/>
      <c r="AB1069" s="55">
        <f>DADOS_INVOC!$HR$13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0" t="n"/>
    </row>
    <row r="1070" hidden="1" outlineLevel="1">
      <c r="A1070" s="8" t="n"/>
      <c r="B1070" s="14" t="n"/>
      <c r="C1070" s="120" t="n"/>
      <c r="D1070" s="120" t="n"/>
      <c r="E1070" s="120" t="n"/>
      <c r="F1070" s="120" t="n"/>
      <c r="G1070" s="120" t="n"/>
      <c r="I1070" s="55" t="inlineStr">
        <is>
          <t>NV 1 · CE 1</t>
        </is>
      </c>
      <c r="J1070" s="130" t="n"/>
      <c r="K1070" s="16" t="n"/>
      <c r="L1070" s="17" t="n"/>
      <c r="M1070" s="137">
        <f>DADOS_INVOC!$IA$7</f>
        <v/>
      </c>
      <c r="N1070" s="16" t="n"/>
      <c r="O1070" s="16" t="n"/>
      <c r="P1070" s="16" t="n"/>
      <c r="Q1070" s="16" t="n"/>
      <c r="R1070" s="16" t="n"/>
      <c r="S1070" s="16" t="n"/>
      <c r="T1070" s="16" t="n"/>
      <c r="U1070" s="16" t="n"/>
      <c r="V1070" s="16" t="n"/>
      <c r="W1070" s="16" t="n"/>
      <c r="X1070" s="16" t="n"/>
      <c r="Y1070" s="17" t="n"/>
      <c r="Z1070" s="120" t="n"/>
      <c r="AB1070" s="55" t="inlineStr">
        <is>
          <t>NV 1 · CE 1</t>
        </is>
      </c>
      <c r="AC1070" s="130" t="n"/>
      <c r="AD1070" s="16" t="n"/>
      <c r="AE1070" s="17" t="n"/>
      <c r="AF1070" s="137">
        <f>DADOS_INVOC!$IA$13</f>
        <v/>
      </c>
      <c r="AG1070" s="16" t="n"/>
      <c r="AH1070" s="16" t="n"/>
      <c r="AI1070" s="16" t="n"/>
      <c r="AJ1070" s="16" t="n"/>
      <c r="AK1070" s="16" t="n"/>
      <c r="AL1070" s="16" t="n"/>
      <c r="AM1070" s="16" t="n"/>
      <c r="AN1070" s="16" t="n"/>
      <c r="AO1070" s="16" t="n"/>
      <c r="AP1070" s="16" t="n"/>
      <c r="AQ1070" s="16" t="n"/>
      <c r="AR1070" s="17" t="n"/>
      <c r="AS1070" s="120" t="n"/>
    </row>
    <row r="1071" hidden="1" outlineLevel="1">
      <c r="A1071" s="8" t="n"/>
      <c r="B1071" s="14" t="n"/>
      <c r="C1071" s="120" t="n"/>
      <c r="D1071" s="120" t="n"/>
      <c r="E1071" s="120" t="n"/>
      <c r="F1071" s="120" t="n"/>
      <c r="G1071" s="120" t="n"/>
      <c r="I1071" s="55" t="inlineStr">
        <is>
          <t>NV 6 · CE 1</t>
        </is>
      </c>
      <c r="J1071" s="130" t="n"/>
      <c r="K1071" s="16" t="n"/>
      <c r="L1071" s="17" t="n"/>
      <c r="M1071" s="137">
        <f>DADOS_INVOC!$IB$7</f>
        <v/>
      </c>
      <c r="N1071" s="16" t="n"/>
      <c r="O1071" s="16" t="n"/>
      <c r="P1071" s="16" t="n"/>
      <c r="Q1071" s="16" t="n"/>
      <c r="R1071" s="16" t="n"/>
      <c r="S1071" s="16" t="n"/>
      <c r="T1071" s="16" t="n"/>
      <c r="U1071" s="16" t="n"/>
      <c r="V1071" s="16" t="n"/>
      <c r="W1071" s="16" t="n"/>
      <c r="X1071" s="16" t="n"/>
      <c r="Y1071" s="17" t="n"/>
      <c r="Z1071" s="120" t="n"/>
      <c r="AB1071" s="55" t="inlineStr">
        <is>
          <t>NV 6 · CE 1</t>
        </is>
      </c>
      <c r="AC1071" s="130" t="n"/>
      <c r="AD1071" s="16" t="n"/>
      <c r="AE1071" s="17" t="n"/>
      <c r="AF1071" s="137">
        <f>DADOS_INVOC!$IB$13</f>
        <v/>
      </c>
      <c r="AG1071" s="16" t="n"/>
      <c r="AH1071" s="16" t="n"/>
      <c r="AI1071" s="16" t="n"/>
      <c r="AJ1071" s="16" t="n"/>
      <c r="AK1071" s="16" t="n"/>
      <c r="AL1071" s="16" t="n"/>
      <c r="AM1071" s="16" t="n"/>
      <c r="AN1071" s="16" t="n"/>
      <c r="AO1071" s="16" t="n"/>
      <c r="AP1071" s="16" t="n"/>
      <c r="AQ1071" s="16" t="n"/>
      <c r="AR1071" s="17" t="n"/>
      <c r="AS1071" s="120" t="n"/>
    </row>
    <row r="1072" hidden="1" outlineLevel="1">
      <c r="A1072" s="8" t="n"/>
      <c r="B1072" s="14" t="n"/>
      <c r="C1072" s="120" t="n"/>
      <c r="D1072" s="120" t="n"/>
      <c r="E1072" s="120" t="n"/>
      <c r="F1072" s="120" t="n"/>
      <c r="G1072" s="120" t="n"/>
      <c r="I1072" s="55" t="inlineStr">
        <is>
          <t>NV 10 · CE 2</t>
        </is>
      </c>
      <c r="J1072" s="130" t="n"/>
      <c r="K1072" s="16" t="n"/>
      <c r="L1072" s="17" t="n"/>
      <c r="M1072" s="137">
        <f>DADOS_INVOC!$IC$7</f>
        <v/>
      </c>
      <c r="N1072" s="16" t="n"/>
      <c r="O1072" s="16" t="n"/>
      <c r="P1072" s="16" t="n"/>
      <c r="Q1072" s="16" t="n"/>
      <c r="R1072" s="16" t="n"/>
      <c r="S1072" s="16" t="n"/>
      <c r="T1072" s="16" t="n"/>
      <c r="U1072" s="16" t="n"/>
      <c r="V1072" s="16" t="n"/>
      <c r="W1072" s="16" t="n"/>
      <c r="X1072" s="16" t="n"/>
      <c r="Y1072" s="17" t="n"/>
      <c r="Z1072" s="120" t="n"/>
      <c r="AB1072" s="55" t="inlineStr">
        <is>
          <t>NV 10 · CE 2</t>
        </is>
      </c>
      <c r="AC1072" s="130" t="n"/>
      <c r="AD1072" s="16" t="n"/>
      <c r="AE1072" s="17" t="n"/>
      <c r="AF1072" s="137">
        <f>DADOS_INVOC!$IC$13</f>
        <v/>
      </c>
      <c r="AG1072" s="16" t="n"/>
      <c r="AH1072" s="16" t="n"/>
      <c r="AI1072" s="16" t="n"/>
      <c r="AJ1072" s="16" t="n"/>
      <c r="AK1072" s="16" t="n"/>
      <c r="AL1072" s="16" t="n"/>
      <c r="AM1072" s="16" t="n"/>
      <c r="AN1072" s="16" t="n"/>
      <c r="AO1072" s="16" t="n"/>
      <c r="AP1072" s="16" t="n"/>
      <c r="AQ1072" s="16" t="n"/>
      <c r="AR1072" s="17" t="n"/>
      <c r="AS1072" s="120" t="n"/>
    </row>
    <row r="1073" hidden="1" outlineLevel="1">
      <c r="A1073" s="8" t="n"/>
      <c r="B1073" s="14" t="n"/>
      <c r="C1073" s="120" t="n"/>
      <c r="D1073" s="120" t="n"/>
      <c r="E1073" s="120" t="n"/>
      <c r="F1073" s="120" t="n"/>
      <c r="G1073" s="120" t="n"/>
      <c r="I1073" s="55" t="inlineStr">
        <is>
          <t>NV 14 · CE 3</t>
        </is>
      </c>
      <c r="J1073" s="130" t="n"/>
      <c r="K1073" s="16" t="n"/>
      <c r="L1073" s="17" t="n"/>
      <c r="M1073" s="137">
        <f>DADOS_INVOC!$ID$7</f>
        <v/>
      </c>
      <c r="N1073" s="16" t="n"/>
      <c r="O1073" s="16" t="n"/>
      <c r="P1073" s="16" t="n"/>
      <c r="Q1073" s="16" t="n"/>
      <c r="R1073" s="16" t="n"/>
      <c r="S1073" s="16" t="n"/>
      <c r="T1073" s="16" t="n"/>
      <c r="U1073" s="16" t="n"/>
      <c r="V1073" s="16" t="n"/>
      <c r="W1073" s="16" t="n"/>
      <c r="X1073" s="16" t="n"/>
      <c r="Y1073" s="17" t="n"/>
      <c r="Z1073" s="120" t="n"/>
      <c r="AB1073" s="55" t="inlineStr">
        <is>
          <t>NV 14 · CE 3</t>
        </is>
      </c>
      <c r="AC1073" s="130" t="n"/>
      <c r="AD1073" s="16" t="n"/>
      <c r="AE1073" s="17" t="n"/>
      <c r="AF1073" s="137">
        <f>DADOS_INVOC!$ID$13</f>
        <v/>
      </c>
      <c r="AG1073" s="16" t="n"/>
      <c r="AH1073" s="16" t="n"/>
      <c r="AI1073" s="16" t="n"/>
      <c r="AJ1073" s="16" t="n"/>
      <c r="AK1073" s="16" t="n"/>
      <c r="AL1073" s="16" t="n"/>
      <c r="AM1073" s="16" t="n"/>
      <c r="AN1073" s="16" t="n"/>
      <c r="AO1073" s="16" t="n"/>
      <c r="AP1073" s="16" t="n"/>
      <c r="AQ1073" s="16" t="n"/>
      <c r="AR1073" s="17" t="n"/>
      <c r="AS1073" s="120" t="n"/>
    </row>
    <row r="1074" hidden="1" outlineLevel="1">
      <c r="A1074" s="8" t="n"/>
      <c r="B1074" s="14" t="n"/>
      <c r="C1074" s="120" t="n"/>
      <c r="D1074" s="120" t="n"/>
      <c r="E1074" s="120" t="n"/>
      <c r="F1074" s="120" t="n"/>
      <c r="G1074" s="120" t="n"/>
      <c r="I1074" s="55" t="inlineStr">
        <is>
          <t>NV 18 · CE 3</t>
        </is>
      </c>
      <c r="J1074" s="130" t="n"/>
      <c r="K1074" s="16" t="n"/>
      <c r="L1074" s="17" t="n"/>
      <c r="M1074" s="137">
        <f>DADOS_INVOC!$IE$7</f>
        <v/>
      </c>
      <c r="N1074" s="16" t="n"/>
      <c r="O1074" s="16" t="n"/>
      <c r="P1074" s="16" t="n"/>
      <c r="Q1074" s="16" t="n"/>
      <c r="R1074" s="16" t="n"/>
      <c r="S1074" s="16" t="n"/>
      <c r="T1074" s="16" t="n"/>
      <c r="U1074" s="16" t="n"/>
      <c r="V1074" s="16" t="n"/>
      <c r="W1074" s="16" t="n"/>
      <c r="X1074" s="16" t="n"/>
      <c r="Y1074" s="17" t="n"/>
      <c r="Z1074" s="120" t="n"/>
      <c r="AB1074" s="55" t="inlineStr">
        <is>
          <t>NV 18 · CE 3</t>
        </is>
      </c>
      <c r="AC1074" s="130" t="n"/>
      <c r="AD1074" s="16" t="n"/>
      <c r="AE1074" s="17" t="n"/>
      <c r="AF1074" s="137">
        <f>DADOS_INVOC!$IE$13</f>
        <v/>
      </c>
      <c r="AG1074" s="16" t="n"/>
      <c r="AH1074" s="16" t="n"/>
      <c r="AI1074" s="16" t="n"/>
      <c r="AJ1074" s="16" t="n"/>
      <c r="AK1074" s="16" t="n"/>
      <c r="AL1074" s="16" t="n"/>
      <c r="AM1074" s="16" t="n"/>
      <c r="AN1074" s="16" t="n"/>
      <c r="AO1074" s="16" t="n"/>
      <c r="AP1074" s="16" t="n"/>
      <c r="AQ1074" s="16" t="n"/>
      <c r="AR1074" s="17" t="n"/>
      <c r="AS1074" s="120" t="n"/>
    </row>
    <row r="1075" hidden="1" outlineLevel="1">
      <c r="A1075" s="8" t="n"/>
      <c r="B1075" s="14" t="n"/>
      <c r="C1075" s="120" t="n"/>
      <c r="D1075" s="120" t="n"/>
      <c r="E1075" s="120" t="n"/>
      <c r="F1075" s="120" t="n"/>
      <c r="G1075" s="120" t="n"/>
      <c r="I1075" s="55" t="inlineStr">
        <is>
          <t>NV 22 · CE 3</t>
        </is>
      </c>
      <c r="J1075" s="130" t="n"/>
      <c r="K1075" s="16" t="n"/>
      <c r="L1075" s="17" t="n"/>
      <c r="M1075" s="137">
        <f>DADOS_INVOC!$IF$7</f>
        <v/>
      </c>
      <c r="N1075" s="16" t="n"/>
      <c r="O1075" s="16" t="n"/>
      <c r="P1075" s="16" t="n"/>
      <c r="Q1075" s="16" t="n"/>
      <c r="R1075" s="16" t="n"/>
      <c r="S1075" s="16" t="n"/>
      <c r="T1075" s="16" t="n"/>
      <c r="U1075" s="16" t="n"/>
      <c r="V1075" s="16" t="n"/>
      <c r="W1075" s="16" t="n"/>
      <c r="X1075" s="16" t="n"/>
      <c r="Y1075" s="17" t="n"/>
      <c r="Z1075" s="120" t="n"/>
      <c r="AB1075" s="55" t="inlineStr">
        <is>
          <t>NV 22 · CE 3</t>
        </is>
      </c>
      <c r="AC1075" s="130" t="n"/>
      <c r="AD1075" s="16" t="n"/>
      <c r="AE1075" s="17" t="n"/>
      <c r="AF1075" s="137">
        <f>DADOS_INVOC!$IF$13</f>
        <v/>
      </c>
      <c r="AG1075" s="16" t="n"/>
      <c r="AH1075" s="16" t="n"/>
      <c r="AI1075" s="16" t="n"/>
      <c r="AJ1075" s="16" t="n"/>
      <c r="AK1075" s="16" t="n"/>
      <c r="AL1075" s="16" t="n"/>
      <c r="AM1075" s="16" t="n"/>
      <c r="AN1075" s="16" t="n"/>
      <c r="AO1075" s="16" t="n"/>
      <c r="AP1075" s="16" t="n"/>
      <c r="AQ1075" s="16" t="n"/>
      <c r="AR1075" s="17" t="n"/>
      <c r="AS1075" s="120" t="n"/>
    </row>
    <row r="1076" hidden="1" outlineLevel="1">
      <c r="A1076" s="8" t="n"/>
      <c r="B1076" s="14" t="n"/>
      <c r="C1076" s="120" t="n"/>
      <c r="D1076" s="120" t="n"/>
      <c r="E1076" s="120" t="n"/>
      <c r="F1076" s="120" t="n"/>
      <c r="G1076" s="120" t="n"/>
      <c r="I1076" s="55" t="inlineStr">
        <is>
          <t>NV 26 · CE 3</t>
        </is>
      </c>
      <c r="J1076" s="130" t="n"/>
      <c r="K1076" s="16" t="n"/>
      <c r="L1076" s="17" t="n"/>
      <c r="M1076" s="137">
        <f>DADOS_INVOC!$IG$7</f>
        <v/>
      </c>
      <c r="N1076" s="16" t="n"/>
      <c r="O1076" s="16" t="n"/>
      <c r="P1076" s="16" t="n"/>
      <c r="Q1076" s="16" t="n"/>
      <c r="R1076" s="16" t="n"/>
      <c r="S1076" s="16" t="n"/>
      <c r="T1076" s="16" t="n"/>
      <c r="U1076" s="16" t="n"/>
      <c r="V1076" s="16" t="n"/>
      <c r="W1076" s="16" t="n"/>
      <c r="X1076" s="16" t="n"/>
      <c r="Y1076" s="17" t="n"/>
      <c r="Z1076" s="120" t="n"/>
      <c r="AB1076" s="55" t="inlineStr">
        <is>
          <t>NV 26 · CE 3</t>
        </is>
      </c>
      <c r="AC1076" s="130" t="n"/>
      <c r="AD1076" s="16" t="n"/>
      <c r="AE1076" s="17" t="n"/>
      <c r="AF1076" s="137">
        <f>DADOS_INVOC!$IG$13</f>
        <v/>
      </c>
      <c r="AG1076" s="16" t="n"/>
      <c r="AH1076" s="16" t="n"/>
      <c r="AI1076" s="16" t="n"/>
      <c r="AJ1076" s="16" t="n"/>
      <c r="AK1076" s="16" t="n"/>
      <c r="AL1076" s="16" t="n"/>
      <c r="AM1076" s="16" t="n"/>
      <c r="AN1076" s="16" t="n"/>
      <c r="AO1076" s="16" t="n"/>
      <c r="AP1076" s="16" t="n"/>
      <c r="AQ1076" s="16" t="n"/>
      <c r="AR1076" s="17" t="n"/>
      <c r="AS1076" s="120" t="n"/>
    </row>
    <row r="1077" hidden="1" outlineLevel="1">
      <c r="A1077" s="8" t="n"/>
      <c r="B1077" s="14" t="n"/>
      <c r="C1077" s="120" t="n"/>
      <c r="D1077" s="120" t="n"/>
      <c r="E1077" s="120" t="n"/>
      <c r="F1077" s="120" t="n"/>
      <c r="G1077" s="120" t="n"/>
      <c r="I1077" s="55" t="inlineStr">
        <is>
          <t>NV 30 · CE 3</t>
        </is>
      </c>
      <c r="J1077" s="130" t="n"/>
      <c r="K1077" s="16" t="n"/>
      <c r="L1077" s="17" t="n"/>
      <c r="M1077" s="137">
        <f>DADOS_INVOC!$IH$7</f>
        <v/>
      </c>
      <c r="N1077" s="16" t="n"/>
      <c r="O1077" s="16" t="n"/>
      <c r="P1077" s="16" t="n"/>
      <c r="Q1077" s="16" t="n"/>
      <c r="R1077" s="16" t="n"/>
      <c r="S1077" s="16" t="n"/>
      <c r="T1077" s="16" t="n"/>
      <c r="U1077" s="16" t="n"/>
      <c r="V1077" s="16" t="n"/>
      <c r="W1077" s="16" t="n"/>
      <c r="X1077" s="16" t="n"/>
      <c r="Y1077" s="17" t="n"/>
      <c r="Z1077" s="120" t="n"/>
      <c r="AB1077" s="55" t="inlineStr">
        <is>
          <t>NV 30 · CE 3</t>
        </is>
      </c>
      <c r="AC1077" s="130" t="n"/>
      <c r="AD1077" s="16" t="n"/>
      <c r="AE1077" s="17" t="n"/>
      <c r="AF1077" s="137">
        <f>DADOS_INVOC!$IH$13</f>
        <v/>
      </c>
      <c r="AG1077" s="16" t="n"/>
      <c r="AH1077" s="16" t="n"/>
      <c r="AI1077" s="16" t="n"/>
      <c r="AJ1077" s="16" t="n"/>
      <c r="AK1077" s="16" t="n"/>
      <c r="AL1077" s="16" t="n"/>
      <c r="AM1077" s="16" t="n"/>
      <c r="AN1077" s="16" t="n"/>
      <c r="AO1077" s="16" t="n"/>
      <c r="AP1077" s="16" t="n"/>
      <c r="AQ1077" s="16" t="n"/>
      <c r="AR1077" s="17" t="n"/>
      <c r="AS1077" s="120" t="n"/>
    </row>
    <row r="1078" hidden="1" outlineLevel="1">
      <c r="A1078" s="8" t="n"/>
      <c r="B1078" s="14" t="n"/>
      <c r="C1078" s="120" t="n"/>
      <c r="D1078" s="120" t="n"/>
      <c r="E1078" s="120" t="n"/>
      <c r="F1078" s="120" t="n"/>
      <c r="G1078" s="120" t="n"/>
      <c r="I1078" s="120" t="n"/>
      <c r="J1078" s="120" t="n"/>
      <c r="K1078" s="120" t="n"/>
      <c r="L1078" s="120" t="n"/>
      <c r="M1078" s="120" t="n"/>
      <c r="N1078" s="120" t="n"/>
      <c r="O1078" s="120" t="n"/>
      <c r="P1078" s="120" t="n"/>
      <c r="Q1078" s="120" t="n"/>
      <c r="R1078" s="120" t="n"/>
      <c r="S1078" s="120" t="n"/>
      <c r="T1078" s="120" t="n"/>
      <c r="U1078" s="120" t="n"/>
      <c r="V1078" s="120" t="n"/>
      <c r="W1078" s="120" t="n"/>
      <c r="X1078" s="120" t="n"/>
      <c r="Y1078" s="120" t="n"/>
      <c r="Z1078" s="120" t="n"/>
      <c r="AB1078" s="120" t="n"/>
      <c r="AC1078" s="120" t="n"/>
      <c r="AD1078" s="120" t="n"/>
      <c r="AE1078" s="120" t="n"/>
      <c r="AF1078" s="120" t="n"/>
      <c r="AG1078" s="120" t="n"/>
      <c r="AH1078" s="120" t="n"/>
      <c r="AI1078" s="120" t="n"/>
      <c r="AJ1078" s="120" t="n"/>
      <c r="AK1078" s="120" t="n"/>
      <c r="AL1078" s="120" t="n"/>
      <c r="AM1078" s="120" t="n"/>
      <c r="AN1078" s="120" t="n"/>
      <c r="AO1078" s="120" t="n"/>
      <c r="AP1078" s="120" t="n"/>
      <c r="AQ1078" s="120" t="n"/>
      <c r="AR1078" s="120" t="n"/>
      <c r="AS1078" s="120" t="n"/>
    </row>
    <row r="1079" hidden="1" outlineLevel="1">
      <c r="A1079" s="8" t="n"/>
      <c r="B1079" s="14" t="n"/>
      <c r="C1079" s="120" t="n"/>
      <c r="D1079" s="120" t="n"/>
      <c r="E1079" s="120" t="n"/>
      <c r="F1079" s="120" t="n"/>
      <c r="G1079" s="120" t="n"/>
      <c r="I1079" s="13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0" t="n"/>
      <c r="AB1079" s="13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0" t="n"/>
    </row>
    <row r="1080" hidden="1" outlineLevel="2">
      <c r="A1080" s="8" t="n"/>
      <c r="B1080" s="14" t="n"/>
      <c r="C1080" s="120" t="n"/>
      <c r="D1080" s="120" t="n"/>
      <c r="E1080" s="120" t="n"/>
      <c r="F1080" s="120" t="n"/>
      <c r="G1080" s="120" t="n"/>
      <c r="I1080" s="120" t="n"/>
      <c r="J1080" s="120" t="n"/>
      <c r="K1080" s="120" t="n"/>
      <c r="L1080" s="120" t="n"/>
      <c r="M1080" s="120" t="n"/>
      <c r="N1080" s="120" t="n"/>
      <c r="O1080" s="120" t="n"/>
      <c r="P1080" s="120" t="n"/>
      <c r="Q1080" s="120" t="n"/>
      <c r="R1080" s="120" t="n"/>
      <c r="S1080" s="120" t="n"/>
      <c r="T1080" s="120" t="n"/>
      <c r="U1080" s="120" t="n"/>
      <c r="V1080" s="120" t="n"/>
      <c r="W1080" s="120" t="n"/>
      <c r="X1080" s="120" t="n"/>
      <c r="Y1080" s="120" t="n"/>
      <c r="Z1080" s="120" t="n"/>
      <c r="AB1080" s="120" t="n"/>
      <c r="AC1080" s="120" t="n"/>
      <c r="AD1080" s="120" t="n"/>
      <c r="AE1080" s="120" t="n"/>
      <c r="AF1080" s="120" t="n"/>
      <c r="AG1080" s="120" t="n"/>
      <c r="AH1080" s="120" t="n"/>
      <c r="AI1080" s="120" t="n"/>
      <c r="AJ1080" s="120" t="n"/>
      <c r="AK1080" s="120" t="n"/>
      <c r="AL1080" s="120" t="n"/>
      <c r="AM1080" s="120" t="n"/>
      <c r="AN1080" s="120" t="n"/>
      <c r="AO1080" s="120" t="n"/>
      <c r="AP1080" s="120" t="n"/>
      <c r="AQ1080" s="120" t="n"/>
      <c r="AR1080" s="120" t="n"/>
      <c r="AS1080" s="120" t="n"/>
    </row>
    <row r="1081" hidden="1" outlineLevel="2">
      <c r="A1081" s="8" t="n"/>
      <c r="B1081" s="14" t="n"/>
      <c r="C1081" s="120" t="n"/>
      <c r="D1081" s="120" t="n"/>
      <c r="E1081" s="120" t="n"/>
      <c r="F1081" s="120" t="n"/>
      <c r="G1081" s="120" t="n"/>
      <c r="I1081" s="55">
        <f>DADOS_INVOC!$PI$70</f>
        <v/>
      </c>
      <c r="J1081" s="16" t="n"/>
      <c r="K1081" s="16" t="n"/>
      <c r="L1081" s="16" t="n"/>
      <c r="M1081" s="17" t="n"/>
      <c r="N1081" s="120" t="n"/>
      <c r="O1081" s="55">
        <f>DADOS_INVOC!$PI$71</f>
        <v/>
      </c>
      <c r="P1081" s="16" t="n"/>
      <c r="Q1081" s="16" t="n"/>
      <c r="R1081" s="16" t="n"/>
      <c r="S1081" s="17" t="n"/>
      <c r="T1081" s="120" t="n"/>
      <c r="U1081" s="55">
        <f>DADOS_INVOC!$PI$72</f>
        <v/>
      </c>
      <c r="V1081" s="16" t="n"/>
      <c r="W1081" s="16" t="n"/>
      <c r="X1081" s="16" t="n"/>
      <c r="Y1081" s="17" t="n"/>
      <c r="Z1081" s="120" t="n"/>
      <c r="AB1081" s="55">
        <f>DADOS_INVOC!$PI$148</f>
        <v/>
      </c>
      <c r="AC1081" s="16" t="n"/>
      <c r="AD1081" s="16" t="n"/>
      <c r="AE1081" s="16" t="n"/>
      <c r="AF1081" s="17" t="n"/>
      <c r="AG1081" s="120" t="n"/>
      <c r="AH1081" s="55">
        <f>DADOS_INVOC!$PI$149</f>
        <v/>
      </c>
      <c r="AI1081" s="16" t="n"/>
      <c r="AJ1081" s="16" t="n"/>
      <c r="AK1081" s="16" t="n"/>
      <c r="AL1081" s="17" t="n"/>
      <c r="AM1081" s="120" t="n"/>
      <c r="AN1081" s="55">
        <f>DADOS_INVOC!$PI$150</f>
        <v/>
      </c>
      <c r="AO1081" s="16" t="n"/>
      <c r="AP1081" s="16" t="n"/>
      <c r="AQ1081" s="16" t="n"/>
      <c r="AR1081" s="17" t="n"/>
      <c r="AS1081" s="120" t="n"/>
    </row>
    <row r="1082" hidden="1" outlineLevel="2">
      <c r="A1082" s="8" t="n"/>
      <c r="B1082" s="14" t="n"/>
      <c r="C1082" s="120" t="n"/>
      <c r="D1082" s="120" t="n"/>
      <c r="E1082" s="120" t="n"/>
      <c r="F1082" s="120" t="n"/>
      <c r="G1082" s="120" t="n"/>
      <c r="I1082" s="127" t="n">
        <v>0</v>
      </c>
      <c r="J1082" s="115" t="n"/>
      <c r="K1082" s="16" t="n"/>
      <c r="L1082" s="17" t="n"/>
      <c r="M1082" s="128">
        <f>DADOS_INVOC!$PG$70</f>
        <v/>
      </c>
      <c r="N1082" s="120" t="n"/>
      <c r="O1082" s="127" t="n">
        <v>1</v>
      </c>
      <c r="P1082" s="115" t="n"/>
      <c r="Q1082" s="16" t="n"/>
      <c r="R1082" s="17" t="n"/>
      <c r="S1082" s="128">
        <f>DADOS_INVOC!$PG$71</f>
        <v/>
      </c>
      <c r="T1082" s="120" t="n"/>
      <c r="U1082" s="127" t="n">
        <v>1</v>
      </c>
      <c r="V1082" s="115" t="n"/>
      <c r="W1082" s="16" t="n"/>
      <c r="X1082" s="17" t="n"/>
      <c r="Y1082" s="128">
        <f>DADOS_INVOC!$PG$72</f>
        <v/>
      </c>
      <c r="Z1082" s="120" t="n"/>
      <c r="AB1082" s="127" t="n">
        <v>0</v>
      </c>
      <c r="AC1082" s="115" t="n"/>
      <c r="AD1082" s="16" t="n"/>
      <c r="AE1082" s="17" t="n"/>
      <c r="AF1082" s="128">
        <f>DADOS_INVOC!$PG$148</f>
        <v/>
      </c>
      <c r="AG1082" s="120" t="n"/>
      <c r="AH1082" s="127" t="n">
        <v>1</v>
      </c>
      <c r="AI1082" s="115" t="n"/>
      <c r="AJ1082" s="16" t="n"/>
      <c r="AK1082" s="17" t="n"/>
      <c r="AL1082" s="128">
        <f>DADOS_INVOC!$PG$149</f>
        <v/>
      </c>
      <c r="AM1082" s="120" t="n"/>
      <c r="AN1082" s="127" t="n">
        <v>1</v>
      </c>
      <c r="AO1082" s="115" t="n"/>
      <c r="AP1082" s="16" t="n"/>
      <c r="AQ1082" s="17" t="n"/>
      <c r="AR1082" s="128">
        <f>DADOS_INVOC!$PG$150</f>
        <v/>
      </c>
      <c r="AS1082" s="120" t="n"/>
    </row>
    <row r="1083" hidden="1" outlineLevel="3">
      <c r="A1083" s="8" t="n"/>
      <c r="B1083" s="14" t="n"/>
      <c r="C1083" s="120" t="n"/>
      <c r="D1083" s="120" t="n"/>
      <c r="E1083" s="120" t="n"/>
      <c r="F1083" s="120" t="n"/>
      <c r="G1083" s="120" t="n"/>
      <c r="I1083" s="55" t="inlineStr">
        <is>
          <t>COMO É</t>
        </is>
      </c>
      <c r="J1083" s="16" t="n"/>
      <c r="K1083" s="16" t="n"/>
      <c r="L1083" s="16" t="n"/>
      <c r="M1083" s="17" t="n"/>
      <c r="N1083" s="120" t="n"/>
      <c r="O1083" s="55" t="inlineStr">
        <is>
          <t>COMO É</t>
        </is>
      </c>
      <c r="P1083" s="16" t="n"/>
      <c r="Q1083" s="16" t="n"/>
      <c r="R1083" s="16" t="n"/>
      <c r="S1083" s="17" t="n"/>
      <c r="T1083" s="120" t="n"/>
      <c r="U1083" s="55" t="inlineStr">
        <is>
          <t>COMO É</t>
        </is>
      </c>
      <c r="V1083" s="16" t="n"/>
      <c r="W1083" s="16" t="n"/>
      <c r="X1083" s="16" t="n"/>
      <c r="Y1083" s="17" t="n"/>
      <c r="Z1083" s="120" t="n"/>
      <c r="AB1083" s="55" t="inlineStr">
        <is>
          <t>COMO É</t>
        </is>
      </c>
      <c r="AC1083" s="16" t="n"/>
      <c r="AD1083" s="16" t="n"/>
      <c r="AE1083" s="16" t="n"/>
      <c r="AF1083" s="17" t="n"/>
      <c r="AG1083" s="120" t="n"/>
      <c r="AH1083" s="55" t="inlineStr">
        <is>
          <t>COMO É</t>
        </is>
      </c>
      <c r="AI1083" s="16" t="n"/>
      <c r="AJ1083" s="16" t="n"/>
      <c r="AK1083" s="16" t="n"/>
      <c r="AL1083" s="17" t="n"/>
      <c r="AM1083" s="120" t="n"/>
      <c r="AN1083" s="55" t="inlineStr">
        <is>
          <t>COMO É</t>
        </is>
      </c>
      <c r="AO1083" s="16" t="n"/>
      <c r="AP1083" s="16" t="n"/>
      <c r="AQ1083" s="16" t="n"/>
      <c r="AR1083" s="17" t="n"/>
      <c r="AS1083" s="120" t="n"/>
    </row>
    <row r="1084" hidden="1" outlineLevel="3">
      <c r="A1084" s="8" t="n"/>
      <c r="B1084" s="14" t="n"/>
      <c r="C1084" s="120" t="n"/>
      <c r="D1084" s="120" t="n"/>
      <c r="E1084" s="120" t="n"/>
      <c r="F1084" s="120" t="n"/>
      <c r="G1084" s="120" t="n"/>
      <c r="I1084" s="116" t="n"/>
      <c r="J1084" s="19" t="n"/>
      <c r="K1084" s="19" t="n"/>
      <c r="L1084" s="19" t="n"/>
      <c r="M1084" s="20" t="n"/>
      <c r="N1084" s="120" t="n"/>
      <c r="O1084" s="116" t="n"/>
      <c r="P1084" s="19" t="n"/>
      <c r="Q1084" s="19" t="n"/>
      <c r="R1084" s="19" t="n"/>
      <c r="S1084" s="20" t="n"/>
      <c r="T1084" s="120" t="n"/>
      <c r="U1084" s="116" t="n"/>
      <c r="V1084" s="19" t="n"/>
      <c r="W1084" s="19" t="n"/>
      <c r="X1084" s="19" t="n"/>
      <c r="Y1084" s="20" t="n"/>
      <c r="Z1084" s="120" t="n"/>
      <c r="AB1084" s="116" t="n"/>
      <c r="AC1084" s="19" t="n"/>
      <c r="AD1084" s="19" t="n"/>
      <c r="AE1084" s="19" t="n"/>
      <c r="AF1084" s="20" t="n"/>
      <c r="AG1084" s="120" t="n"/>
      <c r="AH1084" s="116" t="n"/>
      <c r="AI1084" s="19" t="n"/>
      <c r="AJ1084" s="19" t="n"/>
      <c r="AK1084" s="19" t="n"/>
      <c r="AL1084" s="20" t="n"/>
      <c r="AM1084" s="120" t="n"/>
      <c r="AN1084" s="116" t="n"/>
      <c r="AO1084" s="19" t="n"/>
      <c r="AP1084" s="19" t="n"/>
      <c r="AQ1084" s="19" t="n"/>
      <c r="AR1084" s="20" t="n"/>
      <c r="AS1084" s="120" t="n"/>
    </row>
    <row r="1085" hidden="1" outlineLevel="3">
      <c r="A1085" s="8" t="n"/>
      <c r="B1085" s="14" t="n"/>
      <c r="C1085" s="120" t="n"/>
      <c r="D1085" s="120" t="n"/>
      <c r="E1085" s="120" t="n"/>
      <c r="F1085" s="120" t="n"/>
      <c r="G1085" s="120" t="n"/>
      <c r="I1085" s="21" t="n"/>
      <c r="M1085" s="22" t="n"/>
      <c r="N1085" s="120" t="n"/>
      <c r="O1085" s="21" t="n"/>
      <c r="S1085" s="22" t="n"/>
      <c r="T1085" s="120" t="n"/>
      <c r="U1085" s="21" t="n"/>
      <c r="Y1085" s="22" t="n"/>
      <c r="Z1085" s="120" t="n"/>
      <c r="AB1085" s="21" t="n"/>
      <c r="AF1085" s="22" t="n"/>
      <c r="AG1085" s="120" t="n"/>
      <c r="AH1085" s="21" t="n"/>
      <c r="AL1085" s="22" t="n"/>
      <c r="AM1085" s="120" t="n"/>
      <c r="AN1085" s="21" t="n"/>
      <c r="AR1085" s="22" t="n"/>
      <c r="AS1085" s="120" t="n"/>
    </row>
    <row r="1086" hidden="1" outlineLevel="3">
      <c r="A1086" s="8" t="n"/>
      <c r="B1086" s="14" t="n"/>
      <c r="C1086" s="120" t="n"/>
      <c r="D1086" s="120" t="n"/>
      <c r="E1086" s="120" t="n"/>
      <c r="F1086" s="120" t="n"/>
      <c r="G1086" s="120" t="n"/>
      <c r="I1086" s="23" t="n"/>
      <c r="J1086" s="24" t="n"/>
      <c r="K1086" s="24" t="n"/>
      <c r="L1086" s="24" t="n"/>
      <c r="M1086" s="25" t="n"/>
      <c r="N1086" s="120" t="n"/>
      <c r="O1086" s="23" t="n"/>
      <c r="P1086" s="24" t="n"/>
      <c r="Q1086" s="24" t="n"/>
      <c r="R1086" s="24" t="n"/>
      <c r="S1086" s="25" t="n"/>
      <c r="T1086" s="120" t="n"/>
      <c r="U1086" s="23" t="n"/>
      <c r="V1086" s="24" t="n"/>
      <c r="W1086" s="24" t="n"/>
      <c r="X1086" s="24" t="n"/>
      <c r="Y1086" s="25" t="n"/>
      <c r="Z1086" s="120" t="n"/>
      <c r="AB1086" s="23" t="n"/>
      <c r="AC1086" s="24" t="n"/>
      <c r="AD1086" s="24" t="n"/>
      <c r="AE1086" s="24" t="n"/>
      <c r="AF1086" s="25" t="n"/>
      <c r="AG1086" s="120" t="n"/>
      <c r="AH1086" s="23" t="n"/>
      <c r="AI1086" s="24" t="n"/>
      <c r="AJ1086" s="24" t="n"/>
      <c r="AK1086" s="24" t="n"/>
      <c r="AL1086" s="25" t="n"/>
      <c r="AM1086" s="120" t="n"/>
      <c r="AN1086" s="23" t="n"/>
      <c r="AO1086" s="24" t="n"/>
      <c r="AP1086" s="24" t="n"/>
      <c r="AQ1086" s="24" t="n"/>
      <c r="AR1086" s="25" t="n"/>
      <c r="AS1086" s="120" t="n"/>
    </row>
    <row r="1087" hidden="1" outlineLevel="2">
      <c r="A1087" s="8" t="n"/>
      <c r="B1087" s="14" t="n"/>
      <c r="C1087" s="120" t="n"/>
      <c r="D1087" s="120" t="n"/>
      <c r="E1087" s="120" t="n"/>
      <c r="F1087" s="120" t="n"/>
      <c r="G1087" s="120" t="n"/>
      <c r="I1087" s="124" t="inlineStr">
        <is>
          <t>Projétil</t>
        </is>
      </c>
      <c r="J1087" s="17" t="n"/>
      <c r="K1087" s="68">
        <f>DADOS_INVOC!$PN$70</f>
        <v/>
      </c>
      <c r="L1087" s="17" t="n"/>
      <c r="M1087" s="68">
        <f>DADOS_INVOC!$PJ$70</f>
        <v/>
      </c>
      <c r="N1087" s="120" t="n"/>
      <c r="O1087" s="124" t="inlineStr">
        <is>
          <t>Projétil</t>
        </is>
      </c>
      <c r="P1087" s="17" t="n"/>
      <c r="Q1087" s="68">
        <f>DADOS_INVOC!$PN$71</f>
        <v/>
      </c>
      <c r="R1087" s="17" t="n"/>
      <c r="S1087" s="68">
        <f>DADOS_INVOC!$PJ$71</f>
        <v/>
      </c>
      <c r="T1087" s="120" t="n"/>
      <c r="U1087" s="124" t="inlineStr">
        <is>
          <t>Projétil</t>
        </is>
      </c>
      <c r="V1087" s="17" t="n"/>
      <c r="W1087" s="68">
        <f>DADOS_INVOC!$PN$72</f>
        <v/>
      </c>
      <c r="X1087" s="17" t="n"/>
      <c r="Y1087" s="68">
        <f>DADOS_INVOC!$PJ$72</f>
        <v/>
      </c>
      <c r="Z1087" s="120" t="n"/>
      <c r="AB1087" s="124" t="inlineStr">
        <is>
          <t>Projétil</t>
        </is>
      </c>
      <c r="AC1087" s="17" t="n"/>
      <c r="AD1087" s="68">
        <f>DADOS_INVOC!$PN$148</f>
        <v/>
      </c>
      <c r="AE1087" s="17" t="n"/>
      <c r="AF1087" s="68">
        <f>DADOS_INVOC!$PJ$148</f>
        <v/>
      </c>
      <c r="AG1087" s="120" t="n"/>
      <c r="AH1087" s="124" t="inlineStr">
        <is>
          <t>Projétil</t>
        </is>
      </c>
      <c r="AI1087" s="17" t="n"/>
      <c r="AJ1087" s="68">
        <f>DADOS_INVOC!$PN$149</f>
        <v/>
      </c>
      <c r="AK1087" s="17" t="n"/>
      <c r="AL1087" s="68">
        <f>DADOS_INVOC!$PJ$149</f>
        <v/>
      </c>
      <c r="AM1087" s="120" t="n"/>
      <c r="AN1087" s="124" t="inlineStr">
        <is>
          <t>Projétil</t>
        </is>
      </c>
      <c r="AO1087" s="17" t="n"/>
      <c r="AP1087" s="68">
        <f>DADOS_INVOC!$PN$150</f>
        <v/>
      </c>
      <c r="AQ1087" s="17" t="n"/>
      <c r="AR1087" s="68">
        <f>DADOS_INVOC!$PJ$150</f>
        <v/>
      </c>
      <c r="AS1087" s="120" t="n"/>
    </row>
    <row r="1088" hidden="1" outlineLevel="2">
      <c r="A1088" s="8" t="n"/>
      <c r="B1088" s="14" t="n"/>
      <c r="C1088" s="120" t="n"/>
      <c r="D1088" s="120" t="n"/>
      <c r="E1088" s="120" t="n"/>
      <c r="F1088" s="120" t="n"/>
      <c r="G1088" s="120" t="n"/>
      <c r="I1088" s="124" t="n"/>
      <c r="J1088" s="17" t="n"/>
      <c r="K1088" s="124" t="n"/>
      <c r="L1088" s="16" t="n"/>
      <c r="M1088" s="17" t="n"/>
      <c r="N1088" s="120" t="n"/>
      <c r="O1088" s="124" t="n"/>
      <c r="P1088" s="17" t="n"/>
      <c r="Q1088" s="124" t="n"/>
      <c r="R1088" s="16" t="n"/>
      <c r="S1088" s="17" t="n"/>
      <c r="T1088" s="120" t="n"/>
      <c r="U1088" s="124" t="n"/>
      <c r="V1088" s="17" t="n"/>
      <c r="W1088" s="124" t="n"/>
      <c r="X1088" s="16" t="n"/>
      <c r="Y1088" s="17" t="n"/>
      <c r="Z1088" s="120" t="n"/>
      <c r="AB1088" s="124" t="n"/>
      <c r="AC1088" s="17" t="n"/>
      <c r="AD1088" s="124" t="n"/>
      <c r="AE1088" s="16" t="n"/>
      <c r="AF1088" s="17" t="n"/>
      <c r="AG1088" s="120" t="n"/>
      <c r="AH1088" s="124" t="n"/>
      <c r="AI1088" s="17" t="n"/>
      <c r="AJ1088" s="124" t="n"/>
      <c r="AK1088" s="16" t="n"/>
      <c r="AL1088" s="17" t="n"/>
      <c r="AM1088" s="120" t="n"/>
      <c r="AN1088" s="124" t="n"/>
      <c r="AO1088" s="17" t="n"/>
      <c r="AP1088" s="124" t="n"/>
      <c r="AQ1088" s="16" t="n"/>
      <c r="AR1088" s="17" t="n"/>
      <c r="AS1088" s="120" t="n"/>
    </row>
    <row r="1089" hidden="1" outlineLevel="2">
      <c r="A1089" s="8" t="n"/>
      <c r="B1089" s="14" t="n"/>
      <c r="C1089" s="120" t="n"/>
      <c r="D1089" s="120" t="n"/>
      <c r="E1089" s="120" t="n"/>
      <c r="F1089" s="120" t="n"/>
      <c r="G1089" s="120" t="n"/>
      <c r="I1089" s="124">
        <f>DADOS_INVOC!$PK$70</f>
        <v/>
      </c>
      <c r="J1089" s="17" t="n"/>
      <c r="K1089" s="124">
        <f>DADOS_INVOC!$PM$70</f>
        <v/>
      </c>
      <c r="L1089" s="16" t="n"/>
      <c r="M1089" s="17" t="n"/>
      <c r="N1089" s="120" t="n"/>
      <c r="O1089" s="124">
        <f>DADOS_INVOC!$PK$71</f>
        <v/>
      </c>
      <c r="P1089" s="17" t="n"/>
      <c r="Q1089" s="124">
        <f>DADOS_INVOC!$PM$71</f>
        <v/>
      </c>
      <c r="R1089" s="16" t="n"/>
      <c r="S1089" s="17" t="n"/>
      <c r="T1089" s="120" t="n"/>
      <c r="U1089" s="124">
        <f>DADOS_INVOC!$PK$72</f>
        <v/>
      </c>
      <c r="V1089" s="17" t="n"/>
      <c r="W1089" s="124">
        <f>DADOS_INVOC!$PM$72</f>
        <v/>
      </c>
      <c r="X1089" s="16" t="n"/>
      <c r="Y1089" s="17" t="n"/>
      <c r="Z1089" s="120" t="n"/>
      <c r="AB1089" s="124">
        <f>DADOS_INVOC!$PK$148</f>
        <v/>
      </c>
      <c r="AC1089" s="17" t="n"/>
      <c r="AD1089" s="124">
        <f>DADOS_INVOC!$PM$148</f>
        <v/>
      </c>
      <c r="AE1089" s="16" t="n"/>
      <c r="AF1089" s="17" t="n"/>
      <c r="AG1089" s="120" t="n"/>
      <c r="AH1089" s="124">
        <f>DADOS_INVOC!$PK$149</f>
        <v/>
      </c>
      <c r="AI1089" s="17" t="n"/>
      <c r="AJ1089" s="124">
        <f>DADOS_INVOC!$PM$149</f>
        <v/>
      </c>
      <c r="AK1089" s="16" t="n"/>
      <c r="AL1089" s="17" t="n"/>
      <c r="AM1089" s="120" t="n"/>
      <c r="AN1089" s="124">
        <f>DADOS_INVOC!$PK$150</f>
        <v/>
      </c>
      <c r="AO1089" s="17" t="n"/>
      <c r="AP1089" s="124">
        <f>DADOS_INVOC!$PM$150</f>
        <v/>
      </c>
      <c r="AQ1089" s="16" t="n"/>
      <c r="AR1089" s="17" t="n"/>
      <c r="AS1089" s="120" t="n"/>
    </row>
    <row r="1090" hidden="1" outlineLevel="2">
      <c r="A1090" s="8" t="n"/>
      <c r="B1090" s="14" t="n"/>
      <c r="C1090" s="120" t="n"/>
      <c r="D1090" s="120" t="n"/>
      <c r="E1090" s="120" t="n"/>
      <c r="F1090" s="120" t="n"/>
      <c r="G1090" s="120" t="n"/>
      <c r="I1090" s="129">
        <f>DADOS_INVOC!$PS$70</f>
        <v/>
      </c>
      <c r="J1090" s="16" t="n"/>
      <c r="K1090" s="16" t="n"/>
      <c r="L1090" s="16" t="n"/>
      <c r="M1090" s="17" t="n"/>
      <c r="N1090" s="120" t="n"/>
      <c r="O1090" s="129">
        <f>DADOS_INVOC!$PS$71</f>
        <v/>
      </c>
      <c r="P1090" s="16" t="n"/>
      <c r="Q1090" s="16" t="n"/>
      <c r="R1090" s="16" t="n"/>
      <c r="S1090" s="17" t="n"/>
      <c r="T1090" s="120" t="n"/>
      <c r="U1090" s="129">
        <f>DADOS_INVOC!$PS$72</f>
        <v/>
      </c>
      <c r="V1090" s="16" t="n"/>
      <c r="W1090" s="16" t="n"/>
      <c r="X1090" s="16" t="n"/>
      <c r="Y1090" s="17" t="n"/>
      <c r="Z1090" s="120" t="n"/>
      <c r="AB1090" s="129">
        <f>DADOS_INVOC!$PS$148</f>
        <v/>
      </c>
      <c r="AC1090" s="16" t="n"/>
      <c r="AD1090" s="16" t="n"/>
      <c r="AE1090" s="16" t="n"/>
      <c r="AF1090" s="17" t="n"/>
      <c r="AG1090" s="120" t="n"/>
      <c r="AH1090" s="129">
        <f>DADOS_INVOC!$PS$149</f>
        <v/>
      </c>
      <c r="AI1090" s="16" t="n"/>
      <c r="AJ1090" s="16" t="n"/>
      <c r="AK1090" s="16" t="n"/>
      <c r="AL1090" s="17" t="n"/>
      <c r="AM1090" s="120" t="n"/>
      <c r="AN1090" s="129">
        <f>DADOS_INVOC!$PS$150</f>
        <v/>
      </c>
      <c r="AO1090" s="16" t="n"/>
      <c r="AP1090" s="16" t="n"/>
      <c r="AQ1090" s="16" t="n"/>
      <c r="AR1090" s="17" t="n"/>
      <c r="AS1090" s="120" t="n"/>
    </row>
    <row r="1091" hidden="1" outlineLevel="3">
      <c r="A1091" s="8" t="n"/>
      <c r="B1091" s="14" t="n"/>
      <c r="C1091" s="120" t="n"/>
      <c r="D1091" s="120" t="n"/>
      <c r="E1091" s="120" t="n"/>
      <c r="F1091" s="120" t="n"/>
      <c r="G1091" s="120" t="n"/>
      <c r="I1091" s="55" t="inlineStr">
        <is>
          <t>MELHORIAS</t>
        </is>
      </c>
      <c r="J1091" s="130" t="n"/>
      <c r="K1091" s="16" t="n"/>
      <c r="L1091" s="17" t="n"/>
      <c r="M1091" s="129">
        <f>DADOS_INVOC!$PV$70</f>
        <v/>
      </c>
      <c r="N1091" s="120" t="n"/>
      <c r="O1091" s="55" t="inlineStr">
        <is>
          <t>MELHORIAS</t>
        </is>
      </c>
      <c r="P1091" s="130" t="n"/>
      <c r="Q1091" s="16" t="n"/>
      <c r="R1091" s="17" t="n"/>
      <c r="S1091" s="129">
        <f>DADOS_INVOC!$PV$71</f>
        <v/>
      </c>
      <c r="T1091" s="120" t="n"/>
      <c r="U1091" s="55" t="inlineStr">
        <is>
          <t>MELHORIAS</t>
        </is>
      </c>
      <c r="V1091" s="130" t="n"/>
      <c r="W1091" s="16" t="n"/>
      <c r="X1091" s="17" t="n"/>
      <c r="Y1091" s="129">
        <f>DADOS_INVOC!$PV$72</f>
        <v/>
      </c>
      <c r="Z1091" s="120" t="n"/>
      <c r="AB1091" s="55" t="inlineStr">
        <is>
          <t>MELHORIAS</t>
        </is>
      </c>
      <c r="AC1091" s="130" t="n"/>
      <c r="AD1091" s="16" t="n"/>
      <c r="AE1091" s="17" t="n"/>
      <c r="AF1091" s="129">
        <f>DADOS_INVOC!$PV$148</f>
        <v/>
      </c>
      <c r="AG1091" s="120" t="n"/>
      <c r="AH1091" s="55" t="inlineStr">
        <is>
          <t>MELHORIAS</t>
        </is>
      </c>
      <c r="AI1091" s="130" t="n"/>
      <c r="AJ1091" s="16" t="n"/>
      <c r="AK1091" s="17" t="n"/>
      <c r="AL1091" s="129">
        <f>DADOS_INVOC!$PV$149</f>
        <v/>
      </c>
      <c r="AM1091" s="120" t="n"/>
      <c r="AN1091" s="55" t="inlineStr">
        <is>
          <t>MELHORIAS</t>
        </is>
      </c>
      <c r="AO1091" s="130" t="n"/>
      <c r="AP1091" s="16" t="n"/>
      <c r="AQ1091" s="17" t="n"/>
      <c r="AR1091" s="129">
        <f>DADOS_INVOC!$PV$150</f>
        <v/>
      </c>
      <c r="AS1091" s="120" t="n"/>
    </row>
    <row r="1092" hidden="1" outlineLevel="3">
      <c r="A1092" s="8" t="n"/>
      <c r="B1092" s="14" t="n"/>
      <c r="C1092" s="120" t="n"/>
      <c r="D1092" s="120" t="n"/>
      <c r="E1092" s="120" t="n"/>
      <c r="F1092" s="120" t="n"/>
      <c r="G1092" s="120" t="n"/>
      <c r="I1092" s="131" t="n"/>
      <c r="J1092" s="130" t="n"/>
      <c r="K1092" s="16" t="n"/>
      <c r="L1092" s="17" t="n"/>
      <c r="M1092" s="129">
        <f>DADOS_INVOC!$PW$70</f>
        <v/>
      </c>
      <c r="N1092" s="120" t="n"/>
      <c r="O1092" s="131" t="n"/>
      <c r="P1092" s="130" t="n"/>
      <c r="Q1092" s="16" t="n"/>
      <c r="R1092" s="17" t="n"/>
      <c r="S1092" s="129">
        <f>DADOS_INVOC!$PW$71</f>
        <v/>
      </c>
      <c r="T1092" s="120" t="n"/>
      <c r="U1092" s="131" t="n"/>
      <c r="V1092" s="130" t="n"/>
      <c r="W1092" s="16" t="n"/>
      <c r="X1092" s="17" t="n"/>
      <c r="Y1092" s="129">
        <f>DADOS_INVOC!$PW$72</f>
        <v/>
      </c>
      <c r="Z1092" s="120" t="n"/>
      <c r="AB1092" s="131" t="n"/>
      <c r="AC1092" s="130" t="n"/>
      <c r="AD1092" s="16" t="n"/>
      <c r="AE1092" s="17" t="n"/>
      <c r="AF1092" s="129">
        <f>DADOS_INVOC!$PW$148</f>
        <v/>
      </c>
      <c r="AG1092" s="120" t="n"/>
      <c r="AH1092" s="131" t="n"/>
      <c r="AI1092" s="130" t="n"/>
      <c r="AJ1092" s="16" t="n"/>
      <c r="AK1092" s="17" t="n"/>
      <c r="AL1092" s="129">
        <f>DADOS_INVOC!$PW$149</f>
        <v/>
      </c>
      <c r="AM1092" s="120" t="n"/>
      <c r="AN1092" s="131" t="n"/>
      <c r="AO1092" s="130" t="n"/>
      <c r="AP1092" s="16" t="n"/>
      <c r="AQ1092" s="17" t="n"/>
      <c r="AR1092" s="129">
        <f>DADOS_INVOC!$PW$150</f>
        <v/>
      </c>
      <c r="AS1092" s="120" t="n"/>
    </row>
    <row r="1093" hidden="1" outlineLevel="3">
      <c r="A1093" s="8" t="n"/>
      <c r="B1093" s="14" t="n"/>
      <c r="C1093" s="120" t="n"/>
      <c r="D1093" s="120" t="n"/>
      <c r="E1093" s="120" t="n"/>
      <c r="F1093" s="120" t="n"/>
      <c r="G1093" s="120" t="n"/>
      <c r="I1093" s="131" t="n"/>
      <c r="J1093" s="130" t="n"/>
      <c r="K1093" s="16" t="n"/>
      <c r="L1093" s="17" t="n"/>
      <c r="M1093" s="129">
        <f>DADOS_INVOC!$PX$70</f>
        <v/>
      </c>
      <c r="N1093" s="120" t="n"/>
      <c r="O1093" s="131" t="n"/>
      <c r="P1093" s="130" t="n"/>
      <c r="Q1093" s="16" t="n"/>
      <c r="R1093" s="17" t="n"/>
      <c r="S1093" s="129">
        <f>DADOS_INVOC!$PX$71</f>
        <v/>
      </c>
      <c r="T1093" s="120" t="n"/>
      <c r="U1093" s="131" t="n"/>
      <c r="V1093" s="130" t="n"/>
      <c r="W1093" s="16" t="n"/>
      <c r="X1093" s="17" t="n"/>
      <c r="Y1093" s="129">
        <f>DADOS_INVOC!$PX$72</f>
        <v/>
      </c>
      <c r="Z1093" s="120" t="n"/>
      <c r="AB1093" s="131" t="n"/>
      <c r="AC1093" s="130" t="n"/>
      <c r="AD1093" s="16" t="n"/>
      <c r="AE1093" s="17" t="n"/>
      <c r="AF1093" s="129">
        <f>DADOS_INVOC!$PX$148</f>
        <v/>
      </c>
      <c r="AG1093" s="120" t="n"/>
      <c r="AH1093" s="131" t="n"/>
      <c r="AI1093" s="130" t="n"/>
      <c r="AJ1093" s="16" t="n"/>
      <c r="AK1093" s="17" t="n"/>
      <c r="AL1093" s="129">
        <f>DADOS_INVOC!$PX$149</f>
        <v/>
      </c>
      <c r="AM1093" s="120" t="n"/>
      <c r="AN1093" s="131" t="n"/>
      <c r="AO1093" s="130" t="n"/>
      <c r="AP1093" s="16" t="n"/>
      <c r="AQ1093" s="17" t="n"/>
      <c r="AR1093" s="129">
        <f>DADOS_INVOC!$PX$150</f>
        <v/>
      </c>
      <c r="AS1093" s="120" t="n"/>
    </row>
    <row r="1094" hidden="1" outlineLevel="3">
      <c r="A1094" s="8" t="n"/>
      <c r="B1094" s="14" t="n"/>
      <c r="C1094" s="120" t="n"/>
      <c r="D1094" s="120" t="n"/>
      <c r="E1094" s="120" t="n"/>
      <c r="F1094" s="120" t="n"/>
      <c r="G1094" s="120" t="n"/>
      <c r="I1094" s="125" t="n"/>
      <c r="J1094" s="130" t="n"/>
      <c r="K1094" s="16" t="n"/>
      <c r="L1094" s="17" t="n"/>
      <c r="M1094" s="129">
        <f>DADOS_INVOC!$PY$70</f>
        <v/>
      </c>
      <c r="N1094" s="120" t="n"/>
      <c r="O1094" s="125" t="n"/>
      <c r="P1094" s="130" t="n"/>
      <c r="Q1094" s="16" t="n"/>
      <c r="R1094" s="17" t="n"/>
      <c r="S1094" s="129">
        <f>DADOS_INVOC!$PY$71</f>
        <v/>
      </c>
      <c r="T1094" s="120" t="n"/>
      <c r="U1094" s="125" t="n"/>
      <c r="V1094" s="130" t="n"/>
      <c r="W1094" s="16" t="n"/>
      <c r="X1094" s="17" t="n"/>
      <c r="Y1094" s="129">
        <f>DADOS_INVOC!$PY$72</f>
        <v/>
      </c>
      <c r="Z1094" s="120" t="n"/>
      <c r="AB1094" s="125" t="n"/>
      <c r="AC1094" s="130" t="n"/>
      <c r="AD1094" s="16" t="n"/>
      <c r="AE1094" s="17" t="n"/>
      <c r="AF1094" s="129">
        <f>DADOS_INVOC!$PY$148</f>
        <v/>
      </c>
      <c r="AG1094" s="120" t="n"/>
      <c r="AH1094" s="125" t="n"/>
      <c r="AI1094" s="130" t="n"/>
      <c r="AJ1094" s="16" t="n"/>
      <c r="AK1094" s="17" t="n"/>
      <c r="AL1094" s="129">
        <f>DADOS_INVOC!$PY$149</f>
        <v/>
      </c>
      <c r="AM1094" s="120" t="n"/>
      <c r="AN1094" s="125" t="n"/>
      <c r="AO1094" s="130" t="n"/>
      <c r="AP1094" s="16" t="n"/>
      <c r="AQ1094" s="17" t="n"/>
      <c r="AR1094" s="129">
        <f>DADOS_INVOC!$PY$150</f>
        <v/>
      </c>
      <c r="AS1094" s="120" t="n"/>
    </row>
    <row r="1095" hidden="1" outlineLevel="3">
      <c r="A1095" s="8" t="n"/>
      <c r="B1095" s="14" t="n"/>
      <c r="C1095" s="120" t="n"/>
      <c r="D1095" s="120" t="n"/>
      <c r="E1095" s="120" t="n"/>
      <c r="F1095" s="120" t="n"/>
      <c r="G1095" s="120" t="n"/>
      <c r="I1095" s="55" t="inlineStr">
        <is>
          <t>RESTRIÇÕES</t>
        </is>
      </c>
      <c r="J1095" s="130" t="n"/>
      <c r="K1095" s="16" t="n"/>
      <c r="L1095" s="17" t="n"/>
      <c r="M1095" s="129">
        <f>DADOS_INVOC!$PZ$70</f>
        <v/>
      </c>
      <c r="N1095" s="120" t="n"/>
      <c r="O1095" s="55" t="inlineStr">
        <is>
          <t>RESTRIÇÕES</t>
        </is>
      </c>
      <c r="P1095" s="130" t="n"/>
      <c r="Q1095" s="16" t="n"/>
      <c r="R1095" s="17" t="n"/>
      <c r="S1095" s="129">
        <f>DADOS_INVOC!$PZ$71</f>
        <v/>
      </c>
      <c r="T1095" s="120" t="n"/>
      <c r="U1095" s="55" t="inlineStr">
        <is>
          <t>RESTRIÇÕES</t>
        </is>
      </c>
      <c r="V1095" s="130" t="n"/>
      <c r="W1095" s="16" t="n"/>
      <c r="X1095" s="17" t="n"/>
      <c r="Y1095" s="129">
        <f>DADOS_INVOC!$PZ$72</f>
        <v/>
      </c>
      <c r="Z1095" s="120" t="n"/>
      <c r="AB1095" s="55" t="inlineStr">
        <is>
          <t>RESTRIÇÕES</t>
        </is>
      </c>
      <c r="AC1095" s="130" t="n"/>
      <c r="AD1095" s="16" t="n"/>
      <c r="AE1095" s="17" t="n"/>
      <c r="AF1095" s="129">
        <f>DADOS_INVOC!$PZ$148</f>
        <v/>
      </c>
      <c r="AG1095" s="120" t="n"/>
      <c r="AH1095" s="55" t="inlineStr">
        <is>
          <t>RESTRIÇÕES</t>
        </is>
      </c>
      <c r="AI1095" s="130" t="n"/>
      <c r="AJ1095" s="16" t="n"/>
      <c r="AK1095" s="17" t="n"/>
      <c r="AL1095" s="129">
        <f>DADOS_INVOC!$PZ$149</f>
        <v/>
      </c>
      <c r="AM1095" s="120" t="n"/>
      <c r="AN1095" s="55" t="inlineStr">
        <is>
          <t>RESTRIÇÕES</t>
        </is>
      </c>
      <c r="AO1095" s="130" t="n"/>
      <c r="AP1095" s="16" t="n"/>
      <c r="AQ1095" s="17" t="n"/>
      <c r="AR1095" s="129">
        <f>DADOS_INVOC!$PZ$150</f>
        <v/>
      </c>
      <c r="AS1095" s="120" t="n"/>
    </row>
    <row r="1096" hidden="1" outlineLevel="3">
      <c r="A1096" s="8" t="n"/>
      <c r="B1096" s="14" t="n"/>
      <c r="C1096" s="120" t="n"/>
      <c r="D1096" s="120" t="n"/>
      <c r="E1096" s="120" t="n"/>
      <c r="F1096" s="120" t="n"/>
      <c r="G1096" s="120" t="n"/>
      <c r="I1096" s="125" t="n"/>
      <c r="J1096" s="130" t="n"/>
      <c r="K1096" s="16" t="n"/>
      <c r="L1096" s="17" t="n"/>
      <c r="M1096" s="129">
        <f>DADOS_INVOC!$QA$70</f>
        <v/>
      </c>
      <c r="N1096" s="120" t="n"/>
      <c r="O1096" s="125" t="n"/>
      <c r="P1096" s="130" t="n"/>
      <c r="Q1096" s="16" t="n"/>
      <c r="R1096" s="17" t="n"/>
      <c r="S1096" s="129">
        <f>DADOS_INVOC!$QA$71</f>
        <v/>
      </c>
      <c r="T1096" s="120" t="n"/>
      <c r="U1096" s="125" t="n"/>
      <c r="V1096" s="130" t="n"/>
      <c r="W1096" s="16" t="n"/>
      <c r="X1096" s="17" t="n"/>
      <c r="Y1096" s="129">
        <f>DADOS_INVOC!$QA$72</f>
        <v/>
      </c>
      <c r="Z1096" s="120" t="n"/>
      <c r="AB1096" s="125" t="n"/>
      <c r="AC1096" s="130" t="n"/>
      <c r="AD1096" s="16" t="n"/>
      <c r="AE1096" s="17" t="n"/>
      <c r="AF1096" s="129">
        <f>DADOS_INVOC!$QA$148</f>
        <v/>
      </c>
      <c r="AG1096" s="120" t="n"/>
      <c r="AH1096" s="125" t="n"/>
      <c r="AI1096" s="130" t="n"/>
      <c r="AJ1096" s="16" t="n"/>
      <c r="AK1096" s="17" t="n"/>
      <c r="AL1096" s="129">
        <f>DADOS_INVOC!$QA$149</f>
        <v/>
      </c>
      <c r="AM1096" s="120" t="n"/>
      <c r="AN1096" s="125" t="n"/>
      <c r="AO1096" s="130" t="n"/>
      <c r="AP1096" s="16" t="n"/>
      <c r="AQ1096" s="17" t="n"/>
      <c r="AR1096" s="129">
        <f>DADOS_INVOC!$QA$150</f>
        <v/>
      </c>
      <c r="AS1096" s="120" t="n"/>
    </row>
    <row r="1097" hidden="1" outlineLevel="3">
      <c r="A1097" s="8" t="n"/>
      <c r="B1097" s="14" t="n"/>
      <c r="C1097" s="120" t="n"/>
      <c r="D1097" s="120" t="n"/>
      <c r="E1097" s="120" t="n"/>
      <c r="F1097" s="120" t="n"/>
      <c r="G1097" s="120" t="n"/>
      <c r="I1097" s="55" t="inlineStr">
        <is>
          <t>CONTA</t>
        </is>
      </c>
      <c r="J1097" s="132">
        <f>DADOS_INVOC!$PT$70</f>
        <v/>
      </c>
      <c r="K1097" s="16" t="n"/>
      <c r="L1097" s="16" t="n"/>
      <c r="M1097" s="17" t="n"/>
      <c r="N1097" s="120" t="n"/>
      <c r="O1097" s="55" t="inlineStr">
        <is>
          <t>CONTA</t>
        </is>
      </c>
      <c r="P1097" s="132">
        <f>DADOS_INVOC!$PT$71</f>
        <v/>
      </c>
      <c r="Q1097" s="16" t="n"/>
      <c r="R1097" s="16" t="n"/>
      <c r="S1097" s="17" t="n"/>
      <c r="T1097" s="120" t="n"/>
      <c r="U1097" s="55" t="inlineStr">
        <is>
          <t>CONTA</t>
        </is>
      </c>
      <c r="V1097" s="132">
        <f>DADOS_INVOC!$PT$72</f>
        <v/>
      </c>
      <c r="W1097" s="16" t="n"/>
      <c r="X1097" s="16" t="n"/>
      <c r="Y1097" s="17" t="n"/>
      <c r="Z1097" s="120" t="n"/>
      <c r="AB1097" s="55" t="inlineStr">
        <is>
          <t>CONTA</t>
        </is>
      </c>
      <c r="AC1097" s="132">
        <f>DADOS_INVOC!$PT$148</f>
        <v/>
      </c>
      <c r="AD1097" s="16" t="n"/>
      <c r="AE1097" s="16" t="n"/>
      <c r="AF1097" s="17" t="n"/>
      <c r="AG1097" s="120" t="n"/>
      <c r="AH1097" s="55" t="inlineStr">
        <is>
          <t>CONTA</t>
        </is>
      </c>
      <c r="AI1097" s="132">
        <f>DADOS_INVOC!$PT$149</f>
        <v/>
      </c>
      <c r="AJ1097" s="16" t="n"/>
      <c r="AK1097" s="16" t="n"/>
      <c r="AL1097" s="17" t="n"/>
      <c r="AM1097" s="120" t="n"/>
      <c r="AN1097" s="55" t="inlineStr">
        <is>
          <t>CONTA</t>
        </is>
      </c>
      <c r="AO1097" s="132">
        <f>DADOS_INVOC!$PT$150</f>
        <v/>
      </c>
      <c r="AP1097" s="16" t="n"/>
      <c r="AQ1097" s="16" t="n"/>
      <c r="AR1097" s="17" t="n"/>
      <c r="AS1097" s="120" t="n"/>
    </row>
    <row r="1098" hidden="1" outlineLevel="3">
      <c r="A1098" s="8" t="n"/>
      <c r="B1098" s="14" t="n"/>
      <c r="C1098" s="120" t="n"/>
      <c r="D1098" s="120" t="n"/>
      <c r="E1098" s="120" t="n"/>
      <c r="F1098" s="120" t="n"/>
      <c r="G1098" s="120" t="n"/>
      <c r="I1098" s="55" t="inlineStr">
        <is>
          <t>AMPLIAR</t>
        </is>
      </c>
      <c r="J1098" s="132">
        <f>DADOS_INVOC!$PU$70</f>
        <v/>
      </c>
      <c r="K1098" s="19" t="n"/>
      <c r="L1098" s="19" t="n"/>
      <c r="M1098" s="20" t="n"/>
      <c r="N1098" s="120" t="n"/>
      <c r="O1098" s="55" t="inlineStr">
        <is>
          <t>AMPLIAR</t>
        </is>
      </c>
      <c r="P1098" s="132">
        <f>DADOS_INVOC!$PU$71</f>
        <v/>
      </c>
      <c r="Q1098" s="19" t="n"/>
      <c r="R1098" s="19" t="n"/>
      <c r="S1098" s="20" t="n"/>
      <c r="T1098" s="120" t="n"/>
      <c r="U1098" s="55" t="inlineStr">
        <is>
          <t>AMPLIAR</t>
        </is>
      </c>
      <c r="V1098" s="132">
        <f>DADOS_INVOC!$PU$72</f>
        <v/>
      </c>
      <c r="W1098" s="19" t="n"/>
      <c r="X1098" s="19" t="n"/>
      <c r="Y1098" s="20" t="n"/>
      <c r="Z1098" s="120" t="n"/>
      <c r="AB1098" s="55" t="inlineStr">
        <is>
          <t>AMPLIAR</t>
        </is>
      </c>
      <c r="AC1098" s="132">
        <f>DADOS_INVOC!$PU$148</f>
        <v/>
      </c>
      <c r="AD1098" s="19" t="n"/>
      <c r="AE1098" s="19" t="n"/>
      <c r="AF1098" s="20" t="n"/>
      <c r="AG1098" s="120" t="n"/>
      <c r="AH1098" s="55" t="inlineStr">
        <is>
          <t>AMPLIAR</t>
        </is>
      </c>
      <c r="AI1098" s="132">
        <f>DADOS_INVOC!$PU$149</f>
        <v/>
      </c>
      <c r="AJ1098" s="19" t="n"/>
      <c r="AK1098" s="19" t="n"/>
      <c r="AL1098" s="20" t="n"/>
      <c r="AM1098" s="120" t="n"/>
      <c r="AN1098" s="55" t="inlineStr">
        <is>
          <t>AMPLIAR</t>
        </is>
      </c>
      <c r="AO1098" s="132">
        <f>DADOS_INVOC!$PU$150</f>
        <v/>
      </c>
      <c r="AP1098" s="19" t="n"/>
      <c r="AQ1098" s="19" t="n"/>
      <c r="AR1098" s="20" t="n"/>
      <c r="AS1098" s="120" t="n"/>
    </row>
    <row r="1099" hidden="1" outlineLevel="3">
      <c r="A1099" s="8" t="n"/>
      <c r="B1099" s="14" t="n"/>
      <c r="C1099" s="120" t="n"/>
      <c r="D1099" s="120" t="n"/>
      <c r="E1099" s="120" t="n"/>
      <c r="F1099" s="120" t="n"/>
      <c r="G1099" s="120" t="n"/>
      <c r="I1099" s="125" t="n"/>
      <c r="J1099" s="23" t="n"/>
      <c r="K1099" s="24" t="n"/>
      <c r="L1099" s="24" t="n"/>
      <c r="M1099" s="25" t="n"/>
      <c r="N1099" s="120" t="n"/>
      <c r="O1099" s="125" t="n"/>
      <c r="P1099" s="23" t="n"/>
      <c r="Q1099" s="24" t="n"/>
      <c r="R1099" s="24" t="n"/>
      <c r="S1099" s="25" t="n"/>
      <c r="T1099" s="120" t="n"/>
      <c r="U1099" s="125" t="n"/>
      <c r="V1099" s="23" t="n"/>
      <c r="W1099" s="24" t="n"/>
      <c r="X1099" s="24" t="n"/>
      <c r="Y1099" s="25" t="n"/>
      <c r="Z1099" s="120" t="n"/>
      <c r="AB1099" s="125" t="n"/>
      <c r="AC1099" s="23" t="n"/>
      <c r="AD1099" s="24" t="n"/>
      <c r="AE1099" s="24" t="n"/>
      <c r="AF1099" s="25" t="n"/>
      <c r="AG1099" s="120" t="n"/>
      <c r="AH1099" s="125" t="n"/>
      <c r="AI1099" s="23" t="n"/>
      <c r="AJ1099" s="24" t="n"/>
      <c r="AK1099" s="24" t="n"/>
      <c r="AL1099" s="25" t="n"/>
      <c r="AM1099" s="120" t="n"/>
      <c r="AN1099" s="125" t="n"/>
      <c r="AO1099" s="23" t="n"/>
      <c r="AP1099" s="24" t="n"/>
      <c r="AQ1099" s="24" t="n"/>
      <c r="AR1099" s="25" t="n"/>
      <c r="AS1099" s="120" t="n"/>
    </row>
    <row r="1100" hidden="1" outlineLevel="3">
      <c r="A1100" s="8" t="n"/>
      <c r="B1100" s="14" t="n"/>
      <c r="C1100" s="120" t="n"/>
      <c r="D1100" s="120" t="n"/>
      <c r="E1100" s="120" t="n"/>
      <c r="F1100" s="120" t="n"/>
      <c r="G1100" s="120" t="n"/>
      <c r="I1100" s="132">
        <f>DADOS_INVOC!$PH$70</f>
        <v/>
      </c>
      <c r="J1100" s="19" t="n"/>
      <c r="K1100" s="19" t="n"/>
      <c r="L1100" s="19" t="n"/>
      <c r="M1100" s="20" t="n"/>
      <c r="N1100" s="120" t="n"/>
      <c r="O1100" s="132">
        <f>DADOS_INVOC!$PH$71</f>
        <v/>
      </c>
      <c r="P1100" s="19" t="n"/>
      <c r="Q1100" s="19" t="n"/>
      <c r="R1100" s="19" t="n"/>
      <c r="S1100" s="20" t="n"/>
      <c r="T1100" s="120" t="n"/>
      <c r="U1100" s="132">
        <f>DADOS_INVOC!$PH$72</f>
        <v/>
      </c>
      <c r="V1100" s="19" t="n"/>
      <c r="W1100" s="19" t="n"/>
      <c r="X1100" s="19" t="n"/>
      <c r="Y1100" s="20" t="n"/>
      <c r="Z1100" s="120" t="n"/>
      <c r="AB1100" s="132">
        <f>DADOS_INVOC!$PH$148</f>
        <v/>
      </c>
      <c r="AC1100" s="19" t="n"/>
      <c r="AD1100" s="19" t="n"/>
      <c r="AE1100" s="19" t="n"/>
      <c r="AF1100" s="20" t="n"/>
      <c r="AG1100" s="120" t="n"/>
      <c r="AH1100" s="132">
        <f>DADOS_INVOC!$PH$149</f>
        <v/>
      </c>
      <c r="AI1100" s="19" t="n"/>
      <c r="AJ1100" s="19" t="n"/>
      <c r="AK1100" s="19" t="n"/>
      <c r="AL1100" s="20" t="n"/>
      <c r="AM1100" s="120" t="n"/>
      <c r="AN1100" s="132">
        <f>DADOS_INVOC!$PH$150</f>
        <v/>
      </c>
      <c r="AO1100" s="19" t="n"/>
      <c r="AP1100" s="19" t="n"/>
      <c r="AQ1100" s="19" t="n"/>
      <c r="AR1100" s="20" t="n"/>
      <c r="AS1100" s="120" t="n"/>
    </row>
    <row r="1101" hidden="1" outlineLevel="3">
      <c r="A1101" s="8" t="n"/>
      <c r="B1101" s="14" t="n"/>
      <c r="C1101" s="120" t="n"/>
      <c r="D1101" s="120" t="n"/>
      <c r="E1101" s="120" t="n"/>
      <c r="F1101" s="120" t="n"/>
      <c r="G1101" s="120" t="n"/>
      <c r="I1101" s="23" t="n"/>
      <c r="J1101" s="24" t="n"/>
      <c r="K1101" s="24" t="n"/>
      <c r="L1101" s="24" t="n"/>
      <c r="M1101" s="25" t="n"/>
      <c r="N1101" s="120" t="n"/>
      <c r="O1101" s="23" t="n"/>
      <c r="P1101" s="24" t="n"/>
      <c r="Q1101" s="24" t="n"/>
      <c r="R1101" s="24" t="n"/>
      <c r="S1101" s="25" t="n"/>
      <c r="T1101" s="120" t="n"/>
      <c r="U1101" s="23" t="n"/>
      <c r="V1101" s="24" t="n"/>
      <c r="W1101" s="24" t="n"/>
      <c r="X1101" s="24" t="n"/>
      <c r="Y1101" s="25" t="n"/>
      <c r="Z1101" s="120" t="n"/>
      <c r="AB1101" s="23" t="n"/>
      <c r="AC1101" s="24" t="n"/>
      <c r="AD1101" s="24" t="n"/>
      <c r="AE1101" s="24" t="n"/>
      <c r="AF1101" s="25" t="n"/>
      <c r="AG1101" s="120" t="n"/>
      <c r="AH1101" s="23" t="n"/>
      <c r="AI1101" s="24" t="n"/>
      <c r="AJ1101" s="24" t="n"/>
      <c r="AK1101" s="24" t="n"/>
      <c r="AL1101" s="25" t="n"/>
      <c r="AM1101" s="120" t="n"/>
      <c r="AN1101" s="23" t="n"/>
      <c r="AO1101" s="24" t="n"/>
      <c r="AP1101" s="24" t="n"/>
      <c r="AQ1101" s="24" t="n"/>
      <c r="AR1101" s="25" t="n"/>
      <c r="AS1101" s="120" t="n"/>
    </row>
    <row r="1102" hidden="1" outlineLevel="2">
      <c r="A1102" s="8" t="n"/>
      <c r="B1102" s="14" t="n"/>
      <c r="C1102" s="120" t="n"/>
      <c r="D1102" s="120" t="n"/>
      <c r="E1102" s="120" t="n"/>
      <c r="F1102" s="120" t="n"/>
      <c r="G1102" s="120" t="n"/>
      <c r="I1102" s="120" t="n"/>
      <c r="J1102" s="120" t="n"/>
      <c r="K1102" s="120" t="n"/>
      <c r="L1102" s="120" t="n"/>
      <c r="M1102" s="120" t="n"/>
      <c r="N1102" s="120" t="n"/>
      <c r="O1102" s="120" t="n"/>
      <c r="P1102" s="120" t="n"/>
      <c r="Q1102" s="120" t="n"/>
      <c r="R1102" s="120" t="n"/>
      <c r="S1102" s="120" t="n"/>
      <c r="T1102" s="120" t="n"/>
      <c r="U1102" s="120" t="n"/>
      <c r="V1102" s="120" t="n"/>
      <c r="W1102" s="120" t="n"/>
      <c r="X1102" s="120" t="n"/>
      <c r="Y1102" s="120" t="n"/>
      <c r="Z1102" s="120" t="n"/>
      <c r="AB1102" s="120" t="n"/>
      <c r="AC1102" s="120" t="n"/>
      <c r="AD1102" s="120" t="n"/>
      <c r="AE1102" s="120" t="n"/>
      <c r="AF1102" s="120" t="n"/>
      <c r="AG1102" s="120" t="n"/>
      <c r="AH1102" s="120" t="n"/>
      <c r="AI1102" s="120" t="n"/>
      <c r="AJ1102" s="120" t="n"/>
      <c r="AK1102" s="120" t="n"/>
      <c r="AL1102" s="120" t="n"/>
      <c r="AM1102" s="120" t="n"/>
      <c r="AN1102" s="120" t="n"/>
      <c r="AO1102" s="120" t="n"/>
      <c r="AP1102" s="120" t="n"/>
      <c r="AQ1102" s="120" t="n"/>
      <c r="AR1102" s="120" t="n"/>
      <c r="AS1102" s="120" t="n"/>
    </row>
    <row r="1103" hidden="1" outlineLevel="2">
      <c r="A1103" s="8" t="n"/>
      <c r="B1103" s="14" t="n"/>
      <c r="C1103" s="120" t="n"/>
      <c r="D1103" s="120" t="n"/>
      <c r="E1103" s="120" t="n"/>
      <c r="F1103" s="120" t="n"/>
      <c r="G1103" s="120" t="n"/>
      <c r="I1103" s="55">
        <f>DADOS_INVOC!$PI$73</f>
        <v/>
      </c>
      <c r="J1103" s="16" t="n"/>
      <c r="K1103" s="16" t="n"/>
      <c r="L1103" s="16" t="n"/>
      <c r="M1103" s="17" t="n"/>
      <c r="N1103" s="120" t="n"/>
      <c r="O1103" s="55">
        <f>DADOS_INVOC!$PI$74</f>
        <v/>
      </c>
      <c r="P1103" s="16" t="n"/>
      <c r="Q1103" s="16" t="n"/>
      <c r="R1103" s="16" t="n"/>
      <c r="S1103" s="17" t="n"/>
      <c r="T1103" s="120" t="n"/>
      <c r="U1103" s="55">
        <f>DADOS_INVOC!$PI$75</f>
        <v/>
      </c>
      <c r="V1103" s="16" t="n"/>
      <c r="W1103" s="16" t="n"/>
      <c r="X1103" s="16" t="n"/>
      <c r="Y1103" s="17" t="n"/>
      <c r="Z1103" s="120" t="n"/>
      <c r="AB1103" s="55">
        <f>DADOS_INVOC!$PI$151</f>
        <v/>
      </c>
      <c r="AC1103" s="16" t="n"/>
      <c r="AD1103" s="16" t="n"/>
      <c r="AE1103" s="16" t="n"/>
      <c r="AF1103" s="17" t="n"/>
      <c r="AG1103" s="120" t="n"/>
      <c r="AH1103" s="55">
        <f>DADOS_INVOC!$PI$152</f>
        <v/>
      </c>
      <c r="AI1103" s="16" t="n"/>
      <c r="AJ1103" s="16" t="n"/>
      <c r="AK1103" s="16" t="n"/>
      <c r="AL1103" s="17" t="n"/>
      <c r="AM1103" s="120" t="n"/>
      <c r="AN1103" s="55">
        <f>DADOS_INVOC!$PI$153</f>
        <v/>
      </c>
      <c r="AO1103" s="16" t="n"/>
      <c r="AP1103" s="16" t="n"/>
      <c r="AQ1103" s="16" t="n"/>
      <c r="AR1103" s="17" t="n"/>
      <c r="AS1103" s="120" t="n"/>
    </row>
    <row r="1104" hidden="1" outlineLevel="2">
      <c r="A1104" s="8" t="n"/>
      <c r="B1104" s="14" t="n"/>
      <c r="C1104" s="120" t="n"/>
      <c r="D1104" s="120" t="n"/>
      <c r="E1104" s="120" t="n"/>
      <c r="F1104" s="120" t="n"/>
      <c r="G1104" s="120" t="n"/>
      <c r="I1104" s="127" t="n">
        <v>1</v>
      </c>
      <c r="J1104" s="115" t="n"/>
      <c r="K1104" s="16" t="n"/>
      <c r="L1104" s="17" t="n"/>
      <c r="M1104" s="128">
        <f>DADOS_INVOC!$PG$73</f>
        <v/>
      </c>
      <c r="N1104" s="120" t="n"/>
      <c r="O1104" s="127" t="n">
        <v>1</v>
      </c>
      <c r="P1104" s="115" t="n"/>
      <c r="Q1104" s="16" t="n"/>
      <c r="R1104" s="17" t="n"/>
      <c r="S1104" s="128">
        <f>DADOS_INVOC!$PG$74</f>
        <v/>
      </c>
      <c r="T1104" s="120" t="n"/>
      <c r="U1104" s="127" t="n">
        <v>1</v>
      </c>
      <c r="V1104" s="115" t="n"/>
      <c r="W1104" s="16" t="n"/>
      <c r="X1104" s="17" t="n"/>
      <c r="Y1104" s="128">
        <f>DADOS_INVOC!$PG$75</f>
        <v/>
      </c>
      <c r="Z1104" s="120" t="n"/>
      <c r="AB1104" s="127" t="n">
        <v>1</v>
      </c>
      <c r="AC1104" s="115" t="n"/>
      <c r="AD1104" s="16" t="n"/>
      <c r="AE1104" s="17" t="n"/>
      <c r="AF1104" s="128">
        <f>DADOS_INVOC!$PG$151</f>
        <v/>
      </c>
      <c r="AG1104" s="120" t="n"/>
      <c r="AH1104" s="127" t="n">
        <v>1</v>
      </c>
      <c r="AI1104" s="115" t="n"/>
      <c r="AJ1104" s="16" t="n"/>
      <c r="AK1104" s="17" t="n"/>
      <c r="AL1104" s="128">
        <f>DADOS_INVOC!$PG$152</f>
        <v/>
      </c>
      <c r="AM1104" s="120" t="n"/>
      <c r="AN1104" s="127" t="n">
        <v>1</v>
      </c>
      <c r="AO1104" s="115" t="n"/>
      <c r="AP1104" s="16" t="n"/>
      <c r="AQ1104" s="17" t="n"/>
      <c r="AR1104" s="128">
        <f>DADOS_INVOC!$PG$153</f>
        <v/>
      </c>
      <c r="AS1104" s="120" t="n"/>
    </row>
    <row r="1105" hidden="1" outlineLevel="3">
      <c r="A1105" s="8" t="n"/>
      <c r="B1105" s="14" t="n"/>
      <c r="C1105" s="120" t="n"/>
      <c r="D1105" s="120" t="n"/>
      <c r="E1105" s="120" t="n"/>
      <c r="F1105" s="120" t="n"/>
      <c r="G1105" s="120" t="n"/>
      <c r="I1105" s="55" t="inlineStr">
        <is>
          <t>COMO É</t>
        </is>
      </c>
      <c r="J1105" s="16" t="n"/>
      <c r="K1105" s="16" t="n"/>
      <c r="L1105" s="16" t="n"/>
      <c r="M1105" s="17" t="n"/>
      <c r="N1105" s="120" t="n"/>
      <c r="O1105" s="55" t="inlineStr">
        <is>
          <t>COMO É</t>
        </is>
      </c>
      <c r="P1105" s="16" t="n"/>
      <c r="Q1105" s="16" t="n"/>
      <c r="R1105" s="16" t="n"/>
      <c r="S1105" s="17" t="n"/>
      <c r="T1105" s="120" t="n"/>
      <c r="U1105" s="55" t="inlineStr">
        <is>
          <t>COMO É</t>
        </is>
      </c>
      <c r="V1105" s="16" t="n"/>
      <c r="W1105" s="16" t="n"/>
      <c r="X1105" s="16" t="n"/>
      <c r="Y1105" s="17" t="n"/>
      <c r="Z1105" s="120" t="n"/>
      <c r="AB1105" s="55" t="inlineStr">
        <is>
          <t>COMO É</t>
        </is>
      </c>
      <c r="AC1105" s="16" t="n"/>
      <c r="AD1105" s="16" t="n"/>
      <c r="AE1105" s="16" t="n"/>
      <c r="AF1105" s="17" t="n"/>
      <c r="AG1105" s="120" t="n"/>
      <c r="AH1105" s="55" t="inlineStr">
        <is>
          <t>COMO É</t>
        </is>
      </c>
      <c r="AI1105" s="16" t="n"/>
      <c r="AJ1105" s="16" t="n"/>
      <c r="AK1105" s="16" t="n"/>
      <c r="AL1105" s="17" t="n"/>
      <c r="AM1105" s="120" t="n"/>
      <c r="AN1105" s="55" t="inlineStr">
        <is>
          <t>COMO É</t>
        </is>
      </c>
      <c r="AO1105" s="16" t="n"/>
      <c r="AP1105" s="16" t="n"/>
      <c r="AQ1105" s="16" t="n"/>
      <c r="AR1105" s="17" t="n"/>
      <c r="AS1105" s="120" t="n"/>
    </row>
    <row r="1106" hidden="1" outlineLevel="3">
      <c r="A1106" s="8" t="n"/>
      <c r="B1106" s="14" t="n"/>
      <c r="C1106" s="120" t="n"/>
      <c r="D1106" s="120" t="n"/>
      <c r="E1106" s="120" t="n"/>
      <c r="F1106" s="120" t="n"/>
      <c r="G1106" s="120" t="n"/>
      <c r="I1106" s="116" t="n"/>
      <c r="J1106" s="19" t="n"/>
      <c r="K1106" s="19" t="n"/>
      <c r="L1106" s="19" t="n"/>
      <c r="M1106" s="20" t="n"/>
      <c r="N1106" s="120" t="n"/>
      <c r="O1106" s="116" t="n"/>
      <c r="P1106" s="19" t="n"/>
      <c r="Q1106" s="19" t="n"/>
      <c r="R1106" s="19" t="n"/>
      <c r="S1106" s="20" t="n"/>
      <c r="T1106" s="120" t="n"/>
      <c r="U1106" s="116" t="n"/>
      <c r="V1106" s="19" t="n"/>
      <c r="W1106" s="19" t="n"/>
      <c r="X1106" s="19" t="n"/>
      <c r="Y1106" s="20" t="n"/>
      <c r="Z1106" s="120" t="n"/>
      <c r="AB1106" s="116" t="n"/>
      <c r="AC1106" s="19" t="n"/>
      <c r="AD1106" s="19" t="n"/>
      <c r="AE1106" s="19" t="n"/>
      <c r="AF1106" s="20" t="n"/>
      <c r="AG1106" s="120" t="n"/>
      <c r="AH1106" s="116" t="n"/>
      <c r="AI1106" s="19" t="n"/>
      <c r="AJ1106" s="19" t="n"/>
      <c r="AK1106" s="19" t="n"/>
      <c r="AL1106" s="20" t="n"/>
      <c r="AM1106" s="120" t="n"/>
      <c r="AN1106" s="116" t="n"/>
      <c r="AO1106" s="19" t="n"/>
      <c r="AP1106" s="19" t="n"/>
      <c r="AQ1106" s="19" t="n"/>
      <c r="AR1106" s="20" t="n"/>
      <c r="AS1106" s="120" t="n"/>
    </row>
    <row r="1107" hidden="1" outlineLevel="3">
      <c r="A1107" s="8" t="n"/>
      <c r="B1107" s="14" t="n"/>
      <c r="C1107" s="120" t="n"/>
      <c r="D1107" s="120" t="n"/>
      <c r="E1107" s="120" t="n"/>
      <c r="F1107" s="120" t="n"/>
      <c r="G1107" s="120" t="n"/>
      <c r="I1107" s="21" t="n"/>
      <c r="M1107" s="22" t="n"/>
      <c r="N1107" s="120" t="n"/>
      <c r="O1107" s="21" t="n"/>
      <c r="S1107" s="22" t="n"/>
      <c r="T1107" s="120" t="n"/>
      <c r="U1107" s="21" t="n"/>
      <c r="Y1107" s="22" t="n"/>
      <c r="Z1107" s="120" t="n"/>
      <c r="AB1107" s="21" t="n"/>
      <c r="AF1107" s="22" t="n"/>
      <c r="AG1107" s="120" t="n"/>
      <c r="AH1107" s="21" t="n"/>
      <c r="AL1107" s="22" t="n"/>
      <c r="AM1107" s="120" t="n"/>
      <c r="AN1107" s="21" t="n"/>
      <c r="AR1107" s="22" t="n"/>
      <c r="AS1107" s="120" t="n"/>
    </row>
    <row r="1108" hidden="1" outlineLevel="3">
      <c r="A1108" s="8" t="n"/>
      <c r="B1108" s="14" t="n"/>
      <c r="C1108" s="120" t="n"/>
      <c r="D1108" s="120" t="n"/>
      <c r="E1108" s="120" t="n"/>
      <c r="F1108" s="120" t="n"/>
      <c r="G1108" s="120" t="n"/>
      <c r="I1108" s="23" t="n"/>
      <c r="J1108" s="24" t="n"/>
      <c r="K1108" s="24" t="n"/>
      <c r="L1108" s="24" t="n"/>
      <c r="M1108" s="25" t="n"/>
      <c r="N1108" s="120" t="n"/>
      <c r="O1108" s="23" t="n"/>
      <c r="P1108" s="24" t="n"/>
      <c r="Q1108" s="24" t="n"/>
      <c r="R1108" s="24" t="n"/>
      <c r="S1108" s="25" t="n"/>
      <c r="T1108" s="120" t="n"/>
      <c r="U1108" s="23" t="n"/>
      <c r="V1108" s="24" t="n"/>
      <c r="W1108" s="24" t="n"/>
      <c r="X1108" s="24" t="n"/>
      <c r="Y1108" s="25" t="n"/>
      <c r="Z1108" s="120" t="n"/>
      <c r="AB1108" s="23" t="n"/>
      <c r="AC1108" s="24" t="n"/>
      <c r="AD1108" s="24" t="n"/>
      <c r="AE1108" s="24" t="n"/>
      <c r="AF1108" s="25" t="n"/>
      <c r="AG1108" s="120" t="n"/>
      <c r="AH1108" s="23" t="n"/>
      <c r="AI1108" s="24" t="n"/>
      <c r="AJ1108" s="24" t="n"/>
      <c r="AK1108" s="24" t="n"/>
      <c r="AL1108" s="25" t="n"/>
      <c r="AM1108" s="120" t="n"/>
      <c r="AN1108" s="23" t="n"/>
      <c r="AO1108" s="24" t="n"/>
      <c r="AP1108" s="24" t="n"/>
      <c r="AQ1108" s="24" t="n"/>
      <c r="AR1108" s="25" t="n"/>
      <c r="AS1108" s="120" t="n"/>
    </row>
    <row r="1109" hidden="1" outlineLevel="2">
      <c r="A1109" s="8" t="n"/>
      <c r="B1109" s="14" t="n"/>
      <c r="C1109" s="120" t="n"/>
      <c r="D1109" s="120" t="n"/>
      <c r="E1109" s="120" t="n"/>
      <c r="F1109" s="120" t="n"/>
      <c r="G1109" s="120" t="n"/>
      <c r="I1109" s="124" t="inlineStr">
        <is>
          <t>Projétil</t>
        </is>
      </c>
      <c r="J1109" s="17" t="n"/>
      <c r="K1109" s="68">
        <f>DADOS_INVOC!$PN$73</f>
        <v/>
      </c>
      <c r="L1109" s="17" t="n"/>
      <c r="M1109" s="68">
        <f>DADOS_INVOC!$PJ$73</f>
        <v/>
      </c>
      <c r="N1109" s="120" t="n"/>
      <c r="O1109" s="124" t="inlineStr">
        <is>
          <t>Projétil</t>
        </is>
      </c>
      <c r="P1109" s="17" t="n"/>
      <c r="Q1109" s="68">
        <f>DADOS_INVOC!$PN$74</f>
        <v/>
      </c>
      <c r="R1109" s="17" t="n"/>
      <c r="S1109" s="68">
        <f>DADOS_INVOC!$PJ$74</f>
        <v/>
      </c>
      <c r="T1109" s="120" t="n"/>
      <c r="U1109" s="124" t="inlineStr">
        <is>
          <t>Projétil</t>
        </is>
      </c>
      <c r="V1109" s="17" t="n"/>
      <c r="W1109" s="68">
        <f>DADOS_INVOC!$PN$75</f>
        <v/>
      </c>
      <c r="X1109" s="17" t="n"/>
      <c r="Y1109" s="68">
        <f>DADOS_INVOC!$PJ$75</f>
        <v/>
      </c>
      <c r="Z1109" s="120" t="n"/>
      <c r="AB1109" s="124" t="inlineStr">
        <is>
          <t>Projétil</t>
        </is>
      </c>
      <c r="AC1109" s="17" t="n"/>
      <c r="AD1109" s="68">
        <f>DADOS_INVOC!$PN$151</f>
        <v/>
      </c>
      <c r="AE1109" s="17" t="n"/>
      <c r="AF1109" s="68">
        <f>DADOS_INVOC!$PJ$151</f>
        <v/>
      </c>
      <c r="AG1109" s="120" t="n"/>
      <c r="AH1109" s="124" t="inlineStr">
        <is>
          <t>Projétil</t>
        </is>
      </c>
      <c r="AI1109" s="17" t="n"/>
      <c r="AJ1109" s="68">
        <f>DADOS_INVOC!$PN$152</f>
        <v/>
      </c>
      <c r="AK1109" s="17" t="n"/>
      <c r="AL1109" s="68">
        <f>DADOS_INVOC!$PJ$152</f>
        <v/>
      </c>
      <c r="AM1109" s="120" t="n"/>
      <c r="AN1109" s="124" t="inlineStr">
        <is>
          <t>Projétil</t>
        </is>
      </c>
      <c r="AO1109" s="17" t="n"/>
      <c r="AP1109" s="68">
        <f>DADOS_INVOC!$PN$153</f>
        <v/>
      </c>
      <c r="AQ1109" s="17" t="n"/>
      <c r="AR1109" s="68">
        <f>DADOS_INVOC!$PJ$153</f>
        <v/>
      </c>
      <c r="AS1109" s="120" t="n"/>
    </row>
    <row r="1110" hidden="1" outlineLevel="2">
      <c r="A1110" s="8" t="n"/>
      <c r="B1110" s="14" t="n"/>
      <c r="C1110" s="120" t="n"/>
      <c r="D1110" s="120" t="n"/>
      <c r="E1110" s="120" t="n"/>
      <c r="F1110" s="120" t="n"/>
      <c r="G1110" s="120" t="n"/>
      <c r="I1110" s="124" t="n"/>
      <c r="J1110" s="17" t="n"/>
      <c r="K1110" s="124" t="n"/>
      <c r="L1110" s="16" t="n"/>
      <c r="M1110" s="17" t="n"/>
      <c r="N1110" s="120" t="n"/>
      <c r="O1110" s="124" t="n"/>
      <c r="P1110" s="17" t="n"/>
      <c r="Q1110" s="124" t="n"/>
      <c r="R1110" s="16" t="n"/>
      <c r="S1110" s="17" t="n"/>
      <c r="T1110" s="120" t="n"/>
      <c r="U1110" s="124" t="n"/>
      <c r="V1110" s="17" t="n"/>
      <c r="W1110" s="124" t="n"/>
      <c r="X1110" s="16" t="n"/>
      <c r="Y1110" s="17" t="n"/>
      <c r="Z1110" s="120" t="n"/>
      <c r="AB1110" s="124" t="n"/>
      <c r="AC1110" s="17" t="n"/>
      <c r="AD1110" s="124" t="n"/>
      <c r="AE1110" s="16" t="n"/>
      <c r="AF1110" s="17" t="n"/>
      <c r="AG1110" s="120" t="n"/>
      <c r="AH1110" s="124" t="n"/>
      <c r="AI1110" s="17" t="n"/>
      <c r="AJ1110" s="124" t="n"/>
      <c r="AK1110" s="16" t="n"/>
      <c r="AL1110" s="17" t="n"/>
      <c r="AM1110" s="120" t="n"/>
      <c r="AN1110" s="124" t="n"/>
      <c r="AO1110" s="17" t="n"/>
      <c r="AP1110" s="124" t="n"/>
      <c r="AQ1110" s="16" t="n"/>
      <c r="AR1110" s="17" t="n"/>
      <c r="AS1110" s="120" t="n"/>
    </row>
    <row r="1111" hidden="1" outlineLevel="2">
      <c r="A1111" s="8" t="n"/>
      <c r="B1111" s="14" t="n"/>
      <c r="C1111" s="120" t="n"/>
      <c r="D1111" s="120" t="n"/>
      <c r="E1111" s="120" t="n"/>
      <c r="F1111" s="120" t="n"/>
      <c r="G1111" s="120" t="n"/>
      <c r="I1111" s="124">
        <f>DADOS_INVOC!$PK$73</f>
        <v/>
      </c>
      <c r="J1111" s="17" t="n"/>
      <c r="K1111" s="124">
        <f>DADOS_INVOC!$PM$73</f>
        <v/>
      </c>
      <c r="L1111" s="16" t="n"/>
      <c r="M1111" s="17" t="n"/>
      <c r="N1111" s="120" t="n"/>
      <c r="O1111" s="124">
        <f>DADOS_INVOC!$PK$74</f>
        <v/>
      </c>
      <c r="P1111" s="17" t="n"/>
      <c r="Q1111" s="124">
        <f>DADOS_INVOC!$PM$74</f>
        <v/>
      </c>
      <c r="R1111" s="16" t="n"/>
      <c r="S1111" s="17" t="n"/>
      <c r="T1111" s="120" t="n"/>
      <c r="U1111" s="124">
        <f>DADOS_INVOC!$PK$75</f>
        <v/>
      </c>
      <c r="V1111" s="17" t="n"/>
      <c r="W1111" s="124">
        <f>DADOS_INVOC!$PM$75</f>
        <v/>
      </c>
      <c r="X1111" s="16" t="n"/>
      <c r="Y1111" s="17" t="n"/>
      <c r="Z1111" s="120" t="n"/>
      <c r="AB1111" s="124">
        <f>DADOS_INVOC!$PK$151</f>
        <v/>
      </c>
      <c r="AC1111" s="17" t="n"/>
      <c r="AD1111" s="124">
        <f>DADOS_INVOC!$PM$151</f>
        <v/>
      </c>
      <c r="AE1111" s="16" t="n"/>
      <c r="AF1111" s="17" t="n"/>
      <c r="AG1111" s="120" t="n"/>
      <c r="AH1111" s="124">
        <f>DADOS_INVOC!$PK$152</f>
        <v/>
      </c>
      <c r="AI1111" s="17" t="n"/>
      <c r="AJ1111" s="124">
        <f>DADOS_INVOC!$PM$152</f>
        <v/>
      </c>
      <c r="AK1111" s="16" t="n"/>
      <c r="AL1111" s="17" t="n"/>
      <c r="AM1111" s="120" t="n"/>
      <c r="AN1111" s="124">
        <f>DADOS_INVOC!$PK$153</f>
        <v/>
      </c>
      <c r="AO1111" s="17" t="n"/>
      <c r="AP1111" s="124">
        <f>DADOS_INVOC!$PM$153</f>
        <v/>
      </c>
      <c r="AQ1111" s="16" t="n"/>
      <c r="AR1111" s="17" t="n"/>
      <c r="AS1111" s="120" t="n"/>
    </row>
    <row r="1112" hidden="1" outlineLevel="2">
      <c r="A1112" s="8" t="n"/>
      <c r="B1112" s="14" t="n"/>
      <c r="C1112" s="120" t="n"/>
      <c r="D1112" s="120" t="n"/>
      <c r="E1112" s="120" t="n"/>
      <c r="F1112" s="120" t="n"/>
      <c r="G1112" s="120" t="n"/>
      <c r="I1112" s="129">
        <f>DADOS_INVOC!$PS$73</f>
        <v/>
      </c>
      <c r="J1112" s="16" t="n"/>
      <c r="K1112" s="16" t="n"/>
      <c r="L1112" s="16" t="n"/>
      <c r="M1112" s="17" t="n"/>
      <c r="N1112" s="120" t="n"/>
      <c r="O1112" s="129">
        <f>DADOS_INVOC!$PS$74</f>
        <v/>
      </c>
      <c r="P1112" s="16" t="n"/>
      <c r="Q1112" s="16" t="n"/>
      <c r="R1112" s="16" t="n"/>
      <c r="S1112" s="17" t="n"/>
      <c r="T1112" s="120" t="n"/>
      <c r="U1112" s="129">
        <f>DADOS_INVOC!$PS$75</f>
        <v/>
      </c>
      <c r="V1112" s="16" t="n"/>
      <c r="W1112" s="16" t="n"/>
      <c r="X1112" s="16" t="n"/>
      <c r="Y1112" s="17" t="n"/>
      <c r="Z1112" s="120" t="n"/>
      <c r="AB1112" s="129">
        <f>DADOS_INVOC!$PS$151</f>
        <v/>
      </c>
      <c r="AC1112" s="16" t="n"/>
      <c r="AD1112" s="16" t="n"/>
      <c r="AE1112" s="16" t="n"/>
      <c r="AF1112" s="17" t="n"/>
      <c r="AG1112" s="120" t="n"/>
      <c r="AH1112" s="129">
        <f>DADOS_INVOC!$PS$152</f>
        <v/>
      </c>
      <c r="AI1112" s="16" t="n"/>
      <c r="AJ1112" s="16" t="n"/>
      <c r="AK1112" s="16" t="n"/>
      <c r="AL1112" s="17" t="n"/>
      <c r="AM1112" s="120" t="n"/>
      <c r="AN1112" s="129">
        <f>DADOS_INVOC!$PS$153</f>
        <v/>
      </c>
      <c r="AO1112" s="16" t="n"/>
      <c r="AP1112" s="16" t="n"/>
      <c r="AQ1112" s="16" t="n"/>
      <c r="AR1112" s="17" t="n"/>
      <c r="AS1112" s="120" t="n"/>
    </row>
    <row r="1113" hidden="1" outlineLevel="3">
      <c r="A1113" s="8" t="n"/>
      <c r="B1113" s="14" t="n"/>
      <c r="C1113" s="120" t="n"/>
      <c r="D1113" s="120" t="n"/>
      <c r="E1113" s="120" t="n"/>
      <c r="F1113" s="120" t="n"/>
      <c r="G1113" s="120" t="n"/>
      <c r="I1113" s="55" t="inlineStr">
        <is>
          <t>MELHORIAS</t>
        </is>
      </c>
      <c r="J1113" s="130" t="n"/>
      <c r="K1113" s="16" t="n"/>
      <c r="L1113" s="17" t="n"/>
      <c r="M1113" s="129">
        <f>DADOS_INVOC!$PV$73</f>
        <v/>
      </c>
      <c r="N1113" s="120" t="n"/>
      <c r="O1113" s="55" t="inlineStr">
        <is>
          <t>MELHORIAS</t>
        </is>
      </c>
      <c r="P1113" s="130" t="n"/>
      <c r="Q1113" s="16" t="n"/>
      <c r="R1113" s="17" t="n"/>
      <c r="S1113" s="129">
        <f>DADOS_INVOC!$PV$74</f>
        <v/>
      </c>
      <c r="T1113" s="120" t="n"/>
      <c r="U1113" s="55" t="inlineStr">
        <is>
          <t>MELHORIAS</t>
        </is>
      </c>
      <c r="V1113" s="130" t="n"/>
      <c r="W1113" s="16" t="n"/>
      <c r="X1113" s="17" t="n"/>
      <c r="Y1113" s="129">
        <f>DADOS_INVOC!$PV$75</f>
        <v/>
      </c>
      <c r="Z1113" s="120" t="n"/>
      <c r="AB1113" s="55" t="inlineStr">
        <is>
          <t>MELHORIAS</t>
        </is>
      </c>
      <c r="AC1113" s="130" t="n"/>
      <c r="AD1113" s="16" t="n"/>
      <c r="AE1113" s="17" t="n"/>
      <c r="AF1113" s="129">
        <f>DADOS_INVOC!$PV$151</f>
        <v/>
      </c>
      <c r="AG1113" s="120" t="n"/>
      <c r="AH1113" s="55" t="inlineStr">
        <is>
          <t>MELHORIAS</t>
        </is>
      </c>
      <c r="AI1113" s="130" t="n"/>
      <c r="AJ1113" s="16" t="n"/>
      <c r="AK1113" s="17" t="n"/>
      <c r="AL1113" s="129">
        <f>DADOS_INVOC!$PV$152</f>
        <v/>
      </c>
      <c r="AM1113" s="120" t="n"/>
      <c r="AN1113" s="55" t="inlineStr">
        <is>
          <t>MELHORIAS</t>
        </is>
      </c>
      <c r="AO1113" s="130" t="n"/>
      <c r="AP1113" s="16" t="n"/>
      <c r="AQ1113" s="17" t="n"/>
      <c r="AR1113" s="129">
        <f>DADOS_INVOC!$PV$153</f>
        <v/>
      </c>
      <c r="AS1113" s="120" t="n"/>
    </row>
    <row r="1114" hidden="1" outlineLevel="3">
      <c r="A1114" s="8" t="n"/>
      <c r="B1114" s="14" t="n"/>
      <c r="C1114" s="120" t="n"/>
      <c r="D1114" s="120" t="n"/>
      <c r="E1114" s="120" t="n"/>
      <c r="F1114" s="120" t="n"/>
      <c r="G1114" s="120" t="n"/>
      <c r="I1114" s="131" t="n"/>
      <c r="J1114" s="130" t="n"/>
      <c r="K1114" s="16" t="n"/>
      <c r="L1114" s="17" t="n"/>
      <c r="M1114" s="129">
        <f>DADOS_INVOC!$PW$73</f>
        <v/>
      </c>
      <c r="N1114" s="120" t="n"/>
      <c r="O1114" s="131" t="n"/>
      <c r="P1114" s="130" t="n"/>
      <c r="Q1114" s="16" t="n"/>
      <c r="R1114" s="17" t="n"/>
      <c r="S1114" s="129">
        <f>DADOS_INVOC!$PW$74</f>
        <v/>
      </c>
      <c r="T1114" s="120" t="n"/>
      <c r="U1114" s="131" t="n"/>
      <c r="V1114" s="130" t="n"/>
      <c r="W1114" s="16" t="n"/>
      <c r="X1114" s="17" t="n"/>
      <c r="Y1114" s="129">
        <f>DADOS_INVOC!$PW$75</f>
        <v/>
      </c>
      <c r="Z1114" s="120" t="n"/>
      <c r="AB1114" s="131" t="n"/>
      <c r="AC1114" s="130" t="n"/>
      <c r="AD1114" s="16" t="n"/>
      <c r="AE1114" s="17" t="n"/>
      <c r="AF1114" s="129">
        <f>DADOS_INVOC!$PW$151</f>
        <v/>
      </c>
      <c r="AG1114" s="120" t="n"/>
      <c r="AH1114" s="131" t="n"/>
      <c r="AI1114" s="130" t="n"/>
      <c r="AJ1114" s="16" t="n"/>
      <c r="AK1114" s="17" t="n"/>
      <c r="AL1114" s="129">
        <f>DADOS_INVOC!$PW$152</f>
        <v/>
      </c>
      <c r="AM1114" s="120" t="n"/>
      <c r="AN1114" s="131" t="n"/>
      <c r="AO1114" s="130" t="n"/>
      <c r="AP1114" s="16" t="n"/>
      <c r="AQ1114" s="17" t="n"/>
      <c r="AR1114" s="129">
        <f>DADOS_INVOC!$PW$153</f>
        <v/>
      </c>
      <c r="AS1114" s="120" t="n"/>
    </row>
    <row r="1115" hidden="1" outlineLevel="3">
      <c r="A1115" s="8" t="n"/>
      <c r="B1115" s="14" t="n"/>
      <c r="C1115" s="120" t="n"/>
      <c r="D1115" s="120" t="n"/>
      <c r="E1115" s="120" t="n"/>
      <c r="F1115" s="120" t="n"/>
      <c r="G1115" s="120" t="n"/>
      <c r="I1115" s="131" t="n"/>
      <c r="J1115" s="130" t="n"/>
      <c r="K1115" s="16" t="n"/>
      <c r="L1115" s="17" t="n"/>
      <c r="M1115" s="129">
        <f>DADOS_INVOC!$PX$73</f>
        <v/>
      </c>
      <c r="N1115" s="120" t="n"/>
      <c r="O1115" s="131" t="n"/>
      <c r="P1115" s="130" t="n"/>
      <c r="Q1115" s="16" t="n"/>
      <c r="R1115" s="17" t="n"/>
      <c r="S1115" s="129">
        <f>DADOS_INVOC!$PX$74</f>
        <v/>
      </c>
      <c r="T1115" s="120" t="n"/>
      <c r="U1115" s="131" t="n"/>
      <c r="V1115" s="130" t="n"/>
      <c r="W1115" s="16" t="n"/>
      <c r="X1115" s="17" t="n"/>
      <c r="Y1115" s="129">
        <f>DADOS_INVOC!$PX$75</f>
        <v/>
      </c>
      <c r="Z1115" s="120" t="n"/>
      <c r="AB1115" s="131" t="n"/>
      <c r="AC1115" s="130" t="n"/>
      <c r="AD1115" s="16" t="n"/>
      <c r="AE1115" s="17" t="n"/>
      <c r="AF1115" s="129">
        <f>DADOS_INVOC!$PX$151</f>
        <v/>
      </c>
      <c r="AG1115" s="120" t="n"/>
      <c r="AH1115" s="131" t="n"/>
      <c r="AI1115" s="130" t="n"/>
      <c r="AJ1115" s="16" t="n"/>
      <c r="AK1115" s="17" t="n"/>
      <c r="AL1115" s="129">
        <f>DADOS_INVOC!$PX$152</f>
        <v/>
      </c>
      <c r="AM1115" s="120" t="n"/>
      <c r="AN1115" s="131" t="n"/>
      <c r="AO1115" s="130" t="n"/>
      <c r="AP1115" s="16" t="n"/>
      <c r="AQ1115" s="17" t="n"/>
      <c r="AR1115" s="129">
        <f>DADOS_INVOC!$PX$153</f>
        <v/>
      </c>
      <c r="AS1115" s="120" t="n"/>
    </row>
    <row r="1116" hidden="1" outlineLevel="3">
      <c r="A1116" s="8" t="n"/>
      <c r="B1116" s="14" t="n"/>
      <c r="C1116" s="120" t="n"/>
      <c r="D1116" s="120" t="n"/>
      <c r="E1116" s="120" t="n"/>
      <c r="F1116" s="120" t="n"/>
      <c r="G1116" s="120" t="n"/>
      <c r="I1116" s="125" t="n"/>
      <c r="J1116" s="130" t="n"/>
      <c r="K1116" s="16" t="n"/>
      <c r="L1116" s="17" t="n"/>
      <c r="M1116" s="129">
        <f>DADOS_INVOC!$PY$73</f>
        <v/>
      </c>
      <c r="N1116" s="120" t="n"/>
      <c r="O1116" s="125" t="n"/>
      <c r="P1116" s="130" t="n"/>
      <c r="Q1116" s="16" t="n"/>
      <c r="R1116" s="17" t="n"/>
      <c r="S1116" s="129">
        <f>DADOS_INVOC!$PY$74</f>
        <v/>
      </c>
      <c r="T1116" s="120" t="n"/>
      <c r="U1116" s="125" t="n"/>
      <c r="V1116" s="130" t="n"/>
      <c r="W1116" s="16" t="n"/>
      <c r="X1116" s="17" t="n"/>
      <c r="Y1116" s="129">
        <f>DADOS_INVOC!$PY$75</f>
        <v/>
      </c>
      <c r="Z1116" s="120" t="n"/>
      <c r="AB1116" s="125" t="n"/>
      <c r="AC1116" s="130" t="n"/>
      <c r="AD1116" s="16" t="n"/>
      <c r="AE1116" s="17" t="n"/>
      <c r="AF1116" s="129">
        <f>DADOS_INVOC!$PY$151</f>
        <v/>
      </c>
      <c r="AG1116" s="120" t="n"/>
      <c r="AH1116" s="125" t="n"/>
      <c r="AI1116" s="130" t="n"/>
      <c r="AJ1116" s="16" t="n"/>
      <c r="AK1116" s="17" t="n"/>
      <c r="AL1116" s="129">
        <f>DADOS_INVOC!$PY$152</f>
        <v/>
      </c>
      <c r="AM1116" s="120" t="n"/>
      <c r="AN1116" s="125" t="n"/>
      <c r="AO1116" s="130" t="n"/>
      <c r="AP1116" s="16" t="n"/>
      <c r="AQ1116" s="17" t="n"/>
      <c r="AR1116" s="129">
        <f>DADOS_INVOC!$PY$153</f>
        <v/>
      </c>
      <c r="AS1116" s="120" t="n"/>
    </row>
    <row r="1117" hidden="1" outlineLevel="3">
      <c r="A1117" s="8" t="n"/>
      <c r="B1117" s="14" t="n"/>
      <c r="C1117" s="120" t="n"/>
      <c r="D1117" s="120" t="n"/>
      <c r="E1117" s="120" t="n"/>
      <c r="F1117" s="120" t="n"/>
      <c r="G1117" s="120" t="n"/>
      <c r="I1117" s="55" t="inlineStr">
        <is>
          <t>RESTRIÇÕES</t>
        </is>
      </c>
      <c r="J1117" s="130" t="n"/>
      <c r="K1117" s="16" t="n"/>
      <c r="L1117" s="17" t="n"/>
      <c r="M1117" s="129">
        <f>DADOS_INVOC!$PZ$73</f>
        <v/>
      </c>
      <c r="N1117" s="120" t="n"/>
      <c r="O1117" s="55" t="inlineStr">
        <is>
          <t>RESTRIÇÕES</t>
        </is>
      </c>
      <c r="P1117" s="130" t="n"/>
      <c r="Q1117" s="16" t="n"/>
      <c r="R1117" s="17" t="n"/>
      <c r="S1117" s="129">
        <f>DADOS_INVOC!$PZ$74</f>
        <v/>
      </c>
      <c r="T1117" s="120" t="n"/>
      <c r="U1117" s="55" t="inlineStr">
        <is>
          <t>RESTRIÇÕES</t>
        </is>
      </c>
      <c r="V1117" s="130" t="n"/>
      <c r="W1117" s="16" t="n"/>
      <c r="X1117" s="17" t="n"/>
      <c r="Y1117" s="129">
        <f>DADOS_INVOC!$PZ$75</f>
        <v/>
      </c>
      <c r="Z1117" s="120" t="n"/>
      <c r="AB1117" s="55" t="inlineStr">
        <is>
          <t>RESTRIÇÕES</t>
        </is>
      </c>
      <c r="AC1117" s="130" t="n"/>
      <c r="AD1117" s="16" t="n"/>
      <c r="AE1117" s="17" t="n"/>
      <c r="AF1117" s="129">
        <f>DADOS_INVOC!$PZ$151</f>
        <v/>
      </c>
      <c r="AG1117" s="120" t="n"/>
      <c r="AH1117" s="55" t="inlineStr">
        <is>
          <t>RESTRIÇÕES</t>
        </is>
      </c>
      <c r="AI1117" s="130" t="n"/>
      <c r="AJ1117" s="16" t="n"/>
      <c r="AK1117" s="17" t="n"/>
      <c r="AL1117" s="129">
        <f>DADOS_INVOC!$PZ$152</f>
        <v/>
      </c>
      <c r="AM1117" s="120" t="n"/>
      <c r="AN1117" s="55" t="inlineStr">
        <is>
          <t>RESTRIÇÕES</t>
        </is>
      </c>
      <c r="AO1117" s="130" t="n"/>
      <c r="AP1117" s="16" t="n"/>
      <c r="AQ1117" s="17" t="n"/>
      <c r="AR1117" s="129">
        <f>DADOS_INVOC!$PZ$153</f>
        <v/>
      </c>
      <c r="AS1117" s="120" t="n"/>
    </row>
    <row r="1118" hidden="1" outlineLevel="3">
      <c r="A1118" s="8" t="n"/>
      <c r="B1118" s="14" t="n"/>
      <c r="C1118" s="120" t="n"/>
      <c r="D1118" s="120" t="n"/>
      <c r="E1118" s="120" t="n"/>
      <c r="F1118" s="120" t="n"/>
      <c r="G1118" s="120" t="n"/>
      <c r="I1118" s="125" t="n"/>
      <c r="J1118" s="130" t="n"/>
      <c r="K1118" s="16" t="n"/>
      <c r="L1118" s="17" t="n"/>
      <c r="M1118" s="129">
        <f>DADOS_INVOC!$QA$73</f>
        <v/>
      </c>
      <c r="N1118" s="120" t="n"/>
      <c r="O1118" s="125" t="n"/>
      <c r="P1118" s="130" t="n"/>
      <c r="Q1118" s="16" t="n"/>
      <c r="R1118" s="17" t="n"/>
      <c r="S1118" s="129">
        <f>DADOS_INVOC!$QA$74</f>
        <v/>
      </c>
      <c r="T1118" s="120" t="n"/>
      <c r="U1118" s="125" t="n"/>
      <c r="V1118" s="130" t="n"/>
      <c r="W1118" s="16" t="n"/>
      <c r="X1118" s="17" t="n"/>
      <c r="Y1118" s="129">
        <f>DADOS_INVOC!$QA$75</f>
        <v/>
      </c>
      <c r="Z1118" s="120" t="n"/>
      <c r="AB1118" s="125" t="n"/>
      <c r="AC1118" s="130" t="n"/>
      <c r="AD1118" s="16" t="n"/>
      <c r="AE1118" s="17" t="n"/>
      <c r="AF1118" s="129">
        <f>DADOS_INVOC!$QA$151</f>
        <v/>
      </c>
      <c r="AG1118" s="120" t="n"/>
      <c r="AH1118" s="125" t="n"/>
      <c r="AI1118" s="130" t="n"/>
      <c r="AJ1118" s="16" t="n"/>
      <c r="AK1118" s="17" t="n"/>
      <c r="AL1118" s="129">
        <f>DADOS_INVOC!$QA$152</f>
        <v/>
      </c>
      <c r="AM1118" s="120" t="n"/>
      <c r="AN1118" s="125" t="n"/>
      <c r="AO1118" s="130" t="n"/>
      <c r="AP1118" s="16" t="n"/>
      <c r="AQ1118" s="17" t="n"/>
      <c r="AR1118" s="129">
        <f>DADOS_INVOC!$QA$153</f>
        <v/>
      </c>
      <c r="AS1118" s="120" t="n"/>
    </row>
    <row r="1119" hidden="1" outlineLevel="3">
      <c r="A1119" s="8" t="n"/>
      <c r="B1119" s="14" t="n"/>
      <c r="C1119" s="120" t="n"/>
      <c r="D1119" s="120" t="n"/>
      <c r="E1119" s="120" t="n"/>
      <c r="F1119" s="120" t="n"/>
      <c r="G1119" s="120" t="n"/>
      <c r="I1119" s="55" t="inlineStr">
        <is>
          <t>CONTA</t>
        </is>
      </c>
      <c r="J1119" s="132">
        <f>DADOS_INVOC!$PT$73</f>
        <v/>
      </c>
      <c r="K1119" s="16" t="n"/>
      <c r="L1119" s="16" t="n"/>
      <c r="M1119" s="17" t="n"/>
      <c r="N1119" s="120" t="n"/>
      <c r="O1119" s="55" t="inlineStr">
        <is>
          <t>CONTA</t>
        </is>
      </c>
      <c r="P1119" s="132">
        <f>DADOS_INVOC!$PT$74</f>
        <v/>
      </c>
      <c r="Q1119" s="16" t="n"/>
      <c r="R1119" s="16" t="n"/>
      <c r="S1119" s="17" t="n"/>
      <c r="T1119" s="120" t="n"/>
      <c r="U1119" s="55" t="inlineStr">
        <is>
          <t>CONTA</t>
        </is>
      </c>
      <c r="V1119" s="132">
        <f>DADOS_INVOC!$PT$75</f>
        <v/>
      </c>
      <c r="W1119" s="16" t="n"/>
      <c r="X1119" s="16" t="n"/>
      <c r="Y1119" s="17" t="n"/>
      <c r="Z1119" s="120" t="n"/>
      <c r="AB1119" s="55" t="inlineStr">
        <is>
          <t>CONTA</t>
        </is>
      </c>
      <c r="AC1119" s="132">
        <f>DADOS_INVOC!$PT$151</f>
        <v/>
      </c>
      <c r="AD1119" s="16" t="n"/>
      <c r="AE1119" s="16" t="n"/>
      <c r="AF1119" s="17" t="n"/>
      <c r="AG1119" s="120" t="n"/>
      <c r="AH1119" s="55" t="inlineStr">
        <is>
          <t>CONTA</t>
        </is>
      </c>
      <c r="AI1119" s="132">
        <f>DADOS_INVOC!$PT$152</f>
        <v/>
      </c>
      <c r="AJ1119" s="16" t="n"/>
      <c r="AK1119" s="16" t="n"/>
      <c r="AL1119" s="17" t="n"/>
      <c r="AM1119" s="120" t="n"/>
      <c r="AN1119" s="55" t="inlineStr">
        <is>
          <t>CONTA</t>
        </is>
      </c>
      <c r="AO1119" s="132">
        <f>DADOS_INVOC!$PT$153</f>
        <v/>
      </c>
      <c r="AP1119" s="16" t="n"/>
      <c r="AQ1119" s="16" t="n"/>
      <c r="AR1119" s="17" t="n"/>
      <c r="AS1119" s="120" t="n"/>
    </row>
    <row r="1120" hidden="1" outlineLevel="3">
      <c r="A1120" s="8" t="n"/>
      <c r="B1120" s="14" t="n"/>
      <c r="C1120" s="120" t="n"/>
      <c r="D1120" s="120" t="n"/>
      <c r="E1120" s="120" t="n"/>
      <c r="F1120" s="120" t="n"/>
      <c r="G1120" s="120" t="n"/>
      <c r="I1120" s="55" t="inlineStr">
        <is>
          <t>AMPLIAR</t>
        </is>
      </c>
      <c r="J1120" s="132">
        <f>DADOS_INVOC!$PU$73</f>
        <v/>
      </c>
      <c r="K1120" s="19" t="n"/>
      <c r="L1120" s="19" t="n"/>
      <c r="M1120" s="20" t="n"/>
      <c r="N1120" s="120" t="n"/>
      <c r="O1120" s="55" t="inlineStr">
        <is>
          <t>AMPLIAR</t>
        </is>
      </c>
      <c r="P1120" s="132">
        <f>DADOS_INVOC!$PU$74</f>
        <v/>
      </c>
      <c r="Q1120" s="19" t="n"/>
      <c r="R1120" s="19" t="n"/>
      <c r="S1120" s="20" t="n"/>
      <c r="T1120" s="120" t="n"/>
      <c r="U1120" s="55" t="inlineStr">
        <is>
          <t>AMPLIAR</t>
        </is>
      </c>
      <c r="V1120" s="132">
        <f>DADOS_INVOC!$PU$75</f>
        <v/>
      </c>
      <c r="W1120" s="19" t="n"/>
      <c r="X1120" s="19" t="n"/>
      <c r="Y1120" s="20" t="n"/>
      <c r="Z1120" s="120" t="n"/>
      <c r="AB1120" s="55" t="inlineStr">
        <is>
          <t>AMPLIAR</t>
        </is>
      </c>
      <c r="AC1120" s="132">
        <f>DADOS_INVOC!$PU$151</f>
        <v/>
      </c>
      <c r="AD1120" s="19" t="n"/>
      <c r="AE1120" s="19" t="n"/>
      <c r="AF1120" s="20" t="n"/>
      <c r="AG1120" s="120" t="n"/>
      <c r="AH1120" s="55" t="inlineStr">
        <is>
          <t>AMPLIAR</t>
        </is>
      </c>
      <c r="AI1120" s="132">
        <f>DADOS_INVOC!$PU$152</f>
        <v/>
      </c>
      <c r="AJ1120" s="19" t="n"/>
      <c r="AK1120" s="19" t="n"/>
      <c r="AL1120" s="20" t="n"/>
      <c r="AM1120" s="120" t="n"/>
      <c r="AN1120" s="55" t="inlineStr">
        <is>
          <t>AMPLIAR</t>
        </is>
      </c>
      <c r="AO1120" s="132">
        <f>DADOS_INVOC!$PU$153</f>
        <v/>
      </c>
      <c r="AP1120" s="19" t="n"/>
      <c r="AQ1120" s="19" t="n"/>
      <c r="AR1120" s="20" t="n"/>
      <c r="AS1120" s="120" t="n"/>
    </row>
    <row r="1121" hidden="1" outlineLevel="3">
      <c r="A1121" s="8" t="n"/>
      <c r="B1121" s="14" t="n"/>
      <c r="C1121" s="120" t="n"/>
      <c r="D1121" s="120" t="n"/>
      <c r="E1121" s="120" t="n"/>
      <c r="F1121" s="120" t="n"/>
      <c r="G1121" s="120" t="n"/>
      <c r="I1121" s="125" t="n"/>
      <c r="J1121" s="23" t="n"/>
      <c r="K1121" s="24" t="n"/>
      <c r="L1121" s="24" t="n"/>
      <c r="M1121" s="25" t="n"/>
      <c r="N1121" s="120" t="n"/>
      <c r="O1121" s="125" t="n"/>
      <c r="P1121" s="23" t="n"/>
      <c r="Q1121" s="24" t="n"/>
      <c r="R1121" s="24" t="n"/>
      <c r="S1121" s="25" t="n"/>
      <c r="T1121" s="120" t="n"/>
      <c r="U1121" s="125" t="n"/>
      <c r="V1121" s="23" t="n"/>
      <c r="W1121" s="24" t="n"/>
      <c r="X1121" s="24" t="n"/>
      <c r="Y1121" s="25" t="n"/>
      <c r="Z1121" s="120" t="n"/>
      <c r="AB1121" s="125" t="n"/>
      <c r="AC1121" s="23" t="n"/>
      <c r="AD1121" s="24" t="n"/>
      <c r="AE1121" s="24" t="n"/>
      <c r="AF1121" s="25" t="n"/>
      <c r="AG1121" s="120" t="n"/>
      <c r="AH1121" s="125" t="n"/>
      <c r="AI1121" s="23" t="n"/>
      <c r="AJ1121" s="24" t="n"/>
      <c r="AK1121" s="24" t="n"/>
      <c r="AL1121" s="25" t="n"/>
      <c r="AM1121" s="120" t="n"/>
      <c r="AN1121" s="125" t="n"/>
      <c r="AO1121" s="23" t="n"/>
      <c r="AP1121" s="24" t="n"/>
      <c r="AQ1121" s="24" t="n"/>
      <c r="AR1121" s="25" t="n"/>
      <c r="AS1121" s="120" t="n"/>
    </row>
    <row r="1122" hidden="1" outlineLevel="3">
      <c r="A1122" s="8" t="n"/>
      <c r="B1122" s="14" t="n"/>
      <c r="C1122" s="120" t="n"/>
      <c r="D1122" s="120" t="n"/>
      <c r="E1122" s="120" t="n"/>
      <c r="F1122" s="120" t="n"/>
      <c r="G1122" s="120" t="n"/>
      <c r="I1122" s="132">
        <f>DADOS_INVOC!$PH$73</f>
        <v/>
      </c>
      <c r="J1122" s="19" t="n"/>
      <c r="K1122" s="19" t="n"/>
      <c r="L1122" s="19" t="n"/>
      <c r="M1122" s="20" t="n"/>
      <c r="N1122" s="120" t="n"/>
      <c r="O1122" s="132">
        <f>DADOS_INVOC!$PH$74</f>
        <v/>
      </c>
      <c r="P1122" s="19" t="n"/>
      <c r="Q1122" s="19" t="n"/>
      <c r="R1122" s="19" t="n"/>
      <c r="S1122" s="20" t="n"/>
      <c r="T1122" s="120" t="n"/>
      <c r="U1122" s="132">
        <f>DADOS_INVOC!$PH$75</f>
        <v/>
      </c>
      <c r="V1122" s="19" t="n"/>
      <c r="W1122" s="19" t="n"/>
      <c r="X1122" s="19" t="n"/>
      <c r="Y1122" s="20" t="n"/>
      <c r="Z1122" s="120" t="n"/>
      <c r="AB1122" s="132">
        <f>DADOS_INVOC!$PH$151</f>
        <v/>
      </c>
      <c r="AC1122" s="19" t="n"/>
      <c r="AD1122" s="19" t="n"/>
      <c r="AE1122" s="19" t="n"/>
      <c r="AF1122" s="20" t="n"/>
      <c r="AG1122" s="120" t="n"/>
      <c r="AH1122" s="132">
        <f>DADOS_INVOC!$PH$152</f>
        <v/>
      </c>
      <c r="AI1122" s="19" t="n"/>
      <c r="AJ1122" s="19" t="n"/>
      <c r="AK1122" s="19" t="n"/>
      <c r="AL1122" s="20" t="n"/>
      <c r="AM1122" s="120" t="n"/>
      <c r="AN1122" s="132">
        <f>DADOS_INVOC!$PH$153</f>
        <v/>
      </c>
      <c r="AO1122" s="19" t="n"/>
      <c r="AP1122" s="19" t="n"/>
      <c r="AQ1122" s="19" t="n"/>
      <c r="AR1122" s="20" t="n"/>
      <c r="AS1122" s="120" t="n"/>
    </row>
    <row r="1123" hidden="1" outlineLevel="3">
      <c r="A1123" s="8" t="n"/>
      <c r="B1123" s="14" t="n"/>
      <c r="C1123" s="120" t="n"/>
      <c r="D1123" s="120" t="n"/>
      <c r="E1123" s="120" t="n"/>
      <c r="F1123" s="120" t="n"/>
      <c r="G1123" s="120" t="n"/>
      <c r="I1123" s="23" t="n"/>
      <c r="J1123" s="24" t="n"/>
      <c r="K1123" s="24" t="n"/>
      <c r="L1123" s="24" t="n"/>
      <c r="M1123" s="25" t="n"/>
      <c r="N1123" s="120" t="n"/>
      <c r="O1123" s="23" t="n"/>
      <c r="P1123" s="24" t="n"/>
      <c r="Q1123" s="24" t="n"/>
      <c r="R1123" s="24" t="n"/>
      <c r="S1123" s="25" t="n"/>
      <c r="T1123" s="120" t="n"/>
      <c r="U1123" s="23" t="n"/>
      <c r="V1123" s="24" t="n"/>
      <c r="W1123" s="24" t="n"/>
      <c r="X1123" s="24" t="n"/>
      <c r="Y1123" s="25" t="n"/>
      <c r="Z1123" s="120" t="n"/>
      <c r="AB1123" s="23" t="n"/>
      <c r="AC1123" s="24" t="n"/>
      <c r="AD1123" s="24" t="n"/>
      <c r="AE1123" s="24" t="n"/>
      <c r="AF1123" s="25" t="n"/>
      <c r="AG1123" s="120" t="n"/>
      <c r="AH1123" s="23" t="n"/>
      <c r="AI1123" s="24" t="n"/>
      <c r="AJ1123" s="24" t="n"/>
      <c r="AK1123" s="24" t="n"/>
      <c r="AL1123" s="25" t="n"/>
      <c r="AM1123" s="120" t="n"/>
      <c r="AN1123" s="23" t="n"/>
      <c r="AO1123" s="24" t="n"/>
      <c r="AP1123" s="24" t="n"/>
      <c r="AQ1123" s="24" t="n"/>
      <c r="AR1123" s="25" t="n"/>
      <c r="AS1123" s="120" t="n"/>
    </row>
    <row r="1124" hidden="1" outlineLevel="2">
      <c r="A1124" s="8" t="n"/>
      <c r="B1124" s="14" t="n"/>
      <c r="C1124" s="120" t="n"/>
      <c r="D1124" s="120" t="n"/>
      <c r="E1124" s="120" t="n"/>
      <c r="F1124" s="120" t="n"/>
      <c r="G1124" s="120" t="n"/>
      <c r="I1124" s="120" t="n"/>
      <c r="J1124" s="120" t="n"/>
      <c r="K1124" s="120" t="n"/>
      <c r="L1124" s="120" t="n"/>
      <c r="M1124" s="120" t="n"/>
      <c r="N1124" s="120" t="n"/>
      <c r="O1124" s="120" t="n"/>
      <c r="P1124" s="120" t="n"/>
      <c r="Q1124" s="120" t="n"/>
      <c r="R1124" s="120" t="n"/>
      <c r="S1124" s="120" t="n"/>
      <c r="T1124" s="120" t="n"/>
      <c r="U1124" s="120" t="n"/>
      <c r="V1124" s="120" t="n"/>
      <c r="W1124" s="120" t="n"/>
      <c r="X1124" s="120" t="n"/>
      <c r="Y1124" s="120" t="n"/>
      <c r="Z1124" s="120" t="n"/>
      <c r="AB1124" s="120" t="n"/>
      <c r="AC1124" s="120" t="n"/>
      <c r="AD1124" s="120" t="n"/>
      <c r="AE1124" s="120" t="n"/>
      <c r="AF1124" s="120" t="n"/>
      <c r="AG1124" s="120" t="n"/>
      <c r="AH1124" s="120" t="n"/>
      <c r="AI1124" s="120" t="n"/>
      <c r="AJ1124" s="120" t="n"/>
      <c r="AK1124" s="120" t="n"/>
      <c r="AL1124" s="120" t="n"/>
      <c r="AM1124" s="120" t="n"/>
      <c r="AN1124" s="120" t="n"/>
      <c r="AO1124" s="120" t="n"/>
      <c r="AP1124" s="120" t="n"/>
      <c r="AQ1124" s="120" t="n"/>
      <c r="AR1124" s="120" t="n"/>
      <c r="AS1124" s="120" t="n"/>
    </row>
    <row r="1125" hidden="1" outlineLevel="2">
      <c r="A1125" s="8" t="n"/>
      <c r="B1125" s="14" t="n"/>
      <c r="C1125" s="120" t="n"/>
      <c r="D1125" s="120" t="n"/>
      <c r="E1125" s="120" t="n"/>
      <c r="F1125" s="120" t="n"/>
      <c r="G1125" s="120" t="n"/>
      <c r="I1125" s="55">
        <f>DADOS_INVOC!$PI$76</f>
        <v/>
      </c>
      <c r="J1125" s="16" t="n"/>
      <c r="K1125" s="16" t="n"/>
      <c r="L1125" s="16" t="n"/>
      <c r="M1125" s="17" t="n"/>
      <c r="N1125" s="120" t="n"/>
      <c r="O1125" s="120" t="n"/>
      <c r="P1125" s="120" t="n"/>
      <c r="Q1125" s="120" t="n"/>
      <c r="R1125" s="120" t="n"/>
      <c r="S1125" s="120" t="n"/>
      <c r="T1125" s="120" t="n"/>
      <c r="U1125" s="120" t="n"/>
      <c r="V1125" s="120" t="n"/>
      <c r="W1125" s="120" t="n"/>
      <c r="X1125" s="120" t="n"/>
      <c r="Y1125" s="120" t="n"/>
      <c r="Z1125" s="120" t="n"/>
      <c r="AB1125" s="55">
        <f>DADOS_INVOC!$PI$154</f>
        <v/>
      </c>
      <c r="AC1125" s="16" t="n"/>
      <c r="AD1125" s="16" t="n"/>
      <c r="AE1125" s="16" t="n"/>
      <c r="AF1125" s="17" t="n"/>
      <c r="AG1125" s="120" t="n"/>
      <c r="AH1125" s="120" t="n"/>
      <c r="AI1125" s="120" t="n"/>
      <c r="AJ1125" s="120" t="n"/>
      <c r="AK1125" s="120" t="n"/>
      <c r="AL1125" s="120" t="n"/>
      <c r="AM1125" s="120" t="n"/>
      <c r="AN1125" s="120" t="n"/>
      <c r="AO1125" s="120" t="n"/>
      <c r="AP1125" s="120" t="n"/>
      <c r="AQ1125" s="120" t="n"/>
      <c r="AR1125" s="120" t="n"/>
      <c r="AS1125" s="120" t="n"/>
    </row>
    <row r="1126" hidden="1" outlineLevel="2">
      <c r="A1126" s="8" t="n"/>
      <c r="B1126" s="14" t="n"/>
      <c r="C1126" s="120" t="n"/>
      <c r="D1126" s="120" t="n"/>
      <c r="E1126" s="120" t="n"/>
      <c r="F1126" s="120" t="n"/>
      <c r="G1126" s="120" t="n"/>
      <c r="I1126" s="127" t="n">
        <v>1</v>
      </c>
      <c r="J1126" s="115" t="n"/>
      <c r="K1126" s="16" t="n"/>
      <c r="L1126" s="17" t="n"/>
      <c r="M1126" s="128">
        <f>DADOS_INVOC!$PG$76</f>
        <v/>
      </c>
      <c r="N1126" s="120" t="n"/>
      <c r="O1126" s="120" t="n"/>
      <c r="P1126" s="120" t="n"/>
      <c r="Q1126" s="120" t="n"/>
      <c r="R1126" s="120" t="n"/>
      <c r="S1126" s="120" t="n"/>
      <c r="T1126" s="120" t="n"/>
      <c r="U1126" s="120" t="n"/>
      <c r="V1126" s="120" t="n"/>
      <c r="W1126" s="120" t="n"/>
      <c r="X1126" s="120" t="n"/>
      <c r="Y1126" s="120" t="n"/>
      <c r="Z1126" s="120" t="n"/>
      <c r="AB1126" s="127" t="n">
        <v>1</v>
      </c>
      <c r="AC1126" s="115" t="n"/>
      <c r="AD1126" s="16" t="n"/>
      <c r="AE1126" s="17" t="n"/>
      <c r="AF1126" s="128">
        <f>DADOS_INVOC!$PG$154</f>
        <v/>
      </c>
      <c r="AG1126" s="120" t="n"/>
      <c r="AH1126" s="120" t="n"/>
      <c r="AI1126" s="120" t="n"/>
      <c r="AJ1126" s="120" t="n"/>
      <c r="AK1126" s="120" t="n"/>
      <c r="AL1126" s="120" t="n"/>
      <c r="AM1126" s="120" t="n"/>
      <c r="AN1126" s="120" t="n"/>
      <c r="AO1126" s="120" t="n"/>
      <c r="AP1126" s="120" t="n"/>
      <c r="AQ1126" s="120" t="n"/>
      <c r="AR1126" s="120" t="n"/>
      <c r="AS1126" s="120" t="n"/>
    </row>
    <row r="1127" hidden="1" outlineLevel="3">
      <c r="A1127" s="8" t="n"/>
      <c r="B1127" s="14" t="n"/>
      <c r="C1127" s="120" t="n"/>
      <c r="D1127" s="120" t="n"/>
      <c r="E1127" s="120" t="n"/>
      <c r="F1127" s="120" t="n"/>
      <c r="G1127" s="120" t="n"/>
      <c r="I1127" s="55" t="inlineStr">
        <is>
          <t>COMO É</t>
        </is>
      </c>
      <c r="J1127" s="16" t="n"/>
      <c r="K1127" s="16" t="n"/>
      <c r="L1127" s="16" t="n"/>
      <c r="M1127" s="17" t="n"/>
      <c r="N1127" s="120" t="n"/>
      <c r="O1127" s="120" t="n"/>
      <c r="P1127" s="120" t="n"/>
      <c r="Q1127" s="120" t="n"/>
      <c r="R1127" s="120" t="n"/>
      <c r="S1127" s="120" t="n"/>
      <c r="T1127" s="120" t="n"/>
      <c r="U1127" s="120" t="n"/>
      <c r="V1127" s="120" t="n"/>
      <c r="W1127" s="120" t="n"/>
      <c r="X1127" s="120" t="n"/>
      <c r="Y1127" s="120" t="n"/>
      <c r="Z1127" s="120" t="n"/>
      <c r="AB1127" s="55" t="inlineStr">
        <is>
          <t>COMO É</t>
        </is>
      </c>
      <c r="AC1127" s="16" t="n"/>
      <c r="AD1127" s="16" t="n"/>
      <c r="AE1127" s="16" t="n"/>
      <c r="AF1127" s="17" t="n"/>
      <c r="AG1127" s="120" t="n"/>
      <c r="AH1127" s="120" t="n"/>
      <c r="AI1127" s="120" t="n"/>
      <c r="AJ1127" s="120" t="n"/>
      <c r="AK1127" s="120" t="n"/>
      <c r="AL1127" s="120" t="n"/>
      <c r="AM1127" s="120" t="n"/>
      <c r="AN1127" s="120" t="n"/>
      <c r="AO1127" s="120" t="n"/>
      <c r="AP1127" s="120" t="n"/>
      <c r="AQ1127" s="120" t="n"/>
      <c r="AR1127" s="120" t="n"/>
      <c r="AS1127" s="120" t="n"/>
    </row>
    <row r="1128" hidden="1" outlineLevel="3">
      <c r="A1128" s="8" t="n"/>
      <c r="B1128" s="14" t="n"/>
      <c r="C1128" s="120" t="n"/>
      <c r="D1128" s="120" t="n"/>
      <c r="E1128" s="120" t="n"/>
      <c r="F1128" s="120" t="n"/>
      <c r="G1128" s="120" t="n"/>
      <c r="I1128" s="116" t="n"/>
      <c r="J1128" s="19" t="n"/>
      <c r="K1128" s="19" t="n"/>
      <c r="L1128" s="19" t="n"/>
      <c r="M1128" s="20" t="n"/>
      <c r="N1128" s="120" t="n"/>
      <c r="O1128" s="120" t="n"/>
      <c r="P1128" s="120" t="n"/>
      <c r="Q1128" s="120" t="n"/>
      <c r="R1128" s="120" t="n"/>
      <c r="S1128" s="120" t="n"/>
      <c r="T1128" s="120" t="n"/>
      <c r="U1128" s="120" t="n"/>
      <c r="V1128" s="120" t="n"/>
      <c r="W1128" s="120" t="n"/>
      <c r="X1128" s="120" t="n"/>
      <c r="Y1128" s="120" t="n"/>
      <c r="Z1128" s="120" t="n"/>
      <c r="AB1128" s="116" t="n"/>
      <c r="AC1128" s="19" t="n"/>
      <c r="AD1128" s="19" t="n"/>
      <c r="AE1128" s="19" t="n"/>
      <c r="AF1128" s="20" t="n"/>
      <c r="AG1128" s="120" t="n"/>
      <c r="AH1128" s="120" t="n"/>
      <c r="AI1128" s="120" t="n"/>
      <c r="AJ1128" s="120" t="n"/>
      <c r="AK1128" s="120" t="n"/>
      <c r="AL1128" s="120" t="n"/>
      <c r="AM1128" s="120" t="n"/>
      <c r="AN1128" s="120" t="n"/>
      <c r="AO1128" s="120" t="n"/>
      <c r="AP1128" s="120" t="n"/>
      <c r="AQ1128" s="120" t="n"/>
      <c r="AR1128" s="120" t="n"/>
      <c r="AS1128" s="120" t="n"/>
    </row>
    <row r="1129" hidden="1" outlineLevel="3">
      <c r="A1129" s="8" t="n"/>
      <c r="B1129" s="14" t="n"/>
      <c r="C1129" s="120" t="n"/>
      <c r="D1129" s="120" t="n"/>
      <c r="E1129" s="120" t="n"/>
      <c r="F1129" s="120" t="n"/>
      <c r="G1129" s="120" t="n"/>
      <c r="I1129" s="21" t="n"/>
      <c r="M1129" s="22" t="n"/>
      <c r="N1129" s="120" t="n"/>
      <c r="O1129" s="120" t="n"/>
      <c r="P1129" s="120" t="n"/>
      <c r="Q1129" s="120" t="n"/>
      <c r="R1129" s="120" t="n"/>
      <c r="S1129" s="120" t="n"/>
      <c r="T1129" s="120" t="n"/>
      <c r="U1129" s="120" t="n"/>
      <c r="V1129" s="120" t="n"/>
      <c r="W1129" s="120" t="n"/>
      <c r="X1129" s="120" t="n"/>
      <c r="Y1129" s="120" t="n"/>
      <c r="Z1129" s="120" t="n"/>
      <c r="AB1129" s="21" t="n"/>
      <c r="AF1129" s="22" t="n"/>
      <c r="AG1129" s="120" t="n"/>
      <c r="AH1129" s="120" t="n"/>
      <c r="AI1129" s="120" t="n"/>
      <c r="AJ1129" s="120" t="n"/>
      <c r="AK1129" s="120" t="n"/>
      <c r="AL1129" s="120" t="n"/>
      <c r="AM1129" s="120" t="n"/>
      <c r="AN1129" s="120" t="n"/>
      <c r="AO1129" s="120" t="n"/>
      <c r="AP1129" s="120" t="n"/>
      <c r="AQ1129" s="120" t="n"/>
      <c r="AR1129" s="120" t="n"/>
      <c r="AS1129" s="120" t="n"/>
    </row>
    <row r="1130" hidden="1" outlineLevel="3">
      <c r="A1130" s="8" t="n"/>
      <c r="B1130" s="14" t="n"/>
      <c r="C1130" s="120" t="n"/>
      <c r="D1130" s="120" t="n"/>
      <c r="E1130" s="120" t="n"/>
      <c r="F1130" s="120" t="n"/>
      <c r="G1130" s="120" t="n"/>
      <c r="I1130" s="23" t="n"/>
      <c r="J1130" s="24" t="n"/>
      <c r="K1130" s="24" t="n"/>
      <c r="L1130" s="24" t="n"/>
      <c r="M1130" s="25" t="n"/>
      <c r="N1130" s="120" t="n"/>
      <c r="O1130" s="120" t="n"/>
      <c r="P1130" s="120" t="n"/>
      <c r="Q1130" s="120" t="n"/>
      <c r="R1130" s="120" t="n"/>
      <c r="S1130" s="120" t="n"/>
      <c r="T1130" s="120" t="n"/>
      <c r="U1130" s="120" t="n"/>
      <c r="V1130" s="120" t="n"/>
      <c r="W1130" s="120" t="n"/>
      <c r="X1130" s="120" t="n"/>
      <c r="Y1130" s="120" t="n"/>
      <c r="Z1130" s="120" t="n"/>
      <c r="AB1130" s="23" t="n"/>
      <c r="AC1130" s="24" t="n"/>
      <c r="AD1130" s="24" t="n"/>
      <c r="AE1130" s="24" t="n"/>
      <c r="AF1130" s="25" t="n"/>
      <c r="AG1130" s="120" t="n"/>
      <c r="AH1130" s="120" t="n"/>
      <c r="AI1130" s="120" t="n"/>
      <c r="AJ1130" s="120" t="n"/>
      <c r="AK1130" s="120" t="n"/>
      <c r="AL1130" s="120" t="n"/>
      <c r="AM1130" s="120" t="n"/>
      <c r="AN1130" s="120" t="n"/>
      <c r="AO1130" s="120" t="n"/>
      <c r="AP1130" s="120" t="n"/>
      <c r="AQ1130" s="120" t="n"/>
      <c r="AR1130" s="120" t="n"/>
      <c r="AS1130" s="120" t="n"/>
    </row>
    <row r="1131" hidden="1" outlineLevel="2">
      <c r="A1131" s="8" t="n"/>
      <c r="B1131" s="14" t="n"/>
      <c r="C1131" s="120" t="n"/>
      <c r="D1131" s="120" t="n"/>
      <c r="E1131" s="120" t="n"/>
      <c r="F1131" s="120" t="n"/>
      <c r="G1131" s="120" t="n"/>
      <c r="I1131" s="124" t="inlineStr">
        <is>
          <t>Projétil</t>
        </is>
      </c>
      <c r="J1131" s="17" t="n"/>
      <c r="K1131" s="68">
        <f>DADOS_INVOC!$PN$76</f>
        <v/>
      </c>
      <c r="L1131" s="17" t="n"/>
      <c r="M1131" s="68">
        <f>DADOS_INVOC!$PJ$76</f>
        <v/>
      </c>
      <c r="N1131" s="120" t="n"/>
      <c r="O1131" s="120" t="n"/>
      <c r="P1131" s="120" t="n"/>
      <c r="Q1131" s="120" t="n"/>
      <c r="R1131" s="120" t="n"/>
      <c r="S1131" s="120" t="n"/>
      <c r="T1131" s="120" t="n"/>
      <c r="U1131" s="120" t="n"/>
      <c r="V1131" s="120" t="n"/>
      <c r="W1131" s="120" t="n"/>
      <c r="X1131" s="120" t="n"/>
      <c r="Y1131" s="120" t="n"/>
      <c r="Z1131" s="120" t="n"/>
      <c r="AB1131" s="124" t="inlineStr">
        <is>
          <t>Projétil</t>
        </is>
      </c>
      <c r="AC1131" s="17" t="n"/>
      <c r="AD1131" s="68">
        <f>DADOS_INVOC!$PN$154</f>
        <v/>
      </c>
      <c r="AE1131" s="17" t="n"/>
      <c r="AF1131" s="68">
        <f>DADOS_INVOC!$PJ$154</f>
        <v/>
      </c>
      <c r="AG1131" s="120" t="n"/>
      <c r="AH1131" s="120" t="n"/>
      <c r="AI1131" s="120" t="n"/>
      <c r="AJ1131" s="120" t="n"/>
      <c r="AK1131" s="120" t="n"/>
      <c r="AL1131" s="120" t="n"/>
      <c r="AM1131" s="120" t="n"/>
      <c r="AN1131" s="120" t="n"/>
      <c r="AO1131" s="120" t="n"/>
      <c r="AP1131" s="120" t="n"/>
      <c r="AQ1131" s="120" t="n"/>
      <c r="AR1131" s="120" t="n"/>
      <c r="AS1131" s="120" t="n"/>
    </row>
    <row r="1132" hidden="1" outlineLevel="2">
      <c r="A1132" s="8" t="n"/>
      <c r="B1132" s="14" t="n"/>
      <c r="C1132" s="120" t="n"/>
      <c r="D1132" s="120" t="n"/>
      <c r="E1132" s="120" t="n"/>
      <c r="F1132" s="120" t="n"/>
      <c r="G1132" s="120" t="n"/>
      <c r="I1132" s="124" t="n"/>
      <c r="J1132" s="17" t="n"/>
      <c r="K1132" s="124" t="n"/>
      <c r="L1132" s="16" t="n"/>
      <c r="M1132" s="17" t="n"/>
      <c r="N1132" s="120" t="n"/>
      <c r="O1132" s="120" t="n"/>
      <c r="P1132" s="120" t="n"/>
      <c r="Q1132" s="120" t="n"/>
      <c r="R1132" s="120" t="n"/>
      <c r="S1132" s="120" t="n"/>
      <c r="T1132" s="120" t="n"/>
      <c r="U1132" s="120" t="n"/>
      <c r="V1132" s="120" t="n"/>
      <c r="W1132" s="120" t="n"/>
      <c r="X1132" s="120" t="n"/>
      <c r="Y1132" s="120" t="n"/>
      <c r="Z1132" s="120" t="n"/>
      <c r="AB1132" s="124" t="n"/>
      <c r="AC1132" s="17" t="n"/>
      <c r="AD1132" s="124" t="n"/>
      <c r="AE1132" s="16" t="n"/>
      <c r="AF1132" s="17" t="n"/>
      <c r="AG1132" s="120" t="n"/>
      <c r="AH1132" s="120" t="n"/>
      <c r="AI1132" s="120" t="n"/>
      <c r="AJ1132" s="120" t="n"/>
      <c r="AK1132" s="120" t="n"/>
      <c r="AL1132" s="120" t="n"/>
      <c r="AM1132" s="120" t="n"/>
      <c r="AN1132" s="120" t="n"/>
      <c r="AO1132" s="120" t="n"/>
      <c r="AP1132" s="120" t="n"/>
      <c r="AQ1132" s="120" t="n"/>
      <c r="AR1132" s="120" t="n"/>
      <c r="AS1132" s="120" t="n"/>
    </row>
    <row r="1133" hidden="1" outlineLevel="2">
      <c r="A1133" s="8" t="n"/>
      <c r="B1133" s="14" t="n"/>
      <c r="C1133" s="120" t="n"/>
      <c r="D1133" s="120" t="n"/>
      <c r="E1133" s="120" t="n"/>
      <c r="F1133" s="120" t="n"/>
      <c r="G1133" s="120" t="n"/>
      <c r="I1133" s="124">
        <f>DADOS_INVOC!$PK$76</f>
        <v/>
      </c>
      <c r="J1133" s="17" t="n"/>
      <c r="K1133" s="124">
        <f>DADOS_INVOC!$PM$76</f>
        <v/>
      </c>
      <c r="L1133" s="16" t="n"/>
      <c r="M1133" s="17" t="n"/>
      <c r="N1133" s="120" t="n"/>
      <c r="O1133" s="120" t="n"/>
      <c r="P1133" s="120" t="n"/>
      <c r="Q1133" s="120" t="n"/>
      <c r="R1133" s="120" t="n"/>
      <c r="S1133" s="120" t="n"/>
      <c r="T1133" s="120" t="n"/>
      <c r="U1133" s="120" t="n"/>
      <c r="V1133" s="120" t="n"/>
      <c r="W1133" s="120" t="n"/>
      <c r="X1133" s="120" t="n"/>
      <c r="Y1133" s="120" t="n"/>
      <c r="Z1133" s="120" t="n"/>
      <c r="AB1133" s="124">
        <f>DADOS_INVOC!$PK$154</f>
        <v/>
      </c>
      <c r="AC1133" s="17" t="n"/>
      <c r="AD1133" s="124">
        <f>DADOS_INVOC!$PM$154</f>
        <v/>
      </c>
      <c r="AE1133" s="16" t="n"/>
      <c r="AF1133" s="17" t="n"/>
      <c r="AG1133" s="120" t="n"/>
      <c r="AH1133" s="120" t="n"/>
      <c r="AI1133" s="120" t="n"/>
      <c r="AJ1133" s="120" t="n"/>
      <c r="AK1133" s="120" t="n"/>
      <c r="AL1133" s="120" t="n"/>
      <c r="AM1133" s="120" t="n"/>
      <c r="AN1133" s="120" t="n"/>
      <c r="AO1133" s="120" t="n"/>
      <c r="AP1133" s="120" t="n"/>
      <c r="AQ1133" s="120" t="n"/>
      <c r="AR1133" s="120" t="n"/>
      <c r="AS1133" s="120" t="n"/>
    </row>
    <row r="1134" hidden="1" outlineLevel="2">
      <c r="A1134" s="8" t="n"/>
      <c r="B1134" s="14" t="n"/>
      <c r="C1134" s="120" t="n"/>
      <c r="D1134" s="120" t="n"/>
      <c r="E1134" s="120" t="n"/>
      <c r="F1134" s="120" t="n"/>
      <c r="G1134" s="120" t="n"/>
      <c r="I1134" s="129">
        <f>DADOS_INVOC!$PS$76</f>
        <v/>
      </c>
      <c r="J1134" s="16" t="n"/>
      <c r="K1134" s="16" t="n"/>
      <c r="L1134" s="16" t="n"/>
      <c r="M1134" s="17" t="n"/>
      <c r="N1134" s="120" t="n"/>
      <c r="O1134" s="120" t="n"/>
      <c r="P1134" s="120" t="n"/>
      <c r="Q1134" s="120" t="n"/>
      <c r="R1134" s="120" t="n"/>
      <c r="S1134" s="120" t="n"/>
      <c r="T1134" s="120" t="n"/>
      <c r="U1134" s="120" t="n"/>
      <c r="V1134" s="120" t="n"/>
      <c r="W1134" s="120" t="n"/>
      <c r="X1134" s="120" t="n"/>
      <c r="Y1134" s="120" t="n"/>
      <c r="Z1134" s="120" t="n"/>
      <c r="AB1134" s="129">
        <f>DADOS_INVOC!$PS$154</f>
        <v/>
      </c>
      <c r="AC1134" s="16" t="n"/>
      <c r="AD1134" s="16" t="n"/>
      <c r="AE1134" s="16" t="n"/>
      <c r="AF1134" s="17" t="n"/>
      <c r="AG1134" s="120" t="n"/>
      <c r="AH1134" s="120" t="n"/>
      <c r="AI1134" s="120" t="n"/>
      <c r="AJ1134" s="120" t="n"/>
      <c r="AK1134" s="120" t="n"/>
      <c r="AL1134" s="120" t="n"/>
      <c r="AM1134" s="120" t="n"/>
      <c r="AN1134" s="120" t="n"/>
      <c r="AO1134" s="120" t="n"/>
      <c r="AP1134" s="120" t="n"/>
      <c r="AQ1134" s="120" t="n"/>
      <c r="AR1134" s="120" t="n"/>
      <c r="AS1134" s="120" t="n"/>
    </row>
    <row r="1135" hidden="1" outlineLevel="3">
      <c r="A1135" s="8" t="n"/>
      <c r="B1135" s="14" t="n"/>
      <c r="C1135" s="120" t="n"/>
      <c r="D1135" s="120" t="n"/>
      <c r="E1135" s="120" t="n"/>
      <c r="F1135" s="120" t="n"/>
      <c r="G1135" s="120" t="n"/>
      <c r="I1135" s="55" t="inlineStr">
        <is>
          <t>MELHORIAS</t>
        </is>
      </c>
      <c r="J1135" s="130" t="n"/>
      <c r="K1135" s="16" t="n"/>
      <c r="L1135" s="17" t="n"/>
      <c r="M1135" s="129">
        <f>DADOS_INVOC!$PV$76</f>
        <v/>
      </c>
      <c r="N1135" s="120" t="n"/>
      <c r="O1135" s="120" t="n"/>
      <c r="P1135" s="120" t="n"/>
      <c r="Q1135" s="120" t="n"/>
      <c r="R1135" s="120" t="n"/>
      <c r="S1135" s="120" t="n"/>
      <c r="T1135" s="120" t="n"/>
      <c r="U1135" s="120" t="n"/>
      <c r="V1135" s="120" t="n"/>
      <c r="W1135" s="120" t="n"/>
      <c r="X1135" s="120" t="n"/>
      <c r="Y1135" s="120" t="n"/>
      <c r="Z1135" s="120" t="n"/>
      <c r="AB1135" s="55" t="inlineStr">
        <is>
          <t>MELHORIAS</t>
        </is>
      </c>
      <c r="AC1135" s="130" t="n"/>
      <c r="AD1135" s="16" t="n"/>
      <c r="AE1135" s="17" t="n"/>
      <c r="AF1135" s="129">
        <f>DADOS_INVOC!$PV$154</f>
        <v/>
      </c>
      <c r="AG1135" s="120" t="n"/>
      <c r="AH1135" s="120" t="n"/>
      <c r="AI1135" s="120" t="n"/>
      <c r="AJ1135" s="120" t="n"/>
      <c r="AK1135" s="120" t="n"/>
      <c r="AL1135" s="120" t="n"/>
      <c r="AM1135" s="120" t="n"/>
      <c r="AN1135" s="120" t="n"/>
      <c r="AO1135" s="120" t="n"/>
      <c r="AP1135" s="120" t="n"/>
      <c r="AQ1135" s="120" t="n"/>
      <c r="AR1135" s="120" t="n"/>
      <c r="AS1135" s="120" t="n"/>
    </row>
    <row r="1136" hidden="1" outlineLevel="3">
      <c r="A1136" s="8" t="n"/>
      <c r="B1136" s="14" t="n"/>
      <c r="C1136" s="120" t="n"/>
      <c r="D1136" s="120" t="n"/>
      <c r="E1136" s="120" t="n"/>
      <c r="F1136" s="120" t="n"/>
      <c r="G1136" s="120" t="n"/>
      <c r="I1136" s="131" t="n"/>
      <c r="J1136" s="130" t="n"/>
      <c r="K1136" s="16" t="n"/>
      <c r="L1136" s="17" t="n"/>
      <c r="M1136" s="129">
        <f>DADOS_INVOC!$PW$76</f>
        <v/>
      </c>
      <c r="N1136" s="120" t="n"/>
      <c r="O1136" s="120" t="n"/>
      <c r="P1136" s="120" t="n"/>
      <c r="Q1136" s="120" t="n"/>
      <c r="R1136" s="120" t="n"/>
      <c r="S1136" s="120" t="n"/>
      <c r="T1136" s="120" t="n"/>
      <c r="U1136" s="120" t="n"/>
      <c r="V1136" s="120" t="n"/>
      <c r="W1136" s="120" t="n"/>
      <c r="X1136" s="120" t="n"/>
      <c r="Y1136" s="120" t="n"/>
      <c r="Z1136" s="120" t="n"/>
      <c r="AB1136" s="131" t="n"/>
      <c r="AC1136" s="130" t="n"/>
      <c r="AD1136" s="16" t="n"/>
      <c r="AE1136" s="17" t="n"/>
      <c r="AF1136" s="129">
        <f>DADOS_INVOC!$PW$154</f>
        <v/>
      </c>
      <c r="AG1136" s="120" t="n"/>
      <c r="AH1136" s="120" t="n"/>
      <c r="AI1136" s="120" t="n"/>
      <c r="AJ1136" s="120" t="n"/>
      <c r="AK1136" s="120" t="n"/>
      <c r="AL1136" s="120" t="n"/>
      <c r="AM1136" s="120" t="n"/>
      <c r="AN1136" s="120" t="n"/>
      <c r="AO1136" s="120" t="n"/>
      <c r="AP1136" s="120" t="n"/>
      <c r="AQ1136" s="120" t="n"/>
      <c r="AR1136" s="120" t="n"/>
      <c r="AS1136" s="120" t="n"/>
    </row>
    <row r="1137" hidden="1" outlineLevel="3">
      <c r="A1137" s="8" t="n"/>
      <c r="B1137" s="14" t="n"/>
      <c r="C1137" s="120" t="n"/>
      <c r="D1137" s="120" t="n"/>
      <c r="E1137" s="120" t="n"/>
      <c r="F1137" s="120" t="n"/>
      <c r="G1137" s="120" t="n"/>
      <c r="I1137" s="131" t="n"/>
      <c r="J1137" s="130" t="n"/>
      <c r="K1137" s="16" t="n"/>
      <c r="L1137" s="17" t="n"/>
      <c r="M1137" s="129">
        <f>DADOS_INVOC!$PX$76</f>
        <v/>
      </c>
      <c r="N1137" s="120" t="n"/>
      <c r="O1137" s="120" t="n"/>
      <c r="P1137" s="120" t="n"/>
      <c r="Q1137" s="120" t="n"/>
      <c r="R1137" s="120" t="n"/>
      <c r="S1137" s="120" t="n"/>
      <c r="T1137" s="120" t="n"/>
      <c r="U1137" s="120" t="n"/>
      <c r="V1137" s="120" t="n"/>
      <c r="W1137" s="120" t="n"/>
      <c r="X1137" s="120" t="n"/>
      <c r="Y1137" s="120" t="n"/>
      <c r="Z1137" s="120" t="n"/>
      <c r="AB1137" s="131" t="n"/>
      <c r="AC1137" s="130" t="n"/>
      <c r="AD1137" s="16" t="n"/>
      <c r="AE1137" s="17" t="n"/>
      <c r="AF1137" s="129">
        <f>DADOS_INVOC!$PX$154</f>
        <v/>
      </c>
      <c r="AG1137" s="120" t="n"/>
      <c r="AH1137" s="120" t="n"/>
      <c r="AI1137" s="120" t="n"/>
      <c r="AJ1137" s="120" t="n"/>
      <c r="AK1137" s="120" t="n"/>
      <c r="AL1137" s="120" t="n"/>
      <c r="AM1137" s="120" t="n"/>
      <c r="AN1137" s="120" t="n"/>
      <c r="AO1137" s="120" t="n"/>
      <c r="AP1137" s="120" t="n"/>
      <c r="AQ1137" s="120" t="n"/>
      <c r="AR1137" s="120" t="n"/>
      <c r="AS1137" s="120" t="n"/>
    </row>
    <row r="1138" hidden="1" outlineLevel="3">
      <c r="A1138" s="8" t="n"/>
      <c r="B1138" s="14" t="n"/>
      <c r="C1138" s="120" t="n"/>
      <c r="D1138" s="120" t="n"/>
      <c r="E1138" s="120" t="n"/>
      <c r="F1138" s="120" t="n"/>
      <c r="G1138" s="120" t="n"/>
      <c r="I1138" s="125" t="n"/>
      <c r="J1138" s="130" t="n"/>
      <c r="K1138" s="16" t="n"/>
      <c r="L1138" s="17" t="n"/>
      <c r="M1138" s="129">
        <f>DADOS_INVOC!$PY$76</f>
        <v/>
      </c>
      <c r="N1138" s="120" t="n"/>
      <c r="O1138" s="120" t="n"/>
      <c r="P1138" s="120" t="n"/>
      <c r="Q1138" s="120" t="n"/>
      <c r="R1138" s="120" t="n"/>
      <c r="S1138" s="120" t="n"/>
      <c r="T1138" s="120" t="n"/>
      <c r="U1138" s="120" t="n"/>
      <c r="V1138" s="120" t="n"/>
      <c r="W1138" s="120" t="n"/>
      <c r="X1138" s="120" t="n"/>
      <c r="Y1138" s="120" t="n"/>
      <c r="Z1138" s="120" t="n"/>
      <c r="AB1138" s="125" t="n"/>
      <c r="AC1138" s="130" t="n"/>
      <c r="AD1138" s="16" t="n"/>
      <c r="AE1138" s="17" t="n"/>
      <c r="AF1138" s="129">
        <f>DADOS_INVOC!$PY$154</f>
        <v/>
      </c>
      <c r="AG1138" s="120" t="n"/>
      <c r="AH1138" s="120" t="n"/>
      <c r="AI1138" s="120" t="n"/>
      <c r="AJ1138" s="120" t="n"/>
      <c r="AK1138" s="120" t="n"/>
      <c r="AL1138" s="120" t="n"/>
      <c r="AM1138" s="120" t="n"/>
      <c r="AN1138" s="120" t="n"/>
      <c r="AO1138" s="120" t="n"/>
      <c r="AP1138" s="120" t="n"/>
      <c r="AQ1138" s="120" t="n"/>
      <c r="AR1138" s="120" t="n"/>
      <c r="AS1138" s="120" t="n"/>
    </row>
    <row r="1139" hidden="1" outlineLevel="3">
      <c r="A1139" s="8" t="n"/>
      <c r="B1139" s="14" t="n"/>
      <c r="C1139" s="120" t="n"/>
      <c r="D1139" s="120" t="n"/>
      <c r="E1139" s="120" t="n"/>
      <c r="F1139" s="120" t="n"/>
      <c r="G1139" s="120" t="n"/>
      <c r="I1139" s="55" t="inlineStr">
        <is>
          <t>RESTRIÇÕES</t>
        </is>
      </c>
      <c r="J1139" s="130" t="n"/>
      <c r="K1139" s="16" t="n"/>
      <c r="L1139" s="17" t="n"/>
      <c r="M1139" s="129">
        <f>DADOS_INVOC!$PZ$76</f>
        <v/>
      </c>
      <c r="N1139" s="120" t="n"/>
      <c r="O1139" s="120" t="n"/>
      <c r="P1139" s="120" t="n"/>
      <c r="Q1139" s="120" t="n"/>
      <c r="R1139" s="120" t="n"/>
      <c r="S1139" s="120" t="n"/>
      <c r="T1139" s="120" t="n"/>
      <c r="U1139" s="120" t="n"/>
      <c r="V1139" s="120" t="n"/>
      <c r="W1139" s="120" t="n"/>
      <c r="X1139" s="120" t="n"/>
      <c r="Y1139" s="120" t="n"/>
      <c r="Z1139" s="120" t="n"/>
      <c r="AB1139" s="55" t="inlineStr">
        <is>
          <t>RESTRIÇÕES</t>
        </is>
      </c>
      <c r="AC1139" s="130" t="n"/>
      <c r="AD1139" s="16" t="n"/>
      <c r="AE1139" s="17" t="n"/>
      <c r="AF1139" s="129">
        <f>DADOS_INVOC!$PZ$154</f>
        <v/>
      </c>
      <c r="AG1139" s="120" t="n"/>
      <c r="AH1139" s="120" t="n"/>
      <c r="AI1139" s="120" t="n"/>
      <c r="AJ1139" s="120" t="n"/>
      <c r="AK1139" s="120" t="n"/>
      <c r="AL1139" s="120" t="n"/>
      <c r="AM1139" s="120" t="n"/>
      <c r="AN1139" s="120" t="n"/>
      <c r="AO1139" s="120" t="n"/>
      <c r="AP1139" s="120" t="n"/>
      <c r="AQ1139" s="120" t="n"/>
      <c r="AR1139" s="120" t="n"/>
      <c r="AS1139" s="120" t="n"/>
    </row>
    <row r="1140" hidden="1" outlineLevel="3">
      <c r="A1140" s="8" t="n"/>
      <c r="B1140" s="14" t="n"/>
      <c r="C1140" s="120" t="n"/>
      <c r="D1140" s="120" t="n"/>
      <c r="E1140" s="120" t="n"/>
      <c r="F1140" s="120" t="n"/>
      <c r="G1140" s="120" t="n"/>
      <c r="I1140" s="125" t="n"/>
      <c r="J1140" s="130" t="n"/>
      <c r="K1140" s="16" t="n"/>
      <c r="L1140" s="17" t="n"/>
      <c r="M1140" s="129">
        <f>DADOS_INVOC!$QA$76</f>
        <v/>
      </c>
      <c r="N1140" s="120" t="n"/>
      <c r="O1140" s="120" t="n"/>
      <c r="P1140" s="120" t="n"/>
      <c r="Q1140" s="120" t="n"/>
      <c r="R1140" s="120" t="n"/>
      <c r="S1140" s="120" t="n"/>
      <c r="T1140" s="120" t="n"/>
      <c r="U1140" s="120" t="n"/>
      <c r="V1140" s="120" t="n"/>
      <c r="W1140" s="120" t="n"/>
      <c r="X1140" s="120" t="n"/>
      <c r="Y1140" s="120" t="n"/>
      <c r="Z1140" s="120" t="n"/>
      <c r="AB1140" s="125" t="n"/>
      <c r="AC1140" s="130" t="n"/>
      <c r="AD1140" s="16" t="n"/>
      <c r="AE1140" s="17" t="n"/>
      <c r="AF1140" s="129">
        <f>DADOS_INVOC!$QA$154</f>
        <v/>
      </c>
      <c r="AG1140" s="120" t="n"/>
      <c r="AH1140" s="120" t="n"/>
      <c r="AI1140" s="120" t="n"/>
      <c r="AJ1140" s="120" t="n"/>
      <c r="AK1140" s="120" t="n"/>
      <c r="AL1140" s="120" t="n"/>
      <c r="AM1140" s="120" t="n"/>
      <c r="AN1140" s="120" t="n"/>
      <c r="AO1140" s="120" t="n"/>
      <c r="AP1140" s="120" t="n"/>
      <c r="AQ1140" s="120" t="n"/>
      <c r="AR1140" s="120" t="n"/>
      <c r="AS1140" s="120" t="n"/>
    </row>
    <row r="1141" hidden="1" outlineLevel="3">
      <c r="A1141" s="8" t="n"/>
      <c r="B1141" s="14" t="n"/>
      <c r="C1141" s="120" t="n"/>
      <c r="D1141" s="120" t="n"/>
      <c r="E1141" s="120" t="n"/>
      <c r="F1141" s="120" t="n"/>
      <c r="G1141" s="120" t="n"/>
      <c r="I1141" s="55" t="inlineStr">
        <is>
          <t>CONTA</t>
        </is>
      </c>
      <c r="J1141" s="132">
        <f>DADOS_INVOC!$PT$76</f>
        <v/>
      </c>
      <c r="K1141" s="16" t="n"/>
      <c r="L1141" s="16" t="n"/>
      <c r="M1141" s="17" t="n"/>
      <c r="N1141" s="120" t="n"/>
      <c r="O1141" s="120" t="n"/>
      <c r="P1141" s="120" t="n"/>
      <c r="Q1141" s="120" t="n"/>
      <c r="R1141" s="120" t="n"/>
      <c r="S1141" s="120" t="n"/>
      <c r="T1141" s="120" t="n"/>
      <c r="U1141" s="120" t="n"/>
      <c r="V1141" s="120" t="n"/>
      <c r="W1141" s="120" t="n"/>
      <c r="X1141" s="120" t="n"/>
      <c r="Y1141" s="120" t="n"/>
      <c r="Z1141" s="120" t="n"/>
      <c r="AB1141" s="55" t="inlineStr">
        <is>
          <t>CONTA</t>
        </is>
      </c>
      <c r="AC1141" s="132">
        <f>DADOS_INVOC!$PT$154</f>
        <v/>
      </c>
      <c r="AD1141" s="16" t="n"/>
      <c r="AE1141" s="16" t="n"/>
      <c r="AF1141" s="17" t="n"/>
      <c r="AG1141" s="120" t="n"/>
      <c r="AH1141" s="120" t="n"/>
      <c r="AI1141" s="120" t="n"/>
      <c r="AJ1141" s="120" t="n"/>
      <c r="AK1141" s="120" t="n"/>
      <c r="AL1141" s="120" t="n"/>
      <c r="AM1141" s="120" t="n"/>
      <c r="AN1141" s="120" t="n"/>
      <c r="AO1141" s="120" t="n"/>
      <c r="AP1141" s="120" t="n"/>
      <c r="AQ1141" s="120" t="n"/>
      <c r="AR1141" s="120" t="n"/>
      <c r="AS1141" s="120" t="n"/>
    </row>
    <row r="1142" hidden="1" outlineLevel="3">
      <c r="A1142" s="8" t="n"/>
      <c r="B1142" s="14" t="n"/>
      <c r="C1142" s="120" t="n"/>
      <c r="D1142" s="120" t="n"/>
      <c r="E1142" s="120" t="n"/>
      <c r="F1142" s="120" t="n"/>
      <c r="G1142" s="120" t="n"/>
      <c r="I1142" s="55" t="inlineStr">
        <is>
          <t>AMPLIAR</t>
        </is>
      </c>
      <c r="J1142" s="132">
        <f>DADOS_INVOC!$PU$76</f>
        <v/>
      </c>
      <c r="K1142" s="19" t="n"/>
      <c r="L1142" s="19" t="n"/>
      <c r="M1142" s="20" t="n"/>
      <c r="N1142" s="120" t="n"/>
      <c r="O1142" s="120" t="n"/>
      <c r="P1142" s="120" t="n"/>
      <c r="Q1142" s="120" t="n"/>
      <c r="R1142" s="120" t="n"/>
      <c r="S1142" s="120" t="n"/>
      <c r="T1142" s="120" t="n"/>
      <c r="U1142" s="120" t="n"/>
      <c r="V1142" s="120" t="n"/>
      <c r="W1142" s="120" t="n"/>
      <c r="X1142" s="120" t="n"/>
      <c r="Y1142" s="120" t="n"/>
      <c r="Z1142" s="120" t="n"/>
      <c r="AB1142" s="55" t="inlineStr">
        <is>
          <t>AMPLIAR</t>
        </is>
      </c>
      <c r="AC1142" s="132">
        <f>DADOS_INVOC!$PU$154</f>
        <v/>
      </c>
      <c r="AD1142" s="19" t="n"/>
      <c r="AE1142" s="19" t="n"/>
      <c r="AF1142" s="20" t="n"/>
      <c r="AG1142" s="120" t="n"/>
      <c r="AH1142" s="120" t="n"/>
      <c r="AI1142" s="120" t="n"/>
      <c r="AJ1142" s="120" t="n"/>
      <c r="AK1142" s="120" t="n"/>
      <c r="AL1142" s="120" t="n"/>
      <c r="AM1142" s="120" t="n"/>
      <c r="AN1142" s="120" t="n"/>
      <c r="AO1142" s="120" t="n"/>
      <c r="AP1142" s="120" t="n"/>
      <c r="AQ1142" s="120" t="n"/>
      <c r="AR1142" s="120" t="n"/>
      <c r="AS1142" s="120" t="n"/>
    </row>
    <row r="1143" hidden="1" outlineLevel="3">
      <c r="A1143" s="8" t="n"/>
      <c r="B1143" s="14" t="n"/>
      <c r="C1143" s="120" t="n"/>
      <c r="D1143" s="120" t="n"/>
      <c r="E1143" s="120" t="n"/>
      <c r="F1143" s="120" t="n"/>
      <c r="G1143" s="120" t="n"/>
      <c r="I1143" s="125" t="n"/>
      <c r="J1143" s="23" t="n"/>
      <c r="K1143" s="24" t="n"/>
      <c r="L1143" s="24" t="n"/>
      <c r="M1143" s="25" t="n"/>
      <c r="N1143" s="120" t="n"/>
      <c r="O1143" s="120" t="n"/>
      <c r="P1143" s="120" t="n"/>
      <c r="Q1143" s="120" t="n"/>
      <c r="R1143" s="120" t="n"/>
      <c r="S1143" s="120" t="n"/>
      <c r="T1143" s="120" t="n"/>
      <c r="U1143" s="120" t="n"/>
      <c r="V1143" s="120" t="n"/>
      <c r="W1143" s="120" t="n"/>
      <c r="X1143" s="120" t="n"/>
      <c r="Y1143" s="120" t="n"/>
      <c r="Z1143" s="120" t="n"/>
      <c r="AB1143" s="125" t="n"/>
      <c r="AC1143" s="23" t="n"/>
      <c r="AD1143" s="24" t="n"/>
      <c r="AE1143" s="24" t="n"/>
      <c r="AF1143" s="25" t="n"/>
      <c r="AG1143" s="120" t="n"/>
      <c r="AH1143" s="120" t="n"/>
      <c r="AI1143" s="120" t="n"/>
      <c r="AJ1143" s="120" t="n"/>
      <c r="AK1143" s="120" t="n"/>
      <c r="AL1143" s="120" t="n"/>
      <c r="AM1143" s="120" t="n"/>
      <c r="AN1143" s="120" t="n"/>
      <c r="AO1143" s="120" t="n"/>
      <c r="AP1143" s="120" t="n"/>
      <c r="AQ1143" s="120" t="n"/>
      <c r="AR1143" s="120" t="n"/>
      <c r="AS1143" s="120" t="n"/>
    </row>
    <row r="1144" hidden="1" outlineLevel="3">
      <c r="A1144" s="8" t="n"/>
      <c r="B1144" s="14" t="n"/>
      <c r="C1144" s="120" t="n"/>
      <c r="D1144" s="120" t="n"/>
      <c r="E1144" s="120" t="n"/>
      <c r="F1144" s="120" t="n"/>
      <c r="G1144" s="120" t="n"/>
      <c r="I1144" s="132">
        <f>DADOS_INVOC!$PH$76</f>
        <v/>
      </c>
      <c r="J1144" s="19" t="n"/>
      <c r="K1144" s="19" t="n"/>
      <c r="L1144" s="19" t="n"/>
      <c r="M1144" s="20" t="n"/>
      <c r="N1144" s="120" t="n"/>
      <c r="O1144" s="120" t="n"/>
      <c r="P1144" s="120" t="n"/>
      <c r="Q1144" s="120" t="n"/>
      <c r="R1144" s="120" t="n"/>
      <c r="S1144" s="120" t="n"/>
      <c r="T1144" s="120" t="n"/>
      <c r="U1144" s="120" t="n"/>
      <c r="V1144" s="120" t="n"/>
      <c r="W1144" s="120" t="n"/>
      <c r="X1144" s="120" t="n"/>
      <c r="Y1144" s="120" t="n"/>
      <c r="Z1144" s="120" t="n"/>
      <c r="AB1144" s="132">
        <f>DADOS_INVOC!$PH$154</f>
        <v/>
      </c>
      <c r="AC1144" s="19" t="n"/>
      <c r="AD1144" s="19" t="n"/>
      <c r="AE1144" s="19" t="n"/>
      <c r="AF1144" s="20" t="n"/>
      <c r="AG1144" s="120" t="n"/>
      <c r="AH1144" s="120" t="n"/>
      <c r="AI1144" s="120" t="n"/>
      <c r="AJ1144" s="120" t="n"/>
      <c r="AK1144" s="120" t="n"/>
      <c r="AL1144" s="120" t="n"/>
      <c r="AM1144" s="120" t="n"/>
      <c r="AN1144" s="120" t="n"/>
      <c r="AO1144" s="120" t="n"/>
      <c r="AP1144" s="120" t="n"/>
      <c r="AQ1144" s="120" t="n"/>
      <c r="AR1144" s="120" t="n"/>
      <c r="AS1144" s="120" t="n"/>
    </row>
    <row r="1145" hidden="1" outlineLevel="3">
      <c r="A1145" s="8" t="n"/>
      <c r="B1145" s="14" t="n"/>
      <c r="C1145" s="120" t="n"/>
      <c r="D1145" s="120" t="n"/>
      <c r="E1145" s="120" t="n"/>
      <c r="F1145" s="120" t="n"/>
      <c r="G1145" s="120" t="n"/>
      <c r="I1145" s="23" t="n"/>
      <c r="J1145" s="24" t="n"/>
      <c r="K1145" s="24" t="n"/>
      <c r="L1145" s="24" t="n"/>
      <c r="M1145" s="25" t="n"/>
      <c r="N1145" s="120" t="n"/>
      <c r="O1145" s="120" t="n"/>
      <c r="P1145" s="120" t="n"/>
      <c r="Q1145" s="120" t="n"/>
      <c r="R1145" s="120" t="n"/>
      <c r="S1145" s="120" t="n"/>
      <c r="T1145" s="120" t="n"/>
      <c r="U1145" s="120" t="n"/>
      <c r="V1145" s="120" t="n"/>
      <c r="W1145" s="120" t="n"/>
      <c r="X1145" s="120" t="n"/>
      <c r="Y1145" s="120" t="n"/>
      <c r="Z1145" s="120" t="n"/>
      <c r="AB1145" s="23" t="n"/>
      <c r="AC1145" s="24" t="n"/>
      <c r="AD1145" s="24" t="n"/>
      <c r="AE1145" s="24" t="n"/>
      <c r="AF1145" s="25" t="n"/>
      <c r="AG1145" s="120" t="n"/>
      <c r="AH1145" s="120" t="n"/>
      <c r="AI1145" s="120" t="n"/>
      <c r="AJ1145" s="120" t="n"/>
      <c r="AK1145" s="120" t="n"/>
      <c r="AL1145" s="120" t="n"/>
      <c r="AM1145" s="120" t="n"/>
      <c r="AN1145" s="120" t="n"/>
      <c r="AO1145" s="120" t="n"/>
      <c r="AP1145" s="120" t="n"/>
      <c r="AQ1145" s="120" t="n"/>
      <c r="AR1145" s="120" t="n"/>
      <c r="AS1145" s="120" t="n"/>
    </row>
    <row r="1146" hidden="1" outlineLevel="1">
      <c r="A1146" s="8" t="n"/>
      <c r="B1146" s="14" t="n"/>
      <c r="C1146" s="120" t="n"/>
      <c r="D1146" s="120" t="n"/>
      <c r="E1146" s="120" t="n"/>
      <c r="F1146" s="120" t="n"/>
      <c r="G1146" s="120" t="n"/>
      <c r="I1146" s="120" t="n"/>
      <c r="J1146" s="120" t="n"/>
      <c r="K1146" s="120" t="n"/>
      <c r="L1146" s="120" t="n"/>
      <c r="M1146" s="120" t="n"/>
      <c r="N1146" s="120" t="n"/>
      <c r="O1146" s="120" t="n"/>
      <c r="P1146" s="120" t="n"/>
      <c r="Q1146" s="120" t="n"/>
      <c r="R1146" s="120" t="n"/>
      <c r="S1146" s="120" t="n"/>
      <c r="T1146" s="120" t="n"/>
      <c r="U1146" s="120" t="n"/>
      <c r="V1146" s="120" t="n"/>
      <c r="W1146" s="120" t="n"/>
      <c r="X1146" s="120" t="n"/>
      <c r="Y1146" s="120" t="n"/>
      <c r="Z1146" s="120" t="n"/>
      <c r="AB1146" s="120" t="n"/>
      <c r="AC1146" s="120" t="n"/>
      <c r="AD1146" s="120" t="n"/>
      <c r="AE1146" s="120" t="n"/>
      <c r="AF1146" s="120" t="n"/>
      <c r="AG1146" s="120" t="n"/>
      <c r="AH1146" s="120" t="n"/>
      <c r="AI1146" s="120" t="n"/>
      <c r="AJ1146" s="120" t="n"/>
      <c r="AK1146" s="120" t="n"/>
      <c r="AL1146" s="120" t="n"/>
      <c r="AM1146" s="120" t="n"/>
      <c r="AN1146" s="120" t="n"/>
      <c r="AO1146" s="120" t="n"/>
      <c r="AP1146" s="120" t="n"/>
      <c r="AQ1146" s="120" t="n"/>
      <c r="AR1146" s="120" t="n"/>
      <c r="AS1146" s="120" t="n"/>
    </row>
    <row r="1147" hidden="1" outlineLevel="1">
      <c r="A1147" s="8" t="n"/>
      <c r="B1147" s="14" t="n"/>
      <c r="C1147" s="120" t="n"/>
      <c r="D1147" s="120" t="n"/>
      <c r="E1147" s="120" t="n"/>
      <c r="F1147" s="120" t="n"/>
      <c r="G1147" s="120" t="n"/>
      <c r="I1147" s="13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0" t="n"/>
      <c r="AB1147" s="13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0" t="n"/>
    </row>
    <row r="1148" hidden="1" outlineLevel="2">
      <c r="A1148" s="8" t="n"/>
      <c r="B1148" s="14" t="n"/>
      <c r="C1148" s="120" t="n"/>
      <c r="D1148" s="120" t="n"/>
      <c r="E1148" s="120" t="n"/>
      <c r="F1148" s="120" t="n"/>
      <c r="G1148" s="120" t="n"/>
      <c r="I1148" s="120" t="n"/>
      <c r="J1148" s="120" t="n"/>
      <c r="K1148" s="120" t="n"/>
      <c r="L1148" s="120" t="n"/>
      <c r="M1148" s="120" t="n"/>
      <c r="N1148" s="120" t="n"/>
      <c r="O1148" s="120" t="n"/>
      <c r="P1148" s="120" t="n"/>
      <c r="Q1148" s="120" t="n"/>
      <c r="R1148" s="120" t="n"/>
      <c r="S1148" s="120" t="n"/>
      <c r="T1148" s="120" t="n"/>
      <c r="U1148" s="120" t="n"/>
      <c r="V1148" s="120" t="n"/>
      <c r="W1148" s="120" t="n"/>
      <c r="X1148" s="120" t="n"/>
      <c r="Y1148" s="120" t="n"/>
      <c r="Z1148" s="120" t="n"/>
      <c r="AB1148" s="120" t="n"/>
      <c r="AC1148" s="120" t="n"/>
      <c r="AD1148" s="120" t="n"/>
      <c r="AE1148" s="120" t="n"/>
      <c r="AF1148" s="120" t="n"/>
      <c r="AG1148" s="120" t="n"/>
      <c r="AH1148" s="120" t="n"/>
      <c r="AI1148" s="120" t="n"/>
      <c r="AJ1148" s="120" t="n"/>
      <c r="AK1148" s="120" t="n"/>
      <c r="AL1148" s="120" t="n"/>
      <c r="AM1148" s="120" t="n"/>
      <c r="AN1148" s="120" t="n"/>
      <c r="AO1148" s="120" t="n"/>
      <c r="AP1148" s="120" t="n"/>
      <c r="AQ1148" s="120" t="n"/>
      <c r="AR1148" s="120" t="n"/>
      <c r="AS1148" s="120" t="n"/>
    </row>
    <row r="1149" hidden="1" outlineLevel="2">
      <c r="A1149" s="8" t="n"/>
      <c r="B1149" s="14" t="n"/>
      <c r="C1149" s="120" t="n"/>
      <c r="D1149" s="120" t="n"/>
      <c r="E1149" s="120" t="n"/>
      <c r="F1149" s="120" t="n"/>
      <c r="G1149" s="120" t="n"/>
      <c r="I1149" s="55">
        <f>DADOS_INVOC!$PI$77</f>
        <v/>
      </c>
      <c r="J1149" s="16" t="n"/>
      <c r="K1149" s="16" t="n"/>
      <c r="L1149" s="16" t="n"/>
      <c r="M1149" s="17" t="n"/>
      <c r="N1149" s="120" t="n"/>
      <c r="O1149" s="55">
        <f>DADOS_INVOC!$PI$78</f>
        <v/>
      </c>
      <c r="P1149" s="16" t="n"/>
      <c r="Q1149" s="16" t="n"/>
      <c r="R1149" s="16" t="n"/>
      <c r="S1149" s="17" t="n"/>
      <c r="T1149" s="120" t="n"/>
      <c r="U1149" s="55">
        <f>DADOS_INVOC!$PI$79</f>
        <v/>
      </c>
      <c r="V1149" s="16" t="n"/>
      <c r="W1149" s="16" t="n"/>
      <c r="X1149" s="16" t="n"/>
      <c r="Y1149" s="17" t="n"/>
      <c r="Z1149" s="120" t="n"/>
      <c r="AB1149" s="55">
        <f>DADOS_INVOC!$PI$155</f>
        <v/>
      </c>
      <c r="AC1149" s="16" t="n"/>
      <c r="AD1149" s="16" t="n"/>
      <c r="AE1149" s="16" t="n"/>
      <c r="AF1149" s="17" t="n"/>
      <c r="AG1149" s="120" t="n"/>
      <c r="AH1149" s="55">
        <f>DADOS_INVOC!$PI$156</f>
        <v/>
      </c>
      <c r="AI1149" s="16" t="n"/>
      <c r="AJ1149" s="16" t="n"/>
      <c r="AK1149" s="16" t="n"/>
      <c r="AL1149" s="17" t="n"/>
      <c r="AM1149" s="120" t="n"/>
      <c r="AN1149" s="55">
        <f>DADOS_INVOC!$PI$157</f>
        <v/>
      </c>
      <c r="AO1149" s="16" t="n"/>
      <c r="AP1149" s="16" t="n"/>
      <c r="AQ1149" s="16" t="n"/>
      <c r="AR1149" s="17" t="n"/>
      <c r="AS1149" s="120" t="n"/>
    </row>
    <row r="1150" hidden="1" outlineLevel="2">
      <c r="A1150" s="8" t="n"/>
      <c r="B1150" s="14" t="n"/>
      <c r="C1150" s="120" t="n"/>
      <c r="D1150" s="120" t="n"/>
      <c r="E1150" s="120" t="n"/>
      <c r="F1150" s="120" t="n"/>
      <c r="G1150" s="120" t="n"/>
      <c r="I1150" s="127" t="n">
        <v>1</v>
      </c>
      <c r="J1150" s="115" t="n"/>
      <c r="K1150" s="16" t="n"/>
      <c r="L1150" s="17" t="n"/>
      <c r="M1150" s="128">
        <f>DADOS_INVOC!$PG$77</f>
        <v/>
      </c>
      <c r="N1150" s="120" t="n"/>
      <c r="O1150" s="127" t="n">
        <v>1</v>
      </c>
      <c r="P1150" s="115" t="n"/>
      <c r="Q1150" s="16" t="n"/>
      <c r="R1150" s="17" t="n"/>
      <c r="S1150" s="128">
        <f>DADOS_INVOC!$PG$78</f>
        <v/>
      </c>
      <c r="T1150" s="120" t="n"/>
      <c r="U1150" s="127" t="n">
        <v>1</v>
      </c>
      <c r="V1150" s="115" t="n"/>
      <c r="W1150" s="16" t="n"/>
      <c r="X1150" s="17" t="n"/>
      <c r="Y1150" s="128">
        <f>DADOS_INVOC!$PG$79</f>
        <v/>
      </c>
      <c r="Z1150" s="120" t="n"/>
      <c r="AB1150" s="127" t="n">
        <v>1</v>
      </c>
      <c r="AC1150" s="115" t="n"/>
      <c r="AD1150" s="16" t="n"/>
      <c r="AE1150" s="17" t="n"/>
      <c r="AF1150" s="128">
        <f>DADOS_INVOC!$PG$155</f>
        <v/>
      </c>
      <c r="AG1150" s="120" t="n"/>
      <c r="AH1150" s="127" t="n">
        <v>1</v>
      </c>
      <c r="AI1150" s="115" t="n"/>
      <c r="AJ1150" s="16" t="n"/>
      <c r="AK1150" s="17" t="n"/>
      <c r="AL1150" s="128">
        <f>DADOS_INVOC!$PG$156</f>
        <v/>
      </c>
      <c r="AM1150" s="120" t="n"/>
      <c r="AN1150" s="127" t="n">
        <v>1</v>
      </c>
      <c r="AO1150" s="115" t="n"/>
      <c r="AP1150" s="16" t="n"/>
      <c r="AQ1150" s="17" t="n"/>
      <c r="AR1150" s="128">
        <f>DADOS_INVOC!$PG$157</f>
        <v/>
      </c>
      <c r="AS1150" s="120" t="n"/>
    </row>
    <row r="1151" hidden="1" outlineLevel="3">
      <c r="A1151" s="8" t="n"/>
      <c r="B1151" s="14" t="n"/>
      <c r="C1151" s="120" t="n"/>
      <c r="D1151" s="120" t="n"/>
      <c r="E1151" s="120" t="n"/>
      <c r="F1151" s="120" t="n"/>
      <c r="G1151" s="120" t="n"/>
      <c r="I1151" s="55" t="inlineStr">
        <is>
          <t>COMO É</t>
        </is>
      </c>
      <c r="J1151" s="16" t="n"/>
      <c r="K1151" s="16" t="n"/>
      <c r="L1151" s="16" t="n"/>
      <c r="M1151" s="17" t="n"/>
      <c r="N1151" s="120" t="n"/>
      <c r="O1151" s="55" t="inlineStr">
        <is>
          <t>COMO É</t>
        </is>
      </c>
      <c r="P1151" s="16" t="n"/>
      <c r="Q1151" s="16" t="n"/>
      <c r="R1151" s="16" t="n"/>
      <c r="S1151" s="17" t="n"/>
      <c r="T1151" s="120" t="n"/>
      <c r="U1151" s="55" t="inlineStr">
        <is>
          <t>COMO É</t>
        </is>
      </c>
      <c r="V1151" s="16" t="n"/>
      <c r="W1151" s="16" t="n"/>
      <c r="X1151" s="16" t="n"/>
      <c r="Y1151" s="17" t="n"/>
      <c r="Z1151" s="120" t="n"/>
      <c r="AB1151" s="55" t="inlineStr">
        <is>
          <t>COMO É</t>
        </is>
      </c>
      <c r="AC1151" s="16" t="n"/>
      <c r="AD1151" s="16" t="n"/>
      <c r="AE1151" s="16" t="n"/>
      <c r="AF1151" s="17" t="n"/>
      <c r="AG1151" s="120" t="n"/>
      <c r="AH1151" s="55" t="inlineStr">
        <is>
          <t>COMO É</t>
        </is>
      </c>
      <c r="AI1151" s="16" t="n"/>
      <c r="AJ1151" s="16" t="n"/>
      <c r="AK1151" s="16" t="n"/>
      <c r="AL1151" s="17" t="n"/>
      <c r="AM1151" s="120" t="n"/>
      <c r="AN1151" s="55" t="inlineStr">
        <is>
          <t>COMO É</t>
        </is>
      </c>
      <c r="AO1151" s="16" t="n"/>
      <c r="AP1151" s="16" t="n"/>
      <c r="AQ1151" s="16" t="n"/>
      <c r="AR1151" s="17" t="n"/>
      <c r="AS1151" s="120" t="n"/>
    </row>
    <row r="1152" hidden="1" outlineLevel="3">
      <c r="A1152" s="8" t="n"/>
      <c r="B1152" s="14" t="n"/>
      <c r="C1152" s="120" t="n"/>
      <c r="D1152" s="120" t="n"/>
      <c r="E1152" s="120" t="n"/>
      <c r="F1152" s="120" t="n"/>
      <c r="G1152" s="120" t="n"/>
      <c r="I1152" s="116" t="n"/>
      <c r="J1152" s="19" t="n"/>
      <c r="K1152" s="19" t="n"/>
      <c r="L1152" s="19" t="n"/>
      <c r="M1152" s="20" t="n"/>
      <c r="N1152" s="120" t="n"/>
      <c r="O1152" s="116" t="n"/>
      <c r="P1152" s="19" t="n"/>
      <c r="Q1152" s="19" t="n"/>
      <c r="R1152" s="19" t="n"/>
      <c r="S1152" s="20" t="n"/>
      <c r="T1152" s="120" t="n"/>
      <c r="U1152" s="116" t="n"/>
      <c r="V1152" s="19" t="n"/>
      <c r="W1152" s="19" t="n"/>
      <c r="X1152" s="19" t="n"/>
      <c r="Y1152" s="20" t="n"/>
      <c r="Z1152" s="120" t="n"/>
      <c r="AB1152" s="116" t="n"/>
      <c r="AC1152" s="19" t="n"/>
      <c r="AD1152" s="19" t="n"/>
      <c r="AE1152" s="19" t="n"/>
      <c r="AF1152" s="20" t="n"/>
      <c r="AG1152" s="120" t="n"/>
      <c r="AH1152" s="116" t="n"/>
      <c r="AI1152" s="19" t="n"/>
      <c r="AJ1152" s="19" t="n"/>
      <c r="AK1152" s="19" t="n"/>
      <c r="AL1152" s="20" t="n"/>
      <c r="AM1152" s="120" t="n"/>
      <c r="AN1152" s="116" t="n"/>
      <c r="AO1152" s="19" t="n"/>
      <c r="AP1152" s="19" t="n"/>
      <c r="AQ1152" s="19" t="n"/>
      <c r="AR1152" s="20" t="n"/>
      <c r="AS1152" s="120" t="n"/>
    </row>
    <row r="1153" hidden="1" outlineLevel="3">
      <c r="A1153" s="8" t="n"/>
      <c r="B1153" s="14" t="n"/>
      <c r="C1153" s="120" t="n"/>
      <c r="D1153" s="120" t="n"/>
      <c r="E1153" s="120" t="n"/>
      <c r="F1153" s="120" t="n"/>
      <c r="G1153" s="120" t="n"/>
      <c r="I1153" s="21" t="n"/>
      <c r="M1153" s="22" t="n"/>
      <c r="N1153" s="120" t="n"/>
      <c r="O1153" s="21" t="n"/>
      <c r="S1153" s="22" t="n"/>
      <c r="T1153" s="120" t="n"/>
      <c r="U1153" s="21" t="n"/>
      <c r="Y1153" s="22" t="n"/>
      <c r="Z1153" s="120" t="n"/>
      <c r="AB1153" s="21" t="n"/>
      <c r="AF1153" s="22" t="n"/>
      <c r="AG1153" s="120" t="n"/>
      <c r="AH1153" s="21" t="n"/>
      <c r="AL1153" s="22" t="n"/>
      <c r="AM1153" s="120" t="n"/>
      <c r="AN1153" s="21" t="n"/>
      <c r="AR1153" s="22" t="n"/>
      <c r="AS1153" s="120" t="n"/>
    </row>
    <row r="1154" hidden="1" outlineLevel="3">
      <c r="A1154" s="8" t="n"/>
      <c r="B1154" s="14" t="n"/>
      <c r="C1154" s="120" t="n"/>
      <c r="D1154" s="120" t="n"/>
      <c r="E1154" s="120" t="n"/>
      <c r="F1154" s="120" t="n"/>
      <c r="G1154" s="120" t="n"/>
      <c r="I1154" s="23" t="n"/>
      <c r="J1154" s="24" t="n"/>
      <c r="K1154" s="24" t="n"/>
      <c r="L1154" s="24" t="n"/>
      <c r="M1154" s="25" t="n"/>
      <c r="N1154" s="120" t="n"/>
      <c r="O1154" s="23" t="n"/>
      <c r="P1154" s="24" t="n"/>
      <c r="Q1154" s="24" t="n"/>
      <c r="R1154" s="24" t="n"/>
      <c r="S1154" s="25" t="n"/>
      <c r="T1154" s="120" t="n"/>
      <c r="U1154" s="23" t="n"/>
      <c r="V1154" s="24" t="n"/>
      <c r="W1154" s="24" t="n"/>
      <c r="X1154" s="24" t="n"/>
      <c r="Y1154" s="25" t="n"/>
      <c r="Z1154" s="120" t="n"/>
      <c r="AB1154" s="23" t="n"/>
      <c r="AC1154" s="24" t="n"/>
      <c r="AD1154" s="24" t="n"/>
      <c r="AE1154" s="24" t="n"/>
      <c r="AF1154" s="25" t="n"/>
      <c r="AG1154" s="120" t="n"/>
      <c r="AH1154" s="23" t="n"/>
      <c r="AI1154" s="24" t="n"/>
      <c r="AJ1154" s="24" t="n"/>
      <c r="AK1154" s="24" t="n"/>
      <c r="AL1154" s="25" t="n"/>
      <c r="AM1154" s="120" t="n"/>
      <c r="AN1154" s="23" t="n"/>
      <c r="AO1154" s="24" t="n"/>
      <c r="AP1154" s="24" t="n"/>
      <c r="AQ1154" s="24" t="n"/>
      <c r="AR1154" s="25" t="n"/>
      <c r="AS1154" s="120" t="n"/>
    </row>
    <row r="1155" hidden="1" outlineLevel="2">
      <c r="A1155" s="8" t="n"/>
      <c r="B1155" s="14" t="n"/>
      <c r="C1155" s="120" t="n"/>
      <c r="D1155" s="120" t="n"/>
      <c r="E1155" s="120" t="n"/>
      <c r="F1155" s="120" t="n"/>
      <c r="G1155" s="120" t="n"/>
      <c r="I1155" s="124" t="inlineStr">
        <is>
          <t>Projétil</t>
        </is>
      </c>
      <c r="J1155" s="17" t="n"/>
      <c r="K1155" s="68">
        <f>DADOS_INVOC!$PN$77</f>
        <v/>
      </c>
      <c r="L1155" s="17" t="n"/>
      <c r="M1155" s="68">
        <f>DADOS_INVOC!$PJ$77</f>
        <v/>
      </c>
      <c r="N1155" s="120" t="n"/>
      <c r="O1155" s="124" t="inlineStr">
        <is>
          <t>Projétil</t>
        </is>
      </c>
      <c r="P1155" s="17" t="n"/>
      <c r="Q1155" s="68">
        <f>DADOS_INVOC!$PN$78</f>
        <v/>
      </c>
      <c r="R1155" s="17" t="n"/>
      <c r="S1155" s="68">
        <f>DADOS_INVOC!$PJ$78</f>
        <v/>
      </c>
      <c r="T1155" s="120" t="n"/>
      <c r="U1155" s="124" t="inlineStr">
        <is>
          <t>Projétil</t>
        </is>
      </c>
      <c r="V1155" s="17" t="n"/>
      <c r="W1155" s="68">
        <f>DADOS_INVOC!$PN$79</f>
        <v/>
      </c>
      <c r="X1155" s="17" t="n"/>
      <c r="Y1155" s="68">
        <f>DADOS_INVOC!$PJ$79</f>
        <v/>
      </c>
      <c r="Z1155" s="120" t="n"/>
      <c r="AB1155" s="124" t="inlineStr">
        <is>
          <t>Projétil</t>
        </is>
      </c>
      <c r="AC1155" s="17" t="n"/>
      <c r="AD1155" s="68">
        <f>DADOS_INVOC!$PN$155</f>
        <v/>
      </c>
      <c r="AE1155" s="17" t="n"/>
      <c r="AF1155" s="68">
        <f>DADOS_INVOC!$PJ$155</f>
        <v/>
      </c>
      <c r="AG1155" s="120" t="n"/>
      <c r="AH1155" s="124" t="inlineStr">
        <is>
          <t>Projétil</t>
        </is>
      </c>
      <c r="AI1155" s="17" t="n"/>
      <c r="AJ1155" s="68">
        <f>DADOS_INVOC!$PN$156</f>
        <v/>
      </c>
      <c r="AK1155" s="17" t="n"/>
      <c r="AL1155" s="68">
        <f>DADOS_INVOC!$PJ$156</f>
        <v/>
      </c>
      <c r="AM1155" s="120" t="n"/>
      <c r="AN1155" s="124" t="inlineStr">
        <is>
          <t>Projétil</t>
        </is>
      </c>
      <c r="AO1155" s="17" t="n"/>
      <c r="AP1155" s="68">
        <f>DADOS_INVOC!$PN$157</f>
        <v/>
      </c>
      <c r="AQ1155" s="17" t="n"/>
      <c r="AR1155" s="68">
        <f>DADOS_INVOC!$PJ$157</f>
        <v/>
      </c>
      <c r="AS1155" s="120" t="n"/>
    </row>
    <row r="1156" hidden="1" outlineLevel="2">
      <c r="A1156" s="8" t="n"/>
      <c r="B1156" s="14" t="n"/>
      <c r="C1156" s="120" t="n"/>
      <c r="D1156" s="120" t="n"/>
      <c r="E1156" s="120" t="n"/>
      <c r="F1156" s="120" t="n"/>
      <c r="G1156" s="120" t="n"/>
      <c r="I1156" s="124" t="n"/>
      <c r="J1156" s="17" t="n"/>
      <c r="K1156" s="124" t="n"/>
      <c r="L1156" s="16" t="n"/>
      <c r="M1156" s="17" t="n"/>
      <c r="N1156" s="120" t="n"/>
      <c r="O1156" s="124" t="n"/>
      <c r="P1156" s="17" t="n"/>
      <c r="Q1156" s="124" t="n"/>
      <c r="R1156" s="16" t="n"/>
      <c r="S1156" s="17" t="n"/>
      <c r="T1156" s="120" t="n"/>
      <c r="U1156" s="124" t="n"/>
      <c r="V1156" s="17" t="n"/>
      <c r="W1156" s="124" t="n"/>
      <c r="X1156" s="16" t="n"/>
      <c r="Y1156" s="17" t="n"/>
      <c r="Z1156" s="120" t="n"/>
      <c r="AB1156" s="124" t="n"/>
      <c r="AC1156" s="17" t="n"/>
      <c r="AD1156" s="124" t="n"/>
      <c r="AE1156" s="16" t="n"/>
      <c r="AF1156" s="17" t="n"/>
      <c r="AG1156" s="120" t="n"/>
      <c r="AH1156" s="124" t="n"/>
      <c r="AI1156" s="17" t="n"/>
      <c r="AJ1156" s="124" t="n"/>
      <c r="AK1156" s="16" t="n"/>
      <c r="AL1156" s="17" t="n"/>
      <c r="AM1156" s="120" t="n"/>
      <c r="AN1156" s="124" t="n"/>
      <c r="AO1156" s="17" t="n"/>
      <c r="AP1156" s="124" t="n"/>
      <c r="AQ1156" s="16" t="n"/>
      <c r="AR1156" s="17" t="n"/>
      <c r="AS1156" s="120" t="n"/>
    </row>
    <row r="1157" hidden="1" outlineLevel="2">
      <c r="A1157" s="8" t="n"/>
      <c r="B1157" s="14" t="n"/>
      <c r="C1157" s="120" t="n"/>
      <c r="D1157" s="120" t="n"/>
      <c r="E1157" s="120" t="n"/>
      <c r="F1157" s="120" t="n"/>
      <c r="G1157" s="120" t="n"/>
      <c r="I1157" s="124">
        <f>DADOS_INVOC!$PK$77</f>
        <v/>
      </c>
      <c r="J1157" s="17" t="n"/>
      <c r="K1157" s="124">
        <f>DADOS_INVOC!$PM$77</f>
        <v/>
      </c>
      <c r="L1157" s="16" t="n"/>
      <c r="M1157" s="17" t="n"/>
      <c r="N1157" s="120" t="n"/>
      <c r="O1157" s="124">
        <f>DADOS_INVOC!$PK$78</f>
        <v/>
      </c>
      <c r="P1157" s="17" t="n"/>
      <c r="Q1157" s="124">
        <f>DADOS_INVOC!$PM$78</f>
        <v/>
      </c>
      <c r="R1157" s="16" t="n"/>
      <c r="S1157" s="17" t="n"/>
      <c r="T1157" s="120" t="n"/>
      <c r="U1157" s="124">
        <f>DADOS_INVOC!$PK$79</f>
        <v/>
      </c>
      <c r="V1157" s="17" t="n"/>
      <c r="W1157" s="124">
        <f>DADOS_INVOC!$PM$79</f>
        <v/>
      </c>
      <c r="X1157" s="16" t="n"/>
      <c r="Y1157" s="17" t="n"/>
      <c r="Z1157" s="120" t="n"/>
      <c r="AB1157" s="124">
        <f>DADOS_INVOC!$PK$155</f>
        <v/>
      </c>
      <c r="AC1157" s="17" t="n"/>
      <c r="AD1157" s="124">
        <f>DADOS_INVOC!$PM$155</f>
        <v/>
      </c>
      <c r="AE1157" s="16" t="n"/>
      <c r="AF1157" s="17" t="n"/>
      <c r="AG1157" s="120" t="n"/>
      <c r="AH1157" s="124">
        <f>DADOS_INVOC!$PK$156</f>
        <v/>
      </c>
      <c r="AI1157" s="17" t="n"/>
      <c r="AJ1157" s="124">
        <f>DADOS_INVOC!$PM$156</f>
        <v/>
      </c>
      <c r="AK1157" s="16" t="n"/>
      <c r="AL1157" s="17" t="n"/>
      <c r="AM1157" s="120" t="n"/>
      <c r="AN1157" s="124">
        <f>DADOS_INVOC!$PK$157</f>
        <v/>
      </c>
      <c r="AO1157" s="17" t="n"/>
      <c r="AP1157" s="124">
        <f>DADOS_INVOC!$PM$157</f>
        <v/>
      </c>
      <c r="AQ1157" s="16" t="n"/>
      <c r="AR1157" s="17" t="n"/>
      <c r="AS1157" s="120" t="n"/>
    </row>
    <row r="1158" hidden="1" outlineLevel="2">
      <c r="A1158" s="8" t="n"/>
      <c r="B1158" s="14" t="n"/>
      <c r="C1158" s="120" t="n"/>
      <c r="D1158" s="120" t="n"/>
      <c r="E1158" s="120" t="n"/>
      <c r="F1158" s="120" t="n"/>
      <c r="G1158" s="120" t="n"/>
      <c r="I1158" s="129">
        <f>DADOS_INVOC!$PS$77</f>
        <v/>
      </c>
      <c r="J1158" s="16" t="n"/>
      <c r="K1158" s="16" t="n"/>
      <c r="L1158" s="16" t="n"/>
      <c r="M1158" s="17" t="n"/>
      <c r="N1158" s="120" t="n"/>
      <c r="O1158" s="129">
        <f>DADOS_INVOC!$PS$78</f>
        <v/>
      </c>
      <c r="P1158" s="16" t="n"/>
      <c r="Q1158" s="16" t="n"/>
      <c r="R1158" s="16" t="n"/>
      <c r="S1158" s="17" t="n"/>
      <c r="T1158" s="120" t="n"/>
      <c r="U1158" s="129">
        <f>DADOS_INVOC!$PS$79</f>
        <v/>
      </c>
      <c r="V1158" s="16" t="n"/>
      <c r="W1158" s="16" t="n"/>
      <c r="X1158" s="16" t="n"/>
      <c r="Y1158" s="17" t="n"/>
      <c r="Z1158" s="120" t="n"/>
      <c r="AB1158" s="129">
        <f>DADOS_INVOC!$PS$155</f>
        <v/>
      </c>
      <c r="AC1158" s="16" t="n"/>
      <c r="AD1158" s="16" t="n"/>
      <c r="AE1158" s="16" t="n"/>
      <c r="AF1158" s="17" t="n"/>
      <c r="AG1158" s="120" t="n"/>
      <c r="AH1158" s="129">
        <f>DADOS_INVOC!$PS$156</f>
        <v/>
      </c>
      <c r="AI1158" s="16" t="n"/>
      <c r="AJ1158" s="16" t="n"/>
      <c r="AK1158" s="16" t="n"/>
      <c r="AL1158" s="17" t="n"/>
      <c r="AM1158" s="120" t="n"/>
      <c r="AN1158" s="129">
        <f>DADOS_INVOC!$PS$157</f>
        <v/>
      </c>
      <c r="AO1158" s="16" t="n"/>
      <c r="AP1158" s="16" t="n"/>
      <c r="AQ1158" s="16" t="n"/>
      <c r="AR1158" s="17" t="n"/>
      <c r="AS1158" s="120" t="n"/>
    </row>
    <row r="1159" hidden="1" outlineLevel="3">
      <c r="A1159" s="8" t="n"/>
      <c r="B1159" s="14" t="n"/>
      <c r="C1159" s="120" t="n"/>
      <c r="D1159" s="120" t="n"/>
      <c r="E1159" s="120" t="n"/>
      <c r="F1159" s="120" t="n"/>
      <c r="G1159" s="120" t="n"/>
      <c r="I1159" s="55" t="inlineStr">
        <is>
          <t>MELHORIAS</t>
        </is>
      </c>
      <c r="J1159" s="130" t="n"/>
      <c r="K1159" s="16" t="n"/>
      <c r="L1159" s="17" t="n"/>
      <c r="M1159" s="129">
        <f>DADOS_INVOC!$PV$77</f>
        <v/>
      </c>
      <c r="N1159" s="120" t="n"/>
      <c r="O1159" s="55" t="inlineStr">
        <is>
          <t>MELHORIAS</t>
        </is>
      </c>
      <c r="P1159" s="130" t="n"/>
      <c r="Q1159" s="16" t="n"/>
      <c r="R1159" s="17" t="n"/>
      <c r="S1159" s="129">
        <f>DADOS_INVOC!$PV$78</f>
        <v/>
      </c>
      <c r="T1159" s="120" t="n"/>
      <c r="U1159" s="55" t="inlineStr">
        <is>
          <t>MELHORIAS</t>
        </is>
      </c>
      <c r="V1159" s="130" t="n"/>
      <c r="W1159" s="16" t="n"/>
      <c r="X1159" s="17" t="n"/>
      <c r="Y1159" s="129">
        <f>DADOS_INVOC!$PV$79</f>
        <v/>
      </c>
      <c r="Z1159" s="120" t="n"/>
      <c r="AB1159" s="55" t="inlineStr">
        <is>
          <t>MELHORIAS</t>
        </is>
      </c>
      <c r="AC1159" s="130" t="n"/>
      <c r="AD1159" s="16" t="n"/>
      <c r="AE1159" s="17" t="n"/>
      <c r="AF1159" s="129">
        <f>DADOS_INVOC!$PV$155</f>
        <v/>
      </c>
      <c r="AG1159" s="120" t="n"/>
      <c r="AH1159" s="55" t="inlineStr">
        <is>
          <t>MELHORIAS</t>
        </is>
      </c>
      <c r="AI1159" s="130" t="n"/>
      <c r="AJ1159" s="16" t="n"/>
      <c r="AK1159" s="17" t="n"/>
      <c r="AL1159" s="129">
        <f>DADOS_INVOC!$PV$156</f>
        <v/>
      </c>
      <c r="AM1159" s="120" t="n"/>
      <c r="AN1159" s="55" t="inlineStr">
        <is>
          <t>MELHORIAS</t>
        </is>
      </c>
      <c r="AO1159" s="130" t="n"/>
      <c r="AP1159" s="16" t="n"/>
      <c r="AQ1159" s="17" t="n"/>
      <c r="AR1159" s="129">
        <f>DADOS_INVOC!$PV$157</f>
        <v/>
      </c>
      <c r="AS1159" s="120" t="n"/>
    </row>
    <row r="1160" hidden="1" outlineLevel="3">
      <c r="A1160" s="8" t="n"/>
      <c r="B1160" s="14" t="n"/>
      <c r="C1160" s="120" t="n"/>
      <c r="D1160" s="120" t="n"/>
      <c r="E1160" s="120" t="n"/>
      <c r="F1160" s="120" t="n"/>
      <c r="G1160" s="120" t="n"/>
      <c r="I1160" s="131" t="n"/>
      <c r="J1160" s="130" t="n"/>
      <c r="K1160" s="16" t="n"/>
      <c r="L1160" s="17" t="n"/>
      <c r="M1160" s="129">
        <f>DADOS_INVOC!$PW$77</f>
        <v/>
      </c>
      <c r="N1160" s="120" t="n"/>
      <c r="O1160" s="131" t="n"/>
      <c r="P1160" s="130" t="n"/>
      <c r="Q1160" s="16" t="n"/>
      <c r="R1160" s="17" t="n"/>
      <c r="S1160" s="129">
        <f>DADOS_INVOC!$PW$78</f>
        <v/>
      </c>
      <c r="T1160" s="120" t="n"/>
      <c r="U1160" s="131" t="n"/>
      <c r="V1160" s="130" t="n"/>
      <c r="W1160" s="16" t="n"/>
      <c r="X1160" s="17" t="n"/>
      <c r="Y1160" s="129">
        <f>DADOS_INVOC!$PW$79</f>
        <v/>
      </c>
      <c r="Z1160" s="120" t="n"/>
      <c r="AB1160" s="131" t="n"/>
      <c r="AC1160" s="130" t="n"/>
      <c r="AD1160" s="16" t="n"/>
      <c r="AE1160" s="17" t="n"/>
      <c r="AF1160" s="129">
        <f>DADOS_INVOC!$PW$155</f>
        <v/>
      </c>
      <c r="AG1160" s="120" t="n"/>
      <c r="AH1160" s="131" t="n"/>
      <c r="AI1160" s="130" t="n"/>
      <c r="AJ1160" s="16" t="n"/>
      <c r="AK1160" s="17" t="n"/>
      <c r="AL1160" s="129">
        <f>DADOS_INVOC!$PW$156</f>
        <v/>
      </c>
      <c r="AM1160" s="120" t="n"/>
      <c r="AN1160" s="131" t="n"/>
      <c r="AO1160" s="130" t="n"/>
      <c r="AP1160" s="16" t="n"/>
      <c r="AQ1160" s="17" t="n"/>
      <c r="AR1160" s="129">
        <f>DADOS_INVOC!$PW$157</f>
        <v/>
      </c>
      <c r="AS1160" s="120" t="n"/>
    </row>
    <row r="1161" hidden="1" outlineLevel="3">
      <c r="A1161" s="8" t="n"/>
      <c r="B1161" s="14" t="n"/>
      <c r="C1161" s="120" t="n"/>
      <c r="D1161" s="120" t="n"/>
      <c r="E1161" s="120" t="n"/>
      <c r="F1161" s="120" t="n"/>
      <c r="G1161" s="120" t="n"/>
      <c r="I1161" s="131" t="n"/>
      <c r="J1161" s="130" t="n"/>
      <c r="K1161" s="16" t="n"/>
      <c r="L1161" s="17" t="n"/>
      <c r="M1161" s="129">
        <f>DADOS_INVOC!$PX$77</f>
        <v/>
      </c>
      <c r="N1161" s="120" t="n"/>
      <c r="O1161" s="131" t="n"/>
      <c r="P1161" s="130" t="n"/>
      <c r="Q1161" s="16" t="n"/>
      <c r="R1161" s="17" t="n"/>
      <c r="S1161" s="129">
        <f>DADOS_INVOC!$PX$78</f>
        <v/>
      </c>
      <c r="T1161" s="120" t="n"/>
      <c r="U1161" s="131" t="n"/>
      <c r="V1161" s="130" t="n"/>
      <c r="W1161" s="16" t="n"/>
      <c r="X1161" s="17" t="n"/>
      <c r="Y1161" s="129">
        <f>DADOS_INVOC!$PX$79</f>
        <v/>
      </c>
      <c r="Z1161" s="120" t="n"/>
      <c r="AB1161" s="131" t="n"/>
      <c r="AC1161" s="130" t="n"/>
      <c r="AD1161" s="16" t="n"/>
      <c r="AE1161" s="17" t="n"/>
      <c r="AF1161" s="129">
        <f>DADOS_INVOC!$PX$155</f>
        <v/>
      </c>
      <c r="AG1161" s="120" t="n"/>
      <c r="AH1161" s="131" t="n"/>
      <c r="AI1161" s="130" t="n"/>
      <c r="AJ1161" s="16" t="n"/>
      <c r="AK1161" s="17" t="n"/>
      <c r="AL1161" s="129">
        <f>DADOS_INVOC!$PX$156</f>
        <v/>
      </c>
      <c r="AM1161" s="120" t="n"/>
      <c r="AN1161" s="131" t="n"/>
      <c r="AO1161" s="130" t="n"/>
      <c r="AP1161" s="16" t="n"/>
      <c r="AQ1161" s="17" t="n"/>
      <c r="AR1161" s="129">
        <f>DADOS_INVOC!$PX$157</f>
        <v/>
      </c>
      <c r="AS1161" s="120" t="n"/>
    </row>
    <row r="1162" hidden="1" outlineLevel="3">
      <c r="A1162" s="8" t="n"/>
      <c r="B1162" s="14" t="n"/>
      <c r="C1162" s="120" t="n"/>
      <c r="D1162" s="120" t="n"/>
      <c r="E1162" s="120" t="n"/>
      <c r="F1162" s="120" t="n"/>
      <c r="G1162" s="120" t="n"/>
      <c r="I1162" s="125" t="n"/>
      <c r="J1162" s="130" t="n"/>
      <c r="K1162" s="16" t="n"/>
      <c r="L1162" s="17" t="n"/>
      <c r="M1162" s="129">
        <f>DADOS_INVOC!$PY$77</f>
        <v/>
      </c>
      <c r="N1162" s="120" t="n"/>
      <c r="O1162" s="125" t="n"/>
      <c r="P1162" s="130" t="n"/>
      <c r="Q1162" s="16" t="n"/>
      <c r="R1162" s="17" t="n"/>
      <c r="S1162" s="129">
        <f>DADOS_INVOC!$PY$78</f>
        <v/>
      </c>
      <c r="T1162" s="120" t="n"/>
      <c r="U1162" s="125" t="n"/>
      <c r="V1162" s="130" t="n"/>
      <c r="W1162" s="16" t="n"/>
      <c r="X1162" s="17" t="n"/>
      <c r="Y1162" s="129">
        <f>DADOS_INVOC!$PY$79</f>
        <v/>
      </c>
      <c r="Z1162" s="120" t="n"/>
      <c r="AB1162" s="125" t="n"/>
      <c r="AC1162" s="130" t="n"/>
      <c r="AD1162" s="16" t="n"/>
      <c r="AE1162" s="17" t="n"/>
      <c r="AF1162" s="129">
        <f>DADOS_INVOC!$PY$155</f>
        <v/>
      </c>
      <c r="AG1162" s="120" t="n"/>
      <c r="AH1162" s="125" t="n"/>
      <c r="AI1162" s="130" t="n"/>
      <c r="AJ1162" s="16" t="n"/>
      <c r="AK1162" s="17" t="n"/>
      <c r="AL1162" s="129">
        <f>DADOS_INVOC!$PY$156</f>
        <v/>
      </c>
      <c r="AM1162" s="120" t="n"/>
      <c r="AN1162" s="125" t="n"/>
      <c r="AO1162" s="130" t="n"/>
      <c r="AP1162" s="16" t="n"/>
      <c r="AQ1162" s="17" t="n"/>
      <c r="AR1162" s="129">
        <f>DADOS_INVOC!$PY$157</f>
        <v/>
      </c>
      <c r="AS1162" s="120" t="n"/>
    </row>
    <row r="1163" hidden="1" outlineLevel="3">
      <c r="A1163" s="8" t="n"/>
      <c r="B1163" s="14" t="n"/>
      <c r="C1163" s="120" t="n"/>
      <c r="D1163" s="120" t="n"/>
      <c r="E1163" s="120" t="n"/>
      <c r="F1163" s="120" t="n"/>
      <c r="G1163" s="120" t="n"/>
      <c r="I1163" s="55" t="inlineStr">
        <is>
          <t>RESTRIÇÕES</t>
        </is>
      </c>
      <c r="J1163" s="130" t="n"/>
      <c r="K1163" s="16" t="n"/>
      <c r="L1163" s="17" t="n"/>
      <c r="M1163" s="129">
        <f>DADOS_INVOC!$PZ$77</f>
        <v/>
      </c>
      <c r="N1163" s="120" t="n"/>
      <c r="O1163" s="55" t="inlineStr">
        <is>
          <t>RESTRIÇÕES</t>
        </is>
      </c>
      <c r="P1163" s="130" t="n"/>
      <c r="Q1163" s="16" t="n"/>
      <c r="R1163" s="17" t="n"/>
      <c r="S1163" s="129">
        <f>DADOS_INVOC!$PZ$78</f>
        <v/>
      </c>
      <c r="T1163" s="120" t="n"/>
      <c r="U1163" s="55" t="inlineStr">
        <is>
          <t>RESTRIÇÕES</t>
        </is>
      </c>
      <c r="V1163" s="130" t="n"/>
      <c r="W1163" s="16" t="n"/>
      <c r="X1163" s="17" t="n"/>
      <c r="Y1163" s="129">
        <f>DADOS_INVOC!$PZ$79</f>
        <v/>
      </c>
      <c r="Z1163" s="120" t="n"/>
      <c r="AB1163" s="55" t="inlineStr">
        <is>
          <t>RESTRIÇÕES</t>
        </is>
      </c>
      <c r="AC1163" s="130" t="n"/>
      <c r="AD1163" s="16" t="n"/>
      <c r="AE1163" s="17" t="n"/>
      <c r="AF1163" s="129">
        <f>DADOS_INVOC!$PZ$155</f>
        <v/>
      </c>
      <c r="AG1163" s="120" t="n"/>
      <c r="AH1163" s="55" t="inlineStr">
        <is>
          <t>RESTRIÇÕES</t>
        </is>
      </c>
      <c r="AI1163" s="130" t="n"/>
      <c r="AJ1163" s="16" t="n"/>
      <c r="AK1163" s="17" t="n"/>
      <c r="AL1163" s="129">
        <f>DADOS_INVOC!$PZ$156</f>
        <v/>
      </c>
      <c r="AM1163" s="120" t="n"/>
      <c r="AN1163" s="55" t="inlineStr">
        <is>
          <t>RESTRIÇÕES</t>
        </is>
      </c>
      <c r="AO1163" s="130" t="n"/>
      <c r="AP1163" s="16" t="n"/>
      <c r="AQ1163" s="17" t="n"/>
      <c r="AR1163" s="129">
        <f>DADOS_INVOC!$PZ$157</f>
        <v/>
      </c>
      <c r="AS1163" s="120" t="n"/>
    </row>
    <row r="1164" hidden="1" outlineLevel="3">
      <c r="A1164" s="8" t="n"/>
      <c r="B1164" s="14" t="n"/>
      <c r="C1164" s="120" t="n"/>
      <c r="D1164" s="120" t="n"/>
      <c r="E1164" s="120" t="n"/>
      <c r="F1164" s="120" t="n"/>
      <c r="G1164" s="120" t="n"/>
      <c r="I1164" s="125" t="n"/>
      <c r="J1164" s="130" t="n"/>
      <c r="K1164" s="16" t="n"/>
      <c r="L1164" s="17" t="n"/>
      <c r="M1164" s="129">
        <f>DADOS_INVOC!$QA$77</f>
        <v/>
      </c>
      <c r="N1164" s="120" t="n"/>
      <c r="O1164" s="125" t="n"/>
      <c r="P1164" s="130" t="n"/>
      <c r="Q1164" s="16" t="n"/>
      <c r="R1164" s="17" t="n"/>
      <c r="S1164" s="129">
        <f>DADOS_INVOC!$QA$78</f>
        <v/>
      </c>
      <c r="T1164" s="120" t="n"/>
      <c r="U1164" s="125" t="n"/>
      <c r="V1164" s="130" t="n"/>
      <c r="W1164" s="16" t="n"/>
      <c r="X1164" s="17" t="n"/>
      <c r="Y1164" s="129">
        <f>DADOS_INVOC!$QA$79</f>
        <v/>
      </c>
      <c r="Z1164" s="120" t="n"/>
      <c r="AB1164" s="125" t="n"/>
      <c r="AC1164" s="130" t="n"/>
      <c r="AD1164" s="16" t="n"/>
      <c r="AE1164" s="17" t="n"/>
      <c r="AF1164" s="129">
        <f>DADOS_INVOC!$QA$155</f>
        <v/>
      </c>
      <c r="AG1164" s="120" t="n"/>
      <c r="AH1164" s="125" t="n"/>
      <c r="AI1164" s="130" t="n"/>
      <c r="AJ1164" s="16" t="n"/>
      <c r="AK1164" s="17" t="n"/>
      <c r="AL1164" s="129">
        <f>DADOS_INVOC!$QA$156</f>
        <v/>
      </c>
      <c r="AM1164" s="120" t="n"/>
      <c r="AN1164" s="125" t="n"/>
      <c r="AO1164" s="130" t="n"/>
      <c r="AP1164" s="16" t="n"/>
      <c r="AQ1164" s="17" t="n"/>
      <c r="AR1164" s="129">
        <f>DADOS_INVOC!$QA$157</f>
        <v/>
      </c>
      <c r="AS1164" s="120" t="n"/>
    </row>
    <row r="1165" hidden="1" outlineLevel="3">
      <c r="A1165" s="8" t="n"/>
      <c r="B1165" s="14" t="n"/>
      <c r="C1165" s="120" t="n"/>
      <c r="D1165" s="120" t="n"/>
      <c r="E1165" s="120" t="n"/>
      <c r="F1165" s="120" t="n"/>
      <c r="G1165" s="120" t="n"/>
      <c r="I1165" s="55" t="inlineStr">
        <is>
          <t>CONTA</t>
        </is>
      </c>
      <c r="J1165" s="132">
        <f>DADOS_INVOC!$PT$77</f>
        <v/>
      </c>
      <c r="K1165" s="16" t="n"/>
      <c r="L1165" s="16" t="n"/>
      <c r="M1165" s="17" t="n"/>
      <c r="N1165" s="120" t="n"/>
      <c r="O1165" s="55" t="inlineStr">
        <is>
          <t>CONTA</t>
        </is>
      </c>
      <c r="P1165" s="132">
        <f>DADOS_INVOC!$PT$78</f>
        <v/>
      </c>
      <c r="Q1165" s="16" t="n"/>
      <c r="R1165" s="16" t="n"/>
      <c r="S1165" s="17" t="n"/>
      <c r="T1165" s="120" t="n"/>
      <c r="U1165" s="55" t="inlineStr">
        <is>
          <t>CONTA</t>
        </is>
      </c>
      <c r="V1165" s="132">
        <f>DADOS_INVOC!$PT$79</f>
        <v/>
      </c>
      <c r="W1165" s="16" t="n"/>
      <c r="X1165" s="16" t="n"/>
      <c r="Y1165" s="17" t="n"/>
      <c r="Z1165" s="120" t="n"/>
      <c r="AB1165" s="55" t="inlineStr">
        <is>
          <t>CONTA</t>
        </is>
      </c>
      <c r="AC1165" s="132">
        <f>DADOS_INVOC!$PT$155</f>
        <v/>
      </c>
      <c r="AD1165" s="16" t="n"/>
      <c r="AE1165" s="16" t="n"/>
      <c r="AF1165" s="17" t="n"/>
      <c r="AG1165" s="120" t="n"/>
      <c r="AH1165" s="55" t="inlineStr">
        <is>
          <t>CONTA</t>
        </is>
      </c>
      <c r="AI1165" s="132">
        <f>DADOS_INVOC!$PT$156</f>
        <v/>
      </c>
      <c r="AJ1165" s="16" t="n"/>
      <c r="AK1165" s="16" t="n"/>
      <c r="AL1165" s="17" t="n"/>
      <c r="AM1165" s="120" t="n"/>
      <c r="AN1165" s="55" t="inlineStr">
        <is>
          <t>CONTA</t>
        </is>
      </c>
      <c r="AO1165" s="132">
        <f>DADOS_INVOC!$PT$157</f>
        <v/>
      </c>
      <c r="AP1165" s="16" t="n"/>
      <c r="AQ1165" s="16" t="n"/>
      <c r="AR1165" s="17" t="n"/>
      <c r="AS1165" s="120" t="n"/>
    </row>
    <row r="1166" hidden="1" outlineLevel="3">
      <c r="A1166" s="8" t="n"/>
      <c r="B1166" s="14" t="n"/>
      <c r="C1166" s="120" t="n"/>
      <c r="D1166" s="120" t="n"/>
      <c r="E1166" s="120" t="n"/>
      <c r="F1166" s="120" t="n"/>
      <c r="G1166" s="120" t="n"/>
      <c r="I1166" s="55" t="inlineStr">
        <is>
          <t>AMPLIAR</t>
        </is>
      </c>
      <c r="J1166" s="132">
        <f>DADOS_INVOC!$PU$77</f>
        <v/>
      </c>
      <c r="K1166" s="19" t="n"/>
      <c r="L1166" s="19" t="n"/>
      <c r="M1166" s="20" t="n"/>
      <c r="N1166" s="120" t="n"/>
      <c r="O1166" s="55" t="inlineStr">
        <is>
          <t>AMPLIAR</t>
        </is>
      </c>
      <c r="P1166" s="132">
        <f>DADOS_INVOC!$PU$78</f>
        <v/>
      </c>
      <c r="Q1166" s="19" t="n"/>
      <c r="R1166" s="19" t="n"/>
      <c r="S1166" s="20" t="n"/>
      <c r="T1166" s="120" t="n"/>
      <c r="U1166" s="55" t="inlineStr">
        <is>
          <t>AMPLIAR</t>
        </is>
      </c>
      <c r="V1166" s="132">
        <f>DADOS_INVOC!$PU$79</f>
        <v/>
      </c>
      <c r="W1166" s="19" t="n"/>
      <c r="X1166" s="19" t="n"/>
      <c r="Y1166" s="20" t="n"/>
      <c r="Z1166" s="120" t="n"/>
      <c r="AB1166" s="55" t="inlineStr">
        <is>
          <t>AMPLIAR</t>
        </is>
      </c>
      <c r="AC1166" s="132">
        <f>DADOS_INVOC!$PU$155</f>
        <v/>
      </c>
      <c r="AD1166" s="19" t="n"/>
      <c r="AE1166" s="19" t="n"/>
      <c r="AF1166" s="20" t="n"/>
      <c r="AG1166" s="120" t="n"/>
      <c r="AH1166" s="55" t="inlineStr">
        <is>
          <t>AMPLIAR</t>
        </is>
      </c>
      <c r="AI1166" s="132">
        <f>DADOS_INVOC!$PU$156</f>
        <v/>
      </c>
      <c r="AJ1166" s="19" t="n"/>
      <c r="AK1166" s="19" t="n"/>
      <c r="AL1166" s="20" t="n"/>
      <c r="AM1166" s="120" t="n"/>
      <c r="AN1166" s="55" t="inlineStr">
        <is>
          <t>AMPLIAR</t>
        </is>
      </c>
      <c r="AO1166" s="132">
        <f>DADOS_INVOC!$PU$157</f>
        <v/>
      </c>
      <c r="AP1166" s="19" t="n"/>
      <c r="AQ1166" s="19" t="n"/>
      <c r="AR1166" s="20" t="n"/>
      <c r="AS1166" s="120" t="n"/>
    </row>
    <row r="1167" hidden="1" outlineLevel="3">
      <c r="A1167" s="8" t="n"/>
      <c r="B1167" s="14" t="n"/>
      <c r="C1167" s="120" t="n"/>
      <c r="D1167" s="120" t="n"/>
      <c r="E1167" s="120" t="n"/>
      <c r="F1167" s="120" t="n"/>
      <c r="G1167" s="120" t="n"/>
      <c r="I1167" s="125" t="n"/>
      <c r="J1167" s="23" t="n"/>
      <c r="K1167" s="24" t="n"/>
      <c r="L1167" s="24" t="n"/>
      <c r="M1167" s="25" t="n"/>
      <c r="N1167" s="120" t="n"/>
      <c r="O1167" s="125" t="n"/>
      <c r="P1167" s="23" t="n"/>
      <c r="Q1167" s="24" t="n"/>
      <c r="R1167" s="24" t="n"/>
      <c r="S1167" s="25" t="n"/>
      <c r="T1167" s="120" t="n"/>
      <c r="U1167" s="125" t="n"/>
      <c r="V1167" s="23" t="n"/>
      <c r="W1167" s="24" t="n"/>
      <c r="X1167" s="24" t="n"/>
      <c r="Y1167" s="25" t="n"/>
      <c r="Z1167" s="120" t="n"/>
      <c r="AB1167" s="125" t="n"/>
      <c r="AC1167" s="23" t="n"/>
      <c r="AD1167" s="24" t="n"/>
      <c r="AE1167" s="24" t="n"/>
      <c r="AF1167" s="25" t="n"/>
      <c r="AG1167" s="120" t="n"/>
      <c r="AH1167" s="125" t="n"/>
      <c r="AI1167" s="23" t="n"/>
      <c r="AJ1167" s="24" t="n"/>
      <c r="AK1167" s="24" t="n"/>
      <c r="AL1167" s="25" t="n"/>
      <c r="AM1167" s="120" t="n"/>
      <c r="AN1167" s="125" t="n"/>
      <c r="AO1167" s="23" t="n"/>
      <c r="AP1167" s="24" t="n"/>
      <c r="AQ1167" s="24" t="n"/>
      <c r="AR1167" s="25" t="n"/>
      <c r="AS1167" s="120" t="n"/>
    </row>
    <row r="1168" hidden="1" outlineLevel="3">
      <c r="A1168" s="8" t="n"/>
      <c r="B1168" s="14" t="n"/>
      <c r="C1168" s="120" t="n"/>
      <c r="D1168" s="120" t="n"/>
      <c r="E1168" s="120" t="n"/>
      <c r="F1168" s="120" t="n"/>
      <c r="G1168" s="120" t="n"/>
      <c r="I1168" s="132">
        <f>DADOS_INVOC!$PH$77</f>
        <v/>
      </c>
      <c r="J1168" s="19" t="n"/>
      <c r="K1168" s="19" t="n"/>
      <c r="L1168" s="19" t="n"/>
      <c r="M1168" s="20" t="n"/>
      <c r="N1168" s="120" t="n"/>
      <c r="O1168" s="132">
        <f>DADOS_INVOC!$PH$78</f>
        <v/>
      </c>
      <c r="P1168" s="19" t="n"/>
      <c r="Q1168" s="19" t="n"/>
      <c r="R1168" s="19" t="n"/>
      <c r="S1168" s="20" t="n"/>
      <c r="T1168" s="120" t="n"/>
      <c r="U1168" s="132">
        <f>DADOS_INVOC!$PH$79</f>
        <v/>
      </c>
      <c r="V1168" s="19" t="n"/>
      <c r="W1168" s="19" t="n"/>
      <c r="X1168" s="19" t="n"/>
      <c r="Y1168" s="20" t="n"/>
      <c r="Z1168" s="120" t="n"/>
      <c r="AB1168" s="132">
        <f>DADOS_INVOC!$PH$155</f>
        <v/>
      </c>
      <c r="AC1168" s="19" t="n"/>
      <c r="AD1168" s="19" t="n"/>
      <c r="AE1168" s="19" t="n"/>
      <c r="AF1168" s="20" t="n"/>
      <c r="AG1168" s="120" t="n"/>
      <c r="AH1168" s="132">
        <f>DADOS_INVOC!$PH$156</f>
        <v/>
      </c>
      <c r="AI1168" s="19" t="n"/>
      <c r="AJ1168" s="19" t="n"/>
      <c r="AK1168" s="19" t="n"/>
      <c r="AL1168" s="20" t="n"/>
      <c r="AM1168" s="120" t="n"/>
      <c r="AN1168" s="132">
        <f>DADOS_INVOC!$PH$157</f>
        <v/>
      </c>
      <c r="AO1168" s="19" t="n"/>
      <c r="AP1168" s="19" t="n"/>
      <c r="AQ1168" s="19" t="n"/>
      <c r="AR1168" s="20" t="n"/>
      <c r="AS1168" s="120" t="n"/>
    </row>
    <row r="1169" hidden="1" outlineLevel="3">
      <c r="A1169" s="8" t="n"/>
      <c r="B1169" s="14" t="n"/>
      <c r="C1169" s="120" t="n"/>
      <c r="D1169" s="120" t="n"/>
      <c r="E1169" s="120" t="n"/>
      <c r="F1169" s="120" t="n"/>
      <c r="G1169" s="120" t="n"/>
      <c r="I1169" s="23" t="n"/>
      <c r="J1169" s="24" t="n"/>
      <c r="K1169" s="24" t="n"/>
      <c r="L1169" s="24" t="n"/>
      <c r="M1169" s="25" t="n"/>
      <c r="N1169" s="120" t="n"/>
      <c r="O1169" s="23" t="n"/>
      <c r="P1169" s="24" t="n"/>
      <c r="Q1169" s="24" t="n"/>
      <c r="R1169" s="24" t="n"/>
      <c r="S1169" s="25" t="n"/>
      <c r="T1169" s="120" t="n"/>
      <c r="U1169" s="23" t="n"/>
      <c r="V1169" s="24" t="n"/>
      <c r="W1169" s="24" t="n"/>
      <c r="X1169" s="24" t="n"/>
      <c r="Y1169" s="25" t="n"/>
      <c r="Z1169" s="120" t="n"/>
      <c r="AB1169" s="23" t="n"/>
      <c r="AC1169" s="24" t="n"/>
      <c r="AD1169" s="24" t="n"/>
      <c r="AE1169" s="24" t="n"/>
      <c r="AF1169" s="25" t="n"/>
      <c r="AG1169" s="120" t="n"/>
      <c r="AH1169" s="23" t="n"/>
      <c r="AI1169" s="24" t="n"/>
      <c r="AJ1169" s="24" t="n"/>
      <c r="AK1169" s="24" t="n"/>
      <c r="AL1169" s="25" t="n"/>
      <c r="AM1169" s="120" t="n"/>
      <c r="AN1169" s="23" t="n"/>
      <c r="AO1169" s="24" t="n"/>
      <c r="AP1169" s="24" t="n"/>
      <c r="AQ1169" s="24" t="n"/>
      <c r="AR1169" s="25" t="n"/>
      <c r="AS1169" s="120" t="n"/>
    </row>
    <row r="1170" hidden="1" outlineLevel="2">
      <c r="A1170" s="8" t="n"/>
      <c r="B1170" s="14" t="n"/>
      <c r="C1170" s="120" t="n"/>
      <c r="D1170" s="120" t="n"/>
      <c r="E1170" s="120" t="n"/>
      <c r="F1170" s="120" t="n"/>
      <c r="G1170" s="120" t="n"/>
      <c r="I1170" s="120" t="n"/>
      <c r="J1170" s="120" t="n"/>
      <c r="K1170" s="120" t="n"/>
      <c r="L1170" s="120" t="n"/>
      <c r="M1170" s="120" t="n"/>
      <c r="N1170" s="120" t="n"/>
      <c r="O1170" s="120" t="n"/>
      <c r="P1170" s="120" t="n"/>
      <c r="Q1170" s="120" t="n"/>
      <c r="R1170" s="120" t="n"/>
      <c r="S1170" s="120" t="n"/>
      <c r="T1170" s="120" t="n"/>
      <c r="U1170" s="120" t="n"/>
      <c r="V1170" s="120" t="n"/>
      <c r="W1170" s="120" t="n"/>
      <c r="X1170" s="120" t="n"/>
      <c r="Y1170" s="120" t="n"/>
      <c r="Z1170" s="120" t="n"/>
      <c r="AB1170" s="120" t="n"/>
      <c r="AC1170" s="120" t="n"/>
      <c r="AD1170" s="120" t="n"/>
      <c r="AE1170" s="120" t="n"/>
      <c r="AF1170" s="120" t="n"/>
      <c r="AG1170" s="120" t="n"/>
      <c r="AH1170" s="120" t="n"/>
      <c r="AI1170" s="120" t="n"/>
      <c r="AJ1170" s="120" t="n"/>
      <c r="AK1170" s="120" t="n"/>
      <c r="AL1170" s="120" t="n"/>
      <c r="AM1170" s="120" t="n"/>
      <c r="AN1170" s="120" t="n"/>
      <c r="AO1170" s="120" t="n"/>
      <c r="AP1170" s="120" t="n"/>
      <c r="AQ1170" s="120" t="n"/>
      <c r="AR1170" s="120" t="n"/>
      <c r="AS1170" s="120" t="n"/>
    </row>
    <row r="1171" hidden="1" outlineLevel="2">
      <c r="A1171" s="8" t="n"/>
      <c r="B1171" s="14" t="n"/>
      <c r="C1171" s="120" t="n"/>
      <c r="D1171" s="120" t="n"/>
      <c r="E1171" s="120" t="n"/>
      <c r="F1171" s="120" t="n"/>
      <c r="G1171" s="120"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0"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0" t="n"/>
    </row>
    <row r="1172" hidden="1" outlineLevel="2">
      <c r="A1172" s="8" t="n"/>
      <c r="B1172" s="14" t="n"/>
      <c r="C1172" s="120" t="n"/>
      <c r="D1172" s="120" t="n"/>
      <c r="E1172" s="120" t="n"/>
      <c r="F1172" s="120" t="n"/>
      <c r="G1172" s="120" t="n"/>
      <c r="I1172" s="55" t="inlineStr">
        <is>
          <t>TRILHA · CE 1</t>
        </is>
      </c>
      <c r="J1172" s="130" t="n"/>
      <c r="K1172" s="16" t="n"/>
      <c r="L1172" s="17" t="n"/>
      <c r="M1172" s="137">
        <f>DADOS_INVOC!$II$7</f>
        <v/>
      </c>
      <c r="N1172" s="16" t="n"/>
      <c r="O1172" s="16" t="n"/>
      <c r="P1172" s="16" t="n"/>
      <c r="Q1172" s="16" t="n"/>
      <c r="R1172" s="16" t="n"/>
      <c r="S1172" s="16" t="n"/>
      <c r="T1172" s="16" t="n"/>
      <c r="U1172" s="16" t="n"/>
      <c r="V1172" s="16" t="n"/>
      <c r="W1172" s="16" t="n"/>
      <c r="X1172" s="16" t="n"/>
      <c r="Y1172" s="17" t="n"/>
      <c r="Z1172" s="120" t="n"/>
      <c r="AB1172" s="55" t="inlineStr">
        <is>
          <t>TRILHA · CE 1</t>
        </is>
      </c>
      <c r="AC1172" s="130" t="n"/>
      <c r="AD1172" s="16" t="n"/>
      <c r="AE1172" s="17" t="n"/>
      <c r="AF1172" s="137">
        <f>DADOS_INVOC!$II$13</f>
        <v/>
      </c>
      <c r="AG1172" s="16" t="n"/>
      <c r="AH1172" s="16" t="n"/>
      <c r="AI1172" s="16" t="n"/>
      <c r="AJ1172" s="16" t="n"/>
      <c r="AK1172" s="16" t="n"/>
      <c r="AL1172" s="16" t="n"/>
      <c r="AM1172" s="16" t="n"/>
      <c r="AN1172" s="16" t="n"/>
      <c r="AO1172" s="16" t="n"/>
      <c r="AP1172" s="16" t="n"/>
      <c r="AQ1172" s="16" t="n"/>
      <c r="AR1172" s="17" t="n"/>
      <c r="AS1172" s="120" t="n"/>
    </row>
    <row r="1173" hidden="1" outlineLevel="2">
      <c r="A1173" s="8" t="n"/>
      <c r="B1173" s="14" t="n"/>
      <c r="C1173" s="120" t="n"/>
      <c r="D1173" s="120" t="n"/>
      <c r="E1173" s="120" t="n"/>
      <c r="F1173" s="120" t="n"/>
      <c r="G1173" s="120" t="n"/>
      <c r="I1173" s="55" t="inlineStr">
        <is>
          <t>TRILHA · CE 1</t>
        </is>
      </c>
      <c r="J1173" s="130" t="n"/>
      <c r="K1173" s="16" t="n"/>
      <c r="L1173" s="17" t="n"/>
      <c r="M1173" s="137">
        <f>DADOS_INVOC!$IJ$7</f>
        <v/>
      </c>
      <c r="N1173" s="16" t="n"/>
      <c r="O1173" s="16" t="n"/>
      <c r="P1173" s="16" t="n"/>
      <c r="Q1173" s="16" t="n"/>
      <c r="R1173" s="16" t="n"/>
      <c r="S1173" s="16" t="n"/>
      <c r="T1173" s="16" t="n"/>
      <c r="U1173" s="16" t="n"/>
      <c r="V1173" s="16" t="n"/>
      <c r="W1173" s="16" t="n"/>
      <c r="X1173" s="16" t="n"/>
      <c r="Y1173" s="17" t="n"/>
      <c r="Z1173" s="120" t="n"/>
      <c r="AB1173" s="55" t="inlineStr">
        <is>
          <t>TRILHA · CE 1</t>
        </is>
      </c>
      <c r="AC1173" s="130" t="n"/>
      <c r="AD1173" s="16" t="n"/>
      <c r="AE1173" s="17" t="n"/>
      <c r="AF1173" s="137">
        <f>DADOS_INVOC!$IJ$13</f>
        <v/>
      </c>
      <c r="AG1173" s="16" t="n"/>
      <c r="AH1173" s="16" t="n"/>
      <c r="AI1173" s="16" t="n"/>
      <c r="AJ1173" s="16" t="n"/>
      <c r="AK1173" s="16" t="n"/>
      <c r="AL1173" s="16" t="n"/>
      <c r="AM1173" s="16" t="n"/>
      <c r="AN1173" s="16" t="n"/>
      <c r="AO1173" s="16" t="n"/>
      <c r="AP1173" s="16" t="n"/>
      <c r="AQ1173" s="16" t="n"/>
      <c r="AR1173" s="17" t="n"/>
      <c r="AS1173" s="120" t="n"/>
    </row>
    <row r="1174" hidden="1" outlineLevel="2">
      <c r="A1174" s="8" t="n"/>
      <c r="B1174" s="14" t="n"/>
      <c r="C1174" s="120" t="n"/>
      <c r="D1174" s="120" t="n"/>
      <c r="E1174" s="120" t="n"/>
      <c r="F1174" s="120" t="n"/>
      <c r="G1174" s="120" t="n"/>
      <c r="I1174" s="55" t="inlineStr">
        <is>
          <t>TRILHA · CE 1</t>
        </is>
      </c>
      <c r="J1174" s="130" t="n"/>
      <c r="K1174" s="16" t="n"/>
      <c r="L1174" s="17" t="n"/>
      <c r="M1174" s="137">
        <f>DADOS_INVOC!$IK$7</f>
        <v/>
      </c>
      <c r="N1174" s="16" t="n"/>
      <c r="O1174" s="16" t="n"/>
      <c r="P1174" s="16" t="n"/>
      <c r="Q1174" s="16" t="n"/>
      <c r="R1174" s="16" t="n"/>
      <c r="S1174" s="16" t="n"/>
      <c r="T1174" s="16" t="n"/>
      <c r="U1174" s="16" t="n"/>
      <c r="V1174" s="16" t="n"/>
      <c r="W1174" s="16" t="n"/>
      <c r="X1174" s="16" t="n"/>
      <c r="Y1174" s="17" t="n"/>
      <c r="Z1174" s="120" t="n"/>
      <c r="AB1174" s="55" t="inlineStr">
        <is>
          <t>TRILHA · CE 1</t>
        </is>
      </c>
      <c r="AC1174" s="130" t="n"/>
      <c r="AD1174" s="16" t="n"/>
      <c r="AE1174" s="17" t="n"/>
      <c r="AF1174" s="137">
        <f>DADOS_INVOC!$IK$13</f>
        <v/>
      </c>
      <c r="AG1174" s="16" t="n"/>
      <c r="AH1174" s="16" t="n"/>
      <c r="AI1174" s="16" t="n"/>
      <c r="AJ1174" s="16" t="n"/>
      <c r="AK1174" s="16" t="n"/>
      <c r="AL1174" s="16" t="n"/>
      <c r="AM1174" s="16" t="n"/>
      <c r="AN1174" s="16" t="n"/>
      <c r="AO1174" s="16" t="n"/>
      <c r="AP1174" s="16" t="n"/>
      <c r="AQ1174" s="16" t="n"/>
      <c r="AR1174" s="17" t="n"/>
      <c r="AS1174" s="120" t="n"/>
    </row>
    <row r="1175" hidden="1" outlineLevel="1">
      <c r="A1175" s="8" t="n"/>
      <c r="B1175" s="14" t="n"/>
      <c r="C1175" s="120" t="n"/>
      <c r="D1175" s="120" t="n"/>
      <c r="E1175" s="120" t="n"/>
      <c r="F1175" s="120" t="n"/>
      <c r="G1175" s="120" t="n"/>
      <c r="I1175" s="120" t="n"/>
      <c r="J1175" s="120" t="n"/>
      <c r="K1175" s="120" t="n"/>
      <c r="L1175" s="120" t="n"/>
      <c r="M1175" s="120" t="n"/>
      <c r="N1175" s="120" t="n"/>
      <c r="O1175" s="120" t="n"/>
      <c r="P1175" s="120" t="n"/>
      <c r="Q1175" s="120" t="n"/>
      <c r="R1175" s="120" t="n"/>
      <c r="S1175" s="120" t="n"/>
      <c r="T1175" s="120" t="n"/>
      <c r="U1175" s="120" t="n"/>
      <c r="V1175" s="120" t="n"/>
      <c r="W1175" s="120" t="n"/>
      <c r="X1175" s="120" t="n"/>
      <c r="Y1175" s="120" t="n"/>
      <c r="Z1175" s="120" t="n"/>
      <c r="AB1175" s="120" t="n"/>
      <c r="AC1175" s="120" t="n"/>
      <c r="AD1175" s="120" t="n"/>
      <c r="AE1175" s="120" t="n"/>
      <c r="AF1175" s="120" t="n"/>
      <c r="AG1175" s="120" t="n"/>
      <c r="AH1175" s="120" t="n"/>
      <c r="AI1175" s="120" t="n"/>
      <c r="AJ1175" s="120" t="n"/>
      <c r="AK1175" s="120" t="n"/>
      <c r="AL1175" s="120" t="n"/>
      <c r="AM1175" s="120" t="n"/>
      <c r="AN1175" s="120" t="n"/>
      <c r="AO1175" s="120" t="n"/>
      <c r="AP1175" s="120" t="n"/>
      <c r="AQ1175" s="120" t="n"/>
      <c r="AR1175" s="120" t="n"/>
      <c r="AS1175" s="120" t="n"/>
    </row>
    <row r="1176" hidden="1" outlineLevel="1">
      <c r="A1176" s="8" t="n"/>
      <c r="B1176" s="14" t="n"/>
      <c r="C1176" s="120" t="n"/>
      <c r="D1176" s="120" t="n"/>
      <c r="E1176" s="120" t="n"/>
      <c r="F1176" s="120" t="n"/>
      <c r="G1176" s="120" t="n"/>
      <c r="I1176" s="13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0" t="n"/>
      <c r="AB1176" s="13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0" t="n"/>
    </row>
    <row r="1177" hidden="1" outlineLevel="2">
      <c r="A1177" s="8" t="n"/>
      <c r="B1177" s="14" t="n"/>
      <c r="C1177" s="120" t="n"/>
      <c r="D1177" s="120" t="n"/>
      <c r="E1177" s="120" t="n"/>
      <c r="F1177" s="120" t="n"/>
      <c r="G1177" s="120" t="n"/>
      <c r="I1177" s="120" t="n"/>
      <c r="J1177" s="120" t="n"/>
      <c r="K1177" s="120" t="n"/>
      <c r="L1177" s="120" t="n"/>
      <c r="M1177" s="120" t="n"/>
      <c r="N1177" s="120" t="n"/>
      <c r="O1177" s="120" t="n"/>
      <c r="P1177" s="120" t="n"/>
      <c r="Q1177" s="120" t="n"/>
      <c r="R1177" s="120" t="n"/>
      <c r="S1177" s="120" t="n"/>
      <c r="T1177" s="120" t="n"/>
      <c r="U1177" s="120" t="n"/>
      <c r="V1177" s="120" t="n"/>
      <c r="W1177" s="120" t="n"/>
      <c r="X1177" s="120" t="n"/>
      <c r="Y1177" s="120" t="n"/>
      <c r="Z1177" s="120" t="n"/>
      <c r="AB1177" s="120" t="n"/>
      <c r="AC1177" s="120" t="n"/>
      <c r="AD1177" s="120" t="n"/>
      <c r="AE1177" s="120" t="n"/>
      <c r="AF1177" s="120" t="n"/>
      <c r="AG1177" s="120" t="n"/>
      <c r="AH1177" s="120" t="n"/>
      <c r="AI1177" s="120" t="n"/>
      <c r="AJ1177" s="120" t="n"/>
      <c r="AK1177" s="120" t="n"/>
      <c r="AL1177" s="120" t="n"/>
      <c r="AM1177" s="120" t="n"/>
      <c r="AN1177" s="120" t="n"/>
      <c r="AO1177" s="120" t="n"/>
      <c r="AP1177" s="120" t="n"/>
      <c r="AQ1177" s="120" t="n"/>
      <c r="AR1177" s="120" t="n"/>
      <c r="AS1177" s="120" t="n"/>
    </row>
    <row r="1178" hidden="1" outlineLevel="2">
      <c r="A1178" s="8" t="n"/>
      <c r="B1178" s="14" t="n"/>
      <c r="C1178" s="120" t="n"/>
      <c r="D1178" s="120" t="n"/>
      <c r="E1178" s="120" t="n"/>
      <c r="F1178" s="120" t="n"/>
      <c r="G1178" s="120" t="n"/>
      <c r="I1178" s="55" t="inlineStr">
        <is>
          <t>LIBERAÇÃO MÁXIMA 1</t>
        </is>
      </c>
      <c r="J1178" s="16" t="n"/>
      <c r="K1178" s="16" t="n"/>
      <c r="L1178" s="16" t="n"/>
      <c r="M1178" s="17" t="n"/>
      <c r="N1178" s="120" t="n"/>
      <c r="O1178" s="55" t="inlineStr">
        <is>
          <t>LIBERAÇÃO MÁXIMA 2</t>
        </is>
      </c>
      <c r="P1178" s="16" t="n"/>
      <c r="Q1178" s="16" t="n"/>
      <c r="R1178" s="16" t="n"/>
      <c r="S1178" s="17" t="n"/>
      <c r="T1178" s="120" t="n"/>
      <c r="U1178" s="55" t="inlineStr">
        <is>
          <t>LIBERAÇÃO MÁXIMA 3</t>
        </is>
      </c>
      <c r="V1178" s="16" t="n"/>
      <c r="W1178" s="16" t="n"/>
      <c r="X1178" s="16" t="n"/>
      <c r="Y1178" s="17" t="n"/>
      <c r="Z1178" s="120" t="n"/>
      <c r="AB1178" s="55" t="inlineStr">
        <is>
          <t>LIBERAÇÃO MÁXIMA 1</t>
        </is>
      </c>
      <c r="AC1178" s="16" t="n"/>
      <c r="AD1178" s="16" t="n"/>
      <c r="AE1178" s="16" t="n"/>
      <c r="AF1178" s="17" t="n"/>
      <c r="AG1178" s="120" t="n"/>
      <c r="AH1178" s="55" t="inlineStr">
        <is>
          <t>LIBERAÇÃO MÁXIMA 2</t>
        </is>
      </c>
      <c r="AI1178" s="16" t="n"/>
      <c r="AJ1178" s="16" t="n"/>
      <c r="AK1178" s="16" t="n"/>
      <c r="AL1178" s="17" t="n"/>
      <c r="AM1178" s="120" t="n"/>
      <c r="AN1178" s="55" t="inlineStr">
        <is>
          <t>LIBERAÇÃO MÁXIMA 3</t>
        </is>
      </c>
      <c r="AO1178" s="16" t="n"/>
      <c r="AP1178" s="16" t="n"/>
      <c r="AQ1178" s="16" t="n"/>
      <c r="AR1178" s="17" t="n"/>
      <c r="AS1178" s="120" t="n"/>
    </row>
    <row r="1179" hidden="1" outlineLevel="2">
      <c r="A1179" s="8" t="n"/>
      <c r="B1179" s="14" t="n"/>
      <c r="C1179" s="120" t="n"/>
      <c r="D1179" s="120" t="n"/>
      <c r="E1179" s="120" t="n"/>
      <c r="F1179" s="120" t="n"/>
      <c r="G1179" s="120" t="n"/>
      <c r="I1179" s="127" t="n">
        <v>3</v>
      </c>
      <c r="J1179" s="115" t="n"/>
      <c r="K1179" s="16" t="n"/>
      <c r="L1179" s="17" t="n"/>
      <c r="M1179" s="128">
        <f>DADOS_INVOC!$IL$7</f>
        <v/>
      </c>
      <c r="N1179" s="120" t="n"/>
      <c r="O1179" s="127" t="n">
        <v>3</v>
      </c>
      <c r="P1179" s="115" t="n"/>
      <c r="Q1179" s="16" t="n"/>
      <c r="R1179" s="17" t="n"/>
      <c r="S1179" s="128">
        <f>DADOS_INVOC!$IM$7</f>
        <v/>
      </c>
      <c r="T1179" s="120" t="n"/>
      <c r="U1179" s="127" t="n">
        <v>3</v>
      </c>
      <c r="V1179" s="115" t="n"/>
      <c r="W1179" s="16" t="n"/>
      <c r="X1179" s="17" t="n"/>
      <c r="Y1179" s="128">
        <f>DADOS_INVOC!$IN$7</f>
        <v/>
      </c>
      <c r="Z1179" s="120" t="n"/>
      <c r="AB1179" s="127" t="n">
        <v>3</v>
      </c>
      <c r="AC1179" s="115" t="n"/>
      <c r="AD1179" s="16" t="n"/>
      <c r="AE1179" s="17" t="n"/>
      <c r="AF1179" s="128">
        <f>DADOS_INVOC!$IL$13</f>
        <v/>
      </c>
      <c r="AG1179" s="120" t="n"/>
      <c r="AH1179" s="127" t="n">
        <v>3</v>
      </c>
      <c r="AI1179" s="115" t="n"/>
      <c r="AJ1179" s="16" t="n"/>
      <c r="AK1179" s="17" t="n"/>
      <c r="AL1179" s="128">
        <f>DADOS_INVOC!$IM$13</f>
        <v/>
      </c>
      <c r="AM1179" s="120" t="n"/>
      <c r="AN1179" s="127" t="n">
        <v>3</v>
      </c>
      <c r="AO1179" s="115" t="n"/>
      <c r="AP1179" s="16" t="n"/>
      <c r="AQ1179" s="17" t="n"/>
      <c r="AR1179" s="128">
        <f>DADOS_INVOC!$IN$13</f>
        <v/>
      </c>
      <c r="AS1179" s="120" t="n"/>
    </row>
    <row r="1180" hidden="1" outlineLevel="2">
      <c r="A1180" s="8" t="n"/>
      <c r="B1180" s="14" t="n"/>
      <c r="C1180" s="120" t="n"/>
      <c r="D1180" s="120" t="n"/>
      <c r="E1180" s="120" t="n"/>
      <c r="F1180" s="120" t="n"/>
      <c r="G1180" s="120" t="n"/>
      <c r="I1180" s="116" t="n"/>
      <c r="J1180" s="19" t="n"/>
      <c r="K1180" s="19" t="n"/>
      <c r="L1180" s="19" t="n"/>
      <c r="M1180" s="20" t="n"/>
      <c r="N1180" s="120" t="n"/>
      <c r="O1180" s="116" t="n"/>
      <c r="P1180" s="19" t="n"/>
      <c r="Q1180" s="19" t="n"/>
      <c r="R1180" s="19" t="n"/>
      <c r="S1180" s="20" t="n"/>
      <c r="T1180" s="120" t="n"/>
      <c r="U1180" s="116" t="n"/>
      <c r="V1180" s="19" t="n"/>
      <c r="W1180" s="19" t="n"/>
      <c r="X1180" s="19" t="n"/>
      <c r="Y1180" s="20" t="n"/>
      <c r="Z1180" s="120" t="n"/>
      <c r="AB1180" s="116" t="n"/>
      <c r="AC1180" s="19" t="n"/>
      <c r="AD1180" s="19" t="n"/>
      <c r="AE1180" s="19" t="n"/>
      <c r="AF1180" s="20" t="n"/>
      <c r="AG1180" s="120" t="n"/>
      <c r="AH1180" s="116" t="n"/>
      <c r="AI1180" s="19" t="n"/>
      <c r="AJ1180" s="19" t="n"/>
      <c r="AK1180" s="19" t="n"/>
      <c r="AL1180" s="20" t="n"/>
      <c r="AM1180" s="120" t="n"/>
      <c r="AN1180" s="116" t="n"/>
      <c r="AO1180" s="19" t="n"/>
      <c r="AP1180" s="19" t="n"/>
      <c r="AQ1180" s="19" t="n"/>
      <c r="AR1180" s="20" t="n"/>
      <c r="AS1180" s="120" t="n"/>
    </row>
    <row r="1181" hidden="1" outlineLevel="2">
      <c r="A1181" s="8" t="n"/>
      <c r="B1181" s="14" t="n"/>
      <c r="C1181" s="120" t="n"/>
      <c r="D1181" s="120" t="n"/>
      <c r="E1181" s="120" t="n"/>
      <c r="F1181" s="120" t="n"/>
      <c r="G1181" s="120" t="n"/>
      <c r="I1181" s="21" t="n"/>
      <c r="M1181" s="22" t="n"/>
      <c r="N1181" s="120" t="n"/>
      <c r="O1181" s="21" t="n"/>
      <c r="S1181" s="22" t="n"/>
      <c r="T1181" s="120" t="n"/>
      <c r="U1181" s="21" t="n"/>
      <c r="Y1181" s="22" t="n"/>
      <c r="Z1181" s="120" t="n"/>
      <c r="AB1181" s="21" t="n"/>
      <c r="AF1181" s="22" t="n"/>
      <c r="AG1181" s="120" t="n"/>
      <c r="AH1181" s="21" t="n"/>
      <c r="AL1181" s="22" t="n"/>
      <c r="AM1181" s="120" t="n"/>
      <c r="AN1181" s="21" t="n"/>
      <c r="AR1181" s="22" t="n"/>
      <c r="AS1181" s="120" t="n"/>
    </row>
    <row r="1182" hidden="1" outlineLevel="2">
      <c r="A1182" s="8" t="n"/>
      <c r="B1182" s="14" t="n"/>
      <c r="C1182" s="120" t="n"/>
      <c r="D1182" s="120" t="n"/>
      <c r="E1182" s="120" t="n"/>
      <c r="F1182" s="120" t="n"/>
      <c r="G1182" s="120" t="n"/>
      <c r="I1182" s="21" t="n"/>
      <c r="M1182" s="22" t="n"/>
      <c r="N1182" s="120" t="n"/>
      <c r="O1182" s="21" t="n"/>
      <c r="S1182" s="22" t="n"/>
      <c r="T1182" s="120" t="n"/>
      <c r="U1182" s="21" t="n"/>
      <c r="Y1182" s="22" t="n"/>
      <c r="Z1182" s="120" t="n"/>
      <c r="AB1182" s="21" t="n"/>
      <c r="AF1182" s="22" t="n"/>
      <c r="AG1182" s="120" t="n"/>
      <c r="AH1182" s="21" t="n"/>
      <c r="AL1182" s="22" t="n"/>
      <c r="AM1182" s="120" t="n"/>
      <c r="AN1182" s="21" t="n"/>
      <c r="AR1182" s="22" t="n"/>
      <c r="AS1182" s="120" t="n"/>
    </row>
    <row r="1183" hidden="1" outlineLevel="2">
      <c r="A1183" s="8" t="n"/>
      <c r="B1183" s="14" t="n"/>
      <c r="C1183" s="120" t="n"/>
      <c r="D1183" s="120" t="n"/>
      <c r="E1183" s="120" t="n"/>
      <c r="F1183" s="120" t="n"/>
      <c r="G1183" s="120" t="n"/>
      <c r="I1183" s="23" t="n"/>
      <c r="J1183" s="24" t="n"/>
      <c r="K1183" s="24" t="n"/>
      <c r="L1183" s="24" t="n"/>
      <c r="M1183" s="25" t="n"/>
      <c r="N1183" s="120" t="n"/>
      <c r="O1183" s="23" t="n"/>
      <c r="P1183" s="24" t="n"/>
      <c r="Q1183" s="24" t="n"/>
      <c r="R1183" s="24" t="n"/>
      <c r="S1183" s="25" t="n"/>
      <c r="T1183" s="120" t="n"/>
      <c r="U1183" s="23" t="n"/>
      <c r="V1183" s="24" t="n"/>
      <c r="W1183" s="24" t="n"/>
      <c r="X1183" s="24" t="n"/>
      <c r="Y1183" s="25" t="n"/>
      <c r="Z1183" s="120" t="n"/>
      <c r="AB1183" s="23" t="n"/>
      <c r="AC1183" s="24" t="n"/>
      <c r="AD1183" s="24" t="n"/>
      <c r="AE1183" s="24" t="n"/>
      <c r="AF1183" s="25" t="n"/>
      <c r="AG1183" s="120" t="n"/>
      <c r="AH1183" s="23" t="n"/>
      <c r="AI1183" s="24" t="n"/>
      <c r="AJ1183" s="24" t="n"/>
      <c r="AK1183" s="24" t="n"/>
      <c r="AL1183" s="25" t="n"/>
      <c r="AM1183" s="120" t="n"/>
      <c r="AN1183" s="23" t="n"/>
      <c r="AO1183" s="24" t="n"/>
      <c r="AP1183" s="24" t="n"/>
      <c r="AQ1183" s="24" t="n"/>
      <c r="AR1183" s="25" t="n"/>
      <c r="AS1183" s="120" t="n"/>
    </row>
    <row r="1184" hidden="1" outlineLevel="2">
      <c r="A1184" s="8" t="n"/>
      <c r="B1184" s="14" t="n"/>
      <c r="C1184" s="120" t="n"/>
      <c r="D1184" s="120" t="n"/>
      <c r="E1184" s="120" t="n"/>
      <c r="F1184" s="120" t="n"/>
      <c r="G1184" s="120" t="n"/>
      <c r="I1184" s="68">
        <f>DADOS_INVOC!$IO$7</f>
        <v/>
      </c>
      <c r="J1184" s="16" t="n"/>
      <c r="K1184" s="16" t="n"/>
      <c r="L1184" s="16" t="n"/>
      <c r="M1184" s="17" t="n"/>
      <c r="N1184" s="120" t="n"/>
      <c r="O1184" s="68">
        <f>DADOS_INVOC!$IP$7</f>
        <v/>
      </c>
      <c r="P1184" s="16" t="n"/>
      <c r="Q1184" s="16" t="n"/>
      <c r="R1184" s="16" t="n"/>
      <c r="S1184" s="17" t="n"/>
      <c r="T1184" s="120" t="n"/>
      <c r="U1184" s="68">
        <f>DADOS_INVOC!$IQ$7</f>
        <v/>
      </c>
      <c r="V1184" s="16" t="n"/>
      <c r="W1184" s="16" t="n"/>
      <c r="X1184" s="16" t="n"/>
      <c r="Y1184" s="17" t="n"/>
      <c r="Z1184" s="120" t="n"/>
      <c r="AB1184" s="68">
        <f>DADOS_INVOC!$IO$13</f>
        <v/>
      </c>
      <c r="AC1184" s="16" t="n"/>
      <c r="AD1184" s="16" t="n"/>
      <c r="AE1184" s="16" t="n"/>
      <c r="AF1184" s="17" t="n"/>
      <c r="AG1184" s="120" t="n"/>
      <c r="AH1184" s="68">
        <f>DADOS_INVOC!$IP$13</f>
        <v/>
      </c>
      <c r="AI1184" s="16" t="n"/>
      <c r="AJ1184" s="16" t="n"/>
      <c r="AK1184" s="16" t="n"/>
      <c r="AL1184" s="17" t="n"/>
      <c r="AM1184" s="120" t="n"/>
      <c r="AN1184" s="68">
        <f>DADOS_INVOC!$IQ$13</f>
        <v/>
      </c>
      <c r="AO1184" s="16" t="n"/>
      <c r="AP1184" s="16" t="n"/>
      <c r="AQ1184" s="16" t="n"/>
      <c r="AR1184" s="17" t="n"/>
      <c r="AS1184" s="120" t="n"/>
    </row>
    <row r="1185" hidden="1" outlineLevel="2">
      <c r="A1185" s="8" t="n"/>
      <c r="B1185" s="14" t="n"/>
      <c r="C1185" s="120" t="n"/>
      <c r="D1185" s="120" t="n"/>
      <c r="E1185" s="120" t="n"/>
      <c r="F1185" s="120" t="n"/>
      <c r="G1185" s="120" t="n"/>
      <c r="I1185" s="124" t="inlineStr">
        <is>
          <t>Sua Ação Completa + a básica dela</t>
        </is>
      </c>
      <c r="J1185" s="16" t="n"/>
      <c r="K1185" s="16" t="n"/>
      <c r="L1185" s="16" t="n"/>
      <c r="M1185" s="17" t="n"/>
      <c r="N1185" s="120" t="n"/>
      <c r="O1185" s="124" t="inlineStr">
        <is>
          <t>Sua Ação Completa + a básica dela</t>
        </is>
      </c>
      <c r="P1185" s="16" t="n"/>
      <c r="Q1185" s="16" t="n"/>
      <c r="R1185" s="16" t="n"/>
      <c r="S1185" s="17" t="n"/>
      <c r="T1185" s="120" t="n"/>
      <c r="U1185" s="124" t="inlineStr">
        <is>
          <t>Sua Ação Completa + a básica dela</t>
        </is>
      </c>
      <c r="V1185" s="16" t="n"/>
      <c r="W1185" s="16" t="n"/>
      <c r="X1185" s="16" t="n"/>
      <c r="Y1185" s="17" t="n"/>
      <c r="Z1185" s="120" t="n"/>
      <c r="AB1185" s="124" t="inlineStr">
        <is>
          <t>Sua Ação Completa + a básica dela</t>
        </is>
      </c>
      <c r="AC1185" s="16" t="n"/>
      <c r="AD1185" s="16" t="n"/>
      <c r="AE1185" s="16" t="n"/>
      <c r="AF1185" s="17" t="n"/>
      <c r="AG1185" s="120" t="n"/>
      <c r="AH1185" s="124" t="inlineStr">
        <is>
          <t>Sua Ação Completa + a básica dela</t>
        </is>
      </c>
      <c r="AI1185" s="16" t="n"/>
      <c r="AJ1185" s="16" t="n"/>
      <c r="AK1185" s="16" t="n"/>
      <c r="AL1185" s="17" t="n"/>
      <c r="AM1185" s="120" t="n"/>
      <c r="AN1185" s="124" t="inlineStr">
        <is>
          <t>Sua Ação Completa + a básica dela</t>
        </is>
      </c>
      <c r="AO1185" s="16" t="n"/>
      <c r="AP1185" s="16" t="n"/>
      <c r="AQ1185" s="16" t="n"/>
      <c r="AR1185" s="17" t="n"/>
      <c r="AS1185" s="120" t="n"/>
    </row>
    <row r="1186" hidden="1" outlineLevel="2">
      <c r="A1186" s="8" t="n"/>
      <c r="B1186" s="14" t="n"/>
      <c r="C1186" s="120" t="n"/>
      <c r="D1186" s="120" t="n"/>
      <c r="E1186" s="120" t="n"/>
      <c r="F1186" s="120" t="n"/>
      <c r="G1186" s="120" t="n"/>
      <c r="I1186" s="120" t="n"/>
      <c r="J1186" s="120" t="n"/>
      <c r="K1186" s="120" t="n"/>
      <c r="L1186" s="120" t="n"/>
      <c r="M1186" s="120" t="n"/>
      <c r="N1186" s="120" t="n"/>
      <c r="O1186" s="120" t="n"/>
      <c r="P1186" s="120" t="n"/>
      <c r="Q1186" s="120" t="n"/>
      <c r="R1186" s="120" t="n"/>
      <c r="S1186" s="120" t="n"/>
      <c r="T1186" s="120" t="n"/>
      <c r="U1186" s="120" t="n"/>
      <c r="V1186" s="120" t="n"/>
      <c r="W1186" s="120" t="n"/>
      <c r="X1186" s="120" t="n"/>
      <c r="Y1186" s="120" t="n"/>
      <c r="Z1186" s="120" t="n"/>
      <c r="AB1186" s="120" t="n"/>
      <c r="AC1186" s="120" t="n"/>
      <c r="AD1186" s="120" t="n"/>
      <c r="AE1186" s="120" t="n"/>
      <c r="AF1186" s="120" t="n"/>
      <c r="AG1186" s="120" t="n"/>
      <c r="AH1186" s="120" t="n"/>
      <c r="AI1186" s="120" t="n"/>
      <c r="AJ1186" s="120" t="n"/>
      <c r="AK1186" s="120" t="n"/>
      <c r="AL1186" s="120" t="n"/>
      <c r="AM1186" s="120" t="n"/>
      <c r="AN1186" s="120" t="n"/>
      <c r="AO1186" s="120" t="n"/>
      <c r="AP1186" s="120" t="n"/>
      <c r="AQ1186" s="120" t="n"/>
      <c r="AR1186" s="120" t="n"/>
      <c r="AS1186" s="120" t="n"/>
    </row>
    <row r="1187" hidden="1" outlineLevel="2">
      <c r="A1187" s="8" t="n"/>
      <c r="B1187" s="14" t="n"/>
      <c r="C1187" s="120" t="n"/>
      <c r="D1187" s="120" t="n"/>
      <c r="E1187" s="120" t="n"/>
      <c r="F1187" s="120" t="n"/>
      <c r="G1187" s="120" t="n"/>
      <c r="I1187" s="55" t="inlineStr">
        <is>
          <t>TÉCNICA MÁXIMA</t>
        </is>
      </c>
      <c r="J1187" s="16" t="n"/>
      <c r="K1187" s="16" t="n"/>
      <c r="L1187" s="16" t="n"/>
      <c r="M1187" s="17" t="n"/>
      <c r="N1187" s="120" t="n"/>
      <c r="O1187" s="55" t="inlineStr">
        <is>
          <t>EXPANSÃO DE DOMÍNIO</t>
        </is>
      </c>
      <c r="P1187" s="16" t="n"/>
      <c r="Q1187" s="16" t="n"/>
      <c r="R1187" s="16" t="n"/>
      <c r="S1187" s="17" t="n"/>
      <c r="T1187" s="120" t="n"/>
      <c r="U1187" s="120" t="n"/>
      <c r="V1187" s="120" t="n"/>
      <c r="W1187" s="120" t="n"/>
      <c r="X1187" s="120" t="n"/>
      <c r="Y1187" s="120" t="n"/>
      <c r="Z1187" s="120" t="n"/>
      <c r="AB1187" s="55" t="inlineStr">
        <is>
          <t>TÉCNICA MÁXIMA</t>
        </is>
      </c>
      <c r="AC1187" s="16" t="n"/>
      <c r="AD1187" s="16" t="n"/>
      <c r="AE1187" s="16" t="n"/>
      <c r="AF1187" s="17" t="n"/>
      <c r="AG1187" s="120" t="n"/>
      <c r="AH1187" s="55" t="inlineStr">
        <is>
          <t>EXPANSÃO DE DOMÍNIO</t>
        </is>
      </c>
      <c r="AI1187" s="16" t="n"/>
      <c r="AJ1187" s="16" t="n"/>
      <c r="AK1187" s="16" t="n"/>
      <c r="AL1187" s="17" t="n"/>
      <c r="AM1187" s="120" t="n"/>
      <c r="AN1187" s="120" t="n"/>
      <c r="AO1187" s="120" t="n"/>
      <c r="AP1187" s="120" t="n"/>
      <c r="AQ1187" s="120" t="n"/>
      <c r="AR1187" s="120" t="n"/>
      <c r="AS1187" s="120" t="n"/>
    </row>
    <row r="1188" hidden="1" outlineLevel="2">
      <c r="A1188" s="8" t="n"/>
      <c r="B1188" s="14" t="n"/>
      <c r="C1188" s="120" t="n"/>
      <c r="D1188" s="120" t="n"/>
      <c r="E1188" s="120" t="n"/>
      <c r="F1188" s="120" t="n"/>
      <c r="G1188" s="120" t="n"/>
      <c r="I1188" s="115" t="n"/>
      <c r="J1188" s="16" t="n"/>
      <c r="K1188" s="16" t="n"/>
      <c r="L1188" s="17" t="n"/>
      <c r="M1188" s="128">
        <f>DADOS_INVOC!$IR$7</f>
        <v/>
      </c>
      <c r="N1188" s="120" t="n"/>
      <c r="O1188" s="115" t="n"/>
      <c r="P1188" s="16" t="n"/>
      <c r="Q1188" s="16" t="n"/>
      <c r="R1188" s="17" t="n"/>
      <c r="S1188" s="128">
        <f>DADOS_INVOC!$IT$7</f>
        <v/>
      </c>
      <c r="T1188" s="120" t="n"/>
      <c r="U1188" s="120" t="n"/>
      <c r="V1188" s="120" t="n"/>
      <c r="W1188" s="120" t="n"/>
      <c r="X1188" s="120" t="n"/>
      <c r="Y1188" s="120" t="n"/>
      <c r="Z1188" s="120" t="n"/>
      <c r="AB1188" s="115" t="n"/>
      <c r="AC1188" s="16" t="n"/>
      <c r="AD1188" s="16" t="n"/>
      <c r="AE1188" s="17" t="n"/>
      <c r="AF1188" s="128">
        <f>DADOS_INVOC!$IR$13</f>
        <v/>
      </c>
      <c r="AG1188" s="120" t="n"/>
      <c r="AH1188" s="115" t="n"/>
      <c r="AI1188" s="16" t="n"/>
      <c r="AJ1188" s="16" t="n"/>
      <c r="AK1188" s="17" t="n"/>
      <c r="AL1188" s="128">
        <f>DADOS_INVOC!$IT$13</f>
        <v/>
      </c>
      <c r="AM1188" s="120" t="n"/>
      <c r="AN1188" s="120" t="n"/>
      <c r="AO1188" s="120" t="n"/>
      <c r="AP1188" s="120" t="n"/>
      <c r="AQ1188" s="120" t="n"/>
      <c r="AR1188" s="120" t="n"/>
      <c r="AS1188" s="120" t="n"/>
    </row>
    <row r="1189" hidden="1" outlineLevel="2">
      <c r="A1189" s="8" t="n"/>
      <c r="B1189" s="14" t="n"/>
      <c r="C1189" s="120" t="n"/>
      <c r="D1189" s="120" t="n"/>
      <c r="E1189" s="120" t="n"/>
      <c r="F1189" s="120" t="n"/>
      <c r="G1189" s="120" t="n"/>
      <c r="I1189" s="116" t="n"/>
      <c r="J1189" s="19" t="n"/>
      <c r="K1189" s="19" t="n"/>
      <c r="L1189" s="19" t="n"/>
      <c r="M1189" s="20" t="n"/>
      <c r="N1189" s="120" t="n"/>
      <c r="O1189" s="116" t="n"/>
      <c r="P1189" s="19" t="n"/>
      <c r="Q1189" s="19" t="n"/>
      <c r="R1189" s="19" t="n"/>
      <c r="S1189" s="20" t="n"/>
      <c r="T1189" s="120" t="n"/>
      <c r="U1189" s="120" t="n"/>
      <c r="V1189" s="120" t="n"/>
      <c r="W1189" s="120" t="n"/>
      <c r="X1189" s="120" t="n"/>
      <c r="Y1189" s="120" t="n"/>
      <c r="Z1189" s="120" t="n"/>
      <c r="AB1189" s="116" t="n"/>
      <c r="AC1189" s="19" t="n"/>
      <c r="AD1189" s="19" t="n"/>
      <c r="AE1189" s="19" t="n"/>
      <c r="AF1189" s="20" t="n"/>
      <c r="AG1189" s="120" t="n"/>
      <c r="AH1189" s="116" t="n"/>
      <c r="AI1189" s="19" t="n"/>
      <c r="AJ1189" s="19" t="n"/>
      <c r="AK1189" s="19" t="n"/>
      <c r="AL1189" s="20" t="n"/>
      <c r="AM1189" s="120" t="n"/>
      <c r="AN1189" s="120" t="n"/>
      <c r="AO1189" s="120" t="n"/>
      <c r="AP1189" s="120" t="n"/>
      <c r="AQ1189" s="120" t="n"/>
      <c r="AR1189" s="120" t="n"/>
      <c r="AS1189" s="120" t="n"/>
    </row>
    <row r="1190" hidden="1" outlineLevel="2">
      <c r="A1190" s="8" t="n"/>
      <c r="B1190" s="14" t="n"/>
      <c r="C1190" s="120" t="n"/>
      <c r="D1190" s="120" t="n"/>
      <c r="E1190" s="120" t="n"/>
      <c r="F1190" s="120" t="n"/>
      <c r="G1190" s="120" t="n"/>
      <c r="I1190" s="21" t="n"/>
      <c r="M1190" s="22" t="n"/>
      <c r="N1190" s="120" t="n"/>
      <c r="O1190" s="21" t="n"/>
      <c r="S1190" s="22" t="n"/>
      <c r="T1190" s="120" t="n"/>
      <c r="U1190" s="120" t="n"/>
      <c r="V1190" s="120" t="n"/>
      <c r="W1190" s="120" t="n"/>
      <c r="X1190" s="120" t="n"/>
      <c r="Y1190" s="120" t="n"/>
      <c r="Z1190" s="120" t="n"/>
      <c r="AB1190" s="21" t="n"/>
      <c r="AF1190" s="22" t="n"/>
      <c r="AG1190" s="120" t="n"/>
      <c r="AH1190" s="21" t="n"/>
      <c r="AL1190" s="22" t="n"/>
      <c r="AM1190" s="120" t="n"/>
      <c r="AN1190" s="120" t="n"/>
      <c r="AO1190" s="120" t="n"/>
      <c r="AP1190" s="120" t="n"/>
      <c r="AQ1190" s="120" t="n"/>
      <c r="AR1190" s="120" t="n"/>
      <c r="AS1190" s="120" t="n"/>
    </row>
    <row r="1191" hidden="1" outlineLevel="2">
      <c r="A1191" s="8" t="n"/>
      <c r="B1191" s="14" t="n"/>
      <c r="C1191" s="120" t="n"/>
      <c r="D1191" s="120" t="n"/>
      <c r="E1191" s="120" t="n"/>
      <c r="F1191" s="120" t="n"/>
      <c r="G1191" s="120" t="n"/>
      <c r="I1191" s="21" t="n"/>
      <c r="M1191" s="22" t="n"/>
      <c r="N1191" s="120" t="n"/>
      <c r="O1191" s="21" t="n"/>
      <c r="S1191" s="22" t="n"/>
      <c r="T1191" s="120" t="n"/>
      <c r="U1191" s="120" t="n"/>
      <c r="V1191" s="120" t="n"/>
      <c r="W1191" s="120" t="n"/>
      <c r="X1191" s="120" t="n"/>
      <c r="Y1191" s="120" t="n"/>
      <c r="Z1191" s="120" t="n"/>
      <c r="AB1191" s="21" t="n"/>
      <c r="AF1191" s="22" t="n"/>
      <c r="AG1191" s="120" t="n"/>
      <c r="AH1191" s="21" t="n"/>
      <c r="AL1191" s="22" t="n"/>
      <c r="AM1191" s="120" t="n"/>
      <c r="AN1191" s="120" t="n"/>
      <c r="AO1191" s="120" t="n"/>
      <c r="AP1191" s="120" t="n"/>
      <c r="AQ1191" s="120" t="n"/>
      <c r="AR1191" s="120" t="n"/>
      <c r="AS1191" s="120" t="n"/>
    </row>
    <row r="1192" hidden="1" outlineLevel="2">
      <c r="A1192" s="8" t="n"/>
      <c r="B1192" s="14" t="n"/>
      <c r="C1192" s="120" t="n"/>
      <c r="D1192" s="120" t="n"/>
      <c r="E1192" s="120" t="n"/>
      <c r="F1192" s="120" t="n"/>
      <c r="G1192" s="120" t="n"/>
      <c r="I1192" s="23" t="n"/>
      <c r="J1192" s="24" t="n"/>
      <c r="K1192" s="24" t="n"/>
      <c r="L1192" s="24" t="n"/>
      <c r="M1192" s="25" t="n"/>
      <c r="N1192" s="120" t="n"/>
      <c r="O1192" s="23" t="n"/>
      <c r="P1192" s="24" t="n"/>
      <c r="Q1192" s="24" t="n"/>
      <c r="R1192" s="24" t="n"/>
      <c r="S1192" s="25" t="n"/>
      <c r="T1192" s="120" t="n"/>
      <c r="U1192" s="120" t="n"/>
      <c r="V1192" s="120" t="n"/>
      <c r="W1192" s="120" t="n"/>
      <c r="X1192" s="120" t="n"/>
      <c r="Y1192" s="120" t="n"/>
      <c r="Z1192" s="120" t="n"/>
      <c r="AB1192" s="23" t="n"/>
      <c r="AC1192" s="24" t="n"/>
      <c r="AD1192" s="24" t="n"/>
      <c r="AE1192" s="24" t="n"/>
      <c r="AF1192" s="25" t="n"/>
      <c r="AG1192" s="120" t="n"/>
      <c r="AH1192" s="23" t="n"/>
      <c r="AI1192" s="24" t="n"/>
      <c r="AJ1192" s="24" t="n"/>
      <c r="AK1192" s="24" t="n"/>
      <c r="AL1192" s="25" t="n"/>
      <c r="AM1192" s="120" t="n"/>
      <c r="AN1192" s="120" t="n"/>
      <c r="AO1192" s="120" t="n"/>
      <c r="AP1192" s="120" t="n"/>
      <c r="AQ1192" s="120" t="n"/>
      <c r="AR1192" s="120" t="n"/>
      <c r="AS1192" s="120" t="n"/>
    </row>
    <row r="1193" hidden="1" outlineLevel="2">
      <c r="A1193" s="8" t="n"/>
      <c r="B1193" s="14" t="n"/>
      <c r="C1193" s="120" t="n"/>
      <c r="D1193" s="120" t="n"/>
      <c r="E1193" s="120" t="n"/>
      <c r="F1193" s="120" t="n"/>
      <c r="G1193" s="120" t="n"/>
      <c r="I1193" s="68">
        <f>DADOS_INVOC!$IS$7</f>
        <v/>
      </c>
      <c r="J1193" s="16" t="n"/>
      <c r="K1193" s="16" t="n"/>
      <c r="L1193" s="16" t="n"/>
      <c r="M1193" s="17" t="n"/>
      <c r="N1193" s="120" t="n"/>
      <c r="O1193" s="124" t="n"/>
      <c r="P1193" s="17" t="n"/>
      <c r="Q1193" s="68">
        <f>DADOS_INVOC!$IU$7</f>
        <v/>
      </c>
      <c r="R1193" s="16" t="n"/>
      <c r="S1193" s="17" t="n"/>
      <c r="T1193" s="120" t="n"/>
      <c r="U1193" s="120" t="n"/>
      <c r="V1193" s="120" t="n"/>
      <c r="W1193" s="120" t="n"/>
      <c r="X1193" s="120" t="n"/>
      <c r="Y1193" s="120" t="n"/>
      <c r="Z1193" s="120" t="n"/>
      <c r="AB1193" s="68">
        <f>DADOS_INVOC!$IS$13</f>
        <v/>
      </c>
      <c r="AC1193" s="16" t="n"/>
      <c r="AD1193" s="16" t="n"/>
      <c r="AE1193" s="16" t="n"/>
      <c r="AF1193" s="17" t="n"/>
      <c r="AG1193" s="120" t="n"/>
      <c r="AH1193" s="124" t="n"/>
      <c r="AI1193" s="17" t="n"/>
      <c r="AJ1193" s="68">
        <f>DADOS_INVOC!$IU$13</f>
        <v/>
      </c>
      <c r="AK1193" s="16" t="n"/>
      <c r="AL1193" s="17" t="n"/>
      <c r="AM1193" s="120" t="n"/>
      <c r="AN1193" s="120" t="n"/>
      <c r="AO1193" s="120" t="n"/>
      <c r="AP1193" s="120" t="n"/>
      <c r="AQ1193" s="120" t="n"/>
      <c r="AR1193" s="120" t="n"/>
      <c r="AS1193" s="120" t="n"/>
    </row>
    <row r="1194" hidden="1" outlineLevel="2">
      <c r="A1194" s="8" t="n"/>
      <c r="B1194" s="14" t="n"/>
      <c r="C1194" s="120" t="n"/>
      <c r="D1194" s="120" t="n"/>
      <c r="E1194" s="120" t="n"/>
      <c r="F1194" s="120" t="n"/>
      <c r="G1194" s="120" t="n"/>
      <c r="I1194" s="124" t="inlineStr">
        <is>
          <t>Sua Ação Completa + a básica dela</t>
        </is>
      </c>
      <c r="J1194" s="16" t="n"/>
      <c r="K1194" s="16" t="n"/>
      <c r="L1194" s="16" t="n"/>
      <c r="M1194" s="17" t="n"/>
      <c r="N1194" s="120" t="n"/>
      <c r="O1194" s="129">
        <f>DADOS_INVOC!$IV$7</f>
        <v/>
      </c>
      <c r="P1194" s="16" t="n"/>
      <c r="Q1194" s="16" t="n"/>
      <c r="R1194" s="16" t="n"/>
      <c r="S1194" s="17" t="n"/>
      <c r="T1194" s="120" t="n"/>
      <c r="U1194" s="120" t="n"/>
      <c r="V1194" s="120" t="n"/>
      <c r="W1194" s="120" t="n"/>
      <c r="X1194" s="120" t="n"/>
      <c r="Y1194" s="120" t="n"/>
      <c r="Z1194" s="120" t="n"/>
      <c r="AB1194" s="124" t="inlineStr">
        <is>
          <t>Sua Ação Completa + a básica dela</t>
        </is>
      </c>
      <c r="AC1194" s="16" t="n"/>
      <c r="AD1194" s="16" t="n"/>
      <c r="AE1194" s="16" t="n"/>
      <c r="AF1194" s="17" t="n"/>
      <c r="AG1194" s="120" t="n"/>
      <c r="AH1194" s="129">
        <f>DADOS_INVOC!$IV$13</f>
        <v/>
      </c>
      <c r="AI1194" s="16" t="n"/>
      <c r="AJ1194" s="16" t="n"/>
      <c r="AK1194" s="16" t="n"/>
      <c r="AL1194" s="17" t="n"/>
      <c r="AM1194" s="120" t="n"/>
      <c r="AN1194" s="120" t="n"/>
      <c r="AO1194" s="120" t="n"/>
      <c r="AP1194" s="120" t="n"/>
      <c r="AQ1194" s="120" t="n"/>
      <c r="AR1194" s="120" t="n"/>
      <c r="AS1194" s="120" t="n"/>
    </row>
    <row r="1195">
      <c r="A1195" s="8" t="n"/>
      <c r="B1195" s="14" t="n"/>
      <c r="C1195" s="120" t="n"/>
      <c r="D1195" s="120" t="n"/>
      <c r="E1195" s="120" t="n"/>
      <c r="F1195" s="120" t="n"/>
      <c r="G1195" s="120" t="n"/>
      <c r="H1195" s="120" t="n"/>
      <c r="I1195" s="120" t="n"/>
      <c r="J1195" s="120" t="n"/>
      <c r="K1195" s="120" t="n"/>
      <c r="L1195" s="120" t="n"/>
      <c r="M1195" s="120" t="n"/>
      <c r="N1195" s="120" t="n"/>
      <c r="O1195" s="120" t="n"/>
      <c r="P1195" s="120" t="n"/>
      <c r="Q1195" s="120" t="n"/>
      <c r="R1195" s="120" t="n"/>
      <c r="S1195" s="120" t="n"/>
      <c r="T1195" s="120" t="n"/>
      <c r="U1195" s="120" t="n"/>
      <c r="V1195" s="120" t="n"/>
      <c r="W1195" s="120" t="n"/>
      <c r="X1195" s="120" t="n"/>
      <c r="Y1195" s="120" t="n"/>
      <c r="Z1195" s="120" t="n"/>
      <c r="AA1195" s="120" t="n"/>
      <c r="AB1195" s="120" t="n"/>
      <c r="AC1195" s="120" t="n"/>
      <c r="AD1195" s="120" t="n"/>
      <c r="AE1195" s="120" t="n"/>
      <c r="AF1195" s="120" t="n"/>
      <c r="AG1195" s="120" t="n"/>
      <c r="AH1195" s="120" t="n"/>
      <c r="AI1195" s="120" t="n"/>
      <c r="AJ1195" s="120" t="n"/>
      <c r="AK1195" s="120" t="n"/>
      <c r="AL1195" s="120" t="n"/>
      <c r="AM1195" s="120" t="n"/>
      <c r="AN1195" s="120" t="n"/>
      <c r="AO1195" s="120" t="n"/>
      <c r="AP1195" s="120" t="n"/>
      <c r="AQ1195" s="120" t="n"/>
      <c r="AR1195" s="120" t="n"/>
      <c r="AS1195" s="120" t="n"/>
    </row>
    <row r="1196">
      <c r="A1196" s="8" t="n"/>
      <c r="B1196" s="14" t="n"/>
      <c r="C1196" s="120" t="n"/>
      <c r="D1196" s="120" t="n"/>
      <c r="E1196" s="120" t="n"/>
      <c r="F1196" s="120" t="n"/>
      <c r="G1196" s="120" t="n"/>
      <c r="H1196" s="120" t="n"/>
      <c r="I1196" s="120" t="n"/>
      <c r="J1196" s="120" t="n"/>
      <c r="K1196" s="120" t="n"/>
      <c r="L1196" s="120" t="n"/>
      <c r="M1196" s="120" t="n"/>
      <c r="N1196" s="120" t="n"/>
      <c r="O1196" s="120" t="n"/>
      <c r="P1196" s="120" t="n"/>
      <c r="Q1196" s="120" t="n"/>
      <c r="R1196" s="120" t="n"/>
      <c r="S1196" s="120" t="n"/>
      <c r="T1196" s="120" t="n"/>
      <c r="U1196" s="120" t="n"/>
      <c r="V1196" s="120" t="n"/>
      <c r="W1196" s="120" t="n"/>
      <c r="X1196" s="120" t="n"/>
      <c r="Y1196" s="120" t="n"/>
      <c r="Z1196" s="120" t="n"/>
      <c r="AA1196" s="120" t="n"/>
      <c r="AB1196" s="120" t="n"/>
      <c r="AC1196" s="120" t="n"/>
      <c r="AD1196" s="120" t="n"/>
      <c r="AE1196" s="120" t="n"/>
      <c r="AF1196" s="120" t="n"/>
      <c r="AG1196" s="120" t="n"/>
      <c r="AH1196" s="120" t="n"/>
      <c r="AI1196" s="120" t="n"/>
      <c r="AJ1196" s="120" t="n"/>
      <c r="AK1196" s="120" t="n"/>
      <c r="AL1196" s="120" t="n"/>
      <c r="AM1196" s="120" t="n"/>
      <c r="AN1196" s="120" t="n"/>
      <c r="AO1196" s="120" t="n"/>
      <c r="AP1196" s="120" t="n"/>
      <c r="AQ1196" s="120" t="n"/>
      <c r="AR1196" s="120" t="n"/>
      <c r="AS1196" s="120" t="n"/>
    </row>
  </sheetData>
  <mergeCells count="5188">
    <mergeCell ref="J470:M471"/>
    <mergeCell ref="V963:X963"/>
    <mergeCell ref="I990:L990"/>
    <mergeCell ref="P618:P619"/>
    <mergeCell ref="V664:X664"/>
    <mergeCell ref="J482:L482"/>
    <mergeCell ref="J770:M771"/>
    <mergeCell ref="O227:O228"/>
    <mergeCell ref="AO321:AQ321"/>
    <mergeCell ref="O99:P99"/>
    <mergeCell ref="AI322:AK322"/>
    <mergeCell ref="AN707:AR707"/>
    <mergeCell ref="AD857:AF857"/>
    <mergeCell ref="AD855:AE855"/>
    <mergeCell ref="U319:V319"/>
    <mergeCell ref="AC1166:AF1167"/>
    <mergeCell ref="K934:M934"/>
    <mergeCell ref="K890:M890"/>
    <mergeCell ref="P1062:R1062"/>
    <mergeCell ref="U1105:Y1105"/>
    <mergeCell ref="AC150:AE150"/>
    <mergeCell ref="AH40:AJ40"/>
    <mergeCell ref="J603:Y604"/>
    <mergeCell ref="AI464:AK464"/>
    <mergeCell ref="I71:I72"/>
    <mergeCell ref="U980:Y980"/>
    <mergeCell ref="AI764:AK764"/>
    <mergeCell ref="AN1003:AN1004"/>
    <mergeCell ref="I371:I372"/>
    <mergeCell ref="U922:U923"/>
    <mergeCell ref="AB915:AB918"/>
    <mergeCell ref="J368:L368"/>
    <mergeCell ref="J579:L579"/>
    <mergeCell ref="AJ444:AJ445"/>
    <mergeCell ref="AN318:AO318"/>
    <mergeCell ref="AC899:AF899"/>
    <mergeCell ref="AB264:AF264"/>
    <mergeCell ref="AC478:AE478"/>
    <mergeCell ref="I295:J295"/>
    <mergeCell ref="Q715:S715"/>
    <mergeCell ref="J879:L879"/>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P497:R497"/>
    <mergeCell ref="AI884:AK884"/>
    <mergeCell ref="O561:P561"/>
    <mergeCell ref="O805:O806"/>
    <mergeCell ref="AB866:AB867"/>
    <mergeCell ref="I91:M91"/>
    <mergeCell ref="AO893:AQ893"/>
    <mergeCell ref="O1024:P1025"/>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Q33:R33"/>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AH1023:AI1023"/>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U41:Y43"/>
    <mergeCell ref="AI967:AL967"/>
    <mergeCell ref="J543:L543"/>
    <mergeCell ref="AN105:AN106"/>
    <mergeCell ref="AC467:AE467"/>
    <mergeCell ref="J754:L754"/>
    <mergeCell ref="U392:Y392"/>
    <mergeCell ref="AO860:AQ860"/>
    <mergeCell ref="AH453:AL453"/>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AJ296:AL296"/>
    <mergeCell ref="AB767:AB768"/>
    <mergeCell ref="J80:L80"/>
    <mergeCell ref="AO526:AR527"/>
    <mergeCell ref="AO13:AO14"/>
    <mergeCell ref="M1074:Y1074"/>
    <mergeCell ref="AD891:AF891"/>
    <mergeCell ref="V170:X170"/>
    <mergeCell ref="U45:Y45"/>
    <mergeCell ref="V503:Y503"/>
    <mergeCell ref="V501:X501"/>
    <mergeCell ref="AH835:AJ835"/>
    <mergeCell ref="AB1106:AF1108"/>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AN1031:AR1033"/>
    <mergeCell ref="O42:Q42"/>
    <mergeCell ref="I127:I128"/>
    <mergeCell ref="P372:R372"/>
    <mergeCell ref="AH1050:AL1052"/>
    <mergeCell ref="O264:S264"/>
    <mergeCell ref="AI723:AL723"/>
    <mergeCell ref="U1083:Y1083"/>
    <mergeCell ref="O48:O49"/>
    <mergeCell ref="O433:S433"/>
    <mergeCell ref="AO768:AQ768"/>
    <mergeCell ref="AN66:AR66"/>
    <mergeCell ref="I1128:M1130"/>
    <mergeCell ref="J962:L962"/>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O958:P958"/>
    <mergeCell ref="I258:M260"/>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Q1024:R1025"/>
    <mergeCell ref="AP657:AQ657"/>
    <mergeCell ref="AN819:AR830"/>
    <mergeCell ref="AB401:AF401"/>
    <mergeCell ref="O784:S787"/>
    <mergeCell ref="E13:E14"/>
    <mergeCell ref="J176:M177"/>
    <mergeCell ref="S623:S624"/>
    <mergeCell ref="U17:Y17"/>
    <mergeCell ref="AN1180:AR1183"/>
    <mergeCell ref="O321:O324"/>
    <mergeCell ref="AI572:AL573"/>
    <mergeCell ref="V708:X708"/>
    <mergeCell ref="I181:Y181"/>
    <mergeCell ref="AN1008:AR1014"/>
    <mergeCell ref="AF681:AR681"/>
    <mergeCell ref="AB296:AC296"/>
    <mergeCell ref="AJ562:AL562"/>
    <mergeCell ref="AJ99:AL99"/>
    <mergeCell ref="O907:S907"/>
    <mergeCell ref="AO322:AQ322"/>
    <mergeCell ref="V698:X698"/>
    <mergeCell ref="AI498:AK498"/>
    <mergeCell ref="P569:R569"/>
    <mergeCell ref="J974:L974"/>
    <mergeCell ref="P106:R106"/>
    <mergeCell ref="J58:L58"/>
    <mergeCell ref="J358:L358"/>
    <mergeCell ref="J544:L544"/>
    <mergeCell ref="AN436:AR436"/>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B298:AF298"/>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S232:S233"/>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437:AR439"/>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H33:AI33"/>
    <mergeCell ref="AI918:AK918"/>
    <mergeCell ref="AB511:AF511"/>
    <mergeCell ref="J1094:L1094"/>
    <mergeCell ref="R1038:R1039"/>
    <mergeCell ref="O1028:Q1028"/>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568:X568"/>
    <mergeCell ref="O161:S161"/>
    <mergeCell ref="O472:S473"/>
    <mergeCell ref="AH1111:AI1111"/>
    <mergeCell ref="R444:R445"/>
    <mergeCell ref="K933:L933"/>
    <mergeCell ref="O924:S925"/>
    <mergeCell ref="AN244:AR247"/>
    <mergeCell ref="AN868:AR869"/>
    <mergeCell ref="AN100:AR100"/>
    <mergeCell ref="AI171:AK171"/>
    <mergeCell ref="AC470:AF471"/>
    <mergeCell ref="AN311:AR311"/>
    <mergeCell ref="AB695:AB698"/>
    <mergeCell ref="U687:Y687"/>
    <mergeCell ref="AC920:AE920"/>
    <mergeCell ref="AN611:AR611"/>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H702:AH703"/>
    <mergeCell ref="AB1144:AF1145"/>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U40:Y40"/>
    <mergeCell ref="AO666:AQ666"/>
    <mergeCell ref="AH830:AJ830"/>
    <mergeCell ref="Q34:R35"/>
    <mergeCell ref="AD245:AD246"/>
    <mergeCell ref="I944:I94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J627:AK627"/>
    <mergeCell ref="AB1157:AC1157"/>
    <mergeCell ref="AO763:AQ763"/>
    <mergeCell ref="Q1155:R1155"/>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J33:AK33"/>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B1180:AF1183"/>
    <mergeCell ref="AJ1054:AL1054"/>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J87:L87"/>
    <mergeCell ref="U704:Y705"/>
    <mergeCell ref="J850:L850"/>
    <mergeCell ref="O198:R198"/>
    <mergeCell ref="I306:I307"/>
    <mergeCell ref="AH1106:AL1108"/>
    <mergeCell ref="AI369:AK369"/>
    <mergeCell ref="V965:X965"/>
    <mergeCell ref="AI700:AK700"/>
    <mergeCell ref="AN495:AO495"/>
    <mergeCell ref="O38:Q38"/>
    <mergeCell ref="I533:M533"/>
    <mergeCell ref="AN639:AR639"/>
    <mergeCell ref="L641:M642"/>
    <mergeCell ref="AH636:AJ636"/>
    <mergeCell ref="J1072:L1072"/>
    <mergeCell ref="U713:V713"/>
    <mergeCell ref="AP97:AQ97"/>
    <mergeCell ref="J152:M153"/>
    <mergeCell ref="I350:I351"/>
    <mergeCell ref="I980:M980"/>
    <mergeCell ref="J501:L501"/>
    <mergeCell ref="W562:Y562"/>
    <mergeCell ref="O113:S113"/>
    <mergeCell ref="AB1100:AF1101"/>
    <mergeCell ref="J915:L915"/>
    <mergeCell ref="AH123:AH126"/>
    <mergeCell ref="P1115:R1115"/>
    <mergeCell ref="AC877:AE877"/>
    <mergeCell ref="AN612:AR618"/>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U243:Y243"/>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AO722:AQ722"/>
    <mergeCell ref="U313:Y313"/>
    <mergeCell ref="J290:L290"/>
    <mergeCell ref="L47:M48"/>
    <mergeCell ref="J999:Y1000"/>
    <mergeCell ref="AB852:AF854"/>
    <mergeCell ref="AJ855:AK855"/>
    <mergeCell ref="AI766:AK766"/>
    <mergeCell ref="P468:R468"/>
    <mergeCell ref="AN325:AN326"/>
    <mergeCell ref="AJ1155:AK1155"/>
    <mergeCell ref="AB732:AF734"/>
    <mergeCell ref="O232:P233"/>
    <mergeCell ref="J301:L301"/>
    <mergeCell ref="U455:Y455"/>
    <mergeCell ref="AI1008:AI1009"/>
    <mergeCell ref="I115:M115"/>
    <mergeCell ref="K759:L759"/>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I640:J640"/>
    <mergeCell ref="AC405:AR406"/>
    <mergeCell ref="AC322:AE322"/>
    <mergeCell ref="AH1008:AH1009"/>
    <mergeCell ref="J698:L698"/>
    <mergeCell ref="AB408:AF408"/>
    <mergeCell ref="W460:Y460"/>
    <mergeCell ref="AJ516:AL516"/>
    <mergeCell ref="AC680:AE680"/>
    <mergeCell ref="J272:M273"/>
    <mergeCell ref="O1006:S1006"/>
    <mergeCell ref="R834:S834"/>
    <mergeCell ref="AC1138:AE1138"/>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V305:Y305"/>
    <mergeCell ref="J129:M129"/>
    <mergeCell ref="O653:S653"/>
    <mergeCell ref="K1133:M1133"/>
    <mergeCell ref="K1089:M1089"/>
    <mergeCell ref="AN902:AR903"/>
    <mergeCell ref="J267:L267"/>
    <mergeCell ref="I269:I270"/>
    <mergeCell ref="P1104:R1104"/>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AA999:AA1000"/>
    <mergeCell ref="P299:R299"/>
    <mergeCell ref="V499:X499"/>
    <mergeCell ref="AH856:AI856"/>
    <mergeCell ref="AN1066:AR1067"/>
    <mergeCell ref="AH1156:AI1156"/>
    <mergeCell ref="AF580:AR580"/>
    <mergeCell ref="AC1119:AF1119"/>
    <mergeCell ref="AI256:AK256"/>
    <mergeCell ref="K856:M856"/>
    <mergeCell ref="AO570:AQ570"/>
    <mergeCell ref="K539:M539"/>
    <mergeCell ref="AH1053:AI1053"/>
    <mergeCell ref="P368:R368"/>
    <mergeCell ref="J967:M967"/>
    <mergeCell ref="AC107:AF107"/>
    <mergeCell ref="AQ211:AQ212"/>
    <mergeCell ref="J170:L170"/>
    <mergeCell ref="O826:P827"/>
    <mergeCell ref="AB937:AB940"/>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O825:P825"/>
    <mergeCell ref="U1047:Y1047"/>
    <mergeCell ref="I657:J657"/>
    <mergeCell ref="AH101:AH10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P912:AR912"/>
    <mergeCell ref="P266:R266"/>
    <mergeCell ref="AO661:AQ661"/>
    <mergeCell ref="AH493:AI493"/>
    <mergeCell ref="AF679:AR679"/>
    <mergeCell ref="AH654:AL656"/>
    <mergeCell ref="AF380:AR380"/>
    <mergeCell ref="AO662:AQ662"/>
    <mergeCell ref="Q658:S658"/>
    <mergeCell ref="O168:S168"/>
    <mergeCell ref="AF680:AR680"/>
    <mergeCell ref="AF674:AR674"/>
    <mergeCell ref="O889:P889"/>
    <mergeCell ref="W1157:Y1157"/>
    <mergeCell ref="AL430:AL431"/>
    <mergeCell ref="P504:S505"/>
    <mergeCell ref="AC152:AF153"/>
    <mergeCell ref="AP1054:AR1054"/>
    <mergeCell ref="J126:L126"/>
    <mergeCell ref="AC108:AF109"/>
    <mergeCell ref="I539:J539"/>
    <mergeCell ref="M1076:Y1076"/>
    <mergeCell ref="AB980:AF980"/>
    <mergeCell ref="O961:O964"/>
    <mergeCell ref="V303:X303"/>
    <mergeCell ref="AB451:AR451"/>
    <mergeCell ref="R48:R49"/>
    <mergeCell ref="K1087:L1087"/>
    <mergeCell ref="K659:M659"/>
    <mergeCell ref="AI373:AL373"/>
    <mergeCell ref="J9:Y10"/>
    <mergeCell ref="K959:M959"/>
    <mergeCell ref="I1055:J1055"/>
    <mergeCell ref="J268:L268"/>
    <mergeCell ref="P1093:R1093"/>
    <mergeCell ref="U100:Y100"/>
    <mergeCell ref="U239:Y241"/>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O231:P231"/>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AN810:AR816"/>
    <mergeCell ref="K537:L537"/>
    <mergeCell ref="AO465:AQ465"/>
    <mergeCell ref="AN506:AR507"/>
    <mergeCell ref="AB1194:AF1194"/>
    <mergeCell ref="AO765:AQ765"/>
    <mergeCell ref="AH852:AL854"/>
    <mergeCell ref="AB731:AF731"/>
    <mergeCell ref="O4:Y4"/>
    <mergeCell ref="I336:M338"/>
    <mergeCell ref="V805:V806"/>
    <mergeCell ref="AI409:AI410"/>
    <mergeCell ref="I1132:J1132"/>
    <mergeCell ref="J676:L676"/>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AD1089:AF1089"/>
    <mergeCell ref="AO470:AR471"/>
    <mergeCell ref="AH1014:AH1015"/>
    <mergeCell ref="I518:M518"/>
    <mergeCell ref="AB905:AF905"/>
    <mergeCell ref="AB600:AF600"/>
    <mergeCell ref="V73:Y73"/>
    <mergeCell ref="AC1139:AE1139"/>
    <mergeCell ref="J1096:L1096"/>
    <mergeCell ref="AB141:AC141"/>
    <mergeCell ref="I538:J538"/>
    <mergeCell ref="AO176:AR177"/>
    <mergeCell ref="AI300:AK300"/>
    <mergeCell ref="K1037:K1038"/>
    <mergeCell ref="K515:L515"/>
    <mergeCell ref="AA9:AA10"/>
    <mergeCell ref="AC1173:AE1173"/>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AL34:AL35"/>
    <mergeCell ref="K957:L957"/>
    <mergeCell ref="P267:R267"/>
    <mergeCell ref="AB893:AB896"/>
    <mergeCell ref="U1057:U1060"/>
    <mergeCell ref="AL816:AL817"/>
    <mergeCell ref="AN296:AO296"/>
    <mergeCell ref="AB1110:AC1110"/>
    <mergeCell ref="AB321:AB324"/>
    <mergeCell ref="O859:O862"/>
    <mergeCell ref="AJ911:AK911"/>
    <mergeCell ref="P322:R322"/>
    <mergeCell ref="AO302:AQ302"/>
    <mergeCell ref="U422:Y422"/>
    <mergeCell ref="AO1048:AQ1048"/>
    <mergeCell ref="J454:L454"/>
    <mergeCell ref="AO585:AQ585"/>
    <mergeCell ref="AH710:AL712"/>
    <mergeCell ref="V961:X961"/>
    <mergeCell ref="AI304:AK304"/>
    <mergeCell ref="O555:S555"/>
    <mergeCell ref="AB197:AF197"/>
    <mergeCell ref="AH612:AH613"/>
    <mergeCell ref="R438:S438"/>
    <mergeCell ref="AO918:AQ918"/>
    <mergeCell ref="P1094:R1094"/>
    <mergeCell ref="AC742:AE742"/>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H826:AI827"/>
    <mergeCell ref="AN67:AN70"/>
    <mergeCell ref="J877:L877"/>
    <mergeCell ref="AH516:AI516"/>
    <mergeCell ref="AN367:AN370"/>
    <mergeCell ref="U654:Y656"/>
    <mergeCell ref="AI1115:AK1115"/>
    <mergeCell ref="U954:Y956"/>
    <mergeCell ref="AK1031:AL1031"/>
    <mergeCell ref="AB709:AF709"/>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O704:S705"/>
    <mergeCell ref="AB1045:AR1045"/>
    <mergeCell ref="AI107:AL107"/>
    <mergeCell ref="AF1072:AR1072"/>
    <mergeCell ref="AN91:AR9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H1090:AL1090"/>
    <mergeCell ref="O914:S914"/>
    <mergeCell ref="AC698:AE698"/>
    <mergeCell ref="O695:O698"/>
    <mergeCell ref="AN414:AR420"/>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I73:AL73"/>
    <mergeCell ref="I871:Y871"/>
    <mergeCell ref="AK835:AL835"/>
    <mergeCell ref="V409:V410"/>
    <mergeCell ref="V767:X767"/>
    <mergeCell ref="I292:M294"/>
    <mergeCell ref="AI523:AK523"/>
    <mergeCell ref="AC661:AE661"/>
    <mergeCell ref="AI623:AI624"/>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O430:P431"/>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AH905:AL905"/>
    <mergeCell ref="W364:Y364"/>
    <mergeCell ref="I694:M694"/>
    <mergeCell ref="AC1162:AE1162"/>
    <mergeCell ref="AC863:AE863"/>
    <mergeCell ref="O429:P429"/>
    <mergeCell ref="I261:J261"/>
    <mergeCell ref="I564:M564"/>
    <mergeCell ref="J928:L928"/>
    <mergeCell ref="I561:J561"/>
    <mergeCell ref="V1003:V1004"/>
    <mergeCell ref="AN640:AR643"/>
    <mergeCell ref="Q65:S65"/>
    <mergeCell ref="AC873:AE873"/>
    <mergeCell ref="AN1185:AR1185"/>
    <mergeCell ref="I562:J562"/>
    <mergeCell ref="AH957:AI957"/>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L628:AL629"/>
    <mergeCell ref="AC306:AF307"/>
    <mergeCell ref="AP658:AR658"/>
    <mergeCell ref="V326:X326"/>
    <mergeCell ref="AL623:AL624"/>
    <mergeCell ref="J150:L150"/>
    <mergeCell ref="U46:Y49"/>
    <mergeCell ref="V695:X695"/>
    <mergeCell ref="U1008:Y1014"/>
    <mergeCell ref="AH321:AH324"/>
    <mergeCell ref="K691:L691"/>
    <mergeCell ref="AB355:AR355"/>
    <mergeCell ref="AD166:AF166"/>
    <mergeCell ref="AO708:AQ708"/>
    <mergeCell ref="O688:S690"/>
    <mergeCell ref="U1003:U1004"/>
    <mergeCell ref="U413:Y413"/>
    <mergeCell ref="P916:R916"/>
    <mergeCell ref="AJ1087:AK1087"/>
    <mergeCell ref="AO92:AQ92"/>
    <mergeCell ref="P373:S373"/>
    <mergeCell ref="AO766:AQ766"/>
    <mergeCell ref="P917:R917"/>
    <mergeCell ref="J172:L172"/>
    <mergeCell ref="AO303:AQ303"/>
    <mergeCell ref="I264:M264"/>
    <mergeCell ref="AB1171:AR1171"/>
    <mergeCell ref="U441:Y441"/>
    <mergeCell ref="I1103:M1103"/>
    <mergeCell ref="AN238:AR238"/>
    <mergeCell ref="AI865:AL865"/>
    <mergeCell ref="AB1113:AB1116"/>
    <mergeCell ref="AH197:AL197"/>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C921:AF921"/>
    <mergeCell ref="AN1166:AN1167"/>
    <mergeCell ref="I317:J317"/>
    <mergeCell ref="AK840:AK841"/>
    <mergeCell ref="AC1071:AE1071"/>
    <mergeCell ref="AK238:AL238"/>
    <mergeCell ref="AB448:AR449"/>
    <mergeCell ref="AO1159:AQ1159"/>
    <mergeCell ref="AJ657:AK657"/>
    <mergeCell ref="W409:W410"/>
    <mergeCell ref="AP516:AR516"/>
    <mergeCell ref="W911:X911"/>
    <mergeCell ref="AH610:AL610"/>
    <mergeCell ref="I919:I920"/>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U437:Y439"/>
    <mergeCell ref="AB411:AF436"/>
    <mergeCell ref="P67:R67"/>
    <mergeCell ref="AJ840:AJ841"/>
    <mergeCell ref="I490:M492"/>
    <mergeCell ref="P367:R367"/>
    <mergeCell ref="P129:S129"/>
    <mergeCell ref="AI607:AI608"/>
    <mergeCell ref="AC207:AR208"/>
    <mergeCell ref="I735:J735"/>
    <mergeCell ref="V893:X893"/>
    <mergeCell ref="J350:M351"/>
    <mergeCell ref="AO667:AR667"/>
    <mergeCell ref="AL29:AL30"/>
    <mergeCell ref="U63:V63"/>
    <mergeCell ref="V1104:X1104"/>
    <mergeCell ref="P568:R568"/>
    <mergeCell ref="P720:R720"/>
    <mergeCell ref="AI618:AI619"/>
    <mergeCell ref="AC482:AE482"/>
    <mergeCell ref="O235:S235"/>
    <mergeCell ref="AN225:AR236"/>
    <mergeCell ref="AB637:AF638"/>
    <mergeCell ref="I924:M925"/>
    <mergeCell ref="AC327:AF327"/>
    <mergeCell ref="M83:Y83"/>
    <mergeCell ref="U707:Y707"/>
    <mergeCell ref="J722:L722"/>
    <mergeCell ref="J1166:M1167"/>
    <mergeCell ref="V1115:X1115"/>
    <mergeCell ref="U621:Y632"/>
    <mergeCell ref="U363:V363"/>
    <mergeCell ref="AK435:AL435"/>
    <mergeCell ref="O709:S709"/>
    <mergeCell ref="I325:I326"/>
    <mergeCell ref="S18:S19"/>
    <mergeCell ref="U94:Y96"/>
    <mergeCell ref="AN1105:AR1105"/>
    <mergeCell ref="O33:P33"/>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K319:M319"/>
    <mergeCell ref="O1151:S1151"/>
    <mergeCell ref="M278:Y278"/>
    <mergeCell ref="O1023:P1023"/>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V920:X920"/>
    <mergeCell ref="AB724:AB725"/>
    <mergeCell ref="AC874:AE874"/>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AJ1038:AJ1039"/>
    <mergeCell ref="J1173:L1173"/>
    <mergeCell ref="AO125:AQ125"/>
    <mergeCell ref="AO256:AQ256"/>
    <mergeCell ref="O65:P65"/>
    <mergeCell ref="Q856:S856"/>
    <mergeCell ref="Q1156:S1156"/>
    <mergeCell ref="P612:P613"/>
    <mergeCell ref="K561:L561"/>
    <mergeCell ref="AN1053:AO1053"/>
    <mergeCell ref="X1003:X1004"/>
    <mergeCell ref="AB76:AF77"/>
    <mergeCell ref="Q121:S121"/>
    <mergeCell ref="AJ957:AK957"/>
    <mergeCell ref="U961:U964"/>
    <mergeCell ref="AO267:AQ267"/>
    <mergeCell ref="U105:U106"/>
    <mergeCell ref="J469:M469"/>
    <mergeCell ref="H801:H802"/>
    <mergeCell ref="AB991:AF994"/>
    <mergeCell ref="P387:R387"/>
    <mergeCell ref="U244:Y247"/>
    <mergeCell ref="AI863:AK863"/>
    <mergeCell ref="AH161:AL161"/>
    <mergeCell ref="AN386:AR386"/>
    <mergeCell ref="AB714:AC714"/>
    <mergeCell ref="AN176:AN177"/>
    <mergeCell ref="J189:L189"/>
    <mergeCell ref="U297:V297"/>
    <mergeCell ref="AN328:AN329"/>
    <mergeCell ref="AC532:AE532"/>
    <mergeCell ref="O437:Q437"/>
    <mergeCell ref="J922:M923"/>
    <mergeCell ref="O1152:S1154"/>
    <mergeCell ref="D22:F22"/>
    <mergeCell ref="J146:L146"/>
    <mergeCell ref="O159:S159"/>
    <mergeCell ref="AH308:AL309"/>
    <mergeCell ref="AH214:AL214"/>
    <mergeCell ref="AH303:AH304"/>
    <mergeCell ref="P698:R698"/>
    <mergeCell ref="O590:S590"/>
    <mergeCell ref="AI1058:AK1058"/>
    <mergeCell ref="AN555:AR555"/>
    <mergeCell ref="P701:S701"/>
    <mergeCell ref="AO1094:AQ1094"/>
    <mergeCell ref="AC305:AF305"/>
    <mergeCell ref="U685:Y685"/>
    <mergeCell ref="AN609:AR6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I1142:I1143"/>
    <mergeCell ref="AB388:AF391"/>
    <mergeCell ref="U1031:Y1033"/>
    <mergeCell ref="AB455:AF455"/>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AN46:AR49"/>
    <mergeCell ref="V74:Y75"/>
    <mergeCell ref="AF382:AR382"/>
    <mergeCell ref="I858:M858"/>
    <mergeCell ref="W63:X63"/>
    <mergeCell ref="I401:M401"/>
    <mergeCell ref="I395:M395"/>
    <mergeCell ref="O810:O811"/>
    <mergeCell ref="AB782:AF782"/>
    <mergeCell ref="AN41:AR43"/>
    <mergeCell ref="V374:Y375"/>
    <mergeCell ref="AO898:AQ898"/>
    <mergeCell ref="U489:Y489"/>
    <mergeCell ref="I1158:M1158"/>
    <mergeCell ref="Q203:S203"/>
    <mergeCell ref="O261:P261"/>
    <mergeCell ref="U1035:Y1035"/>
    <mergeCell ref="J940:L940"/>
    <mergeCell ref="AN965:AN966"/>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126:AQ126"/>
    <mergeCell ref="AB949:AR949"/>
    <mergeCell ref="Q1023:R1023"/>
    <mergeCell ref="K855:L855"/>
    <mergeCell ref="V502:X502"/>
    <mergeCell ref="AI106:AK106"/>
    <mergeCell ref="K1155:L1155"/>
    <mergeCell ref="V1098:Y1099"/>
    <mergeCell ref="I951:M951"/>
    <mergeCell ref="AJ797:AL797"/>
    <mergeCell ref="V861:X861"/>
    <mergeCell ref="AI269:AK269"/>
    <mergeCell ref="AI702:AL703"/>
    <mergeCell ref="P862:R862"/>
    <mergeCell ref="AB889:AC889"/>
    <mergeCell ref="AC102:AE102"/>
    <mergeCell ref="AO501:AQ501"/>
    <mergeCell ref="J326:L326"/>
    <mergeCell ref="P1162:R1162"/>
    <mergeCell ref="U225:Y236"/>
    <mergeCell ref="I550:M551"/>
    <mergeCell ref="J478:L478"/>
    <mergeCell ref="AN190:AR193"/>
    <mergeCell ref="AI272:AL273"/>
    <mergeCell ref="J695:L695"/>
    <mergeCell ref="AN257:AR257"/>
    <mergeCell ref="AD494:AF494"/>
    <mergeCell ref="AH694:AL694"/>
    <mergeCell ref="AD1157:AF1157"/>
    <mergeCell ref="U586:Y589"/>
    <mergeCell ref="AN18:AR24"/>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A407:AA600"/>
    <mergeCell ref="AH633:AJ633"/>
    <mergeCell ref="AB591:AF591"/>
    <mergeCell ref="U321:U324"/>
    <mergeCell ref="AB350:AB351"/>
    <mergeCell ref="O919:O920"/>
    <mergeCell ref="I1095:I1096"/>
    <mergeCell ref="AP562:AR562"/>
    <mergeCell ref="U612:Y618"/>
    <mergeCell ref="AK636:AL636"/>
    <mergeCell ref="AO373:AR373"/>
    <mergeCell ref="AH1112:AL1112"/>
    <mergeCell ref="I512:M514"/>
    <mergeCell ref="AB1166:AB1167"/>
    <mergeCell ref="AN363:AO363"/>
    <mergeCell ref="M873:Y873"/>
    <mergeCell ref="P216:P217"/>
    <mergeCell ref="AH1103:AL1103"/>
    <mergeCell ref="AC1174:AE1174"/>
    <mergeCell ref="AH798:AL798"/>
    <mergeCell ref="I857:J857"/>
    <mergeCell ref="K911:L911"/>
    <mergeCell ref="P211:P212"/>
    <mergeCell ref="AJ1024:AK1025"/>
    <mergeCell ref="AO607:AO608"/>
    <mergeCell ref="AH784:AL787"/>
    <mergeCell ref="AB1189:AF1192"/>
    <mergeCell ref="AC147:AE147"/>
    <mergeCell ref="X13:X14"/>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J900:M901"/>
    <mergeCell ref="AC974:AE974"/>
    <mergeCell ref="J282:L282"/>
    <mergeCell ref="U436:Y436"/>
    <mergeCell ref="AO1062:AQ1062"/>
    <mergeCell ref="AD935:AF935"/>
    <mergeCell ref="AN607:AN608"/>
    <mergeCell ref="AI520:AK520"/>
    <mergeCell ref="W13:W14"/>
    <mergeCell ref="O915:O918"/>
    <mergeCell ref="J184:L184"/>
    <mergeCell ref="AH71:AH72"/>
    <mergeCell ref="I59:M59"/>
    <mergeCell ref="AH65:AI65"/>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N1035:AR1035"/>
    <mergeCell ref="AH490:AL492"/>
    <mergeCell ref="M1070:Y1070"/>
    <mergeCell ref="AH651:AL651"/>
    <mergeCell ref="W714:Y714"/>
    <mergeCell ref="AH831:AJ831"/>
    <mergeCell ref="AB789:AF789"/>
    <mergeCell ref="AP365:AR365"/>
    <mergeCell ref="AH1036:AL1036"/>
    <mergeCell ref="M476:Y476"/>
    <mergeCell ref="AK833:AL833"/>
    <mergeCell ref="AI48:AI49"/>
    <mergeCell ref="V130:Y131"/>
    <mergeCell ref="P327:S327"/>
    <mergeCell ref="M776:Y776"/>
    <mergeCell ref="AO720:AQ720"/>
    <mergeCell ref="E17:E18"/>
    <mergeCell ref="AL232:AL233"/>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AH628:AI629"/>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U169:U172"/>
    <mergeCell ref="AB555:AF555"/>
    <mergeCell ref="AN913:AO913"/>
    <mergeCell ref="AO101:AQ101"/>
    <mergeCell ref="I319:J319"/>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I63:J63"/>
    <mergeCell ref="AE1037:AF1038"/>
    <mergeCell ref="AB143:AC143"/>
    <mergeCell ref="AO170:AQ170"/>
    <mergeCell ref="I145:I148"/>
    <mergeCell ref="O714:P714"/>
    <mergeCell ref="AN162:AR164"/>
    <mergeCell ref="AB318:AC318"/>
    <mergeCell ref="W517:Y517"/>
    <mergeCell ref="V127:X127"/>
    <mergeCell ref="AH388:AL391"/>
    <mergeCell ref="AO171:AQ171"/>
    <mergeCell ref="J373:M373"/>
    <mergeCell ref="AP263:AR263"/>
    <mergeCell ref="O908:S910"/>
    <mergeCell ref="AH635:AJ635"/>
    <mergeCell ref="AH627:AI627"/>
    <mergeCell ref="AB459:AC459"/>
    <mergeCell ref="U303:U304"/>
    <mergeCell ref="AP563:AR563"/>
    <mergeCell ref="AN1152:AR1154"/>
    <mergeCell ref="P227:P228"/>
    <mergeCell ref="P128:R128"/>
    <mergeCell ref="AB460:AC460"/>
    <mergeCell ref="AO523:AQ523"/>
    <mergeCell ref="AN74:AN75"/>
    <mergeCell ref="AH463:AH466"/>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U611:Y611"/>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H1066:AL1067"/>
    <mergeCell ref="U753:Y753"/>
    <mergeCell ref="V724:Y725"/>
    <mergeCell ref="AD1155:AE1155"/>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AN838:AR841"/>
    <mergeCell ref="V866:Y867"/>
    <mergeCell ref="AH60:AL62"/>
    <mergeCell ref="AN691:AO691"/>
    <mergeCell ref="AB515:AC515"/>
    <mergeCell ref="M183:Y18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AN40:AR40"/>
    <mergeCell ref="V661:X661"/>
    <mergeCell ref="H605:H798"/>
    <mergeCell ref="AI265:AK265"/>
    <mergeCell ref="AL821:AL822"/>
    <mergeCell ref="Q460:S460"/>
    <mergeCell ref="AB384:AR384"/>
    <mergeCell ref="AJ34:AK35"/>
    <mergeCell ref="J174:L174"/>
    <mergeCell ref="U574:Y575"/>
    <mergeCell ref="AB79:AR79"/>
    <mergeCell ref="Q760:S760"/>
    <mergeCell ref="U569:U570"/>
    <mergeCell ref="AD339:AE339"/>
    <mergeCell ref="I685:M685"/>
    <mergeCell ref="Q891:S891"/>
    <mergeCell ref="AD495:AF495"/>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U639:Y639"/>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U809:Y809"/>
    <mergeCell ref="AN1090:AR1090"/>
    <mergeCell ref="AN1088:AO1088"/>
    <mergeCell ref="AH591:AL591"/>
    <mergeCell ref="AH440:AJ440"/>
    <mergeCell ref="O203:P203"/>
    <mergeCell ref="I801:I802"/>
    <mergeCell ref="AN818:AR818"/>
    <mergeCell ref="AO1057:AQ1057"/>
    <mergeCell ref="AD1053:AE1053"/>
    <mergeCell ref="AC937:AE937"/>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U497:U500"/>
    <mergeCell ref="AJ642:AJ643"/>
    <mergeCell ref="AC1164:AE1164"/>
    <mergeCell ref="AH959:AI959"/>
    <mergeCell ref="AB462:AF462"/>
    <mergeCell ref="AF84:AR84"/>
    <mergeCell ref="AB762:AF762"/>
    <mergeCell ref="AH989:AL989"/>
    <mergeCell ref="U330:Y331"/>
    <mergeCell ref="U635:Y637"/>
    <mergeCell ref="AB287:AR287"/>
    <mergeCell ref="AI176:AL177"/>
    <mergeCell ref="V312:X312"/>
    <mergeCell ref="AO699:AQ699"/>
    <mergeCell ref="J136:L136"/>
    <mergeCell ref="U423:Y434"/>
    <mergeCell ref="AH855:AI855"/>
    <mergeCell ref="AL211:AL212"/>
    <mergeCell ref="AH1032:AJ1032"/>
    <mergeCell ref="I132:M133"/>
    <mergeCell ref="AB645:AR645"/>
    <mergeCell ref="J283:L283"/>
    <mergeCell ref="K63:L63"/>
    <mergeCell ref="I759:J759"/>
    <mergeCell ref="J374:M375"/>
    <mergeCell ref="P414:P415"/>
    <mergeCell ref="U215:Y2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C103:AE103"/>
    <mergeCell ref="AL1038:AL1039"/>
    <mergeCell ref="K1055:M1055"/>
    <mergeCell ref="AN557:AR557"/>
    <mergeCell ref="J405:Y406"/>
    <mergeCell ref="J322:L322"/>
    <mergeCell ref="AD493:AE493"/>
    <mergeCell ref="AO1096:AQ1096"/>
    <mergeCell ref="I408:M408"/>
    <mergeCell ref="AB710:AF712"/>
    <mergeCell ref="AC87:AE87"/>
    <mergeCell ref="P700:R700"/>
    <mergeCell ref="U495:V495"/>
    <mergeCell ref="AI466:AK466"/>
    <mergeCell ref="AB306:AB307"/>
    <mergeCell ref="O298:S298"/>
    <mergeCell ref="AB154:AF155"/>
    <mergeCell ref="AC82:AE82"/>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AH232:AI233"/>
    <mergeCell ref="O511:S511"/>
    <mergeCell ref="AB115:AF115"/>
    <mergeCell ref="J125:L125"/>
    <mergeCell ref="AF281:AR281"/>
    <mergeCell ref="AI525:AL525"/>
    <mergeCell ref="AI521:AK521"/>
    <mergeCell ref="R810:R811"/>
    <mergeCell ref="AP211:AP212"/>
    <mergeCell ref="V123:X123"/>
    <mergeCell ref="R805:R806"/>
    <mergeCell ref="AB584:AF584"/>
    <mergeCell ref="O63:P63"/>
    <mergeCell ref="AN919:AN920"/>
    <mergeCell ref="F13:F14"/>
    <mergeCell ref="U216:Y222"/>
    <mergeCell ref="AB792:AE792"/>
    <mergeCell ref="H405:H406"/>
    <mergeCell ref="V265:X265"/>
    <mergeCell ref="AC876:AE876"/>
    <mergeCell ref="AN1030:AR1030"/>
    <mergeCell ref="U908:Y910"/>
    <mergeCell ref="O1053:P1053"/>
    <mergeCell ref="R1030:S1030"/>
    <mergeCell ref="AB1095:AB1096"/>
    <mergeCell ref="Q642:Q643"/>
    <mergeCell ref="Q516:S516"/>
    <mergeCell ref="AD120:AF120"/>
    <mergeCell ref="O1103:S1103"/>
    <mergeCell ref="AB996:AF996"/>
    <mergeCell ref="I844:Y845"/>
    <mergeCell ref="AL805:AL806"/>
    <mergeCell ref="AO211:AO212"/>
    <mergeCell ref="O890:P890"/>
    <mergeCell ref="AC170:AE170"/>
    <mergeCell ref="I936:M936"/>
    <mergeCell ref="AB1109:AC1109"/>
    <mergeCell ref="K517:M517"/>
    <mergeCell ref="J127:L127"/>
    <mergeCell ref="O328:O329"/>
    <mergeCell ref="AN108:AN109"/>
    <mergeCell ref="AH497:AH500"/>
    <mergeCell ref="I859:I862"/>
    <mergeCell ref="P420:P421"/>
    <mergeCell ref="I934:J934"/>
    <mergeCell ref="J147:L147"/>
    <mergeCell ref="O43:Q43"/>
    <mergeCell ref="O1084:S1086"/>
    <mergeCell ref="U262:V262"/>
    <mergeCell ref="P767:R767"/>
    <mergeCell ref="AQ13:AQ14"/>
    <mergeCell ref="O528:S529"/>
    <mergeCell ref="AC523:AE523"/>
    <mergeCell ref="AN161:AR161"/>
    <mergeCell ref="AN924:AR925"/>
    <mergeCell ref="P642:P643"/>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U1091:U1094"/>
    <mergeCell ref="AI504:AL505"/>
    <mergeCell ref="AN1110:AO1110"/>
    <mergeCell ref="I922:I923"/>
    <mergeCell ref="I789:M789"/>
    <mergeCell ref="AB691:AC691"/>
    <mergeCell ref="V68:X68"/>
    <mergeCell ref="AN1111:AO1111"/>
    <mergeCell ref="I299:I302"/>
    <mergeCell ref="Q1055:S1055"/>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U119:V119"/>
    <mergeCell ref="O176:O177"/>
    <mergeCell ref="AC387:AE387"/>
    <mergeCell ref="O44:Q44"/>
    <mergeCell ref="U968:U969"/>
    <mergeCell ref="V1118:X1118"/>
    <mergeCell ref="J300:L300"/>
    <mergeCell ref="O501:O502"/>
    <mergeCell ref="AC382:AE382"/>
    <mergeCell ref="AI696:AK696"/>
    <mergeCell ref="I303:I304"/>
    <mergeCell ref="AN165:AO165"/>
    <mergeCell ref="J1058:L1058"/>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U810:Y816"/>
    <mergeCell ref="AN659:AO659"/>
    <mergeCell ref="AI919:AK919"/>
    <mergeCell ref="AH900:AH901"/>
    <mergeCell ref="O1029:Q1029"/>
    <mergeCell ref="O1056:S1056"/>
    <mergeCell ref="AH797:AI797"/>
    <mergeCell ref="AN959:AO959"/>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S430:S431"/>
    <mergeCell ref="J108:M109"/>
    <mergeCell ref="AJ658:AL658"/>
    <mergeCell ref="P1064:S1065"/>
    <mergeCell ref="Q1053:R1053"/>
    <mergeCell ref="AO270:AQ270"/>
    <mergeCell ref="I451:Y451"/>
    <mergeCell ref="V863:X863"/>
    <mergeCell ref="I751:Y751"/>
    <mergeCell ref="AF1076:AR1076"/>
    <mergeCell ref="AI103:AK103"/>
    <mergeCell ref="AI708:AK708"/>
    <mergeCell ref="AC83:AE83"/>
    <mergeCell ref="R237:S237"/>
    <mergeCell ref="J480:L480"/>
    <mergeCell ref="U634:Y634"/>
    <mergeCell ref="AN173:AN174"/>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239:AJ239"/>
    <mergeCell ref="AC463:AE463"/>
    <mergeCell ref="AI425:AI426"/>
    <mergeCell ref="I600:M600"/>
    <mergeCell ref="O762:S762"/>
    <mergeCell ref="I137:M137"/>
    <mergeCell ref="P1159:R1159"/>
    <mergeCell ref="AC763:AE763"/>
    <mergeCell ref="J1141:M1141"/>
    <mergeCell ref="J1139:L1139"/>
    <mergeCell ref="AH838:AL838"/>
    <mergeCell ref="AH231:AI231"/>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U833:Y83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U832:Y832"/>
    <mergeCell ref="AD691:AE691"/>
    <mergeCell ref="O506:S507"/>
    <mergeCell ref="R816:R817"/>
    <mergeCell ref="AI370:AK370"/>
    <mergeCell ref="O970:S971"/>
    <mergeCell ref="AC502:AE502"/>
    <mergeCell ref="J878:L878"/>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N809:AR809"/>
    <mergeCell ref="AI556:AK556"/>
    <mergeCell ref="AH265:AH268"/>
    <mergeCell ref="AH470:AH471"/>
    <mergeCell ref="AN564:AR564"/>
    <mergeCell ref="O116:S118"/>
    <mergeCell ref="AH565:AH568"/>
    <mergeCell ref="AJ826:AK827"/>
    <mergeCell ref="I1178:M1178"/>
    <mergeCell ref="P107:S107"/>
    <mergeCell ref="AJ246:AJ247"/>
    <mergeCell ref="M1072:Y1072"/>
    <mergeCell ref="O610:S610"/>
    <mergeCell ref="AP165:AQ165"/>
    <mergeCell ref="I713:J713"/>
    <mergeCell ref="V327:Y327"/>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AJ825:AK825"/>
    <mergeCell ref="AO769:AR769"/>
    <mergeCell ref="AN653:AR653"/>
    <mergeCell ref="I1110:J1110"/>
    <mergeCell ref="AD957:AE957"/>
    <mergeCell ref="AI267:AK267"/>
    <mergeCell ref="J481:L481"/>
    <mergeCell ref="AO900:AR901"/>
    <mergeCell ref="AQ805:AQ806"/>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U714:V714"/>
    <mergeCell ref="P623:P624"/>
    <mergeCell ref="AB885:AF885"/>
    <mergeCell ref="AC861:AE861"/>
    <mergeCell ref="O1149:S1149"/>
    <mergeCell ref="U367:U370"/>
    <mergeCell ref="AB791:AF791"/>
    <mergeCell ref="AB120:AC120"/>
    <mergeCell ref="K143:M143"/>
    <mergeCell ref="AJ231:AK231"/>
    <mergeCell ref="P665:R665"/>
    <mergeCell ref="P29:P30"/>
    <mergeCell ref="M876:Y876"/>
    <mergeCell ref="AA603:AA604"/>
    <mergeCell ref="I516:J516"/>
    <mergeCell ref="AB314:AF316"/>
    <mergeCell ref="U911:V911"/>
    <mergeCell ref="Q995:S995"/>
    <mergeCell ref="I1098:I1099"/>
    <mergeCell ref="AC1172:AE1172"/>
    <mergeCell ref="I1079:Y1079"/>
    <mergeCell ref="V1063:Y1063"/>
    <mergeCell ref="P104:R104"/>
    <mergeCell ref="J271:M271"/>
    <mergeCell ref="S414:S415"/>
    <mergeCell ref="V783:X783"/>
    <mergeCell ref="AC160:AE160"/>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AJ1111:AL1111"/>
    <mergeCell ref="I756:M758"/>
    <mergeCell ref="AH289:AL289"/>
    <mergeCell ref="AI1160:AK1160"/>
    <mergeCell ref="O236:Q236"/>
    <mergeCell ref="AH159:AL159"/>
    <mergeCell ref="AH922:AH923"/>
    <mergeCell ref="AI1161:AK1161"/>
    <mergeCell ref="AB291:AF291"/>
    <mergeCell ref="H209:H402"/>
    <mergeCell ref="U755:Y755"/>
    <mergeCell ref="D20:F20"/>
    <mergeCell ref="I668:I669"/>
    <mergeCell ref="AN837:AR837"/>
    <mergeCell ref="AH632:AJ632"/>
    <mergeCell ref="J1118:L1118"/>
    <mergeCell ref="AB108:AB109"/>
    <mergeCell ref="AP319:AR319"/>
    <mergeCell ref="AP317:AQ317"/>
    <mergeCell ref="U1017:Y1028"/>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Q826:R827"/>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27:AR38"/>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B858:AF858"/>
    <mergeCell ref="AN788:AR788"/>
    <mergeCell ref="W167:Y167"/>
    <mergeCell ref="Q429:R429"/>
    <mergeCell ref="AJ203:AL203"/>
    <mergeCell ref="AC367:AE367"/>
    <mergeCell ref="AF778:AR778"/>
    <mergeCell ref="U889:V889"/>
    <mergeCell ref="AB453:AF453"/>
    <mergeCell ref="V504:Y505"/>
    <mergeCell ref="AI108:AL109"/>
    <mergeCell ref="AB753:AF753"/>
    <mergeCell ref="V103:X103"/>
    <mergeCell ref="AC1150:AE1150"/>
    <mergeCell ref="S34:S35"/>
    <mergeCell ref="AB295:AC295"/>
    <mergeCell ref="AI866:AL867"/>
    <mergeCell ref="AB397:AF400"/>
    <mergeCell ref="AB577:AR57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R623:R624"/>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1100:AR1101"/>
    <mergeCell ref="J465:L465"/>
    <mergeCell ref="AL1024:AL1025"/>
    <mergeCell ref="J765:L765"/>
    <mergeCell ref="AO896:AQ896"/>
    <mergeCell ref="I1089:J1089"/>
    <mergeCell ref="W64:Y64"/>
    <mergeCell ref="U18:Y24"/>
    <mergeCell ref="O105:O106"/>
    <mergeCell ref="I210:M210"/>
    <mergeCell ref="AN501:AN502"/>
    <mergeCell ref="AL1014:AL1015"/>
    <mergeCell ref="AL1008:AL1009"/>
    <mergeCell ref="AH392:AL392"/>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U265:U268"/>
    <mergeCell ref="O721:O722"/>
    <mergeCell ref="U470:U471"/>
    <mergeCell ref="AC145:AE145"/>
    <mergeCell ref="AB211:AF212"/>
    <mergeCell ref="Q24:Q25"/>
    <mergeCell ref="AC572:AF573"/>
    <mergeCell ref="P708:R708"/>
    <mergeCell ref="J521:L521"/>
    <mergeCell ref="AN413:AR413"/>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41:AR441"/>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Q430:R431"/>
    <mergeCell ref="AH793:AL796"/>
    <mergeCell ref="I714:J714"/>
    <mergeCell ref="J532:L532"/>
    <mergeCell ref="V321:X321"/>
    <mergeCell ref="O308:S309"/>
    <mergeCell ref="AB1111:AC1111"/>
    <mergeCell ref="O214:S214"/>
    <mergeCell ref="W889:X889"/>
    <mergeCell ref="AJ493:AK493"/>
    <mergeCell ref="AC175:AF175"/>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832:AR832"/>
    <mergeCell ref="AN807:AR807"/>
    <mergeCell ref="AJ363:AK363"/>
    <mergeCell ref="AB1176:AR1176"/>
    <mergeCell ref="AN461:AO46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AN621:AR632"/>
    <mergeCell ref="U760:V760"/>
    <mergeCell ref="AB152:AB153"/>
    <mergeCell ref="AH709:AL709"/>
    <mergeCell ref="H1001:H1194"/>
    <mergeCell ref="AH1098:AH1099"/>
    <mergeCell ref="U565:U568"/>
    <mergeCell ref="I455:M455"/>
    <mergeCell ref="AB165:AC165"/>
    <mergeCell ref="I755:M755"/>
    <mergeCell ref="AC1076:AE1076"/>
    <mergeCell ref="Q713:R713"/>
    <mergeCell ref="AH1151:AL1151"/>
    <mergeCell ref="I595:M598"/>
    <mergeCell ref="R830:S830"/>
    <mergeCell ref="AJ612:AJ613"/>
    <mergeCell ref="O299:O302"/>
    <mergeCell ref="AR409:AR410"/>
    <mergeCell ref="V686:X686"/>
    <mergeCell ref="AH991:AL994"/>
    <mergeCell ref="V387:X387"/>
    <mergeCell ref="AH713:AI713"/>
    <mergeCell ref="AJ607:AJ608"/>
    <mergeCell ref="AN695:AN698"/>
    <mergeCell ref="O1089:P1089"/>
    <mergeCell ref="AB693:AC693"/>
    <mergeCell ref="S13:S14"/>
    <mergeCell ref="P519:R519"/>
    <mergeCell ref="V70:X70"/>
    <mergeCell ref="AO770:AR771"/>
    <mergeCell ref="S618:S619"/>
    <mergeCell ref="AH586:AL589"/>
    <mergeCell ref="U289:Y289"/>
    <mergeCell ref="V71:X71"/>
    <mergeCell ref="I1133:J1133"/>
    <mergeCell ref="AI290:AK290"/>
    <mergeCell ref="AF284:AR284"/>
    <mergeCell ref="AH908:AL910"/>
    <mergeCell ref="O122:S122"/>
    <mergeCell ref="O211:O212"/>
    <mergeCell ref="V523:X523"/>
    <mergeCell ref="P661:R661"/>
    <mergeCell ref="AO468:AQ468"/>
    <mergeCell ref="AH292:AL294"/>
    <mergeCell ref="AI227:AI228"/>
    <mergeCell ref="M872:Y872"/>
    <mergeCell ref="I654:M656"/>
    <mergeCell ref="U511:Y511"/>
    <mergeCell ref="M1172:Y1172"/>
    <mergeCell ref="AI301:AK301"/>
    <mergeCell ref="K760:M760"/>
    <mergeCell ref="I775:Y775"/>
    <mergeCell ref="R607:R608"/>
    <mergeCell ref="AJ429:AK429"/>
    <mergeCell ref="AN376:AR377"/>
    <mergeCell ref="U515:V515"/>
    <mergeCell ref="AI612:AI613"/>
    <mergeCell ref="AJ693:AL693"/>
    <mergeCell ref="AQ1003:AQ1004"/>
    <mergeCell ref="AO522:AQ522"/>
    <mergeCell ref="I782:M782"/>
    <mergeCell ref="V898:X898"/>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U640:Y643"/>
    <mergeCell ref="AH868:AL869"/>
    <mergeCell ref="AH429:AI429"/>
    <mergeCell ref="AH227:AH228"/>
    <mergeCell ref="AC146:AE146"/>
    <mergeCell ref="AK440:AL440"/>
    <mergeCell ref="O57:S57"/>
    <mergeCell ref="AC58:AE58"/>
    <mergeCell ref="J305:M305"/>
    <mergeCell ref="AI698:AK698"/>
    <mergeCell ref="O357:S357"/>
    <mergeCell ref="AB665:AB666"/>
    <mergeCell ref="AB99:AC99"/>
    <mergeCell ref="AD890:AF890"/>
    <mergeCell ref="S24:S25"/>
    <mergeCell ref="R439:S439"/>
    <mergeCell ref="P981:R981"/>
    <mergeCell ref="V126:X126"/>
    <mergeCell ref="AO919:AQ919"/>
    <mergeCell ref="AB892:AF892"/>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I889:J889"/>
    <mergeCell ref="J102:L102"/>
    <mergeCell ref="AO665:AQ665"/>
    <mergeCell ref="S826:S827"/>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N1036:AR1039"/>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O34:P35"/>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I911:J911"/>
    <mergeCell ref="AH438:AJ438"/>
    <mergeCell ref="AN789:AR789"/>
    <mergeCell ref="AH561:AI561"/>
    <mergeCell ref="I467:I468"/>
    <mergeCell ref="AH1024:AI1025"/>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AN635:AR637"/>
    <mergeCell ref="V299:X299"/>
    <mergeCell ref="K295:L295"/>
    <mergeCell ref="V1062:X1062"/>
    <mergeCell ref="K935:M935"/>
    <mergeCell ref="U607:U608"/>
    <mergeCell ref="AJ1023:AK1023"/>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AD912:AF912"/>
    <mergeCell ref="V768:X768"/>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U819:Y830"/>
    <mergeCell ref="I1144:M1145"/>
    <mergeCell ref="AO72:AQ72"/>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B857:AC857"/>
    <mergeCell ref="I798:M798"/>
    <mergeCell ref="AB1185:AF1185"/>
    <mergeCell ref="AI211:AI212"/>
    <mergeCell ref="AI569:AK569"/>
    <mergeCell ref="I1189:M1192"/>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I641:J642"/>
    <mergeCell ref="J783:L783"/>
    <mergeCell ref="AH34:AI35"/>
    <mergeCell ref="U314:Y316"/>
    <mergeCell ref="O313:S313"/>
    <mergeCell ref="AI1038:AI1039"/>
    <mergeCell ref="AB1036:AC1036"/>
    <mergeCell ref="L1037:M1038"/>
    <mergeCell ref="AN709:AR709"/>
    <mergeCell ref="AH122:AL122"/>
    <mergeCell ref="AH211:AH212"/>
    <mergeCell ref="I143:J143"/>
    <mergeCell ref="Q628:R629"/>
    <mergeCell ref="AH325:AH326"/>
    <mergeCell ref="M281:Y281"/>
    <mergeCell ref="AI661:AK661"/>
    <mergeCell ref="O388:S391"/>
    <mergeCell ref="AC125:AE125"/>
    <mergeCell ref="Q48:Q49"/>
    <mergeCell ref="AH915:AH918"/>
    <mergeCell ref="J739:L739"/>
    <mergeCell ref="AC1082:AE1082"/>
    <mergeCell ref="I168:M168"/>
    <mergeCell ref="U1007:Y1007"/>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AH1038:AH1039"/>
    <mergeCell ref="I565:I568"/>
    <mergeCell ref="AB255:AF255"/>
    <mergeCell ref="U852:Y854"/>
    <mergeCell ref="U1030:Y1030"/>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I444:AI445"/>
    <mergeCell ref="AJ561:AK561"/>
    <mergeCell ref="AB933:AC933"/>
    <mergeCell ref="P721:R721"/>
    <mergeCell ref="AO1091:AQ1091"/>
    <mergeCell ref="J73:M73"/>
    <mergeCell ref="AH1084:AL1086"/>
    <mergeCell ref="AH222:AH223"/>
    <mergeCell ref="J523:L523"/>
    <mergeCell ref="V916:X916"/>
    <mergeCell ref="AC176:AF177"/>
    <mergeCell ref="AN17:AR17"/>
    <mergeCell ref="AC468:AE468"/>
    <mergeCell ref="O165:P165"/>
    <mergeCell ref="O628:P629"/>
    <mergeCell ref="AO556:AQ556"/>
    <mergeCell ref="O41:Q41"/>
    <mergeCell ref="U851:Y851"/>
    <mergeCell ref="O467:O468"/>
    <mergeCell ref="U1151:Y1151"/>
    <mergeCell ref="AB376:AF377"/>
    <mergeCell ref="U691:V691"/>
    <mergeCell ref="AH907:AL907"/>
    <mergeCell ref="O767:O768"/>
    <mergeCell ref="AN159:AR159"/>
    <mergeCell ref="AL826:AL827"/>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O627:P627"/>
    <mergeCell ref="U868:Y869"/>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O435:Q435"/>
    <mergeCell ref="U167:V167"/>
    <mergeCell ref="AH203:AI203"/>
    <mergeCell ref="P884:R884"/>
    <mergeCell ref="O188:S188"/>
    <mergeCell ref="AI899:AL899"/>
    <mergeCell ref="AI897:AK897"/>
    <mergeCell ref="AN883:AR883"/>
    <mergeCell ref="AK216:AK217"/>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AO862:AQ862"/>
    <mergeCell ref="AB775:AR775"/>
    <mergeCell ref="D9:F10"/>
    <mergeCell ref="O395:S395"/>
    <mergeCell ref="U694:Y694"/>
    <mergeCell ref="AO1162:AQ1162"/>
    <mergeCell ref="Q1157:S1157"/>
    <mergeCell ref="AI695:AK695"/>
    <mergeCell ref="U261:V261"/>
    <mergeCell ref="P1092:R1092"/>
    <mergeCell ref="J467:L467"/>
    <mergeCell ref="P766:R766"/>
    <mergeCell ref="U561:V561"/>
    <mergeCell ref="AB688:AF690"/>
    <mergeCell ref="AC1098:AF1099"/>
    <mergeCell ref="J767:L767"/>
    <mergeCell ref="AN634:AR634"/>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P865:S865"/>
    <mergeCell ref="AB269:AB270"/>
    <mergeCell ref="AN687:AR687"/>
    <mergeCell ref="W363:X363"/>
    <mergeCell ref="P1165:S1165"/>
    <mergeCell ref="AC719:AE719"/>
    <mergeCell ref="U1090:Y1090"/>
    <mergeCell ref="AD1088:AF1088"/>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Q1054:S1054"/>
    <mergeCell ref="AF1074:AR1074"/>
    <mergeCell ref="AB673:AR673"/>
    <mergeCell ref="AN45:AR45"/>
    <mergeCell ref="AC504:AF505"/>
    <mergeCell ref="I935:J935"/>
    <mergeCell ref="AI92:AK92"/>
    <mergeCell ref="V699:X699"/>
    <mergeCell ref="AI303:AK303"/>
    <mergeCell ref="J479:L479"/>
    <mergeCell ref="V567:X567"/>
    <mergeCell ref="AB1147:AR1147"/>
    <mergeCell ref="O1155:P1155"/>
    <mergeCell ref="AO312:AQ312"/>
    <mergeCell ref="AD958:AF958"/>
    <mergeCell ref="AI717:AK717"/>
    <mergeCell ref="AC136:AE136"/>
    <mergeCell ref="P69:R69"/>
    <mergeCell ref="AN423:AR434"/>
    <mergeCell ref="AO1095:AQ1095"/>
    <mergeCell ref="AH198:AK198"/>
    <mergeCell ref="AB138:AF140"/>
    <mergeCell ref="AB759:AC759"/>
    <mergeCell ref="AC374:AF375"/>
    <mergeCell ref="AI414:AI415"/>
    <mergeCell ref="AC278:AE278"/>
    <mergeCell ref="Q627:R627"/>
    <mergeCell ref="P810:P811"/>
    <mergeCell ref="J981:L981"/>
    <mergeCell ref="AD539:AF539"/>
    <mergeCell ref="AK805:AK806"/>
    <mergeCell ref="U919:U920"/>
    <mergeCell ref="U65:V65"/>
    <mergeCell ref="W121:Y121"/>
    <mergeCell ref="AC500:AE500"/>
    <mergeCell ref="U365:V365"/>
    <mergeCell ref="J876:L876"/>
    <mergeCell ref="AN216:AR222"/>
    <mergeCell ref="AD1055:AF1055"/>
    <mergeCell ref="I1100:M1101"/>
    <mergeCell ref="O123:O126"/>
    <mergeCell ref="AC503:AF503"/>
    <mergeCell ref="U442:Y445"/>
    <mergeCell ref="AN1112:AR1112"/>
    <mergeCell ref="U1061:U1062"/>
    <mergeCell ref="AH113:AL113"/>
    <mergeCell ref="AI510:AK510"/>
    <mergeCell ref="AK1030:AL1030"/>
    <mergeCell ref="U463:U466"/>
    <mergeCell ref="AH1117:AH1118"/>
    <mergeCell ref="O858:S858"/>
    <mergeCell ref="I46:J46"/>
    <mergeCell ref="O1158:S1158"/>
    <mergeCell ref="AH298:AL298"/>
    <mergeCell ref="AH414:AH415"/>
    <mergeCell ref="AC942:AE942"/>
    <mergeCell ref="O265:O268"/>
    <mergeCell ref="AI864:AK864"/>
    <mergeCell ref="AC370:AE370"/>
    <mergeCell ref="I341:J341"/>
    <mergeCell ref="AC547:AF547"/>
    <mergeCell ref="AB572:AB573"/>
    <mergeCell ref="AJ805:AJ806"/>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AL216:AL217"/>
    <mergeCell ref="R40:S40"/>
    <mergeCell ref="P125:R125"/>
    <mergeCell ref="AO520:AQ520"/>
    <mergeCell ref="AB1131:AC1131"/>
    <mergeCell ref="U915:U918"/>
    <mergeCell ref="AO723:AR723"/>
    <mergeCell ref="AD761:AF761"/>
    <mergeCell ref="AD759:AE759"/>
    <mergeCell ref="R642:R643"/>
    <mergeCell ref="O244:S244"/>
    <mergeCell ref="AH168:AL168"/>
    <mergeCell ref="P783:R783"/>
    <mergeCell ref="I717:I720"/>
    <mergeCell ref="AB978:AR978"/>
    <mergeCell ref="AO1179:AQ1179"/>
    <mergeCell ref="U838:Y841"/>
    <mergeCell ref="AH961:AH964"/>
    <mergeCell ref="U120:V120"/>
    <mergeCell ref="AN724:AN725"/>
    <mergeCell ref="AH1113:AH1116"/>
    <mergeCell ref="U905:Y905"/>
    <mergeCell ref="O255:S255"/>
    <mergeCell ref="P652:R652"/>
    <mergeCell ref="P952:R952"/>
    <mergeCell ref="AN651:AR651"/>
    <mergeCell ref="P1163:R1163"/>
    <mergeCell ref="I240:M240"/>
    <mergeCell ref="AC708:AE708"/>
    <mergeCell ref="I540:M540"/>
    <mergeCell ref="AN97:AO97"/>
    <mergeCell ref="AN239:AR241"/>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N908:AR910"/>
    <mergeCell ref="P189:R189"/>
    <mergeCell ref="I314:M316"/>
    <mergeCell ref="AH982:AL985"/>
    <mergeCell ref="AH258:AL260"/>
    <mergeCell ref="U291:Y291"/>
    <mergeCell ref="AH67:AH70"/>
    <mergeCell ref="AN215:AR215"/>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N243:AR243"/>
    <mergeCell ref="AD517:AF517"/>
    <mergeCell ref="M1174:Y1174"/>
    <mergeCell ref="AB859:AB862"/>
    <mergeCell ref="AB934:AC934"/>
    <mergeCell ref="V884:X884"/>
    <mergeCell ref="AL414:AL415"/>
    <mergeCell ref="O320:S320"/>
    <mergeCell ref="AC148:AE148"/>
    <mergeCell ref="U772:Y773"/>
    <mergeCell ref="J524:L524"/>
    <mergeCell ref="AD537:AE537"/>
    <mergeCell ref="AH528:AL529"/>
    <mergeCell ref="I704:M705"/>
    <mergeCell ref="J701:M701"/>
    <mergeCell ref="AH523:AH524"/>
    <mergeCell ref="AN716:AR716"/>
    <mergeCell ref="AI770:AL771"/>
    <mergeCell ref="AD839:AD840"/>
    <mergeCell ref="W119:X119"/>
    <mergeCell ref="U659:V659"/>
    <mergeCell ref="P921:S921"/>
    <mergeCell ref="AC464:AE464"/>
    <mergeCell ref="W296:Y296"/>
    <mergeCell ref="U959:V959"/>
    <mergeCell ref="AB9:AB10"/>
    <mergeCell ref="AN313:AR313"/>
    <mergeCell ref="AC764:AE764"/>
    <mergeCell ref="Q232:R233"/>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AJ628:AK629"/>
    <mergeCell ref="W317:X317"/>
    <mergeCell ref="AK414:AK415"/>
    <mergeCell ref="J894:L894"/>
    <mergeCell ref="AC1117:AE1117"/>
    <mergeCell ref="K99:M99"/>
    <mergeCell ref="AH593:AL593"/>
    <mergeCell ref="AH459:AI459"/>
    <mergeCell ref="AH371:AH372"/>
    <mergeCell ref="R241:S241"/>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I843:Y843"/>
    <mergeCell ref="AP760:AR760"/>
    <mergeCell ref="AB1090:AF1090"/>
    <mergeCell ref="P325:R325"/>
    <mergeCell ref="AO271:AR271"/>
    <mergeCell ref="O306:O307"/>
    <mergeCell ref="I695:I698"/>
    <mergeCell ref="AI70:AK70"/>
    <mergeCell ref="I13:M14"/>
    <mergeCell ref="AO571:AR571"/>
    <mergeCell ref="P425:P426"/>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N833:AR835"/>
    <mergeCell ref="AP461:AR461"/>
    <mergeCell ref="I190:M193"/>
    <mergeCell ref="I891:J891"/>
    <mergeCell ref="I1194:M1194"/>
    <mergeCell ref="M483:Y483"/>
    <mergeCell ref="Q825:R825"/>
    <mergeCell ref="AN692:AO692"/>
    <mergeCell ref="Q364:S364"/>
    <mergeCell ref="V498:X498"/>
    <mergeCell ref="V900:Y901"/>
    <mergeCell ref="AJ459:AK459"/>
    <mergeCell ref="P1003:P1004"/>
    <mergeCell ref="P719:R719"/>
    <mergeCell ref="I1180:M1183"/>
    <mergeCell ref="AH825:AI825"/>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J502:L502"/>
    <mergeCell ref="AK816:AK817"/>
    <mergeCell ref="O636:Q636"/>
    <mergeCell ref="AC546:AE546"/>
    <mergeCell ref="AN694:AR694"/>
    <mergeCell ref="O1003:O1004"/>
    <mergeCell ref="AC723:AF723"/>
    <mergeCell ref="AH970:AL971"/>
    <mergeCell ref="AC9:AR10"/>
    <mergeCell ref="O1019:O1020"/>
    <mergeCell ref="AF675:AR675"/>
    <mergeCell ref="AH518:AL518"/>
    <mergeCell ref="I120:J120"/>
    <mergeCell ref="I905:M905"/>
    <mergeCell ref="AN1049:AR1049"/>
    <mergeCell ref="AC501:AE501"/>
    <mergeCell ref="AI663:AK663"/>
    <mergeCell ref="Q231:R231"/>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AD562:AF562"/>
    <mergeCell ref="P92:R92"/>
    <mergeCell ref="AH859:AH862"/>
    <mergeCell ref="AB908:AF910"/>
    <mergeCell ref="AB935:AC935"/>
    <mergeCell ref="I463:I466"/>
    <mergeCell ref="AC285:AE285"/>
    <mergeCell ref="I291:M291"/>
    <mergeCell ref="P850:R850"/>
    <mergeCell ref="AI468:AK468"/>
    <mergeCell ref="AC454:AE454"/>
    <mergeCell ref="I763:I766"/>
    <mergeCell ref="V918:X918"/>
    <mergeCell ref="U837:Y837"/>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442:AR445"/>
    <mergeCell ref="AN858:AR858"/>
    <mergeCell ref="AN1061:AN1062"/>
    <mergeCell ref="AF479:AR479"/>
    <mergeCell ref="AH996:AL996"/>
    <mergeCell ref="AN1158:AR1158"/>
    <mergeCell ref="AN654:AR656"/>
    <mergeCell ref="L838:M838"/>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O305:AR305"/>
    <mergeCell ref="K714:M714"/>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AH574:AL575"/>
    <mergeCell ref="U371:U372"/>
    <mergeCell ref="AK40:AL40"/>
    <mergeCell ref="U702:U703"/>
    <mergeCell ref="AC271:AF271"/>
    <mergeCell ref="AC720:AE720"/>
    <mergeCell ref="U188:Y188"/>
    <mergeCell ref="P967:S967"/>
    <mergeCell ref="AO783:AQ783"/>
    <mergeCell ref="AC571:AF571"/>
    <mergeCell ref="AO897:AQ897"/>
    <mergeCell ref="J334:L334"/>
    <mergeCell ref="AC721:AE721"/>
    <mergeCell ref="AO1114:AQ1114"/>
    <mergeCell ref="J1091:L1091"/>
    <mergeCell ref="U788:Y788"/>
    <mergeCell ref="V1179:X1179"/>
    <mergeCell ref="U296:V296"/>
    <mergeCell ref="AC105:AE105"/>
    <mergeCell ref="AI916:AK916"/>
    <mergeCell ref="AF87:AR87"/>
    <mergeCell ref="J1150:L1150"/>
    <mergeCell ref="AH658:AI658"/>
    <mergeCell ref="AH965:AH966"/>
    <mergeCell ref="AB756:AF758"/>
    <mergeCell ref="AC1074:AE1074"/>
    <mergeCell ref="K1111:M1111"/>
    <mergeCell ref="O789:S789"/>
    <mergeCell ref="V173:X173"/>
    <mergeCell ref="Q623:Q624"/>
    <mergeCell ref="AH236:AJ236"/>
    <mergeCell ref="AB194:AF194"/>
    <mergeCell ref="AP494:AR494"/>
    <mergeCell ref="AB851:AF851"/>
    <mergeCell ref="I902:M903"/>
    <mergeCell ref="I159:M159"/>
    <mergeCell ref="I1033:M1034"/>
    <mergeCell ref="AN914:AR914"/>
    <mergeCell ref="J1161:L1161"/>
    <mergeCell ref="J1136:L1136"/>
    <mergeCell ref="J742:L742"/>
    <mergeCell ref="O1087:P1087"/>
    <mergeCell ref="O632:Q632"/>
    <mergeCell ref="M974:Y974"/>
    <mergeCell ref="AA209:AA402"/>
    <mergeCell ref="U414:Y420"/>
    <mergeCell ref="AK438:AL438"/>
    <mergeCell ref="U76:Y77"/>
    <mergeCell ref="P1057:R1057"/>
    <mergeCell ref="AC1118:AE1118"/>
    <mergeCell ref="AN1017:AR1028"/>
    <mergeCell ref="AF282:AR282"/>
    <mergeCell ref="AB1120:AB1121"/>
    <mergeCell ref="K857:M857"/>
    <mergeCell ref="I487:M487"/>
    <mergeCell ref="AC1113:AE1113"/>
    <mergeCell ref="I517:J517"/>
    <mergeCell ref="AF283:AR283"/>
    <mergeCell ref="Q1019:Q1020"/>
    <mergeCell ref="AH1030:AJ1030"/>
    <mergeCell ref="AB726:AF727"/>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S1024:S1025"/>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U1036:Y1039"/>
    <mergeCell ref="AD121:AF121"/>
    <mergeCell ref="U501:U502"/>
    <mergeCell ref="S1008:S1009"/>
    <mergeCell ref="J68:L68"/>
    <mergeCell ref="AB162:AF164"/>
    <mergeCell ref="AP1053:AQ1053"/>
    <mergeCell ref="AC171:AE171"/>
    <mergeCell ref="AC302:AE302"/>
    <mergeCell ref="AH97:AI97"/>
    <mergeCell ref="P321:R321"/>
    <mergeCell ref="J128:L128"/>
    <mergeCell ref="U27:Y38"/>
    <mergeCell ref="AD263:AF263"/>
    <mergeCell ref="I308:M309"/>
    <mergeCell ref="AO864:AQ864"/>
    <mergeCell ref="AN866:AN867"/>
    <mergeCell ref="AN320:AR320"/>
    <mergeCell ref="U91:Y91"/>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P463:R463"/>
    <mergeCell ref="AB374:AB375"/>
    <mergeCell ref="AC499:AE499"/>
    <mergeCell ref="AC524:AE524"/>
    <mergeCell ref="AC67:AE67"/>
    <mergeCell ref="O829:S829"/>
    <mergeCell ref="AH274:AL275"/>
    <mergeCell ref="I204:M204"/>
    <mergeCell ref="AC701:AF701"/>
    <mergeCell ref="U1081:Y108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J232:AK233"/>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P364:AR364"/>
    <mergeCell ref="AB946:AF947"/>
    <mergeCell ref="AB694:AF694"/>
    <mergeCell ref="AP65:AR65"/>
    <mergeCell ref="AB941:AB942"/>
    <mergeCell ref="AH437:AJ437"/>
    <mergeCell ref="O657:P657"/>
    <mergeCell ref="Q420:Q421"/>
    <mergeCell ref="U1185:Y1185"/>
    <mergeCell ref="O957:P957"/>
    <mergeCell ref="AB122:AF122"/>
    <mergeCell ref="AC776:AE776"/>
    <mergeCell ref="AJ430:AK431"/>
    <mergeCell ref="AN911:AO911"/>
    <mergeCell ref="I1125:M1125"/>
    <mergeCell ref="J1059:L1059"/>
    <mergeCell ref="AC372:AE372"/>
    <mergeCell ref="AD340:AF340"/>
    <mergeCell ref="S628:S629"/>
    <mergeCell ref="V718:X718"/>
    <mergeCell ref="J306:M307"/>
    <mergeCell ref="AP891:AR891"/>
    <mergeCell ref="AP889:AQ889"/>
    <mergeCell ref="I1042:Y1043"/>
    <mergeCell ref="AB1188:AE1188"/>
    <mergeCell ref="A33:B51"/>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U238:Y238"/>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C699:AE699"/>
    <mergeCell ref="J1075:L1075"/>
    <mergeCell ref="V952:X952"/>
    <mergeCell ref="V1163:X1163"/>
    <mergeCell ref="AC700:AE700"/>
    <mergeCell ref="AB52:AR53"/>
    <mergeCell ref="AN1095:AN1096"/>
    <mergeCell ref="J1070:L1070"/>
    <mergeCell ref="AH430:AI431"/>
    <mergeCell ref="AB144:AF144"/>
    <mergeCell ref="V1164:X1164"/>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J97:AK97"/>
    <mergeCell ref="AC743:AE743"/>
    <mergeCell ref="AC569:AE569"/>
    <mergeCell ref="AH364:AI364"/>
    <mergeCell ref="AP1003:AP1004"/>
    <mergeCell ref="AP262:AR262"/>
    <mergeCell ref="AH634:AJ634"/>
    <mergeCell ref="AH240:AJ240"/>
    <mergeCell ref="U859:U862"/>
    <mergeCell ref="M284:Y284"/>
    <mergeCell ref="AH995:AI995"/>
    <mergeCell ref="I113:M113"/>
    <mergeCell ref="I141:J141"/>
    <mergeCell ref="F17:F18"/>
    <mergeCell ref="Q618:Q619"/>
    <mergeCell ref="J1140:L1140"/>
    <mergeCell ref="AB130:AB131"/>
    <mergeCell ref="AN1007:AR1007"/>
    <mergeCell ref="M279:Y279"/>
    <mergeCell ref="V468:X468"/>
    <mergeCell ref="O292:S294"/>
    <mergeCell ref="P301:R301"/>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8">
    <dataValidation sqref="D17" showDropDown="0" showInputMessage="0" showErrorMessage="0" allowBlank="1" type="list">
      <formula1>DADOS_INVOC!$CT$2:$CT$3</formula1>
    </dataValidation>
    <dataValidation sqref="I43 I241 I439 I637 I835 I1033 AB43 AB241 AB439 AB637 AB835 AB1033" showDropDown="0" showInputMessage="0" showErrorMessage="0" allowBlank="1" type="list">
      <formula1>DADOS_INVOC!$BM$2:$BM$6</formula1>
    </dataValidation>
    <dataValidation sqref="I47 I245 I443 I641 I839 I1037 AB47 AB245 AB443 AB641 AB839 AB1037" showDropDown="0" showInputMessage="0" showErrorMessage="0" allowBlank="1" type="list">
      <formula1>DADOS_INVOC!$BO$2:$BO$5</formula1>
    </dataValidation>
    <dataValidation sqref="L47 L245 L443 L641 L839 L1037 AE47 AE245 AE443 AE641 AE839 AE1037" showDropDown="0" showInputMessage="0" showErrorMessage="0" allowBlank="1" type="list">
      <formula1>DADOS_INVOC!$CC$2:$CC$3</formula1>
    </dataValidation>
    <dataValidation sqref="O20:S20 O218:S218 O416:S416 O614:S614 O812:S812 O1010:S1010 AH20:AL20 AH218:AL218 AH416:AL416 AH614:AL614 AH812:AL812 AH1010:AL1010" showDropDown="0" showInputMessage="0" showErrorMessage="0" allowBlank="1" type="list">
      <formula1>DADOS_INVOC!$CI$2:$CI$8</formula1>
    </dataValidation>
    <dataValidation sqref="O34 O232 O430 O628 O826 O1024 AH34 AH232 AH430 AH628 AH826 AH1024" showDropDown="0" showInputMessage="0" showErrorMessage="0" allowBlank="1" type="list">
      <formula1>DADOS_INVOC!$BT$2:$BT$6</formula1>
    </dataValidation>
    <dataValidation sqref="Q34 Q232 Q430 Q628 Q826 Q1024 AJ34 AJ232 AJ430 AJ628 AJ826 AJ1024" showDropDown="0" showInputMessage="0" showErrorMessage="0" allowBlank="1" type="list">
      <formula1>DADOS_INVOC!$BX$2:$BX$3</formula1>
    </dataValidation>
    <dataValidation sqref="S34 S232 S430 S628 S826 S1024 AL34 AL232 AL430 AL628 AL826 AL1024" showDropDown="0" showInputMessage="0" showErrorMessage="0" allowBlank="1" type="list">
      <formula1>DADOS_INVOC!$BV$2:$BV$5</formula1>
    </dataValidation>
    <dataValidation sqref="O38:O44 O236:O242 O434:O440 O632:O638 O830:O836 O1028:O1034 AH38:AH44 AH236:AH242 AH434:AH440 AH632:AH638 AH830:AH836 AH1028:AH1034" showDropDown="0" showInputMessage="0" showErrorMessage="0" allowBlank="1" type="list">
      <formula1>DADOS_INVOC!$BZ$2:$BZ$24</formula1>
    </dataValidation>
    <dataValidation sqref="O48:S48 O246:S246 O444:S444 O642:S642 O840:S840 O1038:S1038 AH48:AL48 AH246:AL246 AH444:AL444 AH642:AL642 AH840:AL840 AH1038:AL1038" showDropDown="0" showInputMessage="0" showErrorMessage="0" allowBlank="1" type="list">
      <formula1>DADOS_INVOC!$BR$2:$BR$10</formula1>
    </dataValidation>
    <dataValidation sqref="I63 I97" showDropDown="0" showInputMessage="0" showErrorMessage="0" allowBlank="1" type="list">
      <formula1>DADOS_INVOC!$JH$2:$JH$11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DADOS_INVOC!$CE$2:$CE$16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DADOS_INVOC!$CG$2:$CG$6</formula1>
    </dataValidation>
    <dataValidation sqref="J67:J70 J101:J104" showDropDown="0" showInputMessage="0" showErrorMessage="0" allowBlank="1" type="list">
      <formula1>DADOS_INVOC!$JE$2:$JE$84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DADOS_INVOC!$BF$2:$BF$24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DADOS_INVOC!$JG$2:$JG$11</formula1>
    </dataValidation>
    <dataValidation sqref="J123:J126 J145:J148 J169:J172 P67:P70 P101:P104 P123:P126 P169:P172 V67:V70 V101:V104 V123:V126 V169:V172" showDropDown="0" showInputMessage="0" showErrorMessage="0" allowBlank="1" type="list">
      <formula1>DADOS_INVOC!$JD$2:$JD$84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DADOS_INVOC!$BB$2:$BB$24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DADOS_INVOC!$BH$2:$BH$15</formula1>
    </dataValidation>
    <dataValidation sqref="J182:J184 J380:J382 J578:J580 J776:J778 J974:J976 J1172:J1174 AC182:AC184 AC380:AC382 AC578:AC580 AC776:AC778 AC974:AC976 AC1172:AC1174" showDropDown="0" showInputMessage="0" showErrorMessage="0" allowBlank="1" type="list">
      <formula1>DADOS_INVOC!$BK$2:$BK$15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DADOS_INVOC!$CP$2:$CP$4</formula1>
    </dataValidation>
    <dataValidation sqref="I261 I295" showDropDown="0" showInputMessage="0" showErrorMessage="0" allowBlank="1" type="list">
      <formula1>DADOS_INVOC!$JN$2:$JN$11</formula1>
    </dataValidation>
    <dataValidation sqref="J265:J268 J299:J302" showDropDown="0" showInputMessage="0" showErrorMessage="0" allowBlank="1" type="list">
      <formula1>DADOS_INVOC!$JK$2:$JK$84</formula1>
    </dataValidation>
    <dataValidation sqref="I317 I339 I363 O261 O295 O317 O363 U261 U295 U317 U363" showDropDown="0" showInputMessage="0" showErrorMessage="0" allowBlank="1" type="list">
      <formula1>DADOS_INVOC!$JM$2:$JM$11</formula1>
    </dataValidation>
    <dataValidation sqref="J321:J324 J343:J346 J367:J370 P265:P268 P299:P302 P321:P324 P367:P370 V265:V268 V299:V302 V321:V324 V367:V370" showDropDown="0" showInputMessage="0" showErrorMessage="0" allowBlank="1" type="list">
      <formula1>DADOS_INVOC!$JJ$2:$JJ$84</formula1>
    </dataValidation>
    <dataValidation sqref="I459 I493" showDropDown="0" showInputMessage="0" showErrorMessage="0" allowBlank="1" type="list">
      <formula1>DADOS_INVOC!$JT$2:$JT$11</formula1>
    </dataValidation>
    <dataValidation sqref="J463:J466 J497:J500" showDropDown="0" showInputMessage="0" showErrorMessage="0" allowBlank="1" type="list">
      <formula1>DADOS_INVOC!$JQ$2:$JQ$84</formula1>
    </dataValidation>
    <dataValidation sqref="I515 I537 I561 O459 O493 O515 O561 U459 U493 U515 U561" showDropDown="0" showInputMessage="0" showErrorMessage="0" allowBlank="1" type="list">
      <formula1>DADOS_INVOC!$JS$2:$JS$11</formula1>
    </dataValidation>
    <dataValidation sqref="J519:J522 J541:J544 J565:J568 P463:P466 P497:P500 P519:P522 P565:P568 V463:V466 V497:V500 V519:V522 V565:V568" showDropDown="0" showInputMessage="0" showErrorMessage="0" allowBlank="1" type="list">
      <formula1>DADOS_INVOC!$JP$2:$JP$84</formula1>
    </dataValidation>
    <dataValidation sqref="I657 I691" showDropDown="0" showInputMessage="0" showErrorMessage="0" allowBlank="1" type="list">
      <formula1>DADOS_INVOC!$JZ$2:$JZ$11</formula1>
    </dataValidation>
    <dataValidation sqref="J661:J664 J695:J698" showDropDown="0" showInputMessage="0" showErrorMessage="0" allowBlank="1" type="list">
      <formula1>DADOS_INVOC!$JW$2:$JW$84</formula1>
    </dataValidation>
    <dataValidation sqref="I713 I735 I759 O657 O691 O713 O759 U657 U691 U713 U759" showDropDown="0" showInputMessage="0" showErrorMessage="0" allowBlank="1" type="list">
      <formula1>DADOS_INVOC!$JY$2:$JY$11</formula1>
    </dataValidation>
    <dataValidation sqref="J717:J720 J739:J742 J763:J766 P661:P664 P695:P698 P717:P720 P763:P766 V661:V664 V695:V698 V717:V720 V763:V766" showDropDown="0" showInputMessage="0" showErrorMessage="0" allowBlank="1" type="list">
      <formula1>DADOS_INVOC!$JV$2:$JV$84</formula1>
    </dataValidation>
    <dataValidation sqref="I855 I889" showDropDown="0" showInputMessage="0" showErrorMessage="0" allowBlank="1" type="list">
      <formula1>DADOS_INVOC!$KF$2:$KF$11</formula1>
    </dataValidation>
    <dataValidation sqref="J859:J862 J893:J896" showDropDown="0" showInputMessage="0" showErrorMessage="0" allowBlank="1" type="list">
      <formula1>DADOS_INVOC!$KC$2:$KC$84</formula1>
    </dataValidation>
    <dataValidation sqref="I911 I933 I957 O855 O889 O911 O957 U855 U889 U911 U957" showDropDown="0" showInputMessage="0" showErrorMessage="0" allowBlank="1" type="list">
      <formula1>DADOS_INVOC!$KE$2:$KE$11</formula1>
    </dataValidation>
    <dataValidation sqref="J915:J918 J937:J940 J961:J964 P859:P862 P893:P896 P915:P918 P961:P964 V859:V862 V893:V896 V915:V918 V961:V964" showDropDown="0" showInputMessage="0" showErrorMessage="0" allowBlank="1" type="list">
      <formula1>DADOS_INVOC!$KB$2:$KB$84</formula1>
    </dataValidation>
    <dataValidation sqref="I1053 I1087" showDropDown="0" showInputMessage="0" showErrorMessage="0" allowBlank="1" type="list">
      <formula1>DADOS_INVOC!$KL$2:$KL$11</formula1>
    </dataValidation>
    <dataValidation sqref="J1057:J1060 J1091:J1094" showDropDown="0" showInputMessage="0" showErrorMessage="0" allowBlank="1" type="list">
      <formula1>DADOS_INVOC!$KI$2:$KI$84</formula1>
    </dataValidation>
    <dataValidation sqref="I1109 I1131 I1155 O1053 O1087 O1109 O1155 U1053 U1087 U1109 U1155" showDropDown="0" showInputMessage="0" showErrorMessage="0" allowBlank="1" type="list">
      <formula1>DADOS_INVOC!$KK$2:$KK$11</formula1>
    </dataValidation>
    <dataValidation sqref="J1113:J1116 J1135:J1138 J1159:J1162 P1057:P1060 P1091:P1094 P1113:P1116 P1159:P1162 V1057:V1060 V1091:V1094 V1113:V1116 V1159:V1162" showDropDown="0" showInputMessage="0" showErrorMessage="0" allowBlank="1" type="list">
      <formula1>DADOS_INVOC!$KH$2:$KH$84</formula1>
    </dataValidation>
    <dataValidation sqref="AB63 AB97" showDropDown="0" showInputMessage="0" showErrorMessage="0" allowBlank="1" type="list">
      <formula1>DADOS_INVOC!$KR$2:$KR$11</formula1>
    </dataValidation>
    <dataValidation sqref="AC67:AC70 AC101:AC104" showDropDown="0" showInputMessage="0" showErrorMessage="0" allowBlank="1" type="list">
      <formula1>DADOS_INVOC!$KO$2:$KO$84</formula1>
    </dataValidation>
    <dataValidation sqref="AB119 AB141 AB165 AH63 AH97 AH119 AH165 AN63 AN97 AN119 AN165" showDropDown="0" showInputMessage="0" showErrorMessage="0" allowBlank="1" type="list">
      <formula1>DADOS_INVOC!$KQ$2:$KQ$11</formula1>
    </dataValidation>
    <dataValidation sqref="AC123:AC126 AC145:AC148 AC169:AC172 AI67:AI70 AI101:AI104 AI123:AI126 AI169:AI172 AO67:AO70 AO101:AO104 AO123:AO126 AO169:AO172" showDropDown="0" showInputMessage="0" showErrorMessage="0" allowBlank="1" type="list">
      <formula1>DADOS_INVOC!$KN$2:$KN$84</formula1>
    </dataValidation>
    <dataValidation sqref="AB261 AB295" showDropDown="0" showInputMessage="0" showErrorMessage="0" allowBlank="1" type="list">
      <formula1>DADOS_INVOC!$KX$2:$KX$11</formula1>
    </dataValidation>
    <dataValidation sqref="AC265:AC268 AC299:AC302" showDropDown="0" showInputMessage="0" showErrorMessage="0" allowBlank="1" type="list">
      <formula1>DADOS_INVOC!$KU$2:$KU$84</formula1>
    </dataValidation>
    <dataValidation sqref="AB317 AB339 AB363 AH261 AH295 AH317 AH363 AN261 AN295 AN317 AN363" showDropDown="0" showInputMessage="0" showErrorMessage="0" allowBlank="1" type="list">
      <formula1>DADOS_INVOC!$KW$2:$KW$11</formula1>
    </dataValidation>
    <dataValidation sqref="AC321:AC324 AC343:AC346 AC367:AC370 AI265:AI268 AI299:AI302 AI321:AI324 AI367:AI370 AO265:AO268 AO299:AO302 AO321:AO324 AO367:AO370" showDropDown="0" showInputMessage="0" showErrorMessage="0" allowBlank="1" type="list">
      <formula1>DADOS_INVOC!$KT$2:$KT$84</formula1>
    </dataValidation>
    <dataValidation sqref="AB459 AB493" showDropDown="0" showInputMessage="0" showErrorMessage="0" allowBlank="1" type="list">
      <formula1>DADOS_INVOC!$LD$2:$LD$11</formula1>
    </dataValidation>
    <dataValidation sqref="AC463:AC466 AC497:AC500" showDropDown="0" showInputMessage="0" showErrorMessage="0" allowBlank="1" type="list">
      <formula1>DADOS_INVOC!$LA$2:$LA$84</formula1>
    </dataValidation>
    <dataValidation sqref="AB515 AB537 AB561 AH459 AH493 AH515 AH561 AN459 AN493 AN515 AN561" showDropDown="0" showInputMessage="0" showErrorMessage="0" allowBlank="1" type="list">
      <formula1>DADOS_INVOC!$LC$2:$LC$11</formula1>
    </dataValidation>
    <dataValidation sqref="AC519:AC522 AC541:AC544 AC565:AC568 AI463:AI466 AI497:AI500 AI519:AI522 AI565:AI568 AO463:AO466 AO497:AO500 AO519:AO522 AO565:AO568" showDropDown="0" showInputMessage="0" showErrorMessage="0" allowBlank="1" type="list">
      <formula1>DADOS_INVOC!$KZ$2:$KZ$84</formula1>
    </dataValidation>
    <dataValidation sqref="AB657 AB691" showDropDown="0" showInputMessage="0" showErrorMessage="0" allowBlank="1" type="list">
      <formula1>DADOS_INVOC!$LJ$2:$LJ$11</formula1>
    </dataValidation>
    <dataValidation sqref="AC661:AC664 AC695:AC698" showDropDown="0" showInputMessage="0" showErrorMessage="0" allowBlank="1" type="list">
      <formula1>DADOS_INVOC!$LG$2:$LG$84</formula1>
    </dataValidation>
    <dataValidation sqref="AB713 AB735 AB759 AH657 AH691 AH713 AH759 AN657 AN691 AN713 AN759" showDropDown="0" showInputMessage="0" showErrorMessage="0" allowBlank="1" type="list">
      <formula1>DADOS_INVOC!$LI$2:$LI$11</formula1>
    </dataValidation>
    <dataValidation sqref="AC717:AC720 AC739:AC742 AC763:AC766 AI661:AI664 AI695:AI698 AI717:AI720 AI763:AI766 AO661:AO664 AO695:AO698 AO717:AO720 AO763:AO766" showDropDown="0" showInputMessage="0" showErrorMessage="0" allowBlank="1" type="list">
      <formula1>DADOS_INVOC!$LF$2:$LF$84</formula1>
    </dataValidation>
    <dataValidation sqref="AB855 AB889" showDropDown="0" showInputMessage="0" showErrorMessage="0" allowBlank="1" type="list">
      <formula1>DADOS_INVOC!$LP$2:$LP$11</formula1>
    </dataValidation>
    <dataValidation sqref="AC859:AC862 AC893:AC896" showDropDown="0" showInputMessage="0" showErrorMessage="0" allowBlank="1" type="list">
      <formula1>DADOS_INVOC!$LM$2:$LM$84</formula1>
    </dataValidation>
    <dataValidation sqref="AB911 AB933 AB957 AH855 AH889 AH911 AH957 AN855 AN889 AN911 AN957" showDropDown="0" showInputMessage="0" showErrorMessage="0" allowBlank="1" type="list">
      <formula1>DADOS_INVOC!$LO$2:$LO$11</formula1>
    </dataValidation>
    <dataValidation sqref="AC915:AC918 AC937:AC940 AC961:AC964 AI859:AI862 AI893:AI896 AI915:AI918 AI961:AI964 AO859:AO862 AO893:AO896 AO915:AO918 AO961:AO964" showDropDown="0" showInputMessage="0" showErrorMessage="0" allowBlank="1" type="list">
      <formula1>DADOS_INVOC!$LL$2:$LL$84</formula1>
    </dataValidation>
    <dataValidation sqref="AB1053 AB1087" showDropDown="0" showInputMessage="0" showErrorMessage="0" allowBlank="1" type="list">
      <formula1>DADOS_INVOC!$LV$2:$LV$11</formula1>
    </dataValidation>
    <dataValidation sqref="AC1057:AC1060 AC1091:AC1094" showDropDown="0" showInputMessage="0" showErrorMessage="0" allowBlank="1" type="list">
      <formula1>DADOS_INVOC!$LS$2:$LS$84</formula1>
    </dataValidation>
    <dataValidation sqref="AB1109 AB1131 AB1155 AH1053 AH1087 AH1109 AH1155 AN1053 AN1087 AN1109 AN1155" showDropDown="0" showInputMessage="0" showErrorMessage="0" allowBlank="1" type="list">
      <formula1>DADOS_INVOC!$LU$2:$LU$11</formula1>
    </dataValidation>
    <dataValidation sqref="AC1113:AC1116 AC1135:AC1138 AC1159:AC1162 AI1057:AI1060 AI1091:AI1094 AI1113:AI1116 AI1159:AI1162 AO1057:AO1060 AO1091:AO1094 AO1113:AO1116 AO1159:AO1162" showDropDown="0" showInputMessage="0" showErrorMessage="0" allowBlank="1" type="list">
      <formula1>DADOS_INVOC!$LR$2:$LR$84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CICLO MALDITO</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1.0</t>
        </is>
      </c>
      <c r="C1" s="122" t="inlineStr">
        <is>
          <t>versão corrente (puxada da central)</t>
        </is>
      </c>
      <c r="D1" s="148"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DADOS_AM!$HI$25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DADOS_AM!$HI$24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R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L1" s="151" t="inlineStr">
        <is>
          <t>menu de restrição</t>
        </is>
      </c>
      <c r="BM1" s="151" t="inlineStr">
        <is>
          <t>restrição</t>
        </is>
      </c>
      <c r="BN1" s="151" t="inlineStr">
        <is>
          <t>o que devolve</t>
        </is>
      </c>
      <c r="BO1" s="151" t="inlineStr">
        <is>
          <t>é de frequência</t>
        </is>
      </c>
      <c r="BP1" s="151" t="inlineStr">
        <is>
          <t>menu de restrição leve</t>
        </is>
      </c>
      <c r="BR1" s="151" t="inlineStr">
        <is>
          <t>passiva</t>
        </is>
      </c>
      <c r="BS1" s="151" t="inlineStr">
        <is>
          <t>classe passiva</t>
        </is>
      </c>
      <c r="BT1" s="151" t="inlineStr">
        <is>
          <t>o que a passiva faz</t>
        </is>
      </c>
      <c r="BU1" s="151" t="inlineStr">
        <is>
          <t>do fundamento</t>
        </is>
      </c>
      <c r="BV1" s="151" t="inlineStr">
        <is>
          <t>da técnica marcial</t>
        </is>
      </c>
      <c r="BW1" s="151" t="inlineStr">
        <is>
          <t>menu de passiva</t>
        </is>
      </c>
      <c r="BX1" s="151" t="inlineStr">
        <is>
          <t>resumo da passiva</t>
        </is>
      </c>
      <c r="BZ1" s="151" t="inlineStr">
        <is>
          <t>classe passiva liberada</t>
        </is>
      </c>
      <c r="CA1" s="151" t="inlineStr">
        <is>
          <t>libera no nível</t>
        </is>
      </c>
      <c r="CC1" s="151" t="inlineStr">
        <is>
          <t>aptidão</t>
        </is>
      </c>
      <c r="CD1" s="151" t="inlineStr">
        <is>
          <t>requisito da aptidão</t>
        </is>
      </c>
      <c r="CE1" s="151" t="inlineStr">
        <is>
          <t>classe passiva da aptidão</t>
        </is>
      </c>
      <c r="CF1" s="151" t="inlineStr">
        <is>
          <t>o que o refino escala</t>
        </is>
      </c>
      <c r="CG1" s="151" t="inlineStr">
        <is>
          <t>o que a aptidão faz</t>
        </is>
      </c>
      <c r="CH1" s="151" t="inlineStr">
        <is>
          <t>menu de aptidão</t>
        </is>
      </c>
      <c r="CI1" s="151" t="inlineStr">
        <is>
          <t>é bênção</t>
        </is>
      </c>
      <c r="CJ1" s="151" t="inlineStr">
        <is>
          <t>é a extensão de domínio</t>
        </is>
      </c>
      <c r="CK1" s="151" t="inlineStr">
        <is>
          <t>de graça</t>
        </is>
      </c>
      <c r="CL1" s="151" t="inlineStr">
        <is>
          <t>resumo da aptidão</t>
        </is>
      </c>
      <c r="CN1" s="151" t="inlineStr">
        <is>
          <t>semente</t>
        </is>
      </c>
      <c r="CP1" s="151" t="inlineStr">
        <is>
          <t>equipamento</t>
        </is>
      </c>
      <c r="CR1" s="151" t="inlineStr">
        <is>
          <t>menu da peça da rota</t>
        </is>
      </c>
      <c r="CT1" s="151" t="inlineStr">
        <is>
          <t>grupo de arma</t>
        </is>
      </c>
      <c r="CU1" s="151" t="inlineStr">
        <is>
          <t>acerta com força</t>
        </is>
      </c>
      <c r="CV1" s="151" t="inlineStr">
        <is>
          <t>acerta com destreza</t>
        </is>
      </c>
      <c r="CW1" s="151" t="inlineStr">
        <is>
          <t>menu de grupo</t>
        </is>
      </c>
      <c r="CY1" s="151" t="inlineStr">
        <is>
          <t>nível da classe 0</t>
        </is>
      </c>
      <c r="CZ1" s="151" t="inlineStr">
        <is>
          <t>quantos de classe 0</t>
        </is>
      </c>
      <c r="DA1" s="151" t="inlineStr">
        <is>
          <t>dados da classe 0</t>
        </is>
      </c>
      <c r="DC1" s="151" t="inlineStr">
        <is>
          <t>nível da liberação</t>
        </is>
      </c>
      <c r="DE1" s="151" t="inlineStr">
        <is>
          <t>classe da liberação</t>
        </is>
      </c>
      <c r="DG1" s="151" t="inlineStr">
        <is>
          <t>nível da técnica máxima</t>
        </is>
      </c>
      <c r="DH1" s="151" t="inlineStr">
        <is>
          <t>dados da técnica máxima</t>
        </is>
      </c>
      <c r="DI1" s="151" t="inlineStr">
        <is>
          <t>pontos de montagem</t>
        </is>
      </c>
      <c r="DK1" s="151" t="inlineStr">
        <is>
          <t>degrau do domínio</t>
        </is>
      </c>
      <c r="DL1" s="151" t="inlineStr">
        <is>
          <t>espaços do degrau</t>
        </is>
      </c>
      <c r="DM1" s="151" t="inlineStr">
        <is>
          <t>nível do degrau</t>
        </is>
      </c>
      <c r="DN1" s="151" t="inlineStr">
        <is>
          <t>refino do degrau</t>
        </is>
      </c>
      <c r="DO1" s="151" t="inlineStr">
        <is>
          <t>o degrau abre em</t>
        </is>
      </c>
      <c r="DQ1" s="151" t="inlineStr">
        <is>
          <t>forma do pacto</t>
        </is>
      </c>
      <c r="DR1" s="151" t="inlineStr">
        <is>
          <t>quando se fecha</t>
        </is>
      </c>
      <c r="DT1" s="151" t="inlineStr">
        <is>
          <t>o pacto concede</t>
        </is>
      </c>
      <c r="DV1" s="151" t="inlineStr">
        <is>
          <t>conta de feitiço</t>
        </is>
      </c>
      <c r="DW1" s="151" t="inlineStr">
        <is>
          <t>liberação</t>
        </is>
      </c>
      <c r="DX1" s="151" t="inlineStr">
        <is>
          <t>vaga</t>
        </is>
      </c>
      <c r="DY1" s="151" t="inlineStr">
        <is>
          <t>classe</t>
        </is>
      </c>
      <c r="DZ1" s="151" t="inlineStr">
        <is>
          <t>nome</t>
        </is>
      </c>
      <c r="EA1" s="151" t="inlineStr">
        <is>
          <t>forma</t>
        </is>
      </c>
      <c r="EB1" s="151" t="inlineStr">
        <is>
          <t>m1</t>
        </is>
      </c>
      <c r="EC1" s="151" t="inlineStr">
        <is>
          <t>m2</t>
        </is>
      </c>
      <c r="ED1" s="151" t="inlineStr">
        <is>
          <t>m3</t>
        </is>
      </c>
      <c r="EE1" s="151" t="inlineStr">
        <is>
          <t>m4</t>
        </is>
      </c>
      <c r="EF1" s="151" t="inlineStr">
        <is>
          <t>r1</t>
        </is>
      </c>
      <c r="EG1" s="151" t="inlineStr">
        <is>
          <t>r2</t>
        </is>
      </c>
      <c r="EH1" s="151" t="inlineStr">
        <is>
          <t>tem</t>
        </is>
      </c>
      <c r="EI1" s="151" t="inlineStr">
        <is>
          <t>lf</t>
        </is>
      </c>
      <c r="EJ1" s="151" t="inlineStr">
        <is>
          <t>k0</t>
        </is>
      </c>
      <c r="EK1" s="151" t="inlineStr">
        <is>
          <t>k1</t>
        </is>
      </c>
      <c r="EL1" s="151" t="inlineStr">
        <is>
          <t>k2</t>
        </is>
      </c>
      <c r="EM1" s="151" t="inlineStr">
        <is>
          <t>k3</t>
        </is>
      </c>
      <c r="EN1" s="151" t="inlineStr">
        <is>
          <t>k4</t>
        </is>
      </c>
      <c r="EO1" s="151" t="inlineStr">
        <is>
          <t>x0</t>
        </is>
      </c>
      <c r="EP1" s="151" t="inlineStr">
        <is>
          <t>x1</t>
        </is>
      </c>
      <c r="EQ1" s="151" t="inlineStr">
        <is>
          <t>x2</t>
        </is>
      </c>
      <c r="ER1" s="151" t="inlineStr">
        <is>
          <t>x3</t>
        </is>
      </c>
      <c r="ES1" s="151" t="inlineStr">
        <is>
          <t>x4</t>
        </is>
      </c>
      <c r="ET1" s="151" t="inlineStr">
        <is>
          <t>ct</t>
        </is>
      </c>
      <c r="EU1" s="151" t="inlineStr">
        <is>
          <t>emb</t>
        </is>
      </c>
      <c r="EV1" s="151" t="inlineStr">
        <is>
          <t>tp</t>
        </is>
      </c>
      <c r="EW1" s="151" t="inlineStr">
        <is>
          <t>tr</t>
        </is>
      </c>
      <c r="EX1" s="151" t="inlineStr">
        <is>
          <t>c1</t>
        </is>
      </c>
      <c r="EY1" s="151" t="inlineStr">
        <is>
          <t>c2</t>
        </is>
      </c>
      <c r="EZ1" s="151" t="inlineStr">
        <is>
          <t>b1</t>
        </is>
      </c>
      <c r="FA1" s="151" t="inlineStr">
        <is>
          <t>b2</t>
        </is>
      </c>
      <c r="FB1" s="151" t="inlineStr">
        <is>
          <t>n1</t>
        </is>
      </c>
      <c r="FC1" s="151" t="inlineStr">
        <is>
          <t>n2</t>
        </is>
      </c>
      <c r="FD1" s="151" t="inlineStr">
        <is>
          <t>n3</t>
        </is>
      </c>
      <c r="FE1" s="151" t="inlineStr">
        <is>
          <t>n4</t>
        </is>
      </c>
      <c r="FF1" s="151" t="inlineStr">
        <is>
          <t>n5</t>
        </is>
      </c>
      <c r="FG1" s="151" t="inlineStr">
        <is>
          <t>n6</t>
        </is>
      </c>
      <c r="FH1" s="151" t="inlineStr">
        <is>
          <t>dL</t>
        </is>
      </c>
      <c r="FI1" s="151" t="inlineStr">
        <is>
          <t>dM</t>
        </is>
      </c>
      <c r="FJ1" s="151" t="inlineStr">
        <is>
          <t>nm</t>
        </is>
      </c>
      <c r="FK1" s="151" t="inlineStr">
        <is>
          <t>nr</t>
        </is>
      </c>
      <c r="FL1" s="151" t="inlineStr">
        <is>
          <t>g</t>
        </is>
      </c>
      <c r="FM1" s="151" t="inlineStr">
        <is>
          <t>dv0</t>
        </is>
      </c>
      <c r="FN1" s="151" t="inlineStr">
        <is>
          <t>dv</t>
        </is>
      </c>
      <c r="FO1" s="151" t="inlineStr">
        <is>
          <t>usa</t>
        </is>
      </c>
      <c r="FP1" s="151" t="inlineStr">
        <is>
          <t>perde</t>
        </is>
      </c>
      <c r="FQ1" s="151" t="inlineStr">
        <is>
          <t>s</t>
        </is>
      </c>
      <c r="FR1" s="151" t="inlineStr">
        <is>
          <t>d</t>
        </is>
      </c>
      <c r="FS1" s="151" t="inlineStr">
        <is>
          <t>dep</t>
        </is>
      </c>
      <c r="FT1" s="151" t="inlineStr">
        <is>
          <t>d1</t>
        </is>
      </c>
      <c r="FU1" s="151" t="inlineStr">
        <is>
          <t>d2</t>
        </is>
      </c>
      <c r="FV1" s="151" t="inlineStr">
        <is>
          <t>d3</t>
        </is>
      </c>
      <c r="FW1" s="151" t="inlineStr">
        <is>
          <t>d4</t>
        </is>
      </c>
      <c r="FX1" s="151" t="inlineStr">
        <is>
          <t>d5</t>
        </is>
      </c>
      <c r="FY1" s="151" t="inlineStr">
        <is>
          <t>d6</t>
        </is>
      </c>
      <c r="FZ1" s="151" t="inlineStr">
        <is>
          <t>d7</t>
        </is>
      </c>
      <c r="GA1" s="151" t="inlineStr">
        <is>
          <t>t1</t>
        </is>
      </c>
      <c r="GB1" s="151" t="inlineStr">
        <is>
          <t>t2</t>
        </is>
      </c>
      <c r="GC1" s="151" t="inlineStr">
        <is>
          <t>t3</t>
        </is>
      </c>
      <c r="GD1" s="151" t="inlineStr">
        <is>
          <t>t4</t>
        </is>
      </c>
      <c r="GE1" s="151" t="inlineStr">
        <is>
          <t>t5</t>
        </is>
      </c>
      <c r="GF1" s="151" t="inlineStr">
        <is>
          <t>t6</t>
        </is>
      </c>
      <c r="GG1" s="151" t="inlineStr">
        <is>
          <t>t7</t>
        </is>
      </c>
      <c r="GH1" s="151" t="inlineStr">
        <is>
          <t>erros</t>
        </is>
      </c>
      <c r="GI1" s="151" t="inlineStr">
        <is>
          <t>ne</t>
        </is>
      </c>
      <c r="GJ1" s="151" t="inlineStr">
        <is>
          <t>avisos</t>
        </is>
      </c>
      <c r="GK1" s="151" t="inlineStr">
        <is>
          <t>na</t>
        </is>
      </c>
      <c r="GL1" s="151" t="inlineStr">
        <is>
          <t>estado</t>
        </is>
      </c>
      <c r="GM1" s="151" t="inlineStr">
        <is>
          <t>linha</t>
        </is>
      </c>
      <c r="GN1" s="151" t="inlineStr">
        <is>
          <t>pe</t>
        </is>
      </c>
      <c r="GO1" s="151" t="inlineStr">
        <is>
          <t>acao</t>
        </is>
      </c>
      <c r="GP1" s="151" t="inlineStr">
        <is>
          <t>resolve</t>
        </is>
      </c>
      <c r="GQ1" s="151" t="inlineStr">
        <is>
          <t>dano</t>
        </is>
      </c>
      <c r="GR1" s="151" t="inlineStr">
        <is>
          <t>lg</t>
        </is>
      </c>
      <c r="GS1" s="151" t="inlineStr">
        <is>
          <t>mr</t>
        </is>
      </c>
      <c r="GT1" s="151" t="inlineStr">
        <is>
          <t>q1</t>
        </is>
      </c>
      <c r="GU1" s="151" t="inlineStr">
        <is>
          <t>q2</t>
        </is>
      </c>
      <c r="GV1" s="151" t="inlineStr">
        <is>
          <t>alcance</t>
        </is>
      </c>
      <c r="GW1" s="151" t="inlineStr">
        <is>
          <t>conta</t>
        </is>
      </c>
      <c r="GX1" s="151" t="inlineStr">
        <is>
          <t>ampliar</t>
        </is>
      </c>
      <c r="GY1" s="151" t="inlineStr">
        <is>
          <t>pt1</t>
        </is>
      </c>
      <c r="GZ1" s="151" t="inlineStr">
        <is>
          <t>pt2</t>
        </is>
      </c>
      <c r="HA1" s="151" t="inlineStr">
        <is>
          <t>pt3</t>
        </is>
      </c>
      <c r="HB1" s="151" t="inlineStr">
        <is>
          <t>pt4</t>
        </is>
      </c>
      <c r="HC1" s="151" t="inlineStr">
        <is>
          <t>dt1</t>
        </is>
      </c>
      <c r="HD1" s="151" t="inlineStr">
        <is>
          <t>dt2</t>
        </is>
      </c>
      <c r="HE1" s="151" t="inlineStr">
        <is>
          <t>como</t>
        </is>
      </c>
      <c r="HF1" s="151" t="inlineStr">
        <is>
          <t>ordem</t>
        </is>
      </c>
      <c r="HH1" s="151" t="inlineStr">
        <is>
          <t>contas da amaldiçoada</t>
        </is>
      </c>
      <c r="HI1" s="151" t="inlineStr">
        <is>
          <t>valor da amaldiçoada</t>
        </is>
      </c>
      <c r="HK1" s="151" t="inlineStr">
        <is>
          <t>carta de passiva</t>
        </is>
      </c>
      <c r="HL1" s="151" t="inlineStr">
        <is>
          <t>passiva anotada</t>
        </is>
      </c>
      <c r="HM1" s="151" t="inlineStr">
        <is>
          <t>classe passiva anotada</t>
        </is>
      </c>
      <c r="HN1" s="151" t="inlineStr">
        <is>
          <t>nível que libera</t>
        </is>
      </c>
      <c r="HO1" s="151" t="inlineStr">
        <is>
          <t>o que ela faz</t>
        </is>
      </c>
      <c r="HP1" s="151" t="inlineStr">
        <is>
          <t>classe passiva na carta</t>
        </is>
      </c>
      <c r="HQ1" s="151" t="inlineStr">
        <is>
          <t>custo na carta</t>
        </is>
      </c>
      <c r="HR1" s="151" t="inlineStr">
        <is>
          <t>seu texto da passiva</t>
        </is>
      </c>
      <c r="HS1" s="151" t="inlineStr">
        <is>
          <t>ordem da passiva</t>
        </is>
      </c>
      <c r="HU1" s="151" t="inlineStr">
        <is>
          <t>carta de aptidão</t>
        </is>
      </c>
      <c r="HV1" s="151" t="inlineStr">
        <is>
          <t>aptidão anotada</t>
        </is>
      </c>
      <c r="HW1" s="151" t="inlineStr">
        <is>
          <t>requisito na carta</t>
        </is>
      </c>
      <c r="HX1" s="151" t="inlineStr">
        <is>
          <t>classe passiva na carta de aptidão</t>
        </is>
      </c>
      <c r="HY1" s="151" t="inlineStr">
        <is>
          <t>o refino escala na carta</t>
        </is>
      </c>
      <c r="HZ1" s="151" t="inlineStr">
        <is>
          <t>o que a aptidão anotada faz</t>
        </is>
      </c>
      <c r="IA1" s="151" t="inlineStr">
        <is>
          <t>seu texto da aptidão</t>
        </is>
      </c>
      <c r="IB1" s="151" t="inlineStr">
        <is>
          <t>ordem da aptidão</t>
        </is>
      </c>
      <c r="ID1" s="151" t="inlineStr">
        <is>
          <t>classe 0 anotada</t>
        </is>
      </c>
      <c r="IE1" s="151" t="inlineStr">
        <is>
          <t>forma da classe 0</t>
        </is>
      </c>
      <c r="IF1" s="151" t="inlineStr">
        <is>
          <t>melhoria da classe 0</t>
        </is>
      </c>
      <c r="IG1" s="151" t="inlineStr">
        <is>
          <t>restrição da classe 0</t>
        </is>
      </c>
      <c r="IH1" s="151" t="inlineStr">
        <is>
          <t>linha da forma</t>
        </is>
      </c>
      <c r="II1" s="151" t="inlineStr">
        <is>
          <t>dados dela</t>
        </is>
      </c>
      <c r="IJ1" s="151" t="inlineStr">
        <is>
          <t>dano na carta</t>
        </is>
      </c>
      <c r="IK1" s="151" t="inlineStr">
        <is>
          <t>alcance na carta</t>
        </is>
      </c>
      <c r="IM1" s="151" t="inlineStr">
        <is>
          <t>salto</t>
        </is>
      </c>
      <c r="IN1" s="151" t="inlineStr">
        <is>
          <t>caixa do salto</t>
        </is>
      </c>
      <c r="IO1" s="151" t="inlineStr">
        <is>
          <t>alvo do salto</t>
        </is>
      </c>
      <c r="IP1" s="151" t="inlineStr">
        <is>
          <t>nome do salto</t>
        </is>
      </c>
      <c r="IR1" s="151" t="inlineStr">
        <is>
          <t>habilidade: carta</t>
        </is>
      </c>
      <c r="IS1" s="151" t="inlineStr">
        <is>
          <t>nível da carta</t>
        </is>
      </c>
      <c r="IT1" s="151" t="inlineStr">
        <is>
          <t>etiqueta da carta</t>
        </is>
      </c>
      <c r="IU1" s="151" t="inlineStr">
        <is>
          <t>célula do nome</t>
        </is>
      </c>
      <c r="IV1" s="151" t="inlineStr">
        <is>
          <t>célula do texto</t>
        </is>
      </c>
      <c r="IX1" s="151" t="inlineStr">
        <is>
          <t>habilidade livre: carta</t>
        </is>
      </c>
      <c r="IY1" s="151" t="inlineStr">
        <is>
          <t>célula do texto livre</t>
        </is>
      </c>
      <c r="JA1" s="151" t="inlineStr">
        <is>
          <t>habilidades: título</t>
        </is>
      </c>
      <c r="JB1" s="151" t="inlineStr">
        <is>
          <t>texto do título</t>
        </is>
      </c>
      <c r="JD1" s="151" t="inlineStr">
        <is>
          <t>menu: feitiço</t>
        </is>
      </c>
      <c r="JE1" s="151" t="inlineStr">
        <is>
          <t>lugar na conta</t>
        </is>
      </c>
      <c r="JF1" s="151" t="inlineStr">
        <is>
          <t>menu: classe</t>
        </is>
      </c>
      <c r="JG1" s="151" t="inlineStr">
        <is>
          <t>menu: nome</t>
        </is>
      </c>
      <c r="JH1" s="151" t="inlineStr">
        <is>
          <t>menu: pe</t>
        </is>
      </c>
      <c r="JI1" s="151" t="inlineStr">
        <is>
          <t>menu: forma</t>
        </is>
      </c>
      <c r="JJ1" s="151" t="inlineStr">
        <is>
          <t>menu: resolve</t>
        </is>
      </c>
      <c r="JK1" s="151" t="inlineStr">
        <is>
          <t>menu: como</t>
        </is>
      </c>
      <c r="JM1" s="151" t="inlineStr">
        <is>
          <t>menu: liberação</t>
        </is>
      </c>
      <c r="JN1" s="151" t="inlineStr">
        <is>
          <t>menu da liberação: classe</t>
        </is>
      </c>
      <c r="JO1" s="151" t="inlineStr">
        <is>
          <t>menu da liberação: nome</t>
        </is>
      </c>
      <c r="JP1" s="151" t="inlineStr">
        <is>
          <t>menu da liberação: pe</t>
        </is>
      </c>
      <c r="JQ1" s="151" t="inlineStr">
        <is>
          <t>menu da liberação: forma</t>
        </is>
      </c>
      <c r="JR1" s="151" t="inlineStr">
        <is>
          <t>menu da liberação: resolve</t>
        </is>
      </c>
      <c r="JS1" s="151" t="inlineStr">
        <is>
          <t>menu da liberação: como</t>
        </is>
      </c>
      <c r="JU1" s="151" t="inlineStr">
        <is>
          <t>menu: carta larga</t>
        </is>
      </c>
      <c r="JV1" s="151" t="inlineStr">
        <is>
          <t>nome dela</t>
        </is>
      </c>
      <c r="JW1" s="151" t="inlineStr">
        <is>
          <t>pe dela</t>
        </is>
      </c>
      <c r="JX1" s="151" t="inlineStr">
        <is>
          <t>forma dela</t>
        </is>
      </c>
      <c r="JY1" s="151" t="inlineStr">
        <is>
          <t>resolve dela</t>
        </is>
      </c>
      <c r="JZ1" s="151" t="inlineStr">
        <is>
          <t>como é dela</t>
        </is>
      </c>
      <c r="KB1" s="151" t="inlineStr">
        <is>
          <t>menu: passiva</t>
        </is>
      </c>
      <c r="KC1" s="151" t="inlineStr">
        <is>
          <t>lugar da passiva</t>
        </is>
      </c>
      <c r="KD1" s="151" t="inlineStr">
        <is>
          <t>classe passiva no menu</t>
        </is>
      </c>
      <c r="KE1" s="151" t="inlineStr">
        <is>
          <t>passiva no menu</t>
        </is>
      </c>
      <c r="KF1" s="151" t="inlineStr">
        <is>
          <t>texto da passiva no menu</t>
        </is>
      </c>
      <c r="KH1" s="151" t="inlineStr">
        <is>
          <t>menu: aptidão</t>
        </is>
      </c>
      <c r="KI1" s="151" t="inlineStr">
        <is>
          <t>lugar da aptidão</t>
        </is>
      </c>
      <c r="KJ1" s="151" t="inlineStr">
        <is>
          <t>classe passiva da aptidão no menu</t>
        </is>
      </c>
      <c r="KK1" s="151" t="inlineStr">
        <is>
          <t>aptidão no menu</t>
        </is>
      </c>
      <c r="KL1" s="151" t="inlineStr">
        <is>
          <t>texto da aptidão no menu</t>
        </is>
      </c>
      <c r="KN1" s="151" t="inlineStr">
        <is>
          <t>menu: rótulo</t>
        </is>
      </c>
      <c r="KO1" s="151" t="inlineStr">
        <is>
          <t>texto do rótulo</t>
        </is>
      </c>
      <c r="KQ1" s="151" t="inlineStr">
        <is>
          <t>caixa calculada</t>
        </is>
      </c>
      <c r="KR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L2" s="150" t="inlineStr">
        <is>
          <t>Corpo a Corpo</t>
        </is>
      </c>
      <c r="BM2" s="150" t="inlineStr">
        <is>
          <t>Corpo a Corpo</t>
        </is>
      </c>
      <c r="BN2" s="152" t="n">
        <v>2</v>
      </c>
      <c r="BO2" s="152" t="n">
        <v>0</v>
      </c>
      <c r="BP2" s="150" t="inlineStr"/>
      <c r="BR2" s="150" t="inlineStr">
        <is>
          <t>Leitura</t>
        </is>
      </c>
      <c r="BS2" s="152" t="n">
        <v>1</v>
      </c>
      <c r="BT2" s="150" t="inlineStr">
        <is>
          <t>Você identifica a Classe e a Forma de qualquer feitiço conjurado a até 18 m de você. A informação não fornece a montagem completa, o custo de cada peça ou a localização de um alvo oculto.</t>
        </is>
      </c>
      <c r="BU2" s="152" t="n">
        <v>1</v>
      </c>
      <c r="BV2" s="152" t="n">
        <v>1</v>
      </c>
      <c r="BW2" s="152">
        <f>IF(OR(AND($A$2&lt;=2,$BU2=1),AND($A$2&gt;=2,$BV2=1)),$BR2,"")</f>
        <v/>
      </c>
      <c r="BX2" s="150" t="inlineStr">
        <is>
          <t>Você identifica a Classe e a Forma de qualquer feitiço conjurado a até 18 m de você. A informação não fornece a montagem completa, o custo de cada peça ou a localização de um alvo oculto.</t>
        </is>
      </c>
      <c r="BZ2" s="152" t="n">
        <v>1</v>
      </c>
      <c r="CA2" s="152" t="n">
        <v>1</v>
      </c>
      <c r="CC2" s="150" t="inlineStr">
        <is>
          <t>Cobrir-se de Energia</t>
        </is>
      </c>
      <c r="CD2" s="150" t="inlineStr">
        <is>
          <t>Gratuita no Refino 1</t>
        </is>
      </c>
      <c r="CE2" s="150" t="inlineStr">
        <is>
          <t>—</t>
        </is>
      </c>
      <c r="CF2" s="150" t="inlineStr">
        <is>
          <t>Proteção e Redução de Dano da Reação</t>
        </is>
      </c>
      <c r="CG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52">
        <f>IF($CK2=1,"",IF($A$2=4,IF($CI2=1,$CC2,""),IF(OR($CI2=1,AND($A$2=3,$CJ2=1)),"",$CC2)))</f>
        <v/>
      </c>
      <c r="CI2" s="152" t="n">
        <v>0</v>
      </c>
      <c r="CJ2" s="152" t="n">
        <v>0</v>
      </c>
      <c r="CK2" s="152" t="n">
        <v>1</v>
      </c>
      <c r="CL2" s="150" t="inlineStr">
        <is>
          <t>A energia que envolve seu corpo concede proteção e pode ser concentrada para amortecer um golpe.</t>
        </is>
      </c>
      <c r="CN2" s="150" t="inlineStr">
        <is>
          <t>Domínio Simples</t>
        </is>
      </c>
      <c r="CP2" s="150" t="inlineStr">
        <is>
          <t>Três grupos de arma</t>
        </is>
      </c>
      <c r="CR2" s="152">
        <f>IF($A$2=2,IFERROR(INDEX($CN$2:$CN$5,1),""),IF($A$2&gt;=3,IFERROR(INDEX($CP$2:$CP$4,1),""),""))</f>
        <v/>
      </c>
      <c r="CT2" s="150" t="inlineStr">
        <is>
          <t>Porrete</t>
        </is>
      </c>
      <c r="CU2" s="152" t="n">
        <v>1</v>
      </c>
      <c r="CV2" s="152" t="n">
        <v>0</v>
      </c>
      <c r="CW2" s="152">
        <f>IF(AND($A$2&gt;=3,'FICHA AMALDIÇOADA'!$J$16&amp;""="Três grupos de arma"),$CT2,"")</f>
        <v/>
      </c>
      <c r="CY2" s="152" t="n">
        <v>1</v>
      </c>
      <c r="CZ2" s="152" t="n">
        <v>2</v>
      </c>
      <c r="DA2" s="152" t="n">
        <v>2</v>
      </c>
      <c r="DC2" s="152" t="n">
        <v>10</v>
      </c>
      <c r="DE2" s="152" t="n">
        <v>3</v>
      </c>
      <c r="DG2" s="152" t="n">
        <v>17</v>
      </c>
      <c r="DH2" s="152" t="n">
        <v>24</v>
      </c>
      <c r="DI2" s="152" t="n">
        <v>8</v>
      </c>
      <c r="DK2" s="150" t="inlineStr">
        <is>
          <t>Incompleta</t>
        </is>
      </c>
      <c r="DL2" s="152" t="n">
        <v>2</v>
      </c>
      <c r="DM2" s="152" t="n">
        <v>10</v>
      </c>
      <c r="DN2" s="152" t="n">
        <v>4</v>
      </c>
      <c r="DO2" s="150" t="inlineStr">
        <is>
          <t>Nível 10 e refino 4</t>
        </is>
      </c>
      <c r="DQ2" s="150" t="inlineStr">
        <is>
          <t>Permanente</t>
        </is>
      </c>
      <c r="DR2" s="150" t="inlineStr">
        <is>
          <t>Fora de cena, com registro aprovado</t>
        </is>
      </c>
      <c r="DT2" s="150" t="inlineStr">
        <is>
          <t>Uma aptidão</t>
        </is>
      </c>
      <c r="DV2" s="150" t="inlineStr">
        <is>
          <t>Feitiço 1</t>
        </is>
      </c>
      <c r="DW2" s="152" t="n">
        <v>0</v>
      </c>
      <c r="DX2" s="152" t="n">
        <v>1</v>
      </c>
      <c r="DY2" s="152">
        <f>MAX(1,MIN(7,N('FICHA AMALDIÇOADA'!$D$51)))</f>
        <v/>
      </c>
      <c r="DZ2" s="152">
        <f>'FICHA AMALDIÇOADA'!$E$51&amp;""</f>
        <v/>
      </c>
      <c r="EA2" s="152">
        <f>'FICHA AMALDIÇOADA'!$D$58&amp;""</f>
        <v/>
      </c>
      <c r="EB2" s="152">
        <f>'FICHA AMALDIÇOADA'!$E$60&amp;""</f>
        <v/>
      </c>
      <c r="EC2" s="152">
        <f>'FICHA AMALDIÇOADA'!$E$61&amp;""</f>
        <v/>
      </c>
      <c r="ED2" s="152">
        <f>'FICHA AMALDIÇOADA'!$E$62&amp;""</f>
        <v/>
      </c>
      <c r="EE2" s="152">
        <f>'FICHA AMALDIÇOADA'!$E$63&amp;""</f>
        <v/>
      </c>
      <c r="EF2" s="152">
        <f>'FICHA AMALDIÇOADA'!$E$64&amp;""</f>
        <v/>
      </c>
      <c r="EG2" s="152">
        <f>'FICHA AMALDIÇOADA'!$E$65&amp;""</f>
        <v/>
      </c>
      <c r="EH2" s="152">
        <f>IF($DZ2&lt;&gt;"",1,0)</f>
        <v/>
      </c>
      <c r="EI2" s="152">
        <f>IFERROR(MATCH($EA2,$Y$2:$Y$11,0),0)</f>
        <v/>
      </c>
      <c r="EJ2" s="152">
        <f>IF($EI2=0,0,INDEX($AB$2:$AB$11,$EI2))</f>
        <v/>
      </c>
      <c r="EK2" s="152">
        <f>IFERROR(VLOOKUP($EB2,$BC$2:$BJ$84,4,FALSE),0)</f>
        <v/>
      </c>
      <c r="EL2" s="152">
        <f>IFERROR(VLOOKUP($EC2,$BC$2:$BJ$84,4,FALSE),0)</f>
        <v/>
      </c>
      <c r="EM2" s="152">
        <f>IFERROR(VLOOKUP($ED2,$BC$2:$BJ$84,4,FALSE),0)</f>
        <v/>
      </c>
      <c r="EN2" s="152">
        <f>IFERROR(VLOOKUP($EE2,$BC$2:$BJ$84,4,FALSE),0)</f>
        <v/>
      </c>
      <c r="EO2" s="152">
        <f>IF($EI2=0,0,INDEX($AC$2:$AC$11,$EI2))</f>
        <v/>
      </c>
      <c r="EP2" s="152">
        <f>IFERROR(VLOOKUP($EB2,$BC$2:$BJ$84,5,FALSE),0)</f>
        <v/>
      </c>
      <c r="EQ2" s="152">
        <f>IFERROR(VLOOKUP($EC2,$BC$2:$BJ$84,5,FALSE),0)</f>
        <v/>
      </c>
      <c r="ER2" s="152">
        <f>IFERROR(VLOOKUP($ED2,$BC$2:$BJ$84,5,FALSE),0)</f>
        <v/>
      </c>
      <c r="ES2" s="152">
        <f>IFERROR(VLOOKUP($EE2,$BC$2:$BJ$84,5,FALSE),0)</f>
        <v/>
      </c>
      <c r="ET2" s="152">
        <f>IFERROR(VLOOKUP($EB2,$BC$2:$BJ$84,6,FALSE),0)+IFERROR(VLOOKUP($EC2,$BC$2:$BJ$84,6,FALSE),0)+IFERROR(VLOOKUP($ED2,$BC$2:$BJ$84,6,FALSE),0)+IFERROR(VLOOKUP($EE2,$BC$2:$BJ$84,6,FALSE),0)</f>
        <v/>
      </c>
      <c r="EU2" s="152">
        <f>IF($EI2=0,0,INDEX($AD$2:$AD$11,$EI2))</f>
        <v/>
      </c>
      <c r="EV2" s="152">
        <f>IF($EI2=0,0,INDEX($AE$2:$AE$11,$EI2))</f>
        <v/>
      </c>
      <c r="EW2" s="152">
        <f>IF($EI2=0,0,INDEX($AG$2:$AG$11,$EI2))</f>
        <v/>
      </c>
      <c r="EX2" s="152">
        <f>IFERROR(VLOOKUP($EF2,$BL$2:$BP$24,3,FALSE),0)</f>
        <v/>
      </c>
      <c r="EY2" s="152">
        <f>IFERROR(VLOOKUP($EG2,$BL$2:$BP$24,3,FALSE),0)</f>
        <v/>
      </c>
      <c r="EZ2" s="152">
        <f>IFERROR(VLOOKUP($EF2,$BL$2:$BP$24,2,FALSE),"")</f>
        <v/>
      </c>
      <c r="FA2" s="152">
        <f>IFERROR(VLOOKUP($EG2,$BL$2:$BP$24,2,FALSE),"")</f>
        <v/>
      </c>
      <c r="FB2" s="152">
        <f>COUNTIF($EJ2:$EN2,1)</f>
        <v/>
      </c>
      <c r="FC2" s="152">
        <f>COUNTIF($EJ2:$EN2,2)</f>
        <v/>
      </c>
      <c r="FD2" s="152">
        <f>COUNTIF($EJ2:$EN2,3)</f>
        <v/>
      </c>
      <c r="FE2" s="152">
        <f>COUNTIF($EJ2:$EN2,4)</f>
        <v/>
      </c>
      <c r="FF2" s="152">
        <f>COUNTIF($EJ2:$EN2,5)</f>
        <v/>
      </c>
      <c r="FG2" s="152">
        <f>COUNTIF($EJ2:$EN2,6)</f>
        <v/>
      </c>
      <c r="FH2" s="152">
        <f>COUNTIF($EX2:$EY2,1)</f>
        <v/>
      </c>
      <c r="FI2" s="152">
        <f>COUNTIF($EX2:$EY2,2)+$EU2</f>
        <v/>
      </c>
      <c r="FJ2" s="152">
        <f>COUNTIF($EB2:$EE2,"?*")</f>
        <v/>
      </c>
      <c r="FK2" s="152">
        <f>COUNTIF($EF2:$EG2,"?*")+$EU2</f>
        <v/>
      </c>
      <c r="FL2" s="152">
        <f>SUMPRODUCT($FB2:$FG2,INDEX($Q$2:$V$8,$DY2,0))</f>
        <v/>
      </c>
      <c r="FM2" s="152">
        <f>$FH2*CEILING($DY2/2,1)+$FI2*$DY2</f>
        <v/>
      </c>
      <c r="FN2" s="152">
        <f>MIN(2*$DY2,$FM2)</f>
        <v/>
      </c>
      <c r="FO2" s="152">
        <f>MIN($FN2,$FL2)</f>
        <v/>
      </c>
      <c r="FP2" s="152">
        <f>$FN2-$FO2</f>
        <v/>
      </c>
      <c r="FQ2" s="152">
        <f>3*$DY2-$FL2+$FO2</f>
        <v/>
      </c>
      <c r="FR2" s="152">
        <f>MAX(0,$FQ2)+$DW2*$DY2</f>
        <v/>
      </c>
      <c r="FS2" s="152">
        <f>(IF(COUNTIF($EB2:$EE2,"Salto")&gt;0,1,0)+IF(COUNTIF($EB2:$EE2,"Queima")&gt;0,1,0)+IF(COUNTIF($EB2:$EE2,"Estilhaço")&gt;0,1,0))*FLOOR($FR2/2,1)</f>
        <v/>
      </c>
      <c r="FT2" s="152">
        <f>MAX(0,3-SUMPRODUCT($FB2:$FG2,$Q$2:$V$2)+MIN(2,$FH2*1+$FI2*1,SUMPRODUCT($FB2:$FG2,$Q$2:$V$2)))+$DW2*1</f>
        <v/>
      </c>
      <c r="FU2" s="152">
        <f>MAX(0,6-SUMPRODUCT($FB2:$FG2,$Q$3:$V$3)+MIN(4,$FH2*1+$FI2*2,SUMPRODUCT($FB2:$FG2,$Q$3:$V$3)))+$DW2*2</f>
        <v/>
      </c>
      <c r="FV2" s="152">
        <f>MAX(0,9-SUMPRODUCT($FB2:$FG2,$Q$4:$V$4)+MIN(6,$FH2*2+$FI2*3,SUMPRODUCT($FB2:$FG2,$Q$4:$V$4)))+$DW2*3</f>
        <v/>
      </c>
      <c r="FW2" s="152">
        <f>MAX(0,12-SUMPRODUCT($FB2:$FG2,$Q$5:$V$5)+MIN(8,$FH2*2+$FI2*4,SUMPRODUCT($FB2:$FG2,$Q$5:$V$5)))+$DW2*4</f>
        <v/>
      </c>
      <c r="FX2" s="152">
        <f>MAX(0,15-SUMPRODUCT($FB2:$FG2,$Q$6:$V$6)+MIN(10,$FH2*3+$FI2*5,SUMPRODUCT($FB2:$FG2,$Q$6:$V$6)))+$DW2*5</f>
        <v/>
      </c>
      <c r="FY2" s="152">
        <f>MAX(0,18-SUMPRODUCT($FB2:$FG2,$Q$7:$V$7)+MIN(12,$FH2*3+$FI2*6,SUMPRODUCT($FB2:$FG2,$Q$7:$V$7)))+$DW2*6</f>
        <v/>
      </c>
      <c r="FZ2" s="152">
        <f>MAX(0,21-SUMPRODUCT($FB2:$FG2,$Q$8:$V$8)+MIN(14,$FH2*4+$FI2*7,SUMPRODUCT($FB2:$FG2,$Q$8:$V$8)))+$DW2*7</f>
        <v/>
      </c>
      <c r="GA2" s="152">
        <f>IF($EV2=2,3*$FT2&amp;" de vida temp.",IF($EV2=3,"sem dano",IF($FT2=0,IF($EV2=1,"sem cura","sem dano"),IF($EV2=1,"cura ","")&amp;$FT2&amp;"d8")))</f>
        <v/>
      </c>
      <c r="GB2" s="152">
        <f>IF($EV2=2,3*$FU2&amp;" de vida temp.",IF($EV2=3,"sem dano",IF($FU2=0,IF($EV2=1,"sem cura","sem dano"),IF($EV2=1,"cura ","")&amp;$FU2&amp;"d8")))</f>
        <v/>
      </c>
      <c r="GC2" s="152">
        <f>IF($EV2=2,3*$FV2&amp;" de vida temp.",IF($EV2=3,"sem dano",IF($FV2=0,IF($EV2=1,"sem cura","sem dano"),IF($EV2=1,"cura ","")&amp;$FV2&amp;"d8")))</f>
        <v/>
      </c>
      <c r="GD2" s="152">
        <f>IF($EV2=2,3*$FW2&amp;" de vida temp.",IF($EV2=3,"sem dano",IF($FW2=0,IF($EV2=1,"sem cura","sem dano"),IF($EV2=1,"cura ","")&amp;$FW2&amp;"d8")))</f>
        <v/>
      </c>
      <c r="GE2" s="152">
        <f>IF($EV2=2,3*$FX2&amp;" de vida temp.",IF($EV2=3,"sem dano",IF($FX2=0,IF($EV2=1,"sem cura","sem dano"),IF($EV2=1,"cura ","")&amp;$FX2&amp;"d8")))</f>
        <v/>
      </c>
      <c r="GF2" s="152">
        <f>IF($EV2=2,3*$FY2&amp;" de vida temp.",IF($EV2=3,"sem dano",IF($FY2=0,IF($EV2=1,"sem cura","sem dano"),IF($EV2=1,"cura ","")&amp;$FY2&amp;"d8")))</f>
        <v/>
      </c>
      <c r="GG2" s="152">
        <f>IF($EV2=2,3*$FZ2&amp;" de vida temp.",IF($EV2=3,"sem dano",IF($FZ2=0,IF($EV2=1,"sem cura","sem dano"),IF($EV2=1,"cura ","")&amp;$FZ2&amp;"d8")))</f>
        <v/>
      </c>
      <c r="GH2" s="152">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52">
        <f>IF($GH2="",0,(LEN($GH2)-LEN(SUBSTITUTE($GH2," · ","")))/3+1)</f>
        <v/>
      </c>
      <c r="GJ2" s="152">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52">
        <f>IF($GJ2="",0,(LEN($GJ2)-LEN(SUBSTITUTE($GJ2," · ","")))/3+1)</f>
        <v/>
      </c>
      <c r="GL2" s="152">
        <f>IF($EH2=0,IF($FJ2+$FK2-$EU2&gt;0,"Dê um nome",""),IF($GI2&gt;0,"⚠ "&amp;$GI2&amp;IF($GI2&gt;1," erros"," erro"),IF($GK2&gt;0,"! "&amp;$GK2&amp;IF($GK2&gt;1," avisos"," aviso"),"Na regra")))</f>
        <v/>
      </c>
      <c r="GM2" s="152">
        <f>IF($EH2=0,"",IF($GI2+$GK2=0,"Dentro das regras que a ficha confere",$GH2&amp;IF(AND($GI2&gt;0,$GK2&gt;0)," · ","")&amp;$GJ2))</f>
        <v/>
      </c>
      <c r="GN2" s="152">
        <f>IF($EH2=0,"",IF($DW2=1,CEILING(4.5*$DY2,1),3*$DY2)&amp;" PE")</f>
        <v/>
      </c>
      <c r="GO2" s="152">
        <f>IF($EH2=0,"",IF($DW2=1,"Rodada inteira",IF(COUNTIF($EZ2:$FA2,"Atrasar")&gt;0,IF(COUNTIF($EZ2:$FA2,"Carregar")&gt;0,"Rodada +1 turno","Rodada inteira"),IF(COUNTIF($EB2:$EE2,"Rápido")&gt;0,"Bônus",IF(COUNTIF($EB2:$EE2,"Reação")&gt;0,"Reação","Padrão"))&amp;IF(COUNTIF($EZ2:$FA2,"Carregar")&gt;0," +1 turno",""))))</f>
        <v/>
      </c>
      <c r="GP2" s="152">
        <f>IF(OR($EH2=0,$EI2=0),"",IF(COUNTIF($EB2:$EE2,"Inescapável")&gt;0,"Automático",IF(COUNTIF($EB2:$EE2,"Certeiro")&gt;0,"TR para metade",INDEX($AF$2:$AF$11,$EI2))))</f>
        <v/>
      </c>
      <c r="GQ2" s="152">
        <f>IF(OR($EH2=0,$EI2=0),"",IF(OR($EV2&gt;=2,$FR2=0),UPPER(LEFT(INDEX($GA2:$GG2,1,$DY2),1))&amp;MID(INDEX($GA2:$GG2,1,$DY2),2,99),UPPER(LEFT(INDEX($GA2:$GG2,1,$DY2),1))&amp;MID(INDEX($GA2:$GG2,1,$DY2),2,99)&amp;" = "&amp;FLOOR($FR2*4.5,1)&amp;IF($FS2&gt;0," · +"&amp;$FS2&amp;"d8","")))</f>
        <v/>
      </c>
      <c r="GR2" s="152">
        <f>COUNTIF($EB2:$EE2,"Longe")+3*COUNTIF($EB2:$EE2,"Muito Longe")</f>
        <v/>
      </c>
      <c r="GS2" s="152">
        <f>COUNTIF($EB2:$EE2,"Maior")+3*COUNTIF($EB2:$EE2,"Muito Maior")</f>
        <v/>
      </c>
      <c r="GT2" s="152">
        <f>IF($EI2=0,0,CHOOSE(1+INDEX($AH$2:$AH$11,$EI2),0,$GR2,$GS2,$GR2+$GS2))</f>
        <v/>
      </c>
      <c r="GU2" s="152">
        <f>IF($EI2=0,0,CHOOSE(1+INDEX($AI$2:$AI$11,$EI2),0,$GR2,$GS2,$GR2+$GS2))</f>
        <v/>
      </c>
      <c r="GV2" s="152">
        <f>IF(OR($EH2=0,$EI2=0),"",INDEX($AP$2:$AU$31,($EI2-1)*3+IF($DY2&gt;=6,3,2),1+MIN(5,$GT2))&amp;INDEX($AV$2:$BA$31,($EI2-1)*3+IF($DY2&gt;=6,3,2),1+MIN(5,$GU2))&amp;IF(INDEX($AJ$2:$AJ$11,$EI2)=1,IF(COUNTIF($EB2:$EE2,"Mais Um")&gt;0," · +"&amp;COUNTIF($EB2:$EE2,"Mais Um")&amp;IF(COUNTIF($EB2:$EE2,"Mais Um")&gt;1," alvos"," alvo"),"")&amp;IF(COUNTIF($EB2:$EE2,"Rajada")&gt;0," · "&amp;($DY2+1)&amp;" tiros",""),""))</f>
        <v/>
      </c>
      <c r="GW2" s="152">
        <f>IF($EH2=0,"",3*$DY2&amp;" − "&amp;$FL2&amp;" + "&amp;$FO2&amp;IF($DW2=1," + "&amp;$DY2,"")&amp;" = "&amp;$FR2&amp;"d8 · teto "&amp;4*$DY2&amp;IF($EU2=1," · a Forma devolve "&amp;$DY2,"")&amp;IF($FP2&gt;0," · perde "&amp;$FP2,""))</f>
        <v/>
      </c>
      <c r="GX2" s="152">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52">
        <f>IF(OR($EH2=0,$EK2=0),"","−"&amp;INDEX($Q$2:$V$8,$DY2,$EK2)&amp;" · "&amp;CHOOSE($EK2,"Leve","Média","Pesada","Leve · Livre","Média · Livre","Pesada · Livre"))</f>
        <v/>
      </c>
      <c r="GZ2" s="152">
        <f>IF(OR($EH2=0,$EL2=0),"","−"&amp;INDEX($Q$2:$V$8,$DY2,$EL2)&amp;" · "&amp;CHOOSE($EL2,"Leve","Média","Pesada","Leve · Livre","Média · Livre","Pesada · Livre"))</f>
        <v/>
      </c>
      <c r="HA2" s="152">
        <f>IF(OR($EH2=0,$EM2=0),"","−"&amp;INDEX($Q$2:$V$8,$DY2,$EM2)&amp;" · "&amp;CHOOSE($EM2,"Leve","Média","Pesada","Leve · Livre","Média · Livre","Pesada · Livre"))</f>
        <v/>
      </c>
      <c r="HB2" s="152">
        <f>IF(OR($EH2=0,$EN2=0),"","−"&amp;INDEX($Q$2:$V$8,$DY2,$EN2)&amp;" · "&amp;CHOOSE($EN2,"Leve","Média","Pesada","Leve · Livre","Média · Livre","Pesada · Livre"))</f>
        <v/>
      </c>
      <c r="HC2" s="152">
        <f>IF(OR($EH2=0,$EF2=""),"","+"&amp;IF($EX2=1,CEILING($DY2/2,1),$DY2))</f>
        <v/>
      </c>
      <c r="HD2" s="152">
        <f>IF(OR($EH2=0,$EG2=""),"","+"&amp;IF($EY2=1,CEILING($DY2/2,1),$DY2))</f>
        <v/>
      </c>
      <c r="HE2" s="152">
        <f>'FICHA AMALDIÇOADA'!$D$53&amp;""</f>
        <v/>
      </c>
      <c r="HF2" s="152">
        <f>IF(AND($EH2=1,$DW2=0),COUNTIFS($EH$2:$EH2,1,$DW$2:$DW2,0),"")</f>
        <v/>
      </c>
      <c r="HH2" s="150" t="inlineStr">
        <is>
          <t>nível</t>
        </is>
      </c>
      <c r="HI2" s="152">
        <f>N(FICHA!$AH$11)</f>
        <v/>
      </c>
      <c r="HK2" s="150" t="inlineStr">
        <is>
          <t>Talento 1</t>
        </is>
      </c>
      <c r="HL2" s="152">
        <f>'FICHA AMALDIÇOADA'!$D$379&amp;""</f>
        <v/>
      </c>
      <c r="HM2" s="152">
        <f>IFERROR(VLOOKUP($HL2,$BR$2:$BX$24,2,FALSE),0)</f>
        <v/>
      </c>
      <c r="HN2" s="152">
        <f>IFERROR(VLOOKUP($HM2,$BZ$2:$CA$4,2,FALSE),0)</f>
        <v/>
      </c>
      <c r="HO2" s="152">
        <f>IFERROR(VLOOKUP($HL2,$BR$2:$BX$24,3,FALSE),"")</f>
        <v/>
      </c>
      <c r="HP2" s="152">
        <f>IF($HM2=0,"",IF($HN2&gt;$HI$2,"⚠ Nível "&amp;$HN2,"CE "&amp;$HM2))</f>
        <v/>
      </c>
      <c r="HQ2" s="152">
        <f>IF($HM2=0,"",$HM2&amp;" esp.")</f>
        <v/>
      </c>
      <c r="HR2" s="152">
        <f>'FICHA AMALDIÇOADA'!$E$384&amp;""</f>
        <v/>
      </c>
      <c r="HS2" s="152">
        <f>IF($HL2="","",COUNTIF($HL$2:$HL2,"?*"))</f>
        <v/>
      </c>
      <c r="HU2" s="150" t="inlineStr">
        <is>
          <t>Aptidão 1</t>
        </is>
      </c>
      <c r="HV2" s="152">
        <f>'FICHA AMALDIÇOADA'!$D$430&amp;""</f>
        <v/>
      </c>
      <c r="HW2" s="152">
        <f>IF($HV2="","","Requisito: "&amp;IFERROR(VLOOKUP($HV2,$CC$2:$CL$33,2,FALSE),""))</f>
        <v/>
      </c>
      <c r="HX2" s="152">
        <f>IF($HV2="","",IFERROR(IF(ISNUMBER(VLOOKUP($HV2,$CC$2:$CL$33,3,FALSE)),"CE "&amp;VLOOKUP($HV2,$CC$2:$CL$33,3,FALSE),VLOOKUP($HV2,$CC$2:$CL$33,3,FALSE)),""))</f>
        <v/>
      </c>
      <c r="HY2" s="152">
        <f>IF($HV2="","",IFERROR(VLOOKUP($HV2,$CC$2:$CL$33,4,FALSE),""))</f>
        <v/>
      </c>
      <c r="HZ2" s="152">
        <f>IF($HV2="","",IFERROR(VLOOKUP($HV2,$CC$2:$CL$33,5,FALSE),""))</f>
        <v/>
      </c>
      <c r="IA2" s="152">
        <f>'FICHA AMALDIÇOADA'!$E$447&amp;""</f>
        <v/>
      </c>
      <c r="IB2" s="152">
        <f>IF($HV2="","",COUNTIF($HV$2:$HV2,"?*"))</f>
        <v/>
      </c>
      <c r="ID2" s="150" t="inlineStr">
        <is>
          <t>Classe 0 · 1</t>
        </is>
      </c>
      <c r="IE2" s="152">
        <f>'FICHA AMALDIÇOADA'!$F$310&amp;""</f>
        <v/>
      </c>
      <c r="IF2" s="152">
        <f>'FICHA AMALDIÇOADA'!$J$310&amp;""</f>
        <v/>
      </c>
      <c r="IG2" s="152">
        <f>'FICHA AMALDIÇOADA'!$L$310&amp;""</f>
        <v/>
      </c>
      <c r="IH2" s="152">
        <f>IFERROR(MATCH($IE2,$Y$2:$Y$11,0),0)</f>
        <v/>
      </c>
      <c r="II2" s="152">
        <f>$HI$11-IF($IF2&lt;&gt;"",1,0)</f>
        <v/>
      </c>
      <c r="IJ2" s="152">
        <f>IF(1&gt;$HI$10,"Nível 1",IF($IH2=0,"",IF(INDEX($AE$2:$AE$11,$IH2)&gt;=2,"—",$II2&amp;"d8 = "&amp;FLOOR($II2*4.5,1))))</f>
        <v/>
      </c>
      <c r="IK2" s="152">
        <f>IF(OR(1&gt;$HI$10,$IH2=0),"",INDEX($AP$2:$AU$31,($IH2-1)*3+1,1+IF(OR(AND($IF2="Longe",INDEX($AH$2:$AH$11,$IH2)&lt;&gt;2),AND($IF2="Maior",INDEX($AH$2:$AH$11,$IH2)&gt;=2)),1,0))&amp;INDEX($AV$2:$BA$31,($IH2-1)*3+1,1+IF(AND($IF2="Longe",INDEX($AI$2:$AI$11,$IH2)=1),1,0)))</f>
        <v/>
      </c>
      <c r="IM2" s="150" t="inlineStr">
        <is>
          <t>Técnica</t>
        </is>
      </c>
      <c r="IN2" s="152">
        <f>ADDRESS(ROW('FICHA AMALDIÇOADA'!D7),COLUMN('FICHA AMALDIÇOADA'!D7),4)</f>
        <v/>
      </c>
      <c r="IO2" s="152">
        <f>ADDRESS(ROW('FICHA AMALDIÇOADA'!D9),COLUMN('FICHA AMALDIÇOADA'!D9),4)</f>
        <v/>
      </c>
      <c r="IP2" s="150" t="inlineStr">
        <is>
          <t>DADOS_AM!$IM$2</t>
        </is>
      </c>
      <c r="IR2" s="150" t="inlineStr">
        <is>
          <t>Caminho 2</t>
        </is>
      </c>
      <c r="IS2" s="152" t="n">
        <v>2</v>
      </c>
      <c r="IT2" s="152">
        <f>IF($HI$2&gt;=2,"Nível 2","Abre no 2")</f>
        <v/>
      </c>
      <c r="IU2" s="152">
        <f>ADDRESS(ROW(FICHA!G92),COLUMN(FICHA!G92),4)</f>
        <v/>
      </c>
      <c r="IV2" s="152">
        <f>ADDRESS(ROW(FICHA!D93),COLUMN(FICHA!D93),4)</f>
        <v/>
      </c>
      <c r="IX2" s="150" t="inlineStr">
        <is>
          <t>Caminho · Anotações</t>
        </is>
      </c>
      <c r="IY2" s="152">
        <f>ADDRESS(ROW(FICHA!D123),COLUMN(FICHA!D123),4)</f>
        <v/>
      </c>
      <c r="JA2" s="150" t="inlineStr">
        <is>
          <t>Caminho</t>
        </is>
      </c>
      <c r="JB2" s="152">
        <f>"CAMINHO"&amp;IF(OR(FICHA!$D$11="",LEFT(FICHA!$D$11,7)="Escolha"),"","  ·  "&amp;UPPER(FICHA!$D$11))&amp;"  ·  CINCO DEGRAUS"</f>
        <v/>
      </c>
      <c r="JD2" s="152" t="n">
        <v>1</v>
      </c>
      <c r="JE2" s="152">
        <f>IFERROR(MATCH(1,$HF$2:$HF$37,0),0)</f>
        <v/>
      </c>
      <c r="JF2" s="152">
        <f>IF($JE2=0,"",INDEX($DY$2:$DY$37,$JE2))</f>
        <v/>
      </c>
      <c r="JG2" s="152">
        <f>IF($JE2=0,"",INDEX($DZ$2:$DZ$37,$JE2))</f>
        <v/>
      </c>
      <c r="JH2" s="152">
        <f>IF($JE2=0,"",INDEX($GN$2:$GN$37,$JE2))</f>
        <v/>
      </c>
      <c r="JI2" s="152">
        <f>IF($JE2=0,"",INDEX($EA$2:$EA$37,$JE2))</f>
        <v/>
      </c>
      <c r="JJ2" s="152">
        <f>IF($JE2=0,"",INDEX($GP$2:$GP$37,$JE2))</f>
        <v/>
      </c>
      <c r="JK2" s="152">
        <f>IF($JE2=0,"",INDEX($HE$2:$HE$37,$JE2))</f>
        <v/>
      </c>
      <c r="JM2" s="152" t="n">
        <v>1</v>
      </c>
      <c r="JN2" s="152">
        <f>IF($EH$38=0,"",$DY$38)</f>
        <v/>
      </c>
      <c r="JO2" s="152">
        <f>IF($EH$38=0,"",$DZ$38)</f>
        <v/>
      </c>
      <c r="JP2" s="152">
        <f>IF($EH$38=0,"",$GN$38)</f>
        <v/>
      </c>
      <c r="JQ2" s="152">
        <f>IF($EH$38=0,"",$EA$38)</f>
        <v/>
      </c>
      <c r="JR2" s="152">
        <f>IF($EH$38=0,"",$GP$38)</f>
        <v/>
      </c>
      <c r="JS2" s="152">
        <f>IF($EH$38=0,"",$HE$38)</f>
        <v/>
      </c>
      <c r="JU2" s="150" t="inlineStr">
        <is>
          <t>Técnica Máxima</t>
        </is>
      </c>
      <c r="JV2" s="152">
        <f>'FICHA AMALDIÇOADA'!$D$343&amp;""</f>
        <v/>
      </c>
      <c r="JW2" s="152">
        <f>IF('FICHA AMALDIÇOADA'!$D$343="","",IF(ISNUMBER('FICHA AMALDIÇOADA'!$P$343),'FICHA AMALDIÇOADA'!$P$343&amp;" PE",'FICHA AMALDIÇOADA'!$P$343&amp;""))</f>
        <v/>
      </c>
      <c r="JX2" s="152">
        <f>IF('FICHA AMALDIÇOADA'!$D$343="","",'FICHA AMALDIÇOADA'!$J$343&amp;"")</f>
        <v/>
      </c>
      <c r="JY2" s="152">
        <f>IF('FICHA AMALDIÇOADA'!$D$343="","",IFERROR(VLOOKUP('FICHA AMALDIÇOADA'!$J$343,$Y$2:$AM$11,8,FALSE),""))</f>
        <v/>
      </c>
      <c r="JZ2" s="152">
        <f>'FICHA AMALDIÇOADA'!$D$349&amp;""</f>
        <v/>
      </c>
      <c r="KB2" s="150" t="inlineStr">
        <is>
          <t>Expressão da técnica</t>
        </is>
      </c>
      <c r="KC2" s="152" t="n">
        <v>0</v>
      </c>
      <c r="KD2" s="150" t="inlineStr">
        <is>
          <t>Livre</t>
        </is>
      </c>
      <c r="KE2" s="150" t="inlineStr">
        <is>
          <t>Expressão da técnica</t>
        </is>
      </c>
      <c r="KF2" s="152">
        <f>'FICHA AMALDIÇOADA'!$L$29&amp;""</f>
        <v/>
      </c>
      <c r="KH2" s="150" t="inlineStr">
        <is>
          <t>De graça 1</t>
        </is>
      </c>
      <c r="KI2" s="152" t="n">
        <v>0</v>
      </c>
      <c r="KJ2" s="150" t="inlineStr">
        <is>
          <t>—</t>
        </is>
      </c>
      <c r="KK2" s="152">
        <f>INDEX($D$9:$G$9,1,$A$2)</f>
        <v/>
      </c>
      <c r="KL2" s="152">
        <f>'FICHA AMALDIÇOADA'!$J$424&amp;" · "&amp;INDEX($D$11:$G$11,1,$A$2)&amp;": "&amp;'FICHA AMALDIÇOADA'!$P$424&amp;". "&amp;"Do livro: "&amp;IFERROR(VLOOKUP($KK2,$CC$2:$CL$33,10,FALSE),"")</f>
        <v/>
      </c>
      <c r="KN2" s="150" t="inlineStr">
        <is>
          <t>título</t>
        </is>
      </c>
      <c r="KO2" s="152">
        <f>"MENU RÁPIDO · "&amp;UPPER(INDEX($D$3:$G$3,1,$A$2))&amp;", TALENTOS E "&amp;UPPER(INDEX($D$6:$G$6,1,$A$2))</f>
        <v/>
      </c>
      <c r="KQ2" s="150" t="inlineStr">
        <is>
          <t>D12</t>
        </is>
      </c>
      <c r="KR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L3" s="150" t="inlineStr">
        <is>
          <t>Atrasar</t>
        </is>
      </c>
      <c r="BM3" s="150" t="inlineStr">
        <is>
          <t>Atrasar</t>
        </is>
      </c>
      <c r="BN3" s="152" t="n">
        <v>2</v>
      </c>
      <c r="BO3" s="152" t="n">
        <v>0</v>
      </c>
      <c r="BP3" s="150" t="inlineStr"/>
      <c r="BR3" s="150" t="inlineStr">
        <is>
          <t>Instinto</t>
        </is>
      </c>
      <c r="BS3" s="152" t="n">
        <v>1</v>
      </c>
      <c r="BT3" s="150" t="inlineStr">
        <is>
          <t>Você não é pego de surpresa enquanto estiver acordado. Isso não revela criaturas escondidas, não muda sua posição na iniciativa e não concede uma ação adicional.</t>
        </is>
      </c>
      <c r="BU3" s="152" t="n">
        <v>1</v>
      </c>
      <c r="BV3" s="152" t="n">
        <v>0</v>
      </c>
      <c r="BW3" s="152">
        <f>IF(OR(AND($A$2&lt;=2,$BU3=1),AND($A$2&gt;=2,$BV3=1)),$BR3,"")</f>
        <v/>
      </c>
      <c r="BX3" s="150" t="inlineStr">
        <is>
          <t>Você não é pego de surpresa enquanto estiver acordado. Isso não revela criaturas escondidas, não muda sua posição na iniciativa e não concede uma ação adicional.</t>
        </is>
      </c>
      <c r="BZ3" s="152" t="n">
        <v>2</v>
      </c>
      <c r="CA3" s="152" t="n">
        <v>7</v>
      </c>
      <c r="CC3" s="150" t="inlineStr">
        <is>
          <t>Canalizar Energia</t>
        </is>
      </c>
      <c r="CD3" s="150" t="inlineStr">
        <is>
          <t>Gratuita no Refino 1</t>
        </is>
      </c>
      <c r="CE3" s="150" t="inlineStr">
        <is>
          <t>—</t>
        </is>
      </c>
      <c r="CF3" s="150" t="inlineStr">
        <is>
          <t>Dados adicionais</t>
        </is>
      </c>
      <c r="CG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52">
        <f>IF($CK3=1,"",IF($A$2=4,IF($CI3=1,$CC3,""),IF(OR($CI3=1,AND($A$2=3,$CJ3=1)),"",$CC3)))</f>
        <v/>
      </c>
      <c r="CI3" s="152" t="n">
        <v>0</v>
      </c>
      <c r="CJ3" s="152" t="n">
        <v>0</v>
      </c>
      <c r="CK3" s="152" t="n">
        <v>1</v>
      </c>
      <c r="CL3" s="150" t="inlineStr">
        <is>
          <t>Você envolve seus golpes em energia amaldiçoada.</t>
        </is>
      </c>
      <c r="CN3" s="150" t="inlineStr">
        <is>
          <t>Energia Reversa</t>
        </is>
      </c>
      <c r="CP3" s="150" t="inlineStr">
        <is>
          <t>Ferramenta de atacar</t>
        </is>
      </c>
      <c r="CR3" s="152">
        <f>IF($A$2=2,IFERROR(INDEX($CN$2:$CN$5,2),""),IF($A$2&gt;=3,IFERROR(INDEX($CP$2:$CP$4,2),""),""))</f>
        <v/>
      </c>
      <c r="CT3" s="150" t="inlineStr">
        <is>
          <t>Balestra</t>
        </is>
      </c>
      <c r="CU3" s="152" t="n">
        <v>0</v>
      </c>
      <c r="CV3" s="152" t="n">
        <v>1</v>
      </c>
      <c r="CW3" s="152">
        <f>IF(AND($A$2&gt;=3,'FICHA AMALDIÇOADA'!$J$16&amp;""="Três grupos de arma"),$CT3,"")</f>
        <v/>
      </c>
      <c r="CY3" s="152" t="n">
        <v>5</v>
      </c>
      <c r="CZ3" s="152" t="n">
        <v>3</v>
      </c>
      <c r="DA3" s="152" t="n">
        <v>3</v>
      </c>
      <c r="DC3" s="152" t="n">
        <v>20</v>
      </c>
      <c r="DE3" s="152" t="n">
        <v>4</v>
      </c>
      <c r="DG3" s="152" t="n">
        <v>21</v>
      </c>
      <c r="DH3" s="152" t="n">
        <v>28</v>
      </c>
      <c r="DI3" s="152" t="n">
        <v>12</v>
      </c>
      <c r="DK3" s="150" t="inlineStr">
        <is>
          <t>Completa</t>
        </is>
      </c>
      <c r="DL3" s="152" t="n">
        <v>3</v>
      </c>
      <c r="DM3" s="152" t="n">
        <v>14</v>
      </c>
      <c r="DN3" s="152" t="n">
        <v>5</v>
      </c>
      <c r="DO3" s="150" t="inlineStr">
        <is>
          <t>Incompleta, nível 14 e refino 5</t>
        </is>
      </c>
      <c r="DQ3" s="150" t="inlineStr">
        <is>
          <t>Temporário</t>
        </is>
      </c>
      <c r="DR3" s="150" t="inlineStr">
        <is>
          <t>No seu turno, como Ação Bônus ou Reação</t>
        </is>
      </c>
      <c r="DT3" s="150" t="inlineStr">
        <is>
          <t>Um espaço conhecido</t>
        </is>
      </c>
      <c r="DV3" s="150" t="inlineStr">
        <is>
          <t>Feitiço 2</t>
        </is>
      </c>
      <c r="DW3" s="152" t="n">
        <v>0</v>
      </c>
      <c r="DX3" s="152" t="n">
        <v>2</v>
      </c>
      <c r="DY3" s="152">
        <f>MAX(1,MIN(7,N('FICHA AMALDIÇOADA'!$J$51)))</f>
        <v/>
      </c>
      <c r="DZ3" s="152">
        <f>'FICHA AMALDIÇOADA'!$K$51&amp;""</f>
        <v/>
      </c>
      <c r="EA3" s="152">
        <f>'FICHA AMALDIÇOADA'!$J$58&amp;""</f>
        <v/>
      </c>
      <c r="EB3" s="152">
        <f>'FICHA AMALDIÇOADA'!$K$60&amp;""</f>
        <v/>
      </c>
      <c r="EC3" s="152">
        <f>'FICHA AMALDIÇOADA'!$K$61&amp;""</f>
        <v/>
      </c>
      <c r="ED3" s="152">
        <f>'FICHA AMALDIÇOADA'!$K$62&amp;""</f>
        <v/>
      </c>
      <c r="EE3" s="152">
        <f>'FICHA AMALDIÇOADA'!$K$63&amp;""</f>
        <v/>
      </c>
      <c r="EF3" s="152">
        <f>'FICHA AMALDIÇOADA'!$K$64&amp;""</f>
        <v/>
      </c>
      <c r="EG3" s="152">
        <f>'FICHA AMALDIÇOADA'!$K$65&amp;""</f>
        <v/>
      </c>
      <c r="EH3" s="152">
        <f>IF($DZ3&lt;&gt;"",1,0)</f>
        <v/>
      </c>
      <c r="EI3" s="152">
        <f>IFERROR(MATCH($EA3,$Y$2:$Y$11,0),0)</f>
        <v/>
      </c>
      <c r="EJ3" s="152">
        <f>IF($EI3=0,0,INDEX($AB$2:$AB$11,$EI3))</f>
        <v/>
      </c>
      <c r="EK3" s="152">
        <f>IFERROR(VLOOKUP($EB3,$BC$2:$BJ$84,4,FALSE),0)</f>
        <v/>
      </c>
      <c r="EL3" s="152">
        <f>IFERROR(VLOOKUP($EC3,$BC$2:$BJ$84,4,FALSE),0)</f>
        <v/>
      </c>
      <c r="EM3" s="152">
        <f>IFERROR(VLOOKUP($ED3,$BC$2:$BJ$84,4,FALSE),0)</f>
        <v/>
      </c>
      <c r="EN3" s="152">
        <f>IFERROR(VLOOKUP($EE3,$BC$2:$BJ$84,4,FALSE),0)</f>
        <v/>
      </c>
      <c r="EO3" s="152">
        <f>IF($EI3=0,0,INDEX($AC$2:$AC$11,$EI3))</f>
        <v/>
      </c>
      <c r="EP3" s="152">
        <f>IFERROR(VLOOKUP($EB3,$BC$2:$BJ$84,5,FALSE),0)</f>
        <v/>
      </c>
      <c r="EQ3" s="152">
        <f>IFERROR(VLOOKUP($EC3,$BC$2:$BJ$84,5,FALSE),0)</f>
        <v/>
      </c>
      <c r="ER3" s="152">
        <f>IFERROR(VLOOKUP($ED3,$BC$2:$BJ$84,5,FALSE),0)</f>
        <v/>
      </c>
      <c r="ES3" s="152">
        <f>IFERROR(VLOOKUP($EE3,$BC$2:$BJ$84,5,FALSE),0)</f>
        <v/>
      </c>
      <c r="ET3" s="152">
        <f>IFERROR(VLOOKUP($EB3,$BC$2:$BJ$84,6,FALSE),0)+IFERROR(VLOOKUP($EC3,$BC$2:$BJ$84,6,FALSE),0)+IFERROR(VLOOKUP($ED3,$BC$2:$BJ$84,6,FALSE),0)+IFERROR(VLOOKUP($EE3,$BC$2:$BJ$84,6,FALSE),0)</f>
        <v/>
      </c>
      <c r="EU3" s="152">
        <f>IF($EI3=0,0,INDEX($AD$2:$AD$11,$EI3))</f>
        <v/>
      </c>
      <c r="EV3" s="152">
        <f>IF($EI3=0,0,INDEX($AE$2:$AE$11,$EI3))</f>
        <v/>
      </c>
      <c r="EW3" s="152">
        <f>IF($EI3=0,0,INDEX($AG$2:$AG$11,$EI3))</f>
        <v/>
      </c>
      <c r="EX3" s="152">
        <f>IFERROR(VLOOKUP($EF3,$BL$2:$BP$24,3,FALSE),0)</f>
        <v/>
      </c>
      <c r="EY3" s="152">
        <f>IFERROR(VLOOKUP($EG3,$BL$2:$BP$24,3,FALSE),0)</f>
        <v/>
      </c>
      <c r="EZ3" s="152">
        <f>IFERROR(VLOOKUP($EF3,$BL$2:$BP$24,2,FALSE),"")</f>
        <v/>
      </c>
      <c r="FA3" s="152">
        <f>IFERROR(VLOOKUP($EG3,$BL$2:$BP$24,2,FALSE),"")</f>
        <v/>
      </c>
      <c r="FB3" s="152">
        <f>COUNTIF($EJ3:$EN3,1)</f>
        <v/>
      </c>
      <c r="FC3" s="152">
        <f>COUNTIF($EJ3:$EN3,2)</f>
        <v/>
      </c>
      <c r="FD3" s="152">
        <f>COUNTIF($EJ3:$EN3,3)</f>
        <v/>
      </c>
      <c r="FE3" s="152">
        <f>COUNTIF($EJ3:$EN3,4)</f>
        <v/>
      </c>
      <c r="FF3" s="152">
        <f>COUNTIF($EJ3:$EN3,5)</f>
        <v/>
      </c>
      <c r="FG3" s="152">
        <f>COUNTIF($EJ3:$EN3,6)</f>
        <v/>
      </c>
      <c r="FH3" s="152">
        <f>COUNTIF($EX3:$EY3,1)</f>
        <v/>
      </c>
      <c r="FI3" s="152">
        <f>COUNTIF($EX3:$EY3,2)+$EU3</f>
        <v/>
      </c>
      <c r="FJ3" s="152">
        <f>COUNTIF($EB3:$EE3,"?*")</f>
        <v/>
      </c>
      <c r="FK3" s="152">
        <f>COUNTIF($EF3:$EG3,"?*")+$EU3</f>
        <v/>
      </c>
      <c r="FL3" s="152">
        <f>SUMPRODUCT($FB3:$FG3,INDEX($Q$2:$V$8,$DY3,0))</f>
        <v/>
      </c>
      <c r="FM3" s="152">
        <f>$FH3*CEILING($DY3/2,1)+$FI3*$DY3</f>
        <v/>
      </c>
      <c r="FN3" s="152">
        <f>MIN(2*$DY3,$FM3)</f>
        <v/>
      </c>
      <c r="FO3" s="152">
        <f>MIN($FN3,$FL3)</f>
        <v/>
      </c>
      <c r="FP3" s="152">
        <f>$FN3-$FO3</f>
        <v/>
      </c>
      <c r="FQ3" s="152">
        <f>3*$DY3-$FL3+$FO3</f>
        <v/>
      </c>
      <c r="FR3" s="152">
        <f>MAX(0,$FQ3)+$DW3*$DY3</f>
        <v/>
      </c>
      <c r="FS3" s="152">
        <f>(IF(COUNTIF($EB3:$EE3,"Salto")&gt;0,1,0)+IF(COUNTIF($EB3:$EE3,"Queima")&gt;0,1,0)+IF(COUNTIF($EB3:$EE3,"Estilhaço")&gt;0,1,0))*FLOOR($FR3/2,1)</f>
        <v/>
      </c>
      <c r="FT3" s="152">
        <f>MAX(0,3-SUMPRODUCT($FB3:$FG3,$Q$2:$V$2)+MIN(2,$FH3*1+$FI3*1,SUMPRODUCT($FB3:$FG3,$Q$2:$V$2)))+$DW3*1</f>
        <v/>
      </c>
      <c r="FU3" s="152">
        <f>MAX(0,6-SUMPRODUCT($FB3:$FG3,$Q$3:$V$3)+MIN(4,$FH3*1+$FI3*2,SUMPRODUCT($FB3:$FG3,$Q$3:$V$3)))+$DW3*2</f>
        <v/>
      </c>
      <c r="FV3" s="152">
        <f>MAX(0,9-SUMPRODUCT($FB3:$FG3,$Q$4:$V$4)+MIN(6,$FH3*2+$FI3*3,SUMPRODUCT($FB3:$FG3,$Q$4:$V$4)))+$DW3*3</f>
        <v/>
      </c>
      <c r="FW3" s="152">
        <f>MAX(0,12-SUMPRODUCT($FB3:$FG3,$Q$5:$V$5)+MIN(8,$FH3*2+$FI3*4,SUMPRODUCT($FB3:$FG3,$Q$5:$V$5)))+$DW3*4</f>
        <v/>
      </c>
      <c r="FX3" s="152">
        <f>MAX(0,15-SUMPRODUCT($FB3:$FG3,$Q$6:$V$6)+MIN(10,$FH3*3+$FI3*5,SUMPRODUCT($FB3:$FG3,$Q$6:$V$6)))+$DW3*5</f>
        <v/>
      </c>
      <c r="FY3" s="152">
        <f>MAX(0,18-SUMPRODUCT($FB3:$FG3,$Q$7:$V$7)+MIN(12,$FH3*3+$FI3*6,SUMPRODUCT($FB3:$FG3,$Q$7:$V$7)))+$DW3*6</f>
        <v/>
      </c>
      <c r="FZ3" s="152">
        <f>MAX(0,21-SUMPRODUCT($FB3:$FG3,$Q$8:$V$8)+MIN(14,$FH3*4+$FI3*7,SUMPRODUCT($FB3:$FG3,$Q$8:$V$8)))+$DW3*7</f>
        <v/>
      </c>
      <c r="GA3" s="152">
        <f>IF($EV3=2,3*$FT3&amp;" de vida temp.",IF($EV3=3,"sem dano",IF($FT3=0,IF($EV3=1,"sem cura","sem dano"),IF($EV3=1,"cura ","")&amp;$FT3&amp;"d8")))</f>
        <v/>
      </c>
      <c r="GB3" s="152">
        <f>IF($EV3=2,3*$FU3&amp;" de vida temp.",IF($EV3=3,"sem dano",IF($FU3=0,IF($EV3=1,"sem cura","sem dano"),IF($EV3=1,"cura ","")&amp;$FU3&amp;"d8")))</f>
        <v/>
      </c>
      <c r="GC3" s="152">
        <f>IF($EV3=2,3*$FV3&amp;" de vida temp.",IF($EV3=3,"sem dano",IF($FV3=0,IF($EV3=1,"sem cura","sem dano"),IF($EV3=1,"cura ","")&amp;$FV3&amp;"d8")))</f>
        <v/>
      </c>
      <c r="GD3" s="152">
        <f>IF($EV3=2,3*$FW3&amp;" de vida temp.",IF($EV3=3,"sem dano",IF($FW3=0,IF($EV3=1,"sem cura","sem dano"),IF($EV3=1,"cura ","")&amp;$FW3&amp;"d8")))</f>
        <v/>
      </c>
      <c r="GE3" s="152">
        <f>IF($EV3=2,3*$FX3&amp;" de vida temp.",IF($EV3=3,"sem dano",IF($FX3=0,IF($EV3=1,"sem cura","sem dano"),IF($EV3=1,"cura ","")&amp;$FX3&amp;"d8")))</f>
        <v/>
      </c>
      <c r="GF3" s="152">
        <f>IF($EV3=2,3*$FY3&amp;" de vida temp.",IF($EV3=3,"sem dano",IF($FY3=0,IF($EV3=1,"sem cura","sem dano"),IF($EV3=1,"cura ","")&amp;$FY3&amp;"d8")))</f>
        <v/>
      </c>
      <c r="GG3" s="152">
        <f>IF($EV3=2,3*$FZ3&amp;" de vida temp.",IF($EV3=3,"sem dano",IF($FZ3=0,IF($EV3=1,"sem cura","sem dano"),IF($EV3=1,"cura ","")&amp;$FZ3&amp;"d8")))</f>
        <v/>
      </c>
      <c r="GH3" s="152">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52">
        <f>IF($GH3="",0,(LEN($GH3)-LEN(SUBSTITUTE($GH3," · ","")))/3+1)</f>
        <v/>
      </c>
      <c r="GJ3" s="152">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52">
        <f>IF($GJ3="",0,(LEN($GJ3)-LEN(SUBSTITUTE($GJ3," · ","")))/3+1)</f>
        <v/>
      </c>
      <c r="GL3" s="152">
        <f>IF($EH3=0,IF($FJ3+$FK3-$EU3&gt;0,"Dê um nome",""),IF($GI3&gt;0,"⚠ "&amp;$GI3&amp;IF($GI3&gt;1," erros"," erro"),IF($GK3&gt;0,"! "&amp;$GK3&amp;IF($GK3&gt;1," avisos"," aviso"),"Na regra")))</f>
        <v/>
      </c>
      <c r="GM3" s="152">
        <f>IF($EH3=0,"",IF($GI3+$GK3=0,"Dentro das regras que a ficha confere",$GH3&amp;IF(AND($GI3&gt;0,$GK3&gt;0)," · ","")&amp;$GJ3))</f>
        <v/>
      </c>
      <c r="GN3" s="152">
        <f>IF($EH3=0,"",IF($DW3=1,CEILING(4.5*$DY3,1),3*$DY3)&amp;" PE")</f>
        <v/>
      </c>
      <c r="GO3" s="152">
        <f>IF($EH3=0,"",IF($DW3=1,"Rodada inteira",IF(COUNTIF($EZ3:$FA3,"Atrasar")&gt;0,IF(COUNTIF($EZ3:$FA3,"Carregar")&gt;0,"Rodada +1 turno","Rodada inteira"),IF(COUNTIF($EB3:$EE3,"Rápido")&gt;0,"Bônus",IF(COUNTIF($EB3:$EE3,"Reação")&gt;0,"Reação","Padrão"))&amp;IF(COUNTIF($EZ3:$FA3,"Carregar")&gt;0," +1 turno",""))))</f>
        <v/>
      </c>
      <c r="GP3" s="152">
        <f>IF(OR($EH3=0,$EI3=0),"",IF(COUNTIF($EB3:$EE3,"Inescapável")&gt;0,"Automático",IF(COUNTIF($EB3:$EE3,"Certeiro")&gt;0,"TR para metade",INDEX($AF$2:$AF$11,$EI3))))</f>
        <v/>
      </c>
      <c r="GQ3" s="152">
        <f>IF(OR($EH3=0,$EI3=0),"",IF(OR($EV3&gt;=2,$FR3=0),UPPER(LEFT(INDEX($GA3:$GG3,1,$DY3),1))&amp;MID(INDEX($GA3:$GG3,1,$DY3),2,99),UPPER(LEFT(INDEX($GA3:$GG3,1,$DY3),1))&amp;MID(INDEX($GA3:$GG3,1,$DY3),2,99)&amp;" = "&amp;FLOOR($FR3*4.5,1)&amp;IF($FS3&gt;0," · +"&amp;$FS3&amp;"d8","")))</f>
        <v/>
      </c>
      <c r="GR3" s="152">
        <f>COUNTIF($EB3:$EE3,"Longe")+3*COUNTIF($EB3:$EE3,"Muito Longe")</f>
        <v/>
      </c>
      <c r="GS3" s="152">
        <f>COUNTIF($EB3:$EE3,"Maior")+3*COUNTIF($EB3:$EE3,"Muito Maior")</f>
        <v/>
      </c>
      <c r="GT3" s="152">
        <f>IF($EI3=0,0,CHOOSE(1+INDEX($AH$2:$AH$11,$EI3),0,$GR3,$GS3,$GR3+$GS3))</f>
        <v/>
      </c>
      <c r="GU3" s="152">
        <f>IF($EI3=0,0,CHOOSE(1+INDEX($AI$2:$AI$11,$EI3),0,$GR3,$GS3,$GR3+$GS3))</f>
        <v/>
      </c>
      <c r="GV3" s="152">
        <f>IF(OR($EH3=0,$EI3=0),"",INDEX($AP$2:$AU$31,($EI3-1)*3+IF($DY3&gt;=6,3,2),1+MIN(5,$GT3))&amp;INDEX($AV$2:$BA$31,($EI3-1)*3+IF($DY3&gt;=6,3,2),1+MIN(5,$GU3))&amp;IF(INDEX($AJ$2:$AJ$11,$EI3)=1,IF(COUNTIF($EB3:$EE3,"Mais Um")&gt;0," · +"&amp;COUNTIF($EB3:$EE3,"Mais Um")&amp;IF(COUNTIF($EB3:$EE3,"Mais Um")&gt;1," alvos"," alvo"),"")&amp;IF(COUNTIF($EB3:$EE3,"Rajada")&gt;0," · "&amp;($DY3+1)&amp;" tiros",""),""))</f>
        <v/>
      </c>
      <c r="GW3" s="152">
        <f>IF($EH3=0,"",3*$DY3&amp;" − "&amp;$FL3&amp;" + "&amp;$FO3&amp;IF($DW3=1," + "&amp;$DY3,"")&amp;" = "&amp;$FR3&amp;"d8 · teto "&amp;4*$DY3&amp;IF($EU3=1," · a Forma devolve "&amp;$DY3,"")&amp;IF($FP3&gt;0," · perde "&amp;$FP3,""))</f>
        <v/>
      </c>
      <c r="GX3" s="152">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52">
        <f>IF(OR($EH3=0,$EK3=0),"","−"&amp;INDEX($Q$2:$V$8,$DY3,$EK3)&amp;" · "&amp;CHOOSE($EK3,"Leve","Média","Pesada","Leve · Livre","Média · Livre","Pesada · Livre"))</f>
        <v/>
      </c>
      <c r="GZ3" s="152">
        <f>IF(OR($EH3=0,$EL3=0),"","−"&amp;INDEX($Q$2:$V$8,$DY3,$EL3)&amp;" · "&amp;CHOOSE($EL3,"Leve","Média","Pesada","Leve · Livre","Média · Livre","Pesada · Livre"))</f>
        <v/>
      </c>
      <c r="HA3" s="152">
        <f>IF(OR($EH3=0,$EM3=0),"","−"&amp;INDEX($Q$2:$V$8,$DY3,$EM3)&amp;" · "&amp;CHOOSE($EM3,"Leve","Média","Pesada","Leve · Livre","Média · Livre","Pesada · Livre"))</f>
        <v/>
      </c>
      <c r="HB3" s="152">
        <f>IF(OR($EH3=0,$EN3=0),"","−"&amp;INDEX($Q$2:$V$8,$DY3,$EN3)&amp;" · "&amp;CHOOSE($EN3,"Leve","Média","Pesada","Leve · Livre","Média · Livre","Pesada · Livre"))</f>
        <v/>
      </c>
      <c r="HC3" s="152">
        <f>IF(OR($EH3=0,$EF3=""),"","+"&amp;IF($EX3=1,CEILING($DY3/2,1),$DY3))</f>
        <v/>
      </c>
      <c r="HD3" s="152">
        <f>IF(OR($EH3=0,$EG3=""),"","+"&amp;IF($EY3=1,CEILING($DY3/2,1),$DY3))</f>
        <v/>
      </c>
      <c r="HE3" s="152">
        <f>'FICHA AMALDIÇOADA'!$J$53&amp;""</f>
        <v/>
      </c>
      <c r="HF3" s="152">
        <f>IF(AND($EH3=1,$DW3=0),COUNTIFS($EH$2:$EH3,1,$DW$2:$DW3,0),"")</f>
        <v/>
      </c>
      <c r="HH3" s="150" t="inlineStr">
        <is>
          <t>maestria</t>
        </is>
      </c>
      <c r="HI3" s="152">
        <f>N(FICHA!$D$51)</f>
        <v/>
      </c>
      <c r="HK3" s="150" t="inlineStr">
        <is>
          <t>Talento 2</t>
        </is>
      </c>
      <c r="HL3" s="152">
        <f>'FICHA AMALDIÇOADA'!$J$379&amp;""</f>
        <v/>
      </c>
      <c r="HM3" s="152">
        <f>IFERROR(VLOOKUP($HL3,$BR$2:$BX$24,2,FALSE),0)</f>
        <v/>
      </c>
      <c r="HN3" s="152">
        <f>IFERROR(VLOOKUP($HM3,$BZ$2:$CA$4,2,FALSE),0)</f>
        <v/>
      </c>
      <c r="HO3" s="152">
        <f>IFERROR(VLOOKUP($HL3,$BR$2:$BX$24,3,FALSE),"")</f>
        <v/>
      </c>
      <c r="HP3" s="152">
        <f>IF($HM3=0,"",IF($HN3&gt;$HI$2,"⚠ Nível "&amp;$HN3,"CE "&amp;$HM3))</f>
        <v/>
      </c>
      <c r="HQ3" s="152">
        <f>IF($HM3=0,"",$HM3&amp;" esp.")</f>
        <v/>
      </c>
      <c r="HR3" s="152">
        <f>'FICHA AMALDIÇOADA'!$K$384&amp;""</f>
        <v/>
      </c>
      <c r="HS3" s="152">
        <f>IF($HL3="","",COUNTIF($HL$2:$HL3,"?*"))</f>
        <v/>
      </c>
      <c r="HU3" s="150" t="inlineStr">
        <is>
          <t>Aptidão 2</t>
        </is>
      </c>
      <c r="HV3" s="152">
        <f>'FICHA AMALDIÇOADA'!$J$430&amp;""</f>
        <v/>
      </c>
      <c r="HW3" s="152">
        <f>IF($HV3="","","Requisito: "&amp;IFERROR(VLOOKUP($HV3,$CC$2:$CL$33,2,FALSE),""))</f>
        <v/>
      </c>
      <c r="HX3" s="152">
        <f>IF($HV3="","",IFERROR(IF(ISNUMBER(VLOOKUP($HV3,$CC$2:$CL$33,3,FALSE)),"CE "&amp;VLOOKUP($HV3,$CC$2:$CL$33,3,FALSE),VLOOKUP($HV3,$CC$2:$CL$33,3,FALSE)),""))</f>
        <v/>
      </c>
      <c r="HY3" s="152">
        <f>IF($HV3="","",IFERROR(VLOOKUP($HV3,$CC$2:$CL$33,4,FALSE),""))</f>
        <v/>
      </c>
      <c r="HZ3" s="152">
        <f>IF($HV3="","",IFERROR(VLOOKUP($HV3,$CC$2:$CL$33,5,FALSE),""))</f>
        <v/>
      </c>
      <c r="IA3" s="152">
        <f>'FICHA AMALDIÇOADA'!$K$447&amp;""</f>
        <v/>
      </c>
      <c r="IB3" s="152">
        <f>IF($HV3="","",COUNTIF($HV$2:$HV3,"?*"))</f>
        <v/>
      </c>
      <c r="ID3" s="150" t="inlineStr">
        <is>
          <t>Classe 0 · 2</t>
        </is>
      </c>
      <c r="IE3" s="152">
        <f>'FICHA AMALDIÇOADA'!$F$311&amp;""</f>
        <v/>
      </c>
      <c r="IF3" s="152">
        <f>'FICHA AMALDIÇOADA'!$J$311&amp;""</f>
        <v/>
      </c>
      <c r="IG3" s="152">
        <f>'FICHA AMALDIÇOADA'!$L$311&amp;""</f>
        <v/>
      </c>
      <c r="IH3" s="152">
        <f>IFERROR(MATCH($IE3,$Y$2:$Y$11,0),0)</f>
        <v/>
      </c>
      <c r="II3" s="152">
        <f>$HI$11-IF($IF3&lt;&gt;"",1,0)</f>
        <v/>
      </c>
      <c r="IJ3" s="152">
        <f>IF(2&gt;$HI$10,"Nível 1",IF($IH3=0,"",IF(INDEX($AE$2:$AE$11,$IH3)&gt;=2,"—",$II3&amp;"d8 = "&amp;FLOOR($II3*4.5,1))))</f>
        <v/>
      </c>
      <c r="IK3" s="152">
        <f>IF(OR(2&gt;$HI$10,$IH3=0),"",INDEX($AP$2:$AU$31,($IH3-1)*3+1,1+IF(OR(AND($IF3="Longe",INDEX($AH$2:$AH$11,$IH3)&lt;&gt;2),AND($IF3="Maior",INDEX($AH$2:$AH$11,$IH3)&gt;=2)),1,0))&amp;INDEX($AV$2:$BA$31,($IH3-1)*3+1,1+IF(AND($IF3="Longe",INDEX($AI$2:$AI$11,$IH3)=1),1,0)))</f>
        <v/>
      </c>
      <c r="IM3" s="150" t="inlineStr">
        <is>
          <t>Orçamento</t>
        </is>
      </c>
      <c r="IN3" s="152">
        <f>ADDRESS(ROW('FICHA AMALDIÇOADA'!E7),COLUMN('FICHA AMALDIÇOADA'!E7),4)</f>
        <v/>
      </c>
      <c r="IO3" s="152">
        <f>ADDRESS(ROW('FICHA AMALDIÇOADA'!D39),COLUMN('FICHA AMALDIÇOADA'!D39),4)</f>
        <v/>
      </c>
      <c r="IP3" s="150" t="inlineStr">
        <is>
          <t>DADOS_AM!$IM$3</t>
        </is>
      </c>
      <c r="IR3" s="150" t="inlineStr">
        <is>
          <t>Caminho 7</t>
        </is>
      </c>
      <c r="IS3" s="152" t="n">
        <v>7</v>
      </c>
      <c r="IT3" s="152">
        <f>IF($HI$2&gt;=7,"Nível 7","Abre no 7")</f>
        <v/>
      </c>
      <c r="IU3" s="152">
        <f>ADDRESS(ROW(FICHA!G98),COLUMN(FICHA!G98),4)</f>
        <v/>
      </c>
      <c r="IV3" s="152">
        <f>ADDRESS(ROW(FICHA!D99),COLUMN(FICHA!D99),4)</f>
        <v/>
      </c>
      <c r="IX3" s="150" t="inlineStr">
        <is>
          <t>Trilha · Escolhas da Trilha</t>
        </is>
      </c>
      <c r="IY3" s="152">
        <f>ADDRESS(ROW(FICHA!D154),COLUMN(FICHA!D154),4)</f>
        <v/>
      </c>
      <c r="JA3" s="150" t="inlineStr">
        <is>
          <t>Trilha</t>
        </is>
      </c>
      <c r="JB3" s="152">
        <f>"TRILHA"&amp;IF(OR(FICHA!$N$11="",LEFT(FICHA!$N$11,7)="Escolha"),"","  ·  "&amp;UPPER(FICHA!$N$11))&amp;"  ·  QUATRO ENTREGAS"</f>
        <v/>
      </c>
      <c r="JD3" s="152" t="n">
        <v>2</v>
      </c>
      <c r="JE3" s="152">
        <f>IFERROR(MATCH(2,$HF$2:$HF$37,0),0)</f>
        <v/>
      </c>
      <c r="JF3" s="152">
        <f>IF($JE3=0,"",INDEX($DY$2:$DY$37,$JE3))</f>
        <v/>
      </c>
      <c r="JG3" s="152">
        <f>IF($JE3=0,"",INDEX($DZ$2:$DZ$37,$JE3))</f>
        <v/>
      </c>
      <c r="JH3" s="152">
        <f>IF($JE3=0,"",INDEX($GN$2:$GN$37,$JE3))</f>
        <v/>
      </c>
      <c r="JI3" s="152">
        <f>IF($JE3=0,"",INDEX($EA$2:$EA$37,$JE3))</f>
        <v/>
      </c>
      <c r="JJ3" s="152">
        <f>IF($JE3=0,"",INDEX($GP$2:$GP$37,$JE3))</f>
        <v/>
      </c>
      <c r="JK3" s="152">
        <f>IF($JE3=0,"",INDEX($HE$2:$HE$37,$JE3))</f>
        <v/>
      </c>
      <c r="JM3" s="152" t="n">
        <v>2</v>
      </c>
      <c r="JN3" s="152">
        <f>IF($EH$39=0,"",$DY$39)</f>
        <v/>
      </c>
      <c r="JO3" s="152">
        <f>IF($EH$39=0,"",$DZ$39)</f>
        <v/>
      </c>
      <c r="JP3" s="152">
        <f>IF($EH$39=0,"",$GN$39)</f>
        <v/>
      </c>
      <c r="JQ3" s="152">
        <f>IF($EH$39=0,"",$EA$39)</f>
        <v/>
      </c>
      <c r="JR3" s="152">
        <f>IF($EH$39=0,"",$GP$39)</f>
        <v/>
      </c>
      <c r="JS3" s="152">
        <f>IF($EH$39=0,"",$HE$39)</f>
        <v/>
      </c>
      <c r="JU3" s="150" t="inlineStr">
        <is>
          <t>Domínio</t>
        </is>
      </c>
      <c r="JV3" s="152">
        <f>IF(DADOS_AM!$A$2&lt;&gt;1,"Esta rota não tem Expansão de Domínio",'FICHA AMALDIÇOADA'!$P$361&amp;"")</f>
        <v/>
      </c>
      <c r="JW3" s="152">
        <f>IF(OR(DADOS_AM!$A$2&lt;&gt;1,$HI$34=""),"",IF($HI$34="Sem Barreiras",7,6)*$HI$4&amp;" PE")</f>
        <v/>
      </c>
      <c r="JX3" s="152">
        <f>IF(DADOS_AM!$A$2&lt;&gt;1,"",$HI$34)</f>
        <v/>
      </c>
      <c r="JY3" s="152">
        <f>IF(OR(DADOS_AM!$A$2&lt;&gt;1,$HI$34=""),"",IF($HI$34="Incompleta","Rola","Acontece"))</f>
        <v/>
      </c>
      <c r="JZ3" s="152">
        <f>IF(DADOS_AM!$A$2&lt;&gt;1,"",'FICHA AMALDIÇOADA'!$D$371&amp;"")</f>
        <v/>
      </c>
      <c r="KB3" s="150" t="inlineStr">
        <is>
          <t>Regra Própria</t>
        </is>
      </c>
      <c r="KC3" s="152" t="n">
        <v>0</v>
      </c>
      <c r="KD3" s="152">
        <f>IF(N('FICHA AMALDIÇOADA'!$P$33)=0,"—","CE "&amp;'FICHA AMALDIÇOADA'!$P$33)</f>
        <v/>
      </c>
      <c r="KE3" s="150" t="inlineStr">
        <is>
          <t>Regra Própria</t>
        </is>
      </c>
      <c r="KF3" s="152">
        <f>IF('FICHA AMALDIÇOADA'!$D$33="","Esta técnica não tem Regra Própria",'FICHA AMALDIÇOADA'!$D$33&amp;"")</f>
        <v/>
      </c>
      <c r="KH3" s="150" t="inlineStr">
        <is>
          <t>De graça 2</t>
        </is>
      </c>
      <c r="KI3" s="152" t="n">
        <v>0</v>
      </c>
      <c r="KJ3" s="150" t="inlineStr">
        <is>
          <t>—</t>
        </is>
      </c>
      <c r="KK3" s="152">
        <f>INDEX($D$10:$G$10,1,$A$2)</f>
        <v/>
      </c>
      <c r="KL3" s="152">
        <f>'FICHA AMALDIÇOADA'!$L$424&amp;". "&amp;"Do livro: "&amp;IFERROR(VLOOKUP($KK3,$CC$2:$CL$33,10,FALSE),"")</f>
        <v/>
      </c>
      <c r="KN3" s="150" t="inlineStr">
        <is>
          <t>feitiços</t>
        </is>
      </c>
      <c r="KO3" s="152">
        <f>UPPER(INDEX($D$3:$G$3,1,$A$2))&amp;"  ·  "&amp;$HI$15&amp;" de 36"</f>
        <v/>
      </c>
      <c r="KQ3" s="150" t="inlineStr">
        <is>
          <t>L12</t>
        </is>
      </c>
      <c r="KR3" s="152">
        <f>IF(DADOS_AM!$HI$41=1,IF(DADOS_AM!$HI$48=0,"Escolha os grupos",IF(DADOS_AM!$HI$48=1,IF(DADOS_AM!$HI$42&lt;&gt;"",DADOS_AM!$HI$42,IF(DADOS_AM!$HI$43&lt;&gt;"",DADOS_AM!$HI$43,DADOS_AM!$HI$44))&amp;",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L4" s="150" t="inlineStr">
        <is>
          <t>Parado</t>
        </is>
      </c>
      <c r="BM4" s="150" t="inlineStr">
        <is>
          <t>Parado</t>
        </is>
      </c>
      <c r="BN4" s="152" t="n">
        <v>1</v>
      </c>
      <c r="BO4" s="152" t="n">
        <v>0</v>
      </c>
      <c r="BP4" s="150" t="inlineStr">
        <is>
          <t>Parado</t>
        </is>
      </c>
      <c r="BR4" s="150" t="inlineStr">
        <is>
          <t>Raiz</t>
        </is>
      </c>
      <c r="BS4" s="152" t="n">
        <v>1</v>
      </c>
      <c r="BT4" s="150" t="inlineStr">
        <is>
          <t>Você não é movido à força nem fica Derrubado contra a sua vontade. Pode aceitar um deslocamento ou se deitar por escolha própria. O Talento não impede o dano de um efeito que também empurre ou derrube.</t>
        </is>
      </c>
      <c r="BU4" s="152" t="n">
        <v>1</v>
      </c>
      <c r="BV4" s="152" t="n">
        <v>0</v>
      </c>
      <c r="BW4" s="152">
        <f>IF(OR(AND($A$2&lt;=2,$BU4=1),AND($A$2&gt;=2,$BV4=1)),$BR4,"")</f>
        <v/>
      </c>
      <c r="BX4" s="150" t="inlineStr">
        <is>
          <t>Você não é movido à força nem fica Derrubado contra a sua vontade. Pode aceitar um deslocamento ou se deitar por escolha própria. O Talento não impede o dano de um efeito que também empurre ou derrube.</t>
        </is>
      </c>
      <c r="BZ4" s="152" t="n">
        <v>3</v>
      </c>
      <c r="CA4" s="152" t="n">
        <v>13</v>
      </c>
      <c r="CC4" s="150" t="inlineStr">
        <is>
          <t>Projetar Energia</t>
        </is>
      </c>
      <c r="CD4" s="150" t="inlineStr">
        <is>
          <t>Uma escolha de aptidão</t>
        </is>
      </c>
      <c r="CE4" s="150" t="inlineStr">
        <is>
          <t>—</t>
        </is>
      </c>
      <c r="CF4" s="150" t="inlineStr">
        <is>
          <t>—</t>
        </is>
      </c>
      <c r="CG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52">
        <f>IF($CK4=1,"",IF($A$2=4,IF($CI4=1,$CC4,""),IF(OR($CI4=1,AND($A$2=3,$CJ4=1)),"",$CC4)))</f>
        <v/>
      </c>
      <c r="CI4" s="152" t="n">
        <v>0</v>
      </c>
      <c r="CJ4" s="152" t="n">
        <v>0</v>
      </c>
      <c r="CK4" s="152" t="n">
        <v>0</v>
      </c>
      <c r="CL4" s="150" t="inlineStr">
        <is>
          <t>Você dispara energia amaldiçoada pura contra um alvo.</t>
        </is>
      </c>
      <c r="CN4" s="150" t="inlineStr">
        <is>
          <t>Pétala</t>
        </is>
      </c>
      <c r="CP4" s="150" t="inlineStr">
        <is>
          <t>Ferramenta de carregar</t>
        </is>
      </c>
      <c r="CR4" s="152">
        <f>IF($A$2=2,IFERROR(INDEX($CN$2:$CN$5,3),""),IF($A$2&gt;=3,IFERROR(INDEX($CP$2:$CP$4,3),""),""))</f>
        <v/>
      </c>
      <c r="CT4" s="150" t="inlineStr">
        <is>
          <t>Lâmina Curta</t>
        </is>
      </c>
      <c r="CU4" s="152" t="n">
        <v>1</v>
      </c>
      <c r="CV4" s="152" t="n">
        <v>1</v>
      </c>
      <c r="CW4" s="152">
        <f>IF(AND($A$2&gt;=3,'FICHA AMALDIÇOADA'!$J$16&amp;""="Três grupos de arma"),$CT4,"")</f>
        <v/>
      </c>
      <c r="CY4" s="152" t="n">
        <v>11</v>
      </c>
      <c r="CZ4" s="152" t="n">
        <v>4</v>
      </c>
      <c r="DA4" s="152" t="n">
        <v>4</v>
      </c>
      <c r="DC4" s="152" t="n">
        <v>30</v>
      </c>
      <c r="DE4" s="152" t="n">
        <v>5</v>
      </c>
      <c r="DG4" s="152" t="n">
        <v>26</v>
      </c>
      <c r="DH4" s="152" t="n">
        <v>32</v>
      </c>
      <c r="DI4" s="152" t="n">
        <v>16</v>
      </c>
      <c r="DK4" s="150" t="inlineStr">
        <is>
          <t>Sem Barreiras</t>
        </is>
      </c>
      <c r="DL4" s="152" t="n">
        <v>5</v>
      </c>
      <c r="DM4" s="152" t="n">
        <v>0</v>
      </c>
      <c r="DN4" s="152" t="n">
        <v>10</v>
      </c>
      <c r="DO4" s="150" t="inlineStr">
        <is>
          <t>Completa, refino 10 e especialização em Ocultismo</t>
        </is>
      </c>
      <c r="DQ4" s="150" t="inlineStr">
        <is>
          <t>Promessa</t>
        </is>
      </c>
      <c r="DR4" s="150" t="inlineStr">
        <is>
          <t>Quando duas partes capazes de decidir aceitam os termos</t>
        </is>
      </c>
      <c r="DT4" s="150" t="inlineStr">
        <is>
          <t>PE máximo igual à maior Classe</t>
        </is>
      </c>
      <c r="DV4" s="150" t="inlineStr">
        <is>
          <t>Feitiço 3</t>
        </is>
      </c>
      <c r="DW4" s="152" t="n">
        <v>0</v>
      </c>
      <c r="DX4" s="152" t="n">
        <v>3</v>
      </c>
      <c r="DY4" s="152">
        <f>MAX(1,MIN(7,N('FICHA AMALDIÇOADA'!$P$51)))</f>
        <v/>
      </c>
      <c r="DZ4" s="152">
        <f>'FICHA AMALDIÇOADA'!$Q$51&amp;""</f>
        <v/>
      </c>
      <c r="EA4" s="152">
        <f>'FICHA AMALDIÇOADA'!$P$58&amp;""</f>
        <v/>
      </c>
      <c r="EB4" s="152">
        <f>'FICHA AMALDIÇOADA'!$Q$60&amp;""</f>
        <v/>
      </c>
      <c r="EC4" s="152">
        <f>'FICHA AMALDIÇOADA'!$Q$61&amp;""</f>
        <v/>
      </c>
      <c r="ED4" s="152">
        <f>'FICHA AMALDIÇOADA'!$Q$62&amp;""</f>
        <v/>
      </c>
      <c r="EE4" s="152">
        <f>'FICHA AMALDIÇOADA'!$Q$63&amp;""</f>
        <v/>
      </c>
      <c r="EF4" s="152">
        <f>'FICHA AMALDIÇOADA'!$Q$64&amp;""</f>
        <v/>
      </c>
      <c r="EG4" s="152">
        <f>'FICHA AMALDIÇOADA'!$Q$65&amp;""</f>
        <v/>
      </c>
      <c r="EH4" s="152">
        <f>IF($DZ4&lt;&gt;"",1,0)</f>
        <v/>
      </c>
      <c r="EI4" s="152">
        <f>IFERROR(MATCH($EA4,$Y$2:$Y$11,0),0)</f>
        <v/>
      </c>
      <c r="EJ4" s="152">
        <f>IF($EI4=0,0,INDEX($AB$2:$AB$11,$EI4))</f>
        <v/>
      </c>
      <c r="EK4" s="152">
        <f>IFERROR(VLOOKUP($EB4,$BC$2:$BJ$84,4,FALSE),0)</f>
        <v/>
      </c>
      <c r="EL4" s="152">
        <f>IFERROR(VLOOKUP($EC4,$BC$2:$BJ$84,4,FALSE),0)</f>
        <v/>
      </c>
      <c r="EM4" s="152">
        <f>IFERROR(VLOOKUP($ED4,$BC$2:$BJ$84,4,FALSE),0)</f>
        <v/>
      </c>
      <c r="EN4" s="152">
        <f>IFERROR(VLOOKUP($EE4,$BC$2:$BJ$84,4,FALSE),0)</f>
        <v/>
      </c>
      <c r="EO4" s="152">
        <f>IF($EI4=0,0,INDEX($AC$2:$AC$11,$EI4))</f>
        <v/>
      </c>
      <c r="EP4" s="152">
        <f>IFERROR(VLOOKUP($EB4,$BC$2:$BJ$84,5,FALSE),0)</f>
        <v/>
      </c>
      <c r="EQ4" s="152">
        <f>IFERROR(VLOOKUP($EC4,$BC$2:$BJ$84,5,FALSE),0)</f>
        <v/>
      </c>
      <c r="ER4" s="152">
        <f>IFERROR(VLOOKUP($ED4,$BC$2:$BJ$84,5,FALSE),0)</f>
        <v/>
      </c>
      <c r="ES4" s="152">
        <f>IFERROR(VLOOKUP($EE4,$BC$2:$BJ$84,5,FALSE),0)</f>
        <v/>
      </c>
      <c r="ET4" s="152">
        <f>IFERROR(VLOOKUP($EB4,$BC$2:$BJ$84,6,FALSE),0)+IFERROR(VLOOKUP($EC4,$BC$2:$BJ$84,6,FALSE),0)+IFERROR(VLOOKUP($ED4,$BC$2:$BJ$84,6,FALSE),0)+IFERROR(VLOOKUP($EE4,$BC$2:$BJ$84,6,FALSE),0)</f>
        <v/>
      </c>
      <c r="EU4" s="152">
        <f>IF($EI4=0,0,INDEX($AD$2:$AD$11,$EI4))</f>
        <v/>
      </c>
      <c r="EV4" s="152">
        <f>IF($EI4=0,0,INDEX($AE$2:$AE$11,$EI4))</f>
        <v/>
      </c>
      <c r="EW4" s="152">
        <f>IF($EI4=0,0,INDEX($AG$2:$AG$11,$EI4))</f>
        <v/>
      </c>
      <c r="EX4" s="152">
        <f>IFERROR(VLOOKUP($EF4,$BL$2:$BP$24,3,FALSE),0)</f>
        <v/>
      </c>
      <c r="EY4" s="152">
        <f>IFERROR(VLOOKUP($EG4,$BL$2:$BP$24,3,FALSE),0)</f>
        <v/>
      </c>
      <c r="EZ4" s="152">
        <f>IFERROR(VLOOKUP($EF4,$BL$2:$BP$24,2,FALSE),"")</f>
        <v/>
      </c>
      <c r="FA4" s="152">
        <f>IFERROR(VLOOKUP($EG4,$BL$2:$BP$24,2,FALSE),"")</f>
        <v/>
      </c>
      <c r="FB4" s="152">
        <f>COUNTIF($EJ4:$EN4,1)</f>
        <v/>
      </c>
      <c r="FC4" s="152">
        <f>COUNTIF($EJ4:$EN4,2)</f>
        <v/>
      </c>
      <c r="FD4" s="152">
        <f>COUNTIF($EJ4:$EN4,3)</f>
        <v/>
      </c>
      <c r="FE4" s="152">
        <f>COUNTIF($EJ4:$EN4,4)</f>
        <v/>
      </c>
      <c r="FF4" s="152">
        <f>COUNTIF($EJ4:$EN4,5)</f>
        <v/>
      </c>
      <c r="FG4" s="152">
        <f>COUNTIF($EJ4:$EN4,6)</f>
        <v/>
      </c>
      <c r="FH4" s="152">
        <f>COUNTIF($EX4:$EY4,1)</f>
        <v/>
      </c>
      <c r="FI4" s="152">
        <f>COUNTIF($EX4:$EY4,2)+$EU4</f>
        <v/>
      </c>
      <c r="FJ4" s="152">
        <f>COUNTIF($EB4:$EE4,"?*")</f>
        <v/>
      </c>
      <c r="FK4" s="152">
        <f>COUNTIF($EF4:$EG4,"?*")+$EU4</f>
        <v/>
      </c>
      <c r="FL4" s="152">
        <f>SUMPRODUCT($FB4:$FG4,INDEX($Q$2:$V$8,$DY4,0))</f>
        <v/>
      </c>
      <c r="FM4" s="152">
        <f>$FH4*CEILING($DY4/2,1)+$FI4*$DY4</f>
        <v/>
      </c>
      <c r="FN4" s="152">
        <f>MIN(2*$DY4,$FM4)</f>
        <v/>
      </c>
      <c r="FO4" s="152">
        <f>MIN($FN4,$FL4)</f>
        <v/>
      </c>
      <c r="FP4" s="152">
        <f>$FN4-$FO4</f>
        <v/>
      </c>
      <c r="FQ4" s="152">
        <f>3*$DY4-$FL4+$FO4</f>
        <v/>
      </c>
      <c r="FR4" s="152">
        <f>MAX(0,$FQ4)+$DW4*$DY4</f>
        <v/>
      </c>
      <c r="FS4" s="152">
        <f>(IF(COUNTIF($EB4:$EE4,"Salto")&gt;0,1,0)+IF(COUNTIF($EB4:$EE4,"Queima")&gt;0,1,0)+IF(COUNTIF($EB4:$EE4,"Estilhaço")&gt;0,1,0))*FLOOR($FR4/2,1)</f>
        <v/>
      </c>
      <c r="FT4" s="152">
        <f>MAX(0,3-SUMPRODUCT($FB4:$FG4,$Q$2:$V$2)+MIN(2,$FH4*1+$FI4*1,SUMPRODUCT($FB4:$FG4,$Q$2:$V$2)))+$DW4*1</f>
        <v/>
      </c>
      <c r="FU4" s="152">
        <f>MAX(0,6-SUMPRODUCT($FB4:$FG4,$Q$3:$V$3)+MIN(4,$FH4*1+$FI4*2,SUMPRODUCT($FB4:$FG4,$Q$3:$V$3)))+$DW4*2</f>
        <v/>
      </c>
      <c r="FV4" s="152">
        <f>MAX(0,9-SUMPRODUCT($FB4:$FG4,$Q$4:$V$4)+MIN(6,$FH4*2+$FI4*3,SUMPRODUCT($FB4:$FG4,$Q$4:$V$4)))+$DW4*3</f>
        <v/>
      </c>
      <c r="FW4" s="152">
        <f>MAX(0,12-SUMPRODUCT($FB4:$FG4,$Q$5:$V$5)+MIN(8,$FH4*2+$FI4*4,SUMPRODUCT($FB4:$FG4,$Q$5:$V$5)))+$DW4*4</f>
        <v/>
      </c>
      <c r="FX4" s="152">
        <f>MAX(0,15-SUMPRODUCT($FB4:$FG4,$Q$6:$V$6)+MIN(10,$FH4*3+$FI4*5,SUMPRODUCT($FB4:$FG4,$Q$6:$V$6)))+$DW4*5</f>
        <v/>
      </c>
      <c r="FY4" s="152">
        <f>MAX(0,18-SUMPRODUCT($FB4:$FG4,$Q$7:$V$7)+MIN(12,$FH4*3+$FI4*6,SUMPRODUCT($FB4:$FG4,$Q$7:$V$7)))+$DW4*6</f>
        <v/>
      </c>
      <c r="FZ4" s="152">
        <f>MAX(0,21-SUMPRODUCT($FB4:$FG4,$Q$8:$V$8)+MIN(14,$FH4*4+$FI4*7,SUMPRODUCT($FB4:$FG4,$Q$8:$V$8)))+$DW4*7</f>
        <v/>
      </c>
      <c r="GA4" s="152">
        <f>IF($EV4=2,3*$FT4&amp;" de vida temp.",IF($EV4=3,"sem dano",IF($FT4=0,IF($EV4=1,"sem cura","sem dano"),IF($EV4=1,"cura ","")&amp;$FT4&amp;"d8")))</f>
        <v/>
      </c>
      <c r="GB4" s="152">
        <f>IF($EV4=2,3*$FU4&amp;" de vida temp.",IF($EV4=3,"sem dano",IF($FU4=0,IF($EV4=1,"sem cura","sem dano"),IF($EV4=1,"cura ","")&amp;$FU4&amp;"d8")))</f>
        <v/>
      </c>
      <c r="GC4" s="152">
        <f>IF($EV4=2,3*$FV4&amp;" de vida temp.",IF($EV4=3,"sem dano",IF($FV4=0,IF($EV4=1,"sem cura","sem dano"),IF($EV4=1,"cura ","")&amp;$FV4&amp;"d8")))</f>
        <v/>
      </c>
      <c r="GD4" s="152">
        <f>IF($EV4=2,3*$FW4&amp;" de vida temp.",IF($EV4=3,"sem dano",IF($FW4=0,IF($EV4=1,"sem cura","sem dano"),IF($EV4=1,"cura ","")&amp;$FW4&amp;"d8")))</f>
        <v/>
      </c>
      <c r="GE4" s="152">
        <f>IF($EV4=2,3*$FX4&amp;" de vida temp.",IF($EV4=3,"sem dano",IF($FX4=0,IF($EV4=1,"sem cura","sem dano"),IF($EV4=1,"cura ","")&amp;$FX4&amp;"d8")))</f>
        <v/>
      </c>
      <c r="GF4" s="152">
        <f>IF($EV4=2,3*$FY4&amp;" de vida temp.",IF($EV4=3,"sem dano",IF($FY4=0,IF($EV4=1,"sem cura","sem dano"),IF($EV4=1,"cura ","")&amp;$FY4&amp;"d8")))</f>
        <v/>
      </c>
      <c r="GG4" s="152">
        <f>IF($EV4=2,3*$FZ4&amp;" de vida temp.",IF($EV4=3,"sem dano",IF($FZ4=0,IF($EV4=1,"sem cura","sem dano"),IF($EV4=1,"cura ","")&amp;$FZ4&amp;"d8")))</f>
        <v/>
      </c>
      <c r="GH4" s="152">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52">
        <f>IF($GH4="",0,(LEN($GH4)-LEN(SUBSTITUTE($GH4," · ","")))/3+1)</f>
        <v/>
      </c>
      <c r="GJ4" s="152">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52">
        <f>IF($GJ4="",0,(LEN($GJ4)-LEN(SUBSTITUTE($GJ4," · ","")))/3+1)</f>
        <v/>
      </c>
      <c r="GL4" s="152">
        <f>IF($EH4=0,IF($FJ4+$FK4-$EU4&gt;0,"Dê um nome",""),IF($GI4&gt;0,"⚠ "&amp;$GI4&amp;IF($GI4&gt;1," erros"," erro"),IF($GK4&gt;0,"! "&amp;$GK4&amp;IF($GK4&gt;1," avisos"," aviso"),"Na regra")))</f>
        <v/>
      </c>
      <c r="GM4" s="152">
        <f>IF($EH4=0,"",IF($GI4+$GK4=0,"Dentro das regras que a ficha confere",$GH4&amp;IF(AND($GI4&gt;0,$GK4&gt;0)," · ","")&amp;$GJ4))</f>
        <v/>
      </c>
      <c r="GN4" s="152">
        <f>IF($EH4=0,"",IF($DW4=1,CEILING(4.5*$DY4,1),3*$DY4)&amp;" PE")</f>
        <v/>
      </c>
      <c r="GO4" s="152">
        <f>IF($EH4=0,"",IF($DW4=1,"Rodada inteira",IF(COUNTIF($EZ4:$FA4,"Atrasar")&gt;0,IF(COUNTIF($EZ4:$FA4,"Carregar")&gt;0,"Rodada +1 turno","Rodada inteira"),IF(COUNTIF($EB4:$EE4,"Rápido")&gt;0,"Bônus",IF(COUNTIF($EB4:$EE4,"Reação")&gt;0,"Reação","Padrão"))&amp;IF(COUNTIF($EZ4:$FA4,"Carregar")&gt;0," +1 turno",""))))</f>
        <v/>
      </c>
      <c r="GP4" s="152">
        <f>IF(OR($EH4=0,$EI4=0),"",IF(COUNTIF($EB4:$EE4,"Inescapável")&gt;0,"Automático",IF(COUNTIF($EB4:$EE4,"Certeiro")&gt;0,"TR para metade",INDEX($AF$2:$AF$11,$EI4))))</f>
        <v/>
      </c>
      <c r="GQ4" s="152">
        <f>IF(OR($EH4=0,$EI4=0),"",IF(OR($EV4&gt;=2,$FR4=0),UPPER(LEFT(INDEX($GA4:$GG4,1,$DY4),1))&amp;MID(INDEX($GA4:$GG4,1,$DY4),2,99),UPPER(LEFT(INDEX($GA4:$GG4,1,$DY4),1))&amp;MID(INDEX($GA4:$GG4,1,$DY4),2,99)&amp;" = "&amp;FLOOR($FR4*4.5,1)&amp;IF($FS4&gt;0," · +"&amp;$FS4&amp;"d8","")))</f>
        <v/>
      </c>
      <c r="GR4" s="152">
        <f>COUNTIF($EB4:$EE4,"Longe")+3*COUNTIF($EB4:$EE4,"Muito Longe")</f>
        <v/>
      </c>
      <c r="GS4" s="152">
        <f>COUNTIF($EB4:$EE4,"Maior")+3*COUNTIF($EB4:$EE4,"Muito Maior")</f>
        <v/>
      </c>
      <c r="GT4" s="152">
        <f>IF($EI4=0,0,CHOOSE(1+INDEX($AH$2:$AH$11,$EI4),0,$GR4,$GS4,$GR4+$GS4))</f>
        <v/>
      </c>
      <c r="GU4" s="152">
        <f>IF($EI4=0,0,CHOOSE(1+INDEX($AI$2:$AI$11,$EI4),0,$GR4,$GS4,$GR4+$GS4))</f>
        <v/>
      </c>
      <c r="GV4" s="152">
        <f>IF(OR($EH4=0,$EI4=0),"",INDEX($AP$2:$AU$31,($EI4-1)*3+IF($DY4&gt;=6,3,2),1+MIN(5,$GT4))&amp;INDEX($AV$2:$BA$31,($EI4-1)*3+IF($DY4&gt;=6,3,2),1+MIN(5,$GU4))&amp;IF(INDEX($AJ$2:$AJ$11,$EI4)=1,IF(COUNTIF($EB4:$EE4,"Mais Um")&gt;0," · +"&amp;COUNTIF($EB4:$EE4,"Mais Um")&amp;IF(COUNTIF($EB4:$EE4,"Mais Um")&gt;1," alvos"," alvo"),"")&amp;IF(COUNTIF($EB4:$EE4,"Rajada")&gt;0," · "&amp;($DY4+1)&amp;" tiros",""),""))</f>
        <v/>
      </c>
      <c r="GW4" s="152">
        <f>IF($EH4=0,"",3*$DY4&amp;" − "&amp;$FL4&amp;" + "&amp;$FO4&amp;IF($DW4=1," + "&amp;$DY4,"")&amp;" = "&amp;$FR4&amp;"d8 · teto "&amp;4*$DY4&amp;IF($EU4=1," · a Forma devolve "&amp;$DY4,"")&amp;IF($FP4&gt;0," · perde "&amp;$FP4,""))</f>
        <v/>
      </c>
      <c r="GX4" s="152">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52">
        <f>IF(OR($EH4=0,$EK4=0),"","−"&amp;INDEX($Q$2:$V$8,$DY4,$EK4)&amp;" · "&amp;CHOOSE($EK4,"Leve","Média","Pesada","Leve · Livre","Média · Livre","Pesada · Livre"))</f>
        <v/>
      </c>
      <c r="GZ4" s="152">
        <f>IF(OR($EH4=0,$EL4=0),"","−"&amp;INDEX($Q$2:$V$8,$DY4,$EL4)&amp;" · "&amp;CHOOSE($EL4,"Leve","Média","Pesada","Leve · Livre","Média · Livre","Pesada · Livre"))</f>
        <v/>
      </c>
      <c r="HA4" s="152">
        <f>IF(OR($EH4=0,$EM4=0),"","−"&amp;INDEX($Q$2:$V$8,$DY4,$EM4)&amp;" · "&amp;CHOOSE($EM4,"Leve","Média","Pesada","Leve · Livre","Média · Livre","Pesada · Livre"))</f>
        <v/>
      </c>
      <c r="HB4" s="152">
        <f>IF(OR($EH4=0,$EN4=0),"","−"&amp;INDEX($Q$2:$V$8,$DY4,$EN4)&amp;" · "&amp;CHOOSE($EN4,"Leve","Média","Pesada","Leve · Livre","Média · Livre","Pesada · Livre"))</f>
        <v/>
      </c>
      <c r="HC4" s="152">
        <f>IF(OR($EH4=0,$EF4=""),"","+"&amp;IF($EX4=1,CEILING($DY4/2,1),$DY4))</f>
        <v/>
      </c>
      <c r="HD4" s="152">
        <f>IF(OR($EH4=0,$EG4=""),"","+"&amp;IF($EY4=1,CEILING($DY4/2,1),$DY4))</f>
        <v/>
      </c>
      <c r="HE4" s="152">
        <f>'FICHA AMALDIÇOADA'!$P$53&amp;""</f>
        <v/>
      </c>
      <c r="HF4" s="152">
        <f>IF(AND($EH4=1,$DW4=0),COUNTIFS($EH$2:$EH4,1,$DW$2:$DW4,0),"")</f>
        <v/>
      </c>
      <c r="HH4" s="150" t="inlineStr">
        <is>
          <t>maior classe</t>
        </is>
      </c>
      <c r="HI4" s="152">
        <f>MAX(1,MIN(7,N(FICHA!$Z$57)))</f>
        <v/>
      </c>
      <c r="HK4" s="150" t="inlineStr">
        <is>
          <t>Talento 3</t>
        </is>
      </c>
      <c r="HL4" s="152">
        <f>'FICHA AMALDIÇOADA'!$P$379&amp;""</f>
        <v/>
      </c>
      <c r="HM4" s="152">
        <f>IFERROR(VLOOKUP($HL4,$BR$2:$BX$24,2,FALSE),0)</f>
        <v/>
      </c>
      <c r="HN4" s="152">
        <f>IFERROR(VLOOKUP($HM4,$BZ$2:$CA$4,2,FALSE),0)</f>
        <v/>
      </c>
      <c r="HO4" s="152">
        <f>IFERROR(VLOOKUP($HL4,$BR$2:$BX$24,3,FALSE),"")</f>
        <v/>
      </c>
      <c r="HP4" s="152">
        <f>IF($HM4=0,"",IF($HN4&gt;$HI$2,"⚠ Nível "&amp;$HN4,"CE "&amp;$HM4))</f>
        <v/>
      </c>
      <c r="HQ4" s="152">
        <f>IF($HM4=0,"",$HM4&amp;" esp.")</f>
        <v/>
      </c>
      <c r="HR4" s="152">
        <f>'FICHA AMALDIÇOADA'!$Q$384&amp;""</f>
        <v/>
      </c>
      <c r="HS4" s="152">
        <f>IF($HL4="","",COUNTIF($HL$2:$HL4,"?*"))</f>
        <v/>
      </c>
      <c r="HU4" s="150" t="inlineStr">
        <is>
          <t>Aptidão 3</t>
        </is>
      </c>
      <c r="HV4" s="152">
        <f>'FICHA AMALDIÇOADA'!$P$430&amp;""</f>
        <v/>
      </c>
      <c r="HW4" s="152">
        <f>IF($HV4="","","Requisito: "&amp;IFERROR(VLOOKUP($HV4,$CC$2:$CL$33,2,FALSE),""))</f>
        <v/>
      </c>
      <c r="HX4" s="152">
        <f>IF($HV4="","",IFERROR(IF(ISNUMBER(VLOOKUP($HV4,$CC$2:$CL$33,3,FALSE)),"CE "&amp;VLOOKUP($HV4,$CC$2:$CL$33,3,FALSE),VLOOKUP($HV4,$CC$2:$CL$33,3,FALSE)),""))</f>
        <v/>
      </c>
      <c r="HY4" s="152">
        <f>IF($HV4="","",IFERROR(VLOOKUP($HV4,$CC$2:$CL$33,4,FALSE),""))</f>
        <v/>
      </c>
      <c r="HZ4" s="152">
        <f>IF($HV4="","",IFERROR(VLOOKUP($HV4,$CC$2:$CL$33,5,FALSE),""))</f>
        <v/>
      </c>
      <c r="IA4" s="152">
        <f>'FICHA AMALDIÇOADA'!$Q$447&amp;""</f>
        <v/>
      </c>
      <c r="IB4" s="152">
        <f>IF($HV4="","",COUNTIF($HV$2:$HV4,"?*"))</f>
        <v/>
      </c>
      <c r="ID4" s="150" t="inlineStr">
        <is>
          <t>Classe 0 · 3</t>
        </is>
      </c>
      <c r="IE4" s="152">
        <f>'FICHA AMALDIÇOADA'!$F$312&amp;""</f>
        <v/>
      </c>
      <c r="IF4" s="152">
        <f>'FICHA AMALDIÇOADA'!$J$312&amp;""</f>
        <v/>
      </c>
      <c r="IG4" s="152">
        <f>'FICHA AMALDIÇOADA'!$L$312&amp;""</f>
        <v/>
      </c>
      <c r="IH4" s="152">
        <f>IFERROR(MATCH($IE4,$Y$2:$Y$11,0),0)</f>
        <v/>
      </c>
      <c r="II4" s="152">
        <f>$HI$11-IF($IF4&lt;&gt;"",1,0)</f>
        <v/>
      </c>
      <c r="IJ4" s="152">
        <f>IF(3&gt;$HI$10,"Nível 5",IF($IH4=0,"",IF(INDEX($AE$2:$AE$11,$IH4)&gt;=2,"—",$II4&amp;"d8 = "&amp;FLOOR($II4*4.5,1))))</f>
        <v/>
      </c>
      <c r="IK4" s="152">
        <f>IF(OR(3&gt;$HI$10,$IH4=0),"",INDEX($AP$2:$AU$31,($IH4-1)*3+1,1+IF(OR(AND($IF4="Longe",INDEX($AH$2:$AH$11,$IH4)&lt;&gt;2),AND($IF4="Maior",INDEX($AH$2:$AH$11,$IH4)&gt;=2)),1,0))&amp;INDEX($AV$2:$BA$31,($IH4-1)*3+1,1+IF(AND($IF4="Longe",INDEX($AI$2:$AI$11,$IH4)=1),1,0)))</f>
        <v/>
      </c>
      <c r="IM4" s="152">
        <f>INDEX($D$3:$G$3,1,$A$2)</f>
        <v/>
      </c>
      <c r="IN4" s="152">
        <f>ADDRESS(ROW('FICHA AMALDIÇOADA'!F7),COLUMN('FICHA AMALDIÇOADA'!F7),4)</f>
        <v/>
      </c>
      <c r="IO4" s="152">
        <f>ADDRESS(ROW('FICHA AMALDIÇOADA'!D48),COLUMN('FICHA AMALDIÇOADA'!D48),4)</f>
        <v/>
      </c>
      <c r="IP4" s="150" t="inlineStr">
        <is>
          <t>DADOS_AM!$IM$4</t>
        </is>
      </c>
      <c r="IR4" s="150" t="inlineStr">
        <is>
          <t>Caminho 15</t>
        </is>
      </c>
      <c r="IS4" s="152" t="n">
        <v>15</v>
      </c>
      <c r="IT4" s="152">
        <f>IF($HI$2&gt;=15,"Nível 15","Abre no 15")</f>
        <v/>
      </c>
      <c r="IU4" s="152">
        <f>ADDRESS(ROW(FICHA!G104),COLUMN(FICHA!G104),4)</f>
        <v/>
      </c>
      <c r="IV4" s="152">
        <f>ADDRESS(ROW(FICHA!D105),COLUMN(FICHA!D105),4)</f>
        <v/>
      </c>
      <c r="IX4" s="150" t="inlineStr">
        <is>
          <t>Trilha · Anotações</t>
        </is>
      </c>
      <c r="IY4" s="152">
        <f>ADDRESS(ROW(FICHA!D160),COLUMN(FICHA!D160),4)</f>
        <v/>
      </c>
      <c r="JD4" s="152" t="n">
        <v>3</v>
      </c>
      <c r="JE4" s="152">
        <f>IFERROR(MATCH(3,$HF$2:$HF$37,0),0)</f>
        <v/>
      </c>
      <c r="JF4" s="152">
        <f>IF($JE4=0,"",INDEX($DY$2:$DY$37,$JE4))</f>
        <v/>
      </c>
      <c r="JG4" s="152">
        <f>IF($JE4=0,"",INDEX($DZ$2:$DZ$37,$JE4))</f>
        <v/>
      </c>
      <c r="JH4" s="152">
        <f>IF($JE4=0,"",INDEX($GN$2:$GN$37,$JE4))</f>
        <v/>
      </c>
      <c r="JI4" s="152">
        <f>IF($JE4=0,"",INDEX($EA$2:$EA$37,$JE4))</f>
        <v/>
      </c>
      <c r="JJ4" s="152">
        <f>IF($JE4=0,"",INDEX($GP$2:$GP$37,$JE4))</f>
        <v/>
      </c>
      <c r="JK4" s="152">
        <f>IF($JE4=0,"",INDEX($HE$2:$HE$37,$JE4))</f>
        <v/>
      </c>
      <c r="JM4" s="152" t="n">
        <v>3</v>
      </c>
      <c r="JN4" s="152">
        <f>IF($EH$40=0,"",$DY$40)</f>
        <v/>
      </c>
      <c r="JO4" s="152">
        <f>IF($EH$40=0,"",$DZ$40)</f>
        <v/>
      </c>
      <c r="JP4" s="152">
        <f>IF($EH$40=0,"",$GN$40)</f>
        <v/>
      </c>
      <c r="JQ4" s="152">
        <f>IF($EH$40=0,"",$EA$40)</f>
        <v/>
      </c>
      <c r="JR4" s="152">
        <f>IF($EH$40=0,"",$GP$40)</f>
        <v/>
      </c>
      <c r="JS4" s="152">
        <f>IF($EH$40=0,"",$HE$40)</f>
        <v/>
      </c>
      <c r="KB4" s="150" t="inlineStr">
        <is>
          <t>Talento 1</t>
        </is>
      </c>
      <c r="KC4" s="152">
        <f>IFERROR(MATCH(1,$HS$2:$HS$13,0),0)</f>
        <v/>
      </c>
      <c r="KD4" s="152">
        <f>IF($KC4=0,"",IF(INDEX($HM$2:$HM$13,$KC4)=0,"","CE "&amp;INDEX($HM$2:$HM$13,$KC4)))</f>
        <v/>
      </c>
      <c r="KE4" s="152">
        <f>IF($KC4=0,"",INDEX($HL$2:$HL$13,$KC4))</f>
        <v/>
      </c>
      <c r="KF4" s="152">
        <f>IF($KC4=0,"",IF(INDEX($HR$2:$HR$13,$KC4)&lt;&gt;"",INDEX($HR$2:$HR$13,$KC4),IF(IFERROR(VLOOKUP(INDEX($HL$2:$HL$13,$KC4),$BR$2:$BX$24,7,FALSE),"")&lt;&gt;"","Do livro: "&amp;IFERROR(VLOOKUP(INDEX($HL$2:$HL$13,$KC4),$BR$2:$BX$24,7,FALSE),""),"")))</f>
        <v/>
      </c>
      <c r="KH4" s="150" t="inlineStr">
        <is>
          <t>Aptidão 1</t>
        </is>
      </c>
      <c r="KI4" s="152">
        <f>IFERROR(MATCH(1,$IB$2:$IB$13,0),0)</f>
        <v/>
      </c>
      <c r="KJ4" s="152">
        <f>IF($KI4=0,"",INDEX($HX$2:$HX$13,$KI4))</f>
        <v/>
      </c>
      <c r="KK4" s="152">
        <f>IF($KI4=0,"",INDEX($HV$2:$HV$13,$KI4))</f>
        <v/>
      </c>
      <c r="KL4" s="152">
        <f>IF($KI4=0,"",IF(INDEX($IA$2:$IA$13,$KI4)&lt;&gt;"",INDEX($IA$2:$IA$13,$KI4),IF(IFERROR(VLOOKUP(INDEX($HV$2:$HV$13,$KI4),$CC$2:$CL$33,10,FALSE),"")&lt;&gt;"","Do livro: "&amp;IFERROR(VLOOKUP(INDEX($HV$2:$HV$13,$KI4),$CC$2:$CL$33,10,FALSE),""),"")))</f>
        <v/>
      </c>
      <c r="KN4" s="150" t="inlineStr">
        <is>
          <t>máximas</t>
        </is>
      </c>
      <c r="KO4" s="152">
        <f>UPPER(INDEX($D$4:$G$4,1,$A$2))&amp;", "&amp;UPPER(INDEX($D$5:$G$5,1,$A$2))&amp;IF(DADOS_AM!$A$2=1," E DOMÍNIO","")</f>
        <v/>
      </c>
      <c r="KQ4" s="150" t="inlineStr">
        <is>
          <t>P12</t>
        </is>
      </c>
      <c r="KR4" s="152">
        <f>IF(DADOS_AM!$HI$41=1,IF(DADOS_AM!$HI$48=0,"—",IF(DADOS_AM!$HI$48=1,"d20 + "&amp;(DADOS_AM!$HI$3+IF(DADOS_AM!$HI$42&lt;&gt;"",DADOS_AM!$HI$45,IF(DADOS_AM!$HI$43&lt;&gt;"",DADOS_AM!$HI$46,DADOS_AM!$HI$47))+IFERROR(VALUE(FICHA!$W$47&amp;""),0)),"Por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L5" s="150" t="inlineStr">
        <is>
          <t>Gesto</t>
        </is>
      </c>
      <c r="BM5" s="150" t="inlineStr">
        <is>
          <t>Gesto</t>
        </is>
      </c>
      <c r="BN5" s="152" t="n">
        <v>1</v>
      </c>
      <c r="BO5" s="152" t="n">
        <v>0</v>
      </c>
      <c r="BP5" s="150" t="inlineStr">
        <is>
          <t>Gesto</t>
        </is>
      </c>
      <c r="BR5" s="150" t="inlineStr">
        <is>
          <t>Mão Firme</t>
        </is>
      </c>
      <c r="BS5" s="152" t="n">
        <v>1</v>
      </c>
      <c r="BT5" s="150" t="inlineStr">
        <is>
          <t>Quando uma ocorrência de dano causar 10 pontos ou menos, você não precisa fazer o teste para manter Concentração ou Carregar. Confira o dano de cada ocorrência depois das reduções aplicáveis. Não some todos os golpes da rodada.</t>
        </is>
      </c>
      <c r="BU5" s="152" t="n">
        <v>1</v>
      </c>
      <c r="BV5" s="152" t="n">
        <v>0</v>
      </c>
      <c r="BW5" s="152">
        <f>IF(OR(AND($A$2&lt;=2,$BU5=1),AND($A$2&gt;=2,$BV5=1)),$BR5,"")</f>
        <v/>
      </c>
      <c r="BX5" s="150" t="inlineStr">
        <is>
          <t>Quando uma ocorrência de dano causar 10 pontos ou menos, você não precisa fazer o teste para manter Concentração ou Carregar. Confira o dano de cada ocorrência depois das reduções aplicáveis. Não some todos os golpes da rodada.</t>
        </is>
      </c>
      <c r="CC5" s="150" t="inlineStr">
        <is>
          <t>Energia Reversa</t>
        </is>
      </c>
      <c r="CD5" s="150" t="inlineStr">
        <is>
          <t>Refino 7 e nível 14</t>
        </is>
      </c>
      <c r="CE5" s="152" t="n">
        <v>3</v>
      </c>
      <c r="CF5" s="150" t="inlineStr">
        <is>
          <t>—</t>
        </is>
      </c>
      <c r="CG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52">
        <f>IF($CK5=1,"",IF($A$2=4,IF($CI5=1,$CC5,""),IF(OR($CI5=1,AND($A$2=3,$CJ5=1)),"",$CC5)))</f>
        <v/>
      </c>
      <c r="CI5" s="152" t="n">
        <v>0</v>
      </c>
      <c r="CJ5" s="152" t="n">
        <v>0</v>
      </c>
      <c r="CK5" s="152" t="n">
        <v>0</v>
      </c>
      <c r="CL5" s="150" t="inlineStr">
        <is>
          <t>Você usa energia reversa para restaurar seu próprio corpo.</t>
        </is>
      </c>
      <c r="CN5" s="150" t="inlineStr">
        <is>
          <t>Aptidão Própria</t>
        </is>
      </c>
      <c r="CR5" s="152">
        <f>IF($A$2=2,IFERROR(INDEX($CN$2:$CN$5,4),""),IF($A$2&gt;=3,IFERROR(INDEX($CP$2:$CP$4,4),""),""))</f>
        <v/>
      </c>
      <c r="CT5" s="150" t="inlineStr">
        <is>
          <t>Arremesso</t>
        </is>
      </c>
      <c r="CU5" s="152" t="n">
        <v>1</v>
      </c>
      <c r="CV5" s="152" t="n">
        <v>1</v>
      </c>
      <c r="CW5" s="152">
        <f>IF(AND($A$2&gt;=3,'FICHA AMALDIÇOADA'!$J$16&amp;""="Três grupos de arma"),$CT5,"")</f>
        <v/>
      </c>
      <c r="CY5" s="152" t="n">
        <v>17</v>
      </c>
      <c r="CZ5" s="152" t="n">
        <v>5</v>
      </c>
      <c r="DA5" s="152" t="n">
        <v>5</v>
      </c>
      <c r="DE5" s="152" t="n">
        <v>6</v>
      </c>
      <c r="DQ5" s="150" t="inlineStr">
        <is>
          <t>Pacto de restrição</t>
        </is>
      </c>
      <c r="DR5" s="150" t="inlineStr">
        <is>
          <t>Na criação, com a Origem ou técnica</t>
        </is>
      </c>
      <c r="DV5" s="150" t="inlineStr">
        <is>
          <t>Feitiço 4</t>
        </is>
      </c>
      <c r="DW5" s="152" t="n">
        <v>0</v>
      </c>
      <c r="DX5" s="152" t="n">
        <v>4</v>
      </c>
      <c r="DY5" s="152">
        <f>MAX(1,MIN(7,N('FICHA AMALDIÇOADA'!$D$72)))</f>
        <v/>
      </c>
      <c r="DZ5" s="152">
        <f>'FICHA AMALDIÇOADA'!$E$72&amp;""</f>
        <v/>
      </c>
      <c r="EA5" s="152">
        <f>'FICHA AMALDIÇOADA'!$D$79&amp;""</f>
        <v/>
      </c>
      <c r="EB5" s="152">
        <f>'FICHA AMALDIÇOADA'!$E$81&amp;""</f>
        <v/>
      </c>
      <c r="EC5" s="152">
        <f>'FICHA AMALDIÇOADA'!$E$82&amp;""</f>
        <v/>
      </c>
      <c r="ED5" s="152">
        <f>'FICHA AMALDIÇOADA'!$E$83&amp;""</f>
        <v/>
      </c>
      <c r="EE5" s="152">
        <f>'FICHA AMALDIÇOADA'!$E$84&amp;""</f>
        <v/>
      </c>
      <c r="EF5" s="152">
        <f>'FICHA AMALDIÇOADA'!$E$85&amp;""</f>
        <v/>
      </c>
      <c r="EG5" s="152">
        <f>'FICHA AMALDIÇOADA'!$E$86&amp;""</f>
        <v/>
      </c>
      <c r="EH5" s="152">
        <f>IF($DZ5&lt;&gt;"",1,0)</f>
        <v/>
      </c>
      <c r="EI5" s="152">
        <f>IFERROR(MATCH($EA5,$Y$2:$Y$11,0),0)</f>
        <v/>
      </c>
      <c r="EJ5" s="152">
        <f>IF($EI5=0,0,INDEX($AB$2:$AB$11,$EI5))</f>
        <v/>
      </c>
      <c r="EK5" s="152">
        <f>IFERROR(VLOOKUP($EB5,$BC$2:$BJ$84,4,FALSE),0)</f>
        <v/>
      </c>
      <c r="EL5" s="152">
        <f>IFERROR(VLOOKUP($EC5,$BC$2:$BJ$84,4,FALSE),0)</f>
        <v/>
      </c>
      <c r="EM5" s="152">
        <f>IFERROR(VLOOKUP($ED5,$BC$2:$BJ$84,4,FALSE),0)</f>
        <v/>
      </c>
      <c r="EN5" s="152">
        <f>IFERROR(VLOOKUP($EE5,$BC$2:$BJ$84,4,FALSE),0)</f>
        <v/>
      </c>
      <c r="EO5" s="152">
        <f>IF($EI5=0,0,INDEX($AC$2:$AC$11,$EI5))</f>
        <v/>
      </c>
      <c r="EP5" s="152">
        <f>IFERROR(VLOOKUP($EB5,$BC$2:$BJ$84,5,FALSE),0)</f>
        <v/>
      </c>
      <c r="EQ5" s="152">
        <f>IFERROR(VLOOKUP($EC5,$BC$2:$BJ$84,5,FALSE),0)</f>
        <v/>
      </c>
      <c r="ER5" s="152">
        <f>IFERROR(VLOOKUP($ED5,$BC$2:$BJ$84,5,FALSE),0)</f>
        <v/>
      </c>
      <c r="ES5" s="152">
        <f>IFERROR(VLOOKUP($EE5,$BC$2:$BJ$84,5,FALSE),0)</f>
        <v/>
      </c>
      <c r="ET5" s="152">
        <f>IFERROR(VLOOKUP($EB5,$BC$2:$BJ$84,6,FALSE),0)+IFERROR(VLOOKUP($EC5,$BC$2:$BJ$84,6,FALSE),0)+IFERROR(VLOOKUP($ED5,$BC$2:$BJ$84,6,FALSE),0)+IFERROR(VLOOKUP($EE5,$BC$2:$BJ$84,6,FALSE),0)</f>
        <v/>
      </c>
      <c r="EU5" s="152">
        <f>IF($EI5=0,0,INDEX($AD$2:$AD$11,$EI5))</f>
        <v/>
      </c>
      <c r="EV5" s="152">
        <f>IF($EI5=0,0,INDEX($AE$2:$AE$11,$EI5))</f>
        <v/>
      </c>
      <c r="EW5" s="152">
        <f>IF($EI5=0,0,INDEX($AG$2:$AG$11,$EI5))</f>
        <v/>
      </c>
      <c r="EX5" s="152">
        <f>IFERROR(VLOOKUP($EF5,$BL$2:$BP$24,3,FALSE),0)</f>
        <v/>
      </c>
      <c r="EY5" s="152">
        <f>IFERROR(VLOOKUP($EG5,$BL$2:$BP$24,3,FALSE),0)</f>
        <v/>
      </c>
      <c r="EZ5" s="152">
        <f>IFERROR(VLOOKUP($EF5,$BL$2:$BP$24,2,FALSE),"")</f>
        <v/>
      </c>
      <c r="FA5" s="152">
        <f>IFERROR(VLOOKUP($EG5,$BL$2:$BP$24,2,FALSE),"")</f>
        <v/>
      </c>
      <c r="FB5" s="152">
        <f>COUNTIF($EJ5:$EN5,1)</f>
        <v/>
      </c>
      <c r="FC5" s="152">
        <f>COUNTIF($EJ5:$EN5,2)</f>
        <v/>
      </c>
      <c r="FD5" s="152">
        <f>COUNTIF($EJ5:$EN5,3)</f>
        <v/>
      </c>
      <c r="FE5" s="152">
        <f>COUNTIF($EJ5:$EN5,4)</f>
        <v/>
      </c>
      <c r="FF5" s="152">
        <f>COUNTIF($EJ5:$EN5,5)</f>
        <v/>
      </c>
      <c r="FG5" s="152">
        <f>COUNTIF($EJ5:$EN5,6)</f>
        <v/>
      </c>
      <c r="FH5" s="152">
        <f>COUNTIF($EX5:$EY5,1)</f>
        <v/>
      </c>
      <c r="FI5" s="152">
        <f>COUNTIF($EX5:$EY5,2)+$EU5</f>
        <v/>
      </c>
      <c r="FJ5" s="152">
        <f>COUNTIF($EB5:$EE5,"?*")</f>
        <v/>
      </c>
      <c r="FK5" s="152">
        <f>COUNTIF($EF5:$EG5,"?*")+$EU5</f>
        <v/>
      </c>
      <c r="FL5" s="152">
        <f>SUMPRODUCT($FB5:$FG5,INDEX($Q$2:$V$8,$DY5,0))</f>
        <v/>
      </c>
      <c r="FM5" s="152">
        <f>$FH5*CEILING($DY5/2,1)+$FI5*$DY5</f>
        <v/>
      </c>
      <c r="FN5" s="152">
        <f>MIN(2*$DY5,$FM5)</f>
        <v/>
      </c>
      <c r="FO5" s="152">
        <f>MIN($FN5,$FL5)</f>
        <v/>
      </c>
      <c r="FP5" s="152">
        <f>$FN5-$FO5</f>
        <v/>
      </c>
      <c r="FQ5" s="152">
        <f>3*$DY5-$FL5+$FO5</f>
        <v/>
      </c>
      <c r="FR5" s="152">
        <f>MAX(0,$FQ5)+$DW5*$DY5</f>
        <v/>
      </c>
      <c r="FS5" s="152">
        <f>(IF(COUNTIF($EB5:$EE5,"Salto")&gt;0,1,0)+IF(COUNTIF($EB5:$EE5,"Queima")&gt;0,1,0)+IF(COUNTIF($EB5:$EE5,"Estilhaço")&gt;0,1,0))*FLOOR($FR5/2,1)</f>
        <v/>
      </c>
      <c r="FT5" s="152">
        <f>MAX(0,3-SUMPRODUCT($FB5:$FG5,$Q$2:$V$2)+MIN(2,$FH5*1+$FI5*1,SUMPRODUCT($FB5:$FG5,$Q$2:$V$2)))+$DW5*1</f>
        <v/>
      </c>
      <c r="FU5" s="152">
        <f>MAX(0,6-SUMPRODUCT($FB5:$FG5,$Q$3:$V$3)+MIN(4,$FH5*1+$FI5*2,SUMPRODUCT($FB5:$FG5,$Q$3:$V$3)))+$DW5*2</f>
        <v/>
      </c>
      <c r="FV5" s="152">
        <f>MAX(0,9-SUMPRODUCT($FB5:$FG5,$Q$4:$V$4)+MIN(6,$FH5*2+$FI5*3,SUMPRODUCT($FB5:$FG5,$Q$4:$V$4)))+$DW5*3</f>
        <v/>
      </c>
      <c r="FW5" s="152">
        <f>MAX(0,12-SUMPRODUCT($FB5:$FG5,$Q$5:$V$5)+MIN(8,$FH5*2+$FI5*4,SUMPRODUCT($FB5:$FG5,$Q$5:$V$5)))+$DW5*4</f>
        <v/>
      </c>
      <c r="FX5" s="152">
        <f>MAX(0,15-SUMPRODUCT($FB5:$FG5,$Q$6:$V$6)+MIN(10,$FH5*3+$FI5*5,SUMPRODUCT($FB5:$FG5,$Q$6:$V$6)))+$DW5*5</f>
        <v/>
      </c>
      <c r="FY5" s="152">
        <f>MAX(0,18-SUMPRODUCT($FB5:$FG5,$Q$7:$V$7)+MIN(12,$FH5*3+$FI5*6,SUMPRODUCT($FB5:$FG5,$Q$7:$V$7)))+$DW5*6</f>
        <v/>
      </c>
      <c r="FZ5" s="152">
        <f>MAX(0,21-SUMPRODUCT($FB5:$FG5,$Q$8:$V$8)+MIN(14,$FH5*4+$FI5*7,SUMPRODUCT($FB5:$FG5,$Q$8:$V$8)))+$DW5*7</f>
        <v/>
      </c>
      <c r="GA5" s="152">
        <f>IF($EV5=2,3*$FT5&amp;" de vida temp.",IF($EV5=3,"sem dano",IF($FT5=0,IF($EV5=1,"sem cura","sem dano"),IF($EV5=1,"cura ","")&amp;$FT5&amp;"d8")))</f>
        <v/>
      </c>
      <c r="GB5" s="152">
        <f>IF($EV5=2,3*$FU5&amp;" de vida temp.",IF($EV5=3,"sem dano",IF($FU5=0,IF($EV5=1,"sem cura","sem dano"),IF($EV5=1,"cura ","")&amp;$FU5&amp;"d8")))</f>
        <v/>
      </c>
      <c r="GC5" s="152">
        <f>IF($EV5=2,3*$FV5&amp;" de vida temp.",IF($EV5=3,"sem dano",IF($FV5=0,IF($EV5=1,"sem cura","sem dano"),IF($EV5=1,"cura ","")&amp;$FV5&amp;"d8")))</f>
        <v/>
      </c>
      <c r="GD5" s="152">
        <f>IF($EV5=2,3*$FW5&amp;" de vida temp.",IF($EV5=3,"sem dano",IF($FW5=0,IF($EV5=1,"sem cura","sem dano"),IF($EV5=1,"cura ","")&amp;$FW5&amp;"d8")))</f>
        <v/>
      </c>
      <c r="GE5" s="152">
        <f>IF($EV5=2,3*$FX5&amp;" de vida temp.",IF($EV5=3,"sem dano",IF($FX5=0,IF($EV5=1,"sem cura","sem dano"),IF($EV5=1,"cura ","")&amp;$FX5&amp;"d8")))</f>
        <v/>
      </c>
      <c r="GF5" s="152">
        <f>IF($EV5=2,3*$FY5&amp;" de vida temp.",IF($EV5=3,"sem dano",IF($FY5=0,IF($EV5=1,"sem cura","sem dano"),IF($EV5=1,"cura ","")&amp;$FY5&amp;"d8")))</f>
        <v/>
      </c>
      <c r="GG5" s="152">
        <f>IF($EV5=2,3*$FZ5&amp;" de vida temp.",IF($EV5=3,"sem dano",IF($FZ5=0,IF($EV5=1,"sem cura","sem dano"),IF($EV5=1,"cura ","")&amp;$FZ5&amp;"d8")))</f>
        <v/>
      </c>
      <c r="GH5" s="152">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52">
        <f>IF($GH5="",0,(LEN($GH5)-LEN(SUBSTITUTE($GH5," · ","")))/3+1)</f>
        <v/>
      </c>
      <c r="GJ5" s="152">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52">
        <f>IF($GJ5="",0,(LEN($GJ5)-LEN(SUBSTITUTE($GJ5," · ","")))/3+1)</f>
        <v/>
      </c>
      <c r="GL5" s="152">
        <f>IF($EH5=0,IF($FJ5+$FK5-$EU5&gt;0,"Dê um nome",""),IF($GI5&gt;0,"⚠ "&amp;$GI5&amp;IF($GI5&gt;1," erros"," erro"),IF($GK5&gt;0,"! "&amp;$GK5&amp;IF($GK5&gt;1," avisos"," aviso"),"Na regra")))</f>
        <v/>
      </c>
      <c r="GM5" s="152">
        <f>IF($EH5=0,"",IF($GI5+$GK5=0,"Dentro das regras que a ficha confere",$GH5&amp;IF(AND($GI5&gt;0,$GK5&gt;0)," · ","")&amp;$GJ5))</f>
        <v/>
      </c>
      <c r="GN5" s="152">
        <f>IF($EH5=0,"",IF($DW5=1,CEILING(4.5*$DY5,1),3*$DY5)&amp;" PE")</f>
        <v/>
      </c>
      <c r="GO5" s="152">
        <f>IF($EH5=0,"",IF($DW5=1,"Rodada inteira",IF(COUNTIF($EZ5:$FA5,"Atrasar")&gt;0,IF(COUNTIF($EZ5:$FA5,"Carregar")&gt;0,"Rodada +1 turno","Rodada inteira"),IF(COUNTIF($EB5:$EE5,"Rápido")&gt;0,"Bônus",IF(COUNTIF($EB5:$EE5,"Reação")&gt;0,"Reação","Padrão"))&amp;IF(COUNTIF($EZ5:$FA5,"Carregar")&gt;0," +1 turno",""))))</f>
        <v/>
      </c>
      <c r="GP5" s="152">
        <f>IF(OR($EH5=0,$EI5=0),"",IF(COUNTIF($EB5:$EE5,"Inescapável")&gt;0,"Automático",IF(COUNTIF($EB5:$EE5,"Certeiro")&gt;0,"TR para metade",INDEX($AF$2:$AF$11,$EI5))))</f>
        <v/>
      </c>
      <c r="GQ5" s="152">
        <f>IF(OR($EH5=0,$EI5=0),"",IF(OR($EV5&gt;=2,$FR5=0),UPPER(LEFT(INDEX($GA5:$GG5,1,$DY5),1))&amp;MID(INDEX($GA5:$GG5,1,$DY5),2,99),UPPER(LEFT(INDEX($GA5:$GG5,1,$DY5),1))&amp;MID(INDEX($GA5:$GG5,1,$DY5),2,99)&amp;" = "&amp;FLOOR($FR5*4.5,1)&amp;IF($FS5&gt;0," · +"&amp;$FS5&amp;"d8","")))</f>
        <v/>
      </c>
      <c r="GR5" s="152">
        <f>COUNTIF($EB5:$EE5,"Longe")+3*COUNTIF($EB5:$EE5,"Muito Longe")</f>
        <v/>
      </c>
      <c r="GS5" s="152">
        <f>COUNTIF($EB5:$EE5,"Maior")+3*COUNTIF($EB5:$EE5,"Muito Maior")</f>
        <v/>
      </c>
      <c r="GT5" s="152">
        <f>IF($EI5=0,0,CHOOSE(1+INDEX($AH$2:$AH$11,$EI5),0,$GR5,$GS5,$GR5+$GS5))</f>
        <v/>
      </c>
      <c r="GU5" s="152">
        <f>IF($EI5=0,0,CHOOSE(1+INDEX($AI$2:$AI$11,$EI5),0,$GR5,$GS5,$GR5+$GS5))</f>
        <v/>
      </c>
      <c r="GV5" s="152">
        <f>IF(OR($EH5=0,$EI5=0),"",INDEX($AP$2:$AU$31,($EI5-1)*3+IF($DY5&gt;=6,3,2),1+MIN(5,$GT5))&amp;INDEX($AV$2:$BA$31,($EI5-1)*3+IF($DY5&gt;=6,3,2),1+MIN(5,$GU5))&amp;IF(INDEX($AJ$2:$AJ$11,$EI5)=1,IF(COUNTIF($EB5:$EE5,"Mais Um")&gt;0," · +"&amp;COUNTIF($EB5:$EE5,"Mais Um")&amp;IF(COUNTIF($EB5:$EE5,"Mais Um")&gt;1," alvos"," alvo"),"")&amp;IF(COUNTIF($EB5:$EE5,"Rajada")&gt;0," · "&amp;($DY5+1)&amp;" tiros",""),""))</f>
        <v/>
      </c>
      <c r="GW5" s="152">
        <f>IF($EH5=0,"",3*$DY5&amp;" − "&amp;$FL5&amp;" + "&amp;$FO5&amp;IF($DW5=1," + "&amp;$DY5,"")&amp;" = "&amp;$FR5&amp;"d8 · teto "&amp;4*$DY5&amp;IF($EU5=1," · a Forma devolve "&amp;$DY5,"")&amp;IF($FP5&gt;0," · perde "&amp;$FP5,""))</f>
        <v/>
      </c>
      <c r="GX5" s="152">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52">
        <f>IF(OR($EH5=0,$EK5=0),"","−"&amp;INDEX($Q$2:$V$8,$DY5,$EK5)&amp;" · "&amp;CHOOSE($EK5,"Leve","Média","Pesada","Leve · Livre","Média · Livre","Pesada · Livre"))</f>
        <v/>
      </c>
      <c r="GZ5" s="152">
        <f>IF(OR($EH5=0,$EL5=0),"","−"&amp;INDEX($Q$2:$V$8,$DY5,$EL5)&amp;" · "&amp;CHOOSE($EL5,"Leve","Média","Pesada","Leve · Livre","Média · Livre","Pesada · Livre"))</f>
        <v/>
      </c>
      <c r="HA5" s="152">
        <f>IF(OR($EH5=0,$EM5=0),"","−"&amp;INDEX($Q$2:$V$8,$DY5,$EM5)&amp;" · "&amp;CHOOSE($EM5,"Leve","Média","Pesada","Leve · Livre","Média · Livre","Pesada · Livre"))</f>
        <v/>
      </c>
      <c r="HB5" s="152">
        <f>IF(OR($EH5=0,$EN5=0),"","−"&amp;INDEX($Q$2:$V$8,$DY5,$EN5)&amp;" · "&amp;CHOOSE($EN5,"Leve","Média","Pesada","Leve · Livre","Média · Livre","Pesada · Livre"))</f>
        <v/>
      </c>
      <c r="HC5" s="152">
        <f>IF(OR($EH5=0,$EF5=""),"","+"&amp;IF($EX5=1,CEILING($DY5/2,1),$DY5))</f>
        <v/>
      </c>
      <c r="HD5" s="152">
        <f>IF(OR($EH5=0,$EG5=""),"","+"&amp;IF($EY5=1,CEILING($DY5/2,1),$DY5))</f>
        <v/>
      </c>
      <c r="HE5" s="152">
        <f>'FICHA AMALDIÇOADA'!$D$74&amp;""</f>
        <v/>
      </c>
      <c r="HF5" s="152">
        <f>IF(AND($EH5=1,$DW5=0),COUNTIFS($EH$2:$EH5,1,$DW$2:$DW5,0),"")</f>
        <v/>
      </c>
      <c r="HH5" s="150" t="inlineStr">
        <is>
          <t>marcos</t>
        </is>
      </c>
      <c r="HI5" s="152">
        <f>N(DADOS!$AK$5)</f>
        <v/>
      </c>
      <c r="HK5" s="150" t="inlineStr">
        <is>
          <t>Talento 4</t>
        </is>
      </c>
      <c r="HL5" s="152">
        <f>'FICHA AMALDIÇOADA'!$D$387&amp;""</f>
        <v/>
      </c>
      <c r="HM5" s="152">
        <f>IFERROR(VLOOKUP($HL5,$BR$2:$BX$24,2,FALSE),0)</f>
        <v/>
      </c>
      <c r="HN5" s="152">
        <f>IFERROR(VLOOKUP($HM5,$BZ$2:$CA$4,2,FALSE),0)</f>
        <v/>
      </c>
      <c r="HO5" s="152">
        <f>IFERROR(VLOOKUP($HL5,$BR$2:$BX$24,3,FALSE),"")</f>
        <v/>
      </c>
      <c r="HP5" s="152">
        <f>IF($HM5=0,"",IF($HN5&gt;$HI$2,"⚠ Nível "&amp;$HN5,"CE "&amp;$HM5))</f>
        <v/>
      </c>
      <c r="HQ5" s="152">
        <f>IF($HM5=0,"",$HM5&amp;" esp.")</f>
        <v/>
      </c>
      <c r="HR5" s="152">
        <f>'FICHA AMALDIÇOADA'!$E$392&amp;""</f>
        <v/>
      </c>
      <c r="HS5" s="152">
        <f>IF($HL5="","",COUNTIF($HL$2:$HL5,"?*"))</f>
        <v/>
      </c>
      <c r="HU5" s="150" t="inlineStr">
        <is>
          <t>Aptidão 4</t>
        </is>
      </c>
      <c r="HV5" s="152">
        <f>'FICHA AMALDIÇOADA'!$D$450&amp;""</f>
        <v/>
      </c>
      <c r="HW5" s="152">
        <f>IF($HV5="","","Requisito: "&amp;IFERROR(VLOOKUP($HV5,$CC$2:$CL$33,2,FALSE),""))</f>
        <v/>
      </c>
      <c r="HX5" s="152">
        <f>IF($HV5="","",IFERROR(IF(ISNUMBER(VLOOKUP($HV5,$CC$2:$CL$33,3,FALSE)),"CE "&amp;VLOOKUP($HV5,$CC$2:$CL$33,3,FALSE),VLOOKUP($HV5,$CC$2:$CL$33,3,FALSE)),""))</f>
        <v/>
      </c>
      <c r="HY5" s="152">
        <f>IF($HV5="","",IFERROR(VLOOKUP($HV5,$CC$2:$CL$33,4,FALSE),""))</f>
        <v/>
      </c>
      <c r="HZ5" s="152">
        <f>IF($HV5="","",IFERROR(VLOOKUP($HV5,$CC$2:$CL$33,5,FALSE),""))</f>
        <v/>
      </c>
      <c r="IA5" s="152">
        <f>'FICHA AMALDIÇOADA'!$E$467&amp;""</f>
        <v/>
      </c>
      <c r="IB5" s="152">
        <f>IF($HV5="","",COUNTIF($HV$2:$HV5,"?*"))</f>
        <v/>
      </c>
      <c r="ID5" s="150" t="inlineStr">
        <is>
          <t>Classe 0 · 4</t>
        </is>
      </c>
      <c r="IE5" s="152">
        <f>'FICHA AMALDIÇOADA'!$F$313&amp;""</f>
        <v/>
      </c>
      <c r="IF5" s="152">
        <f>'FICHA AMALDIÇOADA'!$J$313&amp;""</f>
        <v/>
      </c>
      <c r="IG5" s="152">
        <f>'FICHA AMALDIÇOADA'!$L$313&amp;""</f>
        <v/>
      </c>
      <c r="IH5" s="152">
        <f>IFERROR(MATCH($IE5,$Y$2:$Y$11,0),0)</f>
        <v/>
      </c>
      <c r="II5" s="152">
        <f>$HI$11-IF($IF5&lt;&gt;"",1,0)</f>
        <v/>
      </c>
      <c r="IJ5" s="152">
        <f>IF(4&gt;$HI$10,"Nível 11",IF($IH5=0,"",IF(INDEX($AE$2:$AE$11,$IH5)&gt;=2,"—",$II5&amp;"d8 = "&amp;FLOOR($II5*4.5,1))))</f>
        <v/>
      </c>
      <c r="IK5" s="152">
        <f>IF(OR(4&gt;$HI$10,$IH5=0),"",INDEX($AP$2:$AU$31,($IH5-1)*3+1,1+IF(OR(AND($IF5="Longe",INDEX($AH$2:$AH$11,$IH5)&lt;&gt;2),AND($IF5="Maior",INDEX($AH$2:$AH$11,$IH5)&gt;=2)),1,0))&amp;INDEX($AV$2:$BA$31,($IH5-1)*3+1,1+IF(AND($IF5="Longe",INDEX($AI$2:$AI$11,$IH5)=1),1,0)))</f>
        <v/>
      </c>
      <c r="IM5" s="150" t="inlineStr">
        <is>
          <t>Classe 0</t>
        </is>
      </c>
      <c r="IN5" s="152">
        <f>ADDRESS(ROW('FICHA AMALDIÇOADA'!G7),COLUMN('FICHA AMALDIÇOADA'!G7),4)</f>
        <v/>
      </c>
      <c r="IO5" s="152">
        <f>ADDRESS(ROW('FICHA AMALDIÇOADA'!D307),COLUMN('FICHA AMALDIÇOADA'!D307),4)</f>
        <v/>
      </c>
      <c r="IP5" s="150" t="inlineStr">
        <is>
          <t>DADOS_AM!$IM$5</t>
        </is>
      </c>
      <c r="IR5" s="150" t="inlineStr">
        <is>
          <t>Caminho 23</t>
        </is>
      </c>
      <c r="IS5" s="152" t="n">
        <v>23</v>
      </c>
      <c r="IT5" s="152">
        <f>IF($HI$2&gt;=23,"Nível 23","Abre no 23")</f>
        <v/>
      </c>
      <c r="IU5" s="152">
        <f>ADDRESS(ROW(FICHA!G110),COLUMN(FICHA!G110),4)</f>
        <v/>
      </c>
      <c r="IV5" s="152">
        <f>ADDRESS(ROW(FICHA!D111),COLUMN(FICHA!D111),4)</f>
        <v/>
      </c>
      <c r="JD5" s="152" t="n">
        <v>4</v>
      </c>
      <c r="JE5" s="152">
        <f>IFERROR(MATCH(4,$HF$2:$HF$37,0),0)</f>
        <v/>
      </c>
      <c r="JF5" s="152">
        <f>IF($JE5=0,"",INDEX($DY$2:$DY$37,$JE5))</f>
        <v/>
      </c>
      <c r="JG5" s="152">
        <f>IF($JE5=0,"",INDEX($DZ$2:$DZ$37,$JE5))</f>
        <v/>
      </c>
      <c r="JH5" s="152">
        <f>IF($JE5=0,"",INDEX($GN$2:$GN$37,$JE5))</f>
        <v/>
      </c>
      <c r="JI5" s="152">
        <f>IF($JE5=0,"",INDEX($EA$2:$EA$37,$JE5))</f>
        <v/>
      </c>
      <c r="JJ5" s="152">
        <f>IF($JE5=0,"",INDEX($GP$2:$GP$37,$JE5))</f>
        <v/>
      </c>
      <c r="JK5" s="152">
        <f>IF($JE5=0,"",INDEX($HE$2:$HE$37,$JE5))</f>
        <v/>
      </c>
      <c r="KB5" s="150" t="inlineStr">
        <is>
          <t>Talento 2</t>
        </is>
      </c>
      <c r="KC5" s="152">
        <f>IFERROR(MATCH(2,$HS$2:$HS$13,0),0)</f>
        <v/>
      </c>
      <c r="KD5" s="152">
        <f>IF($KC5=0,"",IF(INDEX($HM$2:$HM$13,$KC5)=0,"","CE "&amp;INDEX($HM$2:$HM$13,$KC5)))</f>
        <v/>
      </c>
      <c r="KE5" s="152">
        <f>IF($KC5=0,"",INDEX($HL$2:$HL$13,$KC5))</f>
        <v/>
      </c>
      <c r="KF5" s="152">
        <f>IF($KC5=0,"",IF(INDEX($HR$2:$HR$13,$KC5)&lt;&gt;"",INDEX($HR$2:$HR$13,$KC5),IF(IFERROR(VLOOKUP(INDEX($HL$2:$HL$13,$KC5),$BR$2:$BX$24,7,FALSE),"")&lt;&gt;"","Do livro: "&amp;IFERROR(VLOOKUP(INDEX($HL$2:$HL$13,$KC5),$BR$2:$BX$24,7,FALSE),""),"")))</f>
        <v/>
      </c>
      <c r="KH5" s="150" t="inlineStr">
        <is>
          <t>Aptidão 2</t>
        </is>
      </c>
      <c r="KI5" s="152">
        <f>IFERROR(MATCH(2,$IB$2:$IB$13,0),0)</f>
        <v/>
      </c>
      <c r="KJ5" s="152">
        <f>IF($KI5=0,"",INDEX($HX$2:$HX$13,$KI5))</f>
        <v/>
      </c>
      <c r="KK5" s="152">
        <f>IF($KI5=0,"",INDEX($HV$2:$HV$13,$KI5))</f>
        <v/>
      </c>
      <c r="KL5" s="152">
        <f>IF($KI5=0,"",IF(INDEX($IA$2:$IA$13,$KI5)&lt;&gt;"",INDEX($IA$2:$IA$13,$KI5),IF(IFERROR(VLOOKUP(INDEX($HV$2:$HV$13,$KI5),$CC$2:$CL$33,10,FALSE),"")&lt;&gt;"","Do livro: "&amp;IFERROR(VLOOKUP(INDEX($HV$2:$HV$13,$KI5),$CC$2:$CL$33,10,FALSE),""),"")))</f>
        <v/>
      </c>
      <c r="KN5" s="150" t="inlineStr">
        <is>
          <t>passivas</t>
        </is>
      </c>
      <c r="KO5" s="152">
        <f>"TALENTOS  ·  "&amp;(COUNTIF($KE$2:$KE$15,"?*")-2)&amp;" de 12, mais a Expressão e a Regra Própria"</f>
        <v/>
      </c>
      <c r="KQ5" s="150" t="inlineStr">
        <is>
          <t>R12</t>
        </is>
      </c>
      <c r="KR5" s="152">
        <f>IF(DADOS_AM!$HI$41=1,IF(DADOS_AM!$HI$48=0,"—",IF(DADOS_AM!$HI$48=1,(8+DADOS_AM!$HI$3+IF(DADOS_AM!$HI$42&lt;&gt;"",DADOS_AM!$HI$45,IF(DADOS_AM!$HI$43&lt;&gt;"",DADOS_AM!$HI$46,DADOS_AM!$HI$47))+IFERROR(VALUE(FICHA!$L$47&amp;""),0)),"Por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L6" s="150" t="inlineStr">
        <is>
          <t>Carregar</t>
        </is>
      </c>
      <c r="BM6" s="150" t="inlineStr">
        <is>
          <t>Carregar</t>
        </is>
      </c>
      <c r="BN6" s="152" t="n">
        <v>2</v>
      </c>
      <c r="BO6" s="152" t="n">
        <v>0</v>
      </c>
      <c r="BP6" s="150" t="inlineStr"/>
      <c r="BR6" s="150" t="inlineStr">
        <is>
          <t>Farejador</t>
        </is>
      </c>
      <c r="BS6" s="152" t="n">
        <v>1</v>
      </c>
      <c r="BT6" s="150" t="inlineStr">
        <is>
          <t>Você sente se houve uma conjuração no local onde está nas últimas 24 horas, e identifica a Classe deixada por ela. Se houver vestígios de mais de uma Classe, reconhece essas Classes.</t>
        </is>
      </c>
      <c r="BU6" s="152" t="n">
        <v>1</v>
      </c>
      <c r="BV6" s="152" t="n">
        <v>0</v>
      </c>
      <c r="BW6" s="152">
        <f>IF(OR(AND($A$2&lt;=2,$BU6=1),AND($A$2&gt;=2,$BV6=1)),$BR6,"")</f>
        <v/>
      </c>
      <c r="BX6" s="150" t="inlineStr">
        <is>
          <t>Você sente se houve uma conjuração no local onde está nas últimas 24 horas, e identifica a Classe deixada por ela. Se houver vestígios de mais de uma Classe, reconhece essas Classes.</t>
        </is>
      </c>
      <c r="CC6" s="150" t="inlineStr">
        <is>
          <t>Circulação</t>
        </is>
      </c>
      <c r="CD6" s="150" t="inlineStr">
        <is>
          <t>Energia Reversa e Refino 8</t>
        </is>
      </c>
      <c r="CE6" s="152" t="n">
        <v>3</v>
      </c>
      <c r="CF6" s="150" t="inlineStr">
        <is>
          <t>—</t>
        </is>
      </c>
      <c r="CG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52">
        <f>IF($CK6=1,"",IF($A$2=4,IF($CI6=1,$CC6,""),IF(OR($CI6=1,AND($A$2=3,$CJ6=1)),"",$CC6)))</f>
        <v/>
      </c>
      <c r="CI6" s="152" t="n">
        <v>0</v>
      </c>
      <c r="CJ6" s="152" t="n">
        <v>0</v>
      </c>
      <c r="CK6" s="152" t="n">
        <v>0</v>
      </c>
      <c r="CL6" s="150" t="inlineStr">
        <is>
          <t>Você melhora o uso de Energia Reversa e aprende a reconstruir partes perdidas do corpo.</t>
        </is>
      </c>
      <c r="CT6" s="150" t="inlineStr">
        <is>
          <t>Flexível</t>
        </is>
      </c>
      <c r="CU6" s="152" t="n">
        <v>1</v>
      </c>
      <c r="CV6" s="152" t="n">
        <v>0</v>
      </c>
      <c r="CW6" s="152">
        <f>IF(AND($A$2&gt;=3,'FICHA AMALDIÇOADA'!$J$16&amp;""="Três grupos de arma"),$CT6,"")</f>
        <v/>
      </c>
      <c r="CY6" s="152" t="n">
        <v>25</v>
      </c>
      <c r="CZ6" s="152" t="n">
        <v>5</v>
      </c>
      <c r="DA6" s="152" t="n">
        <v>6</v>
      </c>
      <c r="DE6" s="152" t="n">
        <v>7</v>
      </c>
      <c r="DV6" s="150" t="inlineStr">
        <is>
          <t>Feitiço 5</t>
        </is>
      </c>
      <c r="DW6" s="152" t="n">
        <v>0</v>
      </c>
      <c r="DX6" s="152" t="n">
        <v>5</v>
      </c>
      <c r="DY6" s="152">
        <f>MAX(1,MIN(7,N('FICHA AMALDIÇOADA'!$J$72)))</f>
        <v/>
      </c>
      <c r="DZ6" s="152">
        <f>'FICHA AMALDIÇOADA'!$K$72&amp;""</f>
        <v/>
      </c>
      <c r="EA6" s="152">
        <f>'FICHA AMALDIÇOADA'!$J$79&amp;""</f>
        <v/>
      </c>
      <c r="EB6" s="152">
        <f>'FICHA AMALDIÇOADA'!$K$81&amp;""</f>
        <v/>
      </c>
      <c r="EC6" s="152">
        <f>'FICHA AMALDIÇOADA'!$K$82&amp;""</f>
        <v/>
      </c>
      <c r="ED6" s="152">
        <f>'FICHA AMALDIÇOADA'!$K$83&amp;""</f>
        <v/>
      </c>
      <c r="EE6" s="152">
        <f>'FICHA AMALDIÇOADA'!$K$84&amp;""</f>
        <v/>
      </c>
      <c r="EF6" s="152">
        <f>'FICHA AMALDIÇOADA'!$K$85&amp;""</f>
        <v/>
      </c>
      <c r="EG6" s="152">
        <f>'FICHA AMALDIÇOADA'!$K$86&amp;""</f>
        <v/>
      </c>
      <c r="EH6" s="152">
        <f>IF($DZ6&lt;&gt;"",1,0)</f>
        <v/>
      </c>
      <c r="EI6" s="152">
        <f>IFERROR(MATCH($EA6,$Y$2:$Y$11,0),0)</f>
        <v/>
      </c>
      <c r="EJ6" s="152">
        <f>IF($EI6=0,0,INDEX($AB$2:$AB$11,$EI6))</f>
        <v/>
      </c>
      <c r="EK6" s="152">
        <f>IFERROR(VLOOKUP($EB6,$BC$2:$BJ$84,4,FALSE),0)</f>
        <v/>
      </c>
      <c r="EL6" s="152">
        <f>IFERROR(VLOOKUP($EC6,$BC$2:$BJ$84,4,FALSE),0)</f>
        <v/>
      </c>
      <c r="EM6" s="152">
        <f>IFERROR(VLOOKUP($ED6,$BC$2:$BJ$84,4,FALSE),0)</f>
        <v/>
      </c>
      <c r="EN6" s="152">
        <f>IFERROR(VLOOKUP($EE6,$BC$2:$BJ$84,4,FALSE),0)</f>
        <v/>
      </c>
      <c r="EO6" s="152">
        <f>IF($EI6=0,0,INDEX($AC$2:$AC$11,$EI6))</f>
        <v/>
      </c>
      <c r="EP6" s="152">
        <f>IFERROR(VLOOKUP($EB6,$BC$2:$BJ$84,5,FALSE),0)</f>
        <v/>
      </c>
      <c r="EQ6" s="152">
        <f>IFERROR(VLOOKUP($EC6,$BC$2:$BJ$84,5,FALSE),0)</f>
        <v/>
      </c>
      <c r="ER6" s="152">
        <f>IFERROR(VLOOKUP($ED6,$BC$2:$BJ$84,5,FALSE),0)</f>
        <v/>
      </c>
      <c r="ES6" s="152">
        <f>IFERROR(VLOOKUP($EE6,$BC$2:$BJ$84,5,FALSE),0)</f>
        <v/>
      </c>
      <c r="ET6" s="152">
        <f>IFERROR(VLOOKUP($EB6,$BC$2:$BJ$84,6,FALSE),0)+IFERROR(VLOOKUP($EC6,$BC$2:$BJ$84,6,FALSE),0)+IFERROR(VLOOKUP($ED6,$BC$2:$BJ$84,6,FALSE),0)+IFERROR(VLOOKUP($EE6,$BC$2:$BJ$84,6,FALSE),0)</f>
        <v/>
      </c>
      <c r="EU6" s="152">
        <f>IF($EI6=0,0,INDEX($AD$2:$AD$11,$EI6))</f>
        <v/>
      </c>
      <c r="EV6" s="152">
        <f>IF($EI6=0,0,INDEX($AE$2:$AE$11,$EI6))</f>
        <v/>
      </c>
      <c r="EW6" s="152">
        <f>IF($EI6=0,0,INDEX($AG$2:$AG$11,$EI6))</f>
        <v/>
      </c>
      <c r="EX6" s="152">
        <f>IFERROR(VLOOKUP($EF6,$BL$2:$BP$24,3,FALSE),0)</f>
        <v/>
      </c>
      <c r="EY6" s="152">
        <f>IFERROR(VLOOKUP($EG6,$BL$2:$BP$24,3,FALSE),0)</f>
        <v/>
      </c>
      <c r="EZ6" s="152">
        <f>IFERROR(VLOOKUP($EF6,$BL$2:$BP$24,2,FALSE),"")</f>
        <v/>
      </c>
      <c r="FA6" s="152">
        <f>IFERROR(VLOOKUP($EG6,$BL$2:$BP$24,2,FALSE),"")</f>
        <v/>
      </c>
      <c r="FB6" s="152">
        <f>COUNTIF($EJ6:$EN6,1)</f>
        <v/>
      </c>
      <c r="FC6" s="152">
        <f>COUNTIF($EJ6:$EN6,2)</f>
        <v/>
      </c>
      <c r="FD6" s="152">
        <f>COUNTIF($EJ6:$EN6,3)</f>
        <v/>
      </c>
      <c r="FE6" s="152">
        <f>COUNTIF($EJ6:$EN6,4)</f>
        <v/>
      </c>
      <c r="FF6" s="152">
        <f>COUNTIF($EJ6:$EN6,5)</f>
        <v/>
      </c>
      <c r="FG6" s="152">
        <f>COUNTIF($EJ6:$EN6,6)</f>
        <v/>
      </c>
      <c r="FH6" s="152">
        <f>COUNTIF($EX6:$EY6,1)</f>
        <v/>
      </c>
      <c r="FI6" s="152">
        <f>COUNTIF($EX6:$EY6,2)+$EU6</f>
        <v/>
      </c>
      <c r="FJ6" s="152">
        <f>COUNTIF($EB6:$EE6,"?*")</f>
        <v/>
      </c>
      <c r="FK6" s="152">
        <f>COUNTIF($EF6:$EG6,"?*")+$EU6</f>
        <v/>
      </c>
      <c r="FL6" s="152">
        <f>SUMPRODUCT($FB6:$FG6,INDEX($Q$2:$V$8,$DY6,0))</f>
        <v/>
      </c>
      <c r="FM6" s="152">
        <f>$FH6*CEILING($DY6/2,1)+$FI6*$DY6</f>
        <v/>
      </c>
      <c r="FN6" s="152">
        <f>MIN(2*$DY6,$FM6)</f>
        <v/>
      </c>
      <c r="FO6" s="152">
        <f>MIN($FN6,$FL6)</f>
        <v/>
      </c>
      <c r="FP6" s="152">
        <f>$FN6-$FO6</f>
        <v/>
      </c>
      <c r="FQ6" s="152">
        <f>3*$DY6-$FL6+$FO6</f>
        <v/>
      </c>
      <c r="FR6" s="152">
        <f>MAX(0,$FQ6)+$DW6*$DY6</f>
        <v/>
      </c>
      <c r="FS6" s="152">
        <f>(IF(COUNTIF($EB6:$EE6,"Salto")&gt;0,1,0)+IF(COUNTIF($EB6:$EE6,"Queima")&gt;0,1,0)+IF(COUNTIF($EB6:$EE6,"Estilhaço")&gt;0,1,0))*FLOOR($FR6/2,1)</f>
        <v/>
      </c>
      <c r="FT6" s="152">
        <f>MAX(0,3-SUMPRODUCT($FB6:$FG6,$Q$2:$V$2)+MIN(2,$FH6*1+$FI6*1,SUMPRODUCT($FB6:$FG6,$Q$2:$V$2)))+$DW6*1</f>
        <v/>
      </c>
      <c r="FU6" s="152">
        <f>MAX(0,6-SUMPRODUCT($FB6:$FG6,$Q$3:$V$3)+MIN(4,$FH6*1+$FI6*2,SUMPRODUCT($FB6:$FG6,$Q$3:$V$3)))+$DW6*2</f>
        <v/>
      </c>
      <c r="FV6" s="152">
        <f>MAX(0,9-SUMPRODUCT($FB6:$FG6,$Q$4:$V$4)+MIN(6,$FH6*2+$FI6*3,SUMPRODUCT($FB6:$FG6,$Q$4:$V$4)))+$DW6*3</f>
        <v/>
      </c>
      <c r="FW6" s="152">
        <f>MAX(0,12-SUMPRODUCT($FB6:$FG6,$Q$5:$V$5)+MIN(8,$FH6*2+$FI6*4,SUMPRODUCT($FB6:$FG6,$Q$5:$V$5)))+$DW6*4</f>
        <v/>
      </c>
      <c r="FX6" s="152">
        <f>MAX(0,15-SUMPRODUCT($FB6:$FG6,$Q$6:$V$6)+MIN(10,$FH6*3+$FI6*5,SUMPRODUCT($FB6:$FG6,$Q$6:$V$6)))+$DW6*5</f>
        <v/>
      </c>
      <c r="FY6" s="152">
        <f>MAX(0,18-SUMPRODUCT($FB6:$FG6,$Q$7:$V$7)+MIN(12,$FH6*3+$FI6*6,SUMPRODUCT($FB6:$FG6,$Q$7:$V$7)))+$DW6*6</f>
        <v/>
      </c>
      <c r="FZ6" s="152">
        <f>MAX(0,21-SUMPRODUCT($FB6:$FG6,$Q$8:$V$8)+MIN(14,$FH6*4+$FI6*7,SUMPRODUCT($FB6:$FG6,$Q$8:$V$8)))+$DW6*7</f>
        <v/>
      </c>
      <c r="GA6" s="152">
        <f>IF($EV6=2,3*$FT6&amp;" de vida temp.",IF($EV6=3,"sem dano",IF($FT6=0,IF($EV6=1,"sem cura","sem dano"),IF($EV6=1,"cura ","")&amp;$FT6&amp;"d8")))</f>
        <v/>
      </c>
      <c r="GB6" s="152">
        <f>IF($EV6=2,3*$FU6&amp;" de vida temp.",IF($EV6=3,"sem dano",IF($FU6=0,IF($EV6=1,"sem cura","sem dano"),IF($EV6=1,"cura ","")&amp;$FU6&amp;"d8")))</f>
        <v/>
      </c>
      <c r="GC6" s="152">
        <f>IF($EV6=2,3*$FV6&amp;" de vida temp.",IF($EV6=3,"sem dano",IF($FV6=0,IF($EV6=1,"sem cura","sem dano"),IF($EV6=1,"cura ","")&amp;$FV6&amp;"d8")))</f>
        <v/>
      </c>
      <c r="GD6" s="152">
        <f>IF($EV6=2,3*$FW6&amp;" de vida temp.",IF($EV6=3,"sem dano",IF($FW6=0,IF($EV6=1,"sem cura","sem dano"),IF($EV6=1,"cura ","")&amp;$FW6&amp;"d8")))</f>
        <v/>
      </c>
      <c r="GE6" s="152">
        <f>IF($EV6=2,3*$FX6&amp;" de vida temp.",IF($EV6=3,"sem dano",IF($FX6=0,IF($EV6=1,"sem cura","sem dano"),IF($EV6=1,"cura ","")&amp;$FX6&amp;"d8")))</f>
        <v/>
      </c>
      <c r="GF6" s="152">
        <f>IF($EV6=2,3*$FY6&amp;" de vida temp.",IF($EV6=3,"sem dano",IF($FY6=0,IF($EV6=1,"sem cura","sem dano"),IF($EV6=1,"cura ","")&amp;$FY6&amp;"d8")))</f>
        <v/>
      </c>
      <c r="GG6" s="152">
        <f>IF($EV6=2,3*$FZ6&amp;" de vida temp.",IF($EV6=3,"sem dano",IF($FZ6=0,IF($EV6=1,"sem cura","sem dano"),IF($EV6=1,"cura ","")&amp;$FZ6&amp;"d8")))</f>
        <v/>
      </c>
      <c r="GH6" s="152">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52">
        <f>IF($GH6="",0,(LEN($GH6)-LEN(SUBSTITUTE($GH6," · ","")))/3+1)</f>
        <v/>
      </c>
      <c r="GJ6" s="152">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52">
        <f>IF($GJ6="",0,(LEN($GJ6)-LEN(SUBSTITUTE($GJ6," · ","")))/3+1)</f>
        <v/>
      </c>
      <c r="GL6" s="152">
        <f>IF($EH6=0,IF($FJ6+$FK6-$EU6&gt;0,"Dê um nome",""),IF($GI6&gt;0,"⚠ "&amp;$GI6&amp;IF($GI6&gt;1," erros"," erro"),IF($GK6&gt;0,"! "&amp;$GK6&amp;IF($GK6&gt;1," avisos"," aviso"),"Na regra")))</f>
        <v/>
      </c>
      <c r="GM6" s="152">
        <f>IF($EH6=0,"",IF($GI6+$GK6=0,"Dentro das regras que a ficha confere",$GH6&amp;IF(AND($GI6&gt;0,$GK6&gt;0)," · ","")&amp;$GJ6))</f>
        <v/>
      </c>
      <c r="GN6" s="152">
        <f>IF($EH6=0,"",IF($DW6=1,CEILING(4.5*$DY6,1),3*$DY6)&amp;" PE")</f>
        <v/>
      </c>
      <c r="GO6" s="152">
        <f>IF($EH6=0,"",IF($DW6=1,"Rodada inteira",IF(COUNTIF($EZ6:$FA6,"Atrasar")&gt;0,IF(COUNTIF($EZ6:$FA6,"Carregar")&gt;0,"Rodada +1 turno","Rodada inteira"),IF(COUNTIF($EB6:$EE6,"Rápido")&gt;0,"Bônus",IF(COUNTIF($EB6:$EE6,"Reação")&gt;0,"Reação","Padrão"))&amp;IF(COUNTIF($EZ6:$FA6,"Carregar")&gt;0," +1 turno",""))))</f>
        <v/>
      </c>
      <c r="GP6" s="152">
        <f>IF(OR($EH6=0,$EI6=0),"",IF(COUNTIF($EB6:$EE6,"Inescapável")&gt;0,"Automático",IF(COUNTIF($EB6:$EE6,"Certeiro")&gt;0,"TR para metade",INDEX($AF$2:$AF$11,$EI6))))</f>
        <v/>
      </c>
      <c r="GQ6" s="152">
        <f>IF(OR($EH6=0,$EI6=0),"",IF(OR($EV6&gt;=2,$FR6=0),UPPER(LEFT(INDEX($GA6:$GG6,1,$DY6),1))&amp;MID(INDEX($GA6:$GG6,1,$DY6),2,99),UPPER(LEFT(INDEX($GA6:$GG6,1,$DY6),1))&amp;MID(INDEX($GA6:$GG6,1,$DY6),2,99)&amp;" = "&amp;FLOOR($FR6*4.5,1)&amp;IF($FS6&gt;0," · +"&amp;$FS6&amp;"d8","")))</f>
        <v/>
      </c>
      <c r="GR6" s="152">
        <f>COUNTIF($EB6:$EE6,"Longe")+3*COUNTIF($EB6:$EE6,"Muito Longe")</f>
        <v/>
      </c>
      <c r="GS6" s="152">
        <f>COUNTIF($EB6:$EE6,"Maior")+3*COUNTIF($EB6:$EE6,"Muito Maior")</f>
        <v/>
      </c>
      <c r="GT6" s="152">
        <f>IF($EI6=0,0,CHOOSE(1+INDEX($AH$2:$AH$11,$EI6),0,$GR6,$GS6,$GR6+$GS6))</f>
        <v/>
      </c>
      <c r="GU6" s="152">
        <f>IF($EI6=0,0,CHOOSE(1+INDEX($AI$2:$AI$11,$EI6),0,$GR6,$GS6,$GR6+$GS6))</f>
        <v/>
      </c>
      <c r="GV6" s="152">
        <f>IF(OR($EH6=0,$EI6=0),"",INDEX($AP$2:$AU$31,($EI6-1)*3+IF($DY6&gt;=6,3,2),1+MIN(5,$GT6))&amp;INDEX($AV$2:$BA$31,($EI6-1)*3+IF($DY6&gt;=6,3,2),1+MIN(5,$GU6))&amp;IF(INDEX($AJ$2:$AJ$11,$EI6)=1,IF(COUNTIF($EB6:$EE6,"Mais Um")&gt;0," · +"&amp;COUNTIF($EB6:$EE6,"Mais Um")&amp;IF(COUNTIF($EB6:$EE6,"Mais Um")&gt;1," alvos"," alvo"),"")&amp;IF(COUNTIF($EB6:$EE6,"Rajada")&gt;0," · "&amp;($DY6+1)&amp;" tiros",""),""))</f>
        <v/>
      </c>
      <c r="GW6" s="152">
        <f>IF($EH6=0,"",3*$DY6&amp;" − "&amp;$FL6&amp;" + "&amp;$FO6&amp;IF($DW6=1," + "&amp;$DY6,"")&amp;" = "&amp;$FR6&amp;"d8 · teto "&amp;4*$DY6&amp;IF($EU6=1," · a Forma devolve "&amp;$DY6,"")&amp;IF($FP6&gt;0," · perde "&amp;$FP6,""))</f>
        <v/>
      </c>
      <c r="GX6" s="152">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52">
        <f>IF(OR($EH6=0,$EK6=0),"","−"&amp;INDEX($Q$2:$V$8,$DY6,$EK6)&amp;" · "&amp;CHOOSE($EK6,"Leve","Média","Pesada","Leve · Livre","Média · Livre","Pesada · Livre"))</f>
        <v/>
      </c>
      <c r="GZ6" s="152">
        <f>IF(OR($EH6=0,$EL6=0),"","−"&amp;INDEX($Q$2:$V$8,$DY6,$EL6)&amp;" · "&amp;CHOOSE($EL6,"Leve","Média","Pesada","Leve · Livre","Média · Livre","Pesada · Livre"))</f>
        <v/>
      </c>
      <c r="HA6" s="152">
        <f>IF(OR($EH6=0,$EM6=0),"","−"&amp;INDEX($Q$2:$V$8,$DY6,$EM6)&amp;" · "&amp;CHOOSE($EM6,"Leve","Média","Pesada","Leve · Livre","Média · Livre","Pesada · Livre"))</f>
        <v/>
      </c>
      <c r="HB6" s="152">
        <f>IF(OR($EH6=0,$EN6=0),"","−"&amp;INDEX($Q$2:$V$8,$DY6,$EN6)&amp;" · "&amp;CHOOSE($EN6,"Leve","Média","Pesada","Leve · Livre","Média · Livre","Pesada · Livre"))</f>
        <v/>
      </c>
      <c r="HC6" s="152">
        <f>IF(OR($EH6=0,$EF6=""),"","+"&amp;IF($EX6=1,CEILING($DY6/2,1),$DY6))</f>
        <v/>
      </c>
      <c r="HD6" s="152">
        <f>IF(OR($EH6=0,$EG6=""),"","+"&amp;IF($EY6=1,CEILING($DY6/2,1),$DY6))</f>
        <v/>
      </c>
      <c r="HE6" s="152">
        <f>'FICHA AMALDIÇOADA'!$J$74&amp;""</f>
        <v/>
      </c>
      <c r="HF6" s="152">
        <f>IF(AND($EH6=1,$DW6=0),COUNTIFS($EH$2:$EH6,1,$DW$2:$DW6,0),"")</f>
        <v/>
      </c>
      <c r="HH6" s="150" t="inlineStr">
        <is>
          <t>refino</t>
        </is>
      </c>
      <c r="HI6" s="152">
        <f>MAX(1,N(DADOS!$AK$34))</f>
        <v/>
      </c>
      <c r="HK6" s="150" t="inlineStr">
        <is>
          <t>Talento 5</t>
        </is>
      </c>
      <c r="HL6" s="152">
        <f>'FICHA AMALDIÇOADA'!$J$387&amp;""</f>
        <v/>
      </c>
      <c r="HM6" s="152">
        <f>IFERROR(VLOOKUP($HL6,$BR$2:$BX$24,2,FALSE),0)</f>
        <v/>
      </c>
      <c r="HN6" s="152">
        <f>IFERROR(VLOOKUP($HM6,$BZ$2:$CA$4,2,FALSE),0)</f>
        <v/>
      </c>
      <c r="HO6" s="152">
        <f>IFERROR(VLOOKUP($HL6,$BR$2:$BX$24,3,FALSE),"")</f>
        <v/>
      </c>
      <c r="HP6" s="152">
        <f>IF($HM6=0,"",IF($HN6&gt;$HI$2,"⚠ Nível "&amp;$HN6,"CE "&amp;$HM6))</f>
        <v/>
      </c>
      <c r="HQ6" s="152">
        <f>IF($HM6=0,"",$HM6&amp;" esp.")</f>
        <v/>
      </c>
      <c r="HR6" s="152">
        <f>'FICHA AMALDIÇOADA'!$K$392&amp;""</f>
        <v/>
      </c>
      <c r="HS6" s="152">
        <f>IF($HL6="","",COUNTIF($HL$2:$HL6,"?*"))</f>
        <v/>
      </c>
      <c r="HU6" s="150" t="inlineStr">
        <is>
          <t>Aptidão 5</t>
        </is>
      </c>
      <c r="HV6" s="152">
        <f>'FICHA AMALDIÇOADA'!$J$450&amp;""</f>
        <v/>
      </c>
      <c r="HW6" s="152">
        <f>IF($HV6="","","Requisito: "&amp;IFERROR(VLOOKUP($HV6,$CC$2:$CL$33,2,FALSE),""))</f>
        <v/>
      </c>
      <c r="HX6" s="152">
        <f>IF($HV6="","",IFERROR(IF(ISNUMBER(VLOOKUP($HV6,$CC$2:$CL$33,3,FALSE)),"CE "&amp;VLOOKUP($HV6,$CC$2:$CL$33,3,FALSE),VLOOKUP($HV6,$CC$2:$CL$33,3,FALSE)),""))</f>
        <v/>
      </c>
      <c r="HY6" s="152">
        <f>IF($HV6="","",IFERROR(VLOOKUP($HV6,$CC$2:$CL$33,4,FALSE),""))</f>
        <v/>
      </c>
      <c r="HZ6" s="152">
        <f>IF($HV6="","",IFERROR(VLOOKUP($HV6,$CC$2:$CL$33,5,FALSE),""))</f>
        <v/>
      </c>
      <c r="IA6" s="152">
        <f>'FICHA AMALDIÇOADA'!$K$467&amp;""</f>
        <v/>
      </c>
      <c r="IB6" s="152">
        <f>IF($HV6="","",COUNTIF($HV$2:$HV6,"?*"))</f>
        <v/>
      </c>
      <c r="ID6" s="150" t="inlineStr">
        <is>
          <t>Classe 0 · 5</t>
        </is>
      </c>
      <c r="IE6" s="152">
        <f>'FICHA AMALDIÇOADA'!$F$314&amp;""</f>
        <v/>
      </c>
      <c r="IF6" s="152">
        <f>'FICHA AMALDIÇOADA'!$J$314&amp;""</f>
        <v/>
      </c>
      <c r="IG6" s="152">
        <f>'FICHA AMALDIÇOADA'!$L$314&amp;""</f>
        <v/>
      </c>
      <c r="IH6" s="152">
        <f>IFERROR(MATCH($IE6,$Y$2:$Y$11,0),0)</f>
        <v/>
      </c>
      <c r="II6" s="152">
        <f>$HI$11-IF($IF6&lt;&gt;"",1,0)</f>
        <v/>
      </c>
      <c r="IJ6" s="152">
        <f>IF(5&gt;$HI$10,"Nível 17",IF($IH6=0,"",IF(INDEX($AE$2:$AE$11,$IH6)&gt;=2,"—",$II6&amp;"d8 = "&amp;FLOOR($II6*4.5,1))))</f>
        <v/>
      </c>
      <c r="IK6" s="152">
        <f>IF(OR(5&gt;$HI$10,$IH6=0),"",INDEX($AP$2:$AU$31,($IH6-1)*3+1,1+IF(OR(AND($IF6="Longe",INDEX($AH$2:$AH$11,$IH6)&lt;&gt;2),AND($IF6="Maior",INDEX($AH$2:$AH$11,$IH6)&gt;=2)),1,0))&amp;INDEX($AV$2:$BA$31,($IH6-1)*3+1,1+IF(AND($IF6="Longe",INDEX($AI$2:$AI$11,$IH6)=1),1,0)))</f>
        <v/>
      </c>
      <c r="IM6" s="152">
        <f>IF($A$2&gt;=3,INDEX($D$4:$G$4,1,$A$2),"Liberação")</f>
        <v/>
      </c>
      <c r="IN6" s="152">
        <f>ADDRESS(ROW('FICHA AMALDIÇOADA'!J7),COLUMN('FICHA AMALDIÇOADA'!J7),4)</f>
        <v/>
      </c>
      <c r="IO6" s="152">
        <f>ADDRESS(ROW('FICHA AMALDIÇOADA'!D316),COLUMN('FICHA AMALDIÇOADA'!D316),4)</f>
        <v/>
      </c>
      <c r="IP6" s="150" t="inlineStr">
        <is>
          <t>DADOS_AM!$IM$6</t>
        </is>
      </c>
      <c r="IR6" s="150" t="inlineStr">
        <is>
          <t>Caminho 30</t>
        </is>
      </c>
      <c r="IS6" s="152" t="n">
        <v>30</v>
      </c>
      <c r="IT6" s="152">
        <f>IF($HI$2&gt;=30,"Nível 30","Abre no 30")</f>
        <v/>
      </c>
      <c r="IU6" s="152">
        <f>ADDRESS(ROW(FICHA!G116),COLUMN(FICHA!G116),4)</f>
        <v/>
      </c>
      <c r="IV6" s="152">
        <f>ADDRESS(ROW(FICHA!D117),COLUMN(FICHA!D117),4)</f>
        <v/>
      </c>
      <c r="JD6" s="152" t="n">
        <v>5</v>
      </c>
      <c r="JE6" s="152">
        <f>IFERROR(MATCH(5,$HF$2:$HF$37,0),0)</f>
        <v/>
      </c>
      <c r="JF6" s="152">
        <f>IF($JE6=0,"",INDEX($DY$2:$DY$37,$JE6))</f>
        <v/>
      </c>
      <c r="JG6" s="152">
        <f>IF($JE6=0,"",INDEX($DZ$2:$DZ$37,$JE6))</f>
        <v/>
      </c>
      <c r="JH6" s="152">
        <f>IF($JE6=0,"",INDEX($GN$2:$GN$37,$JE6))</f>
        <v/>
      </c>
      <c r="JI6" s="152">
        <f>IF($JE6=0,"",INDEX($EA$2:$EA$37,$JE6))</f>
        <v/>
      </c>
      <c r="JJ6" s="152">
        <f>IF($JE6=0,"",INDEX($GP$2:$GP$37,$JE6))</f>
        <v/>
      </c>
      <c r="JK6" s="152">
        <f>IF($JE6=0,"",INDEX($HE$2:$HE$37,$JE6))</f>
        <v/>
      </c>
      <c r="KB6" s="150" t="inlineStr">
        <is>
          <t>Talento 3</t>
        </is>
      </c>
      <c r="KC6" s="152">
        <f>IFERROR(MATCH(3,$HS$2:$HS$13,0),0)</f>
        <v/>
      </c>
      <c r="KD6" s="152">
        <f>IF($KC6=0,"",IF(INDEX($HM$2:$HM$13,$KC6)=0,"","CE "&amp;INDEX($HM$2:$HM$13,$KC6)))</f>
        <v/>
      </c>
      <c r="KE6" s="152">
        <f>IF($KC6=0,"",INDEX($HL$2:$HL$13,$KC6))</f>
        <v/>
      </c>
      <c r="KF6" s="152">
        <f>IF($KC6=0,"",IF(INDEX($HR$2:$HR$13,$KC6)&lt;&gt;"",INDEX($HR$2:$HR$13,$KC6),IF(IFERROR(VLOOKUP(INDEX($HL$2:$HL$13,$KC6),$BR$2:$BX$24,7,FALSE),"")&lt;&gt;"","Do livro: "&amp;IFERROR(VLOOKUP(INDEX($HL$2:$HL$13,$KC6),$BR$2:$BX$24,7,FALSE),""),"")))</f>
        <v/>
      </c>
      <c r="KH6" s="150" t="inlineStr">
        <is>
          <t>Aptidão 3</t>
        </is>
      </c>
      <c r="KI6" s="152">
        <f>IFERROR(MATCH(3,$IB$2:$IB$13,0),0)</f>
        <v/>
      </c>
      <c r="KJ6" s="152">
        <f>IF($KI6=0,"",INDEX($HX$2:$HX$13,$KI6))</f>
        <v/>
      </c>
      <c r="KK6" s="152">
        <f>IF($KI6=0,"",INDEX($HV$2:$HV$13,$KI6))</f>
        <v/>
      </c>
      <c r="KL6" s="152">
        <f>IF($KI6=0,"",IF(INDEX($IA$2:$IA$13,$KI6)&lt;&gt;"",INDEX($IA$2:$IA$13,$KI6),IF(IFERROR(VLOOKUP(INDEX($HV$2:$HV$13,$KI6),$CC$2:$CL$33,10,FALSE),"")&lt;&gt;"","Do livro: "&amp;IFERROR(VLOOKUP(INDEX($HV$2:$HV$13,$KI6),$CC$2:$CL$33,10,FALSE),""),"")))</f>
        <v/>
      </c>
      <c r="KN6" s="150" t="inlineStr">
        <is>
          <t>aptidões</t>
        </is>
      </c>
      <c r="KO6" s="152">
        <f>UPPER(INDEX($D$6:$G$6,1,$A$2))&amp;"  ·  "&amp;COUNTIF($KK$4:$KK$15,"?*")&amp;" de 12, mais as duas de graça"</f>
        <v/>
      </c>
      <c r="KQ6" s="150" t="inlineStr">
        <is>
          <t>J15</t>
        </is>
      </c>
      <c r="KR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L7" s="150" t="inlineStr">
        <is>
          <t>Sangra</t>
        </is>
      </c>
      <c r="BM7" s="150" t="inlineStr">
        <is>
          <t>Sangra</t>
        </is>
      </c>
      <c r="BN7" s="152" t="n">
        <v>2</v>
      </c>
      <c r="BO7" s="152" t="n">
        <v>0</v>
      </c>
      <c r="BP7" s="150" t="inlineStr"/>
      <c r="BR7" s="150" t="inlineStr">
        <is>
          <t>Leitura de Feitiços</t>
        </is>
      </c>
      <c r="BS7" s="152" t="n">
        <v>1</v>
      </c>
      <c r="BT7" s="150" t="inlineStr">
        <is>
          <t>Ao ter um inimigo à vista, você sabe qual foi o último feitiço que ele usou, mesmo que não tenha presenciado aquela conjuração. Recebe o nome ou uma descrição suficiente para reconhecer a aplicação, não sua ficha completa.</t>
        </is>
      </c>
      <c r="BU7" s="152" t="n">
        <v>1</v>
      </c>
      <c r="BV7" s="152" t="n">
        <v>0</v>
      </c>
      <c r="BW7" s="152">
        <f>IF(OR(AND($A$2&lt;=2,$BU7=1),AND($A$2&gt;=2,$BV7=1)),$BR7,"")</f>
        <v/>
      </c>
      <c r="BX7" s="150" t="inlineStr">
        <is>
          <t>Ao ter um inimigo à vista, você sabe qual foi o último feitiço que ele usou, mesmo que não tenha presenciado aquela conjuração. Recebe o nome ou uma descrição suficiente para reconhecer a aplicação, não sua ficha completa.</t>
        </is>
      </c>
      <c r="CC7" s="150" t="inlineStr">
        <is>
          <t>Regravação</t>
        </is>
      </c>
      <c r="CD7" s="150" t="inlineStr">
        <is>
          <t>Circulação</t>
        </is>
      </c>
      <c r="CE7" s="152" t="n">
        <v>3</v>
      </c>
      <c r="CF7" s="150" t="inlineStr">
        <is>
          <t>—</t>
        </is>
      </c>
      <c r="CG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52">
        <f>IF($CK7=1,"",IF($A$2=4,IF($CI7=1,$CC7,""),IF(OR($CI7=1,AND($A$2=3,$CJ7=1)),"",$CC7)))</f>
        <v/>
      </c>
      <c r="CI7" s="152" t="n">
        <v>0</v>
      </c>
      <c r="CJ7" s="152" t="n">
        <v>0</v>
      </c>
      <c r="CK7" s="152" t="n">
        <v>0</v>
      </c>
      <c r="CL7" s="150" t="inlineStr">
        <is>
          <t>Você pode encerrar o Rescaldo de sua técnica antes do fim da cena, mas usos repetidos impedem novas Expansões de Domínio naquele dia.</t>
        </is>
      </c>
      <c r="CT7" s="150" t="inlineStr">
        <is>
          <t>Yumi</t>
        </is>
      </c>
      <c r="CU7" s="152" t="n">
        <v>0</v>
      </c>
      <c r="CV7" s="152" t="n">
        <v>1</v>
      </c>
      <c r="CW7" s="152">
        <f>IF(AND($A$2&gt;=3,'FICHA AMALDIÇOADA'!$J$16&amp;""="Três grupos de arma"),$CT7,"")</f>
        <v/>
      </c>
      <c r="DV7" s="150" t="inlineStr">
        <is>
          <t>Feitiço 6</t>
        </is>
      </c>
      <c r="DW7" s="152" t="n">
        <v>0</v>
      </c>
      <c r="DX7" s="152" t="n">
        <v>6</v>
      </c>
      <c r="DY7" s="152">
        <f>MAX(1,MIN(7,N('FICHA AMALDIÇOADA'!$P$72)))</f>
        <v/>
      </c>
      <c r="DZ7" s="152">
        <f>'FICHA AMALDIÇOADA'!$Q$72&amp;""</f>
        <v/>
      </c>
      <c r="EA7" s="152">
        <f>'FICHA AMALDIÇOADA'!$P$79&amp;""</f>
        <v/>
      </c>
      <c r="EB7" s="152">
        <f>'FICHA AMALDIÇOADA'!$Q$81&amp;""</f>
        <v/>
      </c>
      <c r="EC7" s="152">
        <f>'FICHA AMALDIÇOADA'!$Q$82&amp;""</f>
        <v/>
      </c>
      <c r="ED7" s="152">
        <f>'FICHA AMALDIÇOADA'!$Q$83&amp;""</f>
        <v/>
      </c>
      <c r="EE7" s="152">
        <f>'FICHA AMALDIÇOADA'!$Q$84&amp;""</f>
        <v/>
      </c>
      <c r="EF7" s="152">
        <f>'FICHA AMALDIÇOADA'!$Q$85&amp;""</f>
        <v/>
      </c>
      <c r="EG7" s="152">
        <f>'FICHA AMALDIÇOADA'!$Q$86&amp;""</f>
        <v/>
      </c>
      <c r="EH7" s="152">
        <f>IF($DZ7&lt;&gt;"",1,0)</f>
        <v/>
      </c>
      <c r="EI7" s="152">
        <f>IFERROR(MATCH($EA7,$Y$2:$Y$11,0),0)</f>
        <v/>
      </c>
      <c r="EJ7" s="152">
        <f>IF($EI7=0,0,INDEX($AB$2:$AB$11,$EI7))</f>
        <v/>
      </c>
      <c r="EK7" s="152">
        <f>IFERROR(VLOOKUP($EB7,$BC$2:$BJ$84,4,FALSE),0)</f>
        <v/>
      </c>
      <c r="EL7" s="152">
        <f>IFERROR(VLOOKUP($EC7,$BC$2:$BJ$84,4,FALSE),0)</f>
        <v/>
      </c>
      <c r="EM7" s="152">
        <f>IFERROR(VLOOKUP($ED7,$BC$2:$BJ$84,4,FALSE),0)</f>
        <v/>
      </c>
      <c r="EN7" s="152">
        <f>IFERROR(VLOOKUP($EE7,$BC$2:$BJ$84,4,FALSE),0)</f>
        <v/>
      </c>
      <c r="EO7" s="152">
        <f>IF($EI7=0,0,INDEX($AC$2:$AC$11,$EI7))</f>
        <v/>
      </c>
      <c r="EP7" s="152">
        <f>IFERROR(VLOOKUP($EB7,$BC$2:$BJ$84,5,FALSE),0)</f>
        <v/>
      </c>
      <c r="EQ7" s="152">
        <f>IFERROR(VLOOKUP($EC7,$BC$2:$BJ$84,5,FALSE),0)</f>
        <v/>
      </c>
      <c r="ER7" s="152">
        <f>IFERROR(VLOOKUP($ED7,$BC$2:$BJ$84,5,FALSE),0)</f>
        <v/>
      </c>
      <c r="ES7" s="152">
        <f>IFERROR(VLOOKUP($EE7,$BC$2:$BJ$84,5,FALSE),0)</f>
        <v/>
      </c>
      <c r="ET7" s="152">
        <f>IFERROR(VLOOKUP($EB7,$BC$2:$BJ$84,6,FALSE),0)+IFERROR(VLOOKUP($EC7,$BC$2:$BJ$84,6,FALSE),0)+IFERROR(VLOOKUP($ED7,$BC$2:$BJ$84,6,FALSE),0)+IFERROR(VLOOKUP($EE7,$BC$2:$BJ$84,6,FALSE),0)</f>
        <v/>
      </c>
      <c r="EU7" s="152">
        <f>IF($EI7=0,0,INDEX($AD$2:$AD$11,$EI7))</f>
        <v/>
      </c>
      <c r="EV7" s="152">
        <f>IF($EI7=0,0,INDEX($AE$2:$AE$11,$EI7))</f>
        <v/>
      </c>
      <c r="EW7" s="152">
        <f>IF($EI7=0,0,INDEX($AG$2:$AG$11,$EI7))</f>
        <v/>
      </c>
      <c r="EX7" s="152">
        <f>IFERROR(VLOOKUP($EF7,$BL$2:$BP$24,3,FALSE),0)</f>
        <v/>
      </c>
      <c r="EY7" s="152">
        <f>IFERROR(VLOOKUP($EG7,$BL$2:$BP$24,3,FALSE),0)</f>
        <v/>
      </c>
      <c r="EZ7" s="152">
        <f>IFERROR(VLOOKUP($EF7,$BL$2:$BP$24,2,FALSE),"")</f>
        <v/>
      </c>
      <c r="FA7" s="152">
        <f>IFERROR(VLOOKUP($EG7,$BL$2:$BP$24,2,FALSE),"")</f>
        <v/>
      </c>
      <c r="FB7" s="152">
        <f>COUNTIF($EJ7:$EN7,1)</f>
        <v/>
      </c>
      <c r="FC7" s="152">
        <f>COUNTIF($EJ7:$EN7,2)</f>
        <v/>
      </c>
      <c r="FD7" s="152">
        <f>COUNTIF($EJ7:$EN7,3)</f>
        <v/>
      </c>
      <c r="FE7" s="152">
        <f>COUNTIF($EJ7:$EN7,4)</f>
        <v/>
      </c>
      <c r="FF7" s="152">
        <f>COUNTIF($EJ7:$EN7,5)</f>
        <v/>
      </c>
      <c r="FG7" s="152">
        <f>COUNTIF($EJ7:$EN7,6)</f>
        <v/>
      </c>
      <c r="FH7" s="152">
        <f>COUNTIF($EX7:$EY7,1)</f>
        <v/>
      </c>
      <c r="FI7" s="152">
        <f>COUNTIF($EX7:$EY7,2)+$EU7</f>
        <v/>
      </c>
      <c r="FJ7" s="152">
        <f>COUNTIF($EB7:$EE7,"?*")</f>
        <v/>
      </c>
      <c r="FK7" s="152">
        <f>COUNTIF($EF7:$EG7,"?*")+$EU7</f>
        <v/>
      </c>
      <c r="FL7" s="152">
        <f>SUMPRODUCT($FB7:$FG7,INDEX($Q$2:$V$8,$DY7,0))</f>
        <v/>
      </c>
      <c r="FM7" s="152">
        <f>$FH7*CEILING($DY7/2,1)+$FI7*$DY7</f>
        <v/>
      </c>
      <c r="FN7" s="152">
        <f>MIN(2*$DY7,$FM7)</f>
        <v/>
      </c>
      <c r="FO7" s="152">
        <f>MIN($FN7,$FL7)</f>
        <v/>
      </c>
      <c r="FP7" s="152">
        <f>$FN7-$FO7</f>
        <v/>
      </c>
      <c r="FQ7" s="152">
        <f>3*$DY7-$FL7+$FO7</f>
        <v/>
      </c>
      <c r="FR7" s="152">
        <f>MAX(0,$FQ7)+$DW7*$DY7</f>
        <v/>
      </c>
      <c r="FS7" s="152">
        <f>(IF(COUNTIF($EB7:$EE7,"Salto")&gt;0,1,0)+IF(COUNTIF($EB7:$EE7,"Queima")&gt;0,1,0)+IF(COUNTIF($EB7:$EE7,"Estilhaço")&gt;0,1,0))*FLOOR($FR7/2,1)</f>
        <v/>
      </c>
      <c r="FT7" s="152">
        <f>MAX(0,3-SUMPRODUCT($FB7:$FG7,$Q$2:$V$2)+MIN(2,$FH7*1+$FI7*1,SUMPRODUCT($FB7:$FG7,$Q$2:$V$2)))+$DW7*1</f>
        <v/>
      </c>
      <c r="FU7" s="152">
        <f>MAX(0,6-SUMPRODUCT($FB7:$FG7,$Q$3:$V$3)+MIN(4,$FH7*1+$FI7*2,SUMPRODUCT($FB7:$FG7,$Q$3:$V$3)))+$DW7*2</f>
        <v/>
      </c>
      <c r="FV7" s="152">
        <f>MAX(0,9-SUMPRODUCT($FB7:$FG7,$Q$4:$V$4)+MIN(6,$FH7*2+$FI7*3,SUMPRODUCT($FB7:$FG7,$Q$4:$V$4)))+$DW7*3</f>
        <v/>
      </c>
      <c r="FW7" s="152">
        <f>MAX(0,12-SUMPRODUCT($FB7:$FG7,$Q$5:$V$5)+MIN(8,$FH7*2+$FI7*4,SUMPRODUCT($FB7:$FG7,$Q$5:$V$5)))+$DW7*4</f>
        <v/>
      </c>
      <c r="FX7" s="152">
        <f>MAX(0,15-SUMPRODUCT($FB7:$FG7,$Q$6:$V$6)+MIN(10,$FH7*3+$FI7*5,SUMPRODUCT($FB7:$FG7,$Q$6:$V$6)))+$DW7*5</f>
        <v/>
      </c>
      <c r="FY7" s="152">
        <f>MAX(0,18-SUMPRODUCT($FB7:$FG7,$Q$7:$V$7)+MIN(12,$FH7*3+$FI7*6,SUMPRODUCT($FB7:$FG7,$Q$7:$V$7)))+$DW7*6</f>
        <v/>
      </c>
      <c r="FZ7" s="152">
        <f>MAX(0,21-SUMPRODUCT($FB7:$FG7,$Q$8:$V$8)+MIN(14,$FH7*4+$FI7*7,SUMPRODUCT($FB7:$FG7,$Q$8:$V$8)))+$DW7*7</f>
        <v/>
      </c>
      <c r="GA7" s="152">
        <f>IF($EV7=2,3*$FT7&amp;" de vida temp.",IF($EV7=3,"sem dano",IF($FT7=0,IF($EV7=1,"sem cura","sem dano"),IF($EV7=1,"cura ","")&amp;$FT7&amp;"d8")))</f>
        <v/>
      </c>
      <c r="GB7" s="152">
        <f>IF($EV7=2,3*$FU7&amp;" de vida temp.",IF($EV7=3,"sem dano",IF($FU7=0,IF($EV7=1,"sem cura","sem dano"),IF($EV7=1,"cura ","")&amp;$FU7&amp;"d8")))</f>
        <v/>
      </c>
      <c r="GC7" s="152">
        <f>IF($EV7=2,3*$FV7&amp;" de vida temp.",IF($EV7=3,"sem dano",IF($FV7=0,IF($EV7=1,"sem cura","sem dano"),IF($EV7=1,"cura ","")&amp;$FV7&amp;"d8")))</f>
        <v/>
      </c>
      <c r="GD7" s="152">
        <f>IF($EV7=2,3*$FW7&amp;" de vida temp.",IF($EV7=3,"sem dano",IF($FW7=0,IF($EV7=1,"sem cura","sem dano"),IF($EV7=1,"cura ","")&amp;$FW7&amp;"d8")))</f>
        <v/>
      </c>
      <c r="GE7" s="152">
        <f>IF($EV7=2,3*$FX7&amp;" de vida temp.",IF($EV7=3,"sem dano",IF($FX7=0,IF($EV7=1,"sem cura","sem dano"),IF($EV7=1,"cura ","")&amp;$FX7&amp;"d8")))</f>
        <v/>
      </c>
      <c r="GF7" s="152">
        <f>IF($EV7=2,3*$FY7&amp;" de vida temp.",IF($EV7=3,"sem dano",IF($FY7=0,IF($EV7=1,"sem cura","sem dano"),IF($EV7=1,"cura ","")&amp;$FY7&amp;"d8")))</f>
        <v/>
      </c>
      <c r="GG7" s="152">
        <f>IF($EV7=2,3*$FZ7&amp;" de vida temp.",IF($EV7=3,"sem dano",IF($FZ7=0,IF($EV7=1,"sem cura","sem dano"),IF($EV7=1,"cura ","")&amp;$FZ7&amp;"d8")))</f>
        <v/>
      </c>
      <c r="GH7" s="152">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52">
        <f>IF($GH7="",0,(LEN($GH7)-LEN(SUBSTITUTE($GH7," · ","")))/3+1)</f>
        <v/>
      </c>
      <c r="GJ7" s="152">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52">
        <f>IF($GJ7="",0,(LEN($GJ7)-LEN(SUBSTITUTE($GJ7," · ","")))/3+1)</f>
        <v/>
      </c>
      <c r="GL7" s="152">
        <f>IF($EH7=0,IF($FJ7+$FK7-$EU7&gt;0,"Dê um nome",""),IF($GI7&gt;0,"⚠ "&amp;$GI7&amp;IF($GI7&gt;1," erros"," erro"),IF($GK7&gt;0,"! "&amp;$GK7&amp;IF($GK7&gt;1," avisos"," aviso"),"Na regra")))</f>
        <v/>
      </c>
      <c r="GM7" s="152">
        <f>IF($EH7=0,"",IF($GI7+$GK7=0,"Dentro das regras que a ficha confere",$GH7&amp;IF(AND($GI7&gt;0,$GK7&gt;0)," · ","")&amp;$GJ7))</f>
        <v/>
      </c>
      <c r="GN7" s="152">
        <f>IF($EH7=0,"",IF($DW7=1,CEILING(4.5*$DY7,1),3*$DY7)&amp;" PE")</f>
        <v/>
      </c>
      <c r="GO7" s="152">
        <f>IF($EH7=0,"",IF($DW7=1,"Rodada inteira",IF(COUNTIF($EZ7:$FA7,"Atrasar")&gt;0,IF(COUNTIF($EZ7:$FA7,"Carregar")&gt;0,"Rodada +1 turno","Rodada inteira"),IF(COUNTIF($EB7:$EE7,"Rápido")&gt;0,"Bônus",IF(COUNTIF($EB7:$EE7,"Reação")&gt;0,"Reação","Padrão"))&amp;IF(COUNTIF($EZ7:$FA7,"Carregar")&gt;0," +1 turno",""))))</f>
        <v/>
      </c>
      <c r="GP7" s="152">
        <f>IF(OR($EH7=0,$EI7=0),"",IF(COUNTIF($EB7:$EE7,"Inescapável")&gt;0,"Automático",IF(COUNTIF($EB7:$EE7,"Certeiro")&gt;0,"TR para metade",INDEX($AF$2:$AF$11,$EI7))))</f>
        <v/>
      </c>
      <c r="GQ7" s="152">
        <f>IF(OR($EH7=0,$EI7=0),"",IF(OR($EV7&gt;=2,$FR7=0),UPPER(LEFT(INDEX($GA7:$GG7,1,$DY7),1))&amp;MID(INDEX($GA7:$GG7,1,$DY7),2,99),UPPER(LEFT(INDEX($GA7:$GG7,1,$DY7),1))&amp;MID(INDEX($GA7:$GG7,1,$DY7),2,99)&amp;" = "&amp;FLOOR($FR7*4.5,1)&amp;IF($FS7&gt;0," · +"&amp;$FS7&amp;"d8","")))</f>
        <v/>
      </c>
      <c r="GR7" s="152">
        <f>COUNTIF($EB7:$EE7,"Longe")+3*COUNTIF($EB7:$EE7,"Muito Longe")</f>
        <v/>
      </c>
      <c r="GS7" s="152">
        <f>COUNTIF($EB7:$EE7,"Maior")+3*COUNTIF($EB7:$EE7,"Muito Maior")</f>
        <v/>
      </c>
      <c r="GT7" s="152">
        <f>IF($EI7=0,0,CHOOSE(1+INDEX($AH$2:$AH$11,$EI7),0,$GR7,$GS7,$GR7+$GS7))</f>
        <v/>
      </c>
      <c r="GU7" s="152">
        <f>IF($EI7=0,0,CHOOSE(1+INDEX($AI$2:$AI$11,$EI7),0,$GR7,$GS7,$GR7+$GS7))</f>
        <v/>
      </c>
      <c r="GV7" s="152">
        <f>IF(OR($EH7=0,$EI7=0),"",INDEX($AP$2:$AU$31,($EI7-1)*3+IF($DY7&gt;=6,3,2),1+MIN(5,$GT7))&amp;INDEX($AV$2:$BA$31,($EI7-1)*3+IF($DY7&gt;=6,3,2),1+MIN(5,$GU7))&amp;IF(INDEX($AJ$2:$AJ$11,$EI7)=1,IF(COUNTIF($EB7:$EE7,"Mais Um")&gt;0," · +"&amp;COUNTIF($EB7:$EE7,"Mais Um")&amp;IF(COUNTIF($EB7:$EE7,"Mais Um")&gt;1," alvos"," alvo"),"")&amp;IF(COUNTIF($EB7:$EE7,"Rajada")&gt;0," · "&amp;($DY7+1)&amp;" tiros",""),""))</f>
        <v/>
      </c>
      <c r="GW7" s="152">
        <f>IF($EH7=0,"",3*$DY7&amp;" − "&amp;$FL7&amp;" + "&amp;$FO7&amp;IF($DW7=1," + "&amp;$DY7,"")&amp;" = "&amp;$FR7&amp;"d8 · teto "&amp;4*$DY7&amp;IF($EU7=1," · a Forma devolve "&amp;$DY7,"")&amp;IF($FP7&gt;0," · perde "&amp;$FP7,""))</f>
        <v/>
      </c>
      <c r="GX7" s="152">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52">
        <f>IF(OR($EH7=0,$EK7=0),"","−"&amp;INDEX($Q$2:$V$8,$DY7,$EK7)&amp;" · "&amp;CHOOSE($EK7,"Leve","Média","Pesada","Leve · Livre","Média · Livre","Pesada · Livre"))</f>
        <v/>
      </c>
      <c r="GZ7" s="152">
        <f>IF(OR($EH7=0,$EL7=0),"","−"&amp;INDEX($Q$2:$V$8,$DY7,$EL7)&amp;" · "&amp;CHOOSE($EL7,"Leve","Média","Pesada","Leve · Livre","Média · Livre","Pesada · Livre"))</f>
        <v/>
      </c>
      <c r="HA7" s="152">
        <f>IF(OR($EH7=0,$EM7=0),"","−"&amp;INDEX($Q$2:$V$8,$DY7,$EM7)&amp;" · "&amp;CHOOSE($EM7,"Leve","Média","Pesada","Leve · Livre","Média · Livre","Pesada · Livre"))</f>
        <v/>
      </c>
      <c r="HB7" s="152">
        <f>IF(OR($EH7=0,$EN7=0),"","−"&amp;INDEX($Q$2:$V$8,$DY7,$EN7)&amp;" · "&amp;CHOOSE($EN7,"Leve","Média","Pesada","Leve · Livre","Média · Livre","Pesada · Livre"))</f>
        <v/>
      </c>
      <c r="HC7" s="152">
        <f>IF(OR($EH7=0,$EF7=""),"","+"&amp;IF($EX7=1,CEILING($DY7/2,1),$DY7))</f>
        <v/>
      </c>
      <c r="HD7" s="152">
        <f>IF(OR($EH7=0,$EG7=""),"","+"&amp;IF($EY7=1,CEILING($DY7/2,1),$DY7))</f>
        <v/>
      </c>
      <c r="HE7" s="152">
        <f>'FICHA AMALDIÇOADA'!$P$74&amp;""</f>
        <v/>
      </c>
      <c r="HF7" s="152">
        <f>IF(AND($EH7=1,$DW7=0),COUNTIFS($EH$2:$EH7,1,$DW$2:$DW7,0),"")</f>
        <v/>
      </c>
      <c r="HH7" s="150" t="inlineStr">
        <is>
          <t>essência</t>
        </is>
      </c>
      <c r="HI7" s="152">
        <f>N(FICHA!$AJ$19)</f>
        <v/>
      </c>
      <c r="HK7" s="150" t="inlineStr">
        <is>
          <t>Talento 6 · Leque</t>
        </is>
      </c>
      <c r="HL7" s="152">
        <f>'FICHA AMALDIÇOADA'!$D$397&amp;""</f>
        <v/>
      </c>
      <c r="HM7" s="152">
        <f>IFERROR(VLOOKUP($HL7,$BR$2:$BX$24,2,FALSE),0)</f>
        <v/>
      </c>
      <c r="HN7" s="152">
        <f>IFERROR(VLOOKUP($HM7,$BZ$2:$CA$4,2,FALSE),0)</f>
        <v/>
      </c>
      <c r="HO7" s="152">
        <f>IFERROR(VLOOKUP($HL7,$BR$2:$BX$24,3,FALSE),"")</f>
        <v/>
      </c>
      <c r="HP7" s="152">
        <f>IF($HM7=0,"",IF($HN7&gt;$HI$2,"⚠ Nível "&amp;$HN7,"CE "&amp;$HM7))</f>
        <v/>
      </c>
      <c r="HQ7" s="152">
        <f>IF($HM7=0,"",IF(1&gt;$HI$8,"⚠ Vaga","Grátis"))</f>
        <v/>
      </c>
      <c r="HR7" s="152">
        <f>'FICHA AMALDIÇOADA'!$E$402&amp;""</f>
        <v/>
      </c>
      <c r="HS7" s="152">
        <f>IF($HL7="","",COUNTIF($HL$2:$HL7,"?*"))</f>
        <v/>
      </c>
      <c r="HU7" s="150" t="inlineStr">
        <is>
          <t>Aptidão 6</t>
        </is>
      </c>
      <c r="HV7" s="152">
        <f>'FICHA AMALDIÇOADA'!$P$450&amp;""</f>
        <v/>
      </c>
      <c r="HW7" s="152">
        <f>IF($HV7="","","Requisito: "&amp;IFERROR(VLOOKUP($HV7,$CC$2:$CL$33,2,FALSE),""))</f>
        <v/>
      </c>
      <c r="HX7" s="152">
        <f>IF($HV7="","",IFERROR(IF(ISNUMBER(VLOOKUP($HV7,$CC$2:$CL$33,3,FALSE)),"CE "&amp;VLOOKUP($HV7,$CC$2:$CL$33,3,FALSE),VLOOKUP($HV7,$CC$2:$CL$33,3,FALSE)),""))</f>
        <v/>
      </c>
      <c r="HY7" s="152">
        <f>IF($HV7="","",IFERROR(VLOOKUP($HV7,$CC$2:$CL$33,4,FALSE),""))</f>
        <v/>
      </c>
      <c r="HZ7" s="152">
        <f>IF($HV7="","",IFERROR(VLOOKUP($HV7,$CC$2:$CL$33,5,FALSE),""))</f>
        <v/>
      </c>
      <c r="IA7" s="152">
        <f>'FICHA AMALDIÇOADA'!$Q$467&amp;""</f>
        <v/>
      </c>
      <c r="IB7" s="152">
        <f>IF($HV7="","",COUNTIF($HV$2:$HV7,"?*"))</f>
        <v/>
      </c>
      <c r="IM7" s="152">
        <f>IF($A$2=1,"T. Máxima",INDEX($D$5:$G$5,1,$A$2))</f>
        <v/>
      </c>
      <c r="IN7" s="152">
        <f>ADDRESS(ROW('FICHA AMALDIÇOADA'!K7),COLUMN('FICHA AMALDIÇOADA'!K7),4)</f>
        <v/>
      </c>
      <c r="IO7" s="152">
        <f>ADDRESS(ROW('FICHA AMALDIÇOADA'!D340),COLUMN('FICHA AMALDIÇOADA'!D340),4)</f>
        <v/>
      </c>
      <c r="IP7" s="150" t="inlineStr">
        <is>
          <t>DADOS_AM!$IM$7</t>
        </is>
      </c>
      <c r="IR7" s="150" t="inlineStr">
        <is>
          <t>Trilha 2</t>
        </is>
      </c>
      <c r="IS7" s="152" t="n">
        <v>2</v>
      </c>
      <c r="IT7" s="152">
        <f>IF($HI$2&gt;=2,"Nível 2","Abre no 2")</f>
        <v/>
      </c>
      <c r="IU7" s="152">
        <f>ADDRESS(ROW(FICHA!G129),COLUMN(FICHA!G129),4)</f>
        <v/>
      </c>
      <c r="IV7" s="152">
        <f>ADDRESS(ROW(FICHA!D130),COLUMN(FICHA!D130),4)</f>
        <v/>
      </c>
      <c r="JD7" s="152" t="n">
        <v>6</v>
      </c>
      <c r="JE7" s="152">
        <f>IFERROR(MATCH(6,$HF$2:$HF$37,0),0)</f>
        <v/>
      </c>
      <c r="JF7" s="152">
        <f>IF($JE7=0,"",INDEX($DY$2:$DY$37,$JE7))</f>
        <v/>
      </c>
      <c r="JG7" s="152">
        <f>IF($JE7=0,"",INDEX($DZ$2:$DZ$37,$JE7))</f>
        <v/>
      </c>
      <c r="JH7" s="152">
        <f>IF($JE7=0,"",INDEX($GN$2:$GN$37,$JE7))</f>
        <v/>
      </c>
      <c r="JI7" s="152">
        <f>IF($JE7=0,"",INDEX($EA$2:$EA$37,$JE7))</f>
        <v/>
      </c>
      <c r="JJ7" s="152">
        <f>IF($JE7=0,"",INDEX($GP$2:$GP$37,$JE7))</f>
        <v/>
      </c>
      <c r="JK7" s="152">
        <f>IF($JE7=0,"",INDEX($HE$2:$HE$37,$JE7))</f>
        <v/>
      </c>
      <c r="KB7" s="150" t="inlineStr">
        <is>
          <t>Talento 4</t>
        </is>
      </c>
      <c r="KC7" s="152">
        <f>IFERROR(MATCH(4,$HS$2:$HS$13,0),0)</f>
        <v/>
      </c>
      <c r="KD7" s="152">
        <f>IF($KC7=0,"",IF(INDEX($HM$2:$HM$13,$KC7)=0,"","CE "&amp;INDEX($HM$2:$HM$13,$KC7)))</f>
        <v/>
      </c>
      <c r="KE7" s="152">
        <f>IF($KC7=0,"",INDEX($HL$2:$HL$13,$KC7))</f>
        <v/>
      </c>
      <c r="KF7" s="152">
        <f>IF($KC7=0,"",IF(INDEX($HR$2:$HR$13,$KC7)&lt;&gt;"",INDEX($HR$2:$HR$13,$KC7),IF(IFERROR(VLOOKUP(INDEX($HL$2:$HL$13,$KC7),$BR$2:$BX$24,7,FALSE),"")&lt;&gt;"","Do livro: "&amp;IFERROR(VLOOKUP(INDEX($HL$2:$HL$13,$KC7),$BR$2:$BX$24,7,FALSE),""),"")))</f>
        <v/>
      </c>
      <c r="KH7" s="150" t="inlineStr">
        <is>
          <t>Aptidão 4</t>
        </is>
      </c>
      <c r="KI7" s="152">
        <f>IFERROR(MATCH(4,$IB$2:$IB$13,0),0)</f>
        <v/>
      </c>
      <c r="KJ7" s="152">
        <f>IF($KI7=0,"",INDEX($HX$2:$HX$13,$KI7))</f>
        <v/>
      </c>
      <c r="KK7" s="152">
        <f>IF($KI7=0,"",INDEX($HV$2:$HV$13,$KI7))</f>
        <v/>
      </c>
      <c r="KL7" s="152">
        <f>IF($KI7=0,"",IF(INDEX($IA$2:$IA$13,$KI7)&lt;&gt;"",INDEX($IA$2:$IA$13,$KI7),IF(IFERROR(VLOOKUP(INDEX($HV$2:$HV$13,$KI7),$CC$2:$CL$33,10,FALSE),"")&lt;&gt;"","Do livro: "&amp;IFERROR(VLOOKUP(INDEX($HV$2:$HV$13,$KI7),$CC$2:$CL$33,10,FALSE),""),"")))</f>
        <v/>
      </c>
      <c r="KN7" s="150" t="inlineStr">
        <is>
          <t>tag lib</t>
        </is>
      </c>
      <c r="KO7" s="152">
        <f>IF(DADOS_AM!$A$2&gt;=3,"Rup","Lib")</f>
        <v/>
      </c>
      <c r="KQ7" s="150" t="inlineStr">
        <is>
          <t>P15</t>
        </is>
      </c>
      <c r="KR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L8" s="150" t="inlineStr">
        <is>
          <t>Recuo (Leve)</t>
        </is>
      </c>
      <c r="BM8" s="150" t="inlineStr">
        <is>
          <t>Recuo</t>
        </is>
      </c>
      <c r="BN8" s="152" t="n">
        <v>1</v>
      </c>
      <c r="BO8" s="152" t="n">
        <v>0</v>
      </c>
      <c r="BP8" s="150" t="inlineStr">
        <is>
          <t>Recuo (Leve)</t>
        </is>
      </c>
      <c r="BR8" s="150" t="inlineStr">
        <is>
          <t>Fluxo</t>
        </is>
      </c>
      <c r="BS8" s="152" t="n">
        <v>2</v>
      </c>
      <c r="BT8" s="150" t="inlineStr">
        <is>
          <t>Ao conjurar um feitiço de Classe 3 ou maior, você recebe 2 × a Classe usada em pontos de vida temporária. Uma conjuração concede a reserva uma vez, mesmo que alcance vários alvos ou produza vários ataques.</t>
        </is>
      </c>
      <c r="BU8" s="152" t="n">
        <v>1</v>
      </c>
      <c r="BV8" s="152" t="n">
        <v>0</v>
      </c>
      <c r="BW8" s="152">
        <f>IF(OR(AND($A$2&lt;=2,$BU8=1),AND($A$2&gt;=2,$BV8=1)),$BR8,"")</f>
        <v/>
      </c>
      <c r="BX8" s="150" t="inlineStr">
        <is>
          <t>Ao conjurar um feitiço de Classe 3 ou maior, você recebe 2 × a Classe usada em pontos de vida temporária. Uma conjuração concede a reserva uma vez, mesmo que alcance vários alvos ou produza vários ataques.</t>
        </is>
      </c>
      <c r="CC8" s="150" t="inlineStr">
        <is>
          <t>Kokusen Melhorado</t>
        </is>
      </c>
      <c r="CD8" s="150" t="inlineStr">
        <is>
          <t>Refino 5 e nível 14</t>
        </is>
      </c>
      <c r="CE8" s="150" t="inlineStr">
        <is>
          <t>—</t>
        </is>
      </c>
      <c r="CF8" s="150" t="inlineStr">
        <is>
          <t>—</t>
        </is>
      </c>
      <c r="CG8" s="150" t="inlineStr">
        <is>
          <t>Em cada teste de Kokusen, role dois d100 e use o menor. Se os dois resultados falharem, acrescente +2 ao bônus acumulado uma vez, não duas.</t>
        </is>
      </c>
      <c r="CH8" s="152">
        <f>IF($CK8=1,"",IF($A$2=4,IF($CI8=1,$CC8,""),IF(OR($CI8=1,AND($A$2=3,$CJ8=1)),"",$CC8)))</f>
        <v/>
      </c>
      <c r="CI8" s="152" t="n">
        <v>0</v>
      </c>
      <c r="CJ8" s="152" t="n">
        <v>0</v>
      </c>
      <c r="CK8" s="152" t="n">
        <v>0</v>
      </c>
      <c r="CL8" s="150" t="inlineStr">
        <is>
          <t>Em cada teste de Kokusen, role dois d100 e use o menor. Se os dois resultados falharem, acrescente +2 ao bônus acumulado uma vez, não duas.</t>
        </is>
      </c>
      <c r="CT8" s="150" t="inlineStr">
        <is>
          <t>Lâmina Longa</t>
        </is>
      </c>
      <c r="CU8" s="152" t="n">
        <v>1</v>
      </c>
      <c r="CV8" s="152" t="n">
        <v>1</v>
      </c>
      <c r="CW8" s="152">
        <f>IF(AND($A$2&gt;=3,'FICHA AMALDIÇOADA'!$J$16&amp;""="Três grupos de arma"),$CT8,"")</f>
        <v/>
      </c>
      <c r="DV8" s="150" t="inlineStr">
        <is>
          <t>Feitiço 7</t>
        </is>
      </c>
      <c r="DW8" s="152" t="n">
        <v>0</v>
      </c>
      <c r="DX8" s="152" t="n">
        <v>7</v>
      </c>
      <c r="DY8" s="152">
        <f>MAX(1,MIN(7,N('FICHA AMALDIÇOADA'!$D$93)))</f>
        <v/>
      </c>
      <c r="DZ8" s="152">
        <f>'FICHA AMALDIÇOADA'!$E$93&amp;""</f>
        <v/>
      </c>
      <c r="EA8" s="152">
        <f>'FICHA AMALDIÇOADA'!$D$100&amp;""</f>
        <v/>
      </c>
      <c r="EB8" s="152">
        <f>'FICHA AMALDIÇOADA'!$E$102&amp;""</f>
        <v/>
      </c>
      <c r="EC8" s="152">
        <f>'FICHA AMALDIÇOADA'!$E$103&amp;""</f>
        <v/>
      </c>
      <c r="ED8" s="152">
        <f>'FICHA AMALDIÇOADA'!$E$104&amp;""</f>
        <v/>
      </c>
      <c r="EE8" s="152">
        <f>'FICHA AMALDIÇOADA'!$E$105&amp;""</f>
        <v/>
      </c>
      <c r="EF8" s="152">
        <f>'FICHA AMALDIÇOADA'!$E$106&amp;""</f>
        <v/>
      </c>
      <c r="EG8" s="152">
        <f>'FICHA AMALDIÇOADA'!$E$107&amp;""</f>
        <v/>
      </c>
      <c r="EH8" s="152">
        <f>IF($DZ8&lt;&gt;"",1,0)</f>
        <v/>
      </c>
      <c r="EI8" s="152">
        <f>IFERROR(MATCH($EA8,$Y$2:$Y$11,0),0)</f>
        <v/>
      </c>
      <c r="EJ8" s="152">
        <f>IF($EI8=0,0,INDEX($AB$2:$AB$11,$EI8))</f>
        <v/>
      </c>
      <c r="EK8" s="152">
        <f>IFERROR(VLOOKUP($EB8,$BC$2:$BJ$84,4,FALSE),0)</f>
        <v/>
      </c>
      <c r="EL8" s="152">
        <f>IFERROR(VLOOKUP($EC8,$BC$2:$BJ$84,4,FALSE),0)</f>
        <v/>
      </c>
      <c r="EM8" s="152">
        <f>IFERROR(VLOOKUP($ED8,$BC$2:$BJ$84,4,FALSE),0)</f>
        <v/>
      </c>
      <c r="EN8" s="152">
        <f>IFERROR(VLOOKUP($EE8,$BC$2:$BJ$84,4,FALSE),0)</f>
        <v/>
      </c>
      <c r="EO8" s="152">
        <f>IF($EI8=0,0,INDEX($AC$2:$AC$11,$EI8))</f>
        <v/>
      </c>
      <c r="EP8" s="152">
        <f>IFERROR(VLOOKUP($EB8,$BC$2:$BJ$84,5,FALSE),0)</f>
        <v/>
      </c>
      <c r="EQ8" s="152">
        <f>IFERROR(VLOOKUP($EC8,$BC$2:$BJ$84,5,FALSE),0)</f>
        <v/>
      </c>
      <c r="ER8" s="152">
        <f>IFERROR(VLOOKUP($ED8,$BC$2:$BJ$84,5,FALSE),0)</f>
        <v/>
      </c>
      <c r="ES8" s="152">
        <f>IFERROR(VLOOKUP($EE8,$BC$2:$BJ$84,5,FALSE),0)</f>
        <v/>
      </c>
      <c r="ET8" s="152">
        <f>IFERROR(VLOOKUP($EB8,$BC$2:$BJ$84,6,FALSE),0)+IFERROR(VLOOKUP($EC8,$BC$2:$BJ$84,6,FALSE),0)+IFERROR(VLOOKUP($ED8,$BC$2:$BJ$84,6,FALSE),0)+IFERROR(VLOOKUP($EE8,$BC$2:$BJ$84,6,FALSE),0)</f>
        <v/>
      </c>
      <c r="EU8" s="152">
        <f>IF($EI8=0,0,INDEX($AD$2:$AD$11,$EI8))</f>
        <v/>
      </c>
      <c r="EV8" s="152">
        <f>IF($EI8=0,0,INDEX($AE$2:$AE$11,$EI8))</f>
        <v/>
      </c>
      <c r="EW8" s="152">
        <f>IF($EI8=0,0,INDEX($AG$2:$AG$11,$EI8))</f>
        <v/>
      </c>
      <c r="EX8" s="152">
        <f>IFERROR(VLOOKUP($EF8,$BL$2:$BP$24,3,FALSE),0)</f>
        <v/>
      </c>
      <c r="EY8" s="152">
        <f>IFERROR(VLOOKUP($EG8,$BL$2:$BP$24,3,FALSE),0)</f>
        <v/>
      </c>
      <c r="EZ8" s="152">
        <f>IFERROR(VLOOKUP($EF8,$BL$2:$BP$24,2,FALSE),"")</f>
        <v/>
      </c>
      <c r="FA8" s="152">
        <f>IFERROR(VLOOKUP($EG8,$BL$2:$BP$24,2,FALSE),"")</f>
        <v/>
      </c>
      <c r="FB8" s="152">
        <f>COUNTIF($EJ8:$EN8,1)</f>
        <v/>
      </c>
      <c r="FC8" s="152">
        <f>COUNTIF($EJ8:$EN8,2)</f>
        <v/>
      </c>
      <c r="FD8" s="152">
        <f>COUNTIF($EJ8:$EN8,3)</f>
        <v/>
      </c>
      <c r="FE8" s="152">
        <f>COUNTIF($EJ8:$EN8,4)</f>
        <v/>
      </c>
      <c r="FF8" s="152">
        <f>COUNTIF($EJ8:$EN8,5)</f>
        <v/>
      </c>
      <c r="FG8" s="152">
        <f>COUNTIF($EJ8:$EN8,6)</f>
        <v/>
      </c>
      <c r="FH8" s="152">
        <f>COUNTIF($EX8:$EY8,1)</f>
        <v/>
      </c>
      <c r="FI8" s="152">
        <f>COUNTIF($EX8:$EY8,2)+$EU8</f>
        <v/>
      </c>
      <c r="FJ8" s="152">
        <f>COUNTIF($EB8:$EE8,"?*")</f>
        <v/>
      </c>
      <c r="FK8" s="152">
        <f>COUNTIF($EF8:$EG8,"?*")+$EU8</f>
        <v/>
      </c>
      <c r="FL8" s="152">
        <f>SUMPRODUCT($FB8:$FG8,INDEX($Q$2:$V$8,$DY8,0))</f>
        <v/>
      </c>
      <c r="FM8" s="152">
        <f>$FH8*CEILING($DY8/2,1)+$FI8*$DY8</f>
        <v/>
      </c>
      <c r="FN8" s="152">
        <f>MIN(2*$DY8,$FM8)</f>
        <v/>
      </c>
      <c r="FO8" s="152">
        <f>MIN($FN8,$FL8)</f>
        <v/>
      </c>
      <c r="FP8" s="152">
        <f>$FN8-$FO8</f>
        <v/>
      </c>
      <c r="FQ8" s="152">
        <f>3*$DY8-$FL8+$FO8</f>
        <v/>
      </c>
      <c r="FR8" s="152">
        <f>MAX(0,$FQ8)+$DW8*$DY8</f>
        <v/>
      </c>
      <c r="FS8" s="152">
        <f>(IF(COUNTIF($EB8:$EE8,"Salto")&gt;0,1,0)+IF(COUNTIF($EB8:$EE8,"Queima")&gt;0,1,0)+IF(COUNTIF($EB8:$EE8,"Estilhaço")&gt;0,1,0))*FLOOR($FR8/2,1)</f>
        <v/>
      </c>
      <c r="FT8" s="152">
        <f>MAX(0,3-SUMPRODUCT($FB8:$FG8,$Q$2:$V$2)+MIN(2,$FH8*1+$FI8*1,SUMPRODUCT($FB8:$FG8,$Q$2:$V$2)))+$DW8*1</f>
        <v/>
      </c>
      <c r="FU8" s="152">
        <f>MAX(0,6-SUMPRODUCT($FB8:$FG8,$Q$3:$V$3)+MIN(4,$FH8*1+$FI8*2,SUMPRODUCT($FB8:$FG8,$Q$3:$V$3)))+$DW8*2</f>
        <v/>
      </c>
      <c r="FV8" s="152">
        <f>MAX(0,9-SUMPRODUCT($FB8:$FG8,$Q$4:$V$4)+MIN(6,$FH8*2+$FI8*3,SUMPRODUCT($FB8:$FG8,$Q$4:$V$4)))+$DW8*3</f>
        <v/>
      </c>
      <c r="FW8" s="152">
        <f>MAX(0,12-SUMPRODUCT($FB8:$FG8,$Q$5:$V$5)+MIN(8,$FH8*2+$FI8*4,SUMPRODUCT($FB8:$FG8,$Q$5:$V$5)))+$DW8*4</f>
        <v/>
      </c>
      <c r="FX8" s="152">
        <f>MAX(0,15-SUMPRODUCT($FB8:$FG8,$Q$6:$V$6)+MIN(10,$FH8*3+$FI8*5,SUMPRODUCT($FB8:$FG8,$Q$6:$V$6)))+$DW8*5</f>
        <v/>
      </c>
      <c r="FY8" s="152">
        <f>MAX(0,18-SUMPRODUCT($FB8:$FG8,$Q$7:$V$7)+MIN(12,$FH8*3+$FI8*6,SUMPRODUCT($FB8:$FG8,$Q$7:$V$7)))+$DW8*6</f>
        <v/>
      </c>
      <c r="FZ8" s="152">
        <f>MAX(0,21-SUMPRODUCT($FB8:$FG8,$Q$8:$V$8)+MIN(14,$FH8*4+$FI8*7,SUMPRODUCT($FB8:$FG8,$Q$8:$V$8)))+$DW8*7</f>
        <v/>
      </c>
      <c r="GA8" s="152">
        <f>IF($EV8=2,3*$FT8&amp;" de vida temp.",IF($EV8=3,"sem dano",IF($FT8=0,IF($EV8=1,"sem cura","sem dano"),IF($EV8=1,"cura ","")&amp;$FT8&amp;"d8")))</f>
        <v/>
      </c>
      <c r="GB8" s="152">
        <f>IF($EV8=2,3*$FU8&amp;" de vida temp.",IF($EV8=3,"sem dano",IF($FU8=0,IF($EV8=1,"sem cura","sem dano"),IF($EV8=1,"cura ","")&amp;$FU8&amp;"d8")))</f>
        <v/>
      </c>
      <c r="GC8" s="152">
        <f>IF($EV8=2,3*$FV8&amp;" de vida temp.",IF($EV8=3,"sem dano",IF($FV8=0,IF($EV8=1,"sem cura","sem dano"),IF($EV8=1,"cura ","")&amp;$FV8&amp;"d8")))</f>
        <v/>
      </c>
      <c r="GD8" s="152">
        <f>IF($EV8=2,3*$FW8&amp;" de vida temp.",IF($EV8=3,"sem dano",IF($FW8=0,IF($EV8=1,"sem cura","sem dano"),IF($EV8=1,"cura ","")&amp;$FW8&amp;"d8")))</f>
        <v/>
      </c>
      <c r="GE8" s="152">
        <f>IF($EV8=2,3*$FX8&amp;" de vida temp.",IF($EV8=3,"sem dano",IF($FX8=0,IF($EV8=1,"sem cura","sem dano"),IF($EV8=1,"cura ","")&amp;$FX8&amp;"d8")))</f>
        <v/>
      </c>
      <c r="GF8" s="152">
        <f>IF($EV8=2,3*$FY8&amp;" de vida temp.",IF($EV8=3,"sem dano",IF($FY8=0,IF($EV8=1,"sem cura","sem dano"),IF($EV8=1,"cura ","")&amp;$FY8&amp;"d8")))</f>
        <v/>
      </c>
      <c r="GG8" s="152">
        <f>IF($EV8=2,3*$FZ8&amp;" de vida temp.",IF($EV8=3,"sem dano",IF($FZ8=0,IF($EV8=1,"sem cura","sem dano"),IF($EV8=1,"cura ","")&amp;$FZ8&amp;"d8")))</f>
        <v/>
      </c>
      <c r="GH8" s="152">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52">
        <f>IF($GH8="",0,(LEN($GH8)-LEN(SUBSTITUTE($GH8," · ","")))/3+1)</f>
        <v/>
      </c>
      <c r="GJ8" s="152">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52">
        <f>IF($GJ8="",0,(LEN($GJ8)-LEN(SUBSTITUTE($GJ8," · ","")))/3+1)</f>
        <v/>
      </c>
      <c r="GL8" s="152">
        <f>IF($EH8=0,IF($FJ8+$FK8-$EU8&gt;0,"Dê um nome",""),IF($GI8&gt;0,"⚠ "&amp;$GI8&amp;IF($GI8&gt;1," erros"," erro"),IF($GK8&gt;0,"! "&amp;$GK8&amp;IF($GK8&gt;1," avisos"," aviso"),"Na regra")))</f>
        <v/>
      </c>
      <c r="GM8" s="152">
        <f>IF($EH8=0,"",IF($GI8+$GK8=0,"Dentro das regras que a ficha confere",$GH8&amp;IF(AND($GI8&gt;0,$GK8&gt;0)," · ","")&amp;$GJ8))</f>
        <v/>
      </c>
      <c r="GN8" s="152">
        <f>IF($EH8=0,"",IF($DW8=1,CEILING(4.5*$DY8,1),3*$DY8)&amp;" PE")</f>
        <v/>
      </c>
      <c r="GO8" s="152">
        <f>IF($EH8=0,"",IF($DW8=1,"Rodada inteira",IF(COUNTIF($EZ8:$FA8,"Atrasar")&gt;0,IF(COUNTIF($EZ8:$FA8,"Carregar")&gt;0,"Rodada +1 turno","Rodada inteira"),IF(COUNTIF($EB8:$EE8,"Rápido")&gt;0,"Bônus",IF(COUNTIF($EB8:$EE8,"Reação")&gt;0,"Reação","Padrão"))&amp;IF(COUNTIF($EZ8:$FA8,"Carregar")&gt;0," +1 turno",""))))</f>
        <v/>
      </c>
      <c r="GP8" s="152">
        <f>IF(OR($EH8=0,$EI8=0),"",IF(COUNTIF($EB8:$EE8,"Inescapável")&gt;0,"Automático",IF(COUNTIF($EB8:$EE8,"Certeiro")&gt;0,"TR para metade",INDEX($AF$2:$AF$11,$EI8))))</f>
        <v/>
      </c>
      <c r="GQ8" s="152">
        <f>IF(OR($EH8=0,$EI8=0),"",IF(OR($EV8&gt;=2,$FR8=0),UPPER(LEFT(INDEX($GA8:$GG8,1,$DY8),1))&amp;MID(INDEX($GA8:$GG8,1,$DY8),2,99),UPPER(LEFT(INDEX($GA8:$GG8,1,$DY8),1))&amp;MID(INDEX($GA8:$GG8,1,$DY8),2,99)&amp;" = "&amp;FLOOR($FR8*4.5,1)&amp;IF($FS8&gt;0," · +"&amp;$FS8&amp;"d8","")))</f>
        <v/>
      </c>
      <c r="GR8" s="152">
        <f>COUNTIF($EB8:$EE8,"Longe")+3*COUNTIF($EB8:$EE8,"Muito Longe")</f>
        <v/>
      </c>
      <c r="GS8" s="152">
        <f>COUNTIF($EB8:$EE8,"Maior")+3*COUNTIF($EB8:$EE8,"Muito Maior")</f>
        <v/>
      </c>
      <c r="GT8" s="152">
        <f>IF($EI8=0,0,CHOOSE(1+INDEX($AH$2:$AH$11,$EI8),0,$GR8,$GS8,$GR8+$GS8))</f>
        <v/>
      </c>
      <c r="GU8" s="152">
        <f>IF($EI8=0,0,CHOOSE(1+INDEX($AI$2:$AI$11,$EI8),0,$GR8,$GS8,$GR8+$GS8))</f>
        <v/>
      </c>
      <c r="GV8" s="152">
        <f>IF(OR($EH8=0,$EI8=0),"",INDEX($AP$2:$AU$31,($EI8-1)*3+IF($DY8&gt;=6,3,2),1+MIN(5,$GT8))&amp;INDEX($AV$2:$BA$31,($EI8-1)*3+IF($DY8&gt;=6,3,2),1+MIN(5,$GU8))&amp;IF(INDEX($AJ$2:$AJ$11,$EI8)=1,IF(COUNTIF($EB8:$EE8,"Mais Um")&gt;0," · +"&amp;COUNTIF($EB8:$EE8,"Mais Um")&amp;IF(COUNTIF($EB8:$EE8,"Mais Um")&gt;1," alvos"," alvo"),"")&amp;IF(COUNTIF($EB8:$EE8,"Rajada")&gt;0," · "&amp;($DY8+1)&amp;" tiros",""),""))</f>
        <v/>
      </c>
      <c r="GW8" s="152">
        <f>IF($EH8=0,"",3*$DY8&amp;" − "&amp;$FL8&amp;" + "&amp;$FO8&amp;IF($DW8=1," + "&amp;$DY8,"")&amp;" = "&amp;$FR8&amp;"d8 · teto "&amp;4*$DY8&amp;IF($EU8=1," · a Forma devolve "&amp;$DY8,"")&amp;IF($FP8&gt;0," · perde "&amp;$FP8,""))</f>
        <v/>
      </c>
      <c r="GX8" s="152">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52">
        <f>IF(OR($EH8=0,$EK8=0),"","−"&amp;INDEX($Q$2:$V$8,$DY8,$EK8)&amp;" · "&amp;CHOOSE($EK8,"Leve","Média","Pesada","Leve · Livre","Média · Livre","Pesada · Livre"))</f>
        <v/>
      </c>
      <c r="GZ8" s="152">
        <f>IF(OR($EH8=0,$EL8=0),"","−"&amp;INDEX($Q$2:$V$8,$DY8,$EL8)&amp;" · "&amp;CHOOSE($EL8,"Leve","Média","Pesada","Leve · Livre","Média · Livre","Pesada · Livre"))</f>
        <v/>
      </c>
      <c r="HA8" s="152">
        <f>IF(OR($EH8=0,$EM8=0),"","−"&amp;INDEX($Q$2:$V$8,$DY8,$EM8)&amp;" · "&amp;CHOOSE($EM8,"Leve","Média","Pesada","Leve · Livre","Média · Livre","Pesada · Livre"))</f>
        <v/>
      </c>
      <c r="HB8" s="152">
        <f>IF(OR($EH8=0,$EN8=0),"","−"&amp;INDEX($Q$2:$V$8,$DY8,$EN8)&amp;" · "&amp;CHOOSE($EN8,"Leve","Média","Pesada","Leve · Livre","Média · Livre","Pesada · Livre"))</f>
        <v/>
      </c>
      <c r="HC8" s="152">
        <f>IF(OR($EH8=0,$EF8=""),"","+"&amp;IF($EX8=1,CEILING($DY8/2,1),$DY8))</f>
        <v/>
      </c>
      <c r="HD8" s="152">
        <f>IF(OR($EH8=0,$EG8=""),"","+"&amp;IF($EY8=1,CEILING($DY8/2,1),$DY8))</f>
        <v/>
      </c>
      <c r="HE8" s="152">
        <f>'FICHA AMALDIÇOADA'!$D$95&amp;""</f>
        <v/>
      </c>
      <c r="HF8" s="152">
        <f>IF(AND($EH8=1,$DW8=0),COUNTIFS($EH$2:$EH8,1,$DW$2:$DW8,0),"")</f>
        <v/>
      </c>
      <c r="HH8" s="150" t="inlineStr">
        <is>
          <t>escolhas de Leque</t>
        </is>
      </c>
      <c r="HI8" s="152">
        <f>MIN(N(DADOS!$AK$38),$HI$5)</f>
        <v/>
      </c>
      <c r="HK8" s="150" t="inlineStr">
        <is>
          <t>Talento 7 · Leque</t>
        </is>
      </c>
      <c r="HL8" s="152">
        <f>'FICHA AMALDIÇOADA'!$J$397&amp;""</f>
        <v/>
      </c>
      <c r="HM8" s="152">
        <f>IFERROR(VLOOKUP($HL8,$BR$2:$BX$24,2,FALSE),0)</f>
        <v/>
      </c>
      <c r="HN8" s="152">
        <f>IFERROR(VLOOKUP($HM8,$BZ$2:$CA$4,2,FALSE),0)</f>
        <v/>
      </c>
      <c r="HO8" s="152">
        <f>IFERROR(VLOOKUP($HL8,$BR$2:$BX$24,3,FALSE),"")</f>
        <v/>
      </c>
      <c r="HP8" s="152">
        <f>IF($HM8=0,"",IF($HN8&gt;$HI$2,"⚠ Nível "&amp;$HN8,"CE "&amp;$HM8))</f>
        <v/>
      </c>
      <c r="HQ8" s="152">
        <f>IF($HM8=0,"",IF(2&gt;$HI$8,"⚠ Vaga","Grátis"))</f>
        <v/>
      </c>
      <c r="HR8" s="152">
        <f>'FICHA AMALDIÇOADA'!$K$402&amp;""</f>
        <v/>
      </c>
      <c r="HS8" s="152">
        <f>IF($HL8="","",COUNTIF($HL$2:$HL8,"?*"))</f>
        <v/>
      </c>
      <c r="HU8" s="150" t="inlineStr">
        <is>
          <t>Aptidão 7</t>
        </is>
      </c>
      <c r="HV8" s="152">
        <f>'FICHA AMALDIÇOADA'!$D$472&amp;""</f>
        <v/>
      </c>
      <c r="HW8" s="152">
        <f>IF($HV8="","","Requisito: "&amp;IFERROR(VLOOKUP($HV8,$CC$2:$CL$33,2,FALSE),""))</f>
        <v/>
      </c>
      <c r="HX8" s="152">
        <f>IF($HV8="","",IFERROR(IF(ISNUMBER(VLOOKUP($HV8,$CC$2:$CL$33,3,FALSE)),"CE "&amp;VLOOKUP($HV8,$CC$2:$CL$33,3,FALSE),VLOOKUP($HV8,$CC$2:$CL$33,3,FALSE)),""))</f>
        <v/>
      </c>
      <c r="HY8" s="152">
        <f>IF($HV8="","",IFERROR(VLOOKUP($HV8,$CC$2:$CL$33,4,FALSE),""))</f>
        <v/>
      </c>
      <c r="HZ8" s="152">
        <f>IF($HV8="","",IFERROR(VLOOKUP($HV8,$CC$2:$CL$33,5,FALSE),""))</f>
        <v/>
      </c>
      <c r="IA8" s="152">
        <f>'FICHA AMALDIÇOADA'!$E$489&amp;""</f>
        <v/>
      </c>
      <c r="IB8" s="152">
        <f>IF($HV8="","",COUNTIF($HV$2:$HV8,"?*"))</f>
        <v/>
      </c>
      <c r="IM8" s="150" t="inlineStr">
        <is>
          <t>Domínio</t>
        </is>
      </c>
      <c r="IN8" s="152">
        <f>ADDRESS(ROW('FICHA AMALDIÇOADA'!L7),COLUMN('FICHA AMALDIÇOADA'!L7),4)</f>
        <v/>
      </c>
      <c r="IO8" s="152">
        <f>ADDRESS(ROW('FICHA AMALDIÇOADA'!D354),COLUMN('FICHA AMALDIÇOADA'!D354),4)</f>
        <v/>
      </c>
      <c r="IP8" s="150" t="inlineStr">
        <is>
          <t>DADOS_AM!$IM$8</t>
        </is>
      </c>
      <c r="IR8" s="150" t="inlineStr">
        <is>
          <t>Trilha 11</t>
        </is>
      </c>
      <c r="IS8" s="152" t="n">
        <v>11</v>
      </c>
      <c r="IT8" s="152">
        <f>IF($HI$2&gt;=11,"Nível 11","Abre no 11")</f>
        <v/>
      </c>
      <c r="IU8" s="152">
        <f>ADDRESS(ROW(FICHA!G135),COLUMN(FICHA!G135),4)</f>
        <v/>
      </c>
      <c r="IV8" s="152">
        <f>ADDRESS(ROW(FICHA!D136),COLUMN(FICHA!D136),4)</f>
        <v/>
      </c>
      <c r="JD8" s="152" t="n">
        <v>7</v>
      </c>
      <c r="JE8" s="152">
        <f>IFERROR(MATCH(7,$HF$2:$HF$37,0),0)</f>
        <v/>
      </c>
      <c r="JF8" s="152">
        <f>IF($JE8=0,"",INDEX($DY$2:$DY$37,$JE8))</f>
        <v/>
      </c>
      <c r="JG8" s="152">
        <f>IF($JE8=0,"",INDEX($DZ$2:$DZ$37,$JE8))</f>
        <v/>
      </c>
      <c r="JH8" s="152">
        <f>IF($JE8=0,"",INDEX($GN$2:$GN$37,$JE8))</f>
        <v/>
      </c>
      <c r="JI8" s="152">
        <f>IF($JE8=0,"",INDEX($EA$2:$EA$37,$JE8))</f>
        <v/>
      </c>
      <c r="JJ8" s="152">
        <f>IF($JE8=0,"",INDEX($GP$2:$GP$37,$JE8))</f>
        <v/>
      </c>
      <c r="JK8" s="152">
        <f>IF($JE8=0,"",INDEX($HE$2:$HE$37,$JE8))</f>
        <v/>
      </c>
      <c r="KB8" s="150" t="inlineStr">
        <is>
          <t>Talento 5</t>
        </is>
      </c>
      <c r="KC8" s="152">
        <f>IFERROR(MATCH(5,$HS$2:$HS$13,0),0)</f>
        <v/>
      </c>
      <c r="KD8" s="152">
        <f>IF($KC8=0,"",IF(INDEX($HM$2:$HM$13,$KC8)=0,"","CE "&amp;INDEX($HM$2:$HM$13,$KC8)))</f>
        <v/>
      </c>
      <c r="KE8" s="152">
        <f>IF($KC8=0,"",INDEX($HL$2:$HL$13,$KC8))</f>
        <v/>
      </c>
      <c r="KF8" s="152">
        <f>IF($KC8=0,"",IF(INDEX($HR$2:$HR$13,$KC8)&lt;&gt;"",INDEX($HR$2:$HR$13,$KC8),IF(IFERROR(VLOOKUP(INDEX($HL$2:$HL$13,$KC8),$BR$2:$BX$24,7,FALSE),"")&lt;&gt;"","Do livro: "&amp;IFERROR(VLOOKUP(INDEX($HL$2:$HL$13,$KC8),$BR$2:$BX$24,7,FALSE),""),"")))</f>
        <v/>
      </c>
      <c r="KH8" s="150" t="inlineStr">
        <is>
          <t>Aptidão 5</t>
        </is>
      </c>
      <c r="KI8" s="152">
        <f>IFERROR(MATCH(5,$IB$2:$IB$13,0),0)</f>
        <v/>
      </c>
      <c r="KJ8" s="152">
        <f>IF($KI8=0,"",INDEX($HX$2:$HX$13,$KI8))</f>
        <v/>
      </c>
      <c r="KK8" s="152">
        <f>IF($KI8=0,"",INDEX($HV$2:$HV$13,$KI8))</f>
        <v/>
      </c>
      <c r="KL8" s="152">
        <f>IF($KI8=0,"",IF(INDEX($IA$2:$IA$13,$KI8)&lt;&gt;"",INDEX($IA$2:$IA$13,$KI8),IF(IFERROR(VLOOKUP(INDEX($HV$2:$HV$13,$KI8),$CC$2:$CL$33,10,FALSE),"")&lt;&gt;"","Do livro: "&amp;IFERROR(VLOOKUP(INDEX($HV$2:$HV$13,$KI8),$CC$2:$CL$33,10,FALSE),""),"")))</f>
        <v/>
      </c>
      <c r="KN8" s="150" t="inlineStr">
        <is>
          <t>tag tm</t>
        </is>
      </c>
      <c r="KO8" s="152">
        <f>IF(DADOS_AM!$A$2=1,"Máx",IF(DADOS_AM!$A$2=2,"Auge","Ōgi"))</f>
        <v/>
      </c>
      <c r="KQ8" s="150" t="inlineStr">
        <is>
          <t>D16</t>
        </is>
      </c>
      <c r="KR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L9" s="150" t="inlineStr">
        <is>
          <t>Recuo (Média)</t>
        </is>
      </c>
      <c r="BM9" s="150" t="inlineStr">
        <is>
          <t>Recuo</t>
        </is>
      </c>
      <c r="BN9" s="152" t="n">
        <v>2</v>
      </c>
      <c r="BO9" s="152" t="n">
        <v>0</v>
      </c>
      <c r="BP9" s="150" t="inlineStr"/>
      <c r="BR9" s="150" t="inlineStr">
        <is>
          <t>Recomposição</t>
        </is>
      </c>
      <c r="BS9" s="152" t="n">
        <v>2</v>
      </c>
      <c r="BT9" s="150" t="inlineStr">
        <is>
          <t>Uma vez por descanso curto, use Ação Padrão para recuperar 5 × sua maior Classe em pontos de vida, até sua vida máxima. Não gasta PE. Recuperar vida não remove condições por conta própria.</t>
        </is>
      </c>
      <c r="BU9" s="152" t="n">
        <v>1</v>
      </c>
      <c r="BV9" s="152" t="n">
        <v>0</v>
      </c>
      <c r="BW9" s="152">
        <f>IF(OR(AND($A$2&lt;=2,$BU9=1),AND($A$2&gt;=2,$BV9=1)),$BR9,"")</f>
        <v/>
      </c>
      <c r="BX9" s="150" t="inlineStr">
        <is>
          <t>Uma vez por descanso curto, use Ação Padrão para recuperar 5 × sua maior Classe em pontos de vida, até sua vida máxima. Não gasta PE. Recuperar vida não remove condições por conta própria.</t>
        </is>
      </c>
      <c r="CC9" s="150" t="inlineStr">
        <is>
          <t>Kokusen Constante</t>
        </is>
      </c>
      <c r="CD9" s="150" t="inlineStr">
        <is>
          <t>Refino 5</t>
        </is>
      </c>
      <c r="CE9" s="150" t="inlineStr">
        <is>
          <t>—</t>
        </is>
      </c>
      <c r="CF9" s="150" t="inlineStr">
        <is>
          <t>—</t>
        </is>
      </c>
      <c r="CG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52">
        <f>IF($CK9=1,"",IF($A$2=4,IF($CI9=1,$CC9,""),IF(OR($CI9=1,AND($A$2=3,$CJ9=1)),"",$CC9)))</f>
        <v/>
      </c>
      <c r="CI9" s="152" t="n">
        <v>0</v>
      </c>
      <c r="CJ9" s="152" t="n">
        <v>0</v>
      </c>
      <c r="CK9" s="152" t="n">
        <v>0</v>
      </c>
      <c r="CL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50" t="inlineStr">
        <is>
          <t>Arma de Fogo</t>
        </is>
      </c>
      <c r="CU9" s="152" t="n">
        <v>0</v>
      </c>
      <c r="CV9" s="152" t="n">
        <v>1</v>
      </c>
      <c r="CW9" s="152">
        <f>IF(AND($A$2&gt;=3,'FICHA AMALDIÇOADA'!$J$16&amp;""="Três grupos de arma"),$CT9,"")</f>
        <v/>
      </c>
      <c r="DV9" s="150" t="inlineStr">
        <is>
          <t>Feitiço 8</t>
        </is>
      </c>
      <c r="DW9" s="152" t="n">
        <v>0</v>
      </c>
      <c r="DX9" s="152" t="n">
        <v>8</v>
      </c>
      <c r="DY9" s="152">
        <f>MAX(1,MIN(7,N('FICHA AMALDIÇOADA'!$J$93)))</f>
        <v/>
      </c>
      <c r="DZ9" s="152">
        <f>'FICHA AMALDIÇOADA'!$K$93&amp;""</f>
        <v/>
      </c>
      <c r="EA9" s="152">
        <f>'FICHA AMALDIÇOADA'!$J$100&amp;""</f>
        <v/>
      </c>
      <c r="EB9" s="152">
        <f>'FICHA AMALDIÇOADA'!$K$102&amp;""</f>
        <v/>
      </c>
      <c r="EC9" s="152">
        <f>'FICHA AMALDIÇOADA'!$K$103&amp;""</f>
        <v/>
      </c>
      <c r="ED9" s="152">
        <f>'FICHA AMALDIÇOADA'!$K$104&amp;""</f>
        <v/>
      </c>
      <c r="EE9" s="152">
        <f>'FICHA AMALDIÇOADA'!$K$105&amp;""</f>
        <v/>
      </c>
      <c r="EF9" s="152">
        <f>'FICHA AMALDIÇOADA'!$K$106&amp;""</f>
        <v/>
      </c>
      <c r="EG9" s="152">
        <f>'FICHA AMALDIÇOADA'!$K$107&amp;""</f>
        <v/>
      </c>
      <c r="EH9" s="152">
        <f>IF($DZ9&lt;&gt;"",1,0)</f>
        <v/>
      </c>
      <c r="EI9" s="152">
        <f>IFERROR(MATCH($EA9,$Y$2:$Y$11,0),0)</f>
        <v/>
      </c>
      <c r="EJ9" s="152">
        <f>IF($EI9=0,0,INDEX($AB$2:$AB$11,$EI9))</f>
        <v/>
      </c>
      <c r="EK9" s="152">
        <f>IFERROR(VLOOKUP($EB9,$BC$2:$BJ$84,4,FALSE),0)</f>
        <v/>
      </c>
      <c r="EL9" s="152">
        <f>IFERROR(VLOOKUP($EC9,$BC$2:$BJ$84,4,FALSE),0)</f>
        <v/>
      </c>
      <c r="EM9" s="152">
        <f>IFERROR(VLOOKUP($ED9,$BC$2:$BJ$84,4,FALSE),0)</f>
        <v/>
      </c>
      <c r="EN9" s="152">
        <f>IFERROR(VLOOKUP($EE9,$BC$2:$BJ$84,4,FALSE),0)</f>
        <v/>
      </c>
      <c r="EO9" s="152">
        <f>IF($EI9=0,0,INDEX($AC$2:$AC$11,$EI9))</f>
        <v/>
      </c>
      <c r="EP9" s="152">
        <f>IFERROR(VLOOKUP($EB9,$BC$2:$BJ$84,5,FALSE),0)</f>
        <v/>
      </c>
      <c r="EQ9" s="152">
        <f>IFERROR(VLOOKUP($EC9,$BC$2:$BJ$84,5,FALSE),0)</f>
        <v/>
      </c>
      <c r="ER9" s="152">
        <f>IFERROR(VLOOKUP($ED9,$BC$2:$BJ$84,5,FALSE),0)</f>
        <v/>
      </c>
      <c r="ES9" s="152">
        <f>IFERROR(VLOOKUP($EE9,$BC$2:$BJ$84,5,FALSE),0)</f>
        <v/>
      </c>
      <c r="ET9" s="152">
        <f>IFERROR(VLOOKUP($EB9,$BC$2:$BJ$84,6,FALSE),0)+IFERROR(VLOOKUP($EC9,$BC$2:$BJ$84,6,FALSE),0)+IFERROR(VLOOKUP($ED9,$BC$2:$BJ$84,6,FALSE),0)+IFERROR(VLOOKUP($EE9,$BC$2:$BJ$84,6,FALSE),0)</f>
        <v/>
      </c>
      <c r="EU9" s="152">
        <f>IF($EI9=0,0,INDEX($AD$2:$AD$11,$EI9))</f>
        <v/>
      </c>
      <c r="EV9" s="152">
        <f>IF($EI9=0,0,INDEX($AE$2:$AE$11,$EI9))</f>
        <v/>
      </c>
      <c r="EW9" s="152">
        <f>IF($EI9=0,0,INDEX($AG$2:$AG$11,$EI9))</f>
        <v/>
      </c>
      <c r="EX9" s="152">
        <f>IFERROR(VLOOKUP($EF9,$BL$2:$BP$24,3,FALSE),0)</f>
        <v/>
      </c>
      <c r="EY9" s="152">
        <f>IFERROR(VLOOKUP($EG9,$BL$2:$BP$24,3,FALSE),0)</f>
        <v/>
      </c>
      <c r="EZ9" s="152">
        <f>IFERROR(VLOOKUP($EF9,$BL$2:$BP$24,2,FALSE),"")</f>
        <v/>
      </c>
      <c r="FA9" s="152">
        <f>IFERROR(VLOOKUP($EG9,$BL$2:$BP$24,2,FALSE),"")</f>
        <v/>
      </c>
      <c r="FB9" s="152">
        <f>COUNTIF($EJ9:$EN9,1)</f>
        <v/>
      </c>
      <c r="FC9" s="152">
        <f>COUNTIF($EJ9:$EN9,2)</f>
        <v/>
      </c>
      <c r="FD9" s="152">
        <f>COUNTIF($EJ9:$EN9,3)</f>
        <v/>
      </c>
      <c r="FE9" s="152">
        <f>COUNTIF($EJ9:$EN9,4)</f>
        <v/>
      </c>
      <c r="FF9" s="152">
        <f>COUNTIF($EJ9:$EN9,5)</f>
        <v/>
      </c>
      <c r="FG9" s="152">
        <f>COUNTIF($EJ9:$EN9,6)</f>
        <v/>
      </c>
      <c r="FH9" s="152">
        <f>COUNTIF($EX9:$EY9,1)</f>
        <v/>
      </c>
      <c r="FI9" s="152">
        <f>COUNTIF($EX9:$EY9,2)+$EU9</f>
        <v/>
      </c>
      <c r="FJ9" s="152">
        <f>COUNTIF($EB9:$EE9,"?*")</f>
        <v/>
      </c>
      <c r="FK9" s="152">
        <f>COUNTIF($EF9:$EG9,"?*")+$EU9</f>
        <v/>
      </c>
      <c r="FL9" s="152">
        <f>SUMPRODUCT($FB9:$FG9,INDEX($Q$2:$V$8,$DY9,0))</f>
        <v/>
      </c>
      <c r="FM9" s="152">
        <f>$FH9*CEILING($DY9/2,1)+$FI9*$DY9</f>
        <v/>
      </c>
      <c r="FN9" s="152">
        <f>MIN(2*$DY9,$FM9)</f>
        <v/>
      </c>
      <c r="FO9" s="152">
        <f>MIN($FN9,$FL9)</f>
        <v/>
      </c>
      <c r="FP9" s="152">
        <f>$FN9-$FO9</f>
        <v/>
      </c>
      <c r="FQ9" s="152">
        <f>3*$DY9-$FL9+$FO9</f>
        <v/>
      </c>
      <c r="FR9" s="152">
        <f>MAX(0,$FQ9)+$DW9*$DY9</f>
        <v/>
      </c>
      <c r="FS9" s="152">
        <f>(IF(COUNTIF($EB9:$EE9,"Salto")&gt;0,1,0)+IF(COUNTIF($EB9:$EE9,"Queima")&gt;0,1,0)+IF(COUNTIF($EB9:$EE9,"Estilhaço")&gt;0,1,0))*FLOOR($FR9/2,1)</f>
        <v/>
      </c>
      <c r="FT9" s="152">
        <f>MAX(0,3-SUMPRODUCT($FB9:$FG9,$Q$2:$V$2)+MIN(2,$FH9*1+$FI9*1,SUMPRODUCT($FB9:$FG9,$Q$2:$V$2)))+$DW9*1</f>
        <v/>
      </c>
      <c r="FU9" s="152">
        <f>MAX(0,6-SUMPRODUCT($FB9:$FG9,$Q$3:$V$3)+MIN(4,$FH9*1+$FI9*2,SUMPRODUCT($FB9:$FG9,$Q$3:$V$3)))+$DW9*2</f>
        <v/>
      </c>
      <c r="FV9" s="152">
        <f>MAX(0,9-SUMPRODUCT($FB9:$FG9,$Q$4:$V$4)+MIN(6,$FH9*2+$FI9*3,SUMPRODUCT($FB9:$FG9,$Q$4:$V$4)))+$DW9*3</f>
        <v/>
      </c>
      <c r="FW9" s="152">
        <f>MAX(0,12-SUMPRODUCT($FB9:$FG9,$Q$5:$V$5)+MIN(8,$FH9*2+$FI9*4,SUMPRODUCT($FB9:$FG9,$Q$5:$V$5)))+$DW9*4</f>
        <v/>
      </c>
      <c r="FX9" s="152">
        <f>MAX(0,15-SUMPRODUCT($FB9:$FG9,$Q$6:$V$6)+MIN(10,$FH9*3+$FI9*5,SUMPRODUCT($FB9:$FG9,$Q$6:$V$6)))+$DW9*5</f>
        <v/>
      </c>
      <c r="FY9" s="152">
        <f>MAX(0,18-SUMPRODUCT($FB9:$FG9,$Q$7:$V$7)+MIN(12,$FH9*3+$FI9*6,SUMPRODUCT($FB9:$FG9,$Q$7:$V$7)))+$DW9*6</f>
        <v/>
      </c>
      <c r="FZ9" s="152">
        <f>MAX(0,21-SUMPRODUCT($FB9:$FG9,$Q$8:$V$8)+MIN(14,$FH9*4+$FI9*7,SUMPRODUCT($FB9:$FG9,$Q$8:$V$8)))+$DW9*7</f>
        <v/>
      </c>
      <c r="GA9" s="152">
        <f>IF($EV9=2,3*$FT9&amp;" de vida temp.",IF($EV9=3,"sem dano",IF($FT9=0,IF($EV9=1,"sem cura","sem dano"),IF($EV9=1,"cura ","")&amp;$FT9&amp;"d8")))</f>
        <v/>
      </c>
      <c r="GB9" s="152">
        <f>IF($EV9=2,3*$FU9&amp;" de vida temp.",IF($EV9=3,"sem dano",IF($FU9=0,IF($EV9=1,"sem cura","sem dano"),IF($EV9=1,"cura ","")&amp;$FU9&amp;"d8")))</f>
        <v/>
      </c>
      <c r="GC9" s="152">
        <f>IF($EV9=2,3*$FV9&amp;" de vida temp.",IF($EV9=3,"sem dano",IF($FV9=0,IF($EV9=1,"sem cura","sem dano"),IF($EV9=1,"cura ","")&amp;$FV9&amp;"d8")))</f>
        <v/>
      </c>
      <c r="GD9" s="152">
        <f>IF($EV9=2,3*$FW9&amp;" de vida temp.",IF($EV9=3,"sem dano",IF($FW9=0,IF($EV9=1,"sem cura","sem dano"),IF($EV9=1,"cura ","")&amp;$FW9&amp;"d8")))</f>
        <v/>
      </c>
      <c r="GE9" s="152">
        <f>IF($EV9=2,3*$FX9&amp;" de vida temp.",IF($EV9=3,"sem dano",IF($FX9=0,IF($EV9=1,"sem cura","sem dano"),IF($EV9=1,"cura ","")&amp;$FX9&amp;"d8")))</f>
        <v/>
      </c>
      <c r="GF9" s="152">
        <f>IF($EV9=2,3*$FY9&amp;" de vida temp.",IF($EV9=3,"sem dano",IF($FY9=0,IF($EV9=1,"sem cura","sem dano"),IF($EV9=1,"cura ","")&amp;$FY9&amp;"d8")))</f>
        <v/>
      </c>
      <c r="GG9" s="152">
        <f>IF($EV9=2,3*$FZ9&amp;" de vida temp.",IF($EV9=3,"sem dano",IF($FZ9=0,IF($EV9=1,"sem cura","sem dano"),IF($EV9=1,"cura ","")&amp;$FZ9&amp;"d8")))</f>
        <v/>
      </c>
      <c r="GH9" s="152">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52">
        <f>IF($GH9="",0,(LEN($GH9)-LEN(SUBSTITUTE($GH9," · ","")))/3+1)</f>
        <v/>
      </c>
      <c r="GJ9" s="152">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52">
        <f>IF($GJ9="",0,(LEN($GJ9)-LEN(SUBSTITUTE($GJ9," · ","")))/3+1)</f>
        <v/>
      </c>
      <c r="GL9" s="152">
        <f>IF($EH9=0,IF($FJ9+$FK9-$EU9&gt;0,"Dê um nome",""),IF($GI9&gt;0,"⚠ "&amp;$GI9&amp;IF($GI9&gt;1," erros"," erro"),IF($GK9&gt;0,"! "&amp;$GK9&amp;IF($GK9&gt;1," avisos"," aviso"),"Na regra")))</f>
        <v/>
      </c>
      <c r="GM9" s="152">
        <f>IF($EH9=0,"",IF($GI9+$GK9=0,"Dentro das regras que a ficha confere",$GH9&amp;IF(AND($GI9&gt;0,$GK9&gt;0)," · ","")&amp;$GJ9))</f>
        <v/>
      </c>
      <c r="GN9" s="152">
        <f>IF($EH9=0,"",IF($DW9=1,CEILING(4.5*$DY9,1),3*$DY9)&amp;" PE")</f>
        <v/>
      </c>
      <c r="GO9" s="152">
        <f>IF($EH9=0,"",IF($DW9=1,"Rodada inteira",IF(COUNTIF($EZ9:$FA9,"Atrasar")&gt;0,IF(COUNTIF($EZ9:$FA9,"Carregar")&gt;0,"Rodada +1 turno","Rodada inteira"),IF(COUNTIF($EB9:$EE9,"Rápido")&gt;0,"Bônus",IF(COUNTIF($EB9:$EE9,"Reação")&gt;0,"Reação","Padrão"))&amp;IF(COUNTIF($EZ9:$FA9,"Carregar")&gt;0," +1 turno",""))))</f>
        <v/>
      </c>
      <c r="GP9" s="152">
        <f>IF(OR($EH9=0,$EI9=0),"",IF(COUNTIF($EB9:$EE9,"Inescapável")&gt;0,"Automático",IF(COUNTIF($EB9:$EE9,"Certeiro")&gt;0,"TR para metade",INDEX($AF$2:$AF$11,$EI9))))</f>
        <v/>
      </c>
      <c r="GQ9" s="152">
        <f>IF(OR($EH9=0,$EI9=0),"",IF(OR($EV9&gt;=2,$FR9=0),UPPER(LEFT(INDEX($GA9:$GG9,1,$DY9),1))&amp;MID(INDEX($GA9:$GG9,1,$DY9),2,99),UPPER(LEFT(INDEX($GA9:$GG9,1,$DY9),1))&amp;MID(INDEX($GA9:$GG9,1,$DY9),2,99)&amp;" = "&amp;FLOOR($FR9*4.5,1)&amp;IF($FS9&gt;0," · +"&amp;$FS9&amp;"d8","")))</f>
        <v/>
      </c>
      <c r="GR9" s="152">
        <f>COUNTIF($EB9:$EE9,"Longe")+3*COUNTIF($EB9:$EE9,"Muito Longe")</f>
        <v/>
      </c>
      <c r="GS9" s="152">
        <f>COUNTIF($EB9:$EE9,"Maior")+3*COUNTIF($EB9:$EE9,"Muito Maior")</f>
        <v/>
      </c>
      <c r="GT9" s="152">
        <f>IF($EI9=0,0,CHOOSE(1+INDEX($AH$2:$AH$11,$EI9),0,$GR9,$GS9,$GR9+$GS9))</f>
        <v/>
      </c>
      <c r="GU9" s="152">
        <f>IF($EI9=0,0,CHOOSE(1+INDEX($AI$2:$AI$11,$EI9),0,$GR9,$GS9,$GR9+$GS9))</f>
        <v/>
      </c>
      <c r="GV9" s="152">
        <f>IF(OR($EH9=0,$EI9=0),"",INDEX($AP$2:$AU$31,($EI9-1)*3+IF($DY9&gt;=6,3,2),1+MIN(5,$GT9))&amp;INDEX($AV$2:$BA$31,($EI9-1)*3+IF($DY9&gt;=6,3,2),1+MIN(5,$GU9))&amp;IF(INDEX($AJ$2:$AJ$11,$EI9)=1,IF(COUNTIF($EB9:$EE9,"Mais Um")&gt;0," · +"&amp;COUNTIF($EB9:$EE9,"Mais Um")&amp;IF(COUNTIF($EB9:$EE9,"Mais Um")&gt;1," alvos"," alvo"),"")&amp;IF(COUNTIF($EB9:$EE9,"Rajada")&gt;0," · "&amp;($DY9+1)&amp;" tiros",""),""))</f>
        <v/>
      </c>
      <c r="GW9" s="152">
        <f>IF($EH9=0,"",3*$DY9&amp;" − "&amp;$FL9&amp;" + "&amp;$FO9&amp;IF($DW9=1," + "&amp;$DY9,"")&amp;" = "&amp;$FR9&amp;"d8 · teto "&amp;4*$DY9&amp;IF($EU9=1," · a Forma devolve "&amp;$DY9,"")&amp;IF($FP9&gt;0," · perde "&amp;$FP9,""))</f>
        <v/>
      </c>
      <c r="GX9" s="152">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52">
        <f>IF(OR($EH9=0,$EK9=0),"","−"&amp;INDEX($Q$2:$V$8,$DY9,$EK9)&amp;" · "&amp;CHOOSE($EK9,"Leve","Média","Pesada","Leve · Livre","Média · Livre","Pesada · Livre"))</f>
        <v/>
      </c>
      <c r="GZ9" s="152">
        <f>IF(OR($EH9=0,$EL9=0),"","−"&amp;INDEX($Q$2:$V$8,$DY9,$EL9)&amp;" · "&amp;CHOOSE($EL9,"Leve","Média","Pesada","Leve · Livre","Média · Livre","Pesada · Livre"))</f>
        <v/>
      </c>
      <c r="HA9" s="152">
        <f>IF(OR($EH9=0,$EM9=0),"","−"&amp;INDEX($Q$2:$V$8,$DY9,$EM9)&amp;" · "&amp;CHOOSE($EM9,"Leve","Média","Pesada","Leve · Livre","Média · Livre","Pesada · Livre"))</f>
        <v/>
      </c>
      <c r="HB9" s="152">
        <f>IF(OR($EH9=0,$EN9=0),"","−"&amp;INDEX($Q$2:$V$8,$DY9,$EN9)&amp;" · "&amp;CHOOSE($EN9,"Leve","Média","Pesada","Leve · Livre","Média · Livre","Pesada · Livre"))</f>
        <v/>
      </c>
      <c r="HC9" s="152">
        <f>IF(OR($EH9=0,$EF9=""),"","+"&amp;IF($EX9=1,CEILING($DY9/2,1),$DY9))</f>
        <v/>
      </c>
      <c r="HD9" s="152">
        <f>IF(OR($EH9=0,$EG9=""),"","+"&amp;IF($EY9=1,CEILING($DY9/2,1),$DY9))</f>
        <v/>
      </c>
      <c r="HE9" s="152">
        <f>'FICHA AMALDIÇOADA'!$J$95&amp;""</f>
        <v/>
      </c>
      <c r="HF9" s="152">
        <f>IF(AND($EH9=1,$DW9=0),COUNTIFS($EH$2:$EH9,1,$DW$2:$DW9,0),"")</f>
        <v/>
      </c>
      <c r="HH9" s="150" t="inlineStr">
        <is>
          <t>liberações</t>
        </is>
      </c>
      <c r="HI9" s="152">
        <f>COUNTIF($DC$2:$DC$4,"&lt;="&amp;$HI$2)</f>
        <v/>
      </c>
      <c r="HK9" s="150" t="inlineStr">
        <is>
          <t>Talento 8 · Leque</t>
        </is>
      </c>
      <c r="HL9" s="152">
        <f>'FICHA AMALDIÇOADA'!$P$397&amp;""</f>
        <v/>
      </c>
      <c r="HM9" s="152">
        <f>IFERROR(VLOOKUP($HL9,$BR$2:$BX$24,2,FALSE),0)</f>
        <v/>
      </c>
      <c r="HN9" s="152">
        <f>IFERROR(VLOOKUP($HM9,$BZ$2:$CA$4,2,FALSE),0)</f>
        <v/>
      </c>
      <c r="HO9" s="152">
        <f>IFERROR(VLOOKUP($HL9,$BR$2:$BX$24,3,FALSE),"")</f>
        <v/>
      </c>
      <c r="HP9" s="152">
        <f>IF($HM9=0,"",IF($HN9&gt;$HI$2,"⚠ Nível "&amp;$HN9,"CE "&amp;$HM9))</f>
        <v/>
      </c>
      <c r="HQ9" s="152">
        <f>IF($HM9=0,"",IF(3&gt;$HI$8,"⚠ Vaga","Grátis"))</f>
        <v/>
      </c>
      <c r="HR9" s="152">
        <f>'FICHA AMALDIÇOADA'!$Q$402&amp;""</f>
        <v/>
      </c>
      <c r="HS9" s="152">
        <f>IF($HL9="","",COUNTIF($HL$2:$HL9,"?*"))</f>
        <v/>
      </c>
      <c r="HU9" s="150" t="inlineStr">
        <is>
          <t>Aptidão 8</t>
        </is>
      </c>
      <c r="HV9" s="152">
        <f>'FICHA AMALDIÇOADA'!$J$472&amp;""</f>
        <v/>
      </c>
      <c r="HW9" s="152">
        <f>IF($HV9="","","Requisito: "&amp;IFERROR(VLOOKUP($HV9,$CC$2:$CL$33,2,FALSE),""))</f>
        <v/>
      </c>
      <c r="HX9" s="152">
        <f>IF($HV9="","",IFERROR(IF(ISNUMBER(VLOOKUP($HV9,$CC$2:$CL$33,3,FALSE)),"CE "&amp;VLOOKUP($HV9,$CC$2:$CL$33,3,FALSE),VLOOKUP($HV9,$CC$2:$CL$33,3,FALSE)),""))</f>
        <v/>
      </c>
      <c r="HY9" s="152">
        <f>IF($HV9="","",IFERROR(VLOOKUP($HV9,$CC$2:$CL$33,4,FALSE),""))</f>
        <v/>
      </c>
      <c r="HZ9" s="152">
        <f>IF($HV9="","",IFERROR(VLOOKUP($HV9,$CC$2:$CL$33,5,FALSE),""))</f>
        <v/>
      </c>
      <c r="IA9" s="152">
        <f>'FICHA AMALDIÇOADA'!$K$489&amp;""</f>
        <v/>
      </c>
      <c r="IB9" s="152">
        <f>IF($HV9="","",COUNTIF($HV$2:$HV9,"?*"))</f>
        <v/>
      </c>
      <c r="IM9" s="150" t="inlineStr">
        <is>
          <t>Talentos</t>
        </is>
      </c>
      <c r="IN9" s="152">
        <f>ADDRESS(ROW('FICHA AMALDIÇOADA'!M7),COLUMN('FICHA AMALDIÇOADA'!M7),4)</f>
        <v/>
      </c>
      <c r="IO9" s="152">
        <f>ADDRESS(ROW('FICHA AMALDIÇOADA'!D376),COLUMN('FICHA AMALDIÇOADA'!D376),4)</f>
        <v/>
      </c>
      <c r="IP9" s="150" t="inlineStr">
        <is>
          <t>DADOS_AM!$IM$9</t>
        </is>
      </c>
      <c r="IR9" s="150" t="inlineStr">
        <is>
          <t>Trilha 19</t>
        </is>
      </c>
      <c r="IS9" s="152" t="n">
        <v>19</v>
      </c>
      <c r="IT9" s="152">
        <f>IF($HI$2&gt;=19,"Nível 19","Abre no 19")</f>
        <v/>
      </c>
      <c r="IU9" s="152">
        <f>ADDRESS(ROW(FICHA!G141),COLUMN(FICHA!G141),4)</f>
        <v/>
      </c>
      <c r="IV9" s="152">
        <f>ADDRESS(ROW(FICHA!D142),COLUMN(FICHA!D142),4)</f>
        <v/>
      </c>
      <c r="JD9" s="152" t="n">
        <v>8</v>
      </c>
      <c r="JE9" s="152">
        <f>IFERROR(MATCH(8,$HF$2:$HF$37,0),0)</f>
        <v/>
      </c>
      <c r="JF9" s="152">
        <f>IF($JE9=0,"",INDEX($DY$2:$DY$37,$JE9))</f>
        <v/>
      </c>
      <c r="JG9" s="152">
        <f>IF($JE9=0,"",INDEX($DZ$2:$DZ$37,$JE9))</f>
        <v/>
      </c>
      <c r="JH9" s="152">
        <f>IF($JE9=0,"",INDEX($GN$2:$GN$37,$JE9))</f>
        <v/>
      </c>
      <c r="JI9" s="152">
        <f>IF($JE9=0,"",INDEX($EA$2:$EA$37,$JE9))</f>
        <v/>
      </c>
      <c r="JJ9" s="152">
        <f>IF($JE9=0,"",INDEX($GP$2:$GP$37,$JE9))</f>
        <v/>
      </c>
      <c r="JK9" s="152">
        <f>IF($JE9=0,"",INDEX($HE$2:$HE$37,$JE9))</f>
        <v/>
      </c>
      <c r="KB9" s="150" t="inlineStr">
        <is>
          <t>Talento 6</t>
        </is>
      </c>
      <c r="KC9" s="152">
        <f>IFERROR(MATCH(6,$HS$2:$HS$13,0),0)</f>
        <v/>
      </c>
      <c r="KD9" s="152">
        <f>IF($KC9=0,"",IF(INDEX($HM$2:$HM$13,$KC9)=0,"","CE "&amp;INDEX($HM$2:$HM$13,$KC9)))</f>
        <v/>
      </c>
      <c r="KE9" s="152">
        <f>IF($KC9=0,"",INDEX($HL$2:$HL$13,$KC9))</f>
        <v/>
      </c>
      <c r="KF9" s="152">
        <f>IF($KC9=0,"",IF(INDEX($HR$2:$HR$13,$KC9)&lt;&gt;"",INDEX($HR$2:$HR$13,$KC9),IF(IFERROR(VLOOKUP(INDEX($HL$2:$HL$13,$KC9),$BR$2:$BX$24,7,FALSE),"")&lt;&gt;"","Do livro: "&amp;IFERROR(VLOOKUP(INDEX($HL$2:$HL$13,$KC9),$BR$2:$BX$24,7,FALSE),""),"")))</f>
        <v/>
      </c>
      <c r="KH9" s="150" t="inlineStr">
        <is>
          <t>Aptidão 6</t>
        </is>
      </c>
      <c r="KI9" s="152">
        <f>IFERROR(MATCH(6,$IB$2:$IB$13,0),0)</f>
        <v/>
      </c>
      <c r="KJ9" s="152">
        <f>IF($KI9=0,"",INDEX($HX$2:$HX$13,$KI9))</f>
        <v/>
      </c>
      <c r="KK9" s="152">
        <f>IF($KI9=0,"",INDEX($HV$2:$HV$13,$KI9))</f>
        <v/>
      </c>
      <c r="KL9" s="152">
        <f>IF($KI9=0,"",IF(INDEX($IA$2:$IA$13,$KI9)&lt;&gt;"",INDEX($IA$2:$IA$13,$KI9),IF(IFERROR(VLOOKUP(INDEX($HV$2:$HV$13,$KI9),$CC$2:$CL$33,10,FALSE),"")&lt;&gt;"","Do livro: "&amp;IFERROR(VLOOKUP(INDEX($HV$2:$HV$13,$KI9),$CC$2:$CL$33,10,FALSE),""),"")))</f>
        <v/>
      </c>
      <c r="KN9" s="150" t="inlineStr">
        <is>
          <t>tag dom</t>
        </is>
      </c>
      <c r="KO9" s="152">
        <f>"Dom"</f>
        <v/>
      </c>
      <c r="KQ9" s="150" t="inlineStr">
        <is>
          <t>P16</t>
        </is>
      </c>
      <c r="KR9" s="152">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L10" s="150" t="inlineStr">
        <is>
          <t>Fraqueza (Leve)</t>
        </is>
      </c>
      <c r="BM10" s="150" t="inlineStr">
        <is>
          <t>Fraqueza</t>
        </is>
      </c>
      <c r="BN10" s="152" t="n">
        <v>1</v>
      </c>
      <c r="BO10" s="152" t="n">
        <v>0</v>
      </c>
      <c r="BP10" s="150" t="inlineStr">
        <is>
          <t>Fraqueza (Leve)</t>
        </is>
      </c>
      <c r="BR10" s="150" t="inlineStr">
        <is>
          <t>Segunda Natureza</t>
        </is>
      </c>
      <c r="BS10" s="152" t="n">
        <v>2</v>
      </c>
      <c r="BT10" s="150" t="inlineStr">
        <is>
          <t>Uma vez por dia, você pode conjurar um feitiço conhecido de Classe até metade da sua maior Classe, arredondada para baixo, sem pagar seu custo normal de PE. Declare o uso antes de conjurar.</t>
        </is>
      </c>
      <c r="BU10" s="152" t="n">
        <v>1</v>
      </c>
      <c r="BV10" s="152" t="n">
        <v>0</v>
      </c>
      <c r="BW10" s="152">
        <f>IF(OR(AND($A$2&lt;=2,$BU10=1),AND($A$2&gt;=2,$BV10=1)),$BR10,"")</f>
        <v/>
      </c>
      <c r="BX10" s="150" t="inlineStr">
        <is>
          <t>Uma vez por dia, você pode conjurar um feitiço conhecido de Classe até metade da sua maior Classe, arredondada para baixo, sem pagar seu custo normal de PE. Declare o uso antes de conjurar.</t>
        </is>
      </c>
      <c r="CC10" s="150" t="inlineStr">
        <is>
          <t>Cesta Oca de Vime</t>
        </is>
      </c>
      <c r="CD10" s="150" t="inlineStr">
        <is>
          <t>Ser Encarnado ou treinado em História</t>
        </is>
      </c>
      <c r="CE10" s="152" t="n">
        <v>1</v>
      </c>
      <c r="CF10" s="150" t="inlineStr">
        <is>
          <t>—</t>
        </is>
      </c>
      <c r="CG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52">
        <f>IF($CK10=1,"",IF($A$2=4,IF($CI10=1,$CC10,""),IF(OR($CI10=1,AND($A$2=3,$CJ10=1)),"",$CC10)))</f>
        <v/>
      </c>
      <c r="CI10" s="152" t="n">
        <v>0</v>
      </c>
      <c r="CJ10" s="152" t="n">
        <v>0</v>
      </c>
      <c r="CK10" s="152" t="n">
        <v>0</v>
      </c>
      <c r="CL10" s="150" t="inlineStr">
        <is>
          <t>Você forma um símbolo com as duas mãos e cria uma barreira em volta de si.</t>
        </is>
      </c>
      <c r="CT10" s="150" t="inlineStr">
        <is>
          <t>Ceifa</t>
        </is>
      </c>
      <c r="CU10" s="152" t="n">
        <v>1</v>
      </c>
      <c r="CV10" s="152" t="n">
        <v>1</v>
      </c>
      <c r="CW10" s="152">
        <f>IF(AND($A$2&gt;=3,'FICHA AMALDIÇOADA'!$J$16&amp;""="Três grupos de arma"),$CT10,"")</f>
        <v/>
      </c>
      <c r="DV10" s="150" t="inlineStr">
        <is>
          <t>Feitiço 9</t>
        </is>
      </c>
      <c r="DW10" s="152" t="n">
        <v>0</v>
      </c>
      <c r="DX10" s="152" t="n">
        <v>9</v>
      </c>
      <c r="DY10" s="152">
        <f>MAX(1,MIN(7,N('FICHA AMALDIÇOADA'!$P$93)))</f>
        <v/>
      </c>
      <c r="DZ10" s="152">
        <f>'FICHA AMALDIÇOADA'!$Q$93&amp;""</f>
        <v/>
      </c>
      <c r="EA10" s="152">
        <f>'FICHA AMALDIÇOADA'!$P$100&amp;""</f>
        <v/>
      </c>
      <c r="EB10" s="152">
        <f>'FICHA AMALDIÇOADA'!$Q$102&amp;""</f>
        <v/>
      </c>
      <c r="EC10" s="152">
        <f>'FICHA AMALDIÇOADA'!$Q$103&amp;""</f>
        <v/>
      </c>
      <c r="ED10" s="152">
        <f>'FICHA AMALDIÇOADA'!$Q$104&amp;""</f>
        <v/>
      </c>
      <c r="EE10" s="152">
        <f>'FICHA AMALDIÇOADA'!$Q$105&amp;""</f>
        <v/>
      </c>
      <c r="EF10" s="152">
        <f>'FICHA AMALDIÇOADA'!$Q$106&amp;""</f>
        <v/>
      </c>
      <c r="EG10" s="152">
        <f>'FICHA AMALDIÇOADA'!$Q$107&amp;""</f>
        <v/>
      </c>
      <c r="EH10" s="152">
        <f>IF($DZ10&lt;&gt;"",1,0)</f>
        <v/>
      </c>
      <c r="EI10" s="152">
        <f>IFERROR(MATCH($EA10,$Y$2:$Y$11,0),0)</f>
        <v/>
      </c>
      <c r="EJ10" s="152">
        <f>IF($EI10=0,0,INDEX($AB$2:$AB$11,$EI10))</f>
        <v/>
      </c>
      <c r="EK10" s="152">
        <f>IFERROR(VLOOKUP($EB10,$BC$2:$BJ$84,4,FALSE),0)</f>
        <v/>
      </c>
      <c r="EL10" s="152">
        <f>IFERROR(VLOOKUP($EC10,$BC$2:$BJ$84,4,FALSE),0)</f>
        <v/>
      </c>
      <c r="EM10" s="152">
        <f>IFERROR(VLOOKUP($ED10,$BC$2:$BJ$84,4,FALSE),0)</f>
        <v/>
      </c>
      <c r="EN10" s="152">
        <f>IFERROR(VLOOKUP($EE10,$BC$2:$BJ$84,4,FALSE),0)</f>
        <v/>
      </c>
      <c r="EO10" s="152">
        <f>IF($EI10=0,0,INDEX($AC$2:$AC$11,$EI10))</f>
        <v/>
      </c>
      <c r="EP10" s="152">
        <f>IFERROR(VLOOKUP($EB10,$BC$2:$BJ$84,5,FALSE),0)</f>
        <v/>
      </c>
      <c r="EQ10" s="152">
        <f>IFERROR(VLOOKUP($EC10,$BC$2:$BJ$84,5,FALSE),0)</f>
        <v/>
      </c>
      <c r="ER10" s="152">
        <f>IFERROR(VLOOKUP($ED10,$BC$2:$BJ$84,5,FALSE),0)</f>
        <v/>
      </c>
      <c r="ES10" s="152">
        <f>IFERROR(VLOOKUP($EE10,$BC$2:$BJ$84,5,FALSE),0)</f>
        <v/>
      </c>
      <c r="ET10" s="152">
        <f>IFERROR(VLOOKUP($EB10,$BC$2:$BJ$84,6,FALSE),0)+IFERROR(VLOOKUP($EC10,$BC$2:$BJ$84,6,FALSE),0)+IFERROR(VLOOKUP($ED10,$BC$2:$BJ$84,6,FALSE),0)+IFERROR(VLOOKUP($EE10,$BC$2:$BJ$84,6,FALSE),0)</f>
        <v/>
      </c>
      <c r="EU10" s="152">
        <f>IF($EI10=0,0,INDEX($AD$2:$AD$11,$EI10))</f>
        <v/>
      </c>
      <c r="EV10" s="152">
        <f>IF($EI10=0,0,INDEX($AE$2:$AE$11,$EI10))</f>
        <v/>
      </c>
      <c r="EW10" s="152">
        <f>IF($EI10=0,0,INDEX($AG$2:$AG$11,$EI10))</f>
        <v/>
      </c>
      <c r="EX10" s="152">
        <f>IFERROR(VLOOKUP($EF10,$BL$2:$BP$24,3,FALSE),0)</f>
        <v/>
      </c>
      <c r="EY10" s="152">
        <f>IFERROR(VLOOKUP($EG10,$BL$2:$BP$24,3,FALSE),0)</f>
        <v/>
      </c>
      <c r="EZ10" s="152">
        <f>IFERROR(VLOOKUP($EF10,$BL$2:$BP$24,2,FALSE),"")</f>
        <v/>
      </c>
      <c r="FA10" s="152">
        <f>IFERROR(VLOOKUP($EG10,$BL$2:$BP$24,2,FALSE),"")</f>
        <v/>
      </c>
      <c r="FB10" s="152">
        <f>COUNTIF($EJ10:$EN10,1)</f>
        <v/>
      </c>
      <c r="FC10" s="152">
        <f>COUNTIF($EJ10:$EN10,2)</f>
        <v/>
      </c>
      <c r="FD10" s="152">
        <f>COUNTIF($EJ10:$EN10,3)</f>
        <v/>
      </c>
      <c r="FE10" s="152">
        <f>COUNTIF($EJ10:$EN10,4)</f>
        <v/>
      </c>
      <c r="FF10" s="152">
        <f>COUNTIF($EJ10:$EN10,5)</f>
        <v/>
      </c>
      <c r="FG10" s="152">
        <f>COUNTIF($EJ10:$EN10,6)</f>
        <v/>
      </c>
      <c r="FH10" s="152">
        <f>COUNTIF($EX10:$EY10,1)</f>
        <v/>
      </c>
      <c r="FI10" s="152">
        <f>COUNTIF($EX10:$EY10,2)+$EU10</f>
        <v/>
      </c>
      <c r="FJ10" s="152">
        <f>COUNTIF($EB10:$EE10,"?*")</f>
        <v/>
      </c>
      <c r="FK10" s="152">
        <f>COUNTIF($EF10:$EG10,"?*")+$EU10</f>
        <v/>
      </c>
      <c r="FL10" s="152">
        <f>SUMPRODUCT($FB10:$FG10,INDEX($Q$2:$V$8,$DY10,0))</f>
        <v/>
      </c>
      <c r="FM10" s="152">
        <f>$FH10*CEILING($DY10/2,1)+$FI10*$DY10</f>
        <v/>
      </c>
      <c r="FN10" s="152">
        <f>MIN(2*$DY10,$FM10)</f>
        <v/>
      </c>
      <c r="FO10" s="152">
        <f>MIN($FN10,$FL10)</f>
        <v/>
      </c>
      <c r="FP10" s="152">
        <f>$FN10-$FO10</f>
        <v/>
      </c>
      <c r="FQ10" s="152">
        <f>3*$DY10-$FL10+$FO10</f>
        <v/>
      </c>
      <c r="FR10" s="152">
        <f>MAX(0,$FQ10)+$DW10*$DY10</f>
        <v/>
      </c>
      <c r="FS10" s="152">
        <f>(IF(COUNTIF($EB10:$EE10,"Salto")&gt;0,1,0)+IF(COUNTIF($EB10:$EE10,"Queima")&gt;0,1,0)+IF(COUNTIF($EB10:$EE10,"Estilhaço")&gt;0,1,0))*FLOOR($FR10/2,1)</f>
        <v/>
      </c>
      <c r="FT10" s="152">
        <f>MAX(0,3-SUMPRODUCT($FB10:$FG10,$Q$2:$V$2)+MIN(2,$FH10*1+$FI10*1,SUMPRODUCT($FB10:$FG10,$Q$2:$V$2)))+$DW10*1</f>
        <v/>
      </c>
      <c r="FU10" s="152">
        <f>MAX(0,6-SUMPRODUCT($FB10:$FG10,$Q$3:$V$3)+MIN(4,$FH10*1+$FI10*2,SUMPRODUCT($FB10:$FG10,$Q$3:$V$3)))+$DW10*2</f>
        <v/>
      </c>
      <c r="FV10" s="152">
        <f>MAX(0,9-SUMPRODUCT($FB10:$FG10,$Q$4:$V$4)+MIN(6,$FH10*2+$FI10*3,SUMPRODUCT($FB10:$FG10,$Q$4:$V$4)))+$DW10*3</f>
        <v/>
      </c>
      <c r="FW10" s="152">
        <f>MAX(0,12-SUMPRODUCT($FB10:$FG10,$Q$5:$V$5)+MIN(8,$FH10*2+$FI10*4,SUMPRODUCT($FB10:$FG10,$Q$5:$V$5)))+$DW10*4</f>
        <v/>
      </c>
      <c r="FX10" s="152">
        <f>MAX(0,15-SUMPRODUCT($FB10:$FG10,$Q$6:$V$6)+MIN(10,$FH10*3+$FI10*5,SUMPRODUCT($FB10:$FG10,$Q$6:$V$6)))+$DW10*5</f>
        <v/>
      </c>
      <c r="FY10" s="152">
        <f>MAX(0,18-SUMPRODUCT($FB10:$FG10,$Q$7:$V$7)+MIN(12,$FH10*3+$FI10*6,SUMPRODUCT($FB10:$FG10,$Q$7:$V$7)))+$DW10*6</f>
        <v/>
      </c>
      <c r="FZ10" s="152">
        <f>MAX(0,21-SUMPRODUCT($FB10:$FG10,$Q$8:$V$8)+MIN(14,$FH10*4+$FI10*7,SUMPRODUCT($FB10:$FG10,$Q$8:$V$8)))+$DW10*7</f>
        <v/>
      </c>
      <c r="GA10" s="152">
        <f>IF($EV10=2,3*$FT10&amp;" de vida temp.",IF($EV10=3,"sem dano",IF($FT10=0,IF($EV10=1,"sem cura","sem dano"),IF($EV10=1,"cura ","")&amp;$FT10&amp;"d8")))</f>
        <v/>
      </c>
      <c r="GB10" s="152">
        <f>IF($EV10=2,3*$FU10&amp;" de vida temp.",IF($EV10=3,"sem dano",IF($FU10=0,IF($EV10=1,"sem cura","sem dano"),IF($EV10=1,"cura ","")&amp;$FU10&amp;"d8")))</f>
        <v/>
      </c>
      <c r="GC10" s="152">
        <f>IF($EV10=2,3*$FV10&amp;" de vida temp.",IF($EV10=3,"sem dano",IF($FV10=0,IF($EV10=1,"sem cura","sem dano"),IF($EV10=1,"cura ","")&amp;$FV10&amp;"d8")))</f>
        <v/>
      </c>
      <c r="GD10" s="152">
        <f>IF($EV10=2,3*$FW10&amp;" de vida temp.",IF($EV10=3,"sem dano",IF($FW10=0,IF($EV10=1,"sem cura","sem dano"),IF($EV10=1,"cura ","")&amp;$FW10&amp;"d8")))</f>
        <v/>
      </c>
      <c r="GE10" s="152">
        <f>IF($EV10=2,3*$FX10&amp;" de vida temp.",IF($EV10=3,"sem dano",IF($FX10=0,IF($EV10=1,"sem cura","sem dano"),IF($EV10=1,"cura ","")&amp;$FX10&amp;"d8")))</f>
        <v/>
      </c>
      <c r="GF10" s="152">
        <f>IF($EV10=2,3*$FY10&amp;" de vida temp.",IF($EV10=3,"sem dano",IF($FY10=0,IF($EV10=1,"sem cura","sem dano"),IF($EV10=1,"cura ","")&amp;$FY10&amp;"d8")))</f>
        <v/>
      </c>
      <c r="GG10" s="152">
        <f>IF($EV10=2,3*$FZ10&amp;" de vida temp.",IF($EV10=3,"sem dano",IF($FZ10=0,IF($EV10=1,"sem cura","sem dano"),IF($EV10=1,"cura ","")&amp;$FZ10&amp;"d8")))</f>
        <v/>
      </c>
      <c r="GH10" s="152">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52">
        <f>IF($GH10="",0,(LEN($GH10)-LEN(SUBSTITUTE($GH10," · ","")))/3+1)</f>
        <v/>
      </c>
      <c r="GJ10" s="152">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52">
        <f>IF($GJ10="",0,(LEN($GJ10)-LEN(SUBSTITUTE($GJ10," · ","")))/3+1)</f>
        <v/>
      </c>
      <c r="GL10" s="152">
        <f>IF($EH10=0,IF($FJ10+$FK10-$EU10&gt;0,"Dê um nome",""),IF($GI10&gt;0,"⚠ "&amp;$GI10&amp;IF($GI10&gt;1," erros"," erro"),IF($GK10&gt;0,"! "&amp;$GK10&amp;IF($GK10&gt;1," avisos"," aviso"),"Na regra")))</f>
        <v/>
      </c>
      <c r="GM10" s="152">
        <f>IF($EH10=0,"",IF($GI10+$GK10=0,"Dentro das regras que a ficha confere",$GH10&amp;IF(AND($GI10&gt;0,$GK10&gt;0)," · ","")&amp;$GJ10))</f>
        <v/>
      </c>
      <c r="GN10" s="152">
        <f>IF($EH10=0,"",IF($DW10=1,CEILING(4.5*$DY10,1),3*$DY10)&amp;" PE")</f>
        <v/>
      </c>
      <c r="GO10" s="152">
        <f>IF($EH10=0,"",IF($DW10=1,"Rodada inteira",IF(COUNTIF($EZ10:$FA10,"Atrasar")&gt;0,IF(COUNTIF($EZ10:$FA10,"Carregar")&gt;0,"Rodada +1 turno","Rodada inteira"),IF(COUNTIF($EB10:$EE10,"Rápido")&gt;0,"Bônus",IF(COUNTIF($EB10:$EE10,"Reação")&gt;0,"Reação","Padrão"))&amp;IF(COUNTIF($EZ10:$FA10,"Carregar")&gt;0," +1 turno",""))))</f>
        <v/>
      </c>
      <c r="GP10" s="152">
        <f>IF(OR($EH10=0,$EI10=0),"",IF(COUNTIF($EB10:$EE10,"Inescapável")&gt;0,"Automático",IF(COUNTIF($EB10:$EE10,"Certeiro")&gt;0,"TR para metade",INDEX($AF$2:$AF$11,$EI10))))</f>
        <v/>
      </c>
      <c r="GQ10" s="152">
        <f>IF(OR($EH10=0,$EI10=0),"",IF(OR($EV10&gt;=2,$FR10=0),UPPER(LEFT(INDEX($GA10:$GG10,1,$DY10),1))&amp;MID(INDEX($GA10:$GG10,1,$DY10),2,99),UPPER(LEFT(INDEX($GA10:$GG10,1,$DY10),1))&amp;MID(INDEX($GA10:$GG10,1,$DY10),2,99)&amp;" = "&amp;FLOOR($FR10*4.5,1)&amp;IF($FS10&gt;0," · +"&amp;$FS10&amp;"d8","")))</f>
        <v/>
      </c>
      <c r="GR10" s="152">
        <f>COUNTIF($EB10:$EE10,"Longe")+3*COUNTIF($EB10:$EE10,"Muito Longe")</f>
        <v/>
      </c>
      <c r="GS10" s="152">
        <f>COUNTIF($EB10:$EE10,"Maior")+3*COUNTIF($EB10:$EE10,"Muito Maior")</f>
        <v/>
      </c>
      <c r="GT10" s="152">
        <f>IF($EI10=0,0,CHOOSE(1+INDEX($AH$2:$AH$11,$EI10),0,$GR10,$GS10,$GR10+$GS10))</f>
        <v/>
      </c>
      <c r="GU10" s="152">
        <f>IF($EI10=0,0,CHOOSE(1+INDEX($AI$2:$AI$11,$EI10),0,$GR10,$GS10,$GR10+$GS10))</f>
        <v/>
      </c>
      <c r="GV10" s="152">
        <f>IF(OR($EH10=0,$EI10=0),"",INDEX($AP$2:$AU$31,($EI10-1)*3+IF($DY10&gt;=6,3,2),1+MIN(5,$GT10))&amp;INDEX($AV$2:$BA$31,($EI10-1)*3+IF($DY10&gt;=6,3,2),1+MIN(5,$GU10))&amp;IF(INDEX($AJ$2:$AJ$11,$EI10)=1,IF(COUNTIF($EB10:$EE10,"Mais Um")&gt;0," · +"&amp;COUNTIF($EB10:$EE10,"Mais Um")&amp;IF(COUNTIF($EB10:$EE10,"Mais Um")&gt;1," alvos"," alvo"),"")&amp;IF(COUNTIF($EB10:$EE10,"Rajada")&gt;0," · "&amp;($DY10+1)&amp;" tiros",""),""))</f>
        <v/>
      </c>
      <c r="GW10" s="152">
        <f>IF($EH10=0,"",3*$DY10&amp;" − "&amp;$FL10&amp;" + "&amp;$FO10&amp;IF($DW10=1," + "&amp;$DY10,"")&amp;" = "&amp;$FR10&amp;"d8 · teto "&amp;4*$DY10&amp;IF($EU10=1," · a Forma devolve "&amp;$DY10,"")&amp;IF($FP10&gt;0," · perde "&amp;$FP10,""))</f>
        <v/>
      </c>
      <c r="GX10" s="152">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52">
        <f>IF(OR($EH10=0,$EK10=0),"","−"&amp;INDEX($Q$2:$V$8,$DY10,$EK10)&amp;" · "&amp;CHOOSE($EK10,"Leve","Média","Pesada","Leve · Livre","Média · Livre","Pesada · Livre"))</f>
        <v/>
      </c>
      <c r="GZ10" s="152">
        <f>IF(OR($EH10=0,$EL10=0),"","−"&amp;INDEX($Q$2:$V$8,$DY10,$EL10)&amp;" · "&amp;CHOOSE($EL10,"Leve","Média","Pesada","Leve · Livre","Média · Livre","Pesada · Livre"))</f>
        <v/>
      </c>
      <c r="HA10" s="152">
        <f>IF(OR($EH10=0,$EM10=0),"","−"&amp;INDEX($Q$2:$V$8,$DY10,$EM10)&amp;" · "&amp;CHOOSE($EM10,"Leve","Média","Pesada","Leve · Livre","Média · Livre","Pesada · Livre"))</f>
        <v/>
      </c>
      <c r="HB10" s="152">
        <f>IF(OR($EH10=0,$EN10=0),"","−"&amp;INDEX($Q$2:$V$8,$DY10,$EN10)&amp;" · "&amp;CHOOSE($EN10,"Leve","Média","Pesada","Leve · Livre","Média · Livre","Pesada · Livre"))</f>
        <v/>
      </c>
      <c r="HC10" s="152">
        <f>IF(OR($EH10=0,$EF10=""),"","+"&amp;IF($EX10=1,CEILING($DY10/2,1),$DY10))</f>
        <v/>
      </c>
      <c r="HD10" s="152">
        <f>IF(OR($EH10=0,$EG10=""),"","+"&amp;IF($EY10=1,CEILING($DY10/2,1),$DY10))</f>
        <v/>
      </c>
      <c r="HE10" s="152">
        <f>'FICHA AMALDIÇOADA'!$P$95&amp;""</f>
        <v/>
      </c>
      <c r="HF10" s="152">
        <f>IF(AND($EH10=1,$DW10=0),COUNTIFS($EH$2:$EH10,1,$DW$2:$DW10,0),"")</f>
        <v/>
      </c>
      <c r="HH10" s="150" t="inlineStr">
        <is>
          <t>classe 0 quantos</t>
        </is>
      </c>
      <c r="HI10" s="152">
        <f>IFERROR(INDEX($CZ$2:$CZ$6,MATCH($HI$2,$CY$2:$CY$6,1)),0)</f>
        <v/>
      </c>
      <c r="HK10" s="150" t="inlineStr">
        <is>
          <t>Talento 9 · Leque</t>
        </is>
      </c>
      <c r="HL10" s="152">
        <f>'FICHA AMALDIÇOADA'!$D$405&amp;""</f>
        <v/>
      </c>
      <c r="HM10" s="152">
        <f>IFERROR(VLOOKUP($HL10,$BR$2:$BX$24,2,FALSE),0)</f>
        <v/>
      </c>
      <c r="HN10" s="152">
        <f>IFERROR(VLOOKUP($HM10,$BZ$2:$CA$4,2,FALSE),0)</f>
        <v/>
      </c>
      <c r="HO10" s="152">
        <f>IFERROR(VLOOKUP($HL10,$BR$2:$BX$24,3,FALSE),"")</f>
        <v/>
      </c>
      <c r="HP10" s="152">
        <f>IF($HM10=0,"",IF($HN10&gt;$HI$2,"⚠ Nível "&amp;$HN10,"CE "&amp;$HM10))</f>
        <v/>
      </c>
      <c r="HQ10" s="152">
        <f>IF($HM10=0,"",IF(4&gt;$HI$8,"⚠ Vaga","Grátis"))</f>
        <v/>
      </c>
      <c r="HR10" s="152">
        <f>'FICHA AMALDIÇOADA'!$E$410&amp;""</f>
        <v/>
      </c>
      <c r="HS10" s="152">
        <f>IF($HL10="","",COUNTIF($HL$2:$HL10,"?*"))</f>
        <v/>
      </c>
      <c r="HU10" s="150" t="inlineStr">
        <is>
          <t>Aptidão 9</t>
        </is>
      </c>
      <c r="HV10" s="152">
        <f>'FICHA AMALDIÇOADA'!$P$472&amp;""</f>
        <v/>
      </c>
      <c r="HW10" s="152">
        <f>IF($HV10="","","Requisito: "&amp;IFERROR(VLOOKUP($HV10,$CC$2:$CL$33,2,FALSE),""))</f>
        <v/>
      </c>
      <c r="HX10" s="152">
        <f>IF($HV10="","",IFERROR(IF(ISNUMBER(VLOOKUP($HV10,$CC$2:$CL$33,3,FALSE)),"CE "&amp;VLOOKUP($HV10,$CC$2:$CL$33,3,FALSE),VLOOKUP($HV10,$CC$2:$CL$33,3,FALSE)),""))</f>
        <v/>
      </c>
      <c r="HY10" s="152">
        <f>IF($HV10="","",IFERROR(VLOOKUP($HV10,$CC$2:$CL$33,4,FALSE),""))</f>
        <v/>
      </c>
      <c r="HZ10" s="152">
        <f>IF($HV10="","",IFERROR(VLOOKUP($HV10,$CC$2:$CL$33,5,FALSE),""))</f>
        <v/>
      </c>
      <c r="IA10" s="152">
        <f>'FICHA AMALDIÇOADA'!$Q$489&amp;""</f>
        <v/>
      </c>
      <c r="IB10" s="152">
        <f>IF($HV10="","",COUNTIF($HV$2:$HV10,"?*"))</f>
        <v/>
      </c>
      <c r="IM10" s="152">
        <f>INDEX($D$6:$G$6,1,$A$2)</f>
        <v/>
      </c>
      <c r="IN10" s="152">
        <f>ADDRESS(ROW('FICHA AMALDIÇOADA'!P7),COLUMN('FICHA AMALDIÇOADA'!P7),4)</f>
        <v/>
      </c>
      <c r="IO10" s="152">
        <f>ADDRESS(ROW('FICHA AMALDIÇOADA'!D421),COLUMN('FICHA AMALDIÇOADA'!D421),4)</f>
        <v/>
      </c>
      <c r="IP10" s="150" t="inlineStr">
        <is>
          <t>DADOS_AM!$IM$10</t>
        </is>
      </c>
      <c r="IR10" s="150" t="inlineStr">
        <is>
          <t>Trilha 27</t>
        </is>
      </c>
      <c r="IS10" s="152" t="n">
        <v>27</v>
      </c>
      <c r="IT10" s="152">
        <f>IF($HI$2&gt;=27,"Nível 27","Abre no 27")</f>
        <v/>
      </c>
      <c r="IU10" s="152">
        <f>ADDRESS(ROW(FICHA!G147),COLUMN(FICHA!G147),4)</f>
        <v/>
      </c>
      <c r="IV10" s="152">
        <f>ADDRESS(ROW(FICHA!D148),COLUMN(FICHA!D148),4)</f>
        <v/>
      </c>
      <c r="JD10" s="152" t="n">
        <v>9</v>
      </c>
      <c r="JE10" s="152">
        <f>IFERROR(MATCH(9,$HF$2:$HF$37,0),0)</f>
        <v/>
      </c>
      <c r="JF10" s="152">
        <f>IF($JE10=0,"",INDEX($DY$2:$DY$37,$JE10))</f>
        <v/>
      </c>
      <c r="JG10" s="152">
        <f>IF($JE10=0,"",INDEX($DZ$2:$DZ$37,$JE10))</f>
        <v/>
      </c>
      <c r="JH10" s="152">
        <f>IF($JE10=0,"",INDEX($GN$2:$GN$37,$JE10))</f>
        <v/>
      </c>
      <c r="JI10" s="152">
        <f>IF($JE10=0,"",INDEX($EA$2:$EA$37,$JE10))</f>
        <v/>
      </c>
      <c r="JJ10" s="152">
        <f>IF($JE10=0,"",INDEX($GP$2:$GP$37,$JE10))</f>
        <v/>
      </c>
      <c r="JK10" s="152">
        <f>IF($JE10=0,"",INDEX($HE$2:$HE$37,$JE10))</f>
        <v/>
      </c>
      <c r="KB10" s="150" t="inlineStr">
        <is>
          <t>Talento 7</t>
        </is>
      </c>
      <c r="KC10" s="152">
        <f>IFERROR(MATCH(7,$HS$2:$HS$13,0),0)</f>
        <v/>
      </c>
      <c r="KD10" s="152">
        <f>IF($KC10=0,"",IF(INDEX($HM$2:$HM$13,$KC10)=0,"","CE "&amp;INDEX($HM$2:$HM$13,$KC10)))</f>
        <v/>
      </c>
      <c r="KE10" s="152">
        <f>IF($KC10=0,"",INDEX($HL$2:$HL$13,$KC10))</f>
        <v/>
      </c>
      <c r="KF10" s="152">
        <f>IF($KC10=0,"",IF(INDEX($HR$2:$HR$13,$KC10)&lt;&gt;"",INDEX($HR$2:$HR$13,$KC10),IF(IFERROR(VLOOKUP(INDEX($HL$2:$HL$13,$KC10),$BR$2:$BX$24,7,FALSE),"")&lt;&gt;"","Do livro: "&amp;IFERROR(VLOOKUP(INDEX($HL$2:$HL$13,$KC10),$BR$2:$BX$24,7,FALSE),""),"")))</f>
        <v/>
      </c>
      <c r="KH10" s="150" t="inlineStr">
        <is>
          <t>Aptidão 7</t>
        </is>
      </c>
      <c r="KI10" s="152">
        <f>IFERROR(MATCH(7,$IB$2:$IB$13,0),0)</f>
        <v/>
      </c>
      <c r="KJ10" s="152">
        <f>IF($KI10=0,"",INDEX($HX$2:$HX$13,$KI10))</f>
        <v/>
      </c>
      <c r="KK10" s="152">
        <f>IF($KI10=0,"",INDEX($HV$2:$HV$13,$KI10))</f>
        <v/>
      </c>
      <c r="KL10" s="152">
        <f>IF($KI10=0,"",IF(INDEX($IA$2:$IA$13,$KI10)&lt;&gt;"",INDEX($IA$2:$IA$13,$KI10),IF(IFERROR(VLOOKUP(INDEX($HV$2:$HV$13,$KI10),$CC$2:$CL$33,10,FALSE),"")&lt;&gt;"","Do livro: "&amp;IFERROR(VLOOKUP(INDEX($HV$2:$HV$13,$KI10),$CC$2:$CL$33,10,FALSE),""),"")))</f>
        <v/>
      </c>
      <c r="KN10" s="150" t="inlineStr">
        <is>
          <t>par 2</t>
        </is>
      </c>
      <c r="KO10" s="152">
        <f>UPPER(INDEX($D$3:$G$3,1,$A$2))&amp;" 7 A 12"</f>
        <v/>
      </c>
      <c r="KQ10" s="150" t="inlineStr">
        <is>
          <t>D17</t>
        </is>
      </c>
      <c r="KR10" s="152">
        <f>IF(DADOS_AM!$HI$41=1,"GRUPO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L11" s="150" t="inlineStr">
        <is>
          <t>Fraqueza (Média)</t>
        </is>
      </c>
      <c r="BM11" s="150" t="inlineStr">
        <is>
          <t>Fraqueza</t>
        </is>
      </c>
      <c r="BN11" s="152" t="n">
        <v>2</v>
      </c>
      <c r="BO11" s="152" t="n">
        <v>0</v>
      </c>
      <c r="BP11" s="150" t="inlineStr"/>
      <c r="BR11" s="150" t="inlineStr">
        <is>
          <t>Eco</t>
        </is>
      </c>
      <c r="BS11" s="152" t="n">
        <v>2</v>
      </c>
      <c r="BT11" s="150" t="inlineStr">
        <is>
          <t>Quando um feitiço seu reduzir um inimigo a 0 pontos de vida, o próximo feitiço que você conjurar nesta cena custa metade do seu PE normal, arredondada para cima. Derrubado, a condição, não ativa Eco.</t>
        </is>
      </c>
      <c r="BU11" s="152" t="n">
        <v>1</v>
      </c>
      <c r="BV11" s="152" t="n">
        <v>0</v>
      </c>
      <c r="BW11" s="152">
        <f>IF(OR(AND($A$2&lt;=2,$BU11=1),AND($A$2&gt;=2,$BV11=1)),$BR11,"")</f>
        <v/>
      </c>
      <c r="BX11" s="150" t="inlineStr">
        <is>
          <t>Quando um feitiço seu reduzir um inimigo a 0 pontos de vida, o próximo feitiço que você conjurar nesta cena custa metade do seu PE normal, arredondada para cima. Derrubado, a condição, não ativa Eco.</t>
        </is>
      </c>
      <c r="CC11" s="150" t="inlineStr">
        <is>
          <t>Domínio Simples</t>
        </is>
      </c>
      <c r="CD11" s="150" t="inlineStr">
        <is>
          <t>Refino 5, ou 4 com o voto do iniciante; aprendizado registrado</t>
        </is>
      </c>
      <c r="CE11" s="152" t="n">
        <v>2</v>
      </c>
      <c r="CF11" s="150" t="inlineStr">
        <is>
          <t>Raio</t>
        </is>
      </c>
      <c r="CG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52">
        <f>IF($CK11=1,"",IF($A$2=4,IF($CI11=1,$CC11,""),IF(OR($CI11=1,AND($A$2=3,$CJ11=1)),"",$CC11)))</f>
        <v/>
      </c>
      <c r="CI11" s="152" t="n">
        <v>0</v>
      </c>
      <c r="CJ11" s="152" t="n">
        <v>0</v>
      </c>
      <c r="CK11" s="152" t="n">
        <v>0</v>
      </c>
      <c r="CL11" s="150" t="inlineStr">
        <is>
          <t>Você precisa ter visto um Domínio Simples sendo usado ou ter aprendido com alguém.</t>
        </is>
      </c>
      <c r="CT11" s="150" t="inlineStr">
        <is>
          <t>Massa</t>
        </is>
      </c>
      <c r="CU11" s="152" t="n">
        <v>1</v>
      </c>
      <c r="CV11" s="152" t="n">
        <v>0</v>
      </c>
      <c r="CW11" s="152">
        <f>IF(AND($A$2&gt;=3,'FICHA AMALDIÇOADA'!$J$16&amp;""="Três grupos de arma"),$CT11,"")</f>
        <v/>
      </c>
      <c r="DV11" s="150" t="inlineStr">
        <is>
          <t>Feitiço 10</t>
        </is>
      </c>
      <c r="DW11" s="152" t="n">
        <v>0</v>
      </c>
      <c r="DX11" s="152" t="n">
        <v>10</v>
      </c>
      <c r="DY11" s="152">
        <f>MAX(1,MIN(7,N('FICHA AMALDIÇOADA'!$D$114)))</f>
        <v/>
      </c>
      <c r="DZ11" s="152">
        <f>'FICHA AMALDIÇOADA'!$E$114&amp;""</f>
        <v/>
      </c>
      <c r="EA11" s="152">
        <f>'FICHA AMALDIÇOADA'!$D$121&amp;""</f>
        <v/>
      </c>
      <c r="EB11" s="152">
        <f>'FICHA AMALDIÇOADA'!$E$123&amp;""</f>
        <v/>
      </c>
      <c r="EC11" s="152">
        <f>'FICHA AMALDIÇOADA'!$E$124&amp;""</f>
        <v/>
      </c>
      <c r="ED11" s="152">
        <f>'FICHA AMALDIÇOADA'!$E$125&amp;""</f>
        <v/>
      </c>
      <c r="EE11" s="152">
        <f>'FICHA AMALDIÇOADA'!$E$126&amp;""</f>
        <v/>
      </c>
      <c r="EF11" s="152">
        <f>'FICHA AMALDIÇOADA'!$E$127&amp;""</f>
        <v/>
      </c>
      <c r="EG11" s="152">
        <f>'FICHA AMALDIÇOADA'!$E$128&amp;""</f>
        <v/>
      </c>
      <c r="EH11" s="152">
        <f>IF($DZ11&lt;&gt;"",1,0)</f>
        <v/>
      </c>
      <c r="EI11" s="152">
        <f>IFERROR(MATCH($EA11,$Y$2:$Y$11,0),0)</f>
        <v/>
      </c>
      <c r="EJ11" s="152">
        <f>IF($EI11=0,0,INDEX($AB$2:$AB$11,$EI11))</f>
        <v/>
      </c>
      <c r="EK11" s="152">
        <f>IFERROR(VLOOKUP($EB11,$BC$2:$BJ$84,4,FALSE),0)</f>
        <v/>
      </c>
      <c r="EL11" s="152">
        <f>IFERROR(VLOOKUP($EC11,$BC$2:$BJ$84,4,FALSE),0)</f>
        <v/>
      </c>
      <c r="EM11" s="152">
        <f>IFERROR(VLOOKUP($ED11,$BC$2:$BJ$84,4,FALSE),0)</f>
        <v/>
      </c>
      <c r="EN11" s="152">
        <f>IFERROR(VLOOKUP($EE11,$BC$2:$BJ$84,4,FALSE),0)</f>
        <v/>
      </c>
      <c r="EO11" s="152">
        <f>IF($EI11=0,0,INDEX($AC$2:$AC$11,$EI11))</f>
        <v/>
      </c>
      <c r="EP11" s="152">
        <f>IFERROR(VLOOKUP($EB11,$BC$2:$BJ$84,5,FALSE),0)</f>
        <v/>
      </c>
      <c r="EQ11" s="152">
        <f>IFERROR(VLOOKUP($EC11,$BC$2:$BJ$84,5,FALSE),0)</f>
        <v/>
      </c>
      <c r="ER11" s="152">
        <f>IFERROR(VLOOKUP($ED11,$BC$2:$BJ$84,5,FALSE),0)</f>
        <v/>
      </c>
      <c r="ES11" s="152">
        <f>IFERROR(VLOOKUP($EE11,$BC$2:$BJ$84,5,FALSE),0)</f>
        <v/>
      </c>
      <c r="ET11" s="152">
        <f>IFERROR(VLOOKUP($EB11,$BC$2:$BJ$84,6,FALSE),0)+IFERROR(VLOOKUP($EC11,$BC$2:$BJ$84,6,FALSE),0)+IFERROR(VLOOKUP($ED11,$BC$2:$BJ$84,6,FALSE),0)+IFERROR(VLOOKUP($EE11,$BC$2:$BJ$84,6,FALSE),0)</f>
        <v/>
      </c>
      <c r="EU11" s="152">
        <f>IF($EI11=0,0,INDEX($AD$2:$AD$11,$EI11))</f>
        <v/>
      </c>
      <c r="EV11" s="152">
        <f>IF($EI11=0,0,INDEX($AE$2:$AE$11,$EI11))</f>
        <v/>
      </c>
      <c r="EW11" s="152">
        <f>IF($EI11=0,0,INDEX($AG$2:$AG$11,$EI11))</f>
        <v/>
      </c>
      <c r="EX11" s="152">
        <f>IFERROR(VLOOKUP($EF11,$BL$2:$BP$24,3,FALSE),0)</f>
        <v/>
      </c>
      <c r="EY11" s="152">
        <f>IFERROR(VLOOKUP($EG11,$BL$2:$BP$24,3,FALSE),0)</f>
        <v/>
      </c>
      <c r="EZ11" s="152">
        <f>IFERROR(VLOOKUP($EF11,$BL$2:$BP$24,2,FALSE),"")</f>
        <v/>
      </c>
      <c r="FA11" s="152">
        <f>IFERROR(VLOOKUP($EG11,$BL$2:$BP$24,2,FALSE),"")</f>
        <v/>
      </c>
      <c r="FB11" s="152">
        <f>COUNTIF($EJ11:$EN11,1)</f>
        <v/>
      </c>
      <c r="FC11" s="152">
        <f>COUNTIF($EJ11:$EN11,2)</f>
        <v/>
      </c>
      <c r="FD11" s="152">
        <f>COUNTIF($EJ11:$EN11,3)</f>
        <v/>
      </c>
      <c r="FE11" s="152">
        <f>COUNTIF($EJ11:$EN11,4)</f>
        <v/>
      </c>
      <c r="FF11" s="152">
        <f>COUNTIF($EJ11:$EN11,5)</f>
        <v/>
      </c>
      <c r="FG11" s="152">
        <f>COUNTIF($EJ11:$EN11,6)</f>
        <v/>
      </c>
      <c r="FH11" s="152">
        <f>COUNTIF($EX11:$EY11,1)</f>
        <v/>
      </c>
      <c r="FI11" s="152">
        <f>COUNTIF($EX11:$EY11,2)+$EU11</f>
        <v/>
      </c>
      <c r="FJ11" s="152">
        <f>COUNTIF($EB11:$EE11,"?*")</f>
        <v/>
      </c>
      <c r="FK11" s="152">
        <f>COUNTIF($EF11:$EG11,"?*")+$EU11</f>
        <v/>
      </c>
      <c r="FL11" s="152">
        <f>SUMPRODUCT($FB11:$FG11,INDEX($Q$2:$V$8,$DY11,0))</f>
        <v/>
      </c>
      <c r="FM11" s="152">
        <f>$FH11*CEILING($DY11/2,1)+$FI11*$DY11</f>
        <v/>
      </c>
      <c r="FN11" s="152">
        <f>MIN(2*$DY11,$FM11)</f>
        <v/>
      </c>
      <c r="FO11" s="152">
        <f>MIN($FN11,$FL11)</f>
        <v/>
      </c>
      <c r="FP11" s="152">
        <f>$FN11-$FO11</f>
        <v/>
      </c>
      <c r="FQ11" s="152">
        <f>3*$DY11-$FL11+$FO11</f>
        <v/>
      </c>
      <c r="FR11" s="152">
        <f>MAX(0,$FQ11)+$DW11*$DY11</f>
        <v/>
      </c>
      <c r="FS11" s="152">
        <f>(IF(COUNTIF($EB11:$EE11,"Salto")&gt;0,1,0)+IF(COUNTIF($EB11:$EE11,"Queima")&gt;0,1,0)+IF(COUNTIF($EB11:$EE11,"Estilhaço")&gt;0,1,0))*FLOOR($FR11/2,1)</f>
        <v/>
      </c>
      <c r="FT11" s="152">
        <f>MAX(0,3-SUMPRODUCT($FB11:$FG11,$Q$2:$V$2)+MIN(2,$FH11*1+$FI11*1,SUMPRODUCT($FB11:$FG11,$Q$2:$V$2)))+$DW11*1</f>
        <v/>
      </c>
      <c r="FU11" s="152">
        <f>MAX(0,6-SUMPRODUCT($FB11:$FG11,$Q$3:$V$3)+MIN(4,$FH11*1+$FI11*2,SUMPRODUCT($FB11:$FG11,$Q$3:$V$3)))+$DW11*2</f>
        <v/>
      </c>
      <c r="FV11" s="152">
        <f>MAX(0,9-SUMPRODUCT($FB11:$FG11,$Q$4:$V$4)+MIN(6,$FH11*2+$FI11*3,SUMPRODUCT($FB11:$FG11,$Q$4:$V$4)))+$DW11*3</f>
        <v/>
      </c>
      <c r="FW11" s="152">
        <f>MAX(0,12-SUMPRODUCT($FB11:$FG11,$Q$5:$V$5)+MIN(8,$FH11*2+$FI11*4,SUMPRODUCT($FB11:$FG11,$Q$5:$V$5)))+$DW11*4</f>
        <v/>
      </c>
      <c r="FX11" s="152">
        <f>MAX(0,15-SUMPRODUCT($FB11:$FG11,$Q$6:$V$6)+MIN(10,$FH11*3+$FI11*5,SUMPRODUCT($FB11:$FG11,$Q$6:$V$6)))+$DW11*5</f>
        <v/>
      </c>
      <c r="FY11" s="152">
        <f>MAX(0,18-SUMPRODUCT($FB11:$FG11,$Q$7:$V$7)+MIN(12,$FH11*3+$FI11*6,SUMPRODUCT($FB11:$FG11,$Q$7:$V$7)))+$DW11*6</f>
        <v/>
      </c>
      <c r="FZ11" s="152">
        <f>MAX(0,21-SUMPRODUCT($FB11:$FG11,$Q$8:$V$8)+MIN(14,$FH11*4+$FI11*7,SUMPRODUCT($FB11:$FG11,$Q$8:$V$8)))+$DW11*7</f>
        <v/>
      </c>
      <c r="GA11" s="152">
        <f>IF($EV11=2,3*$FT11&amp;" de vida temp.",IF($EV11=3,"sem dano",IF($FT11=0,IF($EV11=1,"sem cura","sem dano"),IF($EV11=1,"cura ","")&amp;$FT11&amp;"d8")))</f>
        <v/>
      </c>
      <c r="GB11" s="152">
        <f>IF($EV11=2,3*$FU11&amp;" de vida temp.",IF($EV11=3,"sem dano",IF($FU11=0,IF($EV11=1,"sem cura","sem dano"),IF($EV11=1,"cura ","")&amp;$FU11&amp;"d8")))</f>
        <v/>
      </c>
      <c r="GC11" s="152">
        <f>IF($EV11=2,3*$FV11&amp;" de vida temp.",IF($EV11=3,"sem dano",IF($FV11=0,IF($EV11=1,"sem cura","sem dano"),IF($EV11=1,"cura ","")&amp;$FV11&amp;"d8")))</f>
        <v/>
      </c>
      <c r="GD11" s="152">
        <f>IF($EV11=2,3*$FW11&amp;" de vida temp.",IF($EV11=3,"sem dano",IF($FW11=0,IF($EV11=1,"sem cura","sem dano"),IF($EV11=1,"cura ","")&amp;$FW11&amp;"d8")))</f>
        <v/>
      </c>
      <c r="GE11" s="152">
        <f>IF($EV11=2,3*$FX11&amp;" de vida temp.",IF($EV11=3,"sem dano",IF($FX11=0,IF($EV11=1,"sem cura","sem dano"),IF($EV11=1,"cura ","")&amp;$FX11&amp;"d8")))</f>
        <v/>
      </c>
      <c r="GF11" s="152">
        <f>IF($EV11=2,3*$FY11&amp;" de vida temp.",IF($EV11=3,"sem dano",IF($FY11=0,IF($EV11=1,"sem cura","sem dano"),IF($EV11=1,"cura ","")&amp;$FY11&amp;"d8")))</f>
        <v/>
      </c>
      <c r="GG11" s="152">
        <f>IF($EV11=2,3*$FZ11&amp;" de vida temp.",IF($EV11=3,"sem dano",IF($FZ11=0,IF($EV11=1,"sem cura","sem dano"),IF($EV11=1,"cura ","")&amp;$FZ11&amp;"d8")))</f>
        <v/>
      </c>
      <c r="GH11" s="152">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52">
        <f>IF($GH11="",0,(LEN($GH11)-LEN(SUBSTITUTE($GH11," · ","")))/3+1)</f>
        <v/>
      </c>
      <c r="GJ11" s="152">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52">
        <f>IF($GJ11="",0,(LEN($GJ11)-LEN(SUBSTITUTE($GJ11," · ","")))/3+1)</f>
        <v/>
      </c>
      <c r="GL11" s="152">
        <f>IF($EH11=0,IF($FJ11+$FK11-$EU11&gt;0,"Dê um nome",""),IF($GI11&gt;0,"⚠ "&amp;$GI11&amp;IF($GI11&gt;1," erros"," erro"),IF($GK11&gt;0,"! "&amp;$GK11&amp;IF($GK11&gt;1," avisos"," aviso"),"Na regra")))</f>
        <v/>
      </c>
      <c r="GM11" s="152">
        <f>IF($EH11=0,"",IF($GI11+$GK11=0,"Dentro das regras que a ficha confere",$GH11&amp;IF(AND($GI11&gt;0,$GK11&gt;0)," · ","")&amp;$GJ11))</f>
        <v/>
      </c>
      <c r="GN11" s="152">
        <f>IF($EH11=0,"",IF($DW11=1,CEILING(4.5*$DY11,1),3*$DY11)&amp;" PE")</f>
        <v/>
      </c>
      <c r="GO11" s="152">
        <f>IF($EH11=0,"",IF($DW11=1,"Rodada inteira",IF(COUNTIF($EZ11:$FA11,"Atrasar")&gt;0,IF(COUNTIF($EZ11:$FA11,"Carregar")&gt;0,"Rodada +1 turno","Rodada inteira"),IF(COUNTIF($EB11:$EE11,"Rápido")&gt;0,"Bônus",IF(COUNTIF($EB11:$EE11,"Reação")&gt;0,"Reação","Padrão"))&amp;IF(COUNTIF($EZ11:$FA11,"Carregar")&gt;0," +1 turno",""))))</f>
        <v/>
      </c>
      <c r="GP11" s="152">
        <f>IF(OR($EH11=0,$EI11=0),"",IF(COUNTIF($EB11:$EE11,"Inescapável")&gt;0,"Automático",IF(COUNTIF($EB11:$EE11,"Certeiro")&gt;0,"TR para metade",INDEX($AF$2:$AF$11,$EI11))))</f>
        <v/>
      </c>
      <c r="GQ11" s="152">
        <f>IF(OR($EH11=0,$EI11=0),"",IF(OR($EV11&gt;=2,$FR11=0),UPPER(LEFT(INDEX($GA11:$GG11,1,$DY11),1))&amp;MID(INDEX($GA11:$GG11,1,$DY11),2,99),UPPER(LEFT(INDEX($GA11:$GG11,1,$DY11),1))&amp;MID(INDEX($GA11:$GG11,1,$DY11),2,99)&amp;" = "&amp;FLOOR($FR11*4.5,1)&amp;IF($FS11&gt;0," · +"&amp;$FS11&amp;"d8","")))</f>
        <v/>
      </c>
      <c r="GR11" s="152">
        <f>COUNTIF($EB11:$EE11,"Longe")+3*COUNTIF($EB11:$EE11,"Muito Longe")</f>
        <v/>
      </c>
      <c r="GS11" s="152">
        <f>COUNTIF($EB11:$EE11,"Maior")+3*COUNTIF($EB11:$EE11,"Muito Maior")</f>
        <v/>
      </c>
      <c r="GT11" s="152">
        <f>IF($EI11=0,0,CHOOSE(1+INDEX($AH$2:$AH$11,$EI11),0,$GR11,$GS11,$GR11+$GS11))</f>
        <v/>
      </c>
      <c r="GU11" s="152">
        <f>IF($EI11=0,0,CHOOSE(1+INDEX($AI$2:$AI$11,$EI11),0,$GR11,$GS11,$GR11+$GS11))</f>
        <v/>
      </c>
      <c r="GV11" s="152">
        <f>IF(OR($EH11=0,$EI11=0),"",INDEX($AP$2:$AU$31,($EI11-1)*3+IF($DY11&gt;=6,3,2),1+MIN(5,$GT11))&amp;INDEX($AV$2:$BA$31,($EI11-1)*3+IF($DY11&gt;=6,3,2),1+MIN(5,$GU11))&amp;IF(INDEX($AJ$2:$AJ$11,$EI11)=1,IF(COUNTIF($EB11:$EE11,"Mais Um")&gt;0," · +"&amp;COUNTIF($EB11:$EE11,"Mais Um")&amp;IF(COUNTIF($EB11:$EE11,"Mais Um")&gt;1," alvos"," alvo"),"")&amp;IF(COUNTIF($EB11:$EE11,"Rajada")&gt;0," · "&amp;($DY11+1)&amp;" tiros",""),""))</f>
        <v/>
      </c>
      <c r="GW11" s="152">
        <f>IF($EH11=0,"",3*$DY11&amp;" − "&amp;$FL11&amp;" + "&amp;$FO11&amp;IF($DW11=1," + "&amp;$DY11,"")&amp;" = "&amp;$FR11&amp;"d8 · teto "&amp;4*$DY11&amp;IF($EU11=1," · a Forma devolve "&amp;$DY11,"")&amp;IF($FP11&gt;0," · perde "&amp;$FP11,""))</f>
        <v/>
      </c>
      <c r="GX11" s="152">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52">
        <f>IF(OR($EH11=0,$EK11=0),"","−"&amp;INDEX($Q$2:$V$8,$DY11,$EK11)&amp;" · "&amp;CHOOSE($EK11,"Leve","Média","Pesada","Leve · Livre","Média · Livre","Pesada · Livre"))</f>
        <v/>
      </c>
      <c r="GZ11" s="152">
        <f>IF(OR($EH11=0,$EL11=0),"","−"&amp;INDEX($Q$2:$V$8,$DY11,$EL11)&amp;" · "&amp;CHOOSE($EL11,"Leve","Média","Pesada","Leve · Livre","Média · Livre","Pesada · Livre"))</f>
        <v/>
      </c>
      <c r="HA11" s="152">
        <f>IF(OR($EH11=0,$EM11=0),"","−"&amp;INDEX($Q$2:$V$8,$DY11,$EM11)&amp;" · "&amp;CHOOSE($EM11,"Leve","Média","Pesada","Leve · Livre","Média · Livre","Pesada · Livre"))</f>
        <v/>
      </c>
      <c r="HB11" s="152">
        <f>IF(OR($EH11=0,$EN11=0),"","−"&amp;INDEX($Q$2:$V$8,$DY11,$EN11)&amp;" · "&amp;CHOOSE($EN11,"Leve","Média","Pesada","Leve · Livre","Média · Livre","Pesada · Livre"))</f>
        <v/>
      </c>
      <c r="HC11" s="152">
        <f>IF(OR($EH11=0,$EF11=""),"","+"&amp;IF($EX11=1,CEILING($DY11/2,1),$DY11))</f>
        <v/>
      </c>
      <c r="HD11" s="152">
        <f>IF(OR($EH11=0,$EG11=""),"","+"&amp;IF($EY11=1,CEILING($DY11/2,1),$DY11))</f>
        <v/>
      </c>
      <c r="HE11" s="152">
        <f>'FICHA AMALDIÇOADA'!$D$116&amp;""</f>
        <v/>
      </c>
      <c r="HF11" s="152">
        <f>IF(AND($EH11=1,$DW11=0),COUNTIFS($EH$2:$EH11,1,$DW$2:$DW11,0),"")</f>
        <v/>
      </c>
      <c r="HH11" s="150" t="inlineStr">
        <is>
          <t>classe 0 dados</t>
        </is>
      </c>
      <c r="HI11" s="152">
        <f>IFERROR(INDEX($DA$2:$DA$6,MATCH($HI$2,$CY$2:$CY$6,1)),0)</f>
        <v/>
      </c>
      <c r="HK11" s="150" t="inlineStr">
        <is>
          <t>Talento 10 · Leque</t>
        </is>
      </c>
      <c r="HL11" s="152">
        <f>'FICHA AMALDIÇOADA'!$J$405&amp;""</f>
        <v/>
      </c>
      <c r="HM11" s="152">
        <f>IFERROR(VLOOKUP($HL11,$BR$2:$BX$24,2,FALSE),0)</f>
        <v/>
      </c>
      <c r="HN11" s="152">
        <f>IFERROR(VLOOKUP($HM11,$BZ$2:$CA$4,2,FALSE),0)</f>
        <v/>
      </c>
      <c r="HO11" s="152">
        <f>IFERROR(VLOOKUP($HL11,$BR$2:$BX$24,3,FALSE),"")</f>
        <v/>
      </c>
      <c r="HP11" s="152">
        <f>IF($HM11=0,"",IF($HN11&gt;$HI$2,"⚠ Nível "&amp;$HN11,"CE "&amp;$HM11))</f>
        <v/>
      </c>
      <c r="HQ11" s="152">
        <f>IF($HM11=0,"",IF(5&gt;$HI$8,"⚠ Vaga","Grátis"))</f>
        <v/>
      </c>
      <c r="HR11" s="152">
        <f>'FICHA AMALDIÇOADA'!$K$410&amp;""</f>
        <v/>
      </c>
      <c r="HS11" s="152">
        <f>IF($HL11="","",COUNTIF($HL$2:$HL11,"?*"))</f>
        <v/>
      </c>
      <c r="HU11" s="150" t="inlineStr">
        <is>
          <t>Aptidão 10</t>
        </is>
      </c>
      <c r="HV11" s="152">
        <f>'FICHA AMALDIÇOADA'!$D$492&amp;""</f>
        <v/>
      </c>
      <c r="HW11" s="152">
        <f>IF($HV11="","","Requisito: "&amp;IFERROR(VLOOKUP($HV11,$CC$2:$CL$33,2,FALSE),""))</f>
        <v/>
      </c>
      <c r="HX11" s="152">
        <f>IF($HV11="","",IFERROR(IF(ISNUMBER(VLOOKUP($HV11,$CC$2:$CL$33,3,FALSE)),"CE "&amp;VLOOKUP($HV11,$CC$2:$CL$33,3,FALSE),VLOOKUP($HV11,$CC$2:$CL$33,3,FALSE)),""))</f>
        <v/>
      </c>
      <c r="HY11" s="152">
        <f>IF($HV11="","",IFERROR(VLOOKUP($HV11,$CC$2:$CL$33,4,FALSE),""))</f>
        <v/>
      </c>
      <c r="HZ11" s="152">
        <f>IF($HV11="","",IFERROR(VLOOKUP($HV11,$CC$2:$CL$33,5,FALSE),""))</f>
        <v/>
      </c>
      <c r="IA11" s="152">
        <f>'FICHA AMALDIÇOADA'!$E$509&amp;""</f>
        <v/>
      </c>
      <c r="IB11" s="152">
        <f>IF($HV11="","",COUNTIF($HV$2:$HV11,"?*"))</f>
        <v/>
      </c>
      <c r="IM11" s="150" t="inlineStr">
        <is>
          <t>Pactos</t>
        </is>
      </c>
      <c r="IN11" s="152">
        <f>ADDRESS(ROW('FICHA AMALDIÇOADA'!Q7),COLUMN('FICHA AMALDIÇOADA'!Q7),4)</f>
        <v/>
      </c>
      <c r="IO11" s="152">
        <f>ADDRESS(ROW('FICHA AMALDIÇOADA'!D512),COLUMN('FICHA AMALDIÇOADA'!D512),4)</f>
        <v/>
      </c>
      <c r="IP11" s="150" t="inlineStr">
        <is>
          <t>DADOS_AM!$IM$11</t>
        </is>
      </c>
      <c r="JD11" s="152" t="n">
        <v>10</v>
      </c>
      <c r="JE11" s="152">
        <f>IFERROR(MATCH(10,$HF$2:$HF$37,0),0)</f>
        <v/>
      </c>
      <c r="JF11" s="152">
        <f>IF($JE11=0,"",INDEX($DY$2:$DY$37,$JE11))</f>
        <v/>
      </c>
      <c r="JG11" s="152">
        <f>IF($JE11=0,"",INDEX($DZ$2:$DZ$37,$JE11))</f>
        <v/>
      </c>
      <c r="JH11" s="152">
        <f>IF($JE11=0,"",INDEX($GN$2:$GN$37,$JE11))</f>
        <v/>
      </c>
      <c r="JI11" s="152">
        <f>IF($JE11=0,"",INDEX($EA$2:$EA$37,$JE11))</f>
        <v/>
      </c>
      <c r="JJ11" s="152">
        <f>IF($JE11=0,"",INDEX($GP$2:$GP$37,$JE11))</f>
        <v/>
      </c>
      <c r="JK11" s="152">
        <f>IF($JE11=0,"",INDEX($HE$2:$HE$37,$JE11))</f>
        <v/>
      </c>
      <c r="KB11" s="150" t="inlineStr">
        <is>
          <t>Talento 8</t>
        </is>
      </c>
      <c r="KC11" s="152">
        <f>IFERROR(MATCH(8,$HS$2:$HS$13,0),0)</f>
        <v/>
      </c>
      <c r="KD11" s="152">
        <f>IF($KC11=0,"",IF(INDEX($HM$2:$HM$13,$KC11)=0,"","CE "&amp;INDEX($HM$2:$HM$13,$KC11)))</f>
        <v/>
      </c>
      <c r="KE11" s="152">
        <f>IF($KC11=0,"",INDEX($HL$2:$HL$13,$KC11))</f>
        <v/>
      </c>
      <c r="KF11" s="152">
        <f>IF($KC11=0,"",IF(INDEX($HR$2:$HR$13,$KC11)&lt;&gt;"",INDEX($HR$2:$HR$13,$KC11),IF(IFERROR(VLOOKUP(INDEX($HL$2:$HL$13,$KC11),$BR$2:$BX$24,7,FALSE),"")&lt;&gt;"","Do livro: "&amp;IFERROR(VLOOKUP(INDEX($HL$2:$HL$13,$KC11),$BR$2:$BX$24,7,FALSE),""),"")))</f>
        <v/>
      </c>
      <c r="KH11" s="150" t="inlineStr">
        <is>
          <t>Aptidão 8</t>
        </is>
      </c>
      <c r="KI11" s="152">
        <f>IFERROR(MATCH(8,$IB$2:$IB$13,0),0)</f>
        <v/>
      </c>
      <c r="KJ11" s="152">
        <f>IF($KI11=0,"",INDEX($HX$2:$HX$13,$KI11))</f>
        <v/>
      </c>
      <c r="KK11" s="152">
        <f>IF($KI11=0,"",INDEX($HV$2:$HV$13,$KI11))</f>
        <v/>
      </c>
      <c r="KL11" s="152">
        <f>IF($KI11=0,"",IF(INDEX($IA$2:$IA$13,$KI11)&lt;&gt;"",INDEX($IA$2:$IA$13,$KI11),IF(IFERROR(VLOOKUP(INDEX($HV$2:$HV$13,$KI11),$CC$2:$CL$33,10,FALSE),"")&lt;&gt;"","Do livro: "&amp;IFERROR(VLOOKUP(INDEX($HV$2:$HV$13,$KI11),$CC$2:$CL$33,10,FALSE),""),"")))</f>
        <v/>
      </c>
      <c r="KN11" s="150" t="inlineStr">
        <is>
          <t>par 4</t>
        </is>
      </c>
      <c r="KO11" s="152">
        <f>UPPER(INDEX($D$3:$G$3,1,$A$2))&amp;" 13 A 18"</f>
        <v/>
      </c>
      <c r="KQ11" s="150" t="inlineStr">
        <is>
          <t>D19</t>
        </is>
      </c>
      <c r="KR11" s="152">
        <f>IF(DADOS_AM!$HI$42="","",DADOS_AM!$HI$42&amp;" · "&amp;"d20 + "&amp;(DADOS_AM!$HI$3+DADOS_AM!$HI$45+IFERROR(VALUE(FICHA!$W$47&amp;""),0))&amp;" · CD "&amp;(8+DADOS_AM!$HI$3+DADOS_AM!$HI$45+IFERROR(VALUE(FICHA!$L$47&amp;""),0)))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L12" s="150" t="inlineStr">
        <is>
          <t>Peso Morto</t>
        </is>
      </c>
      <c r="BM12" s="150" t="inlineStr">
        <is>
          <t>Peso Morto</t>
        </is>
      </c>
      <c r="BN12" s="152" t="n">
        <v>1</v>
      </c>
      <c r="BO12" s="152" t="n">
        <v>0</v>
      </c>
      <c r="BP12" s="150" t="inlineStr">
        <is>
          <t>Peso Morto</t>
        </is>
      </c>
      <c r="BR12" s="150" t="inlineStr">
        <is>
          <t>Costura</t>
        </is>
      </c>
      <c r="BS12" s="152" t="n">
        <v>2</v>
      </c>
      <c r="BT12" s="150" t="inlineStr">
        <is>
          <t>Uma vez por cena, quando um aliado a até 9 m sofreria uma redução de seus pontos de vida a 0, você pode fazer com que ele permaneça com 1 ponto de vida. Não exige ação nem Reação.</t>
        </is>
      </c>
      <c r="BU12" s="152" t="n">
        <v>1</v>
      </c>
      <c r="BV12" s="152" t="n">
        <v>0</v>
      </c>
      <c r="BW12" s="152">
        <f>IF(OR(AND($A$2&lt;=2,$BU12=1),AND($A$2&gt;=2,$BV12=1)),$BR12,"")</f>
        <v/>
      </c>
      <c r="BX12" s="150" t="inlineStr">
        <is>
          <t>Uma vez por cena, quando um aliado a até 9 m sofreria uma redução de seus pontos de vida a 0, você pode fazer com que ele permaneça com 1 ponto de vida. Não exige ação nem Reação.</t>
        </is>
      </c>
      <c r="CC12" s="150" t="inlineStr">
        <is>
          <t>Pétala</t>
        </is>
      </c>
      <c r="CD12" s="150" t="inlineStr">
        <is>
          <t>Refino 4 e nível 10; ser Descendente ou aprendizado com alguém de um clã</t>
        </is>
      </c>
      <c r="CE12" s="152" t="n">
        <v>2</v>
      </c>
      <c r="CF12" s="150" t="inlineStr">
        <is>
          <t>—</t>
        </is>
      </c>
      <c r="CG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52">
        <f>IF($CK12=1,"",IF($A$2=4,IF($CI12=1,$CC12,""),IF(OR($CI12=1,AND($A$2=3,$CJ12=1)),"",$CC12)))</f>
        <v/>
      </c>
      <c r="CI12" s="152" t="n">
        <v>0</v>
      </c>
      <c r="CJ12" s="152" t="n">
        <v>0</v>
      </c>
      <c r="CK12" s="152" t="n">
        <v>0</v>
      </c>
      <c r="CL12" s="150" t="inlineStr">
        <is>
          <t>Sua energia reage ao contato do Acerto de uma Expansão.</t>
        </is>
      </c>
      <c r="CT12" s="150" t="inlineStr">
        <is>
          <t>Armas Longas</t>
        </is>
      </c>
      <c r="CU12" s="152" t="n">
        <v>1</v>
      </c>
      <c r="CV12" s="152" t="n">
        <v>1</v>
      </c>
      <c r="CW12" s="152">
        <f>IF(AND($A$2&gt;=3,'FICHA AMALDIÇOADA'!$J$16&amp;""="Três grupos de arma"),$CT12,"")</f>
        <v/>
      </c>
      <c r="DV12" s="150" t="inlineStr">
        <is>
          <t>Feitiço 11</t>
        </is>
      </c>
      <c r="DW12" s="152" t="n">
        <v>0</v>
      </c>
      <c r="DX12" s="152" t="n">
        <v>11</v>
      </c>
      <c r="DY12" s="152">
        <f>MAX(1,MIN(7,N('FICHA AMALDIÇOADA'!$J$114)))</f>
        <v/>
      </c>
      <c r="DZ12" s="152">
        <f>'FICHA AMALDIÇOADA'!$K$114&amp;""</f>
        <v/>
      </c>
      <c r="EA12" s="152">
        <f>'FICHA AMALDIÇOADA'!$J$121&amp;""</f>
        <v/>
      </c>
      <c r="EB12" s="152">
        <f>'FICHA AMALDIÇOADA'!$K$123&amp;""</f>
        <v/>
      </c>
      <c r="EC12" s="152">
        <f>'FICHA AMALDIÇOADA'!$K$124&amp;""</f>
        <v/>
      </c>
      <c r="ED12" s="152">
        <f>'FICHA AMALDIÇOADA'!$K$125&amp;""</f>
        <v/>
      </c>
      <c r="EE12" s="152">
        <f>'FICHA AMALDIÇOADA'!$K$126&amp;""</f>
        <v/>
      </c>
      <c r="EF12" s="152">
        <f>'FICHA AMALDIÇOADA'!$K$127&amp;""</f>
        <v/>
      </c>
      <c r="EG12" s="152">
        <f>'FICHA AMALDIÇOADA'!$K$128&amp;""</f>
        <v/>
      </c>
      <c r="EH12" s="152">
        <f>IF($DZ12&lt;&gt;"",1,0)</f>
        <v/>
      </c>
      <c r="EI12" s="152">
        <f>IFERROR(MATCH($EA12,$Y$2:$Y$11,0),0)</f>
        <v/>
      </c>
      <c r="EJ12" s="152">
        <f>IF($EI12=0,0,INDEX($AB$2:$AB$11,$EI12))</f>
        <v/>
      </c>
      <c r="EK12" s="152">
        <f>IFERROR(VLOOKUP($EB12,$BC$2:$BJ$84,4,FALSE),0)</f>
        <v/>
      </c>
      <c r="EL12" s="152">
        <f>IFERROR(VLOOKUP($EC12,$BC$2:$BJ$84,4,FALSE),0)</f>
        <v/>
      </c>
      <c r="EM12" s="152">
        <f>IFERROR(VLOOKUP($ED12,$BC$2:$BJ$84,4,FALSE),0)</f>
        <v/>
      </c>
      <c r="EN12" s="152">
        <f>IFERROR(VLOOKUP($EE12,$BC$2:$BJ$84,4,FALSE),0)</f>
        <v/>
      </c>
      <c r="EO12" s="152">
        <f>IF($EI12=0,0,INDEX($AC$2:$AC$11,$EI12))</f>
        <v/>
      </c>
      <c r="EP12" s="152">
        <f>IFERROR(VLOOKUP($EB12,$BC$2:$BJ$84,5,FALSE),0)</f>
        <v/>
      </c>
      <c r="EQ12" s="152">
        <f>IFERROR(VLOOKUP($EC12,$BC$2:$BJ$84,5,FALSE),0)</f>
        <v/>
      </c>
      <c r="ER12" s="152">
        <f>IFERROR(VLOOKUP($ED12,$BC$2:$BJ$84,5,FALSE),0)</f>
        <v/>
      </c>
      <c r="ES12" s="152">
        <f>IFERROR(VLOOKUP($EE12,$BC$2:$BJ$84,5,FALSE),0)</f>
        <v/>
      </c>
      <c r="ET12" s="152">
        <f>IFERROR(VLOOKUP($EB12,$BC$2:$BJ$84,6,FALSE),0)+IFERROR(VLOOKUP($EC12,$BC$2:$BJ$84,6,FALSE),0)+IFERROR(VLOOKUP($ED12,$BC$2:$BJ$84,6,FALSE),0)+IFERROR(VLOOKUP($EE12,$BC$2:$BJ$84,6,FALSE),0)</f>
        <v/>
      </c>
      <c r="EU12" s="152">
        <f>IF($EI12=0,0,INDEX($AD$2:$AD$11,$EI12))</f>
        <v/>
      </c>
      <c r="EV12" s="152">
        <f>IF($EI12=0,0,INDEX($AE$2:$AE$11,$EI12))</f>
        <v/>
      </c>
      <c r="EW12" s="152">
        <f>IF($EI12=0,0,INDEX($AG$2:$AG$11,$EI12))</f>
        <v/>
      </c>
      <c r="EX12" s="152">
        <f>IFERROR(VLOOKUP($EF12,$BL$2:$BP$24,3,FALSE),0)</f>
        <v/>
      </c>
      <c r="EY12" s="152">
        <f>IFERROR(VLOOKUP($EG12,$BL$2:$BP$24,3,FALSE),0)</f>
        <v/>
      </c>
      <c r="EZ12" s="152">
        <f>IFERROR(VLOOKUP($EF12,$BL$2:$BP$24,2,FALSE),"")</f>
        <v/>
      </c>
      <c r="FA12" s="152">
        <f>IFERROR(VLOOKUP($EG12,$BL$2:$BP$24,2,FALSE),"")</f>
        <v/>
      </c>
      <c r="FB12" s="152">
        <f>COUNTIF($EJ12:$EN12,1)</f>
        <v/>
      </c>
      <c r="FC12" s="152">
        <f>COUNTIF($EJ12:$EN12,2)</f>
        <v/>
      </c>
      <c r="FD12" s="152">
        <f>COUNTIF($EJ12:$EN12,3)</f>
        <v/>
      </c>
      <c r="FE12" s="152">
        <f>COUNTIF($EJ12:$EN12,4)</f>
        <v/>
      </c>
      <c r="FF12" s="152">
        <f>COUNTIF($EJ12:$EN12,5)</f>
        <v/>
      </c>
      <c r="FG12" s="152">
        <f>COUNTIF($EJ12:$EN12,6)</f>
        <v/>
      </c>
      <c r="FH12" s="152">
        <f>COUNTIF($EX12:$EY12,1)</f>
        <v/>
      </c>
      <c r="FI12" s="152">
        <f>COUNTIF($EX12:$EY12,2)+$EU12</f>
        <v/>
      </c>
      <c r="FJ12" s="152">
        <f>COUNTIF($EB12:$EE12,"?*")</f>
        <v/>
      </c>
      <c r="FK12" s="152">
        <f>COUNTIF($EF12:$EG12,"?*")+$EU12</f>
        <v/>
      </c>
      <c r="FL12" s="152">
        <f>SUMPRODUCT($FB12:$FG12,INDEX($Q$2:$V$8,$DY12,0))</f>
        <v/>
      </c>
      <c r="FM12" s="152">
        <f>$FH12*CEILING($DY12/2,1)+$FI12*$DY12</f>
        <v/>
      </c>
      <c r="FN12" s="152">
        <f>MIN(2*$DY12,$FM12)</f>
        <v/>
      </c>
      <c r="FO12" s="152">
        <f>MIN($FN12,$FL12)</f>
        <v/>
      </c>
      <c r="FP12" s="152">
        <f>$FN12-$FO12</f>
        <v/>
      </c>
      <c r="FQ12" s="152">
        <f>3*$DY12-$FL12+$FO12</f>
        <v/>
      </c>
      <c r="FR12" s="152">
        <f>MAX(0,$FQ12)+$DW12*$DY12</f>
        <v/>
      </c>
      <c r="FS12" s="152">
        <f>(IF(COUNTIF($EB12:$EE12,"Salto")&gt;0,1,0)+IF(COUNTIF($EB12:$EE12,"Queima")&gt;0,1,0)+IF(COUNTIF($EB12:$EE12,"Estilhaço")&gt;0,1,0))*FLOOR($FR12/2,1)</f>
        <v/>
      </c>
      <c r="FT12" s="152">
        <f>MAX(0,3-SUMPRODUCT($FB12:$FG12,$Q$2:$V$2)+MIN(2,$FH12*1+$FI12*1,SUMPRODUCT($FB12:$FG12,$Q$2:$V$2)))+$DW12*1</f>
        <v/>
      </c>
      <c r="FU12" s="152">
        <f>MAX(0,6-SUMPRODUCT($FB12:$FG12,$Q$3:$V$3)+MIN(4,$FH12*1+$FI12*2,SUMPRODUCT($FB12:$FG12,$Q$3:$V$3)))+$DW12*2</f>
        <v/>
      </c>
      <c r="FV12" s="152">
        <f>MAX(0,9-SUMPRODUCT($FB12:$FG12,$Q$4:$V$4)+MIN(6,$FH12*2+$FI12*3,SUMPRODUCT($FB12:$FG12,$Q$4:$V$4)))+$DW12*3</f>
        <v/>
      </c>
      <c r="FW12" s="152">
        <f>MAX(0,12-SUMPRODUCT($FB12:$FG12,$Q$5:$V$5)+MIN(8,$FH12*2+$FI12*4,SUMPRODUCT($FB12:$FG12,$Q$5:$V$5)))+$DW12*4</f>
        <v/>
      </c>
      <c r="FX12" s="152">
        <f>MAX(0,15-SUMPRODUCT($FB12:$FG12,$Q$6:$V$6)+MIN(10,$FH12*3+$FI12*5,SUMPRODUCT($FB12:$FG12,$Q$6:$V$6)))+$DW12*5</f>
        <v/>
      </c>
      <c r="FY12" s="152">
        <f>MAX(0,18-SUMPRODUCT($FB12:$FG12,$Q$7:$V$7)+MIN(12,$FH12*3+$FI12*6,SUMPRODUCT($FB12:$FG12,$Q$7:$V$7)))+$DW12*6</f>
        <v/>
      </c>
      <c r="FZ12" s="152">
        <f>MAX(0,21-SUMPRODUCT($FB12:$FG12,$Q$8:$V$8)+MIN(14,$FH12*4+$FI12*7,SUMPRODUCT($FB12:$FG12,$Q$8:$V$8)))+$DW12*7</f>
        <v/>
      </c>
      <c r="GA12" s="152">
        <f>IF($EV12=2,3*$FT12&amp;" de vida temp.",IF($EV12=3,"sem dano",IF($FT12=0,IF($EV12=1,"sem cura","sem dano"),IF($EV12=1,"cura ","")&amp;$FT12&amp;"d8")))</f>
        <v/>
      </c>
      <c r="GB12" s="152">
        <f>IF($EV12=2,3*$FU12&amp;" de vida temp.",IF($EV12=3,"sem dano",IF($FU12=0,IF($EV12=1,"sem cura","sem dano"),IF($EV12=1,"cura ","")&amp;$FU12&amp;"d8")))</f>
        <v/>
      </c>
      <c r="GC12" s="152">
        <f>IF($EV12=2,3*$FV12&amp;" de vida temp.",IF($EV12=3,"sem dano",IF($FV12=0,IF($EV12=1,"sem cura","sem dano"),IF($EV12=1,"cura ","")&amp;$FV12&amp;"d8")))</f>
        <v/>
      </c>
      <c r="GD12" s="152">
        <f>IF($EV12=2,3*$FW12&amp;" de vida temp.",IF($EV12=3,"sem dano",IF($FW12=0,IF($EV12=1,"sem cura","sem dano"),IF($EV12=1,"cura ","")&amp;$FW12&amp;"d8")))</f>
        <v/>
      </c>
      <c r="GE12" s="152">
        <f>IF($EV12=2,3*$FX12&amp;" de vida temp.",IF($EV12=3,"sem dano",IF($FX12=0,IF($EV12=1,"sem cura","sem dano"),IF($EV12=1,"cura ","")&amp;$FX12&amp;"d8")))</f>
        <v/>
      </c>
      <c r="GF12" s="152">
        <f>IF($EV12=2,3*$FY12&amp;" de vida temp.",IF($EV12=3,"sem dano",IF($FY12=0,IF($EV12=1,"sem cura","sem dano"),IF($EV12=1,"cura ","")&amp;$FY12&amp;"d8")))</f>
        <v/>
      </c>
      <c r="GG12" s="152">
        <f>IF($EV12=2,3*$FZ12&amp;" de vida temp.",IF($EV12=3,"sem dano",IF($FZ12=0,IF($EV12=1,"sem cura","sem dano"),IF($EV12=1,"cura ","")&amp;$FZ12&amp;"d8")))</f>
        <v/>
      </c>
      <c r="GH12" s="152">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52">
        <f>IF($GH12="",0,(LEN($GH12)-LEN(SUBSTITUTE($GH12," · ","")))/3+1)</f>
        <v/>
      </c>
      <c r="GJ12" s="152">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52">
        <f>IF($GJ12="",0,(LEN($GJ12)-LEN(SUBSTITUTE($GJ12," · ","")))/3+1)</f>
        <v/>
      </c>
      <c r="GL12" s="152">
        <f>IF($EH12=0,IF($FJ12+$FK12-$EU12&gt;0,"Dê um nome",""),IF($GI12&gt;0,"⚠ "&amp;$GI12&amp;IF($GI12&gt;1," erros"," erro"),IF($GK12&gt;0,"! "&amp;$GK12&amp;IF($GK12&gt;1," avisos"," aviso"),"Na regra")))</f>
        <v/>
      </c>
      <c r="GM12" s="152">
        <f>IF($EH12=0,"",IF($GI12+$GK12=0,"Dentro das regras que a ficha confere",$GH12&amp;IF(AND($GI12&gt;0,$GK12&gt;0)," · ","")&amp;$GJ12))</f>
        <v/>
      </c>
      <c r="GN12" s="152">
        <f>IF($EH12=0,"",IF($DW12=1,CEILING(4.5*$DY12,1),3*$DY12)&amp;" PE")</f>
        <v/>
      </c>
      <c r="GO12" s="152">
        <f>IF($EH12=0,"",IF($DW12=1,"Rodada inteira",IF(COUNTIF($EZ12:$FA12,"Atrasar")&gt;0,IF(COUNTIF($EZ12:$FA12,"Carregar")&gt;0,"Rodada +1 turno","Rodada inteira"),IF(COUNTIF($EB12:$EE12,"Rápido")&gt;0,"Bônus",IF(COUNTIF($EB12:$EE12,"Reação")&gt;0,"Reação","Padrão"))&amp;IF(COUNTIF($EZ12:$FA12,"Carregar")&gt;0," +1 turno",""))))</f>
        <v/>
      </c>
      <c r="GP12" s="152">
        <f>IF(OR($EH12=0,$EI12=0),"",IF(COUNTIF($EB12:$EE12,"Inescapável")&gt;0,"Automático",IF(COUNTIF($EB12:$EE12,"Certeiro")&gt;0,"TR para metade",INDEX($AF$2:$AF$11,$EI12))))</f>
        <v/>
      </c>
      <c r="GQ12" s="152">
        <f>IF(OR($EH12=0,$EI12=0),"",IF(OR($EV12&gt;=2,$FR12=0),UPPER(LEFT(INDEX($GA12:$GG12,1,$DY12),1))&amp;MID(INDEX($GA12:$GG12,1,$DY12),2,99),UPPER(LEFT(INDEX($GA12:$GG12,1,$DY12),1))&amp;MID(INDEX($GA12:$GG12,1,$DY12),2,99)&amp;" = "&amp;FLOOR($FR12*4.5,1)&amp;IF($FS12&gt;0," · +"&amp;$FS12&amp;"d8","")))</f>
        <v/>
      </c>
      <c r="GR12" s="152">
        <f>COUNTIF($EB12:$EE12,"Longe")+3*COUNTIF($EB12:$EE12,"Muito Longe")</f>
        <v/>
      </c>
      <c r="GS12" s="152">
        <f>COUNTIF($EB12:$EE12,"Maior")+3*COUNTIF($EB12:$EE12,"Muito Maior")</f>
        <v/>
      </c>
      <c r="GT12" s="152">
        <f>IF($EI12=0,0,CHOOSE(1+INDEX($AH$2:$AH$11,$EI12),0,$GR12,$GS12,$GR12+$GS12))</f>
        <v/>
      </c>
      <c r="GU12" s="152">
        <f>IF($EI12=0,0,CHOOSE(1+INDEX($AI$2:$AI$11,$EI12),0,$GR12,$GS12,$GR12+$GS12))</f>
        <v/>
      </c>
      <c r="GV12" s="152">
        <f>IF(OR($EH12=0,$EI12=0),"",INDEX($AP$2:$AU$31,($EI12-1)*3+IF($DY12&gt;=6,3,2),1+MIN(5,$GT12))&amp;INDEX($AV$2:$BA$31,($EI12-1)*3+IF($DY12&gt;=6,3,2),1+MIN(5,$GU12))&amp;IF(INDEX($AJ$2:$AJ$11,$EI12)=1,IF(COUNTIF($EB12:$EE12,"Mais Um")&gt;0," · +"&amp;COUNTIF($EB12:$EE12,"Mais Um")&amp;IF(COUNTIF($EB12:$EE12,"Mais Um")&gt;1," alvos"," alvo"),"")&amp;IF(COUNTIF($EB12:$EE12,"Rajada")&gt;0," · "&amp;($DY12+1)&amp;" tiros",""),""))</f>
        <v/>
      </c>
      <c r="GW12" s="152">
        <f>IF($EH12=0,"",3*$DY12&amp;" − "&amp;$FL12&amp;" + "&amp;$FO12&amp;IF($DW12=1," + "&amp;$DY12,"")&amp;" = "&amp;$FR12&amp;"d8 · teto "&amp;4*$DY12&amp;IF($EU12=1," · a Forma devolve "&amp;$DY12,"")&amp;IF($FP12&gt;0," · perde "&amp;$FP12,""))</f>
        <v/>
      </c>
      <c r="GX12" s="152">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52">
        <f>IF(OR($EH12=0,$EK12=0),"","−"&amp;INDEX($Q$2:$V$8,$DY12,$EK12)&amp;" · "&amp;CHOOSE($EK12,"Leve","Média","Pesada","Leve · Livre","Média · Livre","Pesada · Livre"))</f>
        <v/>
      </c>
      <c r="GZ12" s="152">
        <f>IF(OR($EH12=0,$EL12=0),"","−"&amp;INDEX($Q$2:$V$8,$DY12,$EL12)&amp;" · "&amp;CHOOSE($EL12,"Leve","Média","Pesada","Leve · Livre","Média · Livre","Pesada · Livre"))</f>
        <v/>
      </c>
      <c r="HA12" s="152">
        <f>IF(OR($EH12=0,$EM12=0),"","−"&amp;INDEX($Q$2:$V$8,$DY12,$EM12)&amp;" · "&amp;CHOOSE($EM12,"Leve","Média","Pesada","Leve · Livre","Média · Livre","Pesada · Livre"))</f>
        <v/>
      </c>
      <c r="HB12" s="152">
        <f>IF(OR($EH12=0,$EN12=0),"","−"&amp;INDEX($Q$2:$V$8,$DY12,$EN12)&amp;" · "&amp;CHOOSE($EN12,"Leve","Média","Pesada","Leve · Livre","Média · Livre","Pesada · Livre"))</f>
        <v/>
      </c>
      <c r="HC12" s="152">
        <f>IF(OR($EH12=0,$EF12=""),"","+"&amp;IF($EX12=1,CEILING($DY12/2,1),$DY12))</f>
        <v/>
      </c>
      <c r="HD12" s="152">
        <f>IF(OR($EH12=0,$EG12=""),"","+"&amp;IF($EY12=1,CEILING($DY12/2,1),$DY12))</f>
        <v/>
      </c>
      <c r="HE12" s="152">
        <f>'FICHA AMALDIÇOADA'!$J$116&amp;""</f>
        <v/>
      </c>
      <c r="HF12" s="152">
        <f>IF(AND($EH12=1,$DW12=0),COUNTIFS($EH$2:$EH12,1,$DW$2:$DW12,0),"")</f>
        <v/>
      </c>
      <c r="HH12" s="150" t="inlineStr">
        <is>
          <t>espaços do nível</t>
        </is>
      </c>
      <c r="HI12" s="152">
        <f>2+INT($HI$2/2)+$HI$5</f>
        <v/>
      </c>
      <c r="HK12" s="150" t="inlineStr">
        <is>
          <t>Talento 11 · Leque</t>
        </is>
      </c>
      <c r="HL12" s="152">
        <f>'FICHA AMALDIÇOADA'!$P$405&amp;""</f>
        <v/>
      </c>
      <c r="HM12" s="152">
        <f>IFERROR(VLOOKUP($HL12,$BR$2:$BX$24,2,FALSE),0)</f>
        <v/>
      </c>
      <c r="HN12" s="152">
        <f>IFERROR(VLOOKUP($HM12,$BZ$2:$CA$4,2,FALSE),0)</f>
        <v/>
      </c>
      <c r="HO12" s="152">
        <f>IFERROR(VLOOKUP($HL12,$BR$2:$BX$24,3,FALSE),"")</f>
        <v/>
      </c>
      <c r="HP12" s="152">
        <f>IF($HM12=0,"",IF($HN12&gt;$HI$2,"⚠ Nível "&amp;$HN12,"CE "&amp;$HM12))</f>
        <v/>
      </c>
      <c r="HQ12" s="152">
        <f>IF($HM12=0,"",IF(6&gt;$HI$8,"⚠ Vaga","Grátis"))</f>
        <v/>
      </c>
      <c r="HR12" s="152">
        <f>'FICHA AMALDIÇOADA'!$Q$410&amp;""</f>
        <v/>
      </c>
      <c r="HS12" s="152">
        <f>IF($HL12="","",COUNTIF($HL$2:$HL12,"?*"))</f>
        <v/>
      </c>
      <c r="HU12" s="150" t="inlineStr">
        <is>
          <t>Aptidão 11</t>
        </is>
      </c>
      <c r="HV12" s="152">
        <f>'FICHA AMALDIÇOADA'!$J$492&amp;""</f>
        <v/>
      </c>
      <c r="HW12" s="152">
        <f>IF($HV12="","","Requisito: "&amp;IFERROR(VLOOKUP($HV12,$CC$2:$CL$33,2,FALSE),""))</f>
        <v/>
      </c>
      <c r="HX12" s="152">
        <f>IF($HV12="","",IFERROR(IF(ISNUMBER(VLOOKUP($HV12,$CC$2:$CL$33,3,FALSE)),"CE "&amp;VLOOKUP($HV12,$CC$2:$CL$33,3,FALSE),VLOOKUP($HV12,$CC$2:$CL$33,3,FALSE)),""))</f>
        <v/>
      </c>
      <c r="HY12" s="152">
        <f>IF($HV12="","",IFERROR(VLOOKUP($HV12,$CC$2:$CL$33,4,FALSE),""))</f>
        <v/>
      </c>
      <c r="HZ12" s="152">
        <f>IF($HV12="","",IFERROR(VLOOKUP($HV12,$CC$2:$CL$33,5,FALSE),""))</f>
        <v/>
      </c>
      <c r="IA12" s="152">
        <f>'FICHA AMALDIÇOADA'!$K$509&amp;""</f>
        <v/>
      </c>
      <c r="IB12" s="152">
        <f>IF($HV12="","",COUNTIF($HV$2:$HV12,"?*"))</f>
        <v/>
      </c>
      <c r="JD12" s="152" t="n">
        <v>11</v>
      </c>
      <c r="JE12" s="152">
        <f>IFERROR(MATCH(11,$HF$2:$HF$37,0),0)</f>
        <v/>
      </c>
      <c r="JF12" s="152">
        <f>IF($JE12=0,"",INDEX($DY$2:$DY$37,$JE12))</f>
        <v/>
      </c>
      <c r="JG12" s="152">
        <f>IF($JE12=0,"",INDEX($DZ$2:$DZ$37,$JE12))</f>
        <v/>
      </c>
      <c r="JH12" s="152">
        <f>IF($JE12=0,"",INDEX($GN$2:$GN$37,$JE12))</f>
        <v/>
      </c>
      <c r="JI12" s="152">
        <f>IF($JE12=0,"",INDEX($EA$2:$EA$37,$JE12))</f>
        <v/>
      </c>
      <c r="JJ12" s="152">
        <f>IF($JE12=0,"",INDEX($GP$2:$GP$37,$JE12))</f>
        <v/>
      </c>
      <c r="JK12" s="152">
        <f>IF($JE12=0,"",INDEX($HE$2:$HE$37,$JE12))</f>
        <v/>
      </c>
      <c r="KB12" s="150" t="inlineStr">
        <is>
          <t>Talento 9</t>
        </is>
      </c>
      <c r="KC12" s="152">
        <f>IFERROR(MATCH(9,$HS$2:$HS$13,0),0)</f>
        <v/>
      </c>
      <c r="KD12" s="152">
        <f>IF($KC12=0,"",IF(INDEX($HM$2:$HM$13,$KC12)=0,"","CE "&amp;INDEX($HM$2:$HM$13,$KC12)))</f>
        <v/>
      </c>
      <c r="KE12" s="152">
        <f>IF($KC12=0,"",INDEX($HL$2:$HL$13,$KC12))</f>
        <v/>
      </c>
      <c r="KF12" s="152">
        <f>IF($KC12=0,"",IF(INDEX($HR$2:$HR$13,$KC12)&lt;&gt;"",INDEX($HR$2:$HR$13,$KC12),IF(IFERROR(VLOOKUP(INDEX($HL$2:$HL$13,$KC12),$BR$2:$BX$24,7,FALSE),"")&lt;&gt;"","Do livro: "&amp;IFERROR(VLOOKUP(INDEX($HL$2:$HL$13,$KC12),$BR$2:$BX$24,7,FALSE),""),"")))</f>
        <v/>
      </c>
      <c r="KH12" s="150" t="inlineStr">
        <is>
          <t>Aptidão 9</t>
        </is>
      </c>
      <c r="KI12" s="152">
        <f>IFERROR(MATCH(9,$IB$2:$IB$13,0),0)</f>
        <v/>
      </c>
      <c r="KJ12" s="152">
        <f>IF($KI12=0,"",INDEX($HX$2:$HX$13,$KI12))</f>
        <v/>
      </c>
      <c r="KK12" s="152">
        <f>IF($KI12=0,"",INDEX($HV$2:$HV$13,$KI12))</f>
        <v/>
      </c>
      <c r="KL12" s="152">
        <f>IF($KI12=0,"",IF(INDEX($IA$2:$IA$13,$KI12)&lt;&gt;"",INDEX($IA$2:$IA$13,$KI12),IF(IFERROR(VLOOKUP(INDEX($HV$2:$HV$13,$KI12),$CC$2:$CL$33,10,FALSE),"")&lt;&gt;"","Do livro: "&amp;IFERROR(VLOOKUP(INDEX($HV$2:$HV$13,$KI12),$CC$2:$CL$33,10,FALSE),""),"")))</f>
        <v/>
      </c>
      <c r="KN12" s="150" t="inlineStr">
        <is>
          <t>par 6</t>
        </is>
      </c>
      <c r="KO12" s="152">
        <f>UPPER(INDEX($D$3:$G$3,1,$A$2))&amp;" 19 A 24"</f>
        <v/>
      </c>
      <c r="KQ12" s="150" t="inlineStr">
        <is>
          <t>J17</t>
        </is>
      </c>
      <c r="KR12" s="152">
        <f>IF(DADOS_AM!$HI$41=1,"GRUPO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L13" s="150" t="inlineStr">
        <is>
          <t>Frágil</t>
        </is>
      </c>
      <c r="BM13" s="150" t="inlineStr">
        <is>
          <t>Frágil</t>
        </is>
      </c>
      <c r="BN13" s="152" t="n">
        <v>1</v>
      </c>
      <c r="BO13" s="152" t="n">
        <v>0</v>
      </c>
      <c r="BP13" s="150" t="inlineStr">
        <is>
          <t>Frágil</t>
        </is>
      </c>
      <c r="BR13" s="150" t="inlineStr">
        <is>
          <t>Contramedida</t>
        </is>
      </c>
      <c r="BS13" s="152" t="n">
        <v>2</v>
      </c>
      <c r="BT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52" t="n">
        <v>1</v>
      </c>
      <c r="BV13" s="152" t="n">
        <v>0</v>
      </c>
      <c r="BW13" s="152">
        <f>IF(OR(AND($A$2&lt;=2,$BU13=1),AND($A$2&gt;=2,$BV13=1)),$BR13,"")</f>
        <v/>
      </c>
      <c r="BX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50" t="inlineStr">
        <is>
          <t>Extensão de Domínio</t>
        </is>
      </c>
      <c r="CD13" s="150" t="inlineStr">
        <is>
          <t>Refino 7 e nível 18; aprendizado registrado; indisponível ao Corpo Amaldiçoado</t>
        </is>
      </c>
      <c r="CE13" s="152" t="n">
        <v>3</v>
      </c>
      <c r="CF13" s="150" t="inlineStr">
        <is>
          <t>—</t>
        </is>
      </c>
      <c r="CG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52">
        <f>IF($CK13=1,"",IF($A$2=4,IF($CI13=1,$CC13,""),IF(OR($CI13=1,AND($A$2=3,$CJ13=1)),"",$CC13)))</f>
        <v/>
      </c>
      <c r="CI13" s="152" t="n">
        <v>0</v>
      </c>
      <c r="CJ13" s="152" t="n">
        <v>1</v>
      </c>
      <c r="CK13" s="152" t="n">
        <v>0</v>
      </c>
      <c r="CL13" s="150" t="inlineStr">
        <is>
          <t>Você precisa ter visto uma Extensão em uso, estudado seu funcionamento ou aprendido com alguém.</t>
        </is>
      </c>
      <c r="CT13" s="150" t="inlineStr">
        <is>
          <t>Machado</t>
        </is>
      </c>
      <c r="CU13" s="152" t="n">
        <v>1</v>
      </c>
      <c r="CV13" s="152" t="n">
        <v>1</v>
      </c>
      <c r="CW13" s="152">
        <f>IF(AND($A$2&gt;=3,'FICHA AMALDIÇOADA'!$J$16&amp;""="Três grupos de arma"),$CT13,"")</f>
        <v/>
      </c>
      <c r="DV13" s="150" t="inlineStr">
        <is>
          <t>Feitiço 12</t>
        </is>
      </c>
      <c r="DW13" s="152" t="n">
        <v>0</v>
      </c>
      <c r="DX13" s="152" t="n">
        <v>12</v>
      </c>
      <c r="DY13" s="152">
        <f>MAX(1,MIN(7,N('FICHA AMALDIÇOADA'!$P$114)))</f>
        <v/>
      </c>
      <c r="DZ13" s="152">
        <f>'FICHA AMALDIÇOADA'!$Q$114&amp;""</f>
        <v/>
      </c>
      <c r="EA13" s="152">
        <f>'FICHA AMALDIÇOADA'!$P$121&amp;""</f>
        <v/>
      </c>
      <c r="EB13" s="152">
        <f>'FICHA AMALDIÇOADA'!$Q$123&amp;""</f>
        <v/>
      </c>
      <c r="EC13" s="152">
        <f>'FICHA AMALDIÇOADA'!$Q$124&amp;""</f>
        <v/>
      </c>
      <c r="ED13" s="152">
        <f>'FICHA AMALDIÇOADA'!$Q$125&amp;""</f>
        <v/>
      </c>
      <c r="EE13" s="152">
        <f>'FICHA AMALDIÇOADA'!$Q$126&amp;""</f>
        <v/>
      </c>
      <c r="EF13" s="152">
        <f>'FICHA AMALDIÇOADA'!$Q$127&amp;""</f>
        <v/>
      </c>
      <c r="EG13" s="152">
        <f>'FICHA AMALDIÇOADA'!$Q$128&amp;""</f>
        <v/>
      </c>
      <c r="EH13" s="152">
        <f>IF($DZ13&lt;&gt;"",1,0)</f>
        <v/>
      </c>
      <c r="EI13" s="152">
        <f>IFERROR(MATCH($EA13,$Y$2:$Y$11,0),0)</f>
        <v/>
      </c>
      <c r="EJ13" s="152">
        <f>IF($EI13=0,0,INDEX($AB$2:$AB$11,$EI13))</f>
        <v/>
      </c>
      <c r="EK13" s="152">
        <f>IFERROR(VLOOKUP($EB13,$BC$2:$BJ$84,4,FALSE),0)</f>
        <v/>
      </c>
      <c r="EL13" s="152">
        <f>IFERROR(VLOOKUP($EC13,$BC$2:$BJ$84,4,FALSE),0)</f>
        <v/>
      </c>
      <c r="EM13" s="152">
        <f>IFERROR(VLOOKUP($ED13,$BC$2:$BJ$84,4,FALSE),0)</f>
        <v/>
      </c>
      <c r="EN13" s="152">
        <f>IFERROR(VLOOKUP($EE13,$BC$2:$BJ$84,4,FALSE),0)</f>
        <v/>
      </c>
      <c r="EO13" s="152">
        <f>IF($EI13=0,0,INDEX($AC$2:$AC$11,$EI13))</f>
        <v/>
      </c>
      <c r="EP13" s="152">
        <f>IFERROR(VLOOKUP($EB13,$BC$2:$BJ$84,5,FALSE),0)</f>
        <v/>
      </c>
      <c r="EQ13" s="152">
        <f>IFERROR(VLOOKUP($EC13,$BC$2:$BJ$84,5,FALSE),0)</f>
        <v/>
      </c>
      <c r="ER13" s="152">
        <f>IFERROR(VLOOKUP($ED13,$BC$2:$BJ$84,5,FALSE),0)</f>
        <v/>
      </c>
      <c r="ES13" s="152">
        <f>IFERROR(VLOOKUP($EE13,$BC$2:$BJ$84,5,FALSE),0)</f>
        <v/>
      </c>
      <c r="ET13" s="152">
        <f>IFERROR(VLOOKUP($EB13,$BC$2:$BJ$84,6,FALSE),0)+IFERROR(VLOOKUP($EC13,$BC$2:$BJ$84,6,FALSE),0)+IFERROR(VLOOKUP($ED13,$BC$2:$BJ$84,6,FALSE),0)+IFERROR(VLOOKUP($EE13,$BC$2:$BJ$84,6,FALSE),0)</f>
        <v/>
      </c>
      <c r="EU13" s="152">
        <f>IF($EI13=0,0,INDEX($AD$2:$AD$11,$EI13))</f>
        <v/>
      </c>
      <c r="EV13" s="152">
        <f>IF($EI13=0,0,INDEX($AE$2:$AE$11,$EI13))</f>
        <v/>
      </c>
      <c r="EW13" s="152">
        <f>IF($EI13=0,0,INDEX($AG$2:$AG$11,$EI13))</f>
        <v/>
      </c>
      <c r="EX13" s="152">
        <f>IFERROR(VLOOKUP($EF13,$BL$2:$BP$24,3,FALSE),0)</f>
        <v/>
      </c>
      <c r="EY13" s="152">
        <f>IFERROR(VLOOKUP($EG13,$BL$2:$BP$24,3,FALSE),0)</f>
        <v/>
      </c>
      <c r="EZ13" s="152">
        <f>IFERROR(VLOOKUP($EF13,$BL$2:$BP$24,2,FALSE),"")</f>
        <v/>
      </c>
      <c r="FA13" s="152">
        <f>IFERROR(VLOOKUP($EG13,$BL$2:$BP$24,2,FALSE),"")</f>
        <v/>
      </c>
      <c r="FB13" s="152">
        <f>COUNTIF($EJ13:$EN13,1)</f>
        <v/>
      </c>
      <c r="FC13" s="152">
        <f>COUNTIF($EJ13:$EN13,2)</f>
        <v/>
      </c>
      <c r="FD13" s="152">
        <f>COUNTIF($EJ13:$EN13,3)</f>
        <v/>
      </c>
      <c r="FE13" s="152">
        <f>COUNTIF($EJ13:$EN13,4)</f>
        <v/>
      </c>
      <c r="FF13" s="152">
        <f>COUNTIF($EJ13:$EN13,5)</f>
        <v/>
      </c>
      <c r="FG13" s="152">
        <f>COUNTIF($EJ13:$EN13,6)</f>
        <v/>
      </c>
      <c r="FH13" s="152">
        <f>COUNTIF($EX13:$EY13,1)</f>
        <v/>
      </c>
      <c r="FI13" s="152">
        <f>COUNTIF($EX13:$EY13,2)+$EU13</f>
        <v/>
      </c>
      <c r="FJ13" s="152">
        <f>COUNTIF($EB13:$EE13,"?*")</f>
        <v/>
      </c>
      <c r="FK13" s="152">
        <f>COUNTIF($EF13:$EG13,"?*")+$EU13</f>
        <v/>
      </c>
      <c r="FL13" s="152">
        <f>SUMPRODUCT($FB13:$FG13,INDEX($Q$2:$V$8,$DY13,0))</f>
        <v/>
      </c>
      <c r="FM13" s="152">
        <f>$FH13*CEILING($DY13/2,1)+$FI13*$DY13</f>
        <v/>
      </c>
      <c r="FN13" s="152">
        <f>MIN(2*$DY13,$FM13)</f>
        <v/>
      </c>
      <c r="FO13" s="152">
        <f>MIN($FN13,$FL13)</f>
        <v/>
      </c>
      <c r="FP13" s="152">
        <f>$FN13-$FO13</f>
        <v/>
      </c>
      <c r="FQ13" s="152">
        <f>3*$DY13-$FL13+$FO13</f>
        <v/>
      </c>
      <c r="FR13" s="152">
        <f>MAX(0,$FQ13)+$DW13*$DY13</f>
        <v/>
      </c>
      <c r="FS13" s="152">
        <f>(IF(COUNTIF($EB13:$EE13,"Salto")&gt;0,1,0)+IF(COUNTIF($EB13:$EE13,"Queima")&gt;0,1,0)+IF(COUNTIF($EB13:$EE13,"Estilhaço")&gt;0,1,0))*FLOOR($FR13/2,1)</f>
        <v/>
      </c>
      <c r="FT13" s="152">
        <f>MAX(0,3-SUMPRODUCT($FB13:$FG13,$Q$2:$V$2)+MIN(2,$FH13*1+$FI13*1,SUMPRODUCT($FB13:$FG13,$Q$2:$V$2)))+$DW13*1</f>
        <v/>
      </c>
      <c r="FU13" s="152">
        <f>MAX(0,6-SUMPRODUCT($FB13:$FG13,$Q$3:$V$3)+MIN(4,$FH13*1+$FI13*2,SUMPRODUCT($FB13:$FG13,$Q$3:$V$3)))+$DW13*2</f>
        <v/>
      </c>
      <c r="FV13" s="152">
        <f>MAX(0,9-SUMPRODUCT($FB13:$FG13,$Q$4:$V$4)+MIN(6,$FH13*2+$FI13*3,SUMPRODUCT($FB13:$FG13,$Q$4:$V$4)))+$DW13*3</f>
        <v/>
      </c>
      <c r="FW13" s="152">
        <f>MAX(0,12-SUMPRODUCT($FB13:$FG13,$Q$5:$V$5)+MIN(8,$FH13*2+$FI13*4,SUMPRODUCT($FB13:$FG13,$Q$5:$V$5)))+$DW13*4</f>
        <v/>
      </c>
      <c r="FX13" s="152">
        <f>MAX(0,15-SUMPRODUCT($FB13:$FG13,$Q$6:$V$6)+MIN(10,$FH13*3+$FI13*5,SUMPRODUCT($FB13:$FG13,$Q$6:$V$6)))+$DW13*5</f>
        <v/>
      </c>
      <c r="FY13" s="152">
        <f>MAX(0,18-SUMPRODUCT($FB13:$FG13,$Q$7:$V$7)+MIN(12,$FH13*3+$FI13*6,SUMPRODUCT($FB13:$FG13,$Q$7:$V$7)))+$DW13*6</f>
        <v/>
      </c>
      <c r="FZ13" s="152">
        <f>MAX(0,21-SUMPRODUCT($FB13:$FG13,$Q$8:$V$8)+MIN(14,$FH13*4+$FI13*7,SUMPRODUCT($FB13:$FG13,$Q$8:$V$8)))+$DW13*7</f>
        <v/>
      </c>
      <c r="GA13" s="152">
        <f>IF($EV13=2,3*$FT13&amp;" de vida temp.",IF($EV13=3,"sem dano",IF($FT13=0,IF($EV13=1,"sem cura","sem dano"),IF($EV13=1,"cura ","")&amp;$FT13&amp;"d8")))</f>
        <v/>
      </c>
      <c r="GB13" s="152">
        <f>IF($EV13=2,3*$FU13&amp;" de vida temp.",IF($EV13=3,"sem dano",IF($FU13=0,IF($EV13=1,"sem cura","sem dano"),IF($EV13=1,"cura ","")&amp;$FU13&amp;"d8")))</f>
        <v/>
      </c>
      <c r="GC13" s="152">
        <f>IF($EV13=2,3*$FV13&amp;" de vida temp.",IF($EV13=3,"sem dano",IF($FV13=0,IF($EV13=1,"sem cura","sem dano"),IF($EV13=1,"cura ","")&amp;$FV13&amp;"d8")))</f>
        <v/>
      </c>
      <c r="GD13" s="152">
        <f>IF($EV13=2,3*$FW13&amp;" de vida temp.",IF($EV13=3,"sem dano",IF($FW13=0,IF($EV13=1,"sem cura","sem dano"),IF($EV13=1,"cura ","")&amp;$FW13&amp;"d8")))</f>
        <v/>
      </c>
      <c r="GE13" s="152">
        <f>IF($EV13=2,3*$FX13&amp;" de vida temp.",IF($EV13=3,"sem dano",IF($FX13=0,IF($EV13=1,"sem cura","sem dano"),IF($EV13=1,"cura ","")&amp;$FX13&amp;"d8")))</f>
        <v/>
      </c>
      <c r="GF13" s="152">
        <f>IF($EV13=2,3*$FY13&amp;" de vida temp.",IF($EV13=3,"sem dano",IF($FY13=0,IF($EV13=1,"sem cura","sem dano"),IF($EV13=1,"cura ","")&amp;$FY13&amp;"d8")))</f>
        <v/>
      </c>
      <c r="GG13" s="152">
        <f>IF($EV13=2,3*$FZ13&amp;" de vida temp.",IF($EV13=3,"sem dano",IF($FZ13=0,IF($EV13=1,"sem cura","sem dano"),IF($EV13=1,"cura ","")&amp;$FZ13&amp;"d8")))</f>
        <v/>
      </c>
      <c r="GH13" s="152">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52">
        <f>IF($GH13="",0,(LEN($GH13)-LEN(SUBSTITUTE($GH13," · ","")))/3+1)</f>
        <v/>
      </c>
      <c r="GJ13" s="152">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52">
        <f>IF($GJ13="",0,(LEN($GJ13)-LEN(SUBSTITUTE($GJ13," · ","")))/3+1)</f>
        <v/>
      </c>
      <c r="GL13" s="152">
        <f>IF($EH13=0,IF($FJ13+$FK13-$EU13&gt;0,"Dê um nome",""),IF($GI13&gt;0,"⚠ "&amp;$GI13&amp;IF($GI13&gt;1," erros"," erro"),IF($GK13&gt;0,"! "&amp;$GK13&amp;IF($GK13&gt;1," avisos"," aviso"),"Na regra")))</f>
        <v/>
      </c>
      <c r="GM13" s="152">
        <f>IF($EH13=0,"",IF($GI13+$GK13=0,"Dentro das regras que a ficha confere",$GH13&amp;IF(AND($GI13&gt;0,$GK13&gt;0)," · ","")&amp;$GJ13))</f>
        <v/>
      </c>
      <c r="GN13" s="152">
        <f>IF($EH13=0,"",IF($DW13=1,CEILING(4.5*$DY13,1),3*$DY13)&amp;" PE")</f>
        <v/>
      </c>
      <c r="GO13" s="152">
        <f>IF($EH13=0,"",IF($DW13=1,"Rodada inteira",IF(COUNTIF($EZ13:$FA13,"Atrasar")&gt;0,IF(COUNTIF($EZ13:$FA13,"Carregar")&gt;0,"Rodada +1 turno","Rodada inteira"),IF(COUNTIF($EB13:$EE13,"Rápido")&gt;0,"Bônus",IF(COUNTIF($EB13:$EE13,"Reação")&gt;0,"Reação","Padrão"))&amp;IF(COUNTIF($EZ13:$FA13,"Carregar")&gt;0," +1 turno",""))))</f>
        <v/>
      </c>
      <c r="GP13" s="152">
        <f>IF(OR($EH13=0,$EI13=0),"",IF(COUNTIF($EB13:$EE13,"Inescapável")&gt;0,"Automático",IF(COUNTIF($EB13:$EE13,"Certeiro")&gt;0,"TR para metade",INDEX($AF$2:$AF$11,$EI13))))</f>
        <v/>
      </c>
      <c r="GQ13" s="152">
        <f>IF(OR($EH13=0,$EI13=0),"",IF(OR($EV13&gt;=2,$FR13=0),UPPER(LEFT(INDEX($GA13:$GG13,1,$DY13),1))&amp;MID(INDEX($GA13:$GG13,1,$DY13),2,99),UPPER(LEFT(INDEX($GA13:$GG13,1,$DY13),1))&amp;MID(INDEX($GA13:$GG13,1,$DY13),2,99)&amp;" = "&amp;FLOOR($FR13*4.5,1)&amp;IF($FS13&gt;0," · +"&amp;$FS13&amp;"d8","")))</f>
        <v/>
      </c>
      <c r="GR13" s="152">
        <f>COUNTIF($EB13:$EE13,"Longe")+3*COUNTIF($EB13:$EE13,"Muito Longe")</f>
        <v/>
      </c>
      <c r="GS13" s="152">
        <f>COUNTIF($EB13:$EE13,"Maior")+3*COUNTIF($EB13:$EE13,"Muito Maior")</f>
        <v/>
      </c>
      <c r="GT13" s="152">
        <f>IF($EI13=0,0,CHOOSE(1+INDEX($AH$2:$AH$11,$EI13),0,$GR13,$GS13,$GR13+$GS13))</f>
        <v/>
      </c>
      <c r="GU13" s="152">
        <f>IF($EI13=0,0,CHOOSE(1+INDEX($AI$2:$AI$11,$EI13),0,$GR13,$GS13,$GR13+$GS13))</f>
        <v/>
      </c>
      <c r="GV13" s="152">
        <f>IF(OR($EH13=0,$EI13=0),"",INDEX($AP$2:$AU$31,($EI13-1)*3+IF($DY13&gt;=6,3,2),1+MIN(5,$GT13))&amp;INDEX($AV$2:$BA$31,($EI13-1)*3+IF($DY13&gt;=6,3,2),1+MIN(5,$GU13))&amp;IF(INDEX($AJ$2:$AJ$11,$EI13)=1,IF(COUNTIF($EB13:$EE13,"Mais Um")&gt;0," · +"&amp;COUNTIF($EB13:$EE13,"Mais Um")&amp;IF(COUNTIF($EB13:$EE13,"Mais Um")&gt;1," alvos"," alvo"),"")&amp;IF(COUNTIF($EB13:$EE13,"Rajada")&gt;0," · "&amp;($DY13+1)&amp;" tiros",""),""))</f>
        <v/>
      </c>
      <c r="GW13" s="152">
        <f>IF($EH13=0,"",3*$DY13&amp;" − "&amp;$FL13&amp;" + "&amp;$FO13&amp;IF($DW13=1," + "&amp;$DY13,"")&amp;" = "&amp;$FR13&amp;"d8 · teto "&amp;4*$DY13&amp;IF($EU13=1," · a Forma devolve "&amp;$DY13,"")&amp;IF($FP13&gt;0," · perde "&amp;$FP13,""))</f>
        <v/>
      </c>
      <c r="GX13" s="152">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52">
        <f>IF(OR($EH13=0,$EK13=0),"","−"&amp;INDEX($Q$2:$V$8,$DY13,$EK13)&amp;" · "&amp;CHOOSE($EK13,"Leve","Média","Pesada","Leve · Livre","Média · Livre","Pesada · Livre"))</f>
        <v/>
      </c>
      <c r="GZ13" s="152">
        <f>IF(OR($EH13=0,$EL13=0),"","−"&amp;INDEX($Q$2:$V$8,$DY13,$EL13)&amp;" · "&amp;CHOOSE($EL13,"Leve","Média","Pesada","Leve · Livre","Média · Livre","Pesada · Livre"))</f>
        <v/>
      </c>
      <c r="HA13" s="152">
        <f>IF(OR($EH13=0,$EM13=0),"","−"&amp;INDEX($Q$2:$V$8,$DY13,$EM13)&amp;" · "&amp;CHOOSE($EM13,"Leve","Média","Pesada","Leve · Livre","Média · Livre","Pesada · Livre"))</f>
        <v/>
      </c>
      <c r="HB13" s="152">
        <f>IF(OR($EH13=0,$EN13=0),"","−"&amp;INDEX($Q$2:$V$8,$DY13,$EN13)&amp;" · "&amp;CHOOSE($EN13,"Leve","Média","Pesada","Leve · Livre","Média · Livre","Pesada · Livre"))</f>
        <v/>
      </c>
      <c r="HC13" s="152">
        <f>IF(OR($EH13=0,$EF13=""),"","+"&amp;IF($EX13=1,CEILING($DY13/2,1),$DY13))</f>
        <v/>
      </c>
      <c r="HD13" s="152">
        <f>IF(OR($EH13=0,$EG13=""),"","+"&amp;IF($EY13=1,CEILING($DY13/2,1),$DY13))</f>
        <v/>
      </c>
      <c r="HE13" s="152">
        <f>'FICHA AMALDIÇOADA'!$P$116&amp;""</f>
        <v/>
      </c>
      <c r="HF13" s="152">
        <f>IF(AND($EH13=1,$DW13=0),COUNTIFS($EH$2:$EH13,1,$DW$2:$DW13,0),"")</f>
        <v/>
      </c>
      <c r="HH13" s="150" t="inlineStr">
        <is>
          <t>espaços de pacto</t>
        </is>
      </c>
      <c r="HI13" s="152">
        <f>IF(AND('FICHA AMALDIÇOADA'!$L$518="Permanente",'FICHA AMALDIÇOADA'!$P$518="Um espaço conhecido"),1,0)+IF(AND('FICHA AMALDIÇOADA'!$L$528="Permanente",'FICHA AMALDIÇOADA'!$P$528="Um espaço conhecido"),1,0)+IF(AND('FICHA AMALDIÇOADA'!$L$538="Permanente",'FICHA AMALDIÇOADA'!$P$538="Um espaço conhecido"),1,0)</f>
        <v/>
      </c>
      <c r="HK13" s="150" t="inlineStr">
        <is>
          <t>Talento 12 · Leque</t>
        </is>
      </c>
      <c r="HL13" s="152">
        <f>'FICHA AMALDIÇOADA'!$D$413&amp;""</f>
        <v/>
      </c>
      <c r="HM13" s="152">
        <f>IFERROR(VLOOKUP($HL13,$BR$2:$BX$24,2,FALSE),0)</f>
        <v/>
      </c>
      <c r="HN13" s="152">
        <f>IFERROR(VLOOKUP($HM13,$BZ$2:$CA$4,2,FALSE),0)</f>
        <v/>
      </c>
      <c r="HO13" s="152">
        <f>IFERROR(VLOOKUP($HL13,$BR$2:$BX$24,3,FALSE),"")</f>
        <v/>
      </c>
      <c r="HP13" s="152">
        <f>IF($HM13=0,"",IF($HN13&gt;$HI$2,"⚠ Nível "&amp;$HN13,"CE "&amp;$HM13))</f>
        <v/>
      </c>
      <c r="HQ13" s="152">
        <f>IF($HM13=0,"",IF(7&gt;$HI$8,"⚠ Vaga","Grátis"))</f>
        <v/>
      </c>
      <c r="HR13" s="152">
        <f>'FICHA AMALDIÇOADA'!$E$418&amp;""</f>
        <v/>
      </c>
      <c r="HS13" s="152">
        <f>IF($HL13="","",COUNTIF($HL$2:$HL13,"?*"))</f>
        <v/>
      </c>
      <c r="HU13" s="150" t="inlineStr">
        <is>
          <t>Aptidão 12</t>
        </is>
      </c>
      <c r="HV13" s="152">
        <f>'FICHA AMALDIÇOADA'!$P$492&amp;""</f>
        <v/>
      </c>
      <c r="HW13" s="152">
        <f>IF($HV13="","","Requisito: "&amp;IFERROR(VLOOKUP($HV13,$CC$2:$CL$33,2,FALSE),""))</f>
        <v/>
      </c>
      <c r="HX13" s="152">
        <f>IF($HV13="","",IFERROR(IF(ISNUMBER(VLOOKUP($HV13,$CC$2:$CL$33,3,FALSE)),"CE "&amp;VLOOKUP($HV13,$CC$2:$CL$33,3,FALSE),VLOOKUP($HV13,$CC$2:$CL$33,3,FALSE)),""))</f>
        <v/>
      </c>
      <c r="HY13" s="152">
        <f>IF($HV13="","",IFERROR(VLOOKUP($HV13,$CC$2:$CL$33,4,FALSE),""))</f>
        <v/>
      </c>
      <c r="HZ13" s="152">
        <f>IF($HV13="","",IFERROR(VLOOKUP($HV13,$CC$2:$CL$33,5,FALSE),""))</f>
        <v/>
      </c>
      <c r="IA13" s="152">
        <f>'FICHA AMALDIÇOADA'!$Q$509&amp;""</f>
        <v/>
      </c>
      <c r="IB13" s="152">
        <f>IF($HV13="","",COUNTIF($HV$2:$HV13,"?*"))</f>
        <v/>
      </c>
      <c r="JD13" s="152" t="n">
        <v>12</v>
      </c>
      <c r="JE13" s="152">
        <f>IFERROR(MATCH(12,$HF$2:$HF$37,0),0)</f>
        <v/>
      </c>
      <c r="JF13" s="152">
        <f>IF($JE13=0,"",INDEX($DY$2:$DY$37,$JE13))</f>
        <v/>
      </c>
      <c r="JG13" s="152">
        <f>IF($JE13=0,"",INDEX($DZ$2:$DZ$37,$JE13))</f>
        <v/>
      </c>
      <c r="JH13" s="152">
        <f>IF($JE13=0,"",INDEX($GN$2:$GN$37,$JE13))</f>
        <v/>
      </c>
      <c r="JI13" s="152">
        <f>IF($JE13=0,"",INDEX($EA$2:$EA$37,$JE13))</f>
        <v/>
      </c>
      <c r="JJ13" s="152">
        <f>IF($JE13=0,"",INDEX($GP$2:$GP$37,$JE13))</f>
        <v/>
      </c>
      <c r="JK13" s="152">
        <f>IF($JE13=0,"",INDEX($HE$2:$HE$37,$JE13))</f>
        <v/>
      </c>
      <c r="KB13" s="150" t="inlineStr">
        <is>
          <t>Talento 10</t>
        </is>
      </c>
      <c r="KC13" s="152">
        <f>IFERROR(MATCH(10,$HS$2:$HS$13,0),0)</f>
        <v/>
      </c>
      <c r="KD13" s="152">
        <f>IF($KC13=0,"",IF(INDEX($HM$2:$HM$13,$KC13)=0,"","CE "&amp;INDEX($HM$2:$HM$13,$KC13)))</f>
        <v/>
      </c>
      <c r="KE13" s="152">
        <f>IF($KC13=0,"",INDEX($HL$2:$HL$13,$KC13))</f>
        <v/>
      </c>
      <c r="KF13" s="152">
        <f>IF($KC13=0,"",IF(INDEX($HR$2:$HR$13,$KC13)&lt;&gt;"",INDEX($HR$2:$HR$13,$KC13),IF(IFERROR(VLOOKUP(INDEX($HL$2:$HL$13,$KC13),$BR$2:$BX$24,7,FALSE),"")&lt;&gt;"","Do livro: "&amp;IFERROR(VLOOKUP(INDEX($HL$2:$HL$13,$KC13),$BR$2:$BX$24,7,FALSE),""),"")))</f>
        <v/>
      </c>
      <c r="KH13" s="150" t="inlineStr">
        <is>
          <t>Aptidão 10</t>
        </is>
      </c>
      <c r="KI13" s="152">
        <f>IFERROR(MATCH(10,$IB$2:$IB$13,0),0)</f>
        <v/>
      </c>
      <c r="KJ13" s="152">
        <f>IF($KI13=0,"",INDEX($HX$2:$HX$13,$KI13))</f>
        <v/>
      </c>
      <c r="KK13" s="152">
        <f>IF($KI13=0,"",INDEX($HV$2:$HV$13,$KI13))</f>
        <v/>
      </c>
      <c r="KL13" s="152">
        <f>IF($KI13=0,"",IF(INDEX($IA$2:$IA$13,$KI13)&lt;&gt;"",INDEX($IA$2:$IA$13,$KI13),IF(IFERROR(VLOOKUP(INDEX($HV$2:$HV$13,$KI13),$CC$2:$CL$33,10,FALSE),"")&lt;&gt;"","Do livro: "&amp;IFERROR(VLOOKUP(INDEX($HV$2:$HV$13,$KI13),$CC$2:$CL$33,10,FALSE),""),"")))</f>
        <v/>
      </c>
      <c r="KN13" s="150" t="inlineStr">
        <is>
          <t>par 8</t>
        </is>
      </c>
      <c r="KO13" s="152">
        <f>UPPER(INDEX($D$3:$G$3,1,$A$2))&amp;" 25 A 30"</f>
        <v/>
      </c>
      <c r="KQ13" s="150" t="inlineStr">
        <is>
          <t>J19</t>
        </is>
      </c>
      <c r="KR13" s="152">
        <f>IF(DADOS_AM!$HI$43="","",DADOS_AM!$HI$43&amp;" · "&amp;"d20 + "&amp;(DADOS_AM!$HI$3+DADOS_AM!$HI$46+IFERROR(VALUE(FICHA!$W$47&amp;""),0))&amp;" · CD "&amp;(8+DADOS_AM!$HI$3+DADOS_AM!$HI$46+IFERROR(VALUE(FICHA!$L$47&amp;""),0)))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L14" s="150" t="inlineStr">
        <is>
          <t>Sem Volta</t>
        </is>
      </c>
      <c r="BM14" s="150" t="inlineStr">
        <is>
          <t>Sem Volta</t>
        </is>
      </c>
      <c r="BN14" s="152" t="n">
        <v>2</v>
      </c>
      <c r="BO14" s="152" t="n">
        <v>0</v>
      </c>
      <c r="BP14" s="150" t="inlineStr"/>
      <c r="BR14" s="150" t="inlineStr">
        <is>
          <t>Peso da Presença</t>
        </is>
      </c>
      <c r="BS14" s="152" t="n">
        <v>2</v>
      </c>
      <c r="BT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52" t="n">
        <v>1</v>
      </c>
      <c r="BV14" s="152" t="n">
        <v>0</v>
      </c>
      <c r="BW14" s="152">
        <f>IF(OR(AND($A$2&lt;=2,$BU14=1),AND($A$2&gt;=2,$BV14=1)),$BR14,"")</f>
        <v/>
      </c>
      <c r="BX14" s="150" t="inlineStr">
        <is>
          <t>Um inimigo da categoria Capanga que comece o turno a até 6 m de você faz um TR Espírito contra a CD da sua técnica.</t>
        </is>
      </c>
      <c r="CC14" s="150" t="inlineStr">
        <is>
          <t>Barreira Simples</t>
        </is>
      </c>
      <c r="CD14" s="150" t="inlineStr">
        <is>
          <t>Uma escolha de aptidão</t>
        </is>
      </c>
      <c r="CE14" s="150" t="inlineStr">
        <is>
          <t>—</t>
        </is>
      </c>
      <c r="CF14" s="150" t="inlineStr">
        <is>
          <t>—</t>
        </is>
      </c>
      <c r="CG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52">
        <f>IF($CK14=1,"",IF($A$2=4,IF($CI14=1,$CC14,""),IF(OR($CI14=1,AND($A$2=3,$CJ14=1)),"",$CC14)))</f>
        <v/>
      </c>
      <c r="CI14" s="152" t="n">
        <v>0</v>
      </c>
      <c r="CJ14" s="152" t="n">
        <v>0</v>
      </c>
      <c r="CK14" s="152" t="n">
        <v>0</v>
      </c>
      <c r="CL14" s="150" t="inlineStr">
        <is>
          <t>Você ergue um domo fixo para impedir a passagem por um lugar.</t>
        </is>
      </c>
      <c r="CT14" s="150" t="inlineStr">
        <is>
          <t>Manopla</t>
        </is>
      </c>
      <c r="CU14" s="152" t="n">
        <v>1</v>
      </c>
      <c r="CV14" s="152" t="n">
        <v>0</v>
      </c>
      <c r="CW14" s="152">
        <f>IF(AND($A$2&gt;=3,'FICHA AMALDIÇOADA'!$J$16&amp;""="Três grupos de arma"),$CT14,"")</f>
        <v/>
      </c>
      <c r="DV14" s="150" t="inlineStr">
        <is>
          <t>Feitiço 13</t>
        </is>
      </c>
      <c r="DW14" s="152" t="n">
        <v>0</v>
      </c>
      <c r="DX14" s="152" t="n">
        <v>13</v>
      </c>
      <c r="DY14" s="152">
        <f>MAX(1,MIN(7,N('FICHA AMALDIÇOADA'!$D$137)))</f>
        <v/>
      </c>
      <c r="DZ14" s="152">
        <f>'FICHA AMALDIÇOADA'!$E$137&amp;""</f>
        <v/>
      </c>
      <c r="EA14" s="152">
        <f>'FICHA AMALDIÇOADA'!$D$144&amp;""</f>
        <v/>
      </c>
      <c r="EB14" s="152">
        <f>'FICHA AMALDIÇOADA'!$E$146&amp;""</f>
        <v/>
      </c>
      <c r="EC14" s="152">
        <f>'FICHA AMALDIÇOADA'!$E$147&amp;""</f>
        <v/>
      </c>
      <c r="ED14" s="152">
        <f>'FICHA AMALDIÇOADA'!$E$148&amp;""</f>
        <v/>
      </c>
      <c r="EE14" s="152">
        <f>'FICHA AMALDIÇOADA'!$E$149&amp;""</f>
        <v/>
      </c>
      <c r="EF14" s="152">
        <f>'FICHA AMALDIÇOADA'!$E$150&amp;""</f>
        <v/>
      </c>
      <c r="EG14" s="152">
        <f>'FICHA AMALDIÇOADA'!$E$151&amp;""</f>
        <v/>
      </c>
      <c r="EH14" s="152">
        <f>IF($DZ14&lt;&gt;"",1,0)</f>
        <v/>
      </c>
      <c r="EI14" s="152">
        <f>IFERROR(MATCH($EA14,$Y$2:$Y$11,0),0)</f>
        <v/>
      </c>
      <c r="EJ14" s="152">
        <f>IF($EI14=0,0,INDEX($AB$2:$AB$11,$EI14))</f>
        <v/>
      </c>
      <c r="EK14" s="152">
        <f>IFERROR(VLOOKUP($EB14,$BC$2:$BJ$84,4,FALSE),0)</f>
        <v/>
      </c>
      <c r="EL14" s="152">
        <f>IFERROR(VLOOKUP($EC14,$BC$2:$BJ$84,4,FALSE),0)</f>
        <v/>
      </c>
      <c r="EM14" s="152">
        <f>IFERROR(VLOOKUP($ED14,$BC$2:$BJ$84,4,FALSE),0)</f>
        <v/>
      </c>
      <c r="EN14" s="152">
        <f>IFERROR(VLOOKUP($EE14,$BC$2:$BJ$84,4,FALSE),0)</f>
        <v/>
      </c>
      <c r="EO14" s="152">
        <f>IF($EI14=0,0,INDEX($AC$2:$AC$11,$EI14))</f>
        <v/>
      </c>
      <c r="EP14" s="152">
        <f>IFERROR(VLOOKUP($EB14,$BC$2:$BJ$84,5,FALSE),0)</f>
        <v/>
      </c>
      <c r="EQ14" s="152">
        <f>IFERROR(VLOOKUP($EC14,$BC$2:$BJ$84,5,FALSE),0)</f>
        <v/>
      </c>
      <c r="ER14" s="152">
        <f>IFERROR(VLOOKUP($ED14,$BC$2:$BJ$84,5,FALSE),0)</f>
        <v/>
      </c>
      <c r="ES14" s="152">
        <f>IFERROR(VLOOKUP($EE14,$BC$2:$BJ$84,5,FALSE),0)</f>
        <v/>
      </c>
      <c r="ET14" s="152">
        <f>IFERROR(VLOOKUP($EB14,$BC$2:$BJ$84,6,FALSE),0)+IFERROR(VLOOKUP($EC14,$BC$2:$BJ$84,6,FALSE),0)+IFERROR(VLOOKUP($ED14,$BC$2:$BJ$84,6,FALSE),0)+IFERROR(VLOOKUP($EE14,$BC$2:$BJ$84,6,FALSE),0)</f>
        <v/>
      </c>
      <c r="EU14" s="152">
        <f>IF($EI14=0,0,INDEX($AD$2:$AD$11,$EI14))</f>
        <v/>
      </c>
      <c r="EV14" s="152">
        <f>IF($EI14=0,0,INDEX($AE$2:$AE$11,$EI14))</f>
        <v/>
      </c>
      <c r="EW14" s="152">
        <f>IF($EI14=0,0,INDEX($AG$2:$AG$11,$EI14))</f>
        <v/>
      </c>
      <c r="EX14" s="152">
        <f>IFERROR(VLOOKUP($EF14,$BL$2:$BP$24,3,FALSE),0)</f>
        <v/>
      </c>
      <c r="EY14" s="152">
        <f>IFERROR(VLOOKUP($EG14,$BL$2:$BP$24,3,FALSE),0)</f>
        <v/>
      </c>
      <c r="EZ14" s="152">
        <f>IFERROR(VLOOKUP($EF14,$BL$2:$BP$24,2,FALSE),"")</f>
        <v/>
      </c>
      <c r="FA14" s="152">
        <f>IFERROR(VLOOKUP($EG14,$BL$2:$BP$24,2,FALSE),"")</f>
        <v/>
      </c>
      <c r="FB14" s="152">
        <f>COUNTIF($EJ14:$EN14,1)</f>
        <v/>
      </c>
      <c r="FC14" s="152">
        <f>COUNTIF($EJ14:$EN14,2)</f>
        <v/>
      </c>
      <c r="FD14" s="152">
        <f>COUNTIF($EJ14:$EN14,3)</f>
        <v/>
      </c>
      <c r="FE14" s="152">
        <f>COUNTIF($EJ14:$EN14,4)</f>
        <v/>
      </c>
      <c r="FF14" s="152">
        <f>COUNTIF($EJ14:$EN14,5)</f>
        <v/>
      </c>
      <c r="FG14" s="152">
        <f>COUNTIF($EJ14:$EN14,6)</f>
        <v/>
      </c>
      <c r="FH14" s="152">
        <f>COUNTIF($EX14:$EY14,1)</f>
        <v/>
      </c>
      <c r="FI14" s="152">
        <f>COUNTIF($EX14:$EY14,2)+$EU14</f>
        <v/>
      </c>
      <c r="FJ14" s="152">
        <f>COUNTIF($EB14:$EE14,"?*")</f>
        <v/>
      </c>
      <c r="FK14" s="152">
        <f>COUNTIF($EF14:$EG14,"?*")+$EU14</f>
        <v/>
      </c>
      <c r="FL14" s="152">
        <f>SUMPRODUCT($FB14:$FG14,INDEX($Q$2:$V$8,$DY14,0))</f>
        <v/>
      </c>
      <c r="FM14" s="152">
        <f>$FH14*CEILING($DY14/2,1)+$FI14*$DY14</f>
        <v/>
      </c>
      <c r="FN14" s="152">
        <f>MIN(2*$DY14,$FM14)</f>
        <v/>
      </c>
      <c r="FO14" s="152">
        <f>MIN($FN14,$FL14)</f>
        <v/>
      </c>
      <c r="FP14" s="152">
        <f>$FN14-$FO14</f>
        <v/>
      </c>
      <c r="FQ14" s="152">
        <f>3*$DY14-$FL14+$FO14</f>
        <v/>
      </c>
      <c r="FR14" s="152">
        <f>MAX(0,$FQ14)+$DW14*$DY14</f>
        <v/>
      </c>
      <c r="FS14" s="152">
        <f>(IF(COUNTIF($EB14:$EE14,"Salto")&gt;0,1,0)+IF(COUNTIF($EB14:$EE14,"Queima")&gt;0,1,0)+IF(COUNTIF($EB14:$EE14,"Estilhaço")&gt;0,1,0))*FLOOR($FR14/2,1)</f>
        <v/>
      </c>
      <c r="FT14" s="152">
        <f>MAX(0,3-SUMPRODUCT($FB14:$FG14,$Q$2:$V$2)+MIN(2,$FH14*1+$FI14*1,SUMPRODUCT($FB14:$FG14,$Q$2:$V$2)))+$DW14*1</f>
        <v/>
      </c>
      <c r="FU14" s="152">
        <f>MAX(0,6-SUMPRODUCT($FB14:$FG14,$Q$3:$V$3)+MIN(4,$FH14*1+$FI14*2,SUMPRODUCT($FB14:$FG14,$Q$3:$V$3)))+$DW14*2</f>
        <v/>
      </c>
      <c r="FV14" s="152">
        <f>MAX(0,9-SUMPRODUCT($FB14:$FG14,$Q$4:$V$4)+MIN(6,$FH14*2+$FI14*3,SUMPRODUCT($FB14:$FG14,$Q$4:$V$4)))+$DW14*3</f>
        <v/>
      </c>
      <c r="FW14" s="152">
        <f>MAX(0,12-SUMPRODUCT($FB14:$FG14,$Q$5:$V$5)+MIN(8,$FH14*2+$FI14*4,SUMPRODUCT($FB14:$FG14,$Q$5:$V$5)))+$DW14*4</f>
        <v/>
      </c>
      <c r="FX14" s="152">
        <f>MAX(0,15-SUMPRODUCT($FB14:$FG14,$Q$6:$V$6)+MIN(10,$FH14*3+$FI14*5,SUMPRODUCT($FB14:$FG14,$Q$6:$V$6)))+$DW14*5</f>
        <v/>
      </c>
      <c r="FY14" s="152">
        <f>MAX(0,18-SUMPRODUCT($FB14:$FG14,$Q$7:$V$7)+MIN(12,$FH14*3+$FI14*6,SUMPRODUCT($FB14:$FG14,$Q$7:$V$7)))+$DW14*6</f>
        <v/>
      </c>
      <c r="FZ14" s="152">
        <f>MAX(0,21-SUMPRODUCT($FB14:$FG14,$Q$8:$V$8)+MIN(14,$FH14*4+$FI14*7,SUMPRODUCT($FB14:$FG14,$Q$8:$V$8)))+$DW14*7</f>
        <v/>
      </c>
      <c r="GA14" s="152">
        <f>IF($EV14=2,3*$FT14&amp;" de vida temp.",IF($EV14=3,"sem dano",IF($FT14=0,IF($EV14=1,"sem cura","sem dano"),IF($EV14=1,"cura ","")&amp;$FT14&amp;"d8")))</f>
        <v/>
      </c>
      <c r="GB14" s="152">
        <f>IF($EV14=2,3*$FU14&amp;" de vida temp.",IF($EV14=3,"sem dano",IF($FU14=0,IF($EV14=1,"sem cura","sem dano"),IF($EV14=1,"cura ","")&amp;$FU14&amp;"d8")))</f>
        <v/>
      </c>
      <c r="GC14" s="152">
        <f>IF($EV14=2,3*$FV14&amp;" de vida temp.",IF($EV14=3,"sem dano",IF($FV14=0,IF($EV14=1,"sem cura","sem dano"),IF($EV14=1,"cura ","")&amp;$FV14&amp;"d8")))</f>
        <v/>
      </c>
      <c r="GD14" s="152">
        <f>IF($EV14=2,3*$FW14&amp;" de vida temp.",IF($EV14=3,"sem dano",IF($FW14=0,IF($EV14=1,"sem cura","sem dano"),IF($EV14=1,"cura ","")&amp;$FW14&amp;"d8")))</f>
        <v/>
      </c>
      <c r="GE14" s="152">
        <f>IF($EV14=2,3*$FX14&amp;" de vida temp.",IF($EV14=3,"sem dano",IF($FX14=0,IF($EV14=1,"sem cura","sem dano"),IF($EV14=1,"cura ","")&amp;$FX14&amp;"d8")))</f>
        <v/>
      </c>
      <c r="GF14" s="152">
        <f>IF($EV14=2,3*$FY14&amp;" de vida temp.",IF($EV14=3,"sem dano",IF($FY14=0,IF($EV14=1,"sem cura","sem dano"),IF($EV14=1,"cura ","")&amp;$FY14&amp;"d8")))</f>
        <v/>
      </c>
      <c r="GG14" s="152">
        <f>IF($EV14=2,3*$FZ14&amp;" de vida temp.",IF($EV14=3,"sem dano",IF($FZ14=0,IF($EV14=1,"sem cura","sem dano"),IF($EV14=1,"cura ","")&amp;$FZ14&amp;"d8")))</f>
        <v/>
      </c>
      <c r="GH14" s="152">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52">
        <f>IF($GH14="",0,(LEN($GH14)-LEN(SUBSTITUTE($GH14," · ","")))/3+1)</f>
        <v/>
      </c>
      <c r="GJ14" s="152">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52">
        <f>IF($GJ14="",0,(LEN($GJ14)-LEN(SUBSTITUTE($GJ14," · ","")))/3+1)</f>
        <v/>
      </c>
      <c r="GL14" s="152">
        <f>IF($EH14=0,IF($FJ14+$FK14-$EU14&gt;0,"Dê um nome",""),IF($GI14&gt;0,"⚠ "&amp;$GI14&amp;IF($GI14&gt;1," erros"," erro"),IF($GK14&gt;0,"! "&amp;$GK14&amp;IF($GK14&gt;1," avisos"," aviso"),"Na regra")))</f>
        <v/>
      </c>
      <c r="GM14" s="152">
        <f>IF($EH14=0,"",IF($GI14+$GK14=0,"Dentro das regras que a ficha confere",$GH14&amp;IF(AND($GI14&gt;0,$GK14&gt;0)," · ","")&amp;$GJ14))</f>
        <v/>
      </c>
      <c r="GN14" s="152">
        <f>IF($EH14=0,"",IF($DW14=1,CEILING(4.5*$DY14,1),3*$DY14)&amp;" PE")</f>
        <v/>
      </c>
      <c r="GO14" s="152">
        <f>IF($EH14=0,"",IF($DW14=1,"Rodada inteira",IF(COUNTIF($EZ14:$FA14,"Atrasar")&gt;0,IF(COUNTIF($EZ14:$FA14,"Carregar")&gt;0,"Rodada +1 turno","Rodada inteira"),IF(COUNTIF($EB14:$EE14,"Rápido")&gt;0,"Bônus",IF(COUNTIF($EB14:$EE14,"Reação")&gt;0,"Reação","Padrão"))&amp;IF(COUNTIF($EZ14:$FA14,"Carregar")&gt;0," +1 turno",""))))</f>
        <v/>
      </c>
      <c r="GP14" s="152">
        <f>IF(OR($EH14=0,$EI14=0),"",IF(COUNTIF($EB14:$EE14,"Inescapável")&gt;0,"Automático",IF(COUNTIF($EB14:$EE14,"Certeiro")&gt;0,"TR para metade",INDEX($AF$2:$AF$11,$EI14))))</f>
        <v/>
      </c>
      <c r="GQ14" s="152">
        <f>IF(OR($EH14=0,$EI14=0),"",IF(OR($EV14&gt;=2,$FR14=0),UPPER(LEFT(INDEX($GA14:$GG14,1,$DY14),1))&amp;MID(INDEX($GA14:$GG14,1,$DY14),2,99),UPPER(LEFT(INDEX($GA14:$GG14,1,$DY14),1))&amp;MID(INDEX($GA14:$GG14,1,$DY14),2,99)&amp;" = "&amp;FLOOR($FR14*4.5,1)&amp;IF($FS14&gt;0," · +"&amp;$FS14&amp;"d8","")))</f>
        <v/>
      </c>
      <c r="GR14" s="152">
        <f>COUNTIF($EB14:$EE14,"Longe")+3*COUNTIF($EB14:$EE14,"Muito Longe")</f>
        <v/>
      </c>
      <c r="GS14" s="152">
        <f>COUNTIF($EB14:$EE14,"Maior")+3*COUNTIF($EB14:$EE14,"Muito Maior")</f>
        <v/>
      </c>
      <c r="GT14" s="152">
        <f>IF($EI14=0,0,CHOOSE(1+INDEX($AH$2:$AH$11,$EI14),0,$GR14,$GS14,$GR14+$GS14))</f>
        <v/>
      </c>
      <c r="GU14" s="152">
        <f>IF($EI14=0,0,CHOOSE(1+INDEX($AI$2:$AI$11,$EI14),0,$GR14,$GS14,$GR14+$GS14))</f>
        <v/>
      </c>
      <c r="GV14" s="152">
        <f>IF(OR($EH14=0,$EI14=0),"",INDEX($AP$2:$AU$31,($EI14-1)*3+IF($DY14&gt;=6,3,2),1+MIN(5,$GT14))&amp;INDEX($AV$2:$BA$31,($EI14-1)*3+IF($DY14&gt;=6,3,2),1+MIN(5,$GU14))&amp;IF(INDEX($AJ$2:$AJ$11,$EI14)=1,IF(COUNTIF($EB14:$EE14,"Mais Um")&gt;0," · +"&amp;COUNTIF($EB14:$EE14,"Mais Um")&amp;IF(COUNTIF($EB14:$EE14,"Mais Um")&gt;1," alvos"," alvo"),"")&amp;IF(COUNTIF($EB14:$EE14,"Rajada")&gt;0," · "&amp;($DY14+1)&amp;" tiros",""),""))</f>
        <v/>
      </c>
      <c r="GW14" s="152">
        <f>IF($EH14=0,"",3*$DY14&amp;" − "&amp;$FL14&amp;" + "&amp;$FO14&amp;IF($DW14=1," + "&amp;$DY14,"")&amp;" = "&amp;$FR14&amp;"d8 · teto "&amp;4*$DY14&amp;IF($EU14=1," · a Forma devolve "&amp;$DY14,"")&amp;IF($FP14&gt;0," · perde "&amp;$FP14,""))</f>
        <v/>
      </c>
      <c r="GX14" s="152">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52">
        <f>IF(OR($EH14=0,$EK14=0),"","−"&amp;INDEX($Q$2:$V$8,$DY14,$EK14)&amp;" · "&amp;CHOOSE($EK14,"Leve","Média","Pesada","Leve · Livre","Média · Livre","Pesada · Livre"))</f>
        <v/>
      </c>
      <c r="GZ14" s="152">
        <f>IF(OR($EH14=0,$EL14=0),"","−"&amp;INDEX($Q$2:$V$8,$DY14,$EL14)&amp;" · "&amp;CHOOSE($EL14,"Leve","Média","Pesada","Leve · Livre","Média · Livre","Pesada · Livre"))</f>
        <v/>
      </c>
      <c r="HA14" s="152">
        <f>IF(OR($EH14=0,$EM14=0),"","−"&amp;INDEX($Q$2:$V$8,$DY14,$EM14)&amp;" · "&amp;CHOOSE($EM14,"Leve","Média","Pesada","Leve · Livre","Média · Livre","Pesada · Livre"))</f>
        <v/>
      </c>
      <c r="HB14" s="152">
        <f>IF(OR($EH14=0,$EN14=0),"","−"&amp;INDEX($Q$2:$V$8,$DY14,$EN14)&amp;" · "&amp;CHOOSE($EN14,"Leve","Média","Pesada","Leve · Livre","Média · Livre","Pesada · Livre"))</f>
        <v/>
      </c>
      <c r="HC14" s="152">
        <f>IF(OR($EH14=0,$EF14=""),"","+"&amp;IF($EX14=1,CEILING($DY14/2,1),$DY14))</f>
        <v/>
      </c>
      <c r="HD14" s="152">
        <f>IF(OR($EH14=0,$EG14=""),"","+"&amp;IF($EY14=1,CEILING($DY14/2,1),$DY14))</f>
        <v/>
      </c>
      <c r="HE14" s="152">
        <f>'FICHA AMALDIÇOADA'!$D$139&amp;""</f>
        <v/>
      </c>
      <c r="HF14" s="152">
        <f>IF(AND($EH14=1,$DW14=0),COUNTIFS($EH$2:$EH14,1,$DW$2:$DW14,0),"")</f>
        <v/>
      </c>
      <c r="HH14" s="150" t="inlineStr">
        <is>
          <t>espaços</t>
        </is>
      </c>
      <c r="HI14" s="152">
        <f>$HI$12+$HI$13</f>
        <v/>
      </c>
      <c r="JD14" s="152" t="n">
        <v>13</v>
      </c>
      <c r="JE14" s="152">
        <f>IFERROR(MATCH(13,$HF$2:$HF$37,0),0)</f>
        <v/>
      </c>
      <c r="JF14" s="152">
        <f>IF($JE14=0,"",INDEX($DY$2:$DY$37,$JE14))</f>
        <v/>
      </c>
      <c r="JG14" s="152">
        <f>IF($JE14=0,"",INDEX($DZ$2:$DZ$37,$JE14))</f>
        <v/>
      </c>
      <c r="JH14" s="152">
        <f>IF($JE14=0,"",INDEX($GN$2:$GN$37,$JE14))</f>
        <v/>
      </c>
      <c r="JI14" s="152">
        <f>IF($JE14=0,"",INDEX($EA$2:$EA$37,$JE14))</f>
        <v/>
      </c>
      <c r="JJ14" s="152">
        <f>IF($JE14=0,"",INDEX($GP$2:$GP$37,$JE14))</f>
        <v/>
      </c>
      <c r="JK14" s="152">
        <f>IF($JE14=0,"",INDEX($HE$2:$HE$37,$JE14))</f>
        <v/>
      </c>
      <c r="KB14" s="150" t="inlineStr">
        <is>
          <t>Talento 11</t>
        </is>
      </c>
      <c r="KC14" s="152">
        <f>IFERROR(MATCH(11,$HS$2:$HS$13,0),0)</f>
        <v/>
      </c>
      <c r="KD14" s="152">
        <f>IF($KC14=0,"",IF(INDEX($HM$2:$HM$13,$KC14)=0,"","CE "&amp;INDEX($HM$2:$HM$13,$KC14)))</f>
        <v/>
      </c>
      <c r="KE14" s="152">
        <f>IF($KC14=0,"",INDEX($HL$2:$HL$13,$KC14))</f>
        <v/>
      </c>
      <c r="KF14" s="152">
        <f>IF($KC14=0,"",IF(INDEX($HR$2:$HR$13,$KC14)&lt;&gt;"",INDEX($HR$2:$HR$13,$KC14),IF(IFERROR(VLOOKUP(INDEX($HL$2:$HL$13,$KC14),$BR$2:$BX$24,7,FALSE),"")&lt;&gt;"","Do livro: "&amp;IFERROR(VLOOKUP(INDEX($HL$2:$HL$13,$KC14),$BR$2:$BX$24,7,FALSE),""),"")))</f>
        <v/>
      </c>
      <c r="KH14" s="150" t="inlineStr">
        <is>
          <t>Aptidão 11</t>
        </is>
      </c>
      <c r="KI14" s="152">
        <f>IFERROR(MATCH(11,$IB$2:$IB$13,0),0)</f>
        <v/>
      </c>
      <c r="KJ14" s="152">
        <f>IF($KI14=0,"",INDEX($HX$2:$HX$13,$KI14))</f>
        <v/>
      </c>
      <c r="KK14" s="152">
        <f>IF($KI14=0,"",INDEX($HV$2:$HV$13,$KI14))</f>
        <v/>
      </c>
      <c r="KL14" s="152">
        <f>IF($KI14=0,"",IF(INDEX($IA$2:$IA$13,$KI14)&lt;&gt;"",INDEX($IA$2:$IA$13,$KI14),IF(IFERROR(VLOOKUP(INDEX($HV$2:$HV$13,$KI14),$CC$2:$CL$33,10,FALSE),"")&lt;&gt;"","Do livro: "&amp;IFERROR(VLOOKUP(INDEX($HV$2:$HV$13,$KI14),$CC$2:$CL$33,10,FALSE),""),"")))</f>
        <v/>
      </c>
      <c r="KN14" s="150" t="inlineStr">
        <is>
          <t>par 10</t>
        </is>
      </c>
      <c r="KO14" s="152">
        <f>UPPER(INDEX($D$3:$G$3,1,$A$2))&amp;" 31 A 36"</f>
        <v/>
      </c>
      <c r="KQ14" s="150" t="inlineStr">
        <is>
          <t>P17</t>
        </is>
      </c>
      <c r="KR14" s="152">
        <f>IF(DADOS_AM!$HI$41=1,"GRUPO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L15" s="150" t="inlineStr">
        <is>
          <t>Uma Vez</t>
        </is>
      </c>
      <c r="BM15" s="150" t="inlineStr">
        <is>
          <t>Uma Vez</t>
        </is>
      </c>
      <c r="BN15" s="152" t="n">
        <v>1</v>
      </c>
      <c r="BO15" s="152" t="n">
        <v>1</v>
      </c>
      <c r="BP15" s="150" t="inlineStr">
        <is>
          <t>Uma Vez</t>
        </is>
      </c>
      <c r="BR15" s="150" t="inlineStr">
        <is>
          <t>Escama</t>
        </is>
      </c>
      <c r="BS15" s="152" t="n">
        <v>3</v>
      </c>
      <c r="BT15" s="150" t="inlineStr">
        <is>
          <t>Escolha um tipo de dano que a Regra da sua técnica justifique. Você tem resistência a esse tipo: sofre metade do dano, com o arredondamento das regras de dano.</t>
        </is>
      </c>
      <c r="BU15" s="152" t="n">
        <v>1</v>
      </c>
      <c r="BV15" s="152" t="n">
        <v>0</v>
      </c>
      <c r="BW15" s="152">
        <f>IF(OR(AND($A$2&lt;=2,$BU15=1),AND($A$2&gt;=2,$BV15=1)),$BR15,"")</f>
        <v/>
      </c>
      <c r="BX15" s="150" t="inlineStr">
        <is>
          <t>Escolha um tipo de dano que a Regra da sua técnica justifique. Você tem resistência a esse tipo: sofre metade do dano, com o arredondamento das regras de dano.</t>
        </is>
      </c>
      <c r="CC15" s="150" t="inlineStr">
        <is>
          <t>Cortina</t>
        </is>
      </c>
      <c r="CD15" s="150" t="inlineStr">
        <is>
          <t>Barreira Simples</t>
        </is>
      </c>
      <c r="CE15" s="150" t="inlineStr">
        <is>
          <t>—</t>
        </is>
      </c>
      <c r="CF15" s="150" t="inlineStr">
        <is>
          <t>—</t>
        </is>
      </c>
      <c r="CG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52">
        <f>IF($CK15=1,"",IF($A$2=4,IF($CI15=1,$CC15,""),IF(OR($CI15=1,AND($A$2=3,$CJ15=1)),"",$CC15)))</f>
        <v/>
      </c>
      <c r="CI15" s="152" t="n">
        <v>0</v>
      </c>
      <c r="CJ15" s="152" t="n">
        <v>0</v>
      </c>
      <c r="CK15" s="152" t="n">
        <v>0</v>
      </c>
      <c r="CL15" s="150" t="inlineStr">
        <is>
          <t>Você delimita uma área para esconder seu interior de pessoas que não são feiticeiras e controlar a passagem por suas bordas.</t>
        </is>
      </c>
      <c r="DV15" s="150" t="inlineStr">
        <is>
          <t>Feitiço 14</t>
        </is>
      </c>
      <c r="DW15" s="152" t="n">
        <v>0</v>
      </c>
      <c r="DX15" s="152" t="n">
        <v>14</v>
      </c>
      <c r="DY15" s="152">
        <f>MAX(1,MIN(7,N('FICHA AMALDIÇOADA'!$J$137)))</f>
        <v/>
      </c>
      <c r="DZ15" s="152">
        <f>'FICHA AMALDIÇOADA'!$K$137&amp;""</f>
        <v/>
      </c>
      <c r="EA15" s="152">
        <f>'FICHA AMALDIÇOADA'!$J$144&amp;""</f>
        <v/>
      </c>
      <c r="EB15" s="152">
        <f>'FICHA AMALDIÇOADA'!$K$146&amp;""</f>
        <v/>
      </c>
      <c r="EC15" s="152">
        <f>'FICHA AMALDIÇOADA'!$K$147&amp;""</f>
        <v/>
      </c>
      <c r="ED15" s="152">
        <f>'FICHA AMALDIÇOADA'!$K$148&amp;""</f>
        <v/>
      </c>
      <c r="EE15" s="152">
        <f>'FICHA AMALDIÇOADA'!$K$149&amp;""</f>
        <v/>
      </c>
      <c r="EF15" s="152">
        <f>'FICHA AMALDIÇOADA'!$K$150&amp;""</f>
        <v/>
      </c>
      <c r="EG15" s="152">
        <f>'FICHA AMALDIÇOADA'!$K$151&amp;""</f>
        <v/>
      </c>
      <c r="EH15" s="152">
        <f>IF($DZ15&lt;&gt;"",1,0)</f>
        <v/>
      </c>
      <c r="EI15" s="152">
        <f>IFERROR(MATCH($EA15,$Y$2:$Y$11,0),0)</f>
        <v/>
      </c>
      <c r="EJ15" s="152">
        <f>IF($EI15=0,0,INDEX($AB$2:$AB$11,$EI15))</f>
        <v/>
      </c>
      <c r="EK15" s="152">
        <f>IFERROR(VLOOKUP($EB15,$BC$2:$BJ$84,4,FALSE),0)</f>
        <v/>
      </c>
      <c r="EL15" s="152">
        <f>IFERROR(VLOOKUP($EC15,$BC$2:$BJ$84,4,FALSE),0)</f>
        <v/>
      </c>
      <c r="EM15" s="152">
        <f>IFERROR(VLOOKUP($ED15,$BC$2:$BJ$84,4,FALSE),0)</f>
        <v/>
      </c>
      <c r="EN15" s="152">
        <f>IFERROR(VLOOKUP($EE15,$BC$2:$BJ$84,4,FALSE),0)</f>
        <v/>
      </c>
      <c r="EO15" s="152">
        <f>IF($EI15=0,0,INDEX($AC$2:$AC$11,$EI15))</f>
        <v/>
      </c>
      <c r="EP15" s="152">
        <f>IFERROR(VLOOKUP($EB15,$BC$2:$BJ$84,5,FALSE),0)</f>
        <v/>
      </c>
      <c r="EQ15" s="152">
        <f>IFERROR(VLOOKUP($EC15,$BC$2:$BJ$84,5,FALSE),0)</f>
        <v/>
      </c>
      <c r="ER15" s="152">
        <f>IFERROR(VLOOKUP($ED15,$BC$2:$BJ$84,5,FALSE),0)</f>
        <v/>
      </c>
      <c r="ES15" s="152">
        <f>IFERROR(VLOOKUP($EE15,$BC$2:$BJ$84,5,FALSE),0)</f>
        <v/>
      </c>
      <c r="ET15" s="152">
        <f>IFERROR(VLOOKUP($EB15,$BC$2:$BJ$84,6,FALSE),0)+IFERROR(VLOOKUP($EC15,$BC$2:$BJ$84,6,FALSE),0)+IFERROR(VLOOKUP($ED15,$BC$2:$BJ$84,6,FALSE),0)+IFERROR(VLOOKUP($EE15,$BC$2:$BJ$84,6,FALSE),0)</f>
        <v/>
      </c>
      <c r="EU15" s="152">
        <f>IF($EI15=0,0,INDEX($AD$2:$AD$11,$EI15))</f>
        <v/>
      </c>
      <c r="EV15" s="152">
        <f>IF($EI15=0,0,INDEX($AE$2:$AE$11,$EI15))</f>
        <v/>
      </c>
      <c r="EW15" s="152">
        <f>IF($EI15=0,0,INDEX($AG$2:$AG$11,$EI15))</f>
        <v/>
      </c>
      <c r="EX15" s="152">
        <f>IFERROR(VLOOKUP($EF15,$BL$2:$BP$24,3,FALSE),0)</f>
        <v/>
      </c>
      <c r="EY15" s="152">
        <f>IFERROR(VLOOKUP($EG15,$BL$2:$BP$24,3,FALSE),0)</f>
        <v/>
      </c>
      <c r="EZ15" s="152">
        <f>IFERROR(VLOOKUP($EF15,$BL$2:$BP$24,2,FALSE),"")</f>
        <v/>
      </c>
      <c r="FA15" s="152">
        <f>IFERROR(VLOOKUP($EG15,$BL$2:$BP$24,2,FALSE),"")</f>
        <v/>
      </c>
      <c r="FB15" s="152">
        <f>COUNTIF($EJ15:$EN15,1)</f>
        <v/>
      </c>
      <c r="FC15" s="152">
        <f>COUNTIF($EJ15:$EN15,2)</f>
        <v/>
      </c>
      <c r="FD15" s="152">
        <f>COUNTIF($EJ15:$EN15,3)</f>
        <v/>
      </c>
      <c r="FE15" s="152">
        <f>COUNTIF($EJ15:$EN15,4)</f>
        <v/>
      </c>
      <c r="FF15" s="152">
        <f>COUNTIF($EJ15:$EN15,5)</f>
        <v/>
      </c>
      <c r="FG15" s="152">
        <f>COUNTIF($EJ15:$EN15,6)</f>
        <v/>
      </c>
      <c r="FH15" s="152">
        <f>COUNTIF($EX15:$EY15,1)</f>
        <v/>
      </c>
      <c r="FI15" s="152">
        <f>COUNTIF($EX15:$EY15,2)+$EU15</f>
        <v/>
      </c>
      <c r="FJ15" s="152">
        <f>COUNTIF($EB15:$EE15,"?*")</f>
        <v/>
      </c>
      <c r="FK15" s="152">
        <f>COUNTIF($EF15:$EG15,"?*")+$EU15</f>
        <v/>
      </c>
      <c r="FL15" s="152">
        <f>SUMPRODUCT($FB15:$FG15,INDEX($Q$2:$V$8,$DY15,0))</f>
        <v/>
      </c>
      <c r="FM15" s="152">
        <f>$FH15*CEILING($DY15/2,1)+$FI15*$DY15</f>
        <v/>
      </c>
      <c r="FN15" s="152">
        <f>MIN(2*$DY15,$FM15)</f>
        <v/>
      </c>
      <c r="FO15" s="152">
        <f>MIN($FN15,$FL15)</f>
        <v/>
      </c>
      <c r="FP15" s="152">
        <f>$FN15-$FO15</f>
        <v/>
      </c>
      <c r="FQ15" s="152">
        <f>3*$DY15-$FL15+$FO15</f>
        <v/>
      </c>
      <c r="FR15" s="152">
        <f>MAX(0,$FQ15)+$DW15*$DY15</f>
        <v/>
      </c>
      <c r="FS15" s="152">
        <f>(IF(COUNTIF($EB15:$EE15,"Salto")&gt;0,1,0)+IF(COUNTIF($EB15:$EE15,"Queima")&gt;0,1,0)+IF(COUNTIF($EB15:$EE15,"Estilhaço")&gt;0,1,0))*FLOOR($FR15/2,1)</f>
        <v/>
      </c>
      <c r="FT15" s="152">
        <f>MAX(0,3-SUMPRODUCT($FB15:$FG15,$Q$2:$V$2)+MIN(2,$FH15*1+$FI15*1,SUMPRODUCT($FB15:$FG15,$Q$2:$V$2)))+$DW15*1</f>
        <v/>
      </c>
      <c r="FU15" s="152">
        <f>MAX(0,6-SUMPRODUCT($FB15:$FG15,$Q$3:$V$3)+MIN(4,$FH15*1+$FI15*2,SUMPRODUCT($FB15:$FG15,$Q$3:$V$3)))+$DW15*2</f>
        <v/>
      </c>
      <c r="FV15" s="152">
        <f>MAX(0,9-SUMPRODUCT($FB15:$FG15,$Q$4:$V$4)+MIN(6,$FH15*2+$FI15*3,SUMPRODUCT($FB15:$FG15,$Q$4:$V$4)))+$DW15*3</f>
        <v/>
      </c>
      <c r="FW15" s="152">
        <f>MAX(0,12-SUMPRODUCT($FB15:$FG15,$Q$5:$V$5)+MIN(8,$FH15*2+$FI15*4,SUMPRODUCT($FB15:$FG15,$Q$5:$V$5)))+$DW15*4</f>
        <v/>
      </c>
      <c r="FX15" s="152">
        <f>MAX(0,15-SUMPRODUCT($FB15:$FG15,$Q$6:$V$6)+MIN(10,$FH15*3+$FI15*5,SUMPRODUCT($FB15:$FG15,$Q$6:$V$6)))+$DW15*5</f>
        <v/>
      </c>
      <c r="FY15" s="152">
        <f>MAX(0,18-SUMPRODUCT($FB15:$FG15,$Q$7:$V$7)+MIN(12,$FH15*3+$FI15*6,SUMPRODUCT($FB15:$FG15,$Q$7:$V$7)))+$DW15*6</f>
        <v/>
      </c>
      <c r="FZ15" s="152">
        <f>MAX(0,21-SUMPRODUCT($FB15:$FG15,$Q$8:$V$8)+MIN(14,$FH15*4+$FI15*7,SUMPRODUCT($FB15:$FG15,$Q$8:$V$8)))+$DW15*7</f>
        <v/>
      </c>
      <c r="GA15" s="152">
        <f>IF($EV15=2,3*$FT15&amp;" de vida temp.",IF($EV15=3,"sem dano",IF($FT15=0,IF($EV15=1,"sem cura","sem dano"),IF($EV15=1,"cura ","")&amp;$FT15&amp;"d8")))</f>
        <v/>
      </c>
      <c r="GB15" s="152">
        <f>IF($EV15=2,3*$FU15&amp;" de vida temp.",IF($EV15=3,"sem dano",IF($FU15=0,IF($EV15=1,"sem cura","sem dano"),IF($EV15=1,"cura ","")&amp;$FU15&amp;"d8")))</f>
        <v/>
      </c>
      <c r="GC15" s="152">
        <f>IF($EV15=2,3*$FV15&amp;" de vida temp.",IF($EV15=3,"sem dano",IF($FV15=0,IF($EV15=1,"sem cura","sem dano"),IF($EV15=1,"cura ","")&amp;$FV15&amp;"d8")))</f>
        <v/>
      </c>
      <c r="GD15" s="152">
        <f>IF($EV15=2,3*$FW15&amp;" de vida temp.",IF($EV15=3,"sem dano",IF($FW15=0,IF($EV15=1,"sem cura","sem dano"),IF($EV15=1,"cura ","")&amp;$FW15&amp;"d8")))</f>
        <v/>
      </c>
      <c r="GE15" s="152">
        <f>IF($EV15=2,3*$FX15&amp;" de vida temp.",IF($EV15=3,"sem dano",IF($FX15=0,IF($EV15=1,"sem cura","sem dano"),IF($EV15=1,"cura ","")&amp;$FX15&amp;"d8")))</f>
        <v/>
      </c>
      <c r="GF15" s="152">
        <f>IF($EV15=2,3*$FY15&amp;" de vida temp.",IF($EV15=3,"sem dano",IF($FY15=0,IF($EV15=1,"sem cura","sem dano"),IF($EV15=1,"cura ","")&amp;$FY15&amp;"d8")))</f>
        <v/>
      </c>
      <c r="GG15" s="152">
        <f>IF($EV15=2,3*$FZ15&amp;" de vida temp.",IF($EV15=3,"sem dano",IF($FZ15=0,IF($EV15=1,"sem cura","sem dano"),IF($EV15=1,"cura ","")&amp;$FZ15&amp;"d8")))</f>
        <v/>
      </c>
      <c r="GH15" s="152">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52">
        <f>IF($GH15="",0,(LEN($GH15)-LEN(SUBSTITUTE($GH15," · ","")))/3+1)</f>
        <v/>
      </c>
      <c r="GJ15" s="152">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52">
        <f>IF($GJ15="",0,(LEN($GJ15)-LEN(SUBSTITUTE($GJ15," · ","")))/3+1)</f>
        <v/>
      </c>
      <c r="GL15" s="152">
        <f>IF($EH15=0,IF($FJ15+$FK15-$EU15&gt;0,"Dê um nome",""),IF($GI15&gt;0,"⚠ "&amp;$GI15&amp;IF($GI15&gt;1," erros"," erro"),IF($GK15&gt;0,"! "&amp;$GK15&amp;IF($GK15&gt;1," avisos"," aviso"),"Na regra")))</f>
        <v/>
      </c>
      <c r="GM15" s="152">
        <f>IF($EH15=0,"",IF($GI15+$GK15=0,"Dentro das regras que a ficha confere",$GH15&amp;IF(AND($GI15&gt;0,$GK15&gt;0)," · ","")&amp;$GJ15))</f>
        <v/>
      </c>
      <c r="GN15" s="152">
        <f>IF($EH15=0,"",IF($DW15=1,CEILING(4.5*$DY15,1),3*$DY15)&amp;" PE")</f>
        <v/>
      </c>
      <c r="GO15" s="152">
        <f>IF($EH15=0,"",IF($DW15=1,"Rodada inteira",IF(COUNTIF($EZ15:$FA15,"Atrasar")&gt;0,IF(COUNTIF($EZ15:$FA15,"Carregar")&gt;0,"Rodada +1 turno","Rodada inteira"),IF(COUNTIF($EB15:$EE15,"Rápido")&gt;0,"Bônus",IF(COUNTIF($EB15:$EE15,"Reação")&gt;0,"Reação","Padrão"))&amp;IF(COUNTIF($EZ15:$FA15,"Carregar")&gt;0," +1 turno",""))))</f>
        <v/>
      </c>
      <c r="GP15" s="152">
        <f>IF(OR($EH15=0,$EI15=0),"",IF(COUNTIF($EB15:$EE15,"Inescapável")&gt;0,"Automático",IF(COUNTIF($EB15:$EE15,"Certeiro")&gt;0,"TR para metade",INDEX($AF$2:$AF$11,$EI15))))</f>
        <v/>
      </c>
      <c r="GQ15" s="152">
        <f>IF(OR($EH15=0,$EI15=0),"",IF(OR($EV15&gt;=2,$FR15=0),UPPER(LEFT(INDEX($GA15:$GG15,1,$DY15),1))&amp;MID(INDEX($GA15:$GG15,1,$DY15),2,99),UPPER(LEFT(INDEX($GA15:$GG15,1,$DY15),1))&amp;MID(INDEX($GA15:$GG15,1,$DY15),2,99)&amp;" = "&amp;FLOOR($FR15*4.5,1)&amp;IF($FS15&gt;0," · +"&amp;$FS15&amp;"d8","")))</f>
        <v/>
      </c>
      <c r="GR15" s="152">
        <f>COUNTIF($EB15:$EE15,"Longe")+3*COUNTIF($EB15:$EE15,"Muito Longe")</f>
        <v/>
      </c>
      <c r="GS15" s="152">
        <f>COUNTIF($EB15:$EE15,"Maior")+3*COUNTIF($EB15:$EE15,"Muito Maior")</f>
        <v/>
      </c>
      <c r="GT15" s="152">
        <f>IF($EI15=0,0,CHOOSE(1+INDEX($AH$2:$AH$11,$EI15),0,$GR15,$GS15,$GR15+$GS15))</f>
        <v/>
      </c>
      <c r="GU15" s="152">
        <f>IF($EI15=0,0,CHOOSE(1+INDEX($AI$2:$AI$11,$EI15),0,$GR15,$GS15,$GR15+$GS15))</f>
        <v/>
      </c>
      <c r="GV15" s="152">
        <f>IF(OR($EH15=0,$EI15=0),"",INDEX($AP$2:$AU$31,($EI15-1)*3+IF($DY15&gt;=6,3,2),1+MIN(5,$GT15))&amp;INDEX($AV$2:$BA$31,($EI15-1)*3+IF($DY15&gt;=6,3,2),1+MIN(5,$GU15))&amp;IF(INDEX($AJ$2:$AJ$11,$EI15)=1,IF(COUNTIF($EB15:$EE15,"Mais Um")&gt;0," · +"&amp;COUNTIF($EB15:$EE15,"Mais Um")&amp;IF(COUNTIF($EB15:$EE15,"Mais Um")&gt;1," alvos"," alvo"),"")&amp;IF(COUNTIF($EB15:$EE15,"Rajada")&gt;0," · "&amp;($DY15+1)&amp;" tiros",""),""))</f>
        <v/>
      </c>
      <c r="GW15" s="152">
        <f>IF($EH15=0,"",3*$DY15&amp;" − "&amp;$FL15&amp;" + "&amp;$FO15&amp;IF($DW15=1," + "&amp;$DY15,"")&amp;" = "&amp;$FR15&amp;"d8 · teto "&amp;4*$DY15&amp;IF($EU15=1," · a Forma devolve "&amp;$DY15,"")&amp;IF($FP15&gt;0," · perde "&amp;$FP15,""))</f>
        <v/>
      </c>
      <c r="GX15" s="152">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52">
        <f>IF(OR($EH15=0,$EK15=0),"","−"&amp;INDEX($Q$2:$V$8,$DY15,$EK15)&amp;" · "&amp;CHOOSE($EK15,"Leve","Média","Pesada","Leve · Livre","Média · Livre","Pesada · Livre"))</f>
        <v/>
      </c>
      <c r="GZ15" s="152">
        <f>IF(OR($EH15=0,$EL15=0),"","−"&amp;INDEX($Q$2:$V$8,$DY15,$EL15)&amp;" · "&amp;CHOOSE($EL15,"Leve","Média","Pesada","Leve · Livre","Média · Livre","Pesada · Livre"))</f>
        <v/>
      </c>
      <c r="HA15" s="152">
        <f>IF(OR($EH15=0,$EM15=0),"","−"&amp;INDEX($Q$2:$V$8,$DY15,$EM15)&amp;" · "&amp;CHOOSE($EM15,"Leve","Média","Pesada","Leve · Livre","Média · Livre","Pesada · Livre"))</f>
        <v/>
      </c>
      <c r="HB15" s="152">
        <f>IF(OR($EH15=0,$EN15=0),"","−"&amp;INDEX($Q$2:$V$8,$DY15,$EN15)&amp;" · "&amp;CHOOSE($EN15,"Leve","Média","Pesada","Leve · Livre","Média · Livre","Pesada · Livre"))</f>
        <v/>
      </c>
      <c r="HC15" s="152">
        <f>IF(OR($EH15=0,$EF15=""),"","+"&amp;IF($EX15=1,CEILING($DY15/2,1),$DY15))</f>
        <v/>
      </c>
      <c r="HD15" s="152">
        <f>IF(OR($EH15=0,$EG15=""),"","+"&amp;IF($EY15=1,CEILING($DY15/2,1),$DY15))</f>
        <v/>
      </c>
      <c r="HE15" s="152">
        <f>'FICHA AMALDIÇOADA'!$J$139&amp;""</f>
        <v/>
      </c>
      <c r="HF15" s="152">
        <f>IF(AND($EH15=1,$DW15=0),COUNTIFS($EH$2:$EH15,1,$DW$2:$DW15,0),"")</f>
        <v/>
      </c>
      <c r="HH15" s="150" t="inlineStr">
        <is>
          <t>feitiços montados</t>
        </is>
      </c>
      <c r="HI15" s="152">
        <f>SUM($EH$2:$EH$37)</f>
        <v/>
      </c>
      <c r="JD15" s="152" t="n">
        <v>14</v>
      </c>
      <c r="JE15" s="152">
        <f>IFERROR(MATCH(14,$HF$2:$HF$37,0),0)</f>
        <v/>
      </c>
      <c r="JF15" s="152">
        <f>IF($JE15=0,"",INDEX($DY$2:$DY$37,$JE15))</f>
        <v/>
      </c>
      <c r="JG15" s="152">
        <f>IF($JE15=0,"",INDEX($DZ$2:$DZ$37,$JE15))</f>
        <v/>
      </c>
      <c r="JH15" s="152">
        <f>IF($JE15=0,"",INDEX($GN$2:$GN$37,$JE15))</f>
        <v/>
      </c>
      <c r="JI15" s="152">
        <f>IF($JE15=0,"",INDEX($EA$2:$EA$37,$JE15))</f>
        <v/>
      </c>
      <c r="JJ15" s="152">
        <f>IF($JE15=0,"",INDEX($GP$2:$GP$37,$JE15))</f>
        <v/>
      </c>
      <c r="JK15" s="152">
        <f>IF($JE15=0,"",INDEX($HE$2:$HE$37,$JE15))</f>
        <v/>
      </c>
      <c r="KB15" s="150" t="inlineStr">
        <is>
          <t>Talento 12</t>
        </is>
      </c>
      <c r="KC15" s="152">
        <f>IFERROR(MATCH(12,$HS$2:$HS$13,0),0)</f>
        <v/>
      </c>
      <c r="KD15" s="152">
        <f>IF($KC15=0,"",IF(INDEX($HM$2:$HM$13,$KC15)=0,"","CE "&amp;INDEX($HM$2:$HM$13,$KC15)))</f>
        <v/>
      </c>
      <c r="KE15" s="152">
        <f>IF($KC15=0,"",INDEX($HL$2:$HL$13,$KC15))</f>
        <v/>
      </c>
      <c r="KF15" s="152">
        <f>IF($KC15=0,"",IF(INDEX($HR$2:$HR$13,$KC15)&lt;&gt;"",INDEX($HR$2:$HR$13,$KC15),IF(IFERROR(VLOOKUP(INDEX($HL$2:$HL$13,$KC15),$BR$2:$BX$24,7,FALSE),"")&lt;&gt;"","Do livro: "&amp;IFERROR(VLOOKUP(INDEX($HL$2:$HL$13,$KC15),$BR$2:$BX$24,7,FALSE),""),"")))</f>
        <v/>
      </c>
      <c r="KH15" s="150" t="inlineStr">
        <is>
          <t>Aptidão 12</t>
        </is>
      </c>
      <c r="KI15" s="152">
        <f>IFERROR(MATCH(12,$IB$2:$IB$13,0),0)</f>
        <v/>
      </c>
      <c r="KJ15" s="152">
        <f>IF($KI15=0,"",INDEX($HX$2:$HX$13,$KI15))</f>
        <v/>
      </c>
      <c r="KK15" s="152">
        <f>IF($KI15=0,"",INDEX($HV$2:$HV$13,$KI15))</f>
        <v/>
      </c>
      <c r="KL15" s="152">
        <f>IF($KI15=0,"",IF(INDEX($IA$2:$IA$13,$KI15)&lt;&gt;"",INDEX($IA$2:$IA$13,$KI15),IF(IFERROR(VLOOKUP(INDEX($HV$2:$HV$13,$KI15),$CC$2:$CL$33,10,FALSE),"")&lt;&gt;"","Do livro: "&amp;IFERROR(VLOOKUP(INDEX($HV$2:$HV$13,$KI15),$CC$2:$CL$33,10,FALSE),""),"")))</f>
        <v/>
      </c>
      <c r="KN15" s="150" t="inlineStr">
        <is>
          <t>par passivas 2</t>
        </is>
      </c>
      <c r="KO15" s="152">
        <f>"TALENTOS 7 A 12"</f>
        <v/>
      </c>
      <c r="KQ15" s="150" t="inlineStr">
        <is>
          <t>P19</t>
        </is>
      </c>
      <c r="KR15" s="152">
        <f>IF(DADOS_AM!$HI$44="","",DADOS_AM!$HI$44&amp;" · "&amp;"d20 + "&amp;(DADOS_AM!$HI$3+DADOS_AM!$HI$47+IFERROR(VALUE(FICHA!$W$47&amp;""),0))&amp;" · CD "&amp;(8+DADOS_AM!$HI$3+DADOS_AM!$HI$47+IFERROR(VALUE(FICHA!$L$47&amp;""),0)))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L16" s="150" t="inlineStr">
        <is>
          <t>Condicional (Leve)</t>
        </is>
      </c>
      <c r="BM16" s="150" t="inlineStr">
        <is>
          <t>Condicional</t>
        </is>
      </c>
      <c r="BN16" s="152" t="n">
        <v>1</v>
      </c>
      <c r="BO16" s="152" t="n">
        <v>1</v>
      </c>
      <c r="BP16" s="150" t="inlineStr">
        <is>
          <t>Condicional (Leve)</t>
        </is>
      </c>
      <c r="BR16" s="150" t="inlineStr">
        <is>
          <t>Afinidade</t>
        </is>
      </c>
      <c r="BS16" s="152" t="n">
        <v>3</v>
      </c>
      <c r="BT16" s="150" t="inlineStr">
        <is>
          <t>Escolha um tema presente na Regra da sua técnica. Seus feitiços desse tema ignoram cobertura Parcial e resistência ao tipo de dano que causam.</t>
        </is>
      </c>
      <c r="BU16" s="152" t="n">
        <v>1</v>
      </c>
      <c r="BV16" s="152" t="n">
        <v>0</v>
      </c>
      <c r="BW16" s="152">
        <f>IF(OR(AND($A$2&lt;=2,$BU16=1),AND($A$2&gt;=2,$BV16=1)),$BR16,"")</f>
        <v/>
      </c>
      <c r="BX16" s="150" t="inlineStr">
        <is>
          <t>Escolha um tema presente na Regra da sua técnica. Seus feitiços desse tema ignoram cobertura Parcial e resistência ao tipo de dano que causam.</t>
        </is>
      </c>
      <c r="CC16" s="150" t="inlineStr">
        <is>
          <t>Ritual</t>
        </is>
      </c>
      <c r="CD16" s="150" t="inlineStr">
        <is>
          <t>Inteligência 5, nível 10 e Técnica Inata. Regras em Ritual e Pactos</t>
        </is>
      </c>
      <c r="CE16" s="150" t="inlineStr">
        <is>
          <t>—</t>
        </is>
      </c>
      <c r="CF16" s="150" t="inlineStr">
        <is>
          <t>—</t>
        </is>
      </c>
      <c r="CG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52">
        <f>IF($CK16=1,"",IF($A$2=4,IF($CI16=1,$CC16,""),IF(OR($CI16=1,AND($A$2=3,$CJ16=1)),"",$CC16)))</f>
        <v/>
      </c>
      <c r="CI16" s="152" t="n">
        <v>0</v>
      </c>
      <c r="CJ16" s="152" t="n">
        <v>0</v>
      </c>
      <c r="CK16" s="152" t="n">
        <v>0</v>
      </c>
      <c r="CL16" s="150" t="inlineStr">
        <is>
          <t>Um Ritual reforça um feitiço com gestos e recitação.</t>
        </is>
      </c>
      <c r="DV16" s="150" t="inlineStr">
        <is>
          <t>Feitiço 15</t>
        </is>
      </c>
      <c r="DW16" s="152" t="n">
        <v>0</v>
      </c>
      <c r="DX16" s="152" t="n">
        <v>15</v>
      </c>
      <c r="DY16" s="152">
        <f>MAX(1,MIN(7,N('FICHA AMALDIÇOADA'!$P$137)))</f>
        <v/>
      </c>
      <c r="DZ16" s="152">
        <f>'FICHA AMALDIÇOADA'!$Q$137&amp;""</f>
        <v/>
      </c>
      <c r="EA16" s="152">
        <f>'FICHA AMALDIÇOADA'!$P$144&amp;""</f>
        <v/>
      </c>
      <c r="EB16" s="152">
        <f>'FICHA AMALDIÇOADA'!$Q$146&amp;""</f>
        <v/>
      </c>
      <c r="EC16" s="152">
        <f>'FICHA AMALDIÇOADA'!$Q$147&amp;""</f>
        <v/>
      </c>
      <c r="ED16" s="152">
        <f>'FICHA AMALDIÇOADA'!$Q$148&amp;""</f>
        <v/>
      </c>
      <c r="EE16" s="152">
        <f>'FICHA AMALDIÇOADA'!$Q$149&amp;""</f>
        <v/>
      </c>
      <c r="EF16" s="152">
        <f>'FICHA AMALDIÇOADA'!$Q$150&amp;""</f>
        <v/>
      </c>
      <c r="EG16" s="152">
        <f>'FICHA AMALDIÇOADA'!$Q$151&amp;""</f>
        <v/>
      </c>
      <c r="EH16" s="152">
        <f>IF($DZ16&lt;&gt;"",1,0)</f>
        <v/>
      </c>
      <c r="EI16" s="152">
        <f>IFERROR(MATCH($EA16,$Y$2:$Y$11,0),0)</f>
        <v/>
      </c>
      <c r="EJ16" s="152">
        <f>IF($EI16=0,0,INDEX($AB$2:$AB$11,$EI16))</f>
        <v/>
      </c>
      <c r="EK16" s="152">
        <f>IFERROR(VLOOKUP($EB16,$BC$2:$BJ$84,4,FALSE),0)</f>
        <v/>
      </c>
      <c r="EL16" s="152">
        <f>IFERROR(VLOOKUP($EC16,$BC$2:$BJ$84,4,FALSE),0)</f>
        <v/>
      </c>
      <c r="EM16" s="152">
        <f>IFERROR(VLOOKUP($ED16,$BC$2:$BJ$84,4,FALSE),0)</f>
        <v/>
      </c>
      <c r="EN16" s="152">
        <f>IFERROR(VLOOKUP($EE16,$BC$2:$BJ$84,4,FALSE),0)</f>
        <v/>
      </c>
      <c r="EO16" s="152">
        <f>IF($EI16=0,0,INDEX($AC$2:$AC$11,$EI16))</f>
        <v/>
      </c>
      <c r="EP16" s="152">
        <f>IFERROR(VLOOKUP($EB16,$BC$2:$BJ$84,5,FALSE),0)</f>
        <v/>
      </c>
      <c r="EQ16" s="152">
        <f>IFERROR(VLOOKUP($EC16,$BC$2:$BJ$84,5,FALSE),0)</f>
        <v/>
      </c>
      <c r="ER16" s="152">
        <f>IFERROR(VLOOKUP($ED16,$BC$2:$BJ$84,5,FALSE),0)</f>
        <v/>
      </c>
      <c r="ES16" s="152">
        <f>IFERROR(VLOOKUP($EE16,$BC$2:$BJ$84,5,FALSE),0)</f>
        <v/>
      </c>
      <c r="ET16" s="152">
        <f>IFERROR(VLOOKUP($EB16,$BC$2:$BJ$84,6,FALSE),0)+IFERROR(VLOOKUP($EC16,$BC$2:$BJ$84,6,FALSE),0)+IFERROR(VLOOKUP($ED16,$BC$2:$BJ$84,6,FALSE),0)+IFERROR(VLOOKUP($EE16,$BC$2:$BJ$84,6,FALSE),0)</f>
        <v/>
      </c>
      <c r="EU16" s="152">
        <f>IF($EI16=0,0,INDEX($AD$2:$AD$11,$EI16))</f>
        <v/>
      </c>
      <c r="EV16" s="152">
        <f>IF($EI16=0,0,INDEX($AE$2:$AE$11,$EI16))</f>
        <v/>
      </c>
      <c r="EW16" s="152">
        <f>IF($EI16=0,0,INDEX($AG$2:$AG$11,$EI16))</f>
        <v/>
      </c>
      <c r="EX16" s="152">
        <f>IFERROR(VLOOKUP($EF16,$BL$2:$BP$24,3,FALSE),0)</f>
        <v/>
      </c>
      <c r="EY16" s="152">
        <f>IFERROR(VLOOKUP($EG16,$BL$2:$BP$24,3,FALSE),0)</f>
        <v/>
      </c>
      <c r="EZ16" s="152">
        <f>IFERROR(VLOOKUP($EF16,$BL$2:$BP$24,2,FALSE),"")</f>
        <v/>
      </c>
      <c r="FA16" s="152">
        <f>IFERROR(VLOOKUP($EG16,$BL$2:$BP$24,2,FALSE),"")</f>
        <v/>
      </c>
      <c r="FB16" s="152">
        <f>COUNTIF($EJ16:$EN16,1)</f>
        <v/>
      </c>
      <c r="FC16" s="152">
        <f>COUNTIF($EJ16:$EN16,2)</f>
        <v/>
      </c>
      <c r="FD16" s="152">
        <f>COUNTIF($EJ16:$EN16,3)</f>
        <v/>
      </c>
      <c r="FE16" s="152">
        <f>COUNTIF($EJ16:$EN16,4)</f>
        <v/>
      </c>
      <c r="FF16" s="152">
        <f>COUNTIF($EJ16:$EN16,5)</f>
        <v/>
      </c>
      <c r="FG16" s="152">
        <f>COUNTIF($EJ16:$EN16,6)</f>
        <v/>
      </c>
      <c r="FH16" s="152">
        <f>COUNTIF($EX16:$EY16,1)</f>
        <v/>
      </c>
      <c r="FI16" s="152">
        <f>COUNTIF($EX16:$EY16,2)+$EU16</f>
        <v/>
      </c>
      <c r="FJ16" s="152">
        <f>COUNTIF($EB16:$EE16,"?*")</f>
        <v/>
      </c>
      <c r="FK16" s="152">
        <f>COUNTIF($EF16:$EG16,"?*")+$EU16</f>
        <v/>
      </c>
      <c r="FL16" s="152">
        <f>SUMPRODUCT($FB16:$FG16,INDEX($Q$2:$V$8,$DY16,0))</f>
        <v/>
      </c>
      <c r="FM16" s="152">
        <f>$FH16*CEILING($DY16/2,1)+$FI16*$DY16</f>
        <v/>
      </c>
      <c r="FN16" s="152">
        <f>MIN(2*$DY16,$FM16)</f>
        <v/>
      </c>
      <c r="FO16" s="152">
        <f>MIN($FN16,$FL16)</f>
        <v/>
      </c>
      <c r="FP16" s="152">
        <f>$FN16-$FO16</f>
        <v/>
      </c>
      <c r="FQ16" s="152">
        <f>3*$DY16-$FL16+$FO16</f>
        <v/>
      </c>
      <c r="FR16" s="152">
        <f>MAX(0,$FQ16)+$DW16*$DY16</f>
        <v/>
      </c>
      <c r="FS16" s="152">
        <f>(IF(COUNTIF($EB16:$EE16,"Salto")&gt;0,1,0)+IF(COUNTIF($EB16:$EE16,"Queima")&gt;0,1,0)+IF(COUNTIF($EB16:$EE16,"Estilhaço")&gt;0,1,0))*FLOOR($FR16/2,1)</f>
        <v/>
      </c>
      <c r="FT16" s="152">
        <f>MAX(0,3-SUMPRODUCT($FB16:$FG16,$Q$2:$V$2)+MIN(2,$FH16*1+$FI16*1,SUMPRODUCT($FB16:$FG16,$Q$2:$V$2)))+$DW16*1</f>
        <v/>
      </c>
      <c r="FU16" s="152">
        <f>MAX(0,6-SUMPRODUCT($FB16:$FG16,$Q$3:$V$3)+MIN(4,$FH16*1+$FI16*2,SUMPRODUCT($FB16:$FG16,$Q$3:$V$3)))+$DW16*2</f>
        <v/>
      </c>
      <c r="FV16" s="152">
        <f>MAX(0,9-SUMPRODUCT($FB16:$FG16,$Q$4:$V$4)+MIN(6,$FH16*2+$FI16*3,SUMPRODUCT($FB16:$FG16,$Q$4:$V$4)))+$DW16*3</f>
        <v/>
      </c>
      <c r="FW16" s="152">
        <f>MAX(0,12-SUMPRODUCT($FB16:$FG16,$Q$5:$V$5)+MIN(8,$FH16*2+$FI16*4,SUMPRODUCT($FB16:$FG16,$Q$5:$V$5)))+$DW16*4</f>
        <v/>
      </c>
      <c r="FX16" s="152">
        <f>MAX(0,15-SUMPRODUCT($FB16:$FG16,$Q$6:$V$6)+MIN(10,$FH16*3+$FI16*5,SUMPRODUCT($FB16:$FG16,$Q$6:$V$6)))+$DW16*5</f>
        <v/>
      </c>
      <c r="FY16" s="152">
        <f>MAX(0,18-SUMPRODUCT($FB16:$FG16,$Q$7:$V$7)+MIN(12,$FH16*3+$FI16*6,SUMPRODUCT($FB16:$FG16,$Q$7:$V$7)))+$DW16*6</f>
        <v/>
      </c>
      <c r="FZ16" s="152">
        <f>MAX(0,21-SUMPRODUCT($FB16:$FG16,$Q$8:$V$8)+MIN(14,$FH16*4+$FI16*7,SUMPRODUCT($FB16:$FG16,$Q$8:$V$8)))+$DW16*7</f>
        <v/>
      </c>
      <c r="GA16" s="152">
        <f>IF($EV16=2,3*$FT16&amp;" de vida temp.",IF($EV16=3,"sem dano",IF($FT16=0,IF($EV16=1,"sem cura","sem dano"),IF($EV16=1,"cura ","")&amp;$FT16&amp;"d8")))</f>
        <v/>
      </c>
      <c r="GB16" s="152">
        <f>IF($EV16=2,3*$FU16&amp;" de vida temp.",IF($EV16=3,"sem dano",IF($FU16=0,IF($EV16=1,"sem cura","sem dano"),IF($EV16=1,"cura ","")&amp;$FU16&amp;"d8")))</f>
        <v/>
      </c>
      <c r="GC16" s="152">
        <f>IF($EV16=2,3*$FV16&amp;" de vida temp.",IF($EV16=3,"sem dano",IF($FV16=0,IF($EV16=1,"sem cura","sem dano"),IF($EV16=1,"cura ","")&amp;$FV16&amp;"d8")))</f>
        <v/>
      </c>
      <c r="GD16" s="152">
        <f>IF($EV16=2,3*$FW16&amp;" de vida temp.",IF($EV16=3,"sem dano",IF($FW16=0,IF($EV16=1,"sem cura","sem dano"),IF($EV16=1,"cura ","")&amp;$FW16&amp;"d8")))</f>
        <v/>
      </c>
      <c r="GE16" s="152">
        <f>IF($EV16=2,3*$FX16&amp;" de vida temp.",IF($EV16=3,"sem dano",IF($FX16=0,IF($EV16=1,"sem cura","sem dano"),IF($EV16=1,"cura ","")&amp;$FX16&amp;"d8")))</f>
        <v/>
      </c>
      <c r="GF16" s="152">
        <f>IF($EV16=2,3*$FY16&amp;" de vida temp.",IF($EV16=3,"sem dano",IF($FY16=0,IF($EV16=1,"sem cura","sem dano"),IF($EV16=1,"cura ","")&amp;$FY16&amp;"d8")))</f>
        <v/>
      </c>
      <c r="GG16" s="152">
        <f>IF($EV16=2,3*$FZ16&amp;" de vida temp.",IF($EV16=3,"sem dano",IF($FZ16=0,IF($EV16=1,"sem cura","sem dano"),IF($EV16=1,"cura ","")&amp;$FZ16&amp;"d8")))</f>
        <v/>
      </c>
      <c r="GH16" s="152">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52">
        <f>IF($GH16="",0,(LEN($GH16)-LEN(SUBSTITUTE($GH16," · ","")))/3+1)</f>
        <v/>
      </c>
      <c r="GJ16" s="152">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52">
        <f>IF($GJ16="",0,(LEN($GJ16)-LEN(SUBSTITUTE($GJ16," · ","")))/3+1)</f>
        <v/>
      </c>
      <c r="GL16" s="152">
        <f>IF($EH16=0,IF($FJ16+$FK16-$EU16&gt;0,"Dê um nome",""),IF($GI16&gt;0,"⚠ "&amp;$GI16&amp;IF($GI16&gt;1," erros"," erro"),IF($GK16&gt;0,"! "&amp;$GK16&amp;IF($GK16&gt;1," avisos"," aviso"),"Na regra")))</f>
        <v/>
      </c>
      <c r="GM16" s="152">
        <f>IF($EH16=0,"",IF($GI16+$GK16=0,"Dentro das regras que a ficha confere",$GH16&amp;IF(AND($GI16&gt;0,$GK16&gt;0)," · ","")&amp;$GJ16))</f>
        <v/>
      </c>
      <c r="GN16" s="152">
        <f>IF($EH16=0,"",IF($DW16=1,CEILING(4.5*$DY16,1),3*$DY16)&amp;" PE")</f>
        <v/>
      </c>
      <c r="GO16" s="152">
        <f>IF($EH16=0,"",IF($DW16=1,"Rodada inteira",IF(COUNTIF($EZ16:$FA16,"Atrasar")&gt;0,IF(COUNTIF($EZ16:$FA16,"Carregar")&gt;0,"Rodada +1 turno","Rodada inteira"),IF(COUNTIF($EB16:$EE16,"Rápido")&gt;0,"Bônus",IF(COUNTIF($EB16:$EE16,"Reação")&gt;0,"Reação","Padrão"))&amp;IF(COUNTIF($EZ16:$FA16,"Carregar")&gt;0," +1 turno",""))))</f>
        <v/>
      </c>
      <c r="GP16" s="152">
        <f>IF(OR($EH16=0,$EI16=0),"",IF(COUNTIF($EB16:$EE16,"Inescapável")&gt;0,"Automático",IF(COUNTIF($EB16:$EE16,"Certeiro")&gt;0,"TR para metade",INDEX($AF$2:$AF$11,$EI16))))</f>
        <v/>
      </c>
      <c r="GQ16" s="152">
        <f>IF(OR($EH16=0,$EI16=0),"",IF(OR($EV16&gt;=2,$FR16=0),UPPER(LEFT(INDEX($GA16:$GG16,1,$DY16),1))&amp;MID(INDEX($GA16:$GG16,1,$DY16),2,99),UPPER(LEFT(INDEX($GA16:$GG16,1,$DY16),1))&amp;MID(INDEX($GA16:$GG16,1,$DY16),2,99)&amp;" = "&amp;FLOOR($FR16*4.5,1)&amp;IF($FS16&gt;0," · +"&amp;$FS16&amp;"d8","")))</f>
        <v/>
      </c>
      <c r="GR16" s="152">
        <f>COUNTIF($EB16:$EE16,"Longe")+3*COUNTIF($EB16:$EE16,"Muito Longe")</f>
        <v/>
      </c>
      <c r="GS16" s="152">
        <f>COUNTIF($EB16:$EE16,"Maior")+3*COUNTIF($EB16:$EE16,"Muito Maior")</f>
        <v/>
      </c>
      <c r="GT16" s="152">
        <f>IF($EI16=0,0,CHOOSE(1+INDEX($AH$2:$AH$11,$EI16),0,$GR16,$GS16,$GR16+$GS16))</f>
        <v/>
      </c>
      <c r="GU16" s="152">
        <f>IF($EI16=0,0,CHOOSE(1+INDEX($AI$2:$AI$11,$EI16),0,$GR16,$GS16,$GR16+$GS16))</f>
        <v/>
      </c>
      <c r="GV16" s="152">
        <f>IF(OR($EH16=0,$EI16=0),"",INDEX($AP$2:$AU$31,($EI16-1)*3+IF($DY16&gt;=6,3,2),1+MIN(5,$GT16))&amp;INDEX($AV$2:$BA$31,($EI16-1)*3+IF($DY16&gt;=6,3,2),1+MIN(5,$GU16))&amp;IF(INDEX($AJ$2:$AJ$11,$EI16)=1,IF(COUNTIF($EB16:$EE16,"Mais Um")&gt;0," · +"&amp;COUNTIF($EB16:$EE16,"Mais Um")&amp;IF(COUNTIF($EB16:$EE16,"Mais Um")&gt;1," alvos"," alvo"),"")&amp;IF(COUNTIF($EB16:$EE16,"Rajada")&gt;0," · "&amp;($DY16+1)&amp;" tiros",""),""))</f>
        <v/>
      </c>
      <c r="GW16" s="152">
        <f>IF($EH16=0,"",3*$DY16&amp;" − "&amp;$FL16&amp;" + "&amp;$FO16&amp;IF($DW16=1," + "&amp;$DY16,"")&amp;" = "&amp;$FR16&amp;"d8 · teto "&amp;4*$DY16&amp;IF($EU16=1," · a Forma devolve "&amp;$DY16,"")&amp;IF($FP16&gt;0," · perde "&amp;$FP16,""))</f>
        <v/>
      </c>
      <c r="GX16" s="152">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52">
        <f>IF(OR($EH16=0,$EK16=0),"","−"&amp;INDEX($Q$2:$V$8,$DY16,$EK16)&amp;" · "&amp;CHOOSE($EK16,"Leve","Média","Pesada","Leve · Livre","Média · Livre","Pesada · Livre"))</f>
        <v/>
      </c>
      <c r="GZ16" s="152">
        <f>IF(OR($EH16=0,$EL16=0),"","−"&amp;INDEX($Q$2:$V$8,$DY16,$EL16)&amp;" · "&amp;CHOOSE($EL16,"Leve","Média","Pesada","Leve · Livre","Média · Livre","Pesada · Livre"))</f>
        <v/>
      </c>
      <c r="HA16" s="152">
        <f>IF(OR($EH16=0,$EM16=0),"","−"&amp;INDEX($Q$2:$V$8,$DY16,$EM16)&amp;" · "&amp;CHOOSE($EM16,"Leve","Média","Pesada","Leve · Livre","Média · Livre","Pesada · Livre"))</f>
        <v/>
      </c>
      <c r="HB16" s="152">
        <f>IF(OR($EH16=0,$EN16=0),"","−"&amp;INDEX($Q$2:$V$8,$DY16,$EN16)&amp;" · "&amp;CHOOSE($EN16,"Leve","Média","Pesada","Leve · Livre","Média · Livre","Pesada · Livre"))</f>
        <v/>
      </c>
      <c r="HC16" s="152">
        <f>IF(OR($EH16=0,$EF16=""),"","+"&amp;IF($EX16=1,CEILING($DY16/2,1),$DY16))</f>
        <v/>
      </c>
      <c r="HD16" s="152">
        <f>IF(OR($EH16=0,$EG16=""),"","+"&amp;IF($EY16=1,CEILING($DY16/2,1),$DY16))</f>
        <v/>
      </c>
      <c r="HE16" s="152">
        <f>'FICHA AMALDIÇOADA'!$P$139&amp;""</f>
        <v/>
      </c>
      <c r="HF16" s="152">
        <f>IF(AND($EH16=1,$DW16=0),COUNTIFS($EH$2:$EH16,1,$DW$2:$DW16,0),"")</f>
        <v/>
      </c>
      <c r="HH16" s="150" t="inlineStr">
        <is>
          <t>classe passiva da regra própria</t>
        </is>
      </c>
      <c r="HI16" s="152">
        <f>N('FICHA AMALDIÇOADA'!$P$33)</f>
        <v/>
      </c>
      <c r="JD16" s="152" t="n">
        <v>15</v>
      </c>
      <c r="JE16" s="152">
        <f>IFERROR(MATCH(15,$HF$2:$HF$37,0),0)</f>
        <v/>
      </c>
      <c r="JF16" s="152">
        <f>IF($JE16=0,"",INDEX($DY$2:$DY$37,$JE16))</f>
        <v/>
      </c>
      <c r="JG16" s="152">
        <f>IF($JE16=0,"",INDEX($DZ$2:$DZ$37,$JE16))</f>
        <v/>
      </c>
      <c r="JH16" s="152">
        <f>IF($JE16=0,"",INDEX($GN$2:$GN$37,$JE16))</f>
        <v/>
      </c>
      <c r="JI16" s="152">
        <f>IF($JE16=0,"",INDEX($EA$2:$EA$37,$JE16))</f>
        <v/>
      </c>
      <c r="JJ16" s="152">
        <f>IF($JE16=0,"",INDEX($GP$2:$GP$37,$JE16))</f>
        <v/>
      </c>
      <c r="JK16" s="152">
        <f>IF($JE16=0,"",INDEX($HE$2:$HE$37,$JE16))</f>
        <v/>
      </c>
      <c r="KN16" s="150" t="inlineStr">
        <is>
          <t>par passivas 4</t>
        </is>
      </c>
      <c r="KO16" s="152">
        <f>"TALENTOS 13 A 14"</f>
        <v/>
      </c>
      <c r="KQ16" s="150" t="inlineStr">
        <is>
          <t>L25</t>
        </is>
      </c>
      <c r="KR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L17" s="150" t="inlineStr">
        <is>
          <t>Condicional (Média)</t>
        </is>
      </c>
      <c r="BM17" s="150" t="inlineStr">
        <is>
          <t>Condicional</t>
        </is>
      </c>
      <c r="BN17" s="152" t="n">
        <v>2</v>
      </c>
      <c r="BO17" s="152" t="n">
        <v>1</v>
      </c>
      <c r="BP17" s="150" t="inlineStr"/>
      <c r="BR17" s="150" t="inlineStr">
        <is>
          <t>Reserva Profunda</t>
        </is>
      </c>
      <c r="BS17" s="152" t="n">
        <v>3</v>
      </c>
      <c r="BT17" s="150" t="inlineStr">
        <is>
          <t>Seu PE máximo aumenta em 3 × sua maior Classe. Atualize esse acréscimo quando sua maior Classe aumentar.</t>
        </is>
      </c>
      <c r="BU17" s="152" t="n">
        <v>1</v>
      </c>
      <c r="BV17" s="152" t="n">
        <v>0</v>
      </c>
      <c r="BW17" s="152">
        <f>IF(OR(AND($A$2&lt;=2,$BU17=1),AND($A$2&gt;=2,$BV17=1)),$BR17,"")</f>
        <v/>
      </c>
      <c r="BX17" s="150" t="inlineStr">
        <is>
          <t>Seu PE máximo aumenta em 3 × sua maior Classe. Atualize esse acréscimo quando sua maior Classe aumentar.</t>
        </is>
      </c>
      <c r="CC17" s="150" t="inlineStr">
        <is>
          <t>Aptidão Própria (CE 1)</t>
        </is>
      </c>
      <c r="CD17" s="150" t="inlineStr">
        <is>
          <t>Uma única vez na ficha</t>
        </is>
      </c>
      <c r="CE17" s="152" t="n">
        <v>1</v>
      </c>
      <c r="CF17" s="150" t="inlineStr">
        <is>
          <t>—</t>
        </is>
      </c>
      <c r="CG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52">
        <f>IF($CK17=1,"",IF($A$2=4,IF($CI17=1,$CC17,""),IF(OR($CI17=1,AND($A$2=3,$CJ17=1)),"",$CC17)))</f>
        <v/>
      </c>
      <c r="CI17" s="152" t="n">
        <v>0</v>
      </c>
      <c r="CJ17" s="152" t="n">
        <v>0</v>
      </c>
      <c r="CK17" s="152" t="n">
        <v>0</v>
      </c>
      <c r="CL17" s="150" t="inlineStr">
        <is>
          <t>Você cria uma aptidão com o mestre antes da sessão.</t>
        </is>
      </c>
      <c r="DV17" s="150" t="inlineStr">
        <is>
          <t>Feitiço 16</t>
        </is>
      </c>
      <c r="DW17" s="152" t="n">
        <v>0</v>
      </c>
      <c r="DX17" s="152" t="n">
        <v>16</v>
      </c>
      <c r="DY17" s="152">
        <f>MAX(1,MIN(7,N('FICHA AMALDIÇOADA'!$D$158)))</f>
        <v/>
      </c>
      <c r="DZ17" s="152">
        <f>'FICHA AMALDIÇOADA'!$E$158&amp;""</f>
        <v/>
      </c>
      <c r="EA17" s="152">
        <f>'FICHA AMALDIÇOADA'!$D$165&amp;""</f>
        <v/>
      </c>
      <c r="EB17" s="152">
        <f>'FICHA AMALDIÇOADA'!$E$167&amp;""</f>
        <v/>
      </c>
      <c r="EC17" s="152">
        <f>'FICHA AMALDIÇOADA'!$E$168&amp;""</f>
        <v/>
      </c>
      <c r="ED17" s="152">
        <f>'FICHA AMALDIÇOADA'!$E$169&amp;""</f>
        <v/>
      </c>
      <c r="EE17" s="152">
        <f>'FICHA AMALDIÇOADA'!$E$170&amp;""</f>
        <v/>
      </c>
      <c r="EF17" s="152">
        <f>'FICHA AMALDIÇOADA'!$E$171&amp;""</f>
        <v/>
      </c>
      <c r="EG17" s="152">
        <f>'FICHA AMALDIÇOADA'!$E$172&amp;""</f>
        <v/>
      </c>
      <c r="EH17" s="152">
        <f>IF($DZ17&lt;&gt;"",1,0)</f>
        <v/>
      </c>
      <c r="EI17" s="152">
        <f>IFERROR(MATCH($EA17,$Y$2:$Y$11,0),0)</f>
        <v/>
      </c>
      <c r="EJ17" s="152">
        <f>IF($EI17=0,0,INDEX($AB$2:$AB$11,$EI17))</f>
        <v/>
      </c>
      <c r="EK17" s="152">
        <f>IFERROR(VLOOKUP($EB17,$BC$2:$BJ$84,4,FALSE),0)</f>
        <v/>
      </c>
      <c r="EL17" s="152">
        <f>IFERROR(VLOOKUP($EC17,$BC$2:$BJ$84,4,FALSE),0)</f>
        <v/>
      </c>
      <c r="EM17" s="152">
        <f>IFERROR(VLOOKUP($ED17,$BC$2:$BJ$84,4,FALSE),0)</f>
        <v/>
      </c>
      <c r="EN17" s="152">
        <f>IFERROR(VLOOKUP($EE17,$BC$2:$BJ$84,4,FALSE),0)</f>
        <v/>
      </c>
      <c r="EO17" s="152">
        <f>IF($EI17=0,0,INDEX($AC$2:$AC$11,$EI17))</f>
        <v/>
      </c>
      <c r="EP17" s="152">
        <f>IFERROR(VLOOKUP($EB17,$BC$2:$BJ$84,5,FALSE),0)</f>
        <v/>
      </c>
      <c r="EQ17" s="152">
        <f>IFERROR(VLOOKUP($EC17,$BC$2:$BJ$84,5,FALSE),0)</f>
        <v/>
      </c>
      <c r="ER17" s="152">
        <f>IFERROR(VLOOKUP($ED17,$BC$2:$BJ$84,5,FALSE),0)</f>
        <v/>
      </c>
      <c r="ES17" s="152">
        <f>IFERROR(VLOOKUP($EE17,$BC$2:$BJ$84,5,FALSE),0)</f>
        <v/>
      </c>
      <c r="ET17" s="152">
        <f>IFERROR(VLOOKUP($EB17,$BC$2:$BJ$84,6,FALSE),0)+IFERROR(VLOOKUP($EC17,$BC$2:$BJ$84,6,FALSE),0)+IFERROR(VLOOKUP($ED17,$BC$2:$BJ$84,6,FALSE),0)+IFERROR(VLOOKUP($EE17,$BC$2:$BJ$84,6,FALSE),0)</f>
        <v/>
      </c>
      <c r="EU17" s="152">
        <f>IF($EI17=0,0,INDEX($AD$2:$AD$11,$EI17))</f>
        <v/>
      </c>
      <c r="EV17" s="152">
        <f>IF($EI17=0,0,INDEX($AE$2:$AE$11,$EI17))</f>
        <v/>
      </c>
      <c r="EW17" s="152">
        <f>IF($EI17=0,0,INDEX($AG$2:$AG$11,$EI17))</f>
        <v/>
      </c>
      <c r="EX17" s="152">
        <f>IFERROR(VLOOKUP($EF17,$BL$2:$BP$24,3,FALSE),0)</f>
        <v/>
      </c>
      <c r="EY17" s="152">
        <f>IFERROR(VLOOKUP($EG17,$BL$2:$BP$24,3,FALSE),0)</f>
        <v/>
      </c>
      <c r="EZ17" s="152">
        <f>IFERROR(VLOOKUP($EF17,$BL$2:$BP$24,2,FALSE),"")</f>
        <v/>
      </c>
      <c r="FA17" s="152">
        <f>IFERROR(VLOOKUP($EG17,$BL$2:$BP$24,2,FALSE),"")</f>
        <v/>
      </c>
      <c r="FB17" s="152">
        <f>COUNTIF($EJ17:$EN17,1)</f>
        <v/>
      </c>
      <c r="FC17" s="152">
        <f>COUNTIF($EJ17:$EN17,2)</f>
        <v/>
      </c>
      <c r="FD17" s="152">
        <f>COUNTIF($EJ17:$EN17,3)</f>
        <v/>
      </c>
      <c r="FE17" s="152">
        <f>COUNTIF($EJ17:$EN17,4)</f>
        <v/>
      </c>
      <c r="FF17" s="152">
        <f>COUNTIF($EJ17:$EN17,5)</f>
        <v/>
      </c>
      <c r="FG17" s="152">
        <f>COUNTIF($EJ17:$EN17,6)</f>
        <v/>
      </c>
      <c r="FH17" s="152">
        <f>COUNTIF($EX17:$EY17,1)</f>
        <v/>
      </c>
      <c r="FI17" s="152">
        <f>COUNTIF($EX17:$EY17,2)+$EU17</f>
        <v/>
      </c>
      <c r="FJ17" s="152">
        <f>COUNTIF($EB17:$EE17,"?*")</f>
        <v/>
      </c>
      <c r="FK17" s="152">
        <f>COUNTIF($EF17:$EG17,"?*")+$EU17</f>
        <v/>
      </c>
      <c r="FL17" s="152">
        <f>SUMPRODUCT($FB17:$FG17,INDEX($Q$2:$V$8,$DY17,0))</f>
        <v/>
      </c>
      <c r="FM17" s="152">
        <f>$FH17*CEILING($DY17/2,1)+$FI17*$DY17</f>
        <v/>
      </c>
      <c r="FN17" s="152">
        <f>MIN(2*$DY17,$FM17)</f>
        <v/>
      </c>
      <c r="FO17" s="152">
        <f>MIN($FN17,$FL17)</f>
        <v/>
      </c>
      <c r="FP17" s="152">
        <f>$FN17-$FO17</f>
        <v/>
      </c>
      <c r="FQ17" s="152">
        <f>3*$DY17-$FL17+$FO17</f>
        <v/>
      </c>
      <c r="FR17" s="152">
        <f>MAX(0,$FQ17)+$DW17*$DY17</f>
        <v/>
      </c>
      <c r="FS17" s="152">
        <f>(IF(COUNTIF($EB17:$EE17,"Salto")&gt;0,1,0)+IF(COUNTIF($EB17:$EE17,"Queima")&gt;0,1,0)+IF(COUNTIF($EB17:$EE17,"Estilhaço")&gt;0,1,0))*FLOOR($FR17/2,1)</f>
        <v/>
      </c>
      <c r="FT17" s="152">
        <f>MAX(0,3-SUMPRODUCT($FB17:$FG17,$Q$2:$V$2)+MIN(2,$FH17*1+$FI17*1,SUMPRODUCT($FB17:$FG17,$Q$2:$V$2)))+$DW17*1</f>
        <v/>
      </c>
      <c r="FU17" s="152">
        <f>MAX(0,6-SUMPRODUCT($FB17:$FG17,$Q$3:$V$3)+MIN(4,$FH17*1+$FI17*2,SUMPRODUCT($FB17:$FG17,$Q$3:$V$3)))+$DW17*2</f>
        <v/>
      </c>
      <c r="FV17" s="152">
        <f>MAX(0,9-SUMPRODUCT($FB17:$FG17,$Q$4:$V$4)+MIN(6,$FH17*2+$FI17*3,SUMPRODUCT($FB17:$FG17,$Q$4:$V$4)))+$DW17*3</f>
        <v/>
      </c>
      <c r="FW17" s="152">
        <f>MAX(0,12-SUMPRODUCT($FB17:$FG17,$Q$5:$V$5)+MIN(8,$FH17*2+$FI17*4,SUMPRODUCT($FB17:$FG17,$Q$5:$V$5)))+$DW17*4</f>
        <v/>
      </c>
      <c r="FX17" s="152">
        <f>MAX(0,15-SUMPRODUCT($FB17:$FG17,$Q$6:$V$6)+MIN(10,$FH17*3+$FI17*5,SUMPRODUCT($FB17:$FG17,$Q$6:$V$6)))+$DW17*5</f>
        <v/>
      </c>
      <c r="FY17" s="152">
        <f>MAX(0,18-SUMPRODUCT($FB17:$FG17,$Q$7:$V$7)+MIN(12,$FH17*3+$FI17*6,SUMPRODUCT($FB17:$FG17,$Q$7:$V$7)))+$DW17*6</f>
        <v/>
      </c>
      <c r="FZ17" s="152">
        <f>MAX(0,21-SUMPRODUCT($FB17:$FG17,$Q$8:$V$8)+MIN(14,$FH17*4+$FI17*7,SUMPRODUCT($FB17:$FG17,$Q$8:$V$8)))+$DW17*7</f>
        <v/>
      </c>
      <c r="GA17" s="152">
        <f>IF($EV17=2,3*$FT17&amp;" de vida temp.",IF($EV17=3,"sem dano",IF($FT17=0,IF($EV17=1,"sem cura","sem dano"),IF($EV17=1,"cura ","")&amp;$FT17&amp;"d8")))</f>
        <v/>
      </c>
      <c r="GB17" s="152">
        <f>IF($EV17=2,3*$FU17&amp;" de vida temp.",IF($EV17=3,"sem dano",IF($FU17=0,IF($EV17=1,"sem cura","sem dano"),IF($EV17=1,"cura ","")&amp;$FU17&amp;"d8")))</f>
        <v/>
      </c>
      <c r="GC17" s="152">
        <f>IF($EV17=2,3*$FV17&amp;" de vida temp.",IF($EV17=3,"sem dano",IF($FV17=0,IF($EV17=1,"sem cura","sem dano"),IF($EV17=1,"cura ","")&amp;$FV17&amp;"d8")))</f>
        <v/>
      </c>
      <c r="GD17" s="152">
        <f>IF($EV17=2,3*$FW17&amp;" de vida temp.",IF($EV17=3,"sem dano",IF($FW17=0,IF($EV17=1,"sem cura","sem dano"),IF($EV17=1,"cura ","")&amp;$FW17&amp;"d8")))</f>
        <v/>
      </c>
      <c r="GE17" s="152">
        <f>IF($EV17=2,3*$FX17&amp;" de vida temp.",IF($EV17=3,"sem dano",IF($FX17=0,IF($EV17=1,"sem cura","sem dano"),IF($EV17=1,"cura ","")&amp;$FX17&amp;"d8")))</f>
        <v/>
      </c>
      <c r="GF17" s="152">
        <f>IF($EV17=2,3*$FY17&amp;" de vida temp.",IF($EV17=3,"sem dano",IF($FY17=0,IF($EV17=1,"sem cura","sem dano"),IF($EV17=1,"cura ","")&amp;$FY17&amp;"d8")))</f>
        <v/>
      </c>
      <c r="GG17" s="152">
        <f>IF($EV17=2,3*$FZ17&amp;" de vida temp.",IF($EV17=3,"sem dano",IF($FZ17=0,IF($EV17=1,"sem cura","sem dano"),IF($EV17=1,"cura ","")&amp;$FZ17&amp;"d8")))</f>
        <v/>
      </c>
      <c r="GH17" s="152">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52">
        <f>IF($GH17="",0,(LEN($GH17)-LEN(SUBSTITUTE($GH17," · ","")))/3+1)</f>
        <v/>
      </c>
      <c r="GJ17" s="152">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52">
        <f>IF($GJ17="",0,(LEN($GJ17)-LEN(SUBSTITUTE($GJ17," · ","")))/3+1)</f>
        <v/>
      </c>
      <c r="GL17" s="152">
        <f>IF($EH17=0,IF($FJ17+$FK17-$EU17&gt;0,"Dê um nome",""),IF($GI17&gt;0,"⚠ "&amp;$GI17&amp;IF($GI17&gt;1," erros"," erro"),IF($GK17&gt;0,"! "&amp;$GK17&amp;IF($GK17&gt;1," avisos"," aviso"),"Na regra")))</f>
        <v/>
      </c>
      <c r="GM17" s="152">
        <f>IF($EH17=0,"",IF($GI17+$GK17=0,"Dentro das regras que a ficha confere",$GH17&amp;IF(AND($GI17&gt;0,$GK17&gt;0)," · ","")&amp;$GJ17))</f>
        <v/>
      </c>
      <c r="GN17" s="152">
        <f>IF($EH17=0,"",IF($DW17=1,CEILING(4.5*$DY17,1),3*$DY17)&amp;" PE")</f>
        <v/>
      </c>
      <c r="GO17" s="152">
        <f>IF($EH17=0,"",IF($DW17=1,"Rodada inteira",IF(COUNTIF($EZ17:$FA17,"Atrasar")&gt;0,IF(COUNTIF($EZ17:$FA17,"Carregar")&gt;0,"Rodada +1 turno","Rodada inteira"),IF(COUNTIF($EB17:$EE17,"Rápido")&gt;0,"Bônus",IF(COUNTIF($EB17:$EE17,"Reação")&gt;0,"Reação","Padrão"))&amp;IF(COUNTIF($EZ17:$FA17,"Carregar")&gt;0," +1 turno",""))))</f>
        <v/>
      </c>
      <c r="GP17" s="152">
        <f>IF(OR($EH17=0,$EI17=0),"",IF(COUNTIF($EB17:$EE17,"Inescapável")&gt;0,"Automático",IF(COUNTIF($EB17:$EE17,"Certeiro")&gt;0,"TR para metade",INDEX($AF$2:$AF$11,$EI17))))</f>
        <v/>
      </c>
      <c r="GQ17" s="152">
        <f>IF(OR($EH17=0,$EI17=0),"",IF(OR($EV17&gt;=2,$FR17=0),UPPER(LEFT(INDEX($GA17:$GG17,1,$DY17),1))&amp;MID(INDEX($GA17:$GG17,1,$DY17),2,99),UPPER(LEFT(INDEX($GA17:$GG17,1,$DY17),1))&amp;MID(INDEX($GA17:$GG17,1,$DY17),2,99)&amp;" = "&amp;FLOOR($FR17*4.5,1)&amp;IF($FS17&gt;0," · +"&amp;$FS17&amp;"d8","")))</f>
        <v/>
      </c>
      <c r="GR17" s="152">
        <f>COUNTIF($EB17:$EE17,"Longe")+3*COUNTIF($EB17:$EE17,"Muito Longe")</f>
        <v/>
      </c>
      <c r="GS17" s="152">
        <f>COUNTIF($EB17:$EE17,"Maior")+3*COUNTIF($EB17:$EE17,"Muito Maior")</f>
        <v/>
      </c>
      <c r="GT17" s="152">
        <f>IF($EI17=0,0,CHOOSE(1+INDEX($AH$2:$AH$11,$EI17),0,$GR17,$GS17,$GR17+$GS17))</f>
        <v/>
      </c>
      <c r="GU17" s="152">
        <f>IF($EI17=0,0,CHOOSE(1+INDEX($AI$2:$AI$11,$EI17),0,$GR17,$GS17,$GR17+$GS17))</f>
        <v/>
      </c>
      <c r="GV17" s="152">
        <f>IF(OR($EH17=0,$EI17=0),"",INDEX($AP$2:$AU$31,($EI17-1)*3+IF($DY17&gt;=6,3,2),1+MIN(5,$GT17))&amp;INDEX($AV$2:$BA$31,($EI17-1)*3+IF($DY17&gt;=6,3,2),1+MIN(5,$GU17))&amp;IF(INDEX($AJ$2:$AJ$11,$EI17)=1,IF(COUNTIF($EB17:$EE17,"Mais Um")&gt;0," · +"&amp;COUNTIF($EB17:$EE17,"Mais Um")&amp;IF(COUNTIF($EB17:$EE17,"Mais Um")&gt;1," alvos"," alvo"),"")&amp;IF(COUNTIF($EB17:$EE17,"Rajada")&gt;0," · "&amp;($DY17+1)&amp;" tiros",""),""))</f>
        <v/>
      </c>
      <c r="GW17" s="152">
        <f>IF($EH17=0,"",3*$DY17&amp;" − "&amp;$FL17&amp;" + "&amp;$FO17&amp;IF($DW17=1," + "&amp;$DY17,"")&amp;" = "&amp;$FR17&amp;"d8 · teto "&amp;4*$DY17&amp;IF($EU17=1," · a Forma devolve "&amp;$DY17,"")&amp;IF($FP17&gt;0," · perde "&amp;$FP17,""))</f>
        <v/>
      </c>
      <c r="GX17" s="152">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52">
        <f>IF(OR($EH17=0,$EK17=0),"","−"&amp;INDEX($Q$2:$V$8,$DY17,$EK17)&amp;" · "&amp;CHOOSE($EK17,"Leve","Média","Pesada","Leve · Livre","Média · Livre","Pesada · Livre"))</f>
        <v/>
      </c>
      <c r="GZ17" s="152">
        <f>IF(OR($EH17=0,$EL17=0),"","−"&amp;INDEX($Q$2:$V$8,$DY17,$EL17)&amp;" · "&amp;CHOOSE($EL17,"Leve","Média","Pesada","Leve · Livre","Média · Livre","Pesada · Livre"))</f>
        <v/>
      </c>
      <c r="HA17" s="152">
        <f>IF(OR($EH17=0,$EM17=0),"","−"&amp;INDEX($Q$2:$V$8,$DY17,$EM17)&amp;" · "&amp;CHOOSE($EM17,"Leve","Média","Pesada","Leve · Livre","Média · Livre","Pesada · Livre"))</f>
        <v/>
      </c>
      <c r="HB17" s="152">
        <f>IF(OR($EH17=0,$EN17=0),"","−"&amp;INDEX($Q$2:$V$8,$DY17,$EN17)&amp;" · "&amp;CHOOSE($EN17,"Leve","Média","Pesada","Leve · Livre","Média · Livre","Pesada · Livre"))</f>
        <v/>
      </c>
      <c r="HC17" s="152">
        <f>IF(OR($EH17=0,$EF17=""),"","+"&amp;IF($EX17=1,CEILING($DY17/2,1),$DY17))</f>
        <v/>
      </c>
      <c r="HD17" s="152">
        <f>IF(OR($EH17=0,$EG17=""),"","+"&amp;IF($EY17=1,CEILING($DY17/2,1),$DY17))</f>
        <v/>
      </c>
      <c r="HE17" s="152">
        <f>'FICHA AMALDIÇOADA'!$D$160&amp;""</f>
        <v/>
      </c>
      <c r="HF17" s="152">
        <f>IF(AND($EH17=1,$DW17=0),COUNTIFS($EH$2:$EH17,1,$DW$2:$DW17,0),"")</f>
        <v/>
      </c>
      <c r="HH17" s="150" t="inlineStr">
        <is>
          <t>espaços da regra própria</t>
        </is>
      </c>
      <c r="HI17" s="152">
        <f>MAX(0,$HI$16-1)</f>
        <v/>
      </c>
      <c r="JD17" s="152" t="n">
        <v>16</v>
      </c>
      <c r="JE17" s="152">
        <f>IFERROR(MATCH(16,$HF$2:$HF$37,0),0)</f>
        <v/>
      </c>
      <c r="JF17" s="152">
        <f>IF($JE17=0,"",INDEX($DY$2:$DY$37,$JE17))</f>
        <v/>
      </c>
      <c r="JG17" s="152">
        <f>IF($JE17=0,"",INDEX($DZ$2:$DZ$37,$JE17))</f>
        <v/>
      </c>
      <c r="JH17" s="152">
        <f>IF($JE17=0,"",INDEX($GN$2:$GN$37,$JE17))</f>
        <v/>
      </c>
      <c r="JI17" s="152">
        <f>IF($JE17=0,"",INDEX($EA$2:$EA$37,$JE17))</f>
        <v/>
      </c>
      <c r="JJ17" s="152">
        <f>IF($JE17=0,"",INDEX($GP$2:$GP$37,$JE17))</f>
        <v/>
      </c>
      <c r="JK17" s="152">
        <f>IF($JE17=0,"",INDEX($HE$2:$HE$37,$JE17))</f>
        <v/>
      </c>
      <c r="KN17" s="150" t="inlineStr">
        <is>
          <t>par aptidões 2</t>
        </is>
      </c>
      <c r="KO17" s="152">
        <f>UPPER(INDEX($D$6:$G$6,1,$A$2))&amp;" 7 A 12"</f>
        <v/>
      </c>
      <c r="KQ17" s="150" t="inlineStr">
        <is>
          <t>R33</t>
        </is>
      </c>
      <c r="KR17" s="152">
        <f>IF(DADOS_AM!$HI$16=0,"—",IF(IFERROR(VLOOKUP(DADOS_AM!$HI$16,DADOS_AM!$BZ$2:$CA$4,2,FALSE),0)&gt;DADOS_AM!$HI$2,"⚠ Nível "&amp;VLOOKUP(DADOS_AM!$HI$16,DADOS_AM!$BZ$2:$CA$4,2,FALSE),IF(DADOS_AM!$HI$16&gt;1,DADOS_AM!$HI$16-1,"De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L18" s="150" t="inlineStr">
        <is>
          <t>Aquecer</t>
        </is>
      </c>
      <c r="BM18" s="150" t="inlineStr">
        <is>
          <t>Aquecer</t>
        </is>
      </c>
      <c r="BN18" s="152" t="n">
        <v>1</v>
      </c>
      <c r="BO18" s="152" t="n">
        <v>1</v>
      </c>
      <c r="BP18" s="150" t="inlineStr">
        <is>
          <t>Aquecer</t>
        </is>
      </c>
      <c r="BR18" s="150" t="inlineStr">
        <is>
          <t>Talento Próprio (CE 1)</t>
        </is>
      </c>
      <c r="BS18" s="152" t="n">
        <v>1</v>
      </c>
      <c r="BT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52" t="n">
        <v>1</v>
      </c>
      <c r="BV18" s="152" t="n">
        <v>1</v>
      </c>
      <c r="BW18" s="152">
        <f>IF(OR(AND($A$2&lt;=2,$BU18=1),AND($A$2&gt;=2,$BV18=1)),$BR18,"")</f>
        <v/>
      </c>
      <c r="BX18" s="150" t="inlineStr">
        <is>
          <t>Categoria de Efeito 1, 2 ou 3. Custos e níveis da Categoria escolhida. Se o catálogo não representar a ideia, escreva o efeito com o mestre antes da sessão. Ele ocupa os espaços correspondentes e conta no máximo de cinco Talentos pagos.</t>
        </is>
      </c>
      <c r="CC18" s="150" t="inlineStr">
        <is>
          <t>Aptidão Própria (CE 2)</t>
        </is>
      </c>
      <c r="CD18" s="150" t="inlineStr">
        <is>
          <t>Uma única vez na ficha</t>
        </is>
      </c>
      <c r="CE18" s="152" t="n">
        <v>2</v>
      </c>
      <c r="CF18" s="150" t="inlineStr">
        <is>
          <t>—</t>
        </is>
      </c>
      <c r="CG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52">
        <f>IF($CK18=1,"",IF($A$2=4,IF($CI18=1,$CC18,""),IF(OR($CI18=1,AND($A$2=3,$CJ18=1)),"",$CC18)))</f>
        <v/>
      </c>
      <c r="CI18" s="152" t="n">
        <v>0</v>
      </c>
      <c r="CJ18" s="152" t="n">
        <v>0</v>
      </c>
      <c r="CK18" s="152" t="n">
        <v>0</v>
      </c>
      <c r="CL18" s="150" t="inlineStr">
        <is>
          <t>Você cria uma aptidão com o mestre antes da sessão.</t>
        </is>
      </c>
      <c r="DV18" s="150" t="inlineStr">
        <is>
          <t>Feitiço 17</t>
        </is>
      </c>
      <c r="DW18" s="152" t="n">
        <v>0</v>
      </c>
      <c r="DX18" s="152" t="n">
        <v>17</v>
      </c>
      <c r="DY18" s="152">
        <f>MAX(1,MIN(7,N('FICHA AMALDIÇOADA'!$J$158)))</f>
        <v/>
      </c>
      <c r="DZ18" s="152">
        <f>'FICHA AMALDIÇOADA'!$K$158&amp;""</f>
        <v/>
      </c>
      <c r="EA18" s="152">
        <f>'FICHA AMALDIÇOADA'!$J$165&amp;""</f>
        <v/>
      </c>
      <c r="EB18" s="152">
        <f>'FICHA AMALDIÇOADA'!$K$167&amp;""</f>
        <v/>
      </c>
      <c r="EC18" s="152">
        <f>'FICHA AMALDIÇOADA'!$K$168&amp;""</f>
        <v/>
      </c>
      <c r="ED18" s="152">
        <f>'FICHA AMALDIÇOADA'!$K$169&amp;""</f>
        <v/>
      </c>
      <c r="EE18" s="152">
        <f>'FICHA AMALDIÇOADA'!$K$170&amp;""</f>
        <v/>
      </c>
      <c r="EF18" s="152">
        <f>'FICHA AMALDIÇOADA'!$K$171&amp;""</f>
        <v/>
      </c>
      <c r="EG18" s="152">
        <f>'FICHA AMALDIÇOADA'!$K$172&amp;""</f>
        <v/>
      </c>
      <c r="EH18" s="152">
        <f>IF($DZ18&lt;&gt;"",1,0)</f>
        <v/>
      </c>
      <c r="EI18" s="152">
        <f>IFERROR(MATCH($EA18,$Y$2:$Y$11,0),0)</f>
        <v/>
      </c>
      <c r="EJ18" s="152">
        <f>IF($EI18=0,0,INDEX($AB$2:$AB$11,$EI18))</f>
        <v/>
      </c>
      <c r="EK18" s="152">
        <f>IFERROR(VLOOKUP($EB18,$BC$2:$BJ$84,4,FALSE),0)</f>
        <v/>
      </c>
      <c r="EL18" s="152">
        <f>IFERROR(VLOOKUP($EC18,$BC$2:$BJ$84,4,FALSE),0)</f>
        <v/>
      </c>
      <c r="EM18" s="152">
        <f>IFERROR(VLOOKUP($ED18,$BC$2:$BJ$84,4,FALSE),0)</f>
        <v/>
      </c>
      <c r="EN18" s="152">
        <f>IFERROR(VLOOKUP($EE18,$BC$2:$BJ$84,4,FALSE),0)</f>
        <v/>
      </c>
      <c r="EO18" s="152">
        <f>IF($EI18=0,0,INDEX($AC$2:$AC$11,$EI18))</f>
        <v/>
      </c>
      <c r="EP18" s="152">
        <f>IFERROR(VLOOKUP($EB18,$BC$2:$BJ$84,5,FALSE),0)</f>
        <v/>
      </c>
      <c r="EQ18" s="152">
        <f>IFERROR(VLOOKUP($EC18,$BC$2:$BJ$84,5,FALSE),0)</f>
        <v/>
      </c>
      <c r="ER18" s="152">
        <f>IFERROR(VLOOKUP($ED18,$BC$2:$BJ$84,5,FALSE),0)</f>
        <v/>
      </c>
      <c r="ES18" s="152">
        <f>IFERROR(VLOOKUP($EE18,$BC$2:$BJ$84,5,FALSE),0)</f>
        <v/>
      </c>
      <c r="ET18" s="152">
        <f>IFERROR(VLOOKUP($EB18,$BC$2:$BJ$84,6,FALSE),0)+IFERROR(VLOOKUP($EC18,$BC$2:$BJ$84,6,FALSE),0)+IFERROR(VLOOKUP($ED18,$BC$2:$BJ$84,6,FALSE),0)+IFERROR(VLOOKUP($EE18,$BC$2:$BJ$84,6,FALSE),0)</f>
        <v/>
      </c>
      <c r="EU18" s="152">
        <f>IF($EI18=0,0,INDEX($AD$2:$AD$11,$EI18))</f>
        <v/>
      </c>
      <c r="EV18" s="152">
        <f>IF($EI18=0,0,INDEX($AE$2:$AE$11,$EI18))</f>
        <v/>
      </c>
      <c r="EW18" s="152">
        <f>IF($EI18=0,0,INDEX($AG$2:$AG$11,$EI18))</f>
        <v/>
      </c>
      <c r="EX18" s="152">
        <f>IFERROR(VLOOKUP($EF18,$BL$2:$BP$24,3,FALSE),0)</f>
        <v/>
      </c>
      <c r="EY18" s="152">
        <f>IFERROR(VLOOKUP($EG18,$BL$2:$BP$24,3,FALSE),0)</f>
        <v/>
      </c>
      <c r="EZ18" s="152">
        <f>IFERROR(VLOOKUP($EF18,$BL$2:$BP$24,2,FALSE),"")</f>
        <v/>
      </c>
      <c r="FA18" s="152">
        <f>IFERROR(VLOOKUP($EG18,$BL$2:$BP$24,2,FALSE),"")</f>
        <v/>
      </c>
      <c r="FB18" s="152">
        <f>COUNTIF($EJ18:$EN18,1)</f>
        <v/>
      </c>
      <c r="FC18" s="152">
        <f>COUNTIF($EJ18:$EN18,2)</f>
        <v/>
      </c>
      <c r="FD18" s="152">
        <f>COUNTIF($EJ18:$EN18,3)</f>
        <v/>
      </c>
      <c r="FE18" s="152">
        <f>COUNTIF($EJ18:$EN18,4)</f>
        <v/>
      </c>
      <c r="FF18" s="152">
        <f>COUNTIF($EJ18:$EN18,5)</f>
        <v/>
      </c>
      <c r="FG18" s="152">
        <f>COUNTIF($EJ18:$EN18,6)</f>
        <v/>
      </c>
      <c r="FH18" s="152">
        <f>COUNTIF($EX18:$EY18,1)</f>
        <v/>
      </c>
      <c r="FI18" s="152">
        <f>COUNTIF($EX18:$EY18,2)+$EU18</f>
        <v/>
      </c>
      <c r="FJ18" s="152">
        <f>COUNTIF($EB18:$EE18,"?*")</f>
        <v/>
      </c>
      <c r="FK18" s="152">
        <f>COUNTIF($EF18:$EG18,"?*")+$EU18</f>
        <v/>
      </c>
      <c r="FL18" s="152">
        <f>SUMPRODUCT($FB18:$FG18,INDEX($Q$2:$V$8,$DY18,0))</f>
        <v/>
      </c>
      <c r="FM18" s="152">
        <f>$FH18*CEILING($DY18/2,1)+$FI18*$DY18</f>
        <v/>
      </c>
      <c r="FN18" s="152">
        <f>MIN(2*$DY18,$FM18)</f>
        <v/>
      </c>
      <c r="FO18" s="152">
        <f>MIN($FN18,$FL18)</f>
        <v/>
      </c>
      <c r="FP18" s="152">
        <f>$FN18-$FO18</f>
        <v/>
      </c>
      <c r="FQ18" s="152">
        <f>3*$DY18-$FL18+$FO18</f>
        <v/>
      </c>
      <c r="FR18" s="152">
        <f>MAX(0,$FQ18)+$DW18*$DY18</f>
        <v/>
      </c>
      <c r="FS18" s="152">
        <f>(IF(COUNTIF($EB18:$EE18,"Salto")&gt;0,1,0)+IF(COUNTIF($EB18:$EE18,"Queima")&gt;0,1,0)+IF(COUNTIF($EB18:$EE18,"Estilhaço")&gt;0,1,0))*FLOOR($FR18/2,1)</f>
        <v/>
      </c>
      <c r="FT18" s="152">
        <f>MAX(0,3-SUMPRODUCT($FB18:$FG18,$Q$2:$V$2)+MIN(2,$FH18*1+$FI18*1,SUMPRODUCT($FB18:$FG18,$Q$2:$V$2)))+$DW18*1</f>
        <v/>
      </c>
      <c r="FU18" s="152">
        <f>MAX(0,6-SUMPRODUCT($FB18:$FG18,$Q$3:$V$3)+MIN(4,$FH18*1+$FI18*2,SUMPRODUCT($FB18:$FG18,$Q$3:$V$3)))+$DW18*2</f>
        <v/>
      </c>
      <c r="FV18" s="152">
        <f>MAX(0,9-SUMPRODUCT($FB18:$FG18,$Q$4:$V$4)+MIN(6,$FH18*2+$FI18*3,SUMPRODUCT($FB18:$FG18,$Q$4:$V$4)))+$DW18*3</f>
        <v/>
      </c>
      <c r="FW18" s="152">
        <f>MAX(0,12-SUMPRODUCT($FB18:$FG18,$Q$5:$V$5)+MIN(8,$FH18*2+$FI18*4,SUMPRODUCT($FB18:$FG18,$Q$5:$V$5)))+$DW18*4</f>
        <v/>
      </c>
      <c r="FX18" s="152">
        <f>MAX(0,15-SUMPRODUCT($FB18:$FG18,$Q$6:$V$6)+MIN(10,$FH18*3+$FI18*5,SUMPRODUCT($FB18:$FG18,$Q$6:$V$6)))+$DW18*5</f>
        <v/>
      </c>
      <c r="FY18" s="152">
        <f>MAX(0,18-SUMPRODUCT($FB18:$FG18,$Q$7:$V$7)+MIN(12,$FH18*3+$FI18*6,SUMPRODUCT($FB18:$FG18,$Q$7:$V$7)))+$DW18*6</f>
        <v/>
      </c>
      <c r="FZ18" s="152">
        <f>MAX(0,21-SUMPRODUCT($FB18:$FG18,$Q$8:$V$8)+MIN(14,$FH18*4+$FI18*7,SUMPRODUCT($FB18:$FG18,$Q$8:$V$8)))+$DW18*7</f>
        <v/>
      </c>
      <c r="GA18" s="152">
        <f>IF($EV18=2,3*$FT18&amp;" de vida temp.",IF($EV18=3,"sem dano",IF($FT18=0,IF($EV18=1,"sem cura","sem dano"),IF($EV18=1,"cura ","")&amp;$FT18&amp;"d8")))</f>
        <v/>
      </c>
      <c r="GB18" s="152">
        <f>IF($EV18=2,3*$FU18&amp;" de vida temp.",IF($EV18=3,"sem dano",IF($FU18=0,IF($EV18=1,"sem cura","sem dano"),IF($EV18=1,"cura ","")&amp;$FU18&amp;"d8")))</f>
        <v/>
      </c>
      <c r="GC18" s="152">
        <f>IF($EV18=2,3*$FV18&amp;" de vida temp.",IF($EV18=3,"sem dano",IF($FV18=0,IF($EV18=1,"sem cura","sem dano"),IF($EV18=1,"cura ","")&amp;$FV18&amp;"d8")))</f>
        <v/>
      </c>
      <c r="GD18" s="152">
        <f>IF($EV18=2,3*$FW18&amp;" de vida temp.",IF($EV18=3,"sem dano",IF($FW18=0,IF($EV18=1,"sem cura","sem dano"),IF($EV18=1,"cura ","")&amp;$FW18&amp;"d8")))</f>
        <v/>
      </c>
      <c r="GE18" s="152">
        <f>IF($EV18=2,3*$FX18&amp;" de vida temp.",IF($EV18=3,"sem dano",IF($FX18=0,IF($EV18=1,"sem cura","sem dano"),IF($EV18=1,"cura ","")&amp;$FX18&amp;"d8")))</f>
        <v/>
      </c>
      <c r="GF18" s="152">
        <f>IF($EV18=2,3*$FY18&amp;" de vida temp.",IF($EV18=3,"sem dano",IF($FY18=0,IF($EV18=1,"sem cura","sem dano"),IF($EV18=1,"cura ","")&amp;$FY18&amp;"d8")))</f>
        <v/>
      </c>
      <c r="GG18" s="152">
        <f>IF($EV18=2,3*$FZ18&amp;" de vida temp.",IF($EV18=3,"sem dano",IF($FZ18=0,IF($EV18=1,"sem cura","sem dano"),IF($EV18=1,"cura ","")&amp;$FZ18&amp;"d8")))</f>
        <v/>
      </c>
      <c r="GH18" s="152">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52">
        <f>IF($GH18="",0,(LEN($GH18)-LEN(SUBSTITUTE($GH18," · ","")))/3+1)</f>
        <v/>
      </c>
      <c r="GJ18" s="152">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52">
        <f>IF($GJ18="",0,(LEN($GJ18)-LEN(SUBSTITUTE($GJ18," · ","")))/3+1)</f>
        <v/>
      </c>
      <c r="GL18" s="152">
        <f>IF($EH18=0,IF($FJ18+$FK18-$EU18&gt;0,"Dê um nome",""),IF($GI18&gt;0,"⚠ "&amp;$GI18&amp;IF($GI18&gt;1," erros"," erro"),IF($GK18&gt;0,"! "&amp;$GK18&amp;IF($GK18&gt;1," avisos"," aviso"),"Na regra")))</f>
        <v/>
      </c>
      <c r="GM18" s="152">
        <f>IF($EH18=0,"",IF($GI18+$GK18=0,"Dentro das regras que a ficha confere",$GH18&amp;IF(AND($GI18&gt;0,$GK18&gt;0)," · ","")&amp;$GJ18))</f>
        <v/>
      </c>
      <c r="GN18" s="152">
        <f>IF($EH18=0,"",IF($DW18=1,CEILING(4.5*$DY18,1),3*$DY18)&amp;" PE")</f>
        <v/>
      </c>
      <c r="GO18" s="152">
        <f>IF($EH18=0,"",IF($DW18=1,"Rodada inteira",IF(COUNTIF($EZ18:$FA18,"Atrasar")&gt;0,IF(COUNTIF($EZ18:$FA18,"Carregar")&gt;0,"Rodada +1 turno","Rodada inteira"),IF(COUNTIF($EB18:$EE18,"Rápido")&gt;0,"Bônus",IF(COUNTIF($EB18:$EE18,"Reação")&gt;0,"Reação","Padrão"))&amp;IF(COUNTIF($EZ18:$FA18,"Carregar")&gt;0," +1 turno",""))))</f>
        <v/>
      </c>
      <c r="GP18" s="152">
        <f>IF(OR($EH18=0,$EI18=0),"",IF(COUNTIF($EB18:$EE18,"Inescapável")&gt;0,"Automático",IF(COUNTIF($EB18:$EE18,"Certeiro")&gt;0,"TR para metade",INDEX($AF$2:$AF$11,$EI18))))</f>
        <v/>
      </c>
      <c r="GQ18" s="152">
        <f>IF(OR($EH18=0,$EI18=0),"",IF(OR($EV18&gt;=2,$FR18=0),UPPER(LEFT(INDEX($GA18:$GG18,1,$DY18),1))&amp;MID(INDEX($GA18:$GG18,1,$DY18),2,99),UPPER(LEFT(INDEX($GA18:$GG18,1,$DY18),1))&amp;MID(INDEX($GA18:$GG18,1,$DY18),2,99)&amp;" = "&amp;FLOOR($FR18*4.5,1)&amp;IF($FS18&gt;0," · +"&amp;$FS18&amp;"d8","")))</f>
        <v/>
      </c>
      <c r="GR18" s="152">
        <f>COUNTIF($EB18:$EE18,"Longe")+3*COUNTIF($EB18:$EE18,"Muito Longe")</f>
        <v/>
      </c>
      <c r="GS18" s="152">
        <f>COUNTIF($EB18:$EE18,"Maior")+3*COUNTIF($EB18:$EE18,"Muito Maior")</f>
        <v/>
      </c>
      <c r="GT18" s="152">
        <f>IF($EI18=0,0,CHOOSE(1+INDEX($AH$2:$AH$11,$EI18),0,$GR18,$GS18,$GR18+$GS18))</f>
        <v/>
      </c>
      <c r="GU18" s="152">
        <f>IF($EI18=0,0,CHOOSE(1+INDEX($AI$2:$AI$11,$EI18),0,$GR18,$GS18,$GR18+$GS18))</f>
        <v/>
      </c>
      <c r="GV18" s="152">
        <f>IF(OR($EH18=0,$EI18=0),"",INDEX($AP$2:$AU$31,($EI18-1)*3+IF($DY18&gt;=6,3,2),1+MIN(5,$GT18))&amp;INDEX($AV$2:$BA$31,($EI18-1)*3+IF($DY18&gt;=6,3,2),1+MIN(5,$GU18))&amp;IF(INDEX($AJ$2:$AJ$11,$EI18)=1,IF(COUNTIF($EB18:$EE18,"Mais Um")&gt;0," · +"&amp;COUNTIF($EB18:$EE18,"Mais Um")&amp;IF(COUNTIF($EB18:$EE18,"Mais Um")&gt;1," alvos"," alvo"),"")&amp;IF(COUNTIF($EB18:$EE18,"Rajada")&gt;0," · "&amp;($DY18+1)&amp;" tiros",""),""))</f>
        <v/>
      </c>
      <c r="GW18" s="152">
        <f>IF($EH18=0,"",3*$DY18&amp;" − "&amp;$FL18&amp;" + "&amp;$FO18&amp;IF($DW18=1," + "&amp;$DY18,"")&amp;" = "&amp;$FR18&amp;"d8 · teto "&amp;4*$DY18&amp;IF($EU18=1," · a Forma devolve "&amp;$DY18,"")&amp;IF($FP18&gt;0," · perde "&amp;$FP18,""))</f>
        <v/>
      </c>
      <c r="GX18" s="152">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52">
        <f>IF(OR($EH18=0,$EK18=0),"","−"&amp;INDEX($Q$2:$V$8,$DY18,$EK18)&amp;" · "&amp;CHOOSE($EK18,"Leve","Média","Pesada","Leve · Livre","Média · Livre","Pesada · Livre"))</f>
        <v/>
      </c>
      <c r="GZ18" s="152">
        <f>IF(OR($EH18=0,$EL18=0),"","−"&amp;INDEX($Q$2:$V$8,$DY18,$EL18)&amp;" · "&amp;CHOOSE($EL18,"Leve","Média","Pesada","Leve · Livre","Média · Livre","Pesada · Livre"))</f>
        <v/>
      </c>
      <c r="HA18" s="152">
        <f>IF(OR($EH18=0,$EM18=0),"","−"&amp;INDEX($Q$2:$V$8,$DY18,$EM18)&amp;" · "&amp;CHOOSE($EM18,"Leve","Média","Pesada","Leve · Livre","Média · Livre","Pesada · Livre"))</f>
        <v/>
      </c>
      <c r="HB18" s="152">
        <f>IF(OR($EH18=0,$EN18=0),"","−"&amp;INDEX($Q$2:$V$8,$DY18,$EN18)&amp;" · "&amp;CHOOSE($EN18,"Leve","Média","Pesada","Leve · Livre","Média · Livre","Pesada · Livre"))</f>
        <v/>
      </c>
      <c r="HC18" s="152">
        <f>IF(OR($EH18=0,$EF18=""),"","+"&amp;IF($EX18=1,CEILING($DY18/2,1),$DY18))</f>
        <v/>
      </c>
      <c r="HD18" s="152">
        <f>IF(OR($EH18=0,$EG18=""),"","+"&amp;IF($EY18=1,CEILING($DY18/2,1),$DY18))</f>
        <v/>
      </c>
      <c r="HE18" s="152">
        <f>'FICHA AMALDIÇOADA'!$J$160&amp;""</f>
        <v/>
      </c>
      <c r="HF18" s="152">
        <f>IF(AND($EH18=1,$DW18=0),COUNTIFS($EH$2:$EH18,1,$DW$2:$DW18,0),"")</f>
        <v/>
      </c>
      <c r="HH18" s="150" t="inlineStr">
        <is>
          <t>espaços em passivas</t>
        </is>
      </c>
      <c r="HI18" s="152">
        <f>IFERROR(VLOOKUP('FICHA AMALDIÇOADA'!$D$379,$BR$2:$BX$24,2,FALSE),0)+IFERROR(VLOOKUP('FICHA AMALDIÇOADA'!$J$379,$BR$2:$BX$24,2,FALSE),0)+IFERROR(VLOOKUP('FICHA AMALDIÇOADA'!$P$379,$BR$2:$BX$24,2,FALSE),0)+IFERROR(VLOOKUP('FICHA AMALDIÇOADA'!$D$387,$BR$2:$BX$24,2,FALSE),0)+IFERROR(VLOOKUP('FICHA AMALDIÇOADA'!$J$387,$BR$2:$BX$24,2,FALSE),0)+$HI$17</f>
        <v/>
      </c>
      <c r="JD18" s="152" t="n">
        <v>17</v>
      </c>
      <c r="JE18" s="152">
        <f>IFERROR(MATCH(17,$HF$2:$HF$37,0),0)</f>
        <v/>
      </c>
      <c r="JF18" s="152">
        <f>IF($JE18=0,"",INDEX($DY$2:$DY$37,$JE18))</f>
        <v/>
      </c>
      <c r="JG18" s="152">
        <f>IF($JE18=0,"",INDEX($DZ$2:$DZ$37,$JE18))</f>
        <v/>
      </c>
      <c r="JH18" s="152">
        <f>IF($JE18=0,"",INDEX($GN$2:$GN$37,$JE18))</f>
        <v/>
      </c>
      <c r="JI18" s="152">
        <f>IF($JE18=0,"",INDEX($EA$2:$EA$37,$JE18))</f>
        <v/>
      </c>
      <c r="JJ18" s="152">
        <f>IF($JE18=0,"",INDEX($GP$2:$GP$37,$JE18))</f>
        <v/>
      </c>
      <c r="JK18" s="152">
        <f>IF($JE18=0,"",INDEX($HE$2:$HE$37,$JE18))</f>
        <v/>
      </c>
      <c r="KN18" s="150" t="inlineStr">
        <is>
          <t>par aptidões 4</t>
        </is>
      </c>
      <c r="KO18" s="152">
        <f>UPPER(INDEX($D$6:$G$6,1,$A$2))&amp;" 13 A 14"</f>
        <v/>
      </c>
      <c r="KQ18" s="150" t="inlineStr">
        <is>
          <t>Q37</t>
        </is>
      </c>
      <c r="KR18" s="152">
        <f>IF(OR(DADOS_AM!$HI$30&lt;&gt;2,DADOS_AM!$HI$31&lt;&gt;3),"⚠ ","")&amp;DADOS_AM!$HI$30&amp;" de 2 · "&amp;DADOS_AM!$HI$31&amp;"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L19" s="150" t="inlineStr">
        <is>
          <t>Dívida</t>
        </is>
      </c>
      <c r="BM19" s="150" t="inlineStr">
        <is>
          <t>Dívida</t>
        </is>
      </c>
      <c r="BN19" s="152" t="n">
        <v>2</v>
      </c>
      <c r="BO19" s="152" t="n">
        <v>1</v>
      </c>
      <c r="BP19" s="150" t="inlineStr"/>
      <c r="BR19" s="150" t="inlineStr">
        <is>
          <t>Talento Próprio (CE 2)</t>
        </is>
      </c>
      <c r="BS19" s="152" t="n">
        <v>2</v>
      </c>
      <c r="BT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52" t="n">
        <v>1</v>
      </c>
      <c r="BV19" s="152" t="n">
        <v>1</v>
      </c>
      <c r="BW19" s="152">
        <f>IF(OR(AND($A$2&lt;=2,$BU19=1),AND($A$2&gt;=2,$BV19=1)),$BR19,"")</f>
        <v/>
      </c>
      <c r="BX19" s="150" t="inlineStr">
        <is>
          <t>Categoria de Efeito 1, 2 ou 3. Custos e níveis da Categoria escolhida. Se o catálogo não representar a ideia, escreva o efeito com o mestre antes da sessão. Ele ocupa os espaços correspondentes e conta no máximo de cinco Talentos pagos.</t>
        </is>
      </c>
      <c r="CC19" s="150" t="inlineStr">
        <is>
          <t>Defesa sem Armadura</t>
        </is>
      </c>
      <c r="CD19" s="150" t="inlineStr">
        <is>
          <t>Gratuita na Lapidação 1</t>
        </is>
      </c>
      <c r="CE19" s="150" t="inlineStr">
        <is>
          <t>—</t>
        </is>
      </c>
      <c r="CF19" s="150" t="inlineStr">
        <is>
          <t>Proteção</t>
        </is>
      </c>
      <c r="CG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52">
        <f>IF($CK19=1,"",IF($A$2=4,IF($CI19=1,$CC19,""),IF(OR($CI19=1,AND($A$2=3,$CJ19=1)),"",$CC19)))</f>
        <v/>
      </c>
      <c r="CI19" s="152" t="n">
        <v>1</v>
      </c>
      <c r="CJ19" s="152" t="n">
        <v>0</v>
      </c>
      <c r="CK19" s="152" t="n">
        <v>1</v>
      </c>
      <c r="CL19" s="150" t="inlineStr">
        <is>
          <t>Enquanto não usar Traje nem Revestimento, você recebe proteção igual a um terço da Lapidação, arredondado para baixo, +1.</t>
        </is>
      </c>
      <c r="DV19" s="150" t="inlineStr">
        <is>
          <t>Feitiço 18</t>
        </is>
      </c>
      <c r="DW19" s="152" t="n">
        <v>0</v>
      </c>
      <c r="DX19" s="152" t="n">
        <v>18</v>
      </c>
      <c r="DY19" s="152">
        <f>MAX(1,MIN(7,N('FICHA AMALDIÇOADA'!$P$158)))</f>
        <v/>
      </c>
      <c r="DZ19" s="152">
        <f>'FICHA AMALDIÇOADA'!$Q$158&amp;""</f>
        <v/>
      </c>
      <c r="EA19" s="152">
        <f>'FICHA AMALDIÇOADA'!$P$165&amp;""</f>
        <v/>
      </c>
      <c r="EB19" s="152">
        <f>'FICHA AMALDIÇOADA'!$Q$167&amp;""</f>
        <v/>
      </c>
      <c r="EC19" s="152">
        <f>'FICHA AMALDIÇOADA'!$Q$168&amp;""</f>
        <v/>
      </c>
      <c r="ED19" s="152">
        <f>'FICHA AMALDIÇOADA'!$Q$169&amp;""</f>
        <v/>
      </c>
      <c r="EE19" s="152">
        <f>'FICHA AMALDIÇOADA'!$Q$170&amp;""</f>
        <v/>
      </c>
      <c r="EF19" s="152">
        <f>'FICHA AMALDIÇOADA'!$Q$171&amp;""</f>
        <v/>
      </c>
      <c r="EG19" s="152">
        <f>'FICHA AMALDIÇOADA'!$Q$172&amp;""</f>
        <v/>
      </c>
      <c r="EH19" s="152">
        <f>IF($DZ19&lt;&gt;"",1,0)</f>
        <v/>
      </c>
      <c r="EI19" s="152">
        <f>IFERROR(MATCH($EA19,$Y$2:$Y$11,0),0)</f>
        <v/>
      </c>
      <c r="EJ19" s="152">
        <f>IF($EI19=0,0,INDEX($AB$2:$AB$11,$EI19))</f>
        <v/>
      </c>
      <c r="EK19" s="152">
        <f>IFERROR(VLOOKUP($EB19,$BC$2:$BJ$84,4,FALSE),0)</f>
        <v/>
      </c>
      <c r="EL19" s="152">
        <f>IFERROR(VLOOKUP($EC19,$BC$2:$BJ$84,4,FALSE),0)</f>
        <v/>
      </c>
      <c r="EM19" s="152">
        <f>IFERROR(VLOOKUP($ED19,$BC$2:$BJ$84,4,FALSE),0)</f>
        <v/>
      </c>
      <c r="EN19" s="152">
        <f>IFERROR(VLOOKUP($EE19,$BC$2:$BJ$84,4,FALSE),0)</f>
        <v/>
      </c>
      <c r="EO19" s="152">
        <f>IF($EI19=0,0,INDEX($AC$2:$AC$11,$EI19))</f>
        <v/>
      </c>
      <c r="EP19" s="152">
        <f>IFERROR(VLOOKUP($EB19,$BC$2:$BJ$84,5,FALSE),0)</f>
        <v/>
      </c>
      <c r="EQ19" s="152">
        <f>IFERROR(VLOOKUP($EC19,$BC$2:$BJ$84,5,FALSE),0)</f>
        <v/>
      </c>
      <c r="ER19" s="152">
        <f>IFERROR(VLOOKUP($ED19,$BC$2:$BJ$84,5,FALSE),0)</f>
        <v/>
      </c>
      <c r="ES19" s="152">
        <f>IFERROR(VLOOKUP($EE19,$BC$2:$BJ$84,5,FALSE),0)</f>
        <v/>
      </c>
      <c r="ET19" s="152">
        <f>IFERROR(VLOOKUP($EB19,$BC$2:$BJ$84,6,FALSE),0)+IFERROR(VLOOKUP($EC19,$BC$2:$BJ$84,6,FALSE),0)+IFERROR(VLOOKUP($ED19,$BC$2:$BJ$84,6,FALSE),0)+IFERROR(VLOOKUP($EE19,$BC$2:$BJ$84,6,FALSE),0)</f>
        <v/>
      </c>
      <c r="EU19" s="152">
        <f>IF($EI19=0,0,INDEX($AD$2:$AD$11,$EI19))</f>
        <v/>
      </c>
      <c r="EV19" s="152">
        <f>IF($EI19=0,0,INDEX($AE$2:$AE$11,$EI19))</f>
        <v/>
      </c>
      <c r="EW19" s="152">
        <f>IF($EI19=0,0,INDEX($AG$2:$AG$11,$EI19))</f>
        <v/>
      </c>
      <c r="EX19" s="152">
        <f>IFERROR(VLOOKUP($EF19,$BL$2:$BP$24,3,FALSE),0)</f>
        <v/>
      </c>
      <c r="EY19" s="152">
        <f>IFERROR(VLOOKUP($EG19,$BL$2:$BP$24,3,FALSE),0)</f>
        <v/>
      </c>
      <c r="EZ19" s="152">
        <f>IFERROR(VLOOKUP($EF19,$BL$2:$BP$24,2,FALSE),"")</f>
        <v/>
      </c>
      <c r="FA19" s="152">
        <f>IFERROR(VLOOKUP($EG19,$BL$2:$BP$24,2,FALSE),"")</f>
        <v/>
      </c>
      <c r="FB19" s="152">
        <f>COUNTIF($EJ19:$EN19,1)</f>
        <v/>
      </c>
      <c r="FC19" s="152">
        <f>COUNTIF($EJ19:$EN19,2)</f>
        <v/>
      </c>
      <c r="FD19" s="152">
        <f>COUNTIF($EJ19:$EN19,3)</f>
        <v/>
      </c>
      <c r="FE19" s="152">
        <f>COUNTIF($EJ19:$EN19,4)</f>
        <v/>
      </c>
      <c r="FF19" s="152">
        <f>COUNTIF($EJ19:$EN19,5)</f>
        <v/>
      </c>
      <c r="FG19" s="152">
        <f>COUNTIF($EJ19:$EN19,6)</f>
        <v/>
      </c>
      <c r="FH19" s="152">
        <f>COUNTIF($EX19:$EY19,1)</f>
        <v/>
      </c>
      <c r="FI19" s="152">
        <f>COUNTIF($EX19:$EY19,2)+$EU19</f>
        <v/>
      </c>
      <c r="FJ19" s="152">
        <f>COUNTIF($EB19:$EE19,"?*")</f>
        <v/>
      </c>
      <c r="FK19" s="152">
        <f>COUNTIF($EF19:$EG19,"?*")+$EU19</f>
        <v/>
      </c>
      <c r="FL19" s="152">
        <f>SUMPRODUCT($FB19:$FG19,INDEX($Q$2:$V$8,$DY19,0))</f>
        <v/>
      </c>
      <c r="FM19" s="152">
        <f>$FH19*CEILING($DY19/2,1)+$FI19*$DY19</f>
        <v/>
      </c>
      <c r="FN19" s="152">
        <f>MIN(2*$DY19,$FM19)</f>
        <v/>
      </c>
      <c r="FO19" s="152">
        <f>MIN($FN19,$FL19)</f>
        <v/>
      </c>
      <c r="FP19" s="152">
        <f>$FN19-$FO19</f>
        <v/>
      </c>
      <c r="FQ19" s="152">
        <f>3*$DY19-$FL19+$FO19</f>
        <v/>
      </c>
      <c r="FR19" s="152">
        <f>MAX(0,$FQ19)+$DW19*$DY19</f>
        <v/>
      </c>
      <c r="FS19" s="152">
        <f>(IF(COUNTIF($EB19:$EE19,"Salto")&gt;0,1,0)+IF(COUNTIF($EB19:$EE19,"Queima")&gt;0,1,0)+IF(COUNTIF($EB19:$EE19,"Estilhaço")&gt;0,1,0))*FLOOR($FR19/2,1)</f>
        <v/>
      </c>
      <c r="FT19" s="152">
        <f>MAX(0,3-SUMPRODUCT($FB19:$FG19,$Q$2:$V$2)+MIN(2,$FH19*1+$FI19*1,SUMPRODUCT($FB19:$FG19,$Q$2:$V$2)))+$DW19*1</f>
        <v/>
      </c>
      <c r="FU19" s="152">
        <f>MAX(0,6-SUMPRODUCT($FB19:$FG19,$Q$3:$V$3)+MIN(4,$FH19*1+$FI19*2,SUMPRODUCT($FB19:$FG19,$Q$3:$V$3)))+$DW19*2</f>
        <v/>
      </c>
      <c r="FV19" s="152">
        <f>MAX(0,9-SUMPRODUCT($FB19:$FG19,$Q$4:$V$4)+MIN(6,$FH19*2+$FI19*3,SUMPRODUCT($FB19:$FG19,$Q$4:$V$4)))+$DW19*3</f>
        <v/>
      </c>
      <c r="FW19" s="152">
        <f>MAX(0,12-SUMPRODUCT($FB19:$FG19,$Q$5:$V$5)+MIN(8,$FH19*2+$FI19*4,SUMPRODUCT($FB19:$FG19,$Q$5:$V$5)))+$DW19*4</f>
        <v/>
      </c>
      <c r="FX19" s="152">
        <f>MAX(0,15-SUMPRODUCT($FB19:$FG19,$Q$6:$V$6)+MIN(10,$FH19*3+$FI19*5,SUMPRODUCT($FB19:$FG19,$Q$6:$V$6)))+$DW19*5</f>
        <v/>
      </c>
      <c r="FY19" s="152">
        <f>MAX(0,18-SUMPRODUCT($FB19:$FG19,$Q$7:$V$7)+MIN(12,$FH19*3+$FI19*6,SUMPRODUCT($FB19:$FG19,$Q$7:$V$7)))+$DW19*6</f>
        <v/>
      </c>
      <c r="FZ19" s="152">
        <f>MAX(0,21-SUMPRODUCT($FB19:$FG19,$Q$8:$V$8)+MIN(14,$FH19*4+$FI19*7,SUMPRODUCT($FB19:$FG19,$Q$8:$V$8)))+$DW19*7</f>
        <v/>
      </c>
      <c r="GA19" s="152">
        <f>IF($EV19=2,3*$FT19&amp;" de vida temp.",IF($EV19=3,"sem dano",IF($FT19=0,IF($EV19=1,"sem cura","sem dano"),IF($EV19=1,"cura ","")&amp;$FT19&amp;"d8")))</f>
        <v/>
      </c>
      <c r="GB19" s="152">
        <f>IF($EV19=2,3*$FU19&amp;" de vida temp.",IF($EV19=3,"sem dano",IF($FU19=0,IF($EV19=1,"sem cura","sem dano"),IF($EV19=1,"cura ","")&amp;$FU19&amp;"d8")))</f>
        <v/>
      </c>
      <c r="GC19" s="152">
        <f>IF($EV19=2,3*$FV19&amp;" de vida temp.",IF($EV19=3,"sem dano",IF($FV19=0,IF($EV19=1,"sem cura","sem dano"),IF($EV19=1,"cura ","")&amp;$FV19&amp;"d8")))</f>
        <v/>
      </c>
      <c r="GD19" s="152">
        <f>IF($EV19=2,3*$FW19&amp;" de vida temp.",IF($EV19=3,"sem dano",IF($FW19=0,IF($EV19=1,"sem cura","sem dano"),IF($EV19=1,"cura ","")&amp;$FW19&amp;"d8")))</f>
        <v/>
      </c>
      <c r="GE19" s="152">
        <f>IF($EV19=2,3*$FX19&amp;" de vida temp.",IF($EV19=3,"sem dano",IF($FX19=0,IF($EV19=1,"sem cura","sem dano"),IF($EV19=1,"cura ","")&amp;$FX19&amp;"d8")))</f>
        <v/>
      </c>
      <c r="GF19" s="152">
        <f>IF($EV19=2,3*$FY19&amp;" de vida temp.",IF($EV19=3,"sem dano",IF($FY19=0,IF($EV19=1,"sem cura","sem dano"),IF($EV19=1,"cura ","")&amp;$FY19&amp;"d8")))</f>
        <v/>
      </c>
      <c r="GG19" s="152">
        <f>IF($EV19=2,3*$FZ19&amp;" de vida temp.",IF($EV19=3,"sem dano",IF($FZ19=0,IF($EV19=1,"sem cura","sem dano"),IF($EV19=1,"cura ","")&amp;$FZ19&amp;"d8")))</f>
        <v/>
      </c>
      <c r="GH19" s="152">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52">
        <f>IF($GH19="",0,(LEN($GH19)-LEN(SUBSTITUTE($GH19," · ","")))/3+1)</f>
        <v/>
      </c>
      <c r="GJ19" s="152">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52">
        <f>IF($GJ19="",0,(LEN($GJ19)-LEN(SUBSTITUTE($GJ19," · ","")))/3+1)</f>
        <v/>
      </c>
      <c r="GL19" s="152">
        <f>IF($EH19=0,IF($FJ19+$FK19-$EU19&gt;0,"Dê um nome",""),IF($GI19&gt;0,"⚠ "&amp;$GI19&amp;IF($GI19&gt;1," erros"," erro"),IF($GK19&gt;0,"! "&amp;$GK19&amp;IF($GK19&gt;1," avisos"," aviso"),"Na regra")))</f>
        <v/>
      </c>
      <c r="GM19" s="152">
        <f>IF($EH19=0,"",IF($GI19+$GK19=0,"Dentro das regras que a ficha confere",$GH19&amp;IF(AND($GI19&gt;0,$GK19&gt;0)," · ","")&amp;$GJ19))</f>
        <v/>
      </c>
      <c r="GN19" s="152">
        <f>IF($EH19=0,"",IF($DW19=1,CEILING(4.5*$DY19,1),3*$DY19)&amp;" PE")</f>
        <v/>
      </c>
      <c r="GO19" s="152">
        <f>IF($EH19=0,"",IF($DW19=1,"Rodada inteira",IF(COUNTIF($EZ19:$FA19,"Atrasar")&gt;0,IF(COUNTIF($EZ19:$FA19,"Carregar")&gt;0,"Rodada +1 turno","Rodada inteira"),IF(COUNTIF($EB19:$EE19,"Rápido")&gt;0,"Bônus",IF(COUNTIF($EB19:$EE19,"Reação")&gt;0,"Reação","Padrão"))&amp;IF(COUNTIF($EZ19:$FA19,"Carregar")&gt;0," +1 turno",""))))</f>
        <v/>
      </c>
      <c r="GP19" s="152">
        <f>IF(OR($EH19=0,$EI19=0),"",IF(COUNTIF($EB19:$EE19,"Inescapável")&gt;0,"Automático",IF(COUNTIF($EB19:$EE19,"Certeiro")&gt;0,"TR para metade",INDEX($AF$2:$AF$11,$EI19))))</f>
        <v/>
      </c>
      <c r="GQ19" s="152">
        <f>IF(OR($EH19=0,$EI19=0),"",IF(OR($EV19&gt;=2,$FR19=0),UPPER(LEFT(INDEX($GA19:$GG19,1,$DY19),1))&amp;MID(INDEX($GA19:$GG19,1,$DY19),2,99),UPPER(LEFT(INDEX($GA19:$GG19,1,$DY19),1))&amp;MID(INDEX($GA19:$GG19,1,$DY19),2,99)&amp;" = "&amp;FLOOR($FR19*4.5,1)&amp;IF($FS19&gt;0," · +"&amp;$FS19&amp;"d8","")))</f>
        <v/>
      </c>
      <c r="GR19" s="152">
        <f>COUNTIF($EB19:$EE19,"Longe")+3*COUNTIF($EB19:$EE19,"Muito Longe")</f>
        <v/>
      </c>
      <c r="GS19" s="152">
        <f>COUNTIF($EB19:$EE19,"Maior")+3*COUNTIF($EB19:$EE19,"Muito Maior")</f>
        <v/>
      </c>
      <c r="GT19" s="152">
        <f>IF($EI19=0,0,CHOOSE(1+INDEX($AH$2:$AH$11,$EI19),0,$GR19,$GS19,$GR19+$GS19))</f>
        <v/>
      </c>
      <c r="GU19" s="152">
        <f>IF($EI19=0,0,CHOOSE(1+INDEX($AI$2:$AI$11,$EI19),0,$GR19,$GS19,$GR19+$GS19))</f>
        <v/>
      </c>
      <c r="GV19" s="152">
        <f>IF(OR($EH19=0,$EI19=0),"",INDEX($AP$2:$AU$31,($EI19-1)*3+IF($DY19&gt;=6,3,2),1+MIN(5,$GT19))&amp;INDEX($AV$2:$BA$31,($EI19-1)*3+IF($DY19&gt;=6,3,2),1+MIN(5,$GU19))&amp;IF(INDEX($AJ$2:$AJ$11,$EI19)=1,IF(COUNTIF($EB19:$EE19,"Mais Um")&gt;0," · +"&amp;COUNTIF($EB19:$EE19,"Mais Um")&amp;IF(COUNTIF($EB19:$EE19,"Mais Um")&gt;1," alvos"," alvo"),"")&amp;IF(COUNTIF($EB19:$EE19,"Rajada")&gt;0," · "&amp;($DY19+1)&amp;" tiros",""),""))</f>
        <v/>
      </c>
      <c r="GW19" s="152">
        <f>IF($EH19=0,"",3*$DY19&amp;" − "&amp;$FL19&amp;" + "&amp;$FO19&amp;IF($DW19=1," + "&amp;$DY19,"")&amp;" = "&amp;$FR19&amp;"d8 · teto "&amp;4*$DY19&amp;IF($EU19=1," · a Forma devolve "&amp;$DY19,"")&amp;IF($FP19&gt;0," · perde "&amp;$FP19,""))</f>
        <v/>
      </c>
      <c r="GX19" s="152">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52">
        <f>IF(OR($EH19=0,$EK19=0),"","−"&amp;INDEX($Q$2:$V$8,$DY19,$EK19)&amp;" · "&amp;CHOOSE($EK19,"Leve","Média","Pesada","Leve · Livre","Média · Livre","Pesada · Livre"))</f>
        <v/>
      </c>
      <c r="GZ19" s="152">
        <f>IF(OR($EH19=0,$EL19=0),"","−"&amp;INDEX($Q$2:$V$8,$DY19,$EL19)&amp;" · "&amp;CHOOSE($EL19,"Leve","Média","Pesada","Leve · Livre","Média · Livre","Pesada · Livre"))</f>
        <v/>
      </c>
      <c r="HA19" s="152">
        <f>IF(OR($EH19=0,$EM19=0),"","−"&amp;INDEX($Q$2:$V$8,$DY19,$EM19)&amp;" · "&amp;CHOOSE($EM19,"Leve","Média","Pesada","Leve · Livre","Média · Livre","Pesada · Livre"))</f>
        <v/>
      </c>
      <c r="HB19" s="152">
        <f>IF(OR($EH19=0,$EN19=0),"","−"&amp;INDEX($Q$2:$V$8,$DY19,$EN19)&amp;" · "&amp;CHOOSE($EN19,"Leve","Média","Pesada","Leve · Livre","Média · Livre","Pesada · Livre"))</f>
        <v/>
      </c>
      <c r="HC19" s="152">
        <f>IF(OR($EH19=0,$EF19=""),"","+"&amp;IF($EX19=1,CEILING($DY19/2,1),$DY19))</f>
        <v/>
      </c>
      <c r="HD19" s="152">
        <f>IF(OR($EH19=0,$EG19=""),"","+"&amp;IF($EY19=1,CEILING($DY19/2,1),$DY19))</f>
        <v/>
      </c>
      <c r="HE19" s="152">
        <f>'FICHA AMALDIÇOADA'!$P$160&amp;""</f>
        <v/>
      </c>
      <c r="HF19" s="152">
        <f>IF(AND($EH19=1,$DW19=0),COUNTIFS($EH$2:$EH19,1,$DW$2:$DW19,0),"")</f>
        <v/>
      </c>
      <c r="HH19" s="150" t="inlineStr">
        <is>
          <t>espaços no domínio</t>
        </is>
      </c>
      <c r="HI19" s="152">
        <f>IF($A$2&lt;&gt;1,0,IFERROR(VLOOKUP($HI$34,$DK$2:$DO$4,2,FALSE),0))</f>
        <v/>
      </c>
      <c r="JD19" s="152" t="n">
        <v>18</v>
      </c>
      <c r="JE19" s="152">
        <f>IFERROR(MATCH(18,$HF$2:$HF$37,0),0)</f>
        <v/>
      </c>
      <c r="JF19" s="152">
        <f>IF($JE19=0,"",INDEX($DY$2:$DY$37,$JE19))</f>
        <v/>
      </c>
      <c r="JG19" s="152">
        <f>IF($JE19=0,"",INDEX($DZ$2:$DZ$37,$JE19))</f>
        <v/>
      </c>
      <c r="JH19" s="152">
        <f>IF($JE19=0,"",INDEX($GN$2:$GN$37,$JE19))</f>
        <v/>
      </c>
      <c r="JI19" s="152">
        <f>IF($JE19=0,"",INDEX($EA$2:$EA$37,$JE19))</f>
        <v/>
      </c>
      <c r="JJ19" s="152">
        <f>IF($JE19=0,"",INDEX($GP$2:$GP$37,$JE19))</f>
        <v/>
      </c>
      <c r="JK19" s="152">
        <f>IF($JE19=0,"",INDEX($HE$2:$HE$37,$JE19))</f>
        <v/>
      </c>
      <c r="KQ19" s="150" t="inlineStr">
        <is>
          <t>J42</t>
        </is>
      </c>
      <c r="KR19" s="152">
        <f>"+"&amp;DADOS_AM!$HI$8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L20" s="150" t="inlineStr">
        <is>
          <t>Tudo ou Nada</t>
        </is>
      </c>
      <c r="BM20" s="150" t="inlineStr">
        <is>
          <t>Tudo ou Nada</t>
        </is>
      </c>
      <c r="BN20" s="152" t="n">
        <v>1</v>
      </c>
      <c r="BO20" s="152" t="n">
        <v>0</v>
      </c>
      <c r="BP20" s="150" t="inlineStr">
        <is>
          <t>Tudo ou Nada</t>
        </is>
      </c>
      <c r="BR20" s="150" t="inlineStr">
        <is>
          <t>Talento Próprio (CE 3)</t>
        </is>
      </c>
      <c r="BS20" s="152" t="n">
        <v>3</v>
      </c>
      <c r="BT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52" t="n">
        <v>1</v>
      </c>
      <c r="BV20" s="152" t="n">
        <v>1</v>
      </c>
      <c r="BW20" s="152">
        <f>IF(OR(AND($A$2&lt;=2,$BU20=1),AND($A$2&gt;=2,$BV20=1)),$BR20,"")</f>
        <v/>
      </c>
      <c r="BX20" s="150" t="inlineStr">
        <is>
          <t>Categoria de Efeito 1, 2 ou 3. Custos e níveis da Categoria escolhida. Se o catálogo não representar a ideia, escreva o efeito com o mestre antes da sessão. Ele ocupa os espaços correspondentes e conta no máximo de cinco Talentos pagos.</t>
        </is>
      </c>
      <c r="CC20" s="150" t="inlineStr">
        <is>
          <t>Estímulo Muscular</t>
        </is>
      </c>
      <c r="CD20" s="150" t="inlineStr">
        <is>
          <t>Gratuita na Lapidação 1</t>
        </is>
      </c>
      <c r="CE20" s="150" t="inlineStr">
        <is>
          <t>—</t>
        </is>
      </c>
      <c r="CF20" s="150" t="inlineStr">
        <is>
          <t>Dano adicional</t>
        </is>
      </c>
      <c r="CG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52">
        <f>IF($CK20=1,"",IF($A$2=4,IF($CI20=1,$CC20,""),IF(OR($CI20=1,AND($A$2=3,$CJ20=1)),"",$CC20)))</f>
        <v/>
      </c>
      <c r="CI20" s="152" t="n">
        <v>1</v>
      </c>
      <c r="CJ20" s="152" t="n">
        <v>0</v>
      </c>
      <c r="CK20" s="152" t="n">
        <v>1</v>
      </c>
      <c r="CL20" s="150" t="inlineStr">
        <is>
          <t>Escolha uma perícia e um Teste de Resistência na criação.</t>
        </is>
      </c>
      <c r="DV20" s="150" t="inlineStr">
        <is>
          <t>Feitiço 19</t>
        </is>
      </c>
      <c r="DW20" s="152" t="n">
        <v>0</v>
      </c>
      <c r="DX20" s="152" t="n">
        <v>19</v>
      </c>
      <c r="DY20" s="152">
        <f>MAX(1,MIN(7,N('FICHA AMALDIÇOADA'!$D$179)))</f>
        <v/>
      </c>
      <c r="DZ20" s="152">
        <f>'FICHA AMALDIÇOADA'!$E$179&amp;""</f>
        <v/>
      </c>
      <c r="EA20" s="152">
        <f>'FICHA AMALDIÇOADA'!$D$186&amp;""</f>
        <v/>
      </c>
      <c r="EB20" s="152">
        <f>'FICHA AMALDIÇOADA'!$E$188&amp;""</f>
        <v/>
      </c>
      <c r="EC20" s="152">
        <f>'FICHA AMALDIÇOADA'!$E$189&amp;""</f>
        <v/>
      </c>
      <c r="ED20" s="152">
        <f>'FICHA AMALDIÇOADA'!$E$190&amp;""</f>
        <v/>
      </c>
      <c r="EE20" s="152">
        <f>'FICHA AMALDIÇOADA'!$E$191&amp;""</f>
        <v/>
      </c>
      <c r="EF20" s="152">
        <f>'FICHA AMALDIÇOADA'!$E$192&amp;""</f>
        <v/>
      </c>
      <c r="EG20" s="152">
        <f>'FICHA AMALDIÇOADA'!$E$193&amp;""</f>
        <v/>
      </c>
      <c r="EH20" s="152">
        <f>IF($DZ20&lt;&gt;"",1,0)</f>
        <v/>
      </c>
      <c r="EI20" s="152">
        <f>IFERROR(MATCH($EA20,$Y$2:$Y$11,0),0)</f>
        <v/>
      </c>
      <c r="EJ20" s="152">
        <f>IF($EI20=0,0,INDEX($AB$2:$AB$11,$EI20))</f>
        <v/>
      </c>
      <c r="EK20" s="152">
        <f>IFERROR(VLOOKUP($EB20,$BC$2:$BJ$84,4,FALSE),0)</f>
        <v/>
      </c>
      <c r="EL20" s="152">
        <f>IFERROR(VLOOKUP($EC20,$BC$2:$BJ$84,4,FALSE),0)</f>
        <v/>
      </c>
      <c r="EM20" s="152">
        <f>IFERROR(VLOOKUP($ED20,$BC$2:$BJ$84,4,FALSE),0)</f>
        <v/>
      </c>
      <c r="EN20" s="152">
        <f>IFERROR(VLOOKUP($EE20,$BC$2:$BJ$84,4,FALSE),0)</f>
        <v/>
      </c>
      <c r="EO20" s="152">
        <f>IF($EI20=0,0,INDEX($AC$2:$AC$11,$EI20))</f>
        <v/>
      </c>
      <c r="EP20" s="152">
        <f>IFERROR(VLOOKUP($EB20,$BC$2:$BJ$84,5,FALSE),0)</f>
        <v/>
      </c>
      <c r="EQ20" s="152">
        <f>IFERROR(VLOOKUP($EC20,$BC$2:$BJ$84,5,FALSE),0)</f>
        <v/>
      </c>
      <c r="ER20" s="152">
        <f>IFERROR(VLOOKUP($ED20,$BC$2:$BJ$84,5,FALSE),0)</f>
        <v/>
      </c>
      <c r="ES20" s="152">
        <f>IFERROR(VLOOKUP($EE20,$BC$2:$BJ$84,5,FALSE),0)</f>
        <v/>
      </c>
      <c r="ET20" s="152">
        <f>IFERROR(VLOOKUP($EB20,$BC$2:$BJ$84,6,FALSE),0)+IFERROR(VLOOKUP($EC20,$BC$2:$BJ$84,6,FALSE),0)+IFERROR(VLOOKUP($ED20,$BC$2:$BJ$84,6,FALSE),0)+IFERROR(VLOOKUP($EE20,$BC$2:$BJ$84,6,FALSE),0)</f>
        <v/>
      </c>
      <c r="EU20" s="152">
        <f>IF($EI20=0,0,INDEX($AD$2:$AD$11,$EI20))</f>
        <v/>
      </c>
      <c r="EV20" s="152">
        <f>IF($EI20=0,0,INDEX($AE$2:$AE$11,$EI20))</f>
        <v/>
      </c>
      <c r="EW20" s="152">
        <f>IF($EI20=0,0,INDEX($AG$2:$AG$11,$EI20))</f>
        <v/>
      </c>
      <c r="EX20" s="152">
        <f>IFERROR(VLOOKUP($EF20,$BL$2:$BP$24,3,FALSE),0)</f>
        <v/>
      </c>
      <c r="EY20" s="152">
        <f>IFERROR(VLOOKUP($EG20,$BL$2:$BP$24,3,FALSE),0)</f>
        <v/>
      </c>
      <c r="EZ20" s="152">
        <f>IFERROR(VLOOKUP($EF20,$BL$2:$BP$24,2,FALSE),"")</f>
        <v/>
      </c>
      <c r="FA20" s="152">
        <f>IFERROR(VLOOKUP($EG20,$BL$2:$BP$24,2,FALSE),"")</f>
        <v/>
      </c>
      <c r="FB20" s="152">
        <f>COUNTIF($EJ20:$EN20,1)</f>
        <v/>
      </c>
      <c r="FC20" s="152">
        <f>COUNTIF($EJ20:$EN20,2)</f>
        <v/>
      </c>
      <c r="FD20" s="152">
        <f>COUNTIF($EJ20:$EN20,3)</f>
        <v/>
      </c>
      <c r="FE20" s="152">
        <f>COUNTIF($EJ20:$EN20,4)</f>
        <v/>
      </c>
      <c r="FF20" s="152">
        <f>COUNTIF($EJ20:$EN20,5)</f>
        <v/>
      </c>
      <c r="FG20" s="152">
        <f>COUNTIF($EJ20:$EN20,6)</f>
        <v/>
      </c>
      <c r="FH20" s="152">
        <f>COUNTIF($EX20:$EY20,1)</f>
        <v/>
      </c>
      <c r="FI20" s="152">
        <f>COUNTIF($EX20:$EY20,2)+$EU20</f>
        <v/>
      </c>
      <c r="FJ20" s="152">
        <f>COUNTIF($EB20:$EE20,"?*")</f>
        <v/>
      </c>
      <c r="FK20" s="152">
        <f>COUNTIF($EF20:$EG20,"?*")+$EU20</f>
        <v/>
      </c>
      <c r="FL20" s="152">
        <f>SUMPRODUCT($FB20:$FG20,INDEX($Q$2:$V$8,$DY20,0))</f>
        <v/>
      </c>
      <c r="FM20" s="152">
        <f>$FH20*CEILING($DY20/2,1)+$FI20*$DY20</f>
        <v/>
      </c>
      <c r="FN20" s="152">
        <f>MIN(2*$DY20,$FM20)</f>
        <v/>
      </c>
      <c r="FO20" s="152">
        <f>MIN($FN20,$FL20)</f>
        <v/>
      </c>
      <c r="FP20" s="152">
        <f>$FN20-$FO20</f>
        <v/>
      </c>
      <c r="FQ20" s="152">
        <f>3*$DY20-$FL20+$FO20</f>
        <v/>
      </c>
      <c r="FR20" s="152">
        <f>MAX(0,$FQ20)+$DW20*$DY20</f>
        <v/>
      </c>
      <c r="FS20" s="152">
        <f>(IF(COUNTIF($EB20:$EE20,"Salto")&gt;0,1,0)+IF(COUNTIF($EB20:$EE20,"Queima")&gt;0,1,0)+IF(COUNTIF($EB20:$EE20,"Estilhaço")&gt;0,1,0))*FLOOR($FR20/2,1)</f>
        <v/>
      </c>
      <c r="FT20" s="152">
        <f>MAX(0,3-SUMPRODUCT($FB20:$FG20,$Q$2:$V$2)+MIN(2,$FH20*1+$FI20*1,SUMPRODUCT($FB20:$FG20,$Q$2:$V$2)))+$DW20*1</f>
        <v/>
      </c>
      <c r="FU20" s="152">
        <f>MAX(0,6-SUMPRODUCT($FB20:$FG20,$Q$3:$V$3)+MIN(4,$FH20*1+$FI20*2,SUMPRODUCT($FB20:$FG20,$Q$3:$V$3)))+$DW20*2</f>
        <v/>
      </c>
      <c r="FV20" s="152">
        <f>MAX(0,9-SUMPRODUCT($FB20:$FG20,$Q$4:$V$4)+MIN(6,$FH20*2+$FI20*3,SUMPRODUCT($FB20:$FG20,$Q$4:$V$4)))+$DW20*3</f>
        <v/>
      </c>
      <c r="FW20" s="152">
        <f>MAX(0,12-SUMPRODUCT($FB20:$FG20,$Q$5:$V$5)+MIN(8,$FH20*2+$FI20*4,SUMPRODUCT($FB20:$FG20,$Q$5:$V$5)))+$DW20*4</f>
        <v/>
      </c>
      <c r="FX20" s="152">
        <f>MAX(0,15-SUMPRODUCT($FB20:$FG20,$Q$6:$V$6)+MIN(10,$FH20*3+$FI20*5,SUMPRODUCT($FB20:$FG20,$Q$6:$V$6)))+$DW20*5</f>
        <v/>
      </c>
      <c r="FY20" s="152">
        <f>MAX(0,18-SUMPRODUCT($FB20:$FG20,$Q$7:$V$7)+MIN(12,$FH20*3+$FI20*6,SUMPRODUCT($FB20:$FG20,$Q$7:$V$7)))+$DW20*6</f>
        <v/>
      </c>
      <c r="FZ20" s="152">
        <f>MAX(0,21-SUMPRODUCT($FB20:$FG20,$Q$8:$V$8)+MIN(14,$FH20*4+$FI20*7,SUMPRODUCT($FB20:$FG20,$Q$8:$V$8)))+$DW20*7</f>
        <v/>
      </c>
      <c r="GA20" s="152">
        <f>IF($EV20=2,3*$FT20&amp;" de vida temp.",IF($EV20=3,"sem dano",IF($FT20=0,IF($EV20=1,"sem cura","sem dano"),IF($EV20=1,"cura ","")&amp;$FT20&amp;"d8")))</f>
        <v/>
      </c>
      <c r="GB20" s="152">
        <f>IF($EV20=2,3*$FU20&amp;" de vida temp.",IF($EV20=3,"sem dano",IF($FU20=0,IF($EV20=1,"sem cura","sem dano"),IF($EV20=1,"cura ","")&amp;$FU20&amp;"d8")))</f>
        <v/>
      </c>
      <c r="GC20" s="152">
        <f>IF($EV20=2,3*$FV20&amp;" de vida temp.",IF($EV20=3,"sem dano",IF($FV20=0,IF($EV20=1,"sem cura","sem dano"),IF($EV20=1,"cura ","")&amp;$FV20&amp;"d8")))</f>
        <v/>
      </c>
      <c r="GD20" s="152">
        <f>IF($EV20=2,3*$FW20&amp;" de vida temp.",IF($EV20=3,"sem dano",IF($FW20=0,IF($EV20=1,"sem cura","sem dano"),IF($EV20=1,"cura ","")&amp;$FW20&amp;"d8")))</f>
        <v/>
      </c>
      <c r="GE20" s="152">
        <f>IF($EV20=2,3*$FX20&amp;" de vida temp.",IF($EV20=3,"sem dano",IF($FX20=0,IF($EV20=1,"sem cura","sem dano"),IF($EV20=1,"cura ","")&amp;$FX20&amp;"d8")))</f>
        <v/>
      </c>
      <c r="GF20" s="152">
        <f>IF($EV20=2,3*$FY20&amp;" de vida temp.",IF($EV20=3,"sem dano",IF($FY20=0,IF($EV20=1,"sem cura","sem dano"),IF($EV20=1,"cura ","")&amp;$FY20&amp;"d8")))</f>
        <v/>
      </c>
      <c r="GG20" s="152">
        <f>IF($EV20=2,3*$FZ20&amp;" de vida temp.",IF($EV20=3,"sem dano",IF($FZ20=0,IF($EV20=1,"sem cura","sem dano"),IF($EV20=1,"cura ","")&amp;$FZ20&amp;"d8")))</f>
        <v/>
      </c>
      <c r="GH20" s="152">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52">
        <f>IF($GH20="",0,(LEN($GH20)-LEN(SUBSTITUTE($GH20," · ","")))/3+1)</f>
        <v/>
      </c>
      <c r="GJ20" s="152">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52">
        <f>IF($GJ20="",0,(LEN($GJ20)-LEN(SUBSTITUTE($GJ20," · ","")))/3+1)</f>
        <v/>
      </c>
      <c r="GL20" s="152">
        <f>IF($EH20=0,IF($FJ20+$FK20-$EU20&gt;0,"Dê um nome",""),IF($GI20&gt;0,"⚠ "&amp;$GI20&amp;IF($GI20&gt;1," erros"," erro"),IF($GK20&gt;0,"! "&amp;$GK20&amp;IF($GK20&gt;1," avisos"," aviso"),"Na regra")))</f>
        <v/>
      </c>
      <c r="GM20" s="152">
        <f>IF($EH20=0,"",IF($GI20+$GK20=0,"Dentro das regras que a ficha confere",$GH20&amp;IF(AND($GI20&gt;0,$GK20&gt;0)," · ","")&amp;$GJ20))</f>
        <v/>
      </c>
      <c r="GN20" s="152">
        <f>IF($EH20=0,"",IF($DW20=1,CEILING(4.5*$DY20,1),3*$DY20)&amp;" PE")</f>
        <v/>
      </c>
      <c r="GO20" s="152">
        <f>IF($EH20=0,"",IF($DW20=1,"Rodada inteira",IF(COUNTIF($EZ20:$FA20,"Atrasar")&gt;0,IF(COUNTIF($EZ20:$FA20,"Carregar")&gt;0,"Rodada +1 turno","Rodada inteira"),IF(COUNTIF($EB20:$EE20,"Rápido")&gt;0,"Bônus",IF(COUNTIF($EB20:$EE20,"Reação")&gt;0,"Reação","Padrão"))&amp;IF(COUNTIF($EZ20:$FA20,"Carregar")&gt;0," +1 turno",""))))</f>
        <v/>
      </c>
      <c r="GP20" s="152">
        <f>IF(OR($EH20=0,$EI20=0),"",IF(COUNTIF($EB20:$EE20,"Inescapável")&gt;0,"Automático",IF(COUNTIF($EB20:$EE20,"Certeiro")&gt;0,"TR para metade",INDEX($AF$2:$AF$11,$EI20))))</f>
        <v/>
      </c>
      <c r="GQ20" s="152">
        <f>IF(OR($EH20=0,$EI20=0),"",IF(OR($EV20&gt;=2,$FR20=0),UPPER(LEFT(INDEX($GA20:$GG20,1,$DY20),1))&amp;MID(INDEX($GA20:$GG20,1,$DY20),2,99),UPPER(LEFT(INDEX($GA20:$GG20,1,$DY20),1))&amp;MID(INDEX($GA20:$GG20,1,$DY20),2,99)&amp;" = "&amp;FLOOR($FR20*4.5,1)&amp;IF($FS20&gt;0," · +"&amp;$FS20&amp;"d8","")))</f>
        <v/>
      </c>
      <c r="GR20" s="152">
        <f>COUNTIF($EB20:$EE20,"Longe")+3*COUNTIF($EB20:$EE20,"Muito Longe")</f>
        <v/>
      </c>
      <c r="GS20" s="152">
        <f>COUNTIF($EB20:$EE20,"Maior")+3*COUNTIF($EB20:$EE20,"Muito Maior")</f>
        <v/>
      </c>
      <c r="GT20" s="152">
        <f>IF($EI20=0,0,CHOOSE(1+INDEX($AH$2:$AH$11,$EI20),0,$GR20,$GS20,$GR20+$GS20))</f>
        <v/>
      </c>
      <c r="GU20" s="152">
        <f>IF($EI20=0,0,CHOOSE(1+INDEX($AI$2:$AI$11,$EI20),0,$GR20,$GS20,$GR20+$GS20))</f>
        <v/>
      </c>
      <c r="GV20" s="152">
        <f>IF(OR($EH20=0,$EI20=0),"",INDEX($AP$2:$AU$31,($EI20-1)*3+IF($DY20&gt;=6,3,2),1+MIN(5,$GT20))&amp;INDEX($AV$2:$BA$31,($EI20-1)*3+IF($DY20&gt;=6,3,2),1+MIN(5,$GU20))&amp;IF(INDEX($AJ$2:$AJ$11,$EI20)=1,IF(COUNTIF($EB20:$EE20,"Mais Um")&gt;0," · +"&amp;COUNTIF($EB20:$EE20,"Mais Um")&amp;IF(COUNTIF($EB20:$EE20,"Mais Um")&gt;1," alvos"," alvo"),"")&amp;IF(COUNTIF($EB20:$EE20,"Rajada")&gt;0," · "&amp;($DY20+1)&amp;" tiros",""),""))</f>
        <v/>
      </c>
      <c r="GW20" s="152">
        <f>IF($EH20=0,"",3*$DY20&amp;" − "&amp;$FL20&amp;" + "&amp;$FO20&amp;IF($DW20=1," + "&amp;$DY20,"")&amp;" = "&amp;$FR20&amp;"d8 · teto "&amp;4*$DY20&amp;IF($EU20=1," · a Forma devolve "&amp;$DY20,"")&amp;IF($FP20&gt;0," · perde "&amp;$FP20,""))</f>
        <v/>
      </c>
      <c r="GX20" s="152">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52">
        <f>IF(OR($EH20=0,$EK20=0),"","−"&amp;INDEX($Q$2:$V$8,$DY20,$EK20)&amp;" · "&amp;CHOOSE($EK20,"Leve","Média","Pesada","Leve · Livre","Média · Livre","Pesada · Livre"))</f>
        <v/>
      </c>
      <c r="GZ20" s="152">
        <f>IF(OR($EH20=0,$EL20=0),"","−"&amp;INDEX($Q$2:$V$8,$DY20,$EL20)&amp;" · "&amp;CHOOSE($EL20,"Leve","Média","Pesada","Leve · Livre","Média · Livre","Pesada · Livre"))</f>
        <v/>
      </c>
      <c r="HA20" s="152">
        <f>IF(OR($EH20=0,$EM20=0),"","−"&amp;INDEX($Q$2:$V$8,$DY20,$EM20)&amp;" · "&amp;CHOOSE($EM20,"Leve","Média","Pesada","Leve · Livre","Média · Livre","Pesada · Livre"))</f>
        <v/>
      </c>
      <c r="HB20" s="152">
        <f>IF(OR($EH20=0,$EN20=0),"","−"&amp;INDEX($Q$2:$V$8,$DY20,$EN20)&amp;" · "&amp;CHOOSE($EN20,"Leve","Média","Pesada","Leve · Livre","Média · Livre","Pesada · Livre"))</f>
        <v/>
      </c>
      <c r="HC20" s="152">
        <f>IF(OR($EH20=0,$EF20=""),"","+"&amp;IF($EX20=1,CEILING($DY20/2,1),$DY20))</f>
        <v/>
      </c>
      <c r="HD20" s="152">
        <f>IF(OR($EH20=0,$EG20=""),"","+"&amp;IF($EY20=1,CEILING($DY20/2,1),$DY20))</f>
        <v/>
      </c>
      <c r="HE20" s="152">
        <f>'FICHA AMALDIÇOADA'!$D$181&amp;""</f>
        <v/>
      </c>
      <c r="HF20" s="152">
        <f>IF(AND($EH20=1,$DW20=0),COUNTIFS($EH$2:$EH20,1,$DW$2:$DW20,0),"")</f>
        <v/>
      </c>
      <c r="HH20" s="150" t="inlineStr">
        <is>
          <t>sem espaço</t>
        </is>
      </c>
      <c r="HI20" s="152">
        <f>IF($HI$18+$HI$19&gt;$HI$14,1,0)</f>
        <v/>
      </c>
      <c r="JD20" s="152" t="n">
        <v>19</v>
      </c>
      <c r="JE20" s="152">
        <f>IFERROR(MATCH(19,$HF$2:$HF$37,0),0)</f>
        <v/>
      </c>
      <c r="JF20" s="152">
        <f>IF($JE20=0,"",INDEX($DY$2:$DY$37,$JE20))</f>
        <v/>
      </c>
      <c r="JG20" s="152">
        <f>IF($JE20=0,"",INDEX($DZ$2:$DZ$37,$JE20))</f>
        <v/>
      </c>
      <c r="JH20" s="152">
        <f>IF($JE20=0,"",INDEX($GN$2:$GN$37,$JE20))</f>
        <v/>
      </c>
      <c r="JI20" s="152">
        <f>IF($JE20=0,"",INDEX($EA$2:$EA$37,$JE20))</f>
        <v/>
      </c>
      <c r="JJ20" s="152">
        <f>IF($JE20=0,"",INDEX($GP$2:$GP$37,$JE20))</f>
        <v/>
      </c>
      <c r="JK20" s="152">
        <f>IF($JE20=0,"",INDEX($HE$2:$HE$37,$JE20))</f>
        <v/>
      </c>
      <c r="KQ20" s="150" t="inlineStr">
        <is>
          <t>L41</t>
        </is>
      </c>
      <c r="KR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L21" s="150" t="inlineStr">
        <is>
          <t>Barulho</t>
        </is>
      </c>
      <c r="BM21" s="150" t="inlineStr">
        <is>
          <t>Barulho</t>
        </is>
      </c>
      <c r="BN21" s="152" t="n">
        <v>1</v>
      </c>
      <c r="BO21" s="152" t="n">
        <v>0</v>
      </c>
      <c r="BP21" s="150" t="inlineStr">
        <is>
          <t>Barulho</t>
        </is>
      </c>
      <c r="BR21" s="150" t="inlineStr">
        <is>
          <t>Maldição do Inventário</t>
        </is>
      </c>
      <c r="BS21" s="152" t="n">
        <v>1</v>
      </c>
      <c r="BT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52" t="n">
        <v>0</v>
      </c>
      <c r="BV21" s="152" t="n">
        <v>1</v>
      </c>
      <c r="BW21" s="152">
        <f>IF(OR(AND($A$2&lt;=2,$BU21=1),AND($A$2&gt;=2,$BV21=1)),$BR21,"")</f>
        <v/>
      </c>
      <c r="BX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50" t="inlineStr">
        <is>
          <t>Ímpeto</t>
        </is>
      </c>
      <c r="CD21" s="150" t="inlineStr">
        <is>
          <t>Lapidação 4 e Destreza 4</t>
        </is>
      </c>
      <c r="CE21" s="152" t="n">
        <v>2</v>
      </c>
      <c r="CF21" s="150" t="inlineStr">
        <is>
          <t>—</t>
        </is>
      </c>
      <c r="CG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52">
        <f>IF($CK21=1,"",IF($A$2=4,IF($CI21=1,$CC21,""),IF(OR($CI21=1,AND($A$2=3,$CJ21=1)),"",$CC21)))</f>
        <v/>
      </c>
      <c r="CI21" s="152" t="n">
        <v>1</v>
      </c>
      <c r="CJ21" s="152" t="n">
        <v>0</v>
      </c>
      <c r="CK21" s="152" t="n">
        <v>0</v>
      </c>
      <c r="CL21" s="150" t="inlineStr">
        <is>
          <t>Como Ação Bônus, mova-se até seu deslocamento sem provocar ataques de oportunidade.</t>
        </is>
      </c>
      <c r="DV21" s="150" t="inlineStr">
        <is>
          <t>Feitiço 20</t>
        </is>
      </c>
      <c r="DW21" s="152" t="n">
        <v>0</v>
      </c>
      <c r="DX21" s="152" t="n">
        <v>20</v>
      </c>
      <c r="DY21" s="152">
        <f>MAX(1,MIN(7,N('FICHA AMALDIÇOADA'!$J$179)))</f>
        <v/>
      </c>
      <c r="DZ21" s="152">
        <f>'FICHA AMALDIÇOADA'!$K$179&amp;""</f>
        <v/>
      </c>
      <c r="EA21" s="152">
        <f>'FICHA AMALDIÇOADA'!$J$186&amp;""</f>
        <v/>
      </c>
      <c r="EB21" s="152">
        <f>'FICHA AMALDIÇOADA'!$K$188&amp;""</f>
        <v/>
      </c>
      <c r="EC21" s="152">
        <f>'FICHA AMALDIÇOADA'!$K$189&amp;""</f>
        <v/>
      </c>
      <c r="ED21" s="152">
        <f>'FICHA AMALDIÇOADA'!$K$190&amp;""</f>
        <v/>
      </c>
      <c r="EE21" s="152">
        <f>'FICHA AMALDIÇOADA'!$K$191&amp;""</f>
        <v/>
      </c>
      <c r="EF21" s="152">
        <f>'FICHA AMALDIÇOADA'!$K$192&amp;""</f>
        <v/>
      </c>
      <c r="EG21" s="152">
        <f>'FICHA AMALDIÇOADA'!$K$193&amp;""</f>
        <v/>
      </c>
      <c r="EH21" s="152">
        <f>IF($DZ21&lt;&gt;"",1,0)</f>
        <v/>
      </c>
      <c r="EI21" s="152">
        <f>IFERROR(MATCH($EA21,$Y$2:$Y$11,0),0)</f>
        <v/>
      </c>
      <c r="EJ21" s="152">
        <f>IF($EI21=0,0,INDEX($AB$2:$AB$11,$EI21))</f>
        <v/>
      </c>
      <c r="EK21" s="152">
        <f>IFERROR(VLOOKUP($EB21,$BC$2:$BJ$84,4,FALSE),0)</f>
        <v/>
      </c>
      <c r="EL21" s="152">
        <f>IFERROR(VLOOKUP($EC21,$BC$2:$BJ$84,4,FALSE),0)</f>
        <v/>
      </c>
      <c r="EM21" s="152">
        <f>IFERROR(VLOOKUP($ED21,$BC$2:$BJ$84,4,FALSE),0)</f>
        <v/>
      </c>
      <c r="EN21" s="152">
        <f>IFERROR(VLOOKUP($EE21,$BC$2:$BJ$84,4,FALSE),0)</f>
        <v/>
      </c>
      <c r="EO21" s="152">
        <f>IF($EI21=0,0,INDEX($AC$2:$AC$11,$EI21))</f>
        <v/>
      </c>
      <c r="EP21" s="152">
        <f>IFERROR(VLOOKUP($EB21,$BC$2:$BJ$84,5,FALSE),0)</f>
        <v/>
      </c>
      <c r="EQ21" s="152">
        <f>IFERROR(VLOOKUP($EC21,$BC$2:$BJ$84,5,FALSE),0)</f>
        <v/>
      </c>
      <c r="ER21" s="152">
        <f>IFERROR(VLOOKUP($ED21,$BC$2:$BJ$84,5,FALSE),0)</f>
        <v/>
      </c>
      <c r="ES21" s="152">
        <f>IFERROR(VLOOKUP($EE21,$BC$2:$BJ$84,5,FALSE),0)</f>
        <v/>
      </c>
      <c r="ET21" s="152">
        <f>IFERROR(VLOOKUP($EB21,$BC$2:$BJ$84,6,FALSE),0)+IFERROR(VLOOKUP($EC21,$BC$2:$BJ$84,6,FALSE),0)+IFERROR(VLOOKUP($ED21,$BC$2:$BJ$84,6,FALSE),0)+IFERROR(VLOOKUP($EE21,$BC$2:$BJ$84,6,FALSE),0)</f>
        <v/>
      </c>
      <c r="EU21" s="152">
        <f>IF($EI21=0,0,INDEX($AD$2:$AD$11,$EI21))</f>
        <v/>
      </c>
      <c r="EV21" s="152">
        <f>IF($EI21=0,0,INDEX($AE$2:$AE$11,$EI21))</f>
        <v/>
      </c>
      <c r="EW21" s="152">
        <f>IF($EI21=0,0,INDEX($AG$2:$AG$11,$EI21))</f>
        <v/>
      </c>
      <c r="EX21" s="152">
        <f>IFERROR(VLOOKUP($EF21,$BL$2:$BP$24,3,FALSE),0)</f>
        <v/>
      </c>
      <c r="EY21" s="152">
        <f>IFERROR(VLOOKUP($EG21,$BL$2:$BP$24,3,FALSE),0)</f>
        <v/>
      </c>
      <c r="EZ21" s="152">
        <f>IFERROR(VLOOKUP($EF21,$BL$2:$BP$24,2,FALSE),"")</f>
        <v/>
      </c>
      <c r="FA21" s="152">
        <f>IFERROR(VLOOKUP($EG21,$BL$2:$BP$24,2,FALSE),"")</f>
        <v/>
      </c>
      <c r="FB21" s="152">
        <f>COUNTIF($EJ21:$EN21,1)</f>
        <v/>
      </c>
      <c r="FC21" s="152">
        <f>COUNTIF($EJ21:$EN21,2)</f>
        <v/>
      </c>
      <c r="FD21" s="152">
        <f>COUNTIF($EJ21:$EN21,3)</f>
        <v/>
      </c>
      <c r="FE21" s="152">
        <f>COUNTIF($EJ21:$EN21,4)</f>
        <v/>
      </c>
      <c r="FF21" s="152">
        <f>COUNTIF($EJ21:$EN21,5)</f>
        <v/>
      </c>
      <c r="FG21" s="152">
        <f>COUNTIF($EJ21:$EN21,6)</f>
        <v/>
      </c>
      <c r="FH21" s="152">
        <f>COUNTIF($EX21:$EY21,1)</f>
        <v/>
      </c>
      <c r="FI21" s="152">
        <f>COUNTIF($EX21:$EY21,2)+$EU21</f>
        <v/>
      </c>
      <c r="FJ21" s="152">
        <f>COUNTIF($EB21:$EE21,"?*")</f>
        <v/>
      </c>
      <c r="FK21" s="152">
        <f>COUNTIF($EF21:$EG21,"?*")+$EU21</f>
        <v/>
      </c>
      <c r="FL21" s="152">
        <f>SUMPRODUCT($FB21:$FG21,INDEX($Q$2:$V$8,$DY21,0))</f>
        <v/>
      </c>
      <c r="FM21" s="152">
        <f>$FH21*CEILING($DY21/2,1)+$FI21*$DY21</f>
        <v/>
      </c>
      <c r="FN21" s="152">
        <f>MIN(2*$DY21,$FM21)</f>
        <v/>
      </c>
      <c r="FO21" s="152">
        <f>MIN($FN21,$FL21)</f>
        <v/>
      </c>
      <c r="FP21" s="152">
        <f>$FN21-$FO21</f>
        <v/>
      </c>
      <c r="FQ21" s="152">
        <f>3*$DY21-$FL21+$FO21</f>
        <v/>
      </c>
      <c r="FR21" s="152">
        <f>MAX(0,$FQ21)+$DW21*$DY21</f>
        <v/>
      </c>
      <c r="FS21" s="152">
        <f>(IF(COUNTIF($EB21:$EE21,"Salto")&gt;0,1,0)+IF(COUNTIF($EB21:$EE21,"Queima")&gt;0,1,0)+IF(COUNTIF($EB21:$EE21,"Estilhaço")&gt;0,1,0))*FLOOR($FR21/2,1)</f>
        <v/>
      </c>
      <c r="FT21" s="152">
        <f>MAX(0,3-SUMPRODUCT($FB21:$FG21,$Q$2:$V$2)+MIN(2,$FH21*1+$FI21*1,SUMPRODUCT($FB21:$FG21,$Q$2:$V$2)))+$DW21*1</f>
        <v/>
      </c>
      <c r="FU21" s="152">
        <f>MAX(0,6-SUMPRODUCT($FB21:$FG21,$Q$3:$V$3)+MIN(4,$FH21*1+$FI21*2,SUMPRODUCT($FB21:$FG21,$Q$3:$V$3)))+$DW21*2</f>
        <v/>
      </c>
      <c r="FV21" s="152">
        <f>MAX(0,9-SUMPRODUCT($FB21:$FG21,$Q$4:$V$4)+MIN(6,$FH21*2+$FI21*3,SUMPRODUCT($FB21:$FG21,$Q$4:$V$4)))+$DW21*3</f>
        <v/>
      </c>
      <c r="FW21" s="152">
        <f>MAX(0,12-SUMPRODUCT($FB21:$FG21,$Q$5:$V$5)+MIN(8,$FH21*2+$FI21*4,SUMPRODUCT($FB21:$FG21,$Q$5:$V$5)))+$DW21*4</f>
        <v/>
      </c>
      <c r="FX21" s="152">
        <f>MAX(0,15-SUMPRODUCT($FB21:$FG21,$Q$6:$V$6)+MIN(10,$FH21*3+$FI21*5,SUMPRODUCT($FB21:$FG21,$Q$6:$V$6)))+$DW21*5</f>
        <v/>
      </c>
      <c r="FY21" s="152">
        <f>MAX(0,18-SUMPRODUCT($FB21:$FG21,$Q$7:$V$7)+MIN(12,$FH21*3+$FI21*6,SUMPRODUCT($FB21:$FG21,$Q$7:$V$7)))+$DW21*6</f>
        <v/>
      </c>
      <c r="FZ21" s="152">
        <f>MAX(0,21-SUMPRODUCT($FB21:$FG21,$Q$8:$V$8)+MIN(14,$FH21*4+$FI21*7,SUMPRODUCT($FB21:$FG21,$Q$8:$V$8)))+$DW21*7</f>
        <v/>
      </c>
      <c r="GA21" s="152">
        <f>IF($EV21=2,3*$FT21&amp;" de vida temp.",IF($EV21=3,"sem dano",IF($FT21=0,IF($EV21=1,"sem cura","sem dano"),IF($EV21=1,"cura ","")&amp;$FT21&amp;"d8")))</f>
        <v/>
      </c>
      <c r="GB21" s="152">
        <f>IF($EV21=2,3*$FU21&amp;" de vida temp.",IF($EV21=3,"sem dano",IF($FU21=0,IF($EV21=1,"sem cura","sem dano"),IF($EV21=1,"cura ","")&amp;$FU21&amp;"d8")))</f>
        <v/>
      </c>
      <c r="GC21" s="152">
        <f>IF($EV21=2,3*$FV21&amp;" de vida temp.",IF($EV21=3,"sem dano",IF($FV21=0,IF($EV21=1,"sem cura","sem dano"),IF($EV21=1,"cura ","")&amp;$FV21&amp;"d8")))</f>
        <v/>
      </c>
      <c r="GD21" s="152">
        <f>IF($EV21=2,3*$FW21&amp;" de vida temp.",IF($EV21=3,"sem dano",IF($FW21=0,IF($EV21=1,"sem cura","sem dano"),IF($EV21=1,"cura ","")&amp;$FW21&amp;"d8")))</f>
        <v/>
      </c>
      <c r="GE21" s="152">
        <f>IF($EV21=2,3*$FX21&amp;" de vida temp.",IF($EV21=3,"sem dano",IF($FX21=0,IF($EV21=1,"sem cura","sem dano"),IF($EV21=1,"cura ","")&amp;$FX21&amp;"d8")))</f>
        <v/>
      </c>
      <c r="GF21" s="152">
        <f>IF($EV21=2,3*$FY21&amp;" de vida temp.",IF($EV21=3,"sem dano",IF($FY21=0,IF($EV21=1,"sem cura","sem dano"),IF($EV21=1,"cura ","")&amp;$FY21&amp;"d8")))</f>
        <v/>
      </c>
      <c r="GG21" s="152">
        <f>IF($EV21=2,3*$FZ21&amp;" de vida temp.",IF($EV21=3,"sem dano",IF($FZ21=0,IF($EV21=1,"sem cura","sem dano"),IF($EV21=1,"cura ","")&amp;$FZ21&amp;"d8")))</f>
        <v/>
      </c>
      <c r="GH21" s="152">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52">
        <f>IF($GH21="",0,(LEN($GH21)-LEN(SUBSTITUTE($GH21," · ","")))/3+1)</f>
        <v/>
      </c>
      <c r="GJ21" s="152">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52">
        <f>IF($GJ21="",0,(LEN($GJ21)-LEN(SUBSTITUTE($GJ21," · ","")))/3+1)</f>
        <v/>
      </c>
      <c r="GL21" s="152">
        <f>IF($EH21=0,IF($FJ21+$FK21-$EU21&gt;0,"Dê um nome",""),IF($GI21&gt;0,"⚠ "&amp;$GI21&amp;IF($GI21&gt;1," erros"," erro"),IF($GK21&gt;0,"! "&amp;$GK21&amp;IF($GK21&gt;1," avisos"," aviso"),"Na regra")))</f>
        <v/>
      </c>
      <c r="GM21" s="152">
        <f>IF($EH21=0,"",IF($GI21+$GK21=0,"Dentro das regras que a ficha confere",$GH21&amp;IF(AND($GI21&gt;0,$GK21&gt;0)," · ","")&amp;$GJ21))</f>
        <v/>
      </c>
      <c r="GN21" s="152">
        <f>IF($EH21=0,"",IF($DW21=1,CEILING(4.5*$DY21,1),3*$DY21)&amp;" PE")</f>
        <v/>
      </c>
      <c r="GO21" s="152">
        <f>IF($EH21=0,"",IF($DW21=1,"Rodada inteira",IF(COUNTIF($EZ21:$FA21,"Atrasar")&gt;0,IF(COUNTIF($EZ21:$FA21,"Carregar")&gt;0,"Rodada +1 turno","Rodada inteira"),IF(COUNTIF($EB21:$EE21,"Rápido")&gt;0,"Bônus",IF(COUNTIF($EB21:$EE21,"Reação")&gt;0,"Reação","Padrão"))&amp;IF(COUNTIF($EZ21:$FA21,"Carregar")&gt;0," +1 turno",""))))</f>
        <v/>
      </c>
      <c r="GP21" s="152">
        <f>IF(OR($EH21=0,$EI21=0),"",IF(COUNTIF($EB21:$EE21,"Inescapável")&gt;0,"Automático",IF(COUNTIF($EB21:$EE21,"Certeiro")&gt;0,"TR para metade",INDEX($AF$2:$AF$11,$EI21))))</f>
        <v/>
      </c>
      <c r="GQ21" s="152">
        <f>IF(OR($EH21=0,$EI21=0),"",IF(OR($EV21&gt;=2,$FR21=0),UPPER(LEFT(INDEX($GA21:$GG21,1,$DY21),1))&amp;MID(INDEX($GA21:$GG21,1,$DY21),2,99),UPPER(LEFT(INDEX($GA21:$GG21,1,$DY21),1))&amp;MID(INDEX($GA21:$GG21,1,$DY21),2,99)&amp;" = "&amp;FLOOR($FR21*4.5,1)&amp;IF($FS21&gt;0," · +"&amp;$FS21&amp;"d8","")))</f>
        <v/>
      </c>
      <c r="GR21" s="152">
        <f>COUNTIF($EB21:$EE21,"Longe")+3*COUNTIF($EB21:$EE21,"Muito Longe")</f>
        <v/>
      </c>
      <c r="GS21" s="152">
        <f>COUNTIF($EB21:$EE21,"Maior")+3*COUNTIF($EB21:$EE21,"Muito Maior")</f>
        <v/>
      </c>
      <c r="GT21" s="152">
        <f>IF($EI21=0,0,CHOOSE(1+INDEX($AH$2:$AH$11,$EI21),0,$GR21,$GS21,$GR21+$GS21))</f>
        <v/>
      </c>
      <c r="GU21" s="152">
        <f>IF($EI21=0,0,CHOOSE(1+INDEX($AI$2:$AI$11,$EI21),0,$GR21,$GS21,$GR21+$GS21))</f>
        <v/>
      </c>
      <c r="GV21" s="152">
        <f>IF(OR($EH21=0,$EI21=0),"",INDEX($AP$2:$AU$31,($EI21-1)*3+IF($DY21&gt;=6,3,2),1+MIN(5,$GT21))&amp;INDEX($AV$2:$BA$31,($EI21-1)*3+IF($DY21&gt;=6,3,2),1+MIN(5,$GU21))&amp;IF(INDEX($AJ$2:$AJ$11,$EI21)=1,IF(COUNTIF($EB21:$EE21,"Mais Um")&gt;0," · +"&amp;COUNTIF($EB21:$EE21,"Mais Um")&amp;IF(COUNTIF($EB21:$EE21,"Mais Um")&gt;1," alvos"," alvo"),"")&amp;IF(COUNTIF($EB21:$EE21,"Rajada")&gt;0," · "&amp;($DY21+1)&amp;" tiros",""),""))</f>
        <v/>
      </c>
      <c r="GW21" s="152">
        <f>IF($EH21=0,"",3*$DY21&amp;" − "&amp;$FL21&amp;" + "&amp;$FO21&amp;IF($DW21=1," + "&amp;$DY21,"")&amp;" = "&amp;$FR21&amp;"d8 · teto "&amp;4*$DY21&amp;IF($EU21=1," · a Forma devolve "&amp;$DY21,"")&amp;IF($FP21&gt;0," · perde "&amp;$FP21,""))</f>
        <v/>
      </c>
      <c r="GX21" s="152">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52">
        <f>IF(OR($EH21=0,$EK21=0),"","−"&amp;INDEX($Q$2:$V$8,$DY21,$EK21)&amp;" · "&amp;CHOOSE($EK21,"Leve","Média","Pesada","Leve · Livre","Média · Livre","Pesada · Livre"))</f>
        <v/>
      </c>
      <c r="GZ21" s="152">
        <f>IF(OR($EH21=0,$EL21=0),"","−"&amp;INDEX($Q$2:$V$8,$DY21,$EL21)&amp;" · "&amp;CHOOSE($EL21,"Leve","Média","Pesada","Leve · Livre","Média · Livre","Pesada · Livre"))</f>
        <v/>
      </c>
      <c r="HA21" s="152">
        <f>IF(OR($EH21=0,$EM21=0),"","−"&amp;INDEX($Q$2:$V$8,$DY21,$EM21)&amp;" · "&amp;CHOOSE($EM21,"Leve","Média","Pesada","Leve · Livre","Média · Livre","Pesada · Livre"))</f>
        <v/>
      </c>
      <c r="HB21" s="152">
        <f>IF(OR($EH21=0,$EN21=0),"","−"&amp;INDEX($Q$2:$V$8,$DY21,$EN21)&amp;" · "&amp;CHOOSE($EN21,"Leve","Média","Pesada","Leve · Livre","Média · Livre","Pesada · Livre"))</f>
        <v/>
      </c>
      <c r="HC21" s="152">
        <f>IF(OR($EH21=0,$EF21=""),"","+"&amp;IF($EX21=1,CEILING($DY21/2,1),$DY21))</f>
        <v/>
      </c>
      <c r="HD21" s="152">
        <f>IF(OR($EH21=0,$EG21=""),"","+"&amp;IF($EY21=1,CEILING($DY21/2,1),$DY21))</f>
        <v/>
      </c>
      <c r="HE21" s="152">
        <f>'FICHA AMALDIÇOADA'!$J$181&amp;""</f>
        <v/>
      </c>
      <c r="HF21" s="152">
        <f>IF(AND($EH21=1,$DW21=0),COUNTIFS($EH$2:$EH21,1,$DW$2:$DW21,0),"")</f>
        <v/>
      </c>
      <c r="HH21" s="150" t="inlineStr">
        <is>
          <t>cabem</t>
        </is>
      </c>
      <c r="HI21" s="152">
        <f>$HI$14+$HI$8-$HI$18-$HI$19</f>
        <v/>
      </c>
      <c r="JD21" s="152" t="n">
        <v>20</v>
      </c>
      <c r="JE21" s="152">
        <f>IFERROR(MATCH(20,$HF$2:$HF$37,0),0)</f>
        <v/>
      </c>
      <c r="JF21" s="152">
        <f>IF($JE21=0,"",INDEX($DY$2:$DY$37,$JE21))</f>
        <v/>
      </c>
      <c r="JG21" s="152">
        <f>IF($JE21=0,"",INDEX($DZ$2:$DZ$37,$JE21))</f>
        <v/>
      </c>
      <c r="JH21" s="152">
        <f>IF($JE21=0,"",INDEX($GN$2:$GN$37,$JE21))</f>
        <v/>
      </c>
      <c r="JI21" s="152">
        <f>IF($JE21=0,"",INDEX($EA$2:$EA$37,$JE21))</f>
        <v/>
      </c>
      <c r="JJ21" s="152">
        <f>IF($JE21=0,"",INDEX($GP$2:$GP$37,$JE21))</f>
        <v/>
      </c>
      <c r="JK21" s="152">
        <f>IF($JE21=0,"",INDEX($HE$2:$HE$37,$JE21))</f>
        <v/>
      </c>
      <c r="KQ21" s="150" t="inlineStr">
        <is>
          <t>P42</t>
        </is>
      </c>
      <c r="KR21" s="152">
        <f>IF(DADOS_AM!$HI$20=1,"⚠ ","")&amp;DADOS_AM!$HI$18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L22" s="150" t="inlineStr">
        <is>
          <t>Assinatura</t>
        </is>
      </c>
      <c r="BM22" s="150" t="inlineStr">
        <is>
          <t>Assinatura</t>
        </is>
      </c>
      <c r="BN22" s="152" t="n">
        <v>1</v>
      </c>
      <c r="BO22" s="152" t="n">
        <v>0</v>
      </c>
      <c r="BP22" s="150" t="inlineStr">
        <is>
          <t>Assinatura</t>
        </is>
      </c>
      <c r="BR22" s="150" t="inlineStr">
        <is>
          <t>Segundo Fôlego</t>
        </is>
      </c>
      <c r="BS22" s="152" t="n">
        <v>2</v>
      </c>
      <c r="BT22" s="150" t="inlineStr">
        <is>
          <t>Uma vez por descanso longo, ao escolher Insistir, você pode dispensar o primeiro custo de vida máxima, correspondente a 1/8 do máximo de referência daquela queda.</t>
        </is>
      </c>
      <c r="BU22" s="152" t="n">
        <v>0</v>
      </c>
      <c r="BV22" s="152" t="n">
        <v>1</v>
      </c>
      <c r="BW22" s="152">
        <f>IF(OR(AND($A$2&lt;=2,$BU22=1),AND($A$2&gt;=2,$BV22=1)),$BR22,"")</f>
        <v/>
      </c>
      <c r="BX22" s="150" t="inlineStr">
        <is>
          <t>Uma vez por descanso longo, ao escolher Insistir, você pode dispensar o primeiro custo de vida máxima, correspondente a 1/8 do máximo de referência daquela queda.</t>
        </is>
      </c>
      <c r="CC22" s="150" t="inlineStr">
        <is>
          <t>Casco</t>
        </is>
      </c>
      <c r="CD22" s="150" t="inlineStr">
        <is>
          <t>Lapidação 7 e Constituição 4</t>
        </is>
      </c>
      <c r="CE22" s="152" t="n">
        <v>3</v>
      </c>
      <c r="CF22" s="150" t="inlineStr">
        <is>
          <t>—</t>
        </is>
      </c>
      <c r="CG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52">
        <f>IF($CK22=1,"",IF($A$2=4,IF($CI22=1,$CC22,""),IF(OR($CI22=1,AND($A$2=3,$CJ22=1)),"",$CC22)))</f>
        <v/>
      </c>
      <c r="CI22" s="152" t="n">
        <v>1</v>
      </c>
      <c r="CJ22" s="152" t="n">
        <v>0</v>
      </c>
      <c r="CK22" s="152" t="n">
        <v>0</v>
      </c>
      <c r="CL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50" t="inlineStr">
        <is>
          <t>Feitiço 21</t>
        </is>
      </c>
      <c r="DW22" s="152" t="n">
        <v>0</v>
      </c>
      <c r="DX22" s="152" t="n">
        <v>21</v>
      </c>
      <c r="DY22" s="152">
        <f>MAX(1,MIN(7,N('FICHA AMALDIÇOADA'!$P$179)))</f>
        <v/>
      </c>
      <c r="DZ22" s="152">
        <f>'FICHA AMALDIÇOADA'!$Q$179&amp;""</f>
        <v/>
      </c>
      <c r="EA22" s="152">
        <f>'FICHA AMALDIÇOADA'!$P$186&amp;""</f>
        <v/>
      </c>
      <c r="EB22" s="152">
        <f>'FICHA AMALDIÇOADA'!$Q$188&amp;""</f>
        <v/>
      </c>
      <c r="EC22" s="152">
        <f>'FICHA AMALDIÇOADA'!$Q$189&amp;""</f>
        <v/>
      </c>
      <c r="ED22" s="152">
        <f>'FICHA AMALDIÇOADA'!$Q$190&amp;""</f>
        <v/>
      </c>
      <c r="EE22" s="152">
        <f>'FICHA AMALDIÇOADA'!$Q$191&amp;""</f>
        <v/>
      </c>
      <c r="EF22" s="152">
        <f>'FICHA AMALDIÇOADA'!$Q$192&amp;""</f>
        <v/>
      </c>
      <c r="EG22" s="152">
        <f>'FICHA AMALDIÇOADA'!$Q$193&amp;""</f>
        <v/>
      </c>
      <c r="EH22" s="152">
        <f>IF($DZ22&lt;&gt;"",1,0)</f>
        <v/>
      </c>
      <c r="EI22" s="152">
        <f>IFERROR(MATCH($EA22,$Y$2:$Y$11,0),0)</f>
        <v/>
      </c>
      <c r="EJ22" s="152">
        <f>IF($EI22=0,0,INDEX($AB$2:$AB$11,$EI22))</f>
        <v/>
      </c>
      <c r="EK22" s="152">
        <f>IFERROR(VLOOKUP($EB22,$BC$2:$BJ$84,4,FALSE),0)</f>
        <v/>
      </c>
      <c r="EL22" s="152">
        <f>IFERROR(VLOOKUP($EC22,$BC$2:$BJ$84,4,FALSE),0)</f>
        <v/>
      </c>
      <c r="EM22" s="152">
        <f>IFERROR(VLOOKUP($ED22,$BC$2:$BJ$84,4,FALSE),0)</f>
        <v/>
      </c>
      <c r="EN22" s="152">
        <f>IFERROR(VLOOKUP($EE22,$BC$2:$BJ$84,4,FALSE),0)</f>
        <v/>
      </c>
      <c r="EO22" s="152">
        <f>IF($EI22=0,0,INDEX($AC$2:$AC$11,$EI22))</f>
        <v/>
      </c>
      <c r="EP22" s="152">
        <f>IFERROR(VLOOKUP($EB22,$BC$2:$BJ$84,5,FALSE),0)</f>
        <v/>
      </c>
      <c r="EQ22" s="152">
        <f>IFERROR(VLOOKUP($EC22,$BC$2:$BJ$84,5,FALSE),0)</f>
        <v/>
      </c>
      <c r="ER22" s="152">
        <f>IFERROR(VLOOKUP($ED22,$BC$2:$BJ$84,5,FALSE),0)</f>
        <v/>
      </c>
      <c r="ES22" s="152">
        <f>IFERROR(VLOOKUP($EE22,$BC$2:$BJ$84,5,FALSE),0)</f>
        <v/>
      </c>
      <c r="ET22" s="152">
        <f>IFERROR(VLOOKUP($EB22,$BC$2:$BJ$84,6,FALSE),0)+IFERROR(VLOOKUP($EC22,$BC$2:$BJ$84,6,FALSE),0)+IFERROR(VLOOKUP($ED22,$BC$2:$BJ$84,6,FALSE),0)+IFERROR(VLOOKUP($EE22,$BC$2:$BJ$84,6,FALSE),0)</f>
        <v/>
      </c>
      <c r="EU22" s="152">
        <f>IF($EI22=0,0,INDEX($AD$2:$AD$11,$EI22))</f>
        <v/>
      </c>
      <c r="EV22" s="152">
        <f>IF($EI22=0,0,INDEX($AE$2:$AE$11,$EI22))</f>
        <v/>
      </c>
      <c r="EW22" s="152">
        <f>IF($EI22=0,0,INDEX($AG$2:$AG$11,$EI22))</f>
        <v/>
      </c>
      <c r="EX22" s="152">
        <f>IFERROR(VLOOKUP($EF22,$BL$2:$BP$24,3,FALSE),0)</f>
        <v/>
      </c>
      <c r="EY22" s="152">
        <f>IFERROR(VLOOKUP($EG22,$BL$2:$BP$24,3,FALSE),0)</f>
        <v/>
      </c>
      <c r="EZ22" s="152">
        <f>IFERROR(VLOOKUP($EF22,$BL$2:$BP$24,2,FALSE),"")</f>
        <v/>
      </c>
      <c r="FA22" s="152">
        <f>IFERROR(VLOOKUP($EG22,$BL$2:$BP$24,2,FALSE),"")</f>
        <v/>
      </c>
      <c r="FB22" s="152">
        <f>COUNTIF($EJ22:$EN22,1)</f>
        <v/>
      </c>
      <c r="FC22" s="152">
        <f>COUNTIF($EJ22:$EN22,2)</f>
        <v/>
      </c>
      <c r="FD22" s="152">
        <f>COUNTIF($EJ22:$EN22,3)</f>
        <v/>
      </c>
      <c r="FE22" s="152">
        <f>COUNTIF($EJ22:$EN22,4)</f>
        <v/>
      </c>
      <c r="FF22" s="152">
        <f>COUNTIF($EJ22:$EN22,5)</f>
        <v/>
      </c>
      <c r="FG22" s="152">
        <f>COUNTIF($EJ22:$EN22,6)</f>
        <v/>
      </c>
      <c r="FH22" s="152">
        <f>COUNTIF($EX22:$EY22,1)</f>
        <v/>
      </c>
      <c r="FI22" s="152">
        <f>COUNTIF($EX22:$EY22,2)+$EU22</f>
        <v/>
      </c>
      <c r="FJ22" s="152">
        <f>COUNTIF($EB22:$EE22,"?*")</f>
        <v/>
      </c>
      <c r="FK22" s="152">
        <f>COUNTIF($EF22:$EG22,"?*")+$EU22</f>
        <v/>
      </c>
      <c r="FL22" s="152">
        <f>SUMPRODUCT($FB22:$FG22,INDEX($Q$2:$V$8,$DY22,0))</f>
        <v/>
      </c>
      <c r="FM22" s="152">
        <f>$FH22*CEILING($DY22/2,1)+$FI22*$DY22</f>
        <v/>
      </c>
      <c r="FN22" s="152">
        <f>MIN(2*$DY22,$FM22)</f>
        <v/>
      </c>
      <c r="FO22" s="152">
        <f>MIN($FN22,$FL22)</f>
        <v/>
      </c>
      <c r="FP22" s="152">
        <f>$FN22-$FO22</f>
        <v/>
      </c>
      <c r="FQ22" s="152">
        <f>3*$DY22-$FL22+$FO22</f>
        <v/>
      </c>
      <c r="FR22" s="152">
        <f>MAX(0,$FQ22)+$DW22*$DY22</f>
        <v/>
      </c>
      <c r="FS22" s="152">
        <f>(IF(COUNTIF($EB22:$EE22,"Salto")&gt;0,1,0)+IF(COUNTIF($EB22:$EE22,"Queima")&gt;0,1,0)+IF(COUNTIF($EB22:$EE22,"Estilhaço")&gt;0,1,0))*FLOOR($FR22/2,1)</f>
        <v/>
      </c>
      <c r="FT22" s="152">
        <f>MAX(0,3-SUMPRODUCT($FB22:$FG22,$Q$2:$V$2)+MIN(2,$FH22*1+$FI22*1,SUMPRODUCT($FB22:$FG22,$Q$2:$V$2)))+$DW22*1</f>
        <v/>
      </c>
      <c r="FU22" s="152">
        <f>MAX(0,6-SUMPRODUCT($FB22:$FG22,$Q$3:$V$3)+MIN(4,$FH22*1+$FI22*2,SUMPRODUCT($FB22:$FG22,$Q$3:$V$3)))+$DW22*2</f>
        <v/>
      </c>
      <c r="FV22" s="152">
        <f>MAX(0,9-SUMPRODUCT($FB22:$FG22,$Q$4:$V$4)+MIN(6,$FH22*2+$FI22*3,SUMPRODUCT($FB22:$FG22,$Q$4:$V$4)))+$DW22*3</f>
        <v/>
      </c>
      <c r="FW22" s="152">
        <f>MAX(0,12-SUMPRODUCT($FB22:$FG22,$Q$5:$V$5)+MIN(8,$FH22*2+$FI22*4,SUMPRODUCT($FB22:$FG22,$Q$5:$V$5)))+$DW22*4</f>
        <v/>
      </c>
      <c r="FX22" s="152">
        <f>MAX(0,15-SUMPRODUCT($FB22:$FG22,$Q$6:$V$6)+MIN(10,$FH22*3+$FI22*5,SUMPRODUCT($FB22:$FG22,$Q$6:$V$6)))+$DW22*5</f>
        <v/>
      </c>
      <c r="FY22" s="152">
        <f>MAX(0,18-SUMPRODUCT($FB22:$FG22,$Q$7:$V$7)+MIN(12,$FH22*3+$FI22*6,SUMPRODUCT($FB22:$FG22,$Q$7:$V$7)))+$DW22*6</f>
        <v/>
      </c>
      <c r="FZ22" s="152">
        <f>MAX(0,21-SUMPRODUCT($FB22:$FG22,$Q$8:$V$8)+MIN(14,$FH22*4+$FI22*7,SUMPRODUCT($FB22:$FG22,$Q$8:$V$8)))+$DW22*7</f>
        <v/>
      </c>
      <c r="GA22" s="152">
        <f>IF($EV22=2,3*$FT22&amp;" de vida temp.",IF($EV22=3,"sem dano",IF($FT22=0,IF($EV22=1,"sem cura","sem dano"),IF($EV22=1,"cura ","")&amp;$FT22&amp;"d8")))</f>
        <v/>
      </c>
      <c r="GB22" s="152">
        <f>IF($EV22=2,3*$FU22&amp;" de vida temp.",IF($EV22=3,"sem dano",IF($FU22=0,IF($EV22=1,"sem cura","sem dano"),IF($EV22=1,"cura ","")&amp;$FU22&amp;"d8")))</f>
        <v/>
      </c>
      <c r="GC22" s="152">
        <f>IF($EV22=2,3*$FV22&amp;" de vida temp.",IF($EV22=3,"sem dano",IF($FV22=0,IF($EV22=1,"sem cura","sem dano"),IF($EV22=1,"cura ","")&amp;$FV22&amp;"d8")))</f>
        <v/>
      </c>
      <c r="GD22" s="152">
        <f>IF($EV22=2,3*$FW22&amp;" de vida temp.",IF($EV22=3,"sem dano",IF($FW22=0,IF($EV22=1,"sem cura","sem dano"),IF($EV22=1,"cura ","")&amp;$FW22&amp;"d8")))</f>
        <v/>
      </c>
      <c r="GE22" s="152">
        <f>IF($EV22=2,3*$FX22&amp;" de vida temp.",IF($EV22=3,"sem dano",IF($FX22=0,IF($EV22=1,"sem cura","sem dano"),IF($EV22=1,"cura ","")&amp;$FX22&amp;"d8")))</f>
        <v/>
      </c>
      <c r="GF22" s="152">
        <f>IF($EV22=2,3*$FY22&amp;" de vida temp.",IF($EV22=3,"sem dano",IF($FY22=0,IF($EV22=1,"sem cura","sem dano"),IF($EV22=1,"cura ","")&amp;$FY22&amp;"d8")))</f>
        <v/>
      </c>
      <c r="GG22" s="152">
        <f>IF($EV22=2,3*$FZ22&amp;" de vida temp.",IF($EV22=3,"sem dano",IF($FZ22=0,IF($EV22=1,"sem cura","sem dano"),IF($EV22=1,"cura ","")&amp;$FZ22&amp;"d8")))</f>
        <v/>
      </c>
      <c r="GH22" s="152">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52">
        <f>IF($GH22="",0,(LEN($GH22)-LEN(SUBSTITUTE($GH22," · ","")))/3+1)</f>
        <v/>
      </c>
      <c r="GJ22" s="152">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52">
        <f>IF($GJ22="",0,(LEN($GJ22)-LEN(SUBSTITUTE($GJ22," · ","")))/3+1)</f>
        <v/>
      </c>
      <c r="GL22" s="152">
        <f>IF($EH22=0,IF($FJ22+$FK22-$EU22&gt;0,"Dê um nome",""),IF($GI22&gt;0,"⚠ "&amp;$GI22&amp;IF($GI22&gt;1," erros"," erro"),IF($GK22&gt;0,"! "&amp;$GK22&amp;IF($GK22&gt;1," avisos"," aviso"),"Na regra")))</f>
        <v/>
      </c>
      <c r="GM22" s="152">
        <f>IF($EH22=0,"",IF($GI22+$GK22=0,"Dentro das regras que a ficha confere",$GH22&amp;IF(AND($GI22&gt;0,$GK22&gt;0)," · ","")&amp;$GJ22))</f>
        <v/>
      </c>
      <c r="GN22" s="152">
        <f>IF($EH22=0,"",IF($DW22=1,CEILING(4.5*$DY22,1),3*$DY22)&amp;" PE")</f>
        <v/>
      </c>
      <c r="GO22" s="152">
        <f>IF($EH22=0,"",IF($DW22=1,"Rodada inteira",IF(COUNTIF($EZ22:$FA22,"Atrasar")&gt;0,IF(COUNTIF($EZ22:$FA22,"Carregar")&gt;0,"Rodada +1 turno","Rodada inteira"),IF(COUNTIF($EB22:$EE22,"Rápido")&gt;0,"Bônus",IF(COUNTIF($EB22:$EE22,"Reação")&gt;0,"Reação","Padrão"))&amp;IF(COUNTIF($EZ22:$FA22,"Carregar")&gt;0," +1 turno",""))))</f>
        <v/>
      </c>
      <c r="GP22" s="152">
        <f>IF(OR($EH22=0,$EI22=0),"",IF(COUNTIF($EB22:$EE22,"Inescapável")&gt;0,"Automático",IF(COUNTIF($EB22:$EE22,"Certeiro")&gt;0,"TR para metade",INDEX($AF$2:$AF$11,$EI22))))</f>
        <v/>
      </c>
      <c r="GQ22" s="152">
        <f>IF(OR($EH22=0,$EI22=0),"",IF(OR($EV22&gt;=2,$FR22=0),UPPER(LEFT(INDEX($GA22:$GG22,1,$DY22),1))&amp;MID(INDEX($GA22:$GG22,1,$DY22),2,99),UPPER(LEFT(INDEX($GA22:$GG22,1,$DY22),1))&amp;MID(INDEX($GA22:$GG22,1,$DY22),2,99)&amp;" = "&amp;FLOOR($FR22*4.5,1)&amp;IF($FS22&gt;0," · +"&amp;$FS22&amp;"d8","")))</f>
        <v/>
      </c>
      <c r="GR22" s="152">
        <f>COUNTIF($EB22:$EE22,"Longe")+3*COUNTIF($EB22:$EE22,"Muito Longe")</f>
        <v/>
      </c>
      <c r="GS22" s="152">
        <f>COUNTIF($EB22:$EE22,"Maior")+3*COUNTIF($EB22:$EE22,"Muito Maior")</f>
        <v/>
      </c>
      <c r="GT22" s="152">
        <f>IF($EI22=0,0,CHOOSE(1+INDEX($AH$2:$AH$11,$EI22),0,$GR22,$GS22,$GR22+$GS22))</f>
        <v/>
      </c>
      <c r="GU22" s="152">
        <f>IF($EI22=0,0,CHOOSE(1+INDEX($AI$2:$AI$11,$EI22),0,$GR22,$GS22,$GR22+$GS22))</f>
        <v/>
      </c>
      <c r="GV22" s="152">
        <f>IF(OR($EH22=0,$EI22=0),"",INDEX($AP$2:$AU$31,($EI22-1)*3+IF($DY22&gt;=6,3,2),1+MIN(5,$GT22))&amp;INDEX($AV$2:$BA$31,($EI22-1)*3+IF($DY22&gt;=6,3,2),1+MIN(5,$GU22))&amp;IF(INDEX($AJ$2:$AJ$11,$EI22)=1,IF(COUNTIF($EB22:$EE22,"Mais Um")&gt;0," · +"&amp;COUNTIF($EB22:$EE22,"Mais Um")&amp;IF(COUNTIF($EB22:$EE22,"Mais Um")&gt;1," alvos"," alvo"),"")&amp;IF(COUNTIF($EB22:$EE22,"Rajada")&gt;0," · "&amp;($DY22+1)&amp;" tiros",""),""))</f>
        <v/>
      </c>
      <c r="GW22" s="152">
        <f>IF($EH22=0,"",3*$DY22&amp;" − "&amp;$FL22&amp;" + "&amp;$FO22&amp;IF($DW22=1," + "&amp;$DY22,"")&amp;" = "&amp;$FR22&amp;"d8 · teto "&amp;4*$DY22&amp;IF($EU22=1," · a Forma devolve "&amp;$DY22,"")&amp;IF($FP22&gt;0," · perde "&amp;$FP22,""))</f>
        <v/>
      </c>
      <c r="GX22" s="152">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52">
        <f>IF(OR($EH22=0,$EK22=0),"","−"&amp;INDEX($Q$2:$V$8,$DY22,$EK22)&amp;" · "&amp;CHOOSE($EK22,"Leve","Média","Pesada","Leve · Livre","Média · Livre","Pesada · Livre"))</f>
        <v/>
      </c>
      <c r="GZ22" s="152">
        <f>IF(OR($EH22=0,$EL22=0),"","−"&amp;INDEX($Q$2:$V$8,$DY22,$EL22)&amp;" · "&amp;CHOOSE($EL22,"Leve","Média","Pesada","Leve · Livre","Média · Livre","Pesada · Livre"))</f>
        <v/>
      </c>
      <c r="HA22" s="152">
        <f>IF(OR($EH22=0,$EM22=0),"","−"&amp;INDEX($Q$2:$V$8,$DY22,$EM22)&amp;" · "&amp;CHOOSE($EM22,"Leve","Média","Pesada","Leve · Livre","Média · Livre","Pesada · Livre"))</f>
        <v/>
      </c>
      <c r="HB22" s="152">
        <f>IF(OR($EH22=0,$EN22=0),"","−"&amp;INDEX($Q$2:$V$8,$DY22,$EN22)&amp;" · "&amp;CHOOSE($EN22,"Leve","Média","Pesada","Leve · Livre","Média · Livre","Pesada · Livre"))</f>
        <v/>
      </c>
      <c r="HC22" s="152">
        <f>IF(OR($EH22=0,$EF22=""),"","+"&amp;IF($EX22=1,CEILING($DY22/2,1),$DY22))</f>
        <v/>
      </c>
      <c r="HD22" s="152">
        <f>IF(OR($EH22=0,$EG22=""),"","+"&amp;IF($EY22=1,CEILING($DY22/2,1),$DY22))</f>
        <v/>
      </c>
      <c r="HE22" s="152">
        <f>'FICHA AMALDIÇOADA'!$P$181&amp;""</f>
        <v/>
      </c>
      <c r="HF22" s="152">
        <f>IF(AND($EH22=1,$DW22=0),COUNTIFS($EH$2:$EH22,1,$DW$2:$DW22,0),"")</f>
        <v/>
      </c>
      <c r="HH22" s="150" t="inlineStr">
        <is>
          <t>livres</t>
        </is>
      </c>
      <c r="HI22" s="152">
        <f>$HI$21-$HI$15</f>
        <v/>
      </c>
      <c r="JD22" s="152" t="n">
        <v>21</v>
      </c>
      <c r="JE22" s="152">
        <f>IFERROR(MATCH(21,$HF$2:$HF$37,0),0)</f>
        <v/>
      </c>
      <c r="JF22" s="152">
        <f>IF($JE22=0,"",INDEX($DY$2:$DY$37,$JE22))</f>
        <v/>
      </c>
      <c r="JG22" s="152">
        <f>IF($JE22=0,"",INDEX($DZ$2:$DZ$37,$JE22))</f>
        <v/>
      </c>
      <c r="JH22" s="152">
        <f>IF($JE22=0,"",INDEX($GN$2:$GN$37,$JE22))</f>
        <v/>
      </c>
      <c r="JI22" s="152">
        <f>IF($JE22=0,"",INDEX($EA$2:$EA$37,$JE22))</f>
        <v/>
      </c>
      <c r="JJ22" s="152">
        <f>IF($JE22=0,"",INDEX($GP$2:$GP$37,$JE22))</f>
        <v/>
      </c>
      <c r="JK22" s="152">
        <f>IF($JE22=0,"",INDEX($HE$2:$HE$37,$JE22))</f>
        <v/>
      </c>
      <c r="KQ22" s="150" t="inlineStr">
        <is>
          <t>Q42</t>
        </is>
      </c>
      <c r="KR22" s="152">
        <f>IF(DADOS_AM!$HI$20=1,"⚠ ","")&amp;DADOS_AM!$HI$19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L23" s="150" t="inlineStr">
        <is>
          <t>Restrição Própria (Leve)</t>
        </is>
      </c>
      <c r="BM23" s="150" t="inlineStr">
        <is>
          <t>Restrição Própria</t>
        </is>
      </c>
      <c r="BN23" s="152" t="n">
        <v>1</v>
      </c>
      <c r="BO23" s="152" t="n">
        <v>0</v>
      </c>
      <c r="BP23" s="150" t="inlineStr">
        <is>
          <t>Restrição Própria (Leve)</t>
        </is>
      </c>
      <c r="BR23" s="150" t="inlineStr">
        <is>
          <t>Contragolpe</t>
        </is>
      </c>
      <c r="BS23" s="152" t="n">
        <v>2</v>
      </c>
      <c r="BT23" s="150" t="inlineStr">
        <is>
          <t>Quando uma criatura errar um ataque corpo a corpo contra você, pode guardar uma resposta contra ela. Sua próxima rolagem de ataque de uma Kata contra essa criatura tem vantagem. O benefício termina depois dessa rolagem ou ao fim da cena.</t>
        </is>
      </c>
      <c r="BU23" s="152" t="n">
        <v>0</v>
      </c>
      <c r="BV23" s="152" t="n">
        <v>1</v>
      </c>
      <c r="BW23" s="152">
        <f>IF(OR(AND($A$2&lt;=2,$BU23=1),AND($A$2&gt;=2,$BV23=1)),$BR23,"")</f>
        <v/>
      </c>
      <c r="BX23" s="150" t="inlineStr">
        <is>
          <t>Quando uma criatura errar um ataque corpo a corpo contra você, pode guardar uma resposta contra ela. Sua próxima rolagem de ataque de uma Kata contra essa criatura tem vantagem. O benefício termina depois dessa rolagem ou ao fim da cena.</t>
        </is>
      </c>
      <c r="CC23" s="150" t="inlineStr">
        <is>
          <t>Presilha</t>
        </is>
      </c>
      <c r="CD23" s="150" t="inlineStr">
        <is>
          <t>Lapidação 4 e Força 4</t>
        </is>
      </c>
      <c r="CE23" s="152" t="n">
        <v>2</v>
      </c>
      <c r="CF23" s="150" t="inlineStr">
        <is>
          <t>—</t>
        </is>
      </c>
      <c r="CG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52">
        <f>IF($CK23=1,"",IF($A$2=4,IF($CI23=1,$CC23,""),IF(OR($CI23=1,AND($A$2=3,$CJ23=1)),"",$CC23)))</f>
        <v/>
      </c>
      <c r="CI23" s="152" t="n">
        <v>1</v>
      </c>
      <c r="CJ23" s="152" t="n">
        <v>0</v>
      </c>
      <c r="CK23" s="152" t="n">
        <v>0</v>
      </c>
      <c r="CL23" s="150" t="inlineStr">
        <is>
          <t>Uma vez por rodada, quando uma criatura passar num TR para evitar que você a agarre, derrube ou mova à força, pode obrigá-la a repetir esse TR.</t>
        </is>
      </c>
      <c r="DV23" s="150" t="inlineStr">
        <is>
          <t>Feitiço 22</t>
        </is>
      </c>
      <c r="DW23" s="152" t="n">
        <v>0</v>
      </c>
      <c r="DX23" s="152" t="n">
        <v>22</v>
      </c>
      <c r="DY23" s="152">
        <f>MAX(1,MIN(7,N('FICHA AMALDIÇOADA'!$D$200)))</f>
        <v/>
      </c>
      <c r="DZ23" s="152">
        <f>'FICHA AMALDIÇOADA'!$E$200&amp;""</f>
        <v/>
      </c>
      <c r="EA23" s="152">
        <f>'FICHA AMALDIÇOADA'!$D$207&amp;""</f>
        <v/>
      </c>
      <c r="EB23" s="152">
        <f>'FICHA AMALDIÇOADA'!$E$209&amp;""</f>
        <v/>
      </c>
      <c r="EC23" s="152">
        <f>'FICHA AMALDIÇOADA'!$E$210&amp;""</f>
        <v/>
      </c>
      <c r="ED23" s="152">
        <f>'FICHA AMALDIÇOADA'!$E$211&amp;""</f>
        <v/>
      </c>
      <c r="EE23" s="152">
        <f>'FICHA AMALDIÇOADA'!$E$212&amp;""</f>
        <v/>
      </c>
      <c r="EF23" s="152">
        <f>'FICHA AMALDIÇOADA'!$E$213&amp;""</f>
        <v/>
      </c>
      <c r="EG23" s="152">
        <f>'FICHA AMALDIÇOADA'!$E$214&amp;""</f>
        <v/>
      </c>
      <c r="EH23" s="152">
        <f>IF($DZ23&lt;&gt;"",1,0)</f>
        <v/>
      </c>
      <c r="EI23" s="152">
        <f>IFERROR(MATCH($EA23,$Y$2:$Y$11,0),0)</f>
        <v/>
      </c>
      <c r="EJ23" s="152">
        <f>IF($EI23=0,0,INDEX($AB$2:$AB$11,$EI23))</f>
        <v/>
      </c>
      <c r="EK23" s="152">
        <f>IFERROR(VLOOKUP($EB23,$BC$2:$BJ$84,4,FALSE),0)</f>
        <v/>
      </c>
      <c r="EL23" s="152">
        <f>IFERROR(VLOOKUP($EC23,$BC$2:$BJ$84,4,FALSE),0)</f>
        <v/>
      </c>
      <c r="EM23" s="152">
        <f>IFERROR(VLOOKUP($ED23,$BC$2:$BJ$84,4,FALSE),0)</f>
        <v/>
      </c>
      <c r="EN23" s="152">
        <f>IFERROR(VLOOKUP($EE23,$BC$2:$BJ$84,4,FALSE),0)</f>
        <v/>
      </c>
      <c r="EO23" s="152">
        <f>IF($EI23=0,0,INDEX($AC$2:$AC$11,$EI23))</f>
        <v/>
      </c>
      <c r="EP23" s="152">
        <f>IFERROR(VLOOKUP($EB23,$BC$2:$BJ$84,5,FALSE),0)</f>
        <v/>
      </c>
      <c r="EQ23" s="152">
        <f>IFERROR(VLOOKUP($EC23,$BC$2:$BJ$84,5,FALSE),0)</f>
        <v/>
      </c>
      <c r="ER23" s="152">
        <f>IFERROR(VLOOKUP($ED23,$BC$2:$BJ$84,5,FALSE),0)</f>
        <v/>
      </c>
      <c r="ES23" s="152">
        <f>IFERROR(VLOOKUP($EE23,$BC$2:$BJ$84,5,FALSE),0)</f>
        <v/>
      </c>
      <c r="ET23" s="152">
        <f>IFERROR(VLOOKUP($EB23,$BC$2:$BJ$84,6,FALSE),0)+IFERROR(VLOOKUP($EC23,$BC$2:$BJ$84,6,FALSE),0)+IFERROR(VLOOKUP($ED23,$BC$2:$BJ$84,6,FALSE),0)+IFERROR(VLOOKUP($EE23,$BC$2:$BJ$84,6,FALSE),0)</f>
        <v/>
      </c>
      <c r="EU23" s="152">
        <f>IF($EI23=0,0,INDEX($AD$2:$AD$11,$EI23))</f>
        <v/>
      </c>
      <c r="EV23" s="152">
        <f>IF($EI23=0,0,INDEX($AE$2:$AE$11,$EI23))</f>
        <v/>
      </c>
      <c r="EW23" s="152">
        <f>IF($EI23=0,0,INDEX($AG$2:$AG$11,$EI23))</f>
        <v/>
      </c>
      <c r="EX23" s="152">
        <f>IFERROR(VLOOKUP($EF23,$BL$2:$BP$24,3,FALSE),0)</f>
        <v/>
      </c>
      <c r="EY23" s="152">
        <f>IFERROR(VLOOKUP($EG23,$BL$2:$BP$24,3,FALSE),0)</f>
        <v/>
      </c>
      <c r="EZ23" s="152">
        <f>IFERROR(VLOOKUP($EF23,$BL$2:$BP$24,2,FALSE),"")</f>
        <v/>
      </c>
      <c r="FA23" s="152">
        <f>IFERROR(VLOOKUP($EG23,$BL$2:$BP$24,2,FALSE),"")</f>
        <v/>
      </c>
      <c r="FB23" s="152">
        <f>COUNTIF($EJ23:$EN23,1)</f>
        <v/>
      </c>
      <c r="FC23" s="152">
        <f>COUNTIF($EJ23:$EN23,2)</f>
        <v/>
      </c>
      <c r="FD23" s="152">
        <f>COUNTIF($EJ23:$EN23,3)</f>
        <v/>
      </c>
      <c r="FE23" s="152">
        <f>COUNTIF($EJ23:$EN23,4)</f>
        <v/>
      </c>
      <c r="FF23" s="152">
        <f>COUNTIF($EJ23:$EN23,5)</f>
        <v/>
      </c>
      <c r="FG23" s="152">
        <f>COUNTIF($EJ23:$EN23,6)</f>
        <v/>
      </c>
      <c r="FH23" s="152">
        <f>COUNTIF($EX23:$EY23,1)</f>
        <v/>
      </c>
      <c r="FI23" s="152">
        <f>COUNTIF($EX23:$EY23,2)+$EU23</f>
        <v/>
      </c>
      <c r="FJ23" s="152">
        <f>COUNTIF($EB23:$EE23,"?*")</f>
        <v/>
      </c>
      <c r="FK23" s="152">
        <f>COUNTIF($EF23:$EG23,"?*")+$EU23</f>
        <v/>
      </c>
      <c r="FL23" s="152">
        <f>SUMPRODUCT($FB23:$FG23,INDEX($Q$2:$V$8,$DY23,0))</f>
        <v/>
      </c>
      <c r="FM23" s="152">
        <f>$FH23*CEILING($DY23/2,1)+$FI23*$DY23</f>
        <v/>
      </c>
      <c r="FN23" s="152">
        <f>MIN(2*$DY23,$FM23)</f>
        <v/>
      </c>
      <c r="FO23" s="152">
        <f>MIN($FN23,$FL23)</f>
        <v/>
      </c>
      <c r="FP23" s="152">
        <f>$FN23-$FO23</f>
        <v/>
      </c>
      <c r="FQ23" s="152">
        <f>3*$DY23-$FL23+$FO23</f>
        <v/>
      </c>
      <c r="FR23" s="152">
        <f>MAX(0,$FQ23)+$DW23*$DY23</f>
        <v/>
      </c>
      <c r="FS23" s="152">
        <f>(IF(COUNTIF($EB23:$EE23,"Salto")&gt;0,1,0)+IF(COUNTIF($EB23:$EE23,"Queima")&gt;0,1,0)+IF(COUNTIF($EB23:$EE23,"Estilhaço")&gt;0,1,0))*FLOOR($FR23/2,1)</f>
        <v/>
      </c>
      <c r="FT23" s="152">
        <f>MAX(0,3-SUMPRODUCT($FB23:$FG23,$Q$2:$V$2)+MIN(2,$FH23*1+$FI23*1,SUMPRODUCT($FB23:$FG23,$Q$2:$V$2)))+$DW23*1</f>
        <v/>
      </c>
      <c r="FU23" s="152">
        <f>MAX(0,6-SUMPRODUCT($FB23:$FG23,$Q$3:$V$3)+MIN(4,$FH23*1+$FI23*2,SUMPRODUCT($FB23:$FG23,$Q$3:$V$3)))+$DW23*2</f>
        <v/>
      </c>
      <c r="FV23" s="152">
        <f>MAX(0,9-SUMPRODUCT($FB23:$FG23,$Q$4:$V$4)+MIN(6,$FH23*2+$FI23*3,SUMPRODUCT($FB23:$FG23,$Q$4:$V$4)))+$DW23*3</f>
        <v/>
      </c>
      <c r="FW23" s="152">
        <f>MAX(0,12-SUMPRODUCT($FB23:$FG23,$Q$5:$V$5)+MIN(8,$FH23*2+$FI23*4,SUMPRODUCT($FB23:$FG23,$Q$5:$V$5)))+$DW23*4</f>
        <v/>
      </c>
      <c r="FX23" s="152">
        <f>MAX(0,15-SUMPRODUCT($FB23:$FG23,$Q$6:$V$6)+MIN(10,$FH23*3+$FI23*5,SUMPRODUCT($FB23:$FG23,$Q$6:$V$6)))+$DW23*5</f>
        <v/>
      </c>
      <c r="FY23" s="152">
        <f>MAX(0,18-SUMPRODUCT($FB23:$FG23,$Q$7:$V$7)+MIN(12,$FH23*3+$FI23*6,SUMPRODUCT($FB23:$FG23,$Q$7:$V$7)))+$DW23*6</f>
        <v/>
      </c>
      <c r="FZ23" s="152">
        <f>MAX(0,21-SUMPRODUCT($FB23:$FG23,$Q$8:$V$8)+MIN(14,$FH23*4+$FI23*7,SUMPRODUCT($FB23:$FG23,$Q$8:$V$8)))+$DW23*7</f>
        <v/>
      </c>
      <c r="GA23" s="152">
        <f>IF($EV23=2,3*$FT23&amp;" de vida temp.",IF($EV23=3,"sem dano",IF($FT23=0,IF($EV23=1,"sem cura","sem dano"),IF($EV23=1,"cura ","")&amp;$FT23&amp;"d8")))</f>
        <v/>
      </c>
      <c r="GB23" s="152">
        <f>IF($EV23=2,3*$FU23&amp;" de vida temp.",IF($EV23=3,"sem dano",IF($FU23=0,IF($EV23=1,"sem cura","sem dano"),IF($EV23=1,"cura ","")&amp;$FU23&amp;"d8")))</f>
        <v/>
      </c>
      <c r="GC23" s="152">
        <f>IF($EV23=2,3*$FV23&amp;" de vida temp.",IF($EV23=3,"sem dano",IF($FV23=0,IF($EV23=1,"sem cura","sem dano"),IF($EV23=1,"cura ","")&amp;$FV23&amp;"d8")))</f>
        <v/>
      </c>
      <c r="GD23" s="152">
        <f>IF($EV23=2,3*$FW23&amp;" de vida temp.",IF($EV23=3,"sem dano",IF($FW23=0,IF($EV23=1,"sem cura","sem dano"),IF($EV23=1,"cura ","")&amp;$FW23&amp;"d8")))</f>
        <v/>
      </c>
      <c r="GE23" s="152">
        <f>IF($EV23=2,3*$FX23&amp;" de vida temp.",IF($EV23=3,"sem dano",IF($FX23=0,IF($EV23=1,"sem cura","sem dano"),IF($EV23=1,"cura ","")&amp;$FX23&amp;"d8")))</f>
        <v/>
      </c>
      <c r="GF23" s="152">
        <f>IF($EV23=2,3*$FY23&amp;" de vida temp.",IF($EV23=3,"sem dano",IF($FY23=0,IF($EV23=1,"sem cura","sem dano"),IF($EV23=1,"cura ","")&amp;$FY23&amp;"d8")))</f>
        <v/>
      </c>
      <c r="GG23" s="152">
        <f>IF($EV23=2,3*$FZ23&amp;" de vida temp.",IF($EV23=3,"sem dano",IF($FZ23=0,IF($EV23=1,"sem cura","sem dano"),IF($EV23=1,"cura ","")&amp;$FZ23&amp;"d8")))</f>
        <v/>
      </c>
      <c r="GH23" s="152">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52">
        <f>IF($GH23="",0,(LEN($GH23)-LEN(SUBSTITUTE($GH23," · ","")))/3+1)</f>
        <v/>
      </c>
      <c r="GJ23" s="152">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52">
        <f>IF($GJ23="",0,(LEN($GJ23)-LEN(SUBSTITUTE($GJ23," · ","")))/3+1)</f>
        <v/>
      </c>
      <c r="GL23" s="152">
        <f>IF($EH23=0,IF($FJ23+$FK23-$EU23&gt;0,"Dê um nome",""),IF($GI23&gt;0,"⚠ "&amp;$GI23&amp;IF($GI23&gt;1," erros"," erro"),IF($GK23&gt;0,"! "&amp;$GK23&amp;IF($GK23&gt;1," avisos"," aviso"),"Na regra")))</f>
        <v/>
      </c>
      <c r="GM23" s="152">
        <f>IF($EH23=0,"",IF($GI23+$GK23=0,"Dentro das regras que a ficha confere",$GH23&amp;IF(AND($GI23&gt;0,$GK23&gt;0)," · ","")&amp;$GJ23))</f>
        <v/>
      </c>
      <c r="GN23" s="152">
        <f>IF($EH23=0,"",IF($DW23=1,CEILING(4.5*$DY23,1),3*$DY23)&amp;" PE")</f>
        <v/>
      </c>
      <c r="GO23" s="152">
        <f>IF($EH23=0,"",IF($DW23=1,"Rodada inteira",IF(COUNTIF($EZ23:$FA23,"Atrasar")&gt;0,IF(COUNTIF($EZ23:$FA23,"Carregar")&gt;0,"Rodada +1 turno","Rodada inteira"),IF(COUNTIF($EB23:$EE23,"Rápido")&gt;0,"Bônus",IF(COUNTIF($EB23:$EE23,"Reação")&gt;0,"Reação","Padrão"))&amp;IF(COUNTIF($EZ23:$FA23,"Carregar")&gt;0," +1 turno",""))))</f>
        <v/>
      </c>
      <c r="GP23" s="152">
        <f>IF(OR($EH23=0,$EI23=0),"",IF(COUNTIF($EB23:$EE23,"Inescapável")&gt;0,"Automático",IF(COUNTIF($EB23:$EE23,"Certeiro")&gt;0,"TR para metade",INDEX($AF$2:$AF$11,$EI23))))</f>
        <v/>
      </c>
      <c r="GQ23" s="152">
        <f>IF(OR($EH23=0,$EI23=0),"",IF(OR($EV23&gt;=2,$FR23=0),UPPER(LEFT(INDEX($GA23:$GG23,1,$DY23),1))&amp;MID(INDEX($GA23:$GG23,1,$DY23),2,99),UPPER(LEFT(INDEX($GA23:$GG23,1,$DY23),1))&amp;MID(INDEX($GA23:$GG23,1,$DY23),2,99)&amp;" = "&amp;FLOOR($FR23*4.5,1)&amp;IF($FS23&gt;0," · +"&amp;$FS23&amp;"d8","")))</f>
        <v/>
      </c>
      <c r="GR23" s="152">
        <f>COUNTIF($EB23:$EE23,"Longe")+3*COUNTIF($EB23:$EE23,"Muito Longe")</f>
        <v/>
      </c>
      <c r="GS23" s="152">
        <f>COUNTIF($EB23:$EE23,"Maior")+3*COUNTIF($EB23:$EE23,"Muito Maior")</f>
        <v/>
      </c>
      <c r="GT23" s="152">
        <f>IF($EI23=0,0,CHOOSE(1+INDEX($AH$2:$AH$11,$EI23),0,$GR23,$GS23,$GR23+$GS23))</f>
        <v/>
      </c>
      <c r="GU23" s="152">
        <f>IF($EI23=0,0,CHOOSE(1+INDEX($AI$2:$AI$11,$EI23),0,$GR23,$GS23,$GR23+$GS23))</f>
        <v/>
      </c>
      <c r="GV23" s="152">
        <f>IF(OR($EH23=0,$EI23=0),"",INDEX($AP$2:$AU$31,($EI23-1)*3+IF($DY23&gt;=6,3,2),1+MIN(5,$GT23))&amp;INDEX($AV$2:$BA$31,($EI23-1)*3+IF($DY23&gt;=6,3,2),1+MIN(5,$GU23))&amp;IF(INDEX($AJ$2:$AJ$11,$EI23)=1,IF(COUNTIF($EB23:$EE23,"Mais Um")&gt;0," · +"&amp;COUNTIF($EB23:$EE23,"Mais Um")&amp;IF(COUNTIF($EB23:$EE23,"Mais Um")&gt;1," alvos"," alvo"),"")&amp;IF(COUNTIF($EB23:$EE23,"Rajada")&gt;0," · "&amp;($DY23+1)&amp;" tiros",""),""))</f>
        <v/>
      </c>
      <c r="GW23" s="152">
        <f>IF($EH23=0,"",3*$DY23&amp;" − "&amp;$FL23&amp;" + "&amp;$FO23&amp;IF($DW23=1," + "&amp;$DY23,"")&amp;" = "&amp;$FR23&amp;"d8 · teto "&amp;4*$DY23&amp;IF($EU23=1," · a Forma devolve "&amp;$DY23,"")&amp;IF($FP23&gt;0," · perde "&amp;$FP23,""))</f>
        <v/>
      </c>
      <c r="GX23" s="152">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52">
        <f>IF(OR($EH23=0,$EK23=0),"","−"&amp;INDEX($Q$2:$V$8,$DY23,$EK23)&amp;" · "&amp;CHOOSE($EK23,"Leve","Média","Pesada","Leve · Livre","Média · Livre","Pesada · Livre"))</f>
        <v/>
      </c>
      <c r="GZ23" s="152">
        <f>IF(OR($EH23=0,$EL23=0),"","−"&amp;INDEX($Q$2:$V$8,$DY23,$EL23)&amp;" · "&amp;CHOOSE($EL23,"Leve","Média","Pesada","Leve · Livre","Média · Livre","Pesada · Livre"))</f>
        <v/>
      </c>
      <c r="HA23" s="152">
        <f>IF(OR($EH23=0,$EM23=0),"","−"&amp;INDEX($Q$2:$V$8,$DY23,$EM23)&amp;" · "&amp;CHOOSE($EM23,"Leve","Média","Pesada","Leve · Livre","Média · Livre","Pesada · Livre"))</f>
        <v/>
      </c>
      <c r="HB23" s="152">
        <f>IF(OR($EH23=0,$EN23=0),"","−"&amp;INDEX($Q$2:$V$8,$DY23,$EN23)&amp;" · "&amp;CHOOSE($EN23,"Leve","Média","Pesada","Leve · Livre","Média · Livre","Pesada · Livre"))</f>
        <v/>
      </c>
      <c r="HC23" s="152">
        <f>IF(OR($EH23=0,$EF23=""),"","+"&amp;IF($EX23=1,CEILING($DY23/2,1),$DY23))</f>
        <v/>
      </c>
      <c r="HD23" s="152">
        <f>IF(OR($EH23=0,$EG23=""),"","+"&amp;IF($EY23=1,CEILING($DY23/2,1),$DY23))</f>
        <v/>
      </c>
      <c r="HE23" s="152">
        <f>'FICHA AMALDIÇOADA'!$D$202&amp;""</f>
        <v/>
      </c>
      <c r="HF23" s="152">
        <f>IF(AND($EH23=1,$DW23=0),COUNTIFS($EH$2:$EH23,1,$DW$2:$DW23,0),"")</f>
        <v/>
      </c>
      <c r="HH23" s="150" t="inlineStr">
        <is>
          <t>passivas pagas</t>
        </is>
      </c>
      <c r="HI23" s="152">
        <f>IF('FICHA AMALDIÇOADA'!$D$379&lt;&gt;"",1,0)+IF('FICHA AMALDIÇOADA'!$J$379&lt;&gt;"",1,0)+IF('FICHA AMALDIÇOADA'!$P$379&lt;&gt;"",1,0)+IF('FICHA AMALDIÇOADA'!$D$387&lt;&gt;"",1,0)+IF('FICHA AMALDIÇOADA'!$J$387&lt;&gt;"",1,0)</f>
        <v/>
      </c>
      <c r="JD23" s="152" t="n">
        <v>22</v>
      </c>
      <c r="JE23" s="152">
        <f>IFERROR(MATCH(22,$HF$2:$HF$37,0),0)</f>
        <v/>
      </c>
      <c r="JF23" s="152">
        <f>IF($JE23=0,"",INDEX($DY$2:$DY$37,$JE23))</f>
        <v/>
      </c>
      <c r="JG23" s="152">
        <f>IF($JE23=0,"",INDEX($DZ$2:$DZ$37,$JE23))</f>
        <v/>
      </c>
      <c r="JH23" s="152">
        <f>IF($JE23=0,"",INDEX($GN$2:$GN$37,$JE23))</f>
        <v/>
      </c>
      <c r="JI23" s="152">
        <f>IF($JE23=0,"",INDEX($EA$2:$EA$37,$JE23))</f>
        <v/>
      </c>
      <c r="JJ23" s="152">
        <f>IF($JE23=0,"",INDEX($GP$2:$GP$37,$JE23))</f>
        <v/>
      </c>
      <c r="JK23" s="152">
        <f>IF($JE23=0,"",INDEX($HE$2:$HE$37,$JE23))</f>
        <v/>
      </c>
      <c r="KQ23" s="150" t="inlineStr">
        <is>
          <t>R42</t>
        </is>
      </c>
      <c r="KR23" s="152">
        <f>IF(DADOS_AM!$HI$22&lt;0,"⚠ ","")&amp;DADOS_AM!$HI$22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L24" s="150" t="inlineStr">
        <is>
          <t>Restrição Própria (Média)</t>
        </is>
      </c>
      <c r="BM24" s="150" t="inlineStr">
        <is>
          <t>Restrição Própria</t>
        </is>
      </c>
      <c r="BN24" s="152" t="n">
        <v>2</v>
      </c>
      <c r="BO24" s="152" t="n">
        <v>0</v>
      </c>
      <c r="BP24" s="150" t="inlineStr"/>
      <c r="BR24" s="150" t="inlineStr">
        <is>
          <t>Aliança</t>
        </is>
      </c>
      <c r="BS24" s="152" t="n">
        <v>3</v>
      </c>
      <c r="BT24" s="150" t="inlineStr">
        <is>
          <t>Escolha uma de suas armas ao adquirir este Talento. Ela não pode ser desarmada contra sua vontade e somente você pode empunhá-la para utilizá-la.</t>
        </is>
      </c>
      <c r="BU24" s="152" t="n">
        <v>0</v>
      </c>
      <c r="BV24" s="152" t="n">
        <v>1</v>
      </c>
      <c r="BW24" s="152">
        <f>IF(OR(AND($A$2&lt;=2,$BU24=1),AND($A$2&gt;=2,$BV24=1)),$BR24,"")</f>
        <v/>
      </c>
      <c r="BX24" s="150" t="inlineStr">
        <is>
          <t>Escolha uma de suas armas ao adquirir este Talento. Ela não pode ser desarmada contra sua vontade e somente você pode empunhá-la para utilizá-la.</t>
        </is>
      </c>
      <c r="CC24" s="150" t="inlineStr">
        <is>
          <t>Vigília</t>
        </is>
      </c>
      <c r="CD24" s="150" t="inlineStr">
        <is>
          <t>Lapidação 4</t>
        </is>
      </c>
      <c r="CE24" s="152" t="n">
        <v>2</v>
      </c>
      <c r="CF24" s="150" t="inlineStr">
        <is>
          <t>—</t>
        </is>
      </c>
      <c r="CG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52">
        <f>IF($CK24=1,"",IF($A$2=4,IF($CI24=1,$CC24,""),IF(OR($CI24=1,AND($A$2=3,$CJ24=1)),"",$CC24)))</f>
        <v/>
      </c>
      <c r="CI24" s="152" t="n">
        <v>1</v>
      </c>
      <c r="CJ24" s="152" t="n">
        <v>0</v>
      </c>
      <c r="CK24" s="152" t="n">
        <v>0</v>
      </c>
      <c r="CL24" s="150" t="inlineStr">
        <is>
          <t>Ao aplicar as consequências de Exaustão, conte um estágio a menos, até o mínimo de zero.</t>
        </is>
      </c>
      <c r="DV24" s="150" t="inlineStr">
        <is>
          <t>Feitiço 23</t>
        </is>
      </c>
      <c r="DW24" s="152" t="n">
        <v>0</v>
      </c>
      <c r="DX24" s="152" t="n">
        <v>23</v>
      </c>
      <c r="DY24" s="152">
        <f>MAX(1,MIN(7,N('FICHA AMALDIÇOADA'!$J$200)))</f>
        <v/>
      </c>
      <c r="DZ24" s="152">
        <f>'FICHA AMALDIÇOADA'!$K$200&amp;""</f>
        <v/>
      </c>
      <c r="EA24" s="152">
        <f>'FICHA AMALDIÇOADA'!$J$207&amp;""</f>
        <v/>
      </c>
      <c r="EB24" s="152">
        <f>'FICHA AMALDIÇOADA'!$K$209&amp;""</f>
        <v/>
      </c>
      <c r="EC24" s="152">
        <f>'FICHA AMALDIÇOADA'!$K$210&amp;""</f>
        <v/>
      </c>
      <c r="ED24" s="152">
        <f>'FICHA AMALDIÇOADA'!$K$211&amp;""</f>
        <v/>
      </c>
      <c r="EE24" s="152">
        <f>'FICHA AMALDIÇOADA'!$K$212&amp;""</f>
        <v/>
      </c>
      <c r="EF24" s="152">
        <f>'FICHA AMALDIÇOADA'!$K$213&amp;""</f>
        <v/>
      </c>
      <c r="EG24" s="152">
        <f>'FICHA AMALDIÇOADA'!$K$214&amp;""</f>
        <v/>
      </c>
      <c r="EH24" s="152">
        <f>IF($DZ24&lt;&gt;"",1,0)</f>
        <v/>
      </c>
      <c r="EI24" s="152">
        <f>IFERROR(MATCH($EA24,$Y$2:$Y$11,0),0)</f>
        <v/>
      </c>
      <c r="EJ24" s="152">
        <f>IF($EI24=0,0,INDEX($AB$2:$AB$11,$EI24))</f>
        <v/>
      </c>
      <c r="EK24" s="152">
        <f>IFERROR(VLOOKUP($EB24,$BC$2:$BJ$84,4,FALSE),0)</f>
        <v/>
      </c>
      <c r="EL24" s="152">
        <f>IFERROR(VLOOKUP($EC24,$BC$2:$BJ$84,4,FALSE),0)</f>
        <v/>
      </c>
      <c r="EM24" s="152">
        <f>IFERROR(VLOOKUP($ED24,$BC$2:$BJ$84,4,FALSE),0)</f>
        <v/>
      </c>
      <c r="EN24" s="152">
        <f>IFERROR(VLOOKUP($EE24,$BC$2:$BJ$84,4,FALSE),0)</f>
        <v/>
      </c>
      <c r="EO24" s="152">
        <f>IF($EI24=0,0,INDEX($AC$2:$AC$11,$EI24))</f>
        <v/>
      </c>
      <c r="EP24" s="152">
        <f>IFERROR(VLOOKUP($EB24,$BC$2:$BJ$84,5,FALSE),0)</f>
        <v/>
      </c>
      <c r="EQ24" s="152">
        <f>IFERROR(VLOOKUP($EC24,$BC$2:$BJ$84,5,FALSE),0)</f>
        <v/>
      </c>
      <c r="ER24" s="152">
        <f>IFERROR(VLOOKUP($ED24,$BC$2:$BJ$84,5,FALSE),0)</f>
        <v/>
      </c>
      <c r="ES24" s="152">
        <f>IFERROR(VLOOKUP($EE24,$BC$2:$BJ$84,5,FALSE),0)</f>
        <v/>
      </c>
      <c r="ET24" s="152">
        <f>IFERROR(VLOOKUP($EB24,$BC$2:$BJ$84,6,FALSE),0)+IFERROR(VLOOKUP($EC24,$BC$2:$BJ$84,6,FALSE),0)+IFERROR(VLOOKUP($ED24,$BC$2:$BJ$84,6,FALSE),0)+IFERROR(VLOOKUP($EE24,$BC$2:$BJ$84,6,FALSE),0)</f>
        <v/>
      </c>
      <c r="EU24" s="152">
        <f>IF($EI24=0,0,INDEX($AD$2:$AD$11,$EI24))</f>
        <v/>
      </c>
      <c r="EV24" s="152">
        <f>IF($EI24=0,0,INDEX($AE$2:$AE$11,$EI24))</f>
        <v/>
      </c>
      <c r="EW24" s="152">
        <f>IF($EI24=0,0,INDEX($AG$2:$AG$11,$EI24))</f>
        <v/>
      </c>
      <c r="EX24" s="152">
        <f>IFERROR(VLOOKUP($EF24,$BL$2:$BP$24,3,FALSE),0)</f>
        <v/>
      </c>
      <c r="EY24" s="152">
        <f>IFERROR(VLOOKUP($EG24,$BL$2:$BP$24,3,FALSE),0)</f>
        <v/>
      </c>
      <c r="EZ24" s="152">
        <f>IFERROR(VLOOKUP($EF24,$BL$2:$BP$24,2,FALSE),"")</f>
        <v/>
      </c>
      <c r="FA24" s="152">
        <f>IFERROR(VLOOKUP($EG24,$BL$2:$BP$24,2,FALSE),"")</f>
        <v/>
      </c>
      <c r="FB24" s="152">
        <f>COUNTIF($EJ24:$EN24,1)</f>
        <v/>
      </c>
      <c r="FC24" s="152">
        <f>COUNTIF($EJ24:$EN24,2)</f>
        <v/>
      </c>
      <c r="FD24" s="152">
        <f>COUNTIF($EJ24:$EN24,3)</f>
        <v/>
      </c>
      <c r="FE24" s="152">
        <f>COUNTIF($EJ24:$EN24,4)</f>
        <v/>
      </c>
      <c r="FF24" s="152">
        <f>COUNTIF($EJ24:$EN24,5)</f>
        <v/>
      </c>
      <c r="FG24" s="152">
        <f>COUNTIF($EJ24:$EN24,6)</f>
        <v/>
      </c>
      <c r="FH24" s="152">
        <f>COUNTIF($EX24:$EY24,1)</f>
        <v/>
      </c>
      <c r="FI24" s="152">
        <f>COUNTIF($EX24:$EY24,2)+$EU24</f>
        <v/>
      </c>
      <c r="FJ24" s="152">
        <f>COUNTIF($EB24:$EE24,"?*")</f>
        <v/>
      </c>
      <c r="FK24" s="152">
        <f>COUNTIF($EF24:$EG24,"?*")+$EU24</f>
        <v/>
      </c>
      <c r="FL24" s="152">
        <f>SUMPRODUCT($FB24:$FG24,INDEX($Q$2:$V$8,$DY24,0))</f>
        <v/>
      </c>
      <c r="FM24" s="152">
        <f>$FH24*CEILING($DY24/2,1)+$FI24*$DY24</f>
        <v/>
      </c>
      <c r="FN24" s="152">
        <f>MIN(2*$DY24,$FM24)</f>
        <v/>
      </c>
      <c r="FO24" s="152">
        <f>MIN($FN24,$FL24)</f>
        <v/>
      </c>
      <c r="FP24" s="152">
        <f>$FN24-$FO24</f>
        <v/>
      </c>
      <c r="FQ24" s="152">
        <f>3*$DY24-$FL24+$FO24</f>
        <v/>
      </c>
      <c r="FR24" s="152">
        <f>MAX(0,$FQ24)+$DW24*$DY24</f>
        <v/>
      </c>
      <c r="FS24" s="152">
        <f>(IF(COUNTIF($EB24:$EE24,"Salto")&gt;0,1,0)+IF(COUNTIF($EB24:$EE24,"Queima")&gt;0,1,0)+IF(COUNTIF($EB24:$EE24,"Estilhaço")&gt;0,1,0))*FLOOR($FR24/2,1)</f>
        <v/>
      </c>
      <c r="FT24" s="152">
        <f>MAX(0,3-SUMPRODUCT($FB24:$FG24,$Q$2:$V$2)+MIN(2,$FH24*1+$FI24*1,SUMPRODUCT($FB24:$FG24,$Q$2:$V$2)))+$DW24*1</f>
        <v/>
      </c>
      <c r="FU24" s="152">
        <f>MAX(0,6-SUMPRODUCT($FB24:$FG24,$Q$3:$V$3)+MIN(4,$FH24*1+$FI24*2,SUMPRODUCT($FB24:$FG24,$Q$3:$V$3)))+$DW24*2</f>
        <v/>
      </c>
      <c r="FV24" s="152">
        <f>MAX(0,9-SUMPRODUCT($FB24:$FG24,$Q$4:$V$4)+MIN(6,$FH24*2+$FI24*3,SUMPRODUCT($FB24:$FG24,$Q$4:$V$4)))+$DW24*3</f>
        <v/>
      </c>
      <c r="FW24" s="152">
        <f>MAX(0,12-SUMPRODUCT($FB24:$FG24,$Q$5:$V$5)+MIN(8,$FH24*2+$FI24*4,SUMPRODUCT($FB24:$FG24,$Q$5:$V$5)))+$DW24*4</f>
        <v/>
      </c>
      <c r="FX24" s="152">
        <f>MAX(0,15-SUMPRODUCT($FB24:$FG24,$Q$6:$V$6)+MIN(10,$FH24*3+$FI24*5,SUMPRODUCT($FB24:$FG24,$Q$6:$V$6)))+$DW24*5</f>
        <v/>
      </c>
      <c r="FY24" s="152">
        <f>MAX(0,18-SUMPRODUCT($FB24:$FG24,$Q$7:$V$7)+MIN(12,$FH24*3+$FI24*6,SUMPRODUCT($FB24:$FG24,$Q$7:$V$7)))+$DW24*6</f>
        <v/>
      </c>
      <c r="FZ24" s="152">
        <f>MAX(0,21-SUMPRODUCT($FB24:$FG24,$Q$8:$V$8)+MIN(14,$FH24*4+$FI24*7,SUMPRODUCT($FB24:$FG24,$Q$8:$V$8)))+$DW24*7</f>
        <v/>
      </c>
      <c r="GA24" s="152">
        <f>IF($EV24=2,3*$FT24&amp;" de vida temp.",IF($EV24=3,"sem dano",IF($FT24=0,IF($EV24=1,"sem cura","sem dano"),IF($EV24=1,"cura ","")&amp;$FT24&amp;"d8")))</f>
        <v/>
      </c>
      <c r="GB24" s="152">
        <f>IF($EV24=2,3*$FU24&amp;" de vida temp.",IF($EV24=3,"sem dano",IF($FU24=0,IF($EV24=1,"sem cura","sem dano"),IF($EV24=1,"cura ","")&amp;$FU24&amp;"d8")))</f>
        <v/>
      </c>
      <c r="GC24" s="152">
        <f>IF($EV24=2,3*$FV24&amp;" de vida temp.",IF($EV24=3,"sem dano",IF($FV24=0,IF($EV24=1,"sem cura","sem dano"),IF($EV24=1,"cura ","")&amp;$FV24&amp;"d8")))</f>
        <v/>
      </c>
      <c r="GD24" s="152">
        <f>IF($EV24=2,3*$FW24&amp;" de vida temp.",IF($EV24=3,"sem dano",IF($FW24=0,IF($EV24=1,"sem cura","sem dano"),IF($EV24=1,"cura ","")&amp;$FW24&amp;"d8")))</f>
        <v/>
      </c>
      <c r="GE24" s="152">
        <f>IF($EV24=2,3*$FX24&amp;" de vida temp.",IF($EV24=3,"sem dano",IF($FX24=0,IF($EV24=1,"sem cura","sem dano"),IF($EV24=1,"cura ","")&amp;$FX24&amp;"d8")))</f>
        <v/>
      </c>
      <c r="GF24" s="152">
        <f>IF($EV24=2,3*$FY24&amp;" de vida temp.",IF($EV24=3,"sem dano",IF($FY24=0,IF($EV24=1,"sem cura","sem dano"),IF($EV24=1,"cura ","")&amp;$FY24&amp;"d8")))</f>
        <v/>
      </c>
      <c r="GG24" s="152">
        <f>IF($EV24=2,3*$FZ24&amp;" de vida temp.",IF($EV24=3,"sem dano",IF($FZ24=0,IF($EV24=1,"sem cura","sem dano"),IF($EV24=1,"cura ","")&amp;$FZ24&amp;"d8")))</f>
        <v/>
      </c>
      <c r="GH24" s="152">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52">
        <f>IF($GH24="",0,(LEN($GH24)-LEN(SUBSTITUTE($GH24," · ","")))/3+1)</f>
        <v/>
      </c>
      <c r="GJ24" s="152">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52">
        <f>IF($GJ24="",0,(LEN($GJ24)-LEN(SUBSTITUTE($GJ24," · ","")))/3+1)</f>
        <v/>
      </c>
      <c r="GL24" s="152">
        <f>IF($EH24=0,IF($FJ24+$FK24-$EU24&gt;0,"Dê um nome",""),IF($GI24&gt;0,"⚠ "&amp;$GI24&amp;IF($GI24&gt;1," erros"," erro"),IF($GK24&gt;0,"! "&amp;$GK24&amp;IF($GK24&gt;1," avisos"," aviso"),"Na regra")))</f>
        <v/>
      </c>
      <c r="GM24" s="152">
        <f>IF($EH24=0,"",IF($GI24+$GK24=0,"Dentro das regras que a ficha confere",$GH24&amp;IF(AND($GI24&gt;0,$GK24&gt;0)," · ","")&amp;$GJ24))</f>
        <v/>
      </c>
      <c r="GN24" s="152">
        <f>IF($EH24=0,"",IF($DW24=1,CEILING(4.5*$DY24,1),3*$DY24)&amp;" PE")</f>
        <v/>
      </c>
      <c r="GO24" s="152">
        <f>IF($EH24=0,"",IF($DW24=1,"Rodada inteira",IF(COUNTIF($EZ24:$FA24,"Atrasar")&gt;0,IF(COUNTIF($EZ24:$FA24,"Carregar")&gt;0,"Rodada +1 turno","Rodada inteira"),IF(COUNTIF($EB24:$EE24,"Rápido")&gt;0,"Bônus",IF(COUNTIF($EB24:$EE24,"Reação")&gt;0,"Reação","Padrão"))&amp;IF(COUNTIF($EZ24:$FA24,"Carregar")&gt;0," +1 turno",""))))</f>
        <v/>
      </c>
      <c r="GP24" s="152">
        <f>IF(OR($EH24=0,$EI24=0),"",IF(COUNTIF($EB24:$EE24,"Inescapável")&gt;0,"Automático",IF(COUNTIF($EB24:$EE24,"Certeiro")&gt;0,"TR para metade",INDEX($AF$2:$AF$11,$EI24))))</f>
        <v/>
      </c>
      <c r="GQ24" s="152">
        <f>IF(OR($EH24=0,$EI24=0),"",IF(OR($EV24&gt;=2,$FR24=0),UPPER(LEFT(INDEX($GA24:$GG24,1,$DY24),1))&amp;MID(INDEX($GA24:$GG24,1,$DY24),2,99),UPPER(LEFT(INDEX($GA24:$GG24,1,$DY24),1))&amp;MID(INDEX($GA24:$GG24,1,$DY24),2,99)&amp;" = "&amp;FLOOR($FR24*4.5,1)&amp;IF($FS24&gt;0," · +"&amp;$FS24&amp;"d8","")))</f>
        <v/>
      </c>
      <c r="GR24" s="152">
        <f>COUNTIF($EB24:$EE24,"Longe")+3*COUNTIF($EB24:$EE24,"Muito Longe")</f>
        <v/>
      </c>
      <c r="GS24" s="152">
        <f>COUNTIF($EB24:$EE24,"Maior")+3*COUNTIF($EB24:$EE24,"Muito Maior")</f>
        <v/>
      </c>
      <c r="GT24" s="152">
        <f>IF($EI24=0,0,CHOOSE(1+INDEX($AH$2:$AH$11,$EI24),0,$GR24,$GS24,$GR24+$GS24))</f>
        <v/>
      </c>
      <c r="GU24" s="152">
        <f>IF($EI24=0,0,CHOOSE(1+INDEX($AI$2:$AI$11,$EI24),0,$GR24,$GS24,$GR24+$GS24))</f>
        <v/>
      </c>
      <c r="GV24" s="152">
        <f>IF(OR($EH24=0,$EI24=0),"",INDEX($AP$2:$AU$31,($EI24-1)*3+IF($DY24&gt;=6,3,2),1+MIN(5,$GT24))&amp;INDEX($AV$2:$BA$31,($EI24-1)*3+IF($DY24&gt;=6,3,2),1+MIN(5,$GU24))&amp;IF(INDEX($AJ$2:$AJ$11,$EI24)=1,IF(COUNTIF($EB24:$EE24,"Mais Um")&gt;0," · +"&amp;COUNTIF($EB24:$EE24,"Mais Um")&amp;IF(COUNTIF($EB24:$EE24,"Mais Um")&gt;1," alvos"," alvo"),"")&amp;IF(COUNTIF($EB24:$EE24,"Rajada")&gt;0," · "&amp;($DY24+1)&amp;" tiros",""),""))</f>
        <v/>
      </c>
      <c r="GW24" s="152">
        <f>IF($EH24=0,"",3*$DY24&amp;" − "&amp;$FL24&amp;" + "&amp;$FO24&amp;IF($DW24=1," + "&amp;$DY24,"")&amp;" = "&amp;$FR24&amp;"d8 · teto "&amp;4*$DY24&amp;IF($EU24=1," · a Forma devolve "&amp;$DY24,"")&amp;IF($FP24&gt;0," · perde "&amp;$FP24,""))</f>
        <v/>
      </c>
      <c r="GX24" s="152">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52">
        <f>IF(OR($EH24=0,$EK24=0),"","−"&amp;INDEX($Q$2:$V$8,$DY24,$EK24)&amp;" · "&amp;CHOOSE($EK24,"Leve","Média","Pesada","Leve · Livre","Média · Livre","Pesada · Livre"))</f>
        <v/>
      </c>
      <c r="GZ24" s="152">
        <f>IF(OR($EH24=0,$EL24=0),"","−"&amp;INDEX($Q$2:$V$8,$DY24,$EL24)&amp;" · "&amp;CHOOSE($EL24,"Leve","Média","Pesada","Leve · Livre","Média · Livre","Pesada · Livre"))</f>
        <v/>
      </c>
      <c r="HA24" s="152">
        <f>IF(OR($EH24=0,$EM24=0),"","−"&amp;INDEX($Q$2:$V$8,$DY24,$EM24)&amp;" · "&amp;CHOOSE($EM24,"Leve","Média","Pesada","Leve · Livre","Média · Livre","Pesada · Livre"))</f>
        <v/>
      </c>
      <c r="HB24" s="152">
        <f>IF(OR($EH24=0,$EN24=0),"","−"&amp;INDEX($Q$2:$V$8,$DY24,$EN24)&amp;" · "&amp;CHOOSE($EN24,"Leve","Média","Pesada","Leve · Livre","Média · Livre","Pesada · Livre"))</f>
        <v/>
      </c>
      <c r="HC24" s="152">
        <f>IF(OR($EH24=0,$EF24=""),"","+"&amp;IF($EX24=1,CEILING($DY24/2,1),$DY24))</f>
        <v/>
      </c>
      <c r="HD24" s="152">
        <f>IF(OR($EH24=0,$EG24=""),"","+"&amp;IF($EY24=1,CEILING($DY24/2,1),$DY24))</f>
        <v/>
      </c>
      <c r="HE24" s="152">
        <f>'FICHA AMALDIÇOADA'!$J$202&amp;""</f>
        <v/>
      </c>
      <c r="HF24" s="152">
        <f>IF(AND($EH24=1,$DW24=0),COUNTIFS($EH$2:$EH24,1,$DW$2:$DW24,0),"")</f>
        <v/>
      </c>
      <c r="HH24" s="150" t="inlineStr">
        <is>
          <t>passivas do Leque</t>
        </is>
      </c>
      <c r="HI24" s="152">
        <f>IF('FICHA AMALDIÇOADA'!$D$397&lt;&gt;"",1,0)+IF('FICHA AMALDIÇOADA'!$J$397&lt;&gt;"",1,0)+IF('FICHA AMALDIÇOADA'!$P$397&lt;&gt;"",1,0)+IF('FICHA AMALDIÇOADA'!$D$405&lt;&gt;"",1,0)+IF('FICHA AMALDIÇOADA'!$J$405&lt;&gt;"",1,0)+IF('FICHA AMALDIÇOADA'!$P$405&lt;&gt;"",1,0)+IF('FICHA AMALDIÇOADA'!$D$413&lt;&gt;"",1,0)</f>
        <v/>
      </c>
      <c r="JD24" s="152" t="n">
        <v>23</v>
      </c>
      <c r="JE24" s="152">
        <f>IFERROR(MATCH(23,$HF$2:$HF$37,0),0)</f>
        <v/>
      </c>
      <c r="JF24" s="152">
        <f>IF($JE24=0,"",INDEX($DY$2:$DY$37,$JE24))</f>
        <v/>
      </c>
      <c r="JG24" s="152">
        <f>IF($JE24=0,"",INDEX($DZ$2:$DZ$37,$JE24))</f>
        <v/>
      </c>
      <c r="JH24" s="152">
        <f>IF($JE24=0,"",INDEX($GN$2:$GN$37,$JE24))</f>
        <v/>
      </c>
      <c r="JI24" s="152">
        <f>IF($JE24=0,"",INDEX($EA$2:$EA$37,$JE24))</f>
        <v/>
      </c>
      <c r="JJ24" s="152">
        <f>IF($JE24=0,"",INDEX($GP$2:$GP$37,$JE24))</f>
        <v/>
      </c>
      <c r="JK24" s="152">
        <f>IF($JE24=0,"",INDEX($HE$2:$HE$37,$JE24))</f>
        <v/>
      </c>
      <c r="KQ24" s="150" t="inlineStr">
        <is>
          <t>E46</t>
        </is>
      </c>
      <c r="KR24" s="152">
        <f>3*DADOS_AM!$HI$29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CC25" s="150" t="inlineStr">
        <is>
          <t>Faro</t>
        </is>
      </c>
      <c r="CD25" s="150" t="inlineStr">
        <is>
          <t>Lapidação 1</t>
        </is>
      </c>
      <c r="CE25" s="152" t="n">
        <v>1</v>
      </c>
      <c r="CF25" s="150" t="inlineStr">
        <is>
          <t>—</t>
        </is>
      </c>
      <c r="CG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52">
        <f>IF($CK25=1,"",IF($A$2=4,IF($CI25=1,$CC25,""),IF(OR($CI25=1,AND($A$2=3,$CJ25=1)),"",$CC25)))</f>
        <v/>
      </c>
      <c r="CI25" s="152" t="n">
        <v>1</v>
      </c>
      <c r="CJ25" s="152" t="n">
        <v>0</v>
      </c>
      <c r="CK25" s="152" t="n">
        <v>0</v>
      </c>
      <c r="CL25" s="150" t="inlineStr">
        <is>
          <t>Você pode seguir feiticeiros e maldições pelos vestígios físicos que deixaram: cheiro, marcas e objetos fora do lugar.</t>
        </is>
      </c>
      <c r="DV25" s="150" t="inlineStr">
        <is>
          <t>Feitiço 24</t>
        </is>
      </c>
      <c r="DW25" s="152" t="n">
        <v>0</v>
      </c>
      <c r="DX25" s="152" t="n">
        <v>24</v>
      </c>
      <c r="DY25" s="152">
        <f>MAX(1,MIN(7,N('FICHA AMALDIÇOADA'!$P$200)))</f>
        <v/>
      </c>
      <c r="DZ25" s="152">
        <f>'FICHA AMALDIÇOADA'!$Q$200&amp;""</f>
        <v/>
      </c>
      <c r="EA25" s="152">
        <f>'FICHA AMALDIÇOADA'!$P$207&amp;""</f>
        <v/>
      </c>
      <c r="EB25" s="152">
        <f>'FICHA AMALDIÇOADA'!$Q$209&amp;""</f>
        <v/>
      </c>
      <c r="EC25" s="152">
        <f>'FICHA AMALDIÇOADA'!$Q$210&amp;""</f>
        <v/>
      </c>
      <c r="ED25" s="152">
        <f>'FICHA AMALDIÇOADA'!$Q$211&amp;""</f>
        <v/>
      </c>
      <c r="EE25" s="152">
        <f>'FICHA AMALDIÇOADA'!$Q$212&amp;""</f>
        <v/>
      </c>
      <c r="EF25" s="152">
        <f>'FICHA AMALDIÇOADA'!$Q$213&amp;""</f>
        <v/>
      </c>
      <c r="EG25" s="152">
        <f>'FICHA AMALDIÇOADA'!$Q$214&amp;""</f>
        <v/>
      </c>
      <c r="EH25" s="152">
        <f>IF($DZ25&lt;&gt;"",1,0)</f>
        <v/>
      </c>
      <c r="EI25" s="152">
        <f>IFERROR(MATCH($EA25,$Y$2:$Y$11,0),0)</f>
        <v/>
      </c>
      <c r="EJ25" s="152">
        <f>IF($EI25=0,0,INDEX($AB$2:$AB$11,$EI25))</f>
        <v/>
      </c>
      <c r="EK25" s="152">
        <f>IFERROR(VLOOKUP($EB25,$BC$2:$BJ$84,4,FALSE),0)</f>
        <v/>
      </c>
      <c r="EL25" s="152">
        <f>IFERROR(VLOOKUP($EC25,$BC$2:$BJ$84,4,FALSE),0)</f>
        <v/>
      </c>
      <c r="EM25" s="152">
        <f>IFERROR(VLOOKUP($ED25,$BC$2:$BJ$84,4,FALSE),0)</f>
        <v/>
      </c>
      <c r="EN25" s="152">
        <f>IFERROR(VLOOKUP($EE25,$BC$2:$BJ$84,4,FALSE),0)</f>
        <v/>
      </c>
      <c r="EO25" s="152">
        <f>IF($EI25=0,0,INDEX($AC$2:$AC$11,$EI25))</f>
        <v/>
      </c>
      <c r="EP25" s="152">
        <f>IFERROR(VLOOKUP($EB25,$BC$2:$BJ$84,5,FALSE),0)</f>
        <v/>
      </c>
      <c r="EQ25" s="152">
        <f>IFERROR(VLOOKUP($EC25,$BC$2:$BJ$84,5,FALSE),0)</f>
        <v/>
      </c>
      <c r="ER25" s="152">
        <f>IFERROR(VLOOKUP($ED25,$BC$2:$BJ$84,5,FALSE),0)</f>
        <v/>
      </c>
      <c r="ES25" s="152">
        <f>IFERROR(VLOOKUP($EE25,$BC$2:$BJ$84,5,FALSE),0)</f>
        <v/>
      </c>
      <c r="ET25" s="152">
        <f>IFERROR(VLOOKUP($EB25,$BC$2:$BJ$84,6,FALSE),0)+IFERROR(VLOOKUP($EC25,$BC$2:$BJ$84,6,FALSE),0)+IFERROR(VLOOKUP($ED25,$BC$2:$BJ$84,6,FALSE),0)+IFERROR(VLOOKUP($EE25,$BC$2:$BJ$84,6,FALSE),0)</f>
        <v/>
      </c>
      <c r="EU25" s="152">
        <f>IF($EI25=0,0,INDEX($AD$2:$AD$11,$EI25))</f>
        <v/>
      </c>
      <c r="EV25" s="152">
        <f>IF($EI25=0,0,INDEX($AE$2:$AE$11,$EI25))</f>
        <v/>
      </c>
      <c r="EW25" s="152">
        <f>IF($EI25=0,0,INDEX($AG$2:$AG$11,$EI25))</f>
        <v/>
      </c>
      <c r="EX25" s="152">
        <f>IFERROR(VLOOKUP($EF25,$BL$2:$BP$24,3,FALSE),0)</f>
        <v/>
      </c>
      <c r="EY25" s="152">
        <f>IFERROR(VLOOKUP($EG25,$BL$2:$BP$24,3,FALSE),0)</f>
        <v/>
      </c>
      <c r="EZ25" s="152">
        <f>IFERROR(VLOOKUP($EF25,$BL$2:$BP$24,2,FALSE),"")</f>
        <v/>
      </c>
      <c r="FA25" s="152">
        <f>IFERROR(VLOOKUP($EG25,$BL$2:$BP$24,2,FALSE),"")</f>
        <v/>
      </c>
      <c r="FB25" s="152">
        <f>COUNTIF($EJ25:$EN25,1)</f>
        <v/>
      </c>
      <c r="FC25" s="152">
        <f>COUNTIF($EJ25:$EN25,2)</f>
        <v/>
      </c>
      <c r="FD25" s="152">
        <f>COUNTIF($EJ25:$EN25,3)</f>
        <v/>
      </c>
      <c r="FE25" s="152">
        <f>COUNTIF($EJ25:$EN25,4)</f>
        <v/>
      </c>
      <c r="FF25" s="152">
        <f>COUNTIF($EJ25:$EN25,5)</f>
        <v/>
      </c>
      <c r="FG25" s="152">
        <f>COUNTIF($EJ25:$EN25,6)</f>
        <v/>
      </c>
      <c r="FH25" s="152">
        <f>COUNTIF($EX25:$EY25,1)</f>
        <v/>
      </c>
      <c r="FI25" s="152">
        <f>COUNTIF($EX25:$EY25,2)+$EU25</f>
        <v/>
      </c>
      <c r="FJ25" s="152">
        <f>COUNTIF($EB25:$EE25,"?*")</f>
        <v/>
      </c>
      <c r="FK25" s="152">
        <f>COUNTIF($EF25:$EG25,"?*")+$EU25</f>
        <v/>
      </c>
      <c r="FL25" s="152">
        <f>SUMPRODUCT($FB25:$FG25,INDEX($Q$2:$V$8,$DY25,0))</f>
        <v/>
      </c>
      <c r="FM25" s="152">
        <f>$FH25*CEILING($DY25/2,1)+$FI25*$DY25</f>
        <v/>
      </c>
      <c r="FN25" s="152">
        <f>MIN(2*$DY25,$FM25)</f>
        <v/>
      </c>
      <c r="FO25" s="152">
        <f>MIN($FN25,$FL25)</f>
        <v/>
      </c>
      <c r="FP25" s="152">
        <f>$FN25-$FO25</f>
        <v/>
      </c>
      <c r="FQ25" s="152">
        <f>3*$DY25-$FL25+$FO25</f>
        <v/>
      </c>
      <c r="FR25" s="152">
        <f>MAX(0,$FQ25)+$DW25*$DY25</f>
        <v/>
      </c>
      <c r="FS25" s="152">
        <f>(IF(COUNTIF($EB25:$EE25,"Salto")&gt;0,1,0)+IF(COUNTIF($EB25:$EE25,"Queima")&gt;0,1,0)+IF(COUNTIF($EB25:$EE25,"Estilhaço")&gt;0,1,0))*FLOOR($FR25/2,1)</f>
        <v/>
      </c>
      <c r="FT25" s="152">
        <f>MAX(0,3-SUMPRODUCT($FB25:$FG25,$Q$2:$V$2)+MIN(2,$FH25*1+$FI25*1,SUMPRODUCT($FB25:$FG25,$Q$2:$V$2)))+$DW25*1</f>
        <v/>
      </c>
      <c r="FU25" s="152">
        <f>MAX(0,6-SUMPRODUCT($FB25:$FG25,$Q$3:$V$3)+MIN(4,$FH25*1+$FI25*2,SUMPRODUCT($FB25:$FG25,$Q$3:$V$3)))+$DW25*2</f>
        <v/>
      </c>
      <c r="FV25" s="152">
        <f>MAX(0,9-SUMPRODUCT($FB25:$FG25,$Q$4:$V$4)+MIN(6,$FH25*2+$FI25*3,SUMPRODUCT($FB25:$FG25,$Q$4:$V$4)))+$DW25*3</f>
        <v/>
      </c>
      <c r="FW25" s="152">
        <f>MAX(0,12-SUMPRODUCT($FB25:$FG25,$Q$5:$V$5)+MIN(8,$FH25*2+$FI25*4,SUMPRODUCT($FB25:$FG25,$Q$5:$V$5)))+$DW25*4</f>
        <v/>
      </c>
      <c r="FX25" s="152">
        <f>MAX(0,15-SUMPRODUCT($FB25:$FG25,$Q$6:$V$6)+MIN(10,$FH25*3+$FI25*5,SUMPRODUCT($FB25:$FG25,$Q$6:$V$6)))+$DW25*5</f>
        <v/>
      </c>
      <c r="FY25" s="152">
        <f>MAX(0,18-SUMPRODUCT($FB25:$FG25,$Q$7:$V$7)+MIN(12,$FH25*3+$FI25*6,SUMPRODUCT($FB25:$FG25,$Q$7:$V$7)))+$DW25*6</f>
        <v/>
      </c>
      <c r="FZ25" s="152">
        <f>MAX(0,21-SUMPRODUCT($FB25:$FG25,$Q$8:$V$8)+MIN(14,$FH25*4+$FI25*7,SUMPRODUCT($FB25:$FG25,$Q$8:$V$8)))+$DW25*7</f>
        <v/>
      </c>
      <c r="GA25" s="152">
        <f>IF($EV25=2,3*$FT25&amp;" de vida temp.",IF($EV25=3,"sem dano",IF($FT25=0,IF($EV25=1,"sem cura","sem dano"),IF($EV25=1,"cura ","")&amp;$FT25&amp;"d8")))</f>
        <v/>
      </c>
      <c r="GB25" s="152">
        <f>IF($EV25=2,3*$FU25&amp;" de vida temp.",IF($EV25=3,"sem dano",IF($FU25=0,IF($EV25=1,"sem cura","sem dano"),IF($EV25=1,"cura ","")&amp;$FU25&amp;"d8")))</f>
        <v/>
      </c>
      <c r="GC25" s="152">
        <f>IF($EV25=2,3*$FV25&amp;" de vida temp.",IF($EV25=3,"sem dano",IF($FV25=0,IF($EV25=1,"sem cura","sem dano"),IF($EV25=1,"cura ","")&amp;$FV25&amp;"d8")))</f>
        <v/>
      </c>
      <c r="GD25" s="152">
        <f>IF($EV25=2,3*$FW25&amp;" de vida temp.",IF($EV25=3,"sem dano",IF($FW25=0,IF($EV25=1,"sem cura","sem dano"),IF($EV25=1,"cura ","")&amp;$FW25&amp;"d8")))</f>
        <v/>
      </c>
      <c r="GE25" s="152">
        <f>IF($EV25=2,3*$FX25&amp;" de vida temp.",IF($EV25=3,"sem dano",IF($FX25=0,IF($EV25=1,"sem cura","sem dano"),IF($EV25=1,"cura ","")&amp;$FX25&amp;"d8")))</f>
        <v/>
      </c>
      <c r="GF25" s="152">
        <f>IF($EV25=2,3*$FY25&amp;" de vida temp.",IF($EV25=3,"sem dano",IF($FY25=0,IF($EV25=1,"sem cura","sem dano"),IF($EV25=1,"cura ","")&amp;$FY25&amp;"d8")))</f>
        <v/>
      </c>
      <c r="GG25" s="152">
        <f>IF($EV25=2,3*$FZ25&amp;" de vida temp.",IF($EV25=3,"sem dano",IF($FZ25=0,IF($EV25=1,"sem cura","sem dano"),IF($EV25=1,"cura ","")&amp;$FZ25&amp;"d8")))</f>
        <v/>
      </c>
      <c r="GH25" s="152">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52">
        <f>IF($GH25="",0,(LEN($GH25)-LEN(SUBSTITUTE($GH25," · ","")))/3+1)</f>
        <v/>
      </c>
      <c r="GJ25" s="152">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52">
        <f>IF($GJ25="",0,(LEN($GJ25)-LEN(SUBSTITUTE($GJ25," · ","")))/3+1)</f>
        <v/>
      </c>
      <c r="GL25" s="152">
        <f>IF($EH25=0,IF($FJ25+$FK25-$EU25&gt;0,"Dê um nome",""),IF($GI25&gt;0,"⚠ "&amp;$GI25&amp;IF($GI25&gt;1," erros"," erro"),IF($GK25&gt;0,"! "&amp;$GK25&amp;IF($GK25&gt;1," avisos"," aviso"),"Na regra")))</f>
        <v/>
      </c>
      <c r="GM25" s="152">
        <f>IF($EH25=0,"",IF($GI25+$GK25=0,"Dentro das regras que a ficha confere",$GH25&amp;IF(AND($GI25&gt;0,$GK25&gt;0)," · ","")&amp;$GJ25))</f>
        <v/>
      </c>
      <c r="GN25" s="152">
        <f>IF($EH25=0,"",IF($DW25=1,CEILING(4.5*$DY25,1),3*$DY25)&amp;" PE")</f>
        <v/>
      </c>
      <c r="GO25" s="152">
        <f>IF($EH25=0,"",IF($DW25=1,"Rodada inteira",IF(COUNTIF($EZ25:$FA25,"Atrasar")&gt;0,IF(COUNTIF($EZ25:$FA25,"Carregar")&gt;0,"Rodada +1 turno","Rodada inteira"),IF(COUNTIF($EB25:$EE25,"Rápido")&gt;0,"Bônus",IF(COUNTIF($EB25:$EE25,"Reação")&gt;0,"Reação","Padrão"))&amp;IF(COUNTIF($EZ25:$FA25,"Carregar")&gt;0," +1 turno",""))))</f>
        <v/>
      </c>
      <c r="GP25" s="152">
        <f>IF(OR($EH25=0,$EI25=0),"",IF(COUNTIF($EB25:$EE25,"Inescapável")&gt;0,"Automático",IF(COUNTIF($EB25:$EE25,"Certeiro")&gt;0,"TR para metade",INDEX($AF$2:$AF$11,$EI25))))</f>
        <v/>
      </c>
      <c r="GQ25" s="152">
        <f>IF(OR($EH25=0,$EI25=0),"",IF(OR($EV25&gt;=2,$FR25=0),UPPER(LEFT(INDEX($GA25:$GG25,1,$DY25),1))&amp;MID(INDEX($GA25:$GG25,1,$DY25),2,99),UPPER(LEFT(INDEX($GA25:$GG25,1,$DY25),1))&amp;MID(INDEX($GA25:$GG25,1,$DY25),2,99)&amp;" = "&amp;FLOOR($FR25*4.5,1)&amp;IF($FS25&gt;0," · +"&amp;$FS25&amp;"d8","")))</f>
        <v/>
      </c>
      <c r="GR25" s="152">
        <f>COUNTIF($EB25:$EE25,"Longe")+3*COUNTIF($EB25:$EE25,"Muito Longe")</f>
        <v/>
      </c>
      <c r="GS25" s="152">
        <f>COUNTIF($EB25:$EE25,"Maior")+3*COUNTIF($EB25:$EE25,"Muito Maior")</f>
        <v/>
      </c>
      <c r="GT25" s="152">
        <f>IF($EI25=0,0,CHOOSE(1+INDEX($AH$2:$AH$11,$EI25),0,$GR25,$GS25,$GR25+$GS25))</f>
        <v/>
      </c>
      <c r="GU25" s="152">
        <f>IF($EI25=0,0,CHOOSE(1+INDEX($AI$2:$AI$11,$EI25),0,$GR25,$GS25,$GR25+$GS25))</f>
        <v/>
      </c>
      <c r="GV25" s="152">
        <f>IF(OR($EH25=0,$EI25=0),"",INDEX($AP$2:$AU$31,($EI25-1)*3+IF($DY25&gt;=6,3,2),1+MIN(5,$GT25))&amp;INDEX($AV$2:$BA$31,($EI25-1)*3+IF($DY25&gt;=6,3,2),1+MIN(5,$GU25))&amp;IF(INDEX($AJ$2:$AJ$11,$EI25)=1,IF(COUNTIF($EB25:$EE25,"Mais Um")&gt;0," · +"&amp;COUNTIF($EB25:$EE25,"Mais Um")&amp;IF(COUNTIF($EB25:$EE25,"Mais Um")&gt;1," alvos"," alvo"),"")&amp;IF(COUNTIF($EB25:$EE25,"Rajada")&gt;0," · "&amp;($DY25+1)&amp;" tiros",""),""))</f>
        <v/>
      </c>
      <c r="GW25" s="152">
        <f>IF($EH25=0,"",3*$DY25&amp;" − "&amp;$FL25&amp;" + "&amp;$FO25&amp;IF($DW25=1," + "&amp;$DY25,"")&amp;" = "&amp;$FR25&amp;"d8 · teto "&amp;4*$DY25&amp;IF($EU25=1," · a Forma devolve "&amp;$DY25,"")&amp;IF($FP25&gt;0," · perde "&amp;$FP25,""))</f>
        <v/>
      </c>
      <c r="GX25" s="152">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52">
        <f>IF(OR($EH25=0,$EK25=0),"","−"&amp;INDEX($Q$2:$V$8,$DY25,$EK25)&amp;" · "&amp;CHOOSE($EK25,"Leve","Média","Pesada","Leve · Livre","Média · Livre","Pesada · Livre"))</f>
        <v/>
      </c>
      <c r="GZ25" s="152">
        <f>IF(OR($EH25=0,$EL25=0),"","−"&amp;INDEX($Q$2:$V$8,$DY25,$EL25)&amp;" · "&amp;CHOOSE($EL25,"Leve","Média","Pesada","Leve · Livre","Média · Livre","Pesada · Livre"))</f>
        <v/>
      </c>
      <c r="HA25" s="152">
        <f>IF(OR($EH25=0,$EM25=0),"","−"&amp;INDEX($Q$2:$V$8,$DY25,$EM25)&amp;" · "&amp;CHOOSE($EM25,"Leve","Média","Pesada","Leve · Livre","Média · Livre","Pesada · Livre"))</f>
        <v/>
      </c>
      <c r="HB25" s="152">
        <f>IF(OR($EH25=0,$EN25=0),"","−"&amp;INDEX($Q$2:$V$8,$DY25,$EN25)&amp;" · "&amp;CHOOSE($EN25,"Leve","Média","Pesada","Leve · Livre","Média · Livre","Pesada · Livre"))</f>
        <v/>
      </c>
      <c r="HC25" s="152">
        <f>IF(OR($EH25=0,$EF25=""),"","+"&amp;IF($EX25=1,CEILING($DY25/2,1),$DY25))</f>
        <v/>
      </c>
      <c r="HD25" s="152">
        <f>IF(OR($EH25=0,$EG25=""),"","+"&amp;IF($EY25=1,CEILING($DY25/2,1),$DY25))</f>
        <v/>
      </c>
      <c r="HE25" s="152">
        <f>'FICHA AMALDIÇOADA'!$P$202&amp;""</f>
        <v/>
      </c>
      <c r="HF25" s="152">
        <f>IF(AND($EH25=1,$DW25=0),COUNTIFS($EH$2:$EH25,1,$DW$2:$DW25,0),"")</f>
        <v/>
      </c>
      <c r="HH25" s="150" t="inlineStr">
        <is>
          <t>aptidões anotadas</t>
        </is>
      </c>
      <c r="HI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52" t="n">
        <v>24</v>
      </c>
      <c r="JE25" s="152">
        <f>IFERROR(MATCH(24,$HF$2:$HF$37,0),0)</f>
        <v/>
      </c>
      <c r="JF25" s="152">
        <f>IF($JE25=0,"",INDEX($DY$2:$DY$37,$JE25))</f>
        <v/>
      </c>
      <c r="JG25" s="152">
        <f>IF($JE25=0,"",INDEX($DZ$2:$DZ$37,$JE25))</f>
        <v/>
      </c>
      <c r="JH25" s="152">
        <f>IF($JE25=0,"",INDEX($GN$2:$GN$37,$JE25))</f>
        <v/>
      </c>
      <c r="JI25" s="152">
        <f>IF($JE25=0,"",INDEX($EA$2:$EA$37,$JE25))</f>
        <v/>
      </c>
      <c r="JJ25" s="152">
        <f>IF($JE25=0,"",INDEX($GP$2:$GP$37,$JE25))</f>
        <v/>
      </c>
      <c r="JK25" s="152">
        <f>IF($JE25=0,"",INDEX($HE$2:$HE$37,$JE25))</f>
        <v/>
      </c>
      <c r="KQ25" s="150" t="inlineStr">
        <is>
          <t>F46</t>
        </is>
      </c>
      <c r="KR25" s="152">
        <f>INDEX(DADOS_AM!$P$2:$W$8,DADOS_AM!$HI$29,2)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CC26" s="150" t="inlineStr">
        <is>
          <t>Sem Pegada</t>
        </is>
      </c>
      <c r="CD26" s="150" t="inlineStr">
        <is>
          <t>Lapidação 1</t>
        </is>
      </c>
      <c r="CE26" s="152" t="n">
        <v>1</v>
      </c>
      <c r="CF26" s="150" t="inlineStr">
        <is>
          <t>—</t>
        </is>
      </c>
      <c r="CG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52">
        <f>IF($CK26=1,"",IF($A$2=4,IF($CI26=1,$CC26,""),IF(OR($CI26=1,AND($A$2=3,$CJ26=1)),"",$CC26)))</f>
        <v/>
      </c>
      <c r="CI26" s="152" t="n">
        <v>1</v>
      </c>
      <c r="CJ26" s="152" t="n">
        <v>0</v>
      </c>
      <c r="CK26" s="152" t="n">
        <v>0</v>
      </c>
      <c r="CL26" s="150" t="inlineStr">
        <is>
          <t>Sua passagem não deixa pegadas, cheiro, marcas ou som de passos que possam servir de rastro.</t>
        </is>
      </c>
      <c r="DV26" s="150" t="inlineStr">
        <is>
          <t>Feitiço 25</t>
        </is>
      </c>
      <c r="DW26" s="152" t="n">
        <v>0</v>
      </c>
      <c r="DX26" s="152" t="n">
        <v>25</v>
      </c>
      <c r="DY26" s="152">
        <f>MAX(1,MIN(7,N('FICHA AMALDIÇOADA'!$D$223)))</f>
        <v/>
      </c>
      <c r="DZ26" s="152">
        <f>'FICHA AMALDIÇOADA'!$E$223&amp;""</f>
        <v/>
      </c>
      <c r="EA26" s="152">
        <f>'FICHA AMALDIÇOADA'!$D$230&amp;""</f>
        <v/>
      </c>
      <c r="EB26" s="152">
        <f>'FICHA AMALDIÇOADA'!$E$232&amp;""</f>
        <v/>
      </c>
      <c r="EC26" s="152">
        <f>'FICHA AMALDIÇOADA'!$E$233&amp;""</f>
        <v/>
      </c>
      <c r="ED26" s="152">
        <f>'FICHA AMALDIÇOADA'!$E$234&amp;""</f>
        <v/>
      </c>
      <c r="EE26" s="152">
        <f>'FICHA AMALDIÇOADA'!$E$235&amp;""</f>
        <v/>
      </c>
      <c r="EF26" s="152">
        <f>'FICHA AMALDIÇOADA'!$E$236&amp;""</f>
        <v/>
      </c>
      <c r="EG26" s="152">
        <f>'FICHA AMALDIÇOADA'!$E$237&amp;""</f>
        <v/>
      </c>
      <c r="EH26" s="152">
        <f>IF($DZ26&lt;&gt;"",1,0)</f>
        <v/>
      </c>
      <c r="EI26" s="152">
        <f>IFERROR(MATCH($EA26,$Y$2:$Y$11,0),0)</f>
        <v/>
      </c>
      <c r="EJ26" s="152">
        <f>IF($EI26=0,0,INDEX($AB$2:$AB$11,$EI26))</f>
        <v/>
      </c>
      <c r="EK26" s="152">
        <f>IFERROR(VLOOKUP($EB26,$BC$2:$BJ$84,4,FALSE),0)</f>
        <v/>
      </c>
      <c r="EL26" s="152">
        <f>IFERROR(VLOOKUP($EC26,$BC$2:$BJ$84,4,FALSE),0)</f>
        <v/>
      </c>
      <c r="EM26" s="152">
        <f>IFERROR(VLOOKUP($ED26,$BC$2:$BJ$84,4,FALSE),0)</f>
        <v/>
      </c>
      <c r="EN26" s="152">
        <f>IFERROR(VLOOKUP($EE26,$BC$2:$BJ$84,4,FALSE),0)</f>
        <v/>
      </c>
      <c r="EO26" s="152">
        <f>IF($EI26=0,0,INDEX($AC$2:$AC$11,$EI26))</f>
        <v/>
      </c>
      <c r="EP26" s="152">
        <f>IFERROR(VLOOKUP($EB26,$BC$2:$BJ$84,5,FALSE),0)</f>
        <v/>
      </c>
      <c r="EQ26" s="152">
        <f>IFERROR(VLOOKUP($EC26,$BC$2:$BJ$84,5,FALSE),0)</f>
        <v/>
      </c>
      <c r="ER26" s="152">
        <f>IFERROR(VLOOKUP($ED26,$BC$2:$BJ$84,5,FALSE),0)</f>
        <v/>
      </c>
      <c r="ES26" s="152">
        <f>IFERROR(VLOOKUP($EE26,$BC$2:$BJ$84,5,FALSE),0)</f>
        <v/>
      </c>
      <c r="ET26" s="152">
        <f>IFERROR(VLOOKUP($EB26,$BC$2:$BJ$84,6,FALSE),0)+IFERROR(VLOOKUP($EC26,$BC$2:$BJ$84,6,FALSE),0)+IFERROR(VLOOKUP($ED26,$BC$2:$BJ$84,6,FALSE),0)+IFERROR(VLOOKUP($EE26,$BC$2:$BJ$84,6,FALSE),0)</f>
        <v/>
      </c>
      <c r="EU26" s="152">
        <f>IF($EI26=0,0,INDEX($AD$2:$AD$11,$EI26))</f>
        <v/>
      </c>
      <c r="EV26" s="152">
        <f>IF($EI26=0,0,INDEX($AE$2:$AE$11,$EI26))</f>
        <v/>
      </c>
      <c r="EW26" s="152">
        <f>IF($EI26=0,0,INDEX($AG$2:$AG$11,$EI26))</f>
        <v/>
      </c>
      <c r="EX26" s="152">
        <f>IFERROR(VLOOKUP($EF26,$BL$2:$BP$24,3,FALSE),0)</f>
        <v/>
      </c>
      <c r="EY26" s="152">
        <f>IFERROR(VLOOKUP($EG26,$BL$2:$BP$24,3,FALSE),0)</f>
        <v/>
      </c>
      <c r="EZ26" s="152">
        <f>IFERROR(VLOOKUP($EF26,$BL$2:$BP$24,2,FALSE),"")</f>
        <v/>
      </c>
      <c r="FA26" s="152">
        <f>IFERROR(VLOOKUP($EG26,$BL$2:$BP$24,2,FALSE),"")</f>
        <v/>
      </c>
      <c r="FB26" s="152">
        <f>COUNTIF($EJ26:$EN26,1)</f>
        <v/>
      </c>
      <c r="FC26" s="152">
        <f>COUNTIF($EJ26:$EN26,2)</f>
        <v/>
      </c>
      <c r="FD26" s="152">
        <f>COUNTIF($EJ26:$EN26,3)</f>
        <v/>
      </c>
      <c r="FE26" s="152">
        <f>COUNTIF($EJ26:$EN26,4)</f>
        <v/>
      </c>
      <c r="FF26" s="152">
        <f>COUNTIF($EJ26:$EN26,5)</f>
        <v/>
      </c>
      <c r="FG26" s="152">
        <f>COUNTIF($EJ26:$EN26,6)</f>
        <v/>
      </c>
      <c r="FH26" s="152">
        <f>COUNTIF($EX26:$EY26,1)</f>
        <v/>
      </c>
      <c r="FI26" s="152">
        <f>COUNTIF($EX26:$EY26,2)+$EU26</f>
        <v/>
      </c>
      <c r="FJ26" s="152">
        <f>COUNTIF($EB26:$EE26,"?*")</f>
        <v/>
      </c>
      <c r="FK26" s="152">
        <f>COUNTIF($EF26:$EG26,"?*")+$EU26</f>
        <v/>
      </c>
      <c r="FL26" s="152">
        <f>SUMPRODUCT($FB26:$FG26,INDEX($Q$2:$V$8,$DY26,0))</f>
        <v/>
      </c>
      <c r="FM26" s="152">
        <f>$FH26*CEILING($DY26/2,1)+$FI26*$DY26</f>
        <v/>
      </c>
      <c r="FN26" s="152">
        <f>MIN(2*$DY26,$FM26)</f>
        <v/>
      </c>
      <c r="FO26" s="152">
        <f>MIN($FN26,$FL26)</f>
        <v/>
      </c>
      <c r="FP26" s="152">
        <f>$FN26-$FO26</f>
        <v/>
      </c>
      <c r="FQ26" s="152">
        <f>3*$DY26-$FL26+$FO26</f>
        <v/>
      </c>
      <c r="FR26" s="152">
        <f>MAX(0,$FQ26)+$DW26*$DY26</f>
        <v/>
      </c>
      <c r="FS26" s="152">
        <f>(IF(COUNTIF($EB26:$EE26,"Salto")&gt;0,1,0)+IF(COUNTIF($EB26:$EE26,"Queima")&gt;0,1,0)+IF(COUNTIF($EB26:$EE26,"Estilhaço")&gt;0,1,0))*FLOOR($FR26/2,1)</f>
        <v/>
      </c>
      <c r="FT26" s="152">
        <f>MAX(0,3-SUMPRODUCT($FB26:$FG26,$Q$2:$V$2)+MIN(2,$FH26*1+$FI26*1,SUMPRODUCT($FB26:$FG26,$Q$2:$V$2)))+$DW26*1</f>
        <v/>
      </c>
      <c r="FU26" s="152">
        <f>MAX(0,6-SUMPRODUCT($FB26:$FG26,$Q$3:$V$3)+MIN(4,$FH26*1+$FI26*2,SUMPRODUCT($FB26:$FG26,$Q$3:$V$3)))+$DW26*2</f>
        <v/>
      </c>
      <c r="FV26" s="152">
        <f>MAX(0,9-SUMPRODUCT($FB26:$FG26,$Q$4:$V$4)+MIN(6,$FH26*2+$FI26*3,SUMPRODUCT($FB26:$FG26,$Q$4:$V$4)))+$DW26*3</f>
        <v/>
      </c>
      <c r="FW26" s="152">
        <f>MAX(0,12-SUMPRODUCT($FB26:$FG26,$Q$5:$V$5)+MIN(8,$FH26*2+$FI26*4,SUMPRODUCT($FB26:$FG26,$Q$5:$V$5)))+$DW26*4</f>
        <v/>
      </c>
      <c r="FX26" s="152">
        <f>MAX(0,15-SUMPRODUCT($FB26:$FG26,$Q$6:$V$6)+MIN(10,$FH26*3+$FI26*5,SUMPRODUCT($FB26:$FG26,$Q$6:$V$6)))+$DW26*5</f>
        <v/>
      </c>
      <c r="FY26" s="152">
        <f>MAX(0,18-SUMPRODUCT($FB26:$FG26,$Q$7:$V$7)+MIN(12,$FH26*3+$FI26*6,SUMPRODUCT($FB26:$FG26,$Q$7:$V$7)))+$DW26*6</f>
        <v/>
      </c>
      <c r="FZ26" s="152">
        <f>MAX(0,21-SUMPRODUCT($FB26:$FG26,$Q$8:$V$8)+MIN(14,$FH26*4+$FI26*7,SUMPRODUCT($FB26:$FG26,$Q$8:$V$8)))+$DW26*7</f>
        <v/>
      </c>
      <c r="GA26" s="152">
        <f>IF($EV26=2,3*$FT26&amp;" de vida temp.",IF($EV26=3,"sem dano",IF($FT26=0,IF($EV26=1,"sem cura","sem dano"),IF($EV26=1,"cura ","")&amp;$FT26&amp;"d8")))</f>
        <v/>
      </c>
      <c r="GB26" s="152">
        <f>IF($EV26=2,3*$FU26&amp;" de vida temp.",IF($EV26=3,"sem dano",IF($FU26=0,IF($EV26=1,"sem cura","sem dano"),IF($EV26=1,"cura ","")&amp;$FU26&amp;"d8")))</f>
        <v/>
      </c>
      <c r="GC26" s="152">
        <f>IF($EV26=2,3*$FV26&amp;" de vida temp.",IF($EV26=3,"sem dano",IF($FV26=0,IF($EV26=1,"sem cura","sem dano"),IF($EV26=1,"cura ","")&amp;$FV26&amp;"d8")))</f>
        <v/>
      </c>
      <c r="GD26" s="152">
        <f>IF($EV26=2,3*$FW26&amp;" de vida temp.",IF($EV26=3,"sem dano",IF($FW26=0,IF($EV26=1,"sem cura","sem dano"),IF($EV26=1,"cura ","")&amp;$FW26&amp;"d8")))</f>
        <v/>
      </c>
      <c r="GE26" s="152">
        <f>IF($EV26=2,3*$FX26&amp;" de vida temp.",IF($EV26=3,"sem dano",IF($FX26=0,IF($EV26=1,"sem cura","sem dano"),IF($EV26=1,"cura ","")&amp;$FX26&amp;"d8")))</f>
        <v/>
      </c>
      <c r="GF26" s="152">
        <f>IF($EV26=2,3*$FY26&amp;" de vida temp.",IF($EV26=3,"sem dano",IF($FY26=0,IF($EV26=1,"sem cura","sem dano"),IF($EV26=1,"cura ","")&amp;$FY26&amp;"d8")))</f>
        <v/>
      </c>
      <c r="GG26" s="152">
        <f>IF($EV26=2,3*$FZ26&amp;" de vida temp.",IF($EV26=3,"sem dano",IF($FZ26=0,IF($EV26=1,"sem cura","sem dano"),IF($EV26=1,"cura ","")&amp;$FZ26&amp;"d8")))</f>
        <v/>
      </c>
      <c r="GH26" s="152">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52">
        <f>IF($GH26="",0,(LEN($GH26)-LEN(SUBSTITUTE($GH26," · ","")))/3+1)</f>
        <v/>
      </c>
      <c r="GJ26" s="152">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52">
        <f>IF($GJ26="",0,(LEN($GJ26)-LEN(SUBSTITUTE($GJ26," · ","")))/3+1)</f>
        <v/>
      </c>
      <c r="GL26" s="152">
        <f>IF($EH26=0,IF($FJ26+$FK26-$EU26&gt;0,"Dê um nome",""),IF($GI26&gt;0,"⚠ "&amp;$GI26&amp;IF($GI26&gt;1," erros"," erro"),IF($GK26&gt;0,"! "&amp;$GK26&amp;IF($GK26&gt;1," avisos"," aviso"),"Na regra")))</f>
        <v/>
      </c>
      <c r="GM26" s="152">
        <f>IF($EH26=0,"",IF($GI26+$GK26=0,"Dentro das regras que a ficha confere",$GH26&amp;IF(AND($GI26&gt;0,$GK26&gt;0)," · ","")&amp;$GJ26))</f>
        <v/>
      </c>
      <c r="GN26" s="152">
        <f>IF($EH26=0,"",IF($DW26=1,CEILING(4.5*$DY26,1),3*$DY26)&amp;" PE")</f>
        <v/>
      </c>
      <c r="GO26" s="152">
        <f>IF($EH26=0,"",IF($DW26=1,"Rodada inteira",IF(COUNTIF($EZ26:$FA26,"Atrasar")&gt;0,IF(COUNTIF($EZ26:$FA26,"Carregar")&gt;0,"Rodada +1 turno","Rodada inteira"),IF(COUNTIF($EB26:$EE26,"Rápido")&gt;0,"Bônus",IF(COUNTIF($EB26:$EE26,"Reação")&gt;0,"Reação","Padrão"))&amp;IF(COUNTIF($EZ26:$FA26,"Carregar")&gt;0," +1 turno",""))))</f>
        <v/>
      </c>
      <c r="GP26" s="152">
        <f>IF(OR($EH26=0,$EI26=0),"",IF(COUNTIF($EB26:$EE26,"Inescapável")&gt;0,"Automático",IF(COUNTIF($EB26:$EE26,"Certeiro")&gt;0,"TR para metade",INDEX($AF$2:$AF$11,$EI26))))</f>
        <v/>
      </c>
      <c r="GQ26" s="152">
        <f>IF(OR($EH26=0,$EI26=0),"",IF(OR($EV26&gt;=2,$FR26=0),UPPER(LEFT(INDEX($GA26:$GG26,1,$DY26),1))&amp;MID(INDEX($GA26:$GG26,1,$DY26),2,99),UPPER(LEFT(INDEX($GA26:$GG26,1,$DY26),1))&amp;MID(INDEX($GA26:$GG26,1,$DY26),2,99)&amp;" = "&amp;FLOOR($FR26*4.5,1)&amp;IF($FS26&gt;0," · +"&amp;$FS26&amp;"d8","")))</f>
        <v/>
      </c>
      <c r="GR26" s="152">
        <f>COUNTIF($EB26:$EE26,"Longe")+3*COUNTIF($EB26:$EE26,"Muito Longe")</f>
        <v/>
      </c>
      <c r="GS26" s="152">
        <f>COUNTIF($EB26:$EE26,"Maior")+3*COUNTIF($EB26:$EE26,"Muito Maior")</f>
        <v/>
      </c>
      <c r="GT26" s="152">
        <f>IF($EI26=0,0,CHOOSE(1+INDEX($AH$2:$AH$11,$EI26),0,$GR26,$GS26,$GR26+$GS26))</f>
        <v/>
      </c>
      <c r="GU26" s="152">
        <f>IF($EI26=0,0,CHOOSE(1+INDEX($AI$2:$AI$11,$EI26),0,$GR26,$GS26,$GR26+$GS26))</f>
        <v/>
      </c>
      <c r="GV26" s="152">
        <f>IF(OR($EH26=0,$EI26=0),"",INDEX($AP$2:$AU$31,($EI26-1)*3+IF($DY26&gt;=6,3,2),1+MIN(5,$GT26))&amp;INDEX($AV$2:$BA$31,($EI26-1)*3+IF($DY26&gt;=6,3,2),1+MIN(5,$GU26))&amp;IF(INDEX($AJ$2:$AJ$11,$EI26)=1,IF(COUNTIF($EB26:$EE26,"Mais Um")&gt;0," · +"&amp;COUNTIF($EB26:$EE26,"Mais Um")&amp;IF(COUNTIF($EB26:$EE26,"Mais Um")&gt;1," alvos"," alvo"),"")&amp;IF(COUNTIF($EB26:$EE26,"Rajada")&gt;0," · "&amp;($DY26+1)&amp;" tiros",""),""))</f>
        <v/>
      </c>
      <c r="GW26" s="152">
        <f>IF($EH26=0,"",3*$DY26&amp;" − "&amp;$FL26&amp;" + "&amp;$FO26&amp;IF($DW26=1," + "&amp;$DY26,"")&amp;" = "&amp;$FR26&amp;"d8 · teto "&amp;4*$DY26&amp;IF($EU26=1," · a Forma devolve "&amp;$DY26,"")&amp;IF($FP26&gt;0," · perde "&amp;$FP26,""))</f>
        <v/>
      </c>
      <c r="GX26" s="152">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52">
        <f>IF(OR($EH26=0,$EK26=0),"","−"&amp;INDEX($Q$2:$V$8,$DY26,$EK26)&amp;" · "&amp;CHOOSE($EK26,"Leve","Média","Pesada","Leve · Livre","Média · Livre","Pesada · Livre"))</f>
        <v/>
      </c>
      <c r="GZ26" s="152">
        <f>IF(OR($EH26=0,$EL26=0),"","−"&amp;INDEX($Q$2:$V$8,$DY26,$EL26)&amp;" · "&amp;CHOOSE($EL26,"Leve","Média","Pesada","Leve · Livre","Média · Livre","Pesada · Livre"))</f>
        <v/>
      </c>
      <c r="HA26" s="152">
        <f>IF(OR($EH26=0,$EM26=0),"","−"&amp;INDEX($Q$2:$V$8,$DY26,$EM26)&amp;" · "&amp;CHOOSE($EM26,"Leve","Média","Pesada","Leve · Livre","Média · Livre","Pesada · Livre"))</f>
        <v/>
      </c>
      <c r="HB26" s="152">
        <f>IF(OR($EH26=0,$EN26=0),"","−"&amp;INDEX($Q$2:$V$8,$DY26,$EN26)&amp;" · "&amp;CHOOSE($EN26,"Leve","Média","Pesada","Leve · Livre","Média · Livre","Pesada · Livre"))</f>
        <v/>
      </c>
      <c r="HC26" s="152">
        <f>IF(OR($EH26=0,$EF26=""),"","+"&amp;IF($EX26=1,CEILING($DY26/2,1),$DY26))</f>
        <v/>
      </c>
      <c r="HD26" s="152">
        <f>IF(OR($EH26=0,$EG26=""),"","+"&amp;IF($EY26=1,CEILING($DY26/2,1),$DY26))</f>
        <v/>
      </c>
      <c r="HE26" s="152">
        <f>'FICHA AMALDIÇOADA'!$D$225&amp;""</f>
        <v/>
      </c>
      <c r="HF26" s="152">
        <f>IF(AND($EH26=1,$DW26=0),COUNTIFS($EH$2:$EH26,1,$DW$2:$DW26,0),"")</f>
        <v/>
      </c>
      <c r="HH26" s="150" t="inlineStr">
        <is>
          <t>aptidões compráveis</t>
        </is>
      </c>
      <c r="HI26" s="152">
        <f>MAX(0,N(DADOS!$AK$36)-2)</f>
        <v/>
      </c>
      <c r="JD26" s="152" t="n">
        <v>25</v>
      </c>
      <c r="JE26" s="152">
        <f>IFERROR(MATCH(25,$HF$2:$HF$37,0),0)</f>
        <v/>
      </c>
      <c r="JF26" s="152">
        <f>IF($JE26=0,"",INDEX($DY$2:$DY$37,$JE26))</f>
        <v/>
      </c>
      <c r="JG26" s="152">
        <f>IF($JE26=0,"",INDEX($DZ$2:$DZ$37,$JE26))</f>
        <v/>
      </c>
      <c r="JH26" s="152">
        <f>IF($JE26=0,"",INDEX($GN$2:$GN$37,$JE26))</f>
        <v/>
      </c>
      <c r="JI26" s="152">
        <f>IF($JE26=0,"",INDEX($EA$2:$EA$37,$JE26))</f>
        <v/>
      </c>
      <c r="JJ26" s="152">
        <f>IF($JE26=0,"",INDEX($GP$2:$GP$37,$JE26))</f>
        <v/>
      </c>
      <c r="JK26" s="152">
        <f>IF($JE26=0,"",INDEX($HE$2:$HE$37,$JE26))</f>
        <v/>
      </c>
      <c r="KQ26" s="150" t="inlineStr">
        <is>
          <t>G46</t>
        </is>
      </c>
      <c r="KR26" s="152">
        <f>INDEX(DADOS_AM!$P$2:$W$8,DADOS_AM!$HI$29,3)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CC27" s="150" t="inlineStr">
        <is>
          <t>Vulto</t>
        </is>
      </c>
      <c r="CD27" s="150" t="inlineStr">
        <is>
          <t>Lapidação 4</t>
        </is>
      </c>
      <c r="CE27" s="152" t="n">
        <v>2</v>
      </c>
      <c r="CF27" s="150" t="inlineStr">
        <is>
          <t>—</t>
        </is>
      </c>
      <c r="CG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52">
        <f>IF($CK27=1,"",IF($A$2=4,IF($CI27=1,$CC27,""),IF(OR($CI27=1,AND($A$2=3,$CJ27=1)),"",$CC27)))</f>
        <v/>
      </c>
      <c r="CI27" s="152" t="n">
        <v>1</v>
      </c>
      <c r="CJ27" s="152" t="n">
        <v>0</v>
      </c>
      <c r="CK27" s="152" t="n">
        <v>0</v>
      </c>
      <c r="CL27" s="150" t="inlineStr">
        <is>
          <t>Você possui visão às cegas a até 1,5 m × metade da Lapidação, arredondada para baixo.</t>
        </is>
      </c>
      <c r="DV27" s="150" t="inlineStr">
        <is>
          <t>Feitiço 26</t>
        </is>
      </c>
      <c r="DW27" s="152" t="n">
        <v>0</v>
      </c>
      <c r="DX27" s="152" t="n">
        <v>26</v>
      </c>
      <c r="DY27" s="152">
        <f>MAX(1,MIN(7,N('FICHA AMALDIÇOADA'!$J$223)))</f>
        <v/>
      </c>
      <c r="DZ27" s="152">
        <f>'FICHA AMALDIÇOADA'!$K$223&amp;""</f>
        <v/>
      </c>
      <c r="EA27" s="152">
        <f>'FICHA AMALDIÇOADA'!$J$230&amp;""</f>
        <v/>
      </c>
      <c r="EB27" s="152">
        <f>'FICHA AMALDIÇOADA'!$K$232&amp;""</f>
        <v/>
      </c>
      <c r="EC27" s="152">
        <f>'FICHA AMALDIÇOADA'!$K$233&amp;""</f>
        <v/>
      </c>
      <c r="ED27" s="152">
        <f>'FICHA AMALDIÇOADA'!$K$234&amp;""</f>
        <v/>
      </c>
      <c r="EE27" s="152">
        <f>'FICHA AMALDIÇOADA'!$K$235&amp;""</f>
        <v/>
      </c>
      <c r="EF27" s="152">
        <f>'FICHA AMALDIÇOADA'!$K$236&amp;""</f>
        <v/>
      </c>
      <c r="EG27" s="152">
        <f>'FICHA AMALDIÇOADA'!$K$237&amp;""</f>
        <v/>
      </c>
      <c r="EH27" s="152">
        <f>IF($DZ27&lt;&gt;"",1,0)</f>
        <v/>
      </c>
      <c r="EI27" s="152">
        <f>IFERROR(MATCH($EA27,$Y$2:$Y$11,0),0)</f>
        <v/>
      </c>
      <c r="EJ27" s="152">
        <f>IF($EI27=0,0,INDEX($AB$2:$AB$11,$EI27))</f>
        <v/>
      </c>
      <c r="EK27" s="152">
        <f>IFERROR(VLOOKUP($EB27,$BC$2:$BJ$84,4,FALSE),0)</f>
        <v/>
      </c>
      <c r="EL27" s="152">
        <f>IFERROR(VLOOKUP($EC27,$BC$2:$BJ$84,4,FALSE),0)</f>
        <v/>
      </c>
      <c r="EM27" s="152">
        <f>IFERROR(VLOOKUP($ED27,$BC$2:$BJ$84,4,FALSE),0)</f>
        <v/>
      </c>
      <c r="EN27" s="152">
        <f>IFERROR(VLOOKUP($EE27,$BC$2:$BJ$84,4,FALSE),0)</f>
        <v/>
      </c>
      <c r="EO27" s="152">
        <f>IF($EI27=0,0,INDEX($AC$2:$AC$11,$EI27))</f>
        <v/>
      </c>
      <c r="EP27" s="152">
        <f>IFERROR(VLOOKUP($EB27,$BC$2:$BJ$84,5,FALSE),0)</f>
        <v/>
      </c>
      <c r="EQ27" s="152">
        <f>IFERROR(VLOOKUP($EC27,$BC$2:$BJ$84,5,FALSE),0)</f>
        <v/>
      </c>
      <c r="ER27" s="152">
        <f>IFERROR(VLOOKUP($ED27,$BC$2:$BJ$84,5,FALSE),0)</f>
        <v/>
      </c>
      <c r="ES27" s="152">
        <f>IFERROR(VLOOKUP($EE27,$BC$2:$BJ$84,5,FALSE),0)</f>
        <v/>
      </c>
      <c r="ET27" s="152">
        <f>IFERROR(VLOOKUP($EB27,$BC$2:$BJ$84,6,FALSE),0)+IFERROR(VLOOKUP($EC27,$BC$2:$BJ$84,6,FALSE),0)+IFERROR(VLOOKUP($ED27,$BC$2:$BJ$84,6,FALSE),0)+IFERROR(VLOOKUP($EE27,$BC$2:$BJ$84,6,FALSE),0)</f>
        <v/>
      </c>
      <c r="EU27" s="152">
        <f>IF($EI27=0,0,INDEX($AD$2:$AD$11,$EI27))</f>
        <v/>
      </c>
      <c r="EV27" s="152">
        <f>IF($EI27=0,0,INDEX($AE$2:$AE$11,$EI27))</f>
        <v/>
      </c>
      <c r="EW27" s="152">
        <f>IF($EI27=0,0,INDEX($AG$2:$AG$11,$EI27))</f>
        <v/>
      </c>
      <c r="EX27" s="152">
        <f>IFERROR(VLOOKUP($EF27,$BL$2:$BP$24,3,FALSE),0)</f>
        <v/>
      </c>
      <c r="EY27" s="152">
        <f>IFERROR(VLOOKUP($EG27,$BL$2:$BP$24,3,FALSE),0)</f>
        <v/>
      </c>
      <c r="EZ27" s="152">
        <f>IFERROR(VLOOKUP($EF27,$BL$2:$BP$24,2,FALSE),"")</f>
        <v/>
      </c>
      <c r="FA27" s="152">
        <f>IFERROR(VLOOKUP($EG27,$BL$2:$BP$24,2,FALSE),"")</f>
        <v/>
      </c>
      <c r="FB27" s="152">
        <f>COUNTIF($EJ27:$EN27,1)</f>
        <v/>
      </c>
      <c r="FC27" s="152">
        <f>COUNTIF($EJ27:$EN27,2)</f>
        <v/>
      </c>
      <c r="FD27" s="152">
        <f>COUNTIF($EJ27:$EN27,3)</f>
        <v/>
      </c>
      <c r="FE27" s="152">
        <f>COUNTIF($EJ27:$EN27,4)</f>
        <v/>
      </c>
      <c r="FF27" s="152">
        <f>COUNTIF($EJ27:$EN27,5)</f>
        <v/>
      </c>
      <c r="FG27" s="152">
        <f>COUNTIF($EJ27:$EN27,6)</f>
        <v/>
      </c>
      <c r="FH27" s="152">
        <f>COUNTIF($EX27:$EY27,1)</f>
        <v/>
      </c>
      <c r="FI27" s="152">
        <f>COUNTIF($EX27:$EY27,2)+$EU27</f>
        <v/>
      </c>
      <c r="FJ27" s="152">
        <f>COUNTIF($EB27:$EE27,"?*")</f>
        <v/>
      </c>
      <c r="FK27" s="152">
        <f>COUNTIF($EF27:$EG27,"?*")+$EU27</f>
        <v/>
      </c>
      <c r="FL27" s="152">
        <f>SUMPRODUCT($FB27:$FG27,INDEX($Q$2:$V$8,$DY27,0))</f>
        <v/>
      </c>
      <c r="FM27" s="152">
        <f>$FH27*CEILING($DY27/2,1)+$FI27*$DY27</f>
        <v/>
      </c>
      <c r="FN27" s="152">
        <f>MIN(2*$DY27,$FM27)</f>
        <v/>
      </c>
      <c r="FO27" s="152">
        <f>MIN($FN27,$FL27)</f>
        <v/>
      </c>
      <c r="FP27" s="152">
        <f>$FN27-$FO27</f>
        <v/>
      </c>
      <c r="FQ27" s="152">
        <f>3*$DY27-$FL27+$FO27</f>
        <v/>
      </c>
      <c r="FR27" s="152">
        <f>MAX(0,$FQ27)+$DW27*$DY27</f>
        <v/>
      </c>
      <c r="FS27" s="152">
        <f>(IF(COUNTIF($EB27:$EE27,"Salto")&gt;0,1,0)+IF(COUNTIF($EB27:$EE27,"Queima")&gt;0,1,0)+IF(COUNTIF($EB27:$EE27,"Estilhaço")&gt;0,1,0))*FLOOR($FR27/2,1)</f>
        <v/>
      </c>
      <c r="FT27" s="152">
        <f>MAX(0,3-SUMPRODUCT($FB27:$FG27,$Q$2:$V$2)+MIN(2,$FH27*1+$FI27*1,SUMPRODUCT($FB27:$FG27,$Q$2:$V$2)))+$DW27*1</f>
        <v/>
      </c>
      <c r="FU27" s="152">
        <f>MAX(0,6-SUMPRODUCT($FB27:$FG27,$Q$3:$V$3)+MIN(4,$FH27*1+$FI27*2,SUMPRODUCT($FB27:$FG27,$Q$3:$V$3)))+$DW27*2</f>
        <v/>
      </c>
      <c r="FV27" s="152">
        <f>MAX(0,9-SUMPRODUCT($FB27:$FG27,$Q$4:$V$4)+MIN(6,$FH27*2+$FI27*3,SUMPRODUCT($FB27:$FG27,$Q$4:$V$4)))+$DW27*3</f>
        <v/>
      </c>
      <c r="FW27" s="152">
        <f>MAX(0,12-SUMPRODUCT($FB27:$FG27,$Q$5:$V$5)+MIN(8,$FH27*2+$FI27*4,SUMPRODUCT($FB27:$FG27,$Q$5:$V$5)))+$DW27*4</f>
        <v/>
      </c>
      <c r="FX27" s="152">
        <f>MAX(0,15-SUMPRODUCT($FB27:$FG27,$Q$6:$V$6)+MIN(10,$FH27*3+$FI27*5,SUMPRODUCT($FB27:$FG27,$Q$6:$V$6)))+$DW27*5</f>
        <v/>
      </c>
      <c r="FY27" s="152">
        <f>MAX(0,18-SUMPRODUCT($FB27:$FG27,$Q$7:$V$7)+MIN(12,$FH27*3+$FI27*6,SUMPRODUCT($FB27:$FG27,$Q$7:$V$7)))+$DW27*6</f>
        <v/>
      </c>
      <c r="FZ27" s="152">
        <f>MAX(0,21-SUMPRODUCT($FB27:$FG27,$Q$8:$V$8)+MIN(14,$FH27*4+$FI27*7,SUMPRODUCT($FB27:$FG27,$Q$8:$V$8)))+$DW27*7</f>
        <v/>
      </c>
      <c r="GA27" s="152">
        <f>IF($EV27=2,3*$FT27&amp;" de vida temp.",IF($EV27=3,"sem dano",IF($FT27=0,IF($EV27=1,"sem cura","sem dano"),IF($EV27=1,"cura ","")&amp;$FT27&amp;"d8")))</f>
        <v/>
      </c>
      <c r="GB27" s="152">
        <f>IF($EV27=2,3*$FU27&amp;" de vida temp.",IF($EV27=3,"sem dano",IF($FU27=0,IF($EV27=1,"sem cura","sem dano"),IF($EV27=1,"cura ","")&amp;$FU27&amp;"d8")))</f>
        <v/>
      </c>
      <c r="GC27" s="152">
        <f>IF($EV27=2,3*$FV27&amp;" de vida temp.",IF($EV27=3,"sem dano",IF($FV27=0,IF($EV27=1,"sem cura","sem dano"),IF($EV27=1,"cura ","")&amp;$FV27&amp;"d8")))</f>
        <v/>
      </c>
      <c r="GD27" s="152">
        <f>IF($EV27=2,3*$FW27&amp;" de vida temp.",IF($EV27=3,"sem dano",IF($FW27=0,IF($EV27=1,"sem cura","sem dano"),IF($EV27=1,"cura ","")&amp;$FW27&amp;"d8")))</f>
        <v/>
      </c>
      <c r="GE27" s="152">
        <f>IF($EV27=2,3*$FX27&amp;" de vida temp.",IF($EV27=3,"sem dano",IF($FX27=0,IF($EV27=1,"sem cura","sem dano"),IF($EV27=1,"cura ","")&amp;$FX27&amp;"d8")))</f>
        <v/>
      </c>
      <c r="GF27" s="152">
        <f>IF($EV27=2,3*$FY27&amp;" de vida temp.",IF($EV27=3,"sem dano",IF($FY27=0,IF($EV27=1,"sem cura","sem dano"),IF($EV27=1,"cura ","")&amp;$FY27&amp;"d8")))</f>
        <v/>
      </c>
      <c r="GG27" s="152">
        <f>IF($EV27=2,3*$FZ27&amp;" de vida temp.",IF($EV27=3,"sem dano",IF($FZ27=0,IF($EV27=1,"sem cura","sem dano"),IF($EV27=1,"cura ","")&amp;$FZ27&amp;"d8")))</f>
        <v/>
      </c>
      <c r="GH27" s="152">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52">
        <f>IF($GH27="",0,(LEN($GH27)-LEN(SUBSTITUTE($GH27," · ","")))/3+1)</f>
        <v/>
      </c>
      <c r="GJ27" s="152">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52">
        <f>IF($GJ27="",0,(LEN($GJ27)-LEN(SUBSTITUTE($GJ27," · ","")))/3+1)</f>
        <v/>
      </c>
      <c r="GL27" s="152">
        <f>IF($EH27=0,IF($FJ27+$FK27-$EU27&gt;0,"Dê um nome",""),IF($GI27&gt;0,"⚠ "&amp;$GI27&amp;IF($GI27&gt;1," erros"," erro"),IF($GK27&gt;0,"! "&amp;$GK27&amp;IF($GK27&gt;1," avisos"," aviso"),"Na regra")))</f>
        <v/>
      </c>
      <c r="GM27" s="152">
        <f>IF($EH27=0,"",IF($GI27+$GK27=0,"Dentro das regras que a ficha confere",$GH27&amp;IF(AND($GI27&gt;0,$GK27&gt;0)," · ","")&amp;$GJ27))</f>
        <v/>
      </c>
      <c r="GN27" s="152">
        <f>IF($EH27=0,"",IF($DW27=1,CEILING(4.5*$DY27,1),3*$DY27)&amp;" PE")</f>
        <v/>
      </c>
      <c r="GO27" s="152">
        <f>IF($EH27=0,"",IF($DW27=1,"Rodada inteira",IF(COUNTIF($EZ27:$FA27,"Atrasar")&gt;0,IF(COUNTIF($EZ27:$FA27,"Carregar")&gt;0,"Rodada +1 turno","Rodada inteira"),IF(COUNTIF($EB27:$EE27,"Rápido")&gt;0,"Bônus",IF(COUNTIF($EB27:$EE27,"Reação")&gt;0,"Reação","Padrão"))&amp;IF(COUNTIF($EZ27:$FA27,"Carregar")&gt;0," +1 turno",""))))</f>
        <v/>
      </c>
      <c r="GP27" s="152">
        <f>IF(OR($EH27=0,$EI27=0),"",IF(COUNTIF($EB27:$EE27,"Inescapável")&gt;0,"Automático",IF(COUNTIF($EB27:$EE27,"Certeiro")&gt;0,"TR para metade",INDEX($AF$2:$AF$11,$EI27))))</f>
        <v/>
      </c>
      <c r="GQ27" s="152">
        <f>IF(OR($EH27=0,$EI27=0),"",IF(OR($EV27&gt;=2,$FR27=0),UPPER(LEFT(INDEX($GA27:$GG27,1,$DY27),1))&amp;MID(INDEX($GA27:$GG27,1,$DY27),2,99),UPPER(LEFT(INDEX($GA27:$GG27,1,$DY27),1))&amp;MID(INDEX($GA27:$GG27,1,$DY27),2,99)&amp;" = "&amp;FLOOR($FR27*4.5,1)&amp;IF($FS27&gt;0," · +"&amp;$FS27&amp;"d8","")))</f>
        <v/>
      </c>
      <c r="GR27" s="152">
        <f>COUNTIF($EB27:$EE27,"Longe")+3*COUNTIF($EB27:$EE27,"Muito Longe")</f>
        <v/>
      </c>
      <c r="GS27" s="152">
        <f>COUNTIF($EB27:$EE27,"Maior")+3*COUNTIF($EB27:$EE27,"Muito Maior")</f>
        <v/>
      </c>
      <c r="GT27" s="152">
        <f>IF($EI27=0,0,CHOOSE(1+INDEX($AH$2:$AH$11,$EI27),0,$GR27,$GS27,$GR27+$GS27))</f>
        <v/>
      </c>
      <c r="GU27" s="152">
        <f>IF($EI27=0,0,CHOOSE(1+INDEX($AI$2:$AI$11,$EI27),0,$GR27,$GS27,$GR27+$GS27))</f>
        <v/>
      </c>
      <c r="GV27" s="152">
        <f>IF(OR($EH27=0,$EI27=0),"",INDEX($AP$2:$AU$31,($EI27-1)*3+IF($DY27&gt;=6,3,2),1+MIN(5,$GT27))&amp;INDEX($AV$2:$BA$31,($EI27-1)*3+IF($DY27&gt;=6,3,2),1+MIN(5,$GU27))&amp;IF(INDEX($AJ$2:$AJ$11,$EI27)=1,IF(COUNTIF($EB27:$EE27,"Mais Um")&gt;0," · +"&amp;COUNTIF($EB27:$EE27,"Mais Um")&amp;IF(COUNTIF($EB27:$EE27,"Mais Um")&gt;1," alvos"," alvo"),"")&amp;IF(COUNTIF($EB27:$EE27,"Rajada")&gt;0," · "&amp;($DY27+1)&amp;" tiros",""),""))</f>
        <v/>
      </c>
      <c r="GW27" s="152">
        <f>IF($EH27=0,"",3*$DY27&amp;" − "&amp;$FL27&amp;" + "&amp;$FO27&amp;IF($DW27=1," + "&amp;$DY27,"")&amp;" = "&amp;$FR27&amp;"d8 · teto "&amp;4*$DY27&amp;IF($EU27=1," · a Forma devolve "&amp;$DY27,"")&amp;IF($FP27&gt;0," · perde "&amp;$FP27,""))</f>
        <v/>
      </c>
      <c r="GX27" s="152">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52">
        <f>IF(OR($EH27=0,$EK27=0),"","−"&amp;INDEX($Q$2:$V$8,$DY27,$EK27)&amp;" · "&amp;CHOOSE($EK27,"Leve","Média","Pesada","Leve · Livre","Média · Livre","Pesada · Livre"))</f>
        <v/>
      </c>
      <c r="GZ27" s="152">
        <f>IF(OR($EH27=0,$EL27=0),"","−"&amp;INDEX($Q$2:$V$8,$DY27,$EL27)&amp;" · "&amp;CHOOSE($EL27,"Leve","Média","Pesada","Leve · Livre","Média · Livre","Pesada · Livre"))</f>
        <v/>
      </c>
      <c r="HA27" s="152">
        <f>IF(OR($EH27=0,$EM27=0),"","−"&amp;INDEX($Q$2:$V$8,$DY27,$EM27)&amp;" · "&amp;CHOOSE($EM27,"Leve","Média","Pesada","Leve · Livre","Média · Livre","Pesada · Livre"))</f>
        <v/>
      </c>
      <c r="HB27" s="152">
        <f>IF(OR($EH27=0,$EN27=0),"","−"&amp;INDEX($Q$2:$V$8,$DY27,$EN27)&amp;" · "&amp;CHOOSE($EN27,"Leve","Média","Pesada","Leve · Livre","Média · Livre","Pesada · Livre"))</f>
        <v/>
      </c>
      <c r="HC27" s="152">
        <f>IF(OR($EH27=0,$EF27=""),"","+"&amp;IF($EX27=1,CEILING($DY27/2,1),$DY27))</f>
        <v/>
      </c>
      <c r="HD27" s="152">
        <f>IF(OR($EH27=0,$EG27=""),"","+"&amp;IF($EY27=1,CEILING($DY27/2,1),$DY27))</f>
        <v/>
      </c>
      <c r="HE27" s="152">
        <f>'FICHA AMALDIÇOADA'!$J$225&amp;""</f>
        <v/>
      </c>
      <c r="HF27" s="152">
        <f>IF(AND($EH27=1,$DW27=0),COUNTIFS($EH$2:$EH27,1,$DW$2:$DW27,0),"")</f>
        <v/>
      </c>
      <c r="HH27" s="150" t="inlineStr">
        <is>
          <t>pactos permanentes</t>
        </is>
      </c>
      <c r="HI27" s="152">
        <f>IF('FICHA AMALDIÇOADA'!$L$518="Permanente",1,0)+IF('FICHA AMALDIÇOADA'!$L$528="Permanente",1,0)+IF('FICHA AMALDIÇOADA'!$L$538="Permanente",1,0)</f>
        <v/>
      </c>
      <c r="JD27" s="152" t="n">
        <v>26</v>
      </c>
      <c r="JE27" s="152">
        <f>IFERROR(MATCH(26,$HF$2:$HF$37,0),0)</f>
        <v/>
      </c>
      <c r="JF27" s="152">
        <f>IF($JE27=0,"",INDEX($DY$2:$DY$37,$JE27))</f>
        <v/>
      </c>
      <c r="JG27" s="152">
        <f>IF($JE27=0,"",INDEX($DZ$2:$DZ$37,$JE27))</f>
        <v/>
      </c>
      <c r="JH27" s="152">
        <f>IF($JE27=0,"",INDEX($GN$2:$GN$37,$JE27))</f>
        <v/>
      </c>
      <c r="JI27" s="152">
        <f>IF($JE27=0,"",INDEX($EA$2:$EA$37,$JE27))</f>
        <v/>
      </c>
      <c r="JJ27" s="152">
        <f>IF($JE27=0,"",INDEX($GP$2:$GP$37,$JE27))</f>
        <v/>
      </c>
      <c r="JK27" s="152">
        <f>IF($JE27=0,"",INDEX($HE$2:$HE$37,$JE27))</f>
        <v/>
      </c>
      <c r="KQ27" s="150" t="inlineStr">
        <is>
          <t>J46</t>
        </is>
      </c>
      <c r="KR27" s="152">
        <f>INDEX(DADOS_AM!$P$2:$W$8,DADOS_AM!$HI$29,4)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CC28" s="150" t="inlineStr">
        <is>
          <t>Esteio</t>
        </is>
      </c>
      <c r="CD28" s="150" t="inlineStr">
        <is>
          <t>Lapidação 7</t>
        </is>
      </c>
      <c r="CE28" s="152" t="n">
        <v>3</v>
      </c>
      <c r="CF28" s="150" t="inlineStr">
        <is>
          <t>—</t>
        </is>
      </c>
      <c r="CG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52">
        <f>IF($CK28=1,"",IF($A$2=4,IF($CI28=1,$CC28,""),IF(OR($CI28=1,AND($A$2=3,$CJ28=1)),"",$CC28)))</f>
        <v/>
      </c>
      <c r="CI28" s="152" t="n">
        <v>1</v>
      </c>
      <c r="CJ28" s="152" t="n">
        <v>0</v>
      </c>
      <c r="CK28" s="152" t="n">
        <v>0</v>
      </c>
      <c r="CL28" s="150" t="inlineStr">
        <is>
          <t>Ao adquirir a Bênção, escolha um TR: Físico, Vigor, Intelecto ou Espírito.</t>
        </is>
      </c>
      <c r="DV28" s="150" t="inlineStr">
        <is>
          <t>Feitiço 27</t>
        </is>
      </c>
      <c r="DW28" s="152" t="n">
        <v>0</v>
      </c>
      <c r="DX28" s="152" t="n">
        <v>27</v>
      </c>
      <c r="DY28" s="152">
        <f>MAX(1,MIN(7,N('FICHA AMALDIÇOADA'!$P$223)))</f>
        <v/>
      </c>
      <c r="DZ28" s="152">
        <f>'FICHA AMALDIÇOADA'!$Q$223&amp;""</f>
        <v/>
      </c>
      <c r="EA28" s="152">
        <f>'FICHA AMALDIÇOADA'!$P$230&amp;""</f>
        <v/>
      </c>
      <c r="EB28" s="152">
        <f>'FICHA AMALDIÇOADA'!$Q$232&amp;""</f>
        <v/>
      </c>
      <c r="EC28" s="152">
        <f>'FICHA AMALDIÇOADA'!$Q$233&amp;""</f>
        <v/>
      </c>
      <c r="ED28" s="152">
        <f>'FICHA AMALDIÇOADA'!$Q$234&amp;""</f>
        <v/>
      </c>
      <c r="EE28" s="152">
        <f>'FICHA AMALDIÇOADA'!$Q$235&amp;""</f>
        <v/>
      </c>
      <c r="EF28" s="152">
        <f>'FICHA AMALDIÇOADA'!$Q$236&amp;""</f>
        <v/>
      </c>
      <c r="EG28" s="152">
        <f>'FICHA AMALDIÇOADA'!$Q$237&amp;""</f>
        <v/>
      </c>
      <c r="EH28" s="152">
        <f>IF($DZ28&lt;&gt;"",1,0)</f>
        <v/>
      </c>
      <c r="EI28" s="152">
        <f>IFERROR(MATCH($EA28,$Y$2:$Y$11,0),0)</f>
        <v/>
      </c>
      <c r="EJ28" s="152">
        <f>IF($EI28=0,0,INDEX($AB$2:$AB$11,$EI28))</f>
        <v/>
      </c>
      <c r="EK28" s="152">
        <f>IFERROR(VLOOKUP($EB28,$BC$2:$BJ$84,4,FALSE),0)</f>
        <v/>
      </c>
      <c r="EL28" s="152">
        <f>IFERROR(VLOOKUP($EC28,$BC$2:$BJ$84,4,FALSE),0)</f>
        <v/>
      </c>
      <c r="EM28" s="152">
        <f>IFERROR(VLOOKUP($ED28,$BC$2:$BJ$84,4,FALSE),0)</f>
        <v/>
      </c>
      <c r="EN28" s="152">
        <f>IFERROR(VLOOKUP($EE28,$BC$2:$BJ$84,4,FALSE),0)</f>
        <v/>
      </c>
      <c r="EO28" s="152">
        <f>IF($EI28=0,0,INDEX($AC$2:$AC$11,$EI28))</f>
        <v/>
      </c>
      <c r="EP28" s="152">
        <f>IFERROR(VLOOKUP($EB28,$BC$2:$BJ$84,5,FALSE),0)</f>
        <v/>
      </c>
      <c r="EQ28" s="152">
        <f>IFERROR(VLOOKUP($EC28,$BC$2:$BJ$84,5,FALSE),0)</f>
        <v/>
      </c>
      <c r="ER28" s="152">
        <f>IFERROR(VLOOKUP($ED28,$BC$2:$BJ$84,5,FALSE),0)</f>
        <v/>
      </c>
      <c r="ES28" s="152">
        <f>IFERROR(VLOOKUP($EE28,$BC$2:$BJ$84,5,FALSE),0)</f>
        <v/>
      </c>
      <c r="ET28" s="152">
        <f>IFERROR(VLOOKUP($EB28,$BC$2:$BJ$84,6,FALSE),0)+IFERROR(VLOOKUP($EC28,$BC$2:$BJ$84,6,FALSE),0)+IFERROR(VLOOKUP($ED28,$BC$2:$BJ$84,6,FALSE),0)+IFERROR(VLOOKUP($EE28,$BC$2:$BJ$84,6,FALSE),0)</f>
        <v/>
      </c>
      <c r="EU28" s="152">
        <f>IF($EI28=0,0,INDEX($AD$2:$AD$11,$EI28))</f>
        <v/>
      </c>
      <c r="EV28" s="152">
        <f>IF($EI28=0,0,INDEX($AE$2:$AE$11,$EI28))</f>
        <v/>
      </c>
      <c r="EW28" s="152">
        <f>IF($EI28=0,0,INDEX($AG$2:$AG$11,$EI28))</f>
        <v/>
      </c>
      <c r="EX28" s="152">
        <f>IFERROR(VLOOKUP($EF28,$BL$2:$BP$24,3,FALSE),0)</f>
        <v/>
      </c>
      <c r="EY28" s="152">
        <f>IFERROR(VLOOKUP($EG28,$BL$2:$BP$24,3,FALSE),0)</f>
        <v/>
      </c>
      <c r="EZ28" s="152">
        <f>IFERROR(VLOOKUP($EF28,$BL$2:$BP$24,2,FALSE),"")</f>
        <v/>
      </c>
      <c r="FA28" s="152">
        <f>IFERROR(VLOOKUP($EG28,$BL$2:$BP$24,2,FALSE),"")</f>
        <v/>
      </c>
      <c r="FB28" s="152">
        <f>COUNTIF($EJ28:$EN28,1)</f>
        <v/>
      </c>
      <c r="FC28" s="152">
        <f>COUNTIF($EJ28:$EN28,2)</f>
        <v/>
      </c>
      <c r="FD28" s="152">
        <f>COUNTIF($EJ28:$EN28,3)</f>
        <v/>
      </c>
      <c r="FE28" s="152">
        <f>COUNTIF($EJ28:$EN28,4)</f>
        <v/>
      </c>
      <c r="FF28" s="152">
        <f>COUNTIF($EJ28:$EN28,5)</f>
        <v/>
      </c>
      <c r="FG28" s="152">
        <f>COUNTIF($EJ28:$EN28,6)</f>
        <v/>
      </c>
      <c r="FH28" s="152">
        <f>COUNTIF($EX28:$EY28,1)</f>
        <v/>
      </c>
      <c r="FI28" s="152">
        <f>COUNTIF($EX28:$EY28,2)+$EU28</f>
        <v/>
      </c>
      <c r="FJ28" s="152">
        <f>COUNTIF($EB28:$EE28,"?*")</f>
        <v/>
      </c>
      <c r="FK28" s="152">
        <f>COUNTIF($EF28:$EG28,"?*")+$EU28</f>
        <v/>
      </c>
      <c r="FL28" s="152">
        <f>SUMPRODUCT($FB28:$FG28,INDEX($Q$2:$V$8,$DY28,0))</f>
        <v/>
      </c>
      <c r="FM28" s="152">
        <f>$FH28*CEILING($DY28/2,1)+$FI28*$DY28</f>
        <v/>
      </c>
      <c r="FN28" s="152">
        <f>MIN(2*$DY28,$FM28)</f>
        <v/>
      </c>
      <c r="FO28" s="152">
        <f>MIN($FN28,$FL28)</f>
        <v/>
      </c>
      <c r="FP28" s="152">
        <f>$FN28-$FO28</f>
        <v/>
      </c>
      <c r="FQ28" s="152">
        <f>3*$DY28-$FL28+$FO28</f>
        <v/>
      </c>
      <c r="FR28" s="152">
        <f>MAX(0,$FQ28)+$DW28*$DY28</f>
        <v/>
      </c>
      <c r="FS28" s="152">
        <f>(IF(COUNTIF($EB28:$EE28,"Salto")&gt;0,1,0)+IF(COUNTIF($EB28:$EE28,"Queima")&gt;0,1,0)+IF(COUNTIF($EB28:$EE28,"Estilhaço")&gt;0,1,0))*FLOOR($FR28/2,1)</f>
        <v/>
      </c>
      <c r="FT28" s="152">
        <f>MAX(0,3-SUMPRODUCT($FB28:$FG28,$Q$2:$V$2)+MIN(2,$FH28*1+$FI28*1,SUMPRODUCT($FB28:$FG28,$Q$2:$V$2)))+$DW28*1</f>
        <v/>
      </c>
      <c r="FU28" s="152">
        <f>MAX(0,6-SUMPRODUCT($FB28:$FG28,$Q$3:$V$3)+MIN(4,$FH28*1+$FI28*2,SUMPRODUCT($FB28:$FG28,$Q$3:$V$3)))+$DW28*2</f>
        <v/>
      </c>
      <c r="FV28" s="152">
        <f>MAX(0,9-SUMPRODUCT($FB28:$FG28,$Q$4:$V$4)+MIN(6,$FH28*2+$FI28*3,SUMPRODUCT($FB28:$FG28,$Q$4:$V$4)))+$DW28*3</f>
        <v/>
      </c>
      <c r="FW28" s="152">
        <f>MAX(0,12-SUMPRODUCT($FB28:$FG28,$Q$5:$V$5)+MIN(8,$FH28*2+$FI28*4,SUMPRODUCT($FB28:$FG28,$Q$5:$V$5)))+$DW28*4</f>
        <v/>
      </c>
      <c r="FX28" s="152">
        <f>MAX(0,15-SUMPRODUCT($FB28:$FG28,$Q$6:$V$6)+MIN(10,$FH28*3+$FI28*5,SUMPRODUCT($FB28:$FG28,$Q$6:$V$6)))+$DW28*5</f>
        <v/>
      </c>
      <c r="FY28" s="152">
        <f>MAX(0,18-SUMPRODUCT($FB28:$FG28,$Q$7:$V$7)+MIN(12,$FH28*3+$FI28*6,SUMPRODUCT($FB28:$FG28,$Q$7:$V$7)))+$DW28*6</f>
        <v/>
      </c>
      <c r="FZ28" s="152">
        <f>MAX(0,21-SUMPRODUCT($FB28:$FG28,$Q$8:$V$8)+MIN(14,$FH28*4+$FI28*7,SUMPRODUCT($FB28:$FG28,$Q$8:$V$8)))+$DW28*7</f>
        <v/>
      </c>
      <c r="GA28" s="152">
        <f>IF($EV28=2,3*$FT28&amp;" de vida temp.",IF($EV28=3,"sem dano",IF($FT28=0,IF($EV28=1,"sem cura","sem dano"),IF($EV28=1,"cura ","")&amp;$FT28&amp;"d8")))</f>
        <v/>
      </c>
      <c r="GB28" s="152">
        <f>IF($EV28=2,3*$FU28&amp;" de vida temp.",IF($EV28=3,"sem dano",IF($FU28=0,IF($EV28=1,"sem cura","sem dano"),IF($EV28=1,"cura ","")&amp;$FU28&amp;"d8")))</f>
        <v/>
      </c>
      <c r="GC28" s="152">
        <f>IF($EV28=2,3*$FV28&amp;" de vida temp.",IF($EV28=3,"sem dano",IF($FV28=0,IF($EV28=1,"sem cura","sem dano"),IF($EV28=1,"cura ","")&amp;$FV28&amp;"d8")))</f>
        <v/>
      </c>
      <c r="GD28" s="152">
        <f>IF($EV28=2,3*$FW28&amp;" de vida temp.",IF($EV28=3,"sem dano",IF($FW28=0,IF($EV28=1,"sem cura","sem dano"),IF($EV28=1,"cura ","")&amp;$FW28&amp;"d8")))</f>
        <v/>
      </c>
      <c r="GE28" s="152">
        <f>IF($EV28=2,3*$FX28&amp;" de vida temp.",IF($EV28=3,"sem dano",IF($FX28=0,IF($EV28=1,"sem cura","sem dano"),IF($EV28=1,"cura ","")&amp;$FX28&amp;"d8")))</f>
        <v/>
      </c>
      <c r="GF28" s="152">
        <f>IF($EV28=2,3*$FY28&amp;" de vida temp.",IF($EV28=3,"sem dano",IF($FY28=0,IF($EV28=1,"sem cura","sem dano"),IF($EV28=1,"cura ","")&amp;$FY28&amp;"d8")))</f>
        <v/>
      </c>
      <c r="GG28" s="152">
        <f>IF($EV28=2,3*$FZ28&amp;" de vida temp.",IF($EV28=3,"sem dano",IF($FZ28=0,IF($EV28=1,"sem cura","sem dano"),IF($EV28=1,"cura ","")&amp;$FZ28&amp;"d8")))</f>
        <v/>
      </c>
      <c r="GH28" s="152">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52">
        <f>IF($GH28="",0,(LEN($GH28)-LEN(SUBSTITUTE($GH28," · ","")))/3+1)</f>
        <v/>
      </c>
      <c r="GJ28" s="152">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52">
        <f>IF($GJ28="",0,(LEN($GJ28)-LEN(SUBSTITUTE($GJ28," · ","")))/3+1)</f>
        <v/>
      </c>
      <c r="GL28" s="152">
        <f>IF($EH28=0,IF($FJ28+$FK28-$EU28&gt;0,"Dê um nome",""),IF($GI28&gt;0,"⚠ "&amp;$GI28&amp;IF($GI28&gt;1," erros"," erro"),IF($GK28&gt;0,"! "&amp;$GK28&amp;IF($GK28&gt;1," avisos"," aviso"),"Na regra")))</f>
        <v/>
      </c>
      <c r="GM28" s="152">
        <f>IF($EH28=0,"",IF($GI28+$GK28=0,"Dentro das regras que a ficha confere",$GH28&amp;IF(AND($GI28&gt;0,$GK28&gt;0)," · ","")&amp;$GJ28))</f>
        <v/>
      </c>
      <c r="GN28" s="152">
        <f>IF($EH28=0,"",IF($DW28=1,CEILING(4.5*$DY28,1),3*$DY28)&amp;" PE")</f>
        <v/>
      </c>
      <c r="GO28" s="152">
        <f>IF($EH28=0,"",IF($DW28=1,"Rodada inteira",IF(COUNTIF($EZ28:$FA28,"Atrasar")&gt;0,IF(COUNTIF($EZ28:$FA28,"Carregar")&gt;0,"Rodada +1 turno","Rodada inteira"),IF(COUNTIF($EB28:$EE28,"Rápido")&gt;0,"Bônus",IF(COUNTIF($EB28:$EE28,"Reação")&gt;0,"Reação","Padrão"))&amp;IF(COUNTIF($EZ28:$FA28,"Carregar")&gt;0," +1 turno",""))))</f>
        <v/>
      </c>
      <c r="GP28" s="152">
        <f>IF(OR($EH28=0,$EI28=0),"",IF(COUNTIF($EB28:$EE28,"Inescapável")&gt;0,"Automático",IF(COUNTIF($EB28:$EE28,"Certeiro")&gt;0,"TR para metade",INDEX($AF$2:$AF$11,$EI28))))</f>
        <v/>
      </c>
      <c r="GQ28" s="152">
        <f>IF(OR($EH28=0,$EI28=0),"",IF(OR($EV28&gt;=2,$FR28=0),UPPER(LEFT(INDEX($GA28:$GG28,1,$DY28),1))&amp;MID(INDEX($GA28:$GG28,1,$DY28),2,99),UPPER(LEFT(INDEX($GA28:$GG28,1,$DY28),1))&amp;MID(INDEX($GA28:$GG28,1,$DY28),2,99)&amp;" = "&amp;FLOOR($FR28*4.5,1)&amp;IF($FS28&gt;0," · +"&amp;$FS28&amp;"d8","")))</f>
        <v/>
      </c>
      <c r="GR28" s="152">
        <f>COUNTIF($EB28:$EE28,"Longe")+3*COUNTIF($EB28:$EE28,"Muito Longe")</f>
        <v/>
      </c>
      <c r="GS28" s="152">
        <f>COUNTIF($EB28:$EE28,"Maior")+3*COUNTIF($EB28:$EE28,"Muito Maior")</f>
        <v/>
      </c>
      <c r="GT28" s="152">
        <f>IF($EI28=0,0,CHOOSE(1+INDEX($AH$2:$AH$11,$EI28),0,$GR28,$GS28,$GR28+$GS28))</f>
        <v/>
      </c>
      <c r="GU28" s="152">
        <f>IF($EI28=0,0,CHOOSE(1+INDEX($AI$2:$AI$11,$EI28),0,$GR28,$GS28,$GR28+$GS28))</f>
        <v/>
      </c>
      <c r="GV28" s="152">
        <f>IF(OR($EH28=0,$EI28=0),"",INDEX($AP$2:$AU$31,($EI28-1)*3+IF($DY28&gt;=6,3,2),1+MIN(5,$GT28))&amp;INDEX($AV$2:$BA$31,($EI28-1)*3+IF($DY28&gt;=6,3,2),1+MIN(5,$GU28))&amp;IF(INDEX($AJ$2:$AJ$11,$EI28)=1,IF(COUNTIF($EB28:$EE28,"Mais Um")&gt;0," · +"&amp;COUNTIF($EB28:$EE28,"Mais Um")&amp;IF(COUNTIF($EB28:$EE28,"Mais Um")&gt;1," alvos"," alvo"),"")&amp;IF(COUNTIF($EB28:$EE28,"Rajada")&gt;0," · "&amp;($DY28+1)&amp;" tiros",""),""))</f>
        <v/>
      </c>
      <c r="GW28" s="152">
        <f>IF($EH28=0,"",3*$DY28&amp;" − "&amp;$FL28&amp;" + "&amp;$FO28&amp;IF($DW28=1," + "&amp;$DY28,"")&amp;" = "&amp;$FR28&amp;"d8 · teto "&amp;4*$DY28&amp;IF($EU28=1," · a Forma devolve "&amp;$DY28,"")&amp;IF($FP28&gt;0," · perde "&amp;$FP28,""))</f>
        <v/>
      </c>
      <c r="GX28" s="152">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52">
        <f>IF(OR($EH28=0,$EK28=0),"","−"&amp;INDEX($Q$2:$V$8,$DY28,$EK28)&amp;" · "&amp;CHOOSE($EK28,"Leve","Média","Pesada","Leve · Livre","Média · Livre","Pesada · Livre"))</f>
        <v/>
      </c>
      <c r="GZ28" s="152">
        <f>IF(OR($EH28=0,$EL28=0),"","−"&amp;INDEX($Q$2:$V$8,$DY28,$EL28)&amp;" · "&amp;CHOOSE($EL28,"Leve","Média","Pesada","Leve · Livre","Média · Livre","Pesada · Livre"))</f>
        <v/>
      </c>
      <c r="HA28" s="152">
        <f>IF(OR($EH28=0,$EM28=0),"","−"&amp;INDEX($Q$2:$V$8,$DY28,$EM28)&amp;" · "&amp;CHOOSE($EM28,"Leve","Média","Pesada","Leve · Livre","Média · Livre","Pesada · Livre"))</f>
        <v/>
      </c>
      <c r="HB28" s="152">
        <f>IF(OR($EH28=0,$EN28=0),"","−"&amp;INDEX($Q$2:$V$8,$DY28,$EN28)&amp;" · "&amp;CHOOSE($EN28,"Leve","Média","Pesada","Leve · Livre","Média · Livre","Pesada · Livre"))</f>
        <v/>
      </c>
      <c r="HC28" s="152">
        <f>IF(OR($EH28=0,$EF28=""),"","+"&amp;IF($EX28=1,CEILING($DY28/2,1),$DY28))</f>
        <v/>
      </c>
      <c r="HD28" s="152">
        <f>IF(OR($EH28=0,$EG28=""),"","+"&amp;IF($EY28=1,CEILING($DY28/2,1),$DY28))</f>
        <v/>
      </c>
      <c r="HE28" s="152">
        <f>'FICHA AMALDIÇOADA'!$P$225&amp;""</f>
        <v/>
      </c>
      <c r="HF28" s="152">
        <f>IF(AND($EH28=1,$DW28=0),COUNTIFS($EH$2:$EH28,1,$DW$2:$DW28,0),"")</f>
        <v/>
      </c>
      <c r="HH28" s="150" t="inlineStr">
        <is>
          <t>teto de pactos</t>
        </is>
      </c>
      <c r="HI28" s="152">
        <f>FLOOR($HI$7/2,1)</f>
        <v/>
      </c>
      <c r="JD28" s="152" t="n">
        <v>27</v>
      </c>
      <c r="JE28" s="152">
        <f>IFERROR(MATCH(27,$HF$2:$HF$37,0),0)</f>
        <v/>
      </c>
      <c r="JF28" s="152">
        <f>IF($JE28=0,"",INDEX($DY$2:$DY$37,$JE28))</f>
        <v/>
      </c>
      <c r="JG28" s="152">
        <f>IF($JE28=0,"",INDEX($DZ$2:$DZ$37,$JE28))</f>
        <v/>
      </c>
      <c r="JH28" s="152">
        <f>IF($JE28=0,"",INDEX($GN$2:$GN$37,$JE28))</f>
        <v/>
      </c>
      <c r="JI28" s="152">
        <f>IF($JE28=0,"",INDEX($EA$2:$EA$37,$JE28))</f>
        <v/>
      </c>
      <c r="JJ28" s="152">
        <f>IF($JE28=0,"",INDEX($GP$2:$GP$37,$JE28))</f>
        <v/>
      </c>
      <c r="JK28" s="152">
        <f>IF($JE28=0,"",INDEX($HE$2:$HE$37,$JE28))</f>
        <v/>
      </c>
      <c r="KQ28" s="150" t="inlineStr">
        <is>
          <t>K46</t>
        </is>
      </c>
      <c r="KR28" s="152">
        <f>2*DADOS_AM!$HI$29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CC29" s="150" t="inlineStr">
        <is>
          <t>Antecipar</t>
        </is>
      </c>
      <c r="CD29" s="150" t="inlineStr">
        <is>
          <t>Lapidação 4 e Inteligência 4</t>
        </is>
      </c>
      <c r="CE29" s="152" t="n">
        <v>2</v>
      </c>
      <c r="CF29" s="150" t="inlineStr">
        <is>
          <t>—</t>
        </is>
      </c>
      <c r="CG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52">
        <f>IF($CK29=1,"",IF($A$2=4,IF($CI29=1,$CC29,""),IF(OR($CI29=1,AND($A$2=3,$CJ29=1)),"",$CC29)))</f>
        <v/>
      </c>
      <c r="CI29" s="152" t="n">
        <v>1</v>
      </c>
      <c r="CJ29" s="152" t="n">
        <v>0</v>
      </c>
      <c r="CK29" s="152" t="n">
        <v>0</v>
      </c>
      <c r="CL29" s="150" t="inlineStr">
        <is>
          <t>Depois de falhar num TR contra um efeito, você recebe vantagem nos próximos TRs contra esse mesmo efeito, produzido pela mesma fonte, até o fim da cena.</t>
        </is>
      </c>
      <c r="DV29" s="150" t="inlineStr">
        <is>
          <t>Feitiço 28</t>
        </is>
      </c>
      <c r="DW29" s="152" t="n">
        <v>0</v>
      </c>
      <c r="DX29" s="152" t="n">
        <v>28</v>
      </c>
      <c r="DY29" s="152">
        <f>MAX(1,MIN(7,N('FICHA AMALDIÇOADA'!$D$244)))</f>
        <v/>
      </c>
      <c r="DZ29" s="152">
        <f>'FICHA AMALDIÇOADA'!$E$244&amp;""</f>
        <v/>
      </c>
      <c r="EA29" s="152">
        <f>'FICHA AMALDIÇOADA'!$D$251&amp;""</f>
        <v/>
      </c>
      <c r="EB29" s="152">
        <f>'FICHA AMALDIÇOADA'!$E$253&amp;""</f>
        <v/>
      </c>
      <c r="EC29" s="152">
        <f>'FICHA AMALDIÇOADA'!$E$254&amp;""</f>
        <v/>
      </c>
      <c r="ED29" s="152">
        <f>'FICHA AMALDIÇOADA'!$E$255&amp;""</f>
        <v/>
      </c>
      <c r="EE29" s="152">
        <f>'FICHA AMALDIÇOADA'!$E$256&amp;""</f>
        <v/>
      </c>
      <c r="EF29" s="152">
        <f>'FICHA AMALDIÇOADA'!$E$257&amp;""</f>
        <v/>
      </c>
      <c r="EG29" s="152">
        <f>'FICHA AMALDIÇOADA'!$E$258&amp;""</f>
        <v/>
      </c>
      <c r="EH29" s="152">
        <f>IF($DZ29&lt;&gt;"",1,0)</f>
        <v/>
      </c>
      <c r="EI29" s="152">
        <f>IFERROR(MATCH($EA29,$Y$2:$Y$11,0),0)</f>
        <v/>
      </c>
      <c r="EJ29" s="152">
        <f>IF($EI29=0,0,INDEX($AB$2:$AB$11,$EI29))</f>
        <v/>
      </c>
      <c r="EK29" s="152">
        <f>IFERROR(VLOOKUP($EB29,$BC$2:$BJ$84,4,FALSE),0)</f>
        <v/>
      </c>
      <c r="EL29" s="152">
        <f>IFERROR(VLOOKUP($EC29,$BC$2:$BJ$84,4,FALSE),0)</f>
        <v/>
      </c>
      <c r="EM29" s="152">
        <f>IFERROR(VLOOKUP($ED29,$BC$2:$BJ$84,4,FALSE),0)</f>
        <v/>
      </c>
      <c r="EN29" s="152">
        <f>IFERROR(VLOOKUP($EE29,$BC$2:$BJ$84,4,FALSE),0)</f>
        <v/>
      </c>
      <c r="EO29" s="152">
        <f>IF($EI29=0,0,INDEX($AC$2:$AC$11,$EI29))</f>
        <v/>
      </c>
      <c r="EP29" s="152">
        <f>IFERROR(VLOOKUP($EB29,$BC$2:$BJ$84,5,FALSE),0)</f>
        <v/>
      </c>
      <c r="EQ29" s="152">
        <f>IFERROR(VLOOKUP($EC29,$BC$2:$BJ$84,5,FALSE),0)</f>
        <v/>
      </c>
      <c r="ER29" s="152">
        <f>IFERROR(VLOOKUP($ED29,$BC$2:$BJ$84,5,FALSE),0)</f>
        <v/>
      </c>
      <c r="ES29" s="152">
        <f>IFERROR(VLOOKUP($EE29,$BC$2:$BJ$84,5,FALSE),0)</f>
        <v/>
      </c>
      <c r="ET29" s="152">
        <f>IFERROR(VLOOKUP($EB29,$BC$2:$BJ$84,6,FALSE),0)+IFERROR(VLOOKUP($EC29,$BC$2:$BJ$84,6,FALSE),0)+IFERROR(VLOOKUP($ED29,$BC$2:$BJ$84,6,FALSE),0)+IFERROR(VLOOKUP($EE29,$BC$2:$BJ$84,6,FALSE),0)</f>
        <v/>
      </c>
      <c r="EU29" s="152">
        <f>IF($EI29=0,0,INDEX($AD$2:$AD$11,$EI29))</f>
        <v/>
      </c>
      <c r="EV29" s="152">
        <f>IF($EI29=0,0,INDEX($AE$2:$AE$11,$EI29))</f>
        <v/>
      </c>
      <c r="EW29" s="152">
        <f>IF($EI29=0,0,INDEX($AG$2:$AG$11,$EI29))</f>
        <v/>
      </c>
      <c r="EX29" s="152">
        <f>IFERROR(VLOOKUP($EF29,$BL$2:$BP$24,3,FALSE),0)</f>
        <v/>
      </c>
      <c r="EY29" s="152">
        <f>IFERROR(VLOOKUP($EG29,$BL$2:$BP$24,3,FALSE),0)</f>
        <v/>
      </c>
      <c r="EZ29" s="152">
        <f>IFERROR(VLOOKUP($EF29,$BL$2:$BP$24,2,FALSE),"")</f>
        <v/>
      </c>
      <c r="FA29" s="152">
        <f>IFERROR(VLOOKUP($EG29,$BL$2:$BP$24,2,FALSE),"")</f>
        <v/>
      </c>
      <c r="FB29" s="152">
        <f>COUNTIF($EJ29:$EN29,1)</f>
        <v/>
      </c>
      <c r="FC29" s="152">
        <f>COUNTIF($EJ29:$EN29,2)</f>
        <v/>
      </c>
      <c r="FD29" s="152">
        <f>COUNTIF($EJ29:$EN29,3)</f>
        <v/>
      </c>
      <c r="FE29" s="152">
        <f>COUNTIF($EJ29:$EN29,4)</f>
        <v/>
      </c>
      <c r="FF29" s="152">
        <f>COUNTIF($EJ29:$EN29,5)</f>
        <v/>
      </c>
      <c r="FG29" s="152">
        <f>COUNTIF($EJ29:$EN29,6)</f>
        <v/>
      </c>
      <c r="FH29" s="152">
        <f>COUNTIF($EX29:$EY29,1)</f>
        <v/>
      </c>
      <c r="FI29" s="152">
        <f>COUNTIF($EX29:$EY29,2)+$EU29</f>
        <v/>
      </c>
      <c r="FJ29" s="152">
        <f>COUNTIF($EB29:$EE29,"?*")</f>
        <v/>
      </c>
      <c r="FK29" s="152">
        <f>COUNTIF($EF29:$EG29,"?*")+$EU29</f>
        <v/>
      </c>
      <c r="FL29" s="152">
        <f>SUMPRODUCT($FB29:$FG29,INDEX($Q$2:$V$8,$DY29,0))</f>
        <v/>
      </c>
      <c r="FM29" s="152">
        <f>$FH29*CEILING($DY29/2,1)+$FI29*$DY29</f>
        <v/>
      </c>
      <c r="FN29" s="152">
        <f>MIN(2*$DY29,$FM29)</f>
        <v/>
      </c>
      <c r="FO29" s="152">
        <f>MIN($FN29,$FL29)</f>
        <v/>
      </c>
      <c r="FP29" s="152">
        <f>$FN29-$FO29</f>
        <v/>
      </c>
      <c r="FQ29" s="152">
        <f>3*$DY29-$FL29+$FO29</f>
        <v/>
      </c>
      <c r="FR29" s="152">
        <f>MAX(0,$FQ29)+$DW29*$DY29</f>
        <v/>
      </c>
      <c r="FS29" s="152">
        <f>(IF(COUNTIF($EB29:$EE29,"Salto")&gt;0,1,0)+IF(COUNTIF($EB29:$EE29,"Queima")&gt;0,1,0)+IF(COUNTIF($EB29:$EE29,"Estilhaço")&gt;0,1,0))*FLOOR($FR29/2,1)</f>
        <v/>
      </c>
      <c r="FT29" s="152">
        <f>MAX(0,3-SUMPRODUCT($FB29:$FG29,$Q$2:$V$2)+MIN(2,$FH29*1+$FI29*1,SUMPRODUCT($FB29:$FG29,$Q$2:$V$2)))+$DW29*1</f>
        <v/>
      </c>
      <c r="FU29" s="152">
        <f>MAX(0,6-SUMPRODUCT($FB29:$FG29,$Q$3:$V$3)+MIN(4,$FH29*1+$FI29*2,SUMPRODUCT($FB29:$FG29,$Q$3:$V$3)))+$DW29*2</f>
        <v/>
      </c>
      <c r="FV29" s="152">
        <f>MAX(0,9-SUMPRODUCT($FB29:$FG29,$Q$4:$V$4)+MIN(6,$FH29*2+$FI29*3,SUMPRODUCT($FB29:$FG29,$Q$4:$V$4)))+$DW29*3</f>
        <v/>
      </c>
      <c r="FW29" s="152">
        <f>MAX(0,12-SUMPRODUCT($FB29:$FG29,$Q$5:$V$5)+MIN(8,$FH29*2+$FI29*4,SUMPRODUCT($FB29:$FG29,$Q$5:$V$5)))+$DW29*4</f>
        <v/>
      </c>
      <c r="FX29" s="152">
        <f>MAX(0,15-SUMPRODUCT($FB29:$FG29,$Q$6:$V$6)+MIN(10,$FH29*3+$FI29*5,SUMPRODUCT($FB29:$FG29,$Q$6:$V$6)))+$DW29*5</f>
        <v/>
      </c>
      <c r="FY29" s="152">
        <f>MAX(0,18-SUMPRODUCT($FB29:$FG29,$Q$7:$V$7)+MIN(12,$FH29*3+$FI29*6,SUMPRODUCT($FB29:$FG29,$Q$7:$V$7)))+$DW29*6</f>
        <v/>
      </c>
      <c r="FZ29" s="152">
        <f>MAX(0,21-SUMPRODUCT($FB29:$FG29,$Q$8:$V$8)+MIN(14,$FH29*4+$FI29*7,SUMPRODUCT($FB29:$FG29,$Q$8:$V$8)))+$DW29*7</f>
        <v/>
      </c>
      <c r="GA29" s="152">
        <f>IF($EV29=2,3*$FT29&amp;" de vida temp.",IF($EV29=3,"sem dano",IF($FT29=0,IF($EV29=1,"sem cura","sem dano"),IF($EV29=1,"cura ","")&amp;$FT29&amp;"d8")))</f>
        <v/>
      </c>
      <c r="GB29" s="152">
        <f>IF($EV29=2,3*$FU29&amp;" de vida temp.",IF($EV29=3,"sem dano",IF($FU29=0,IF($EV29=1,"sem cura","sem dano"),IF($EV29=1,"cura ","")&amp;$FU29&amp;"d8")))</f>
        <v/>
      </c>
      <c r="GC29" s="152">
        <f>IF($EV29=2,3*$FV29&amp;" de vida temp.",IF($EV29=3,"sem dano",IF($FV29=0,IF($EV29=1,"sem cura","sem dano"),IF($EV29=1,"cura ","")&amp;$FV29&amp;"d8")))</f>
        <v/>
      </c>
      <c r="GD29" s="152">
        <f>IF($EV29=2,3*$FW29&amp;" de vida temp.",IF($EV29=3,"sem dano",IF($FW29=0,IF($EV29=1,"sem cura","sem dano"),IF($EV29=1,"cura ","")&amp;$FW29&amp;"d8")))</f>
        <v/>
      </c>
      <c r="GE29" s="152">
        <f>IF($EV29=2,3*$FX29&amp;" de vida temp.",IF($EV29=3,"sem dano",IF($FX29=0,IF($EV29=1,"sem cura","sem dano"),IF($EV29=1,"cura ","")&amp;$FX29&amp;"d8")))</f>
        <v/>
      </c>
      <c r="GF29" s="152">
        <f>IF($EV29=2,3*$FY29&amp;" de vida temp.",IF($EV29=3,"sem dano",IF($FY29=0,IF($EV29=1,"sem cura","sem dano"),IF($EV29=1,"cura ","")&amp;$FY29&amp;"d8")))</f>
        <v/>
      </c>
      <c r="GG29" s="152">
        <f>IF($EV29=2,3*$FZ29&amp;" de vida temp.",IF($EV29=3,"sem dano",IF($FZ29=0,IF($EV29=1,"sem cura","sem dano"),IF($EV29=1,"cura ","")&amp;$FZ29&amp;"d8")))</f>
        <v/>
      </c>
      <c r="GH29" s="152">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52">
        <f>IF($GH29="",0,(LEN($GH29)-LEN(SUBSTITUTE($GH29," · ","")))/3+1)</f>
        <v/>
      </c>
      <c r="GJ29" s="152">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52">
        <f>IF($GJ29="",0,(LEN($GJ29)-LEN(SUBSTITUTE($GJ29," · ","")))/3+1)</f>
        <v/>
      </c>
      <c r="GL29" s="152">
        <f>IF($EH29=0,IF($FJ29+$FK29-$EU29&gt;0,"Dê um nome",""),IF($GI29&gt;0,"⚠ "&amp;$GI29&amp;IF($GI29&gt;1," erros"," erro"),IF($GK29&gt;0,"! "&amp;$GK29&amp;IF($GK29&gt;1," avisos"," aviso"),"Na regra")))</f>
        <v/>
      </c>
      <c r="GM29" s="152">
        <f>IF($EH29=0,"",IF($GI29+$GK29=0,"Dentro das regras que a ficha confere",$GH29&amp;IF(AND($GI29&gt;0,$GK29&gt;0)," · ","")&amp;$GJ29))</f>
        <v/>
      </c>
      <c r="GN29" s="152">
        <f>IF($EH29=0,"",IF($DW29=1,CEILING(4.5*$DY29,1),3*$DY29)&amp;" PE")</f>
        <v/>
      </c>
      <c r="GO29" s="152">
        <f>IF($EH29=0,"",IF($DW29=1,"Rodada inteira",IF(COUNTIF($EZ29:$FA29,"Atrasar")&gt;0,IF(COUNTIF($EZ29:$FA29,"Carregar")&gt;0,"Rodada +1 turno","Rodada inteira"),IF(COUNTIF($EB29:$EE29,"Rápido")&gt;0,"Bônus",IF(COUNTIF($EB29:$EE29,"Reação")&gt;0,"Reação","Padrão"))&amp;IF(COUNTIF($EZ29:$FA29,"Carregar")&gt;0," +1 turno",""))))</f>
        <v/>
      </c>
      <c r="GP29" s="152">
        <f>IF(OR($EH29=0,$EI29=0),"",IF(COUNTIF($EB29:$EE29,"Inescapável")&gt;0,"Automático",IF(COUNTIF($EB29:$EE29,"Certeiro")&gt;0,"TR para metade",INDEX($AF$2:$AF$11,$EI29))))</f>
        <v/>
      </c>
      <c r="GQ29" s="152">
        <f>IF(OR($EH29=0,$EI29=0),"",IF(OR($EV29&gt;=2,$FR29=0),UPPER(LEFT(INDEX($GA29:$GG29,1,$DY29),1))&amp;MID(INDEX($GA29:$GG29,1,$DY29),2,99),UPPER(LEFT(INDEX($GA29:$GG29,1,$DY29),1))&amp;MID(INDEX($GA29:$GG29,1,$DY29),2,99)&amp;" = "&amp;FLOOR($FR29*4.5,1)&amp;IF($FS29&gt;0," · +"&amp;$FS29&amp;"d8","")))</f>
        <v/>
      </c>
      <c r="GR29" s="152">
        <f>COUNTIF($EB29:$EE29,"Longe")+3*COUNTIF($EB29:$EE29,"Muito Longe")</f>
        <v/>
      </c>
      <c r="GS29" s="152">
        <f>COUNTIF($EB29:$EE29,"Maior")+3*COUNTIF($EB29:$EE29,"Muito Maior")</f>
        <v/>
      </c>
      <c r="GT29" s="152">
        <f>IF($EI29=0,0,CHOOSE(1+INDEX($AH$2:$AH$11,$EI29),0,$GR29,$GS29,$GR29+$GS29))</f>
        <v/>
      </c>
      <c r="GU29" s="152">
        <f>IF($EI29=0,0,CHOOSE(1+INDEX($AI$2:$AI$11,$EI29),0,$GR29,$GS29,$GR29+$GS29))</f>
        <v/>
      </c>
      <c r="GV29" s="152">
        <f>IF(OR($EH29=0,$EI29=0),"",INDEX($AP$2:$AU$31,($EI29-1)*3+IF($DY29&gt;=6,3,2),1+MIN(5,$GT29))&amp;INDEX($AV$2:$BA$31,($EI29-1)*3+IF($DY29&gt;=6,3,2),1+MIN(5,$GU29))&amp;IF(INDEX($AJ$2:$AJ$11,$EI29)=1,IF(COUNTIF($EB29:$EE29,"Mais Um")&gt;0," · +"&amp;COUNTIF($EB29:$EE29,"Mais Um")&amp;IF(COUNTIF($EB29:$EE29,"Mais Um")&gt;1," alvos"," alvo"),"")&amp;IF(COUNTIF($EB29:$EE29,"Rajada")&gt;0," · "&amp;($DY29+1)&amp;" tiros",""),""))</f>
        <v/>
      </c>
      <c r="GW29" s="152">
        <f>IF($EH29=0,"",3*$DY29&amp;" − "&amp;$FL29&amp;" + "&amp;$FO29&amp;IF($DW29=1," + "&amp;$DY29,"")&amp;" = "&amp;$FR29&amp;"d8 · teto "&amp;4*$DY29&amp;IF($EU29=1," · a Forma devolve "&amp;$DY29,"")&amp;IF($FP29&gt;0," · perde "&amp;$FP29,""))</f>
        <v/>
      </c>
      <c r="GX29" s="152">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52">
        <f>IF(OR($EH29=0,$EK29=0),"","−"&amp;INDEX($Q$2:$V$8,$DY29,$EK29)&amp;" · "&amp;CHOOSE($EK29,"Leve","Média","Pesada","Leve · Livre","Média · Livre","Pesada · Livre"))</f>
        <v/>
      </c>
      <c r="GZ29" s="152">
        <f>IF(OR($EH29=0,$EL29=0),"","−"&amp;INDEX($Q$2:$V$8,$DY29,$EL29)&amp;" · "&amp;CHOOSE($EL29,"Leve","Média","Pesada","Leve · Livre","Média · Livre","Pesada · Livre"))</f>
        <v/>
      </c>
      <c r="HA29" s="152">
        <f>IF(OR($EH29=0,$EM29=0),"","−"&amp;INDEX($Q$2:$V$8,$DY29,$EM29)&amp;" · "&amp;CHOOSE($EM29,"Leve","Média","Pesada","Leve · Livre","Média · Livre","Pesada · Livre"))</f>
        <v/>
      </c>
      <c r="HB29" s="152">
        <f>IF(OR($EH29=0,$EN29=0),"","−"&amp;INDEX($Q$2:$V$8,$DY29,$EN29)&amp;" · "&amp;CHOOSE($EN29,"Leve","Média","Pesada","Leve · Livre","Média · Livre","Pesada · Livre"))</f>
        <v/>
      </c>
      <c r="HC29" s="152">
        <f>IF(OR($EH29=0,$EF29=""),"","+"&amp;IF($EX29=1,CEILING($DY29/2,1),$DY29))</f>
        <v/>
      </c>
      <c r="HD29" s="152">
        <f>IF(OR($EH29=0,$EG29=""),"","+"&amp;IF($EY29=1,CEILING($DY29/2,1),$DY29))</f>
        <v/>
      </c>
      <c r="HE29" s="152">
        <f>'FICHA AMALDIÇOADA'!$D$246&amp;""</f>
        <v/>
      </c>
      <c r="HF29" s="152">
        <f>IF(AND($EH29=1,$DW29=0),COUNTIFS($EH$2:$EH29,1,$DW$2:$DW29,0),"")</f>
        <v/>
      </c>
      <c r="HH29" s="150" t="inlineStr">
        <is>
          <t>classe do índice</t>
        </is>
      </c>
      <c r="HI29" s="152">
        <f>IF(N('FICHA AMALDIÇOADA'!$D$46)&lt;1,$HI$4,MIN(7,N('FICHA AMALDIÇOADA'!$D$46)))</f>
        <v/>
      </c>
      <c r="JD29" s="152" t="n">
        <v>28</v>
      </c>
      <c r="JE29" s="152">
        <f>IFERROR(MATCH(28,$HF$2:$HF$37,0),0)</f>
        <v/>
      </c>
      <c r="JF29" s="152">
        <f>IF($JE29=0,"",INDEX($DY$2:$DY$37,$JE29))</f>
        <v/>
      </c>
      <c r="JG29" s="152">
        <f>IF($JE29=0,"",INDEX($DZ$2:$DZ$37,$JE29))</f>
        <v/>
      </c>
      <c r="JH29" s="152">
        <f>IF($JE29=0,"",INDEX($GN$2:$GN$37,$JE29))</f>
        <v/>
      </c>
      <c r="JI29" s="152">
        <f>IF($JE29=0,"",INDEX($EA$2:$EA$37,$JE29))</f>
        <v/>
      </c>
      <c r="JJ29" s="152">
        <f>IF($JE29=0,"",INDEX($GP$2:$GP$37,$JE29))</f>
        <v/>
      </c>
      <c r="JK29" s="152">
        <f>IF($JE29=0,"",INDEX($HE$2:$HE$37,$JE29))</f>
        <v/>
      </c>
      <c r="KQ29" s="150" t="inlineStr">
        <is>
          <t>L46</t>
        </is>
      </c>
      <c r="KR29" s="152">
        <f>4*DADOS_AM!$HI$29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CC30" s="150" t="inlineStr">
        <is>
          <t>Campo</t>
        </is>
      </c>
      <c r="CD30" s="150" t="inlineStr">
        <is>
          <t>Lapidação 1</t>
        </is>
      </c>
      <c r="CE30" s="152" t="n">
        <v>1</v>
      </c>
      <c r="CF30" s="150" t="inlineStr">
        <is>
          <t>—</t>
        </is>
      </c>
      <c r="CG30" s="150" t="inlineStr">
        <is>
          <t>Uma vez por cena, você pode realizar Estudar como Ação Bônus, em vez de Ação Padrão. Use a ação descrita em Ações — Estudar, com seus alvos, testes e informações disponíveis.</t>
        </is>
      </c>
      <c r="CH30" s="152">
        <f>IF($CK30=1,"",IF($A$2=4,IF($CI30=1,$CC30,""),IF(OR($CI30=1,AND($A$2=3,$CJ30=1)),"",$CC30)))</f>
        <v/>
      </c>
      <c r="CI30" s="152" t="n">
        <v>1</v>
      </c>
      <c r="CJ30" s="152" t="n">
        <v>0</v>
      </c>
      <c r="CK30" s="152" t="n">
        <v>0</v>
      </c>
      <c r="CL30" s="150" t="inlineStr">
        <is>
          <t>Uma vez por cena, você pode realizar Estudar como Ação Bônus, em vez de Ação Padrão. Use a ação descrita em Ações — Estudar, com seus alvos, testes e informações disponíveis.</t>
        </is>
      </c>
      <c r="DV30" s="150" t="inlineStr">
        <is>
          <t>Feitiço 29</t>
        </is>
      </c>
      <c r="DW30" s="152" t="n">
        <v>0</v>
      </c>
      <c r="DX30" s="152" t="n">
        <v>29</v>
      </c>
      <c r="DY30" s="152">
        <f>MAX(1,MIN(7,N('FICHA AMALDIÇOADA'!$J$244)))</f>
        <v/>
      </c>
      <c r="DZ30" s="152">
        <f>'FICHA AMALDIÇOADA'!$K$244&amp;""</f>
        <v/>
      </c>
      <c r="EA30" s="152">
        <f>'FICHA AMALDIÇOADA'!$J$251&amp;""</f>
        <v/>
      </c>
      <c r="EB30" s="152">
        <f>'FICHA AMALDIÇOADA'!$K$253&amp;""</f>
        <v/>
      </c>
      <c r="EC30" s="152">
        <f>'FICHA AMALDIÇOADA'!$K$254&amp;""</f>
        <v/>
      </c>
      <c r="ED30" s="152">
        <f>'FICHA AMALDIÇOADA'!$K$255&amp;""</f>
        <v/>
      </c>
      <c r="EE30" s="152">
        <f>'FICHA AMALDIÇOADA'!$K$256&amp;""</f>
        <v/>
      </c>
      <c r="EF30" s="152">
        <f>'FICHA AMALDIÇOADA'!$K$257&amp;""</f>
        <v/>
      </c>
      <c r="EG30" s="152">
        <f>'FICHA AMALDIÇOADA'!$K$258&amp;""</f>
        <v/>
      </c>
      <c r="EH30" s="152">
        <f>IF($DZ30&lt;&gt;"",1,0)</f>
        <v/>
      </c>
      <c r="EI30" s="152">
        <f>IFERROR(MATCH($EA30,$Y$2:$Y$11,0),0)</f>
        <v/>
      </c>
      <c r="EJ30" s="152">
        <f>IF($EI30=0,0,INDEX($AB$2:$AB$11,$EI30))</f>
        <v/>
      </c>
      <c r="EK30" s="152">
        <f>IFERROR(VLOOKUP($EB30,$BC$2:$BJ$84,4,FALSE),0)</f>
        <v/>
      </c>
      <c r="EL30" s="152">
        <f>IFERROR(VLOOKUP($EC30,$BC$2:$BJ$84,4,FALSE),0)</f>
        <v/>
      </c>
      <c r="EM30" s="152">
        <f>IFERROR(VLOOKUP($ED30,$BC$2:$BJ$84,4,FALSE),0)</f>
        <v/>
      </c>
      <c r="EN30" s="152">
        <f>IFERROR(VLOOKUP($EE30,$BC$2:$BJ$84,4,FALSE),0)</f>
        <v/>
      </c>
      <c r="EO30" s="152">
        <f>IF($EI30=0,0,INDEX($AC$2:$AC$11,$EI30))</f>
        <v/>
      </c>
      <c r="EP30" s="152">
        <f>IFERROR(VLOOKUP($EB30,$BC$2:$BJ$84,5,FALSE),0)</f>
        <v/>
      </c>
      <c r="EQ30" s="152">
        <f>IFERROR(VLOOKUP($EC30,$BC$2:$BJ$84,5,FALSE),0)</f>
        <v/>
      </c>
      <c r="ER30" s="152">
        <f>IFERROR(VLOOKUP($ED30,$BC$2:$BJ$84,5,FALSE),0)</f>
        <v/>
      </c>
      <c r="ES30" s="152">
        <f>IFERROR(VLOOKUP($EE30,$BC$2:$BJ$84,5,FALSE),0)</f>
        <v/>
      </c>
      <c r="ET30" s="152">
        <f>IFERROR(VLOOKUP($EB30,$BC$2:$BJ$84,6,FALSE),0)+IFERROR(VLOOKUP($EC30,$BC$2:$BJ$84,6,FALSE),0)+IFERROR(VLOOKUP($ED30,$BC$2:$BJ$84,6,FALSE),0)+IFERROR(VLOOKUP($EE30,$BC$2:$BJ$84,6,FALSE),0)</f>
        <v/>
      </c>
      <c r="EU30" s="152">
        <f>IF($EI30=0,0,INDEX($AD$2:$AD$11,$EI30))</f>
        <v/>
      </c>
      <c r="EV30" s="152">
        <f>IF($EI30=0,0,INDEX($AE$2:$AE$11,$EI30))</f>
        <v/>
      </c>
      <c r="EW30" s="152">
        <f>IF($EI30=0,0,INDEX($AG$2:$AG$11,$EI30))</f>
        <v/>
      </c>
      <c r="EX30" s="152">
        <f>IFERROR(VLOOKUP($EF30,$BL$2:$BP$24,3,FALSE),0)</f>
        <v/>
      </c>
      <c r="EY30" s="152">
        <f>IFERROR(VLOOKUP($EG30,$BL$2:$BP$24,3,FALSE),0)</f>
        <v/>
      </c>
      <c r="EZ30" s="152">
        <f>IFERROR(VLOOKUP($EF30,$BL$2:$BP$24,2,FALSE),"")</f>
        <v/>
      </c>
      <c r="FA30" s="152">
        <f>IFERROR(VLOOKUP($EG30,$BL$2:$BP$24,2,FALSE),"")</f>
        <v/>
      </c>
      <c r="FB30" s="152">
        <f>COUNTIF($EJ30:$EN30,1)</f>
        <v/>
      </c>
      <c r="FC30" s="152">
        <f>COUNTIF($EJ30:$EN30,2)</f>
        <v/>
      </c>
      <c r="FD30" s="152">
        <f>COUNTIF($EJ30:$EN30,3)</f>
        <v/>
      </c>
      <c r="FE30" s="152">
        <f>COUNTIF($EJ30:$EN30,4)</f>
        <v/>
      </c>
      <c r="FF30" s="152">
        <f>COUNTIF($EJ30:$EN30,5)</f>
        <v/>
      </c>
      <c r="FG30" s="152">
        <f>COUNTIF($EJ30:$EN30,6)</f>
        <v/>
      </c>
      <c r="FH30" s="152">
        <f>COUNTIF($EX30:$EY30,1)</f>
        <v/>
      </c>
      <c r="FI30" s="152">
        <f>COUNTIF($EX30:$EY30,2)+$EU30</f>
        <v/>
      </c>
      <c r="FJ30" s="152">
        <f>COUNTIF($EB30:$EE30,"?*")</f>
        <v/>
      </c>
      <c r="FK30" s="152">
        <f>COUNTIF($EF30:$EG30,"?*")+$EU30</f>
        <v/>
      </c>
      <c r="FL30" s="152">
        <f>SUMPRODUCT($FB30:$FG30,INDEX($Q$2:$V$8,$DY30,0))</f>
        <v/>
      </c>
      <c r="FM30" s="152">
        <f>$FH30*CEILING($DY30/2,1)+$FI30*$DY30</f>
        <v/>
      </c>
      <c r="FN30" s="152">
        <f>MIN(2*$DY30,$FM30)</f>
        <v/>
      </c>
      <c r="FO30" s="152">
        <f>MIN($FN30,$FL30)</f>
        <v/>
      </c>
      <c r="FP30" s="152">
        <f>$FN30-$FO30</f>
        <v/>
      </c>
      <c r="FQ30" s="152">
        <f>3*$DY30-$FL30+$FO30</f>
        <v/>
      </c>
      <c r="FR30" s="152">
        <f>MAX(0,$FQ30)+$DW30*$DY30</f>
        <v/>
      </c>
      <c r="FS30" s="152">
        <f>(IF(COUNTIF($EB30:$EE30,"Salto")&gt;0,1,0)+IF(COUNTIF($EB30:$EE30,"Queima")&gt;0,1,0)+IF(COUNTIF($EB30:$EE30,"Estilhaço")&gt;0,1,0))*FLOOR($FR30/2,1)</f>
        <v/>
      </c>
      <c r="FT30" s="152">
        <f>MAX(0,3-SUMPRODUCT($FB30:$FG30,$Q$2:$V$2)+MIN(2,$FH30*1+$FI30*1,SUMPRODUCT($FB30:$FG30,$Q$2:$V$2)))+$DW30*1</f>
        <v/>
      </c>
      <c r="FU30" s="152">
        <f>MAX(0,6-SUMPRODUCT($FB30:$FG30,$Q$3:$V$3)+MIN(4,$FH30*1+$FI30*2,SUMPRODUCT($FB30:$FG30,$Q$3:$V$3)))+$DW30*2</f>
        <v/>
      </c>
      <c r="FV30" s="152">
        <f>MAX(0,9-SUMPRODUCT($FB30:$FG30,$Q$4:$V$4)+MIN(6,$FH30*2+$FI30*3,SUMPRODUCT($FB30:$FG30,$Q$4:$V$4)))+$DW30*3</f>
        <v/>
      </c>
      <c r="FW30" s="152">
        <f>MAX(0,12-SUMPRODUCT($FB30:$FG30,$Q$5:$V$5)+MIN(8,$FH30*2+$FI30*4,SUMPRODUCT($FB30:$FG30,$Q$5:$V$5)))+$DW30*4</f>
        <v/>
      </c>
      <c r="FX30" s="152">
        <f>MAX(0,15-SUMPRODUCT($FB30:$FG30,$Q$6:$V$6)+MIN(10,$FH30*3+$FI30*5,SUMPRODUCT($FB30:$FG30,$Q$6:$V$6)))+$DW30*5</f>
        <v/>
      </c>
      <c r="FY30" s="152">
        <f>MAX(0,18-SUMPRODUCT($FB30:$FG30,$Q$7:$V$7)+MIN(12,$FH30*3+$FI30*6,SUMPRODUCT($FB30:$FG30,$Q$7:$V$7)))+$DW30*6</f>
        <v/>
      </c>
      <c r="FZ30" s="152">
        <f>MAX(0,21-SUMPRODUCT($FB30:$FG30,$Q$8:$V$8)+MIN(14,$FH30*4+$FI30*7,SUMPRODUCT($FB30:$FG30,$Q$8:$V$8)))+$DW30*7</f>
        <v/>
      </c>
      <c r="GA30" s="152">
        <f>IF($EV30=2,3*$FT30&amp;" de vida temp.",IF($EV30=3,"sem dano",IF($FT30=0,IF($EV30=1,"sem cura","sem dano"),IF($EV30=1,"cura ","")&amp;$FT30&amp;"d8")))</f>
        <v/>
      </c>
      <c r="GB30" s="152">
        <f>IF($EV30=2,3*$FU30&amp;" de vida temp.",IF($EV30=3,"sem dano",IF($FU30=0,IF($EV30=1,"sem cura","sem dano"),IF($EV30=1,"cura ","")&amp;$FU30&amp;"d8")))</f>
        <v/>
      </c>
      <c r="GC30" s="152">
        <f>IF($EV30=2,3*$FV30&amp;" de vida temp.",IF($EV30=3,"sem dano",IF($FV30=0,IF($EV30=1,"sem cura","sem dano"),IF($EV30=1,"cura ","")&amp;$FV30&amp;"d8")))</f>
        <v/>
      </c>
      <c r="GD30" s="152">
        <f>IF($EV30=2,3*$FW30&amp;" de vida temp.",IF($EV30=3,"sem dano",IF($FW30=0,IF($EV30=1,"sem cura","sem dano"),IF($EV30=1,"cura ","")&amp;$FW30&amp;"d8")))</f>
        <v/>
      </c>
      <c r="GE30" s="152">
        <f>IF($EV30=2,3*$FX30&amp;" de vida temp.",IF($EV30=3,"sem dano",IF($FX30=0,IF($EV30=1,"sem cura","sem dano"),IF($EV30=1,"cura ","")&amp;$FX30&amp;"d8")))</f>
        <v/>
      </c>
      <c r="GF30" s="152">
        <f>IF($EV30=2,3*$FY30&amp;" de vida temp.",IF($EV30=3,"sem dano",IF($FY30=0,IF($EV30=1,"sem cura","sem dano"),IF($EV30=1,"cura ","")&amp;$FY30&amp;"d8")))</f>
        <v/>
      </c>
      <c r="GG30" s="152">
        <f>IF($EV30=2,3*$FZ30&amp;" de vida temp.",IF($EV30=3,"sem dano",IF($FZ30=0,IF($EV30=1,"sem cura","sem dano"),IF($EV30=1,"cura ","")&amp;$FZ30&amp;"d8")))</f>
        <v/>
      </c>
      <c r="GH30" s="152">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52">
        <f>IF($GH30="",0,(LEN($GH30)-LEN(SUBSTITUTE($GH30," · ","")))/3+1)</f>
        <v/>
      </c>
      <c r="GJ30" s="152">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52">
        <f>IF($GJ30="",0,(LEN($GJ30)-LEN(SUBSTITUTE($GJ30," · ","")))/3+1)</f>
        <v/>
      </c>
      <c r="GL30" s="152">
        <f>IF($EH30=0,IF($FJ30+$FK30-$EU30&gt;0,"Dê um nome",""),IF($GI30&gt;0,"⚠ "&amp;$GI30&amp;IF($GI30&gt;1," erros"," erro"),IF($GK30&gt;0,"! "&amp;$GK30&amp;IF($GK30&gt;1," avisos"," aviso"),"Na regra")))</f>
        <v/>
      </c>
      <c r="GM30" s="152">
        <f>IF($EH30=0,"",IF($GI30+$GK30=0,"Dentro das regras que a ficha confere",$GH30&amp;IF(AND($GI30&gt;0,$GK30&gt;0)," · ","")&amp;$GJ30))</f>
        <v/>
      </c>
      <c r="GN30" s="152">
        <f>IF($EH30=0,"",IF($DW30=1,CEILING(4.5*$DY30,1),3*$DY30)&amp;" PE")</f>
        <v/>
      </c>
      <c r="GO30" s="152">
        <f>IF($EH30=0,"",IF($DW30=1,"Rodada inteira",IF(COUNTIF($EZ30:$FA30,"Atrasar")&gt;0,IF(COUNTIF($EZ30:$FA30,"Carregar")&gt;0,"Rodada +1 turno","Rodada inteira"),IF(COUNTIF($EB30:$EE30,"Rápido")&gt;0,"Bônus",IF(COUNTIF($EB30:$EE30,"Reação")&gt;0,"Reação","Padrão"))&amp;IF(COUNTIF($EZ30:$FA30,"Carregar")&gt;0," +1 turno",""))))</f>
        <v/>
      </c>
      <c r="GP30" s="152">
        <f>IF(OR($EH30=0,$EI30=0),"",IF(COUNTIF($EB30:$EE30,"Inescapável")&gt;0,"Automático",IF(COUNTIF($EB30:$EE30,"Certeiro")&gt;0,"TR para metade",INDEX($AF$2:$AF$11,$EI30))))</f>
        <v/>
      </c>
      <c r="GQ30" s="152">
        <f>IF(OR($EH30=0,$EI30=0),"",IF(OR($EV30&gt;=2,$FR30=0),UPPER(LEFT(INDEX($GA30:$GG30,1,$DY30),1))&amp;MID(INDEX($GA30:$GG30,1,$DY30),2,99),UPPER(LEFT(INDEX($GA30:$GG30,1,$DY30),1))&amp;MID(INDEX($GA30:$GG30,1,$DY30),2,99)&amp;" = "&amp;FLOOR($FR30*4.5,1)&amp;IF($FS30&gt;0," · +"&amp;$FS30&amp;"d8","")))</f>
        <v/>
      </c>
      <c r="GR30" s="152">
        <f>COUNTIF($EB30:$EE30,"Longe")+3*COUNTIF($EB30:$EE30,"Muito Longe")</f>
        <v/>
      </c>
      <c r="GS30" s="152">
        <f>COUNTIF($EB30:$EE30,"Maior")+3*COUNTIF($EB30:$EE30,"Muito Maior")</f>
        <v/>
      </c>
      <c r="GT30" s="152">
        <f>IF($EI30=0,0,CHOOSE(1+INDEX($AH$2:$AH$11,$EI30),0,$GR30,$GS30,$GR30+$GS30))</f>
        <v/>
      </c>
      <c r="GU30" s="152">
        <f>IF($EI30=0,0,CHOOSE(1+INDEX($AI$2:$AI$11,$EI30),0,$GR30,$GS30,$GR30+$GS30))</f>
        <v/>
      </c>
      <c r="GV30" s="152">
        <f>IF(OR($EH30=0,$EI30=0),"",INDEX($AP$2:$AU$31,($EI30-1)*3+IF($DY30&gt;=6,3,2),1+MIN(5,$GT30))&amp;INDEX($AV$2:$BA$31,($EI30-1)*3+IF($DY30&gt;=6,3,2),1+MIN(5,$GU30))&amp;IF(INDEX($AJ$2:$AJ$11,$EI30)=1,IF(COUNTIF($EB30:$EE30,"Mais Um")&gt;0," · +"&amp;COUNTIF($EB30:$EE30,"Mais Um")&amp;IF(COUNTIF($EB30:$EE30,"Mais Um")&gt;1," alvos"," alvo"),"")&amp;IF(COUNTIF($EB30:$EE30,"Rajada")&gt;0," · "&amp;($DY30+1)&amp;" tiros",""),""))</f>
        <v/>
      </c>
      <c r="GW30" s="152">
        <f>IF($EH30=0,"",3*$DY30&amp;" − "&amp;$FL30&amp;" + "&amp;$FO30&amp;IF($DW30=1," + "&amp;$DY30,"")&amp;" = "&amp;$FR30&amp;"d8 · teto "&amp;4*$DY30&amp;IF($EU30=1," · a Forma devolve "&amp;$DY30,"")&amp;IF($FP30&gt;0," · perde "&amp;$FP30,""))</f>
        <v/>
      </c>
      <c r="GX30" s="152">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52">
        <f>IF(OR($EH30=0,$EK30=0),"","−"&amp;INDEX($Q$2:$V$8,$DY30,$EK30)&amp;" · "&amp;CHOOSE($EK30,"Leve","Média","Pesada","Leve · Livre","Média · Livre","Pesada · Livre"))</f>
        <v/>
      </c>
      <c r="GZ30" s="152">
        <f>IF(OR($EH30=0,$EL30=0),"","−"&amp;INDEX($Q$2:$V$8,$DY30,$EL30)&amp;" · "&amp;CHOOSE($EL30,"Leve","Média","Pesada","Leve · Livre","Média · Livre","Pesada · Livre"))</f>
        <v/>
      </c>
      <c r="HA30" s="152">
        <f>IF(OR($EH30=0,$EM30=0),"","−"&amp;INDEX($Q$2:$V$8,$DY30,$EM30)&amp;" · "&amp;CHOOSE($EM30,"Leve","Média","Pesada","Leve · Livre","Média · Livre","Pesada · Livre"))</f>
        <v/>
      </c>
      <c r="HB30" s="152">
        <f>IF(OR($EH30=0,$EN30=0),"","−"&amp;INDEX($Q$2:$V$8,$DY30,$EN30)&amp;" · "&amp;CHOOSE($EN30,"Leve","Média","Pesada","Leve · Livre","Média · Livre","Pesada · Livre"))</f>
        <v/>
      </c>
      <c r="HC30" s="152">
        <f>IF(OR($EH30=0,$EF30=""),"","+"&amp;IF($EX30=1,CEILING($DY30/2,1),$DY30))</f>
        <v/>
      </c>
      <c r="HD30" s="152">
        <f>IF(OR($EH30=0,$EG30=""),"","+"&amp;IF($EY30=1,CEILING($DY30/2,1),$DY30))</f>
        <v/>
      </c>
      <c r="HE30" s="152">
        <f>'FICHA AMALDIÇOADA'!$J$246&amp;""</f>
        <v/>
      </c>
      <c r="HF30" s="152">
        <f>IF(AND($EH30=1,$DW30=0),COUNTIFS($EH$2:$EH30,1,$DW$2:$DW30,0),"")</f>
        <v/>
      </c>
      <c r="HH30" s="150" t="inlineStr">
        <is>
          <t>famílias livres</t>
        </is>
      </c>
      <c r="HI30" s="152">
        <f>COUNTIF($J$2:$J$10,"Livre")</f>
        <v/>
      </c>
      <c r="JD30" s="152" t="n">
        <v>29</v>
      </c>
      <c r="JE30" s="152">
        <f>IFERROR(MATCH(29,$HF$2:$HF$37,0),0)</f>
        <v/>
      </c>
      <c r="JF30" s="152">
        <f>IF($JE30=0,"",INDEX($DY$2:$DY$37,$JE30))</f>
        <v/>
      </c>
      <c r="JG30" s="152">
        <f>IF($JE30=0,"",INDEX($DZ$2:$DZ$37,$JE30))</f>
        <v/>
      </c>
      <c r="JH30" s="152">
        <f>IF($JE30=0,"",INDEX($GN$2:$GN$37,$JE30))</f>
        <v/>
      </c>
      <c r="JI30" s="152">
        <f>IF($JE30=0,"",INDEX($EA$2:$EA$37,$JE30))</f>
        <v/>
      </c>
      <c r="JJ30" s="152">
        <f>IF($JE30=0,"",INDEX($GP$2:$GP$37,$JE30))</f>
        <v/>
      </c>
      <c r="JK30" s="152">
        <f>IF($JE30=0,"",INDEX($HE$2:$HE$37,$JE30))</f>
        <v/>
      </c>
      <c r="KQ30" s="150" t="inlineStr">
        <is>
          <t>M46</t>
        </is>
      </c>
      <c r="KR30" s="152">
        <f>INDEX(DADOS_AM!$P$2:$W$8,DADOS_AM!$HI$29,8)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CC31" s="150" t="inlineStr">
        <is>
          <t>Assombro</t>
        </is>
      </c>
      <c r="CD31" s="150" t="inlineStr">
        <is>
          <t>Lapidação 1 e Essência 4</t>
        </is>
      </c>
      <c r="CE31" s="152" t="n">
        <v>1</v>
      </c>
      <c r="CF31" s="150" t="inlineStr">
        <is>
          <t>—</t>
        </is>
      </c>
      <c r="CG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52">
        <f>IF($CK31=1,"",IF($A$2=4,IF($CI31=1,$CC31,""),IF(OR($CI31=1,AND($A$2=3,$CJ31=1)),"",$CC31)))</f>
        <v/>
      </c>
      <c r="CI31" s="152" t="n">
        <v>1</v>
      </c>
      <c r="CJ31" s="152" t="n">
        <v>0</v>
      </c>
      <c r="CK31" s="152" t="n">
        <v>0</v>
      </c>
      <c r="CL31" s="150" t="inlineStr">
        <is>
          <t>Uma vez por cena, ao entrar nela ou ser visto pela primeira vez, escolha até metade de sua Lapidação, arredondada para baixo, mínimo 1, entre as criaturas presentes que enxerguem você.</t>
        </is>
      </c>
      <c r="DV31" s="150" t="inlineStr">
        <is>
          <t>Feitiço 30</t>
        </is>
      </c>
      <c r="DW31" s="152" t="n">
        <v>0</v>
      </c>
      <c r="DX31" s="152" t="n">
        <v>30</v>
      </c>
      <c r="DY31" s="152">
        <f>MAX(1,MIN(7,N('FICHA AMALDIÇOADA'!$P$244)))</f>
        <v/>
      </c>
      <c r="DZ31" s="152">
        <f>'FICHA AMALDIÇOADA'!$Q$244&amp;""</f>
        <v/>
      </c>
      <c r="EA31" s="152">
        <f>'FICHA AMALDIÇOADA'!$P$251&amp;""</f>
        <v/>
      </c>
      <c r="EB31" s="152">
        <f>'FICHA AMALDIÇOADA'!$Q$253&amp;""</f>
        <v/>
      </c>
      <c r="EC31" s="152">
        <f>'FICHA AMALDIÇOADA'!$Q$254&amp;""</f>
        <v/>
      </c>
      <c r="ED31" s="152">
        <f>'FICHA AMALDIÇOADA'!$Q$255&amp;""</f>
        <v/>
      </c>
      <c r="EE31" s="152">
        <f>'FICHA AMALDIÇOADA'!$Q$256&amp;""</f>
        <v/>
      </c>
      <c r="EF31" s="152">
        <f>'FICHA AMALDIÇOADA'!$Q$257&amp;""</f>
        <v/>
      </c>
      <c r="EG31" s="152">
        <f>'FICHA AMALDIÇOADA'!$Q$258&amp;""</f>
        <v/>
      </c>
      <c r="EH31" s="152">
        <f>IF($DZ31&lt;&gt;"",1,0)</f>
        <v/>
      </c>
      <c r="EI31" s="152">
        <f>IFERROR(MATCH($EA31,$Y$2:$Y$11,0),0)</f>
        <v/>
      </c>
      <c r="EJ31" s="152">
        <f>IF($EI31=0,0,INDEX($AB$2:$AB$11,$EI31))</f>
        <v/>
      </c>
      <c r="EK31" s="152">
        <f>IFERROR(VLOOKUP($EB31,$BC$2:$BJ$84,4,FALSE),0)</f>
        <v/>
      </c>
      <c r="EL31" s="152">
        <f>IFERROR(VLOOKUP($EC31,$BC$2:$BJ$84,4,FALSE),0)</f>
        <v/>
      </c>
      <c r="EM31" s="152">
        <f>IFERROR(VLOOKUP($ED31,$BC$2:$BJ$84,4,FALSE),0)</f>
        <v/>
      </c>
      <c r="EN31" s="152">
        <f>IFERROR(VLOOKUP($EE31,$BC$2:$BJ$84,4,FALSE),0)</f>
        <v/>
      </c>
      <c r="EO31" s="152">
        <f>IF($EI31=0,0,INDEX($AC$2:$AC$11,$EI31))</f>
        <v/>
      </c>
      <c r="EP31" s="152">
        <f>IFERROR(VLOOKUP($EB31,$BC$2:$BJ$84,5,FALSE),0)</f>
        <v/>
      </c>
      <c r="EQ31" s="152">
        <f>IFERROR(VLOOKUP($EC31,$BC$2:$BJ$84,5,FALSE),0)</f>
        <v/>
      </c>
      <c r="ER31" s="152">
        <f>IFERROR(VLOOKUP($ED31,$BC$2:$BJ$84,5,FALSE),0)</f>
        <v/>
      </c>
      <c r="ES31" s="152">
        <f>IFERROR(VLOOKUP($EE31,$BC$2:$BJ$84,5,FALSE),0)</f>
        <v/>
      </c>
      <c r="ET31" s="152">
        <f>IFERROR(VLOOKUP($EB31,$BC$2:$BJ$84,6,FALSE),0)+IFERROR(VLOOKUP($EC31,$BC$2:$BJ$84,6,FALSE),0)+IFERROR(VLOOKUP($ED31,$BC$2:$BJ$84,6,FALSE),0)+IFERROR(VLOOKUP($EE31,$BC$2:$BJ$84,6,FALSE),0)</f>
        <v/>
      </c>
      <c r="EU31" s="152">
        <f>IF($EI31=0,0,INDEX($AD$2:$AD$11,$EI31))</f>
        <v/>
      </c>
      <c r="EV31" s="152">
        <f>IF($EI31=0,0,INDEX($AE$2:$AE$11,$EI31))</f>
        <v/>
      </c>
      <c r="EW31" s="152">
        <f>IF($EI31=0,0,INDEX($AG$2:$AG$11,$EI31))</f>
        <v/>
      </c>
      <c r="EX31" s="152">
        <f>IFERROR(VLOOKUP($EF31,$BL$2:$BP$24,3,FALSE),0)</f>
        <v/>
      </c>
      <c r="EY31" s="152">
        <f>IFERROR(VLOOKUP($EG31,$BL$2:$BP$24,3,FALSE),0)</f>
        <v/>
      </c>
      <c r="EZ31" s="152">
        <f>IFERROR(VLOOKUP($EF31,$BL$2:$BP$24,2,FALSE),"")</f>
        <v/>
      </c>
      <c r="FA31" s="152">
        <f>IFERROR(VLOOKUP($EG31,$BL$2:$BP$24,2,FALSE),"")</f>
        <v/>
      </c>
      <c r="FB31" s="152">
        <f>COUNTIF($EJ31:$EN31,1)</f>
        <v/>
      </c>
      <c r="FC31" s="152">
        <f>COUNTIF($EJ31:$EN31,2)</f>
        <v/>
      </c>
      <c r="FD31" s="152">
        <f>COUNTIF($EJ31:$EN31,3)</f>
        <v/>
      </c>
      <c r="FE31" s="152">
        <f>COUNTIF($EJ31:$EN31,4)</f>
        <v/>
      </c>
      <c r="FF31" s="152">
        <f>COUNTIF($EJ31:$EN31,5)</f>
        <v/>
      </c>
      <c r="FG31" s="152">
        <f>COUNTIF($EJ31:$EN31,6)</f>
        <v/>
      </c>
      <c r="FH31" s="152">
        <f>COUNTIF($EX31:$EY31,1)</f>
        <v/>
      </c>
      <c r="FI31" s="152">
        <f>COUNTIF($EX31:$EY31,2)+$EU31</f>
        <v/>
      </c>
      <c r="FJ31" s="152">
        <f>COUNTIF($EB31:$EE31,"?*")</f>
        <v/>
      </c>
      <c r="FK31" s="152">
        <f>COUNTIF($EF31:$EG31,"?*")+$EU31</f>
        <v/>
      </c>
      <c r="FL31" s="152">
        <f>SUMPRODUCT($FB31:$FG31,INDEX($Q$2:$V$8,$DY31,0))</f>
        <v/>
      </c>
      <c r="FM31" s="152">
        <f>$FH31*CEILING($DY31/2,1)+$FI31*$DY31</f>
        <v/>
      </c>
      <c r="FN31" s="152">
        <f>MIN(2*$DY31,$FM31)</f>
        <v/>
      </c>
      <c r="FO31" s="152">
        <f>MIN($FN31,$FL31)</f>
        <v/>
      </c>
      <c r="FP31" s="152">
        <f>$FN31-$FO31</f>
        <v/>
      </c>
      <c r="FQ31" s="152">
        <f>3*$DY31-$FL31+$FO31</f>
        <v/>
      </c>
      <c r="FR31" s="152">
        <f>MAX(0,$FQ31)+$DW31*$DY31</f>
        <v/>
      </c>
      <c r="FS31" s="152">
        <f>(IF(COUNTIF($EB31:$EE31,"Salto")&gt;0,1,0)+IF(COUNTIF($EB31:$EE31,"Queima")&gt;0,1,0)+IF(COUNTIF($EB31:$EE31,"Estilhaço")&gt;0,1,0))*FLOOR($FR31/2,1)</f>
        <v/>
      </c>
      <c r="FT31" s="152">
        <f>MAX(0,3-SUMPRODUCT($FB31:$FG31,$Q$2:$V$2)+MIN(2,$FH31*1+$FI31*1,SUMPRODUCT($FB31:$FG31,$Q$2:$V$2)))+$DW31*1</f>
        <v/>
      </c>
      <c r="FU31" s="152">
        <f>MAX(0,6-SUMPRODUCT($FB31:$FG31,$Q$3:$V$3)+MIN(4,$FH31*1+$FI31*2,SUMPRODUCT($FB31:$FG31,$Q$3:$V$3)))+$DW31*2</f>
        <v/>
      </c>
      <c r="FV31" s="152">
        <f>MAX(0,9-SUMPRODUCT($FB31:$FG31,$Q$4:$V$4)+MIN(6,$FH31*2+$FI31*3,SUMPRODUCT($FB31:$FG31,$Q$4:$V$4)))+$DW31*3</f>
        <v/>
      </c>
      <c r="FW31" s="152">
        <f>MAX(0,12-SUMPRODUCT($FB31:$FG31,$Q$5:$V$5)+MIN(8,$FH31*2+$FI31*4,SUMPRODUCT($FB31:$FG31,$Q$5:$V$5)))+$DW31*4</f>
        <v/>
      </c>
      <c r="FX31" s="152">
        <f>MAX(0,15-SUMPRODUCT($FB31:$FG31,$Q$6:$V$6)+MIN(10,$FH31*3+$FI31*5,SUMPRODUCT($FB31:$FG31,$Q$6:$V$6)))+$DW31*5</f>
        <v/>
      </c>
      <c r="FY31" s="152">
        <f>MAX(0,18-SUMPRODUCT($FB31:$FG31,$Q$7:$V$7)+MIN(12,$FH31*3+$FI31*6,SUMPRODUCT($FB31:$FG31,$Q$7:$V$7)))+$DW31*6</f>
        <v/>
      </c>
      <c r="FZ31" s="152">
        <f>MAX(0,21-SUMPRODUCT($FB31:$FG31,$Q$8:$V$8)+MIN(14,$FH31*4+$FI31*7,SUMPRODUCT($FB31:$FG31,$Q$8:$V$8)))+$DW31*7</f>
        <v/>
      </c>
      <c r="GA31" s="152">
        <f>IF($EV31=2,3*$FT31&amp;" de vida temp.",IF($EV31=3,"sem dano",IF($FT31=0,IF($EV31=1,"sem cura","sem dano"),IF($EV31=1,"cura ","")&amp;$FT31&amp;"d8")))</f>
        <v/>
      </c>
      <c r="GB31" s="152">
        <f>IF($EV31=2,3*$FU31&amp;" de vida temp.",IF($EV31=3,"sem dano",IF($FU31=0,IF($EV31=1,"sem cura","sem dano"),IF($EV31=1,"cura ","")&amp;$FU31&amp;"d8")))</f>
        <v/>
      </c>
      <c r="GC31" s="152">
        <f>IF($EV31=2,3*$FV31&amp;" de vida temp.",IF($EV31=3,"sem dano",IF($FV31=0,IF($EV31=1,"sem cura","sem dano"),IF($EV31=1,"cura ","")&amp;$FV31&amp;"d8")))</f>
        <v/>
      </c>
      <c r="GD31" s="152">
        <f>IF($EV31=2,3*$FW31&amp;" de vida temp.",IF($EV31=3,"sem dano",IF($FW31=0,IF($EV31=1,"sem cura","sem dano"),IF($EV31=1,"cura ","")&amp;$FW31&amp;"d8")))</f>
        <v/>
      </c>
      <c r="GE31" s="152">
        <f>IF($EV31=2,3*$FX31&amp;" de vida temp.",IF($EV31=3,"sem dano",IF($FX31=0,IF($EV31=1,"sem cura","sem dano"),IF($EV31=1,"cura ","")&amp;$FX31&amp;"d8")))</f>
        <v/>
      </c>
      <c r="GF31" s="152">
        <f>IF($EV31=2,3*$FY31&amp;" de vida temp.",IF($EV31=3,"sem dano",IF($FY31=0,IF($EV31=1,"sem cura","sem dano"),IF($EV31=1,"cura ","")&amp;$FY31&amp;"d8")))</f>
        <v/>
      </c>
      <c r="GG31" s="152">
        <f>IF($EV31=2,3*$FZ31&amp;" de vida temp.",IF($EV31=3,"sem dano",IF($FZ31=0,IF($EV31=1,"sem cura","sem dano"),IF($EV31=1,"cura ","")&amp;$FZ31&amp;"d8")))</f>
        <v/>
      </c>
      <c r="GH31" s="152">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52">
        <f>IF($GH31="",0,(LEN($GH31)-LEN(SUBSTITUTE($GH31," · ","")))/3+1)</f>
        <v/>
      </c>
      <c r="GJ31" s="152">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52">
        <f>IF($GJ31="",0,(LEN($GJ31)-LEN(SUBSTITUTE($GJ31," · ","")))/3+1)</f>
        <v/>
      </c>
      <c r="GL31" s="152">
        <f>IF($EH31=0,IF($FJ31+$FK31-$EU31&gt;0,"Dê um nome",""),IF($GI31&gt;0,"⚠ "&amp;$GI31&amp;IF($GI31&gt;1," erros"," erro"),IF($GK31&gt;0,"! "&amp;$GK31&amp;IF($GK31&gt;1," avisos"," aviso"),"Na regra")))</f>
        <v/>
      </c>
      <c r="GM31" s="152">
        <f>IF($EH31=0,"",IF($GI31+$GK31=0,"Dentro das regras que a ficha confere",$GH31&amp;IF(AND($GI31&gt;0,$GK31&gt;0)," · ","")&amp;$GJ31))</f>
        <v/>
      </c>
      <c r="GN31" s="152">
        <f>IF($EH31=0,"",IF($DW31=1,CEILING(4.5*$DY31,1),3*$DY31)&amp;" PE")</f>
        <v/>
      </c>
      <c r="GO31" s="152">
        <f>IF($EH31=0,"",IF($DW31=1,"Rodada inteira",IF(COUNTIF($EZ31:$FA31,"Atrasar")&gt;0,IF(COUNTIF($EZ31:$FA31,"Carregar")&gt;0,"Rodada +1 turno","Rodada inteira"),IF(COUNTIF($EB31:$EE31,"Rápido")&gt;0,"Bônus",IF(COUNTIF($EB31:$EE31,"Reação")&gt;0,"Reação","Padrão"))&amp;IF(COUNTIF($EZ31:$FA31,"Carregar")&gt;0," +1 turno",""))))</f>
        <v/>
      </c>
      <c r="GP31" s="152">
        <f>IF(OR($EH31=0,$EI31=0),"",IF(COUNTIF($EB31:$EE31,"Inescapável")&gt;0,"Automático",IF(COUNTIF($EB31:$EE31,"Certeiro")&gt;0,"TR para metade",INDEX($AF$2:$AF$11,$EI31))))</f>
        <v/>
      </c>
      <c r="GQ31" s="152">
        <f>IF(OR($EH31=0,$EI31=0),"",IF(OR($EV31&gt;=2,$FR31=0),UPPER(LEFT(INDEX($GA31:$GG31,1,$DY31),1))&amp;MID(INDEX($GA31:$GG31,1,$DY31),2,99),UPPER(LEFT(INDEX($GA31:$GG31,1,$DY31),1))&amp;MID(INDEX($GA31:$GG31,1,$DY31),2,99)&amp;" = "&amp;FLOOR($FR31*4.5,1)&amp;IF($FS31&gt;0," · +"&amp;$FS31&amp;"d8","")))</f>
        <v/>
      </c>
      <c r="GR31" s="152">
        <f>COUNTIF($EB31:$EE31,"Longe")+3*COUNTIF($EB31:$EE31,"Muito Longe")</f>
        <v/>
      </c>
      <c r="GS31" s="152">
        <f>COUNTIF($EB31:$EE31,"Maior")+3*COUNTIF($EB31:$EE31,"Muito Maior")</f>
        <v/>
      </c>
      <c r="GT31" s="152">
        <f>IF($EI31=0,0,CHOOSE(1+INDEX($AH$2:$AH$11,$EI31),0,$GR31,$GS31,$GR31+$GS31))</f>
        <v/>
      </c>
      <c r="GU31" s="152">
        <f>IF($EI31=0,0,CHOOSE(1+INDEX($AI$2:$AI$11,$EI31),0,$GR31,$GS31,$GR31+$GS31))</f>
        <v/>
      </c>
      <c r="GV31" s="152">
        <f>IF(OR($EH31=0,$EI31=0),"",INDEX($AP$2:$AU$31,($EI31-1)*3+IF($DY31&gt;=6,3,2),1+MIN(5,$GT31))&amp;INDEX($AV$2:$BA$31,($EI31-1)*3+IF($DY31&gt;=6,3,2),1+MIN(5,$GU31))&amp;IF(INDEX($AJ$2:$AJ$11,$EI31)=1,IF(COUNTIF($EB31:$EE31,"Mais Um")&gt;0," · +"&amp;COUNTIF($EB31:$EE31,"Mais Um")&amp;IF(COUNTIF($EB31:$EE31,"Mais Um")&gt;1," alvos"," alvo"),"")&amp;IF(COUNTIF($EB31:$EE31,"Rajada")&gt;0," · "&amp;($DY31+1)&amp;" tiros",""),""))</f>
        <v/>
      </c>
      <c r="GW31" s="152">
        <f>IF($EH31=0,"",3*$DY31&amp;" − "&amp;$FL31&amp;" + "&amp;$FO31&amp;IF($DW31=1," + "&amp;$DY31,"")&amp;" = "&amp;$FR31&amp;"d8 · teto "&amp;4*$DY31&amp;IF($EU31=1," · a Forma devolve "&amp;$DY31,"")&amp;IF($FP31&gt;0," · perde "&amp;$FP31,""))</f>
        <v/>
      </c>
      <c r="GX31" s="152">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52">
        <f>IF(OR($EH31=0,$EK31=0),"","−"&amp;INDEX($Q$2:$V$8,$DY31,$EK31)&amp;" · "&amp;CHOOSE($EK31,"Leve","Média","Pesada","Leve · Livre","Média · Livre","Pesada · Livre"))</f>
        <v/>
      </c>
      <c r="GZ31" s="152">
        <f>IF(OR($EH31=0,$EL31=0),"","−"&amp;INDEX($Q$2:$V$8,$DY31,$EL31)&amp;" · "&amp;CHOOSE($EL31,"Leve","Média","Pesada","Leve · Livre","Média · Livre","Pesada · Livre"))</f>
        <v/>
      </c>
      <c r="HA31" s="152">
        <f>IF(OR($EH31=0,$EM31=0),"","−"&amp;INDEX($Q$2:$V$8,$DY31,$EM31)&amp;" · "&amp;CHOOSE($EM31,"Leve","Média","Pesada","Leve · Livre","Média · Livre","Pesada · Livre"))</f>
        <v/>
      </c>
      <c r="HB31" s="152">
        <f>IF(OR($EH31=0,$EN31=0),"","−"&amp;INDEX($Q$2:$V$8,$DY31,$EN31)&amp;" · "&amp;CHOOSE($EN31,"Leve","Média","Pesada","Leve · Livre","Média · Livre","Pesada · Livre"))</f>
        <v/>
      </c>
      <c r="HC31" s="152">
        <f>IF(OR($EH31=0,$EF31=""),"","+"&amp;IF($EX31=1,CEILING($DY31/2,1),$DY31))</f>
        <v/>
      </c>
      <c r="HD31" s="152">
        <f>IF(OR($EH31=0,$EG31=""),"","+"&amp;IF($EY31=1,CEILING($DY31/2,1),$DY31))</f>
        <v/>
      </c>
      <c r="HE31" s="152">
        <f>'FICHA AMALDIÇOADA'!$P$246&amp;""</f>
        <v/>
      </c>
      <c r="HF31" s="152">
        <f>IF(AND($EH31=1,$DW31=0),COUNTIFS($EH$2:$EH31,1,$DW$2:$DW31,0),"")</f>
        <v/>
      </c>
      <c r="HH31" s="150" t="inlineStr">
        <is>
          <t>famílias fechadas</t>
        </is>
      </c>
      <c r="HI31" s="152">
        <f>COUNTIF($J$2:$J$10,"Fechada")</f>
        <v/>
      </c>
      <c r="JD31" s="152" t="n">
        <v>30</v>
      </c>
      <c r="JE31" s="152">
        <f>IFERROR(MATCH(30,$HF$2:$HF$37,0),0)</f>
        <v/>
      </c>
      <c r="JF31" s="152">
        <f>IF($JE31=0,"",INDEX($DY$2:$DY$37,$JE31))</f>
        <v/>
      </c>
      <c r="JG31" s="152">
        <f>IF($JE31=0,"",INDEX($DZ$2:$DZ$37,$JE31))</f>
        <v/>
      </c>
      <c r="JH31" s="152">
        <f>IF($JE31=0,"",INDEX($GN$2:$GN$37,$JE31))</f>
        <v/>
      </c>
      <c r="JI31" s="152">
        <f>IF($JE31=0,"",INDEX($EA$2:$EA$37,$JE31))</f>
        <v/>
      </c>
      <c r="JJ31" s="152">
        <f>IF($JE31=0,"",INDEX($GP$2:$GP$37,$JE31))</f>
        <v/>
      </c>
      <c r="JK31" s="152">
        <f>IF($JE31=0,"",INDEX($HE$2:$HE$37,$JE31))</f>
        <v/>
      </c>
      <c r="KQ31" s="150" t="inlineStr">
        <is>
          <t>P46</t>
        </is>
      </c>
      <c r="KR31" s="152">
        <f>DADOS_AM!$HI$10&amp;" feitiços grátis · "&amp;DADOS_AM!$HI$11&amp;"d8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CC32" s="150" t="inlineStr">
        <is>
          <t>Bênção Própria (CE 1)</t>
        </is>
      </c>
      <c r="CD32" s="150" t="inlineStr">
        <is>
          <t>Uma por personagem</t>
        </is>
      </c>
      <c r="CE32" s="152" t="n">
        <v>1</v>
      </c>
      <c r="CF32" s="150" t="inlineStr">
        <is>
          <t>—</t>
        </is>
      </c>
      <c r="CG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52">
        <f>IF($CK32=1,"",IF($A$2=4,IF($CI32=1,$CC32,""),IF(OR($CI32=1,AND($A$2=3,$CJ32=1)),"",$CC32)))</f>
        <v/>
      </c>
      <c r="CI32" s="152" t="n">
        <v>1</v>
      </c>
      <c r="CJ32" s="152" t="n">
        <v>0</v>
      </c>
      <c r="CK32" s="152" t="n">
        <v>0</v>
      </c>
      <c r="CL32" s="150" t="inlineStr">
        <is>
          <t>Você pode desenvolver uma Bênção Própria por personagem, de Categoria de Efeito 1 ou 2.</t>
        </is>
      </c>
      <c r="DV32" s="150" t="inlineStr">
        <is>
          <t>Feitiço 31</t>
        </is>
      </c>
      <c r="DW32" s="152" t="n">
        <v>0</v>
      </c>
      <c r="DX32" s="152" t="n">
        <v>31</v>
      </c>
      <c r="DY32" s="152">
        <f>MAX(1,MIN(7,N('FICHA AMALDIÇOADA'!$D$265)))</f>
        <v/>
      </c>
      <c r="DZ32" s="152">
        <f>'FICHA AMALDIÇOADA'!$E$265&amp;""</f>
        <v/>
      </c>
      <c r="EA32" s="152">
        <f>'FICHA AMALDIÇOADA'!$D$272&amp;""</f>
        <v/>
      </c>
      <c r="EB32" s="152">
        <f>'FICHA AMALDIÇOADA'!$E$274&amp;""</f>
        <v/>
      </c>
      <c r="EC32" s="152">
        <f>'FICHA AMALDIÇOADA'!$E$275&amp;""</f>
        <v/>
      </c>
      <c r="ED32" s="152">
        <f>'FICHA AMALDIÇOADA'!$E$276&amp;""</f>
        <v/>
      </c>
      <c r="EE32" s="152">
        <f>'FICHA AMALDIÇOADA'!$E$277&amp;""</f>
        <v/>
      </c>
      <c r="EF32" s="152">
        <f>'FICHA AMALDIÇOADA'!$E$278&amp;""</f>
        <v/>
      </c>
      <c r="EG32" s="152">
        <f>'FICHA AMALDIÇOADA'!$E$279&amp;""</f>
        <v/>
      </c>
      <c r="EH32" s="152">
        <f>IF($DZ32&lt;&gt;"",1,0)</f>
        <v/>
      </c>
      <c r="EI32" s="152">
        <f>IFERROR(MATCH($EA32,$Y$2:$Y$11,0),0)</f>
        <v/>
      </c>
      <c r="EJ32" s="152">
        <f>IF($EI32=0,0,INDEX($AB$2:$AB$11,$EI32))</f>
        <v/>
      </c>
      <c r="EK32" s="152">
        <f>IFERROR(VLOOKUP($EB32,$BC$2:$BJ$84,4,FALSE),0)</f>
        <v/>
      </c>
      <c r="EL32" s="152">
        <f>IFERROR(VLOOKUP($EC32,$BC$2:$BJ$84,4,FALSE),0)</f>
        <v/>
      </c>
      <c r="EM32" s="152">
        <f>IFERROR(VLOOKUP($ED32,$BC$2:$BJ$84,4,FALSE),0)</f>
        <v/>
      </c>
      <c r="EN32" s="152">
        <f>IFERROR(VLOOKUP($EE32,$BC$2:$BJ$84,4,FALSE),0)</f>
        <v/>
      </c>
      <c r="EO32" s="152">
        <f>IF($EI32=0,0,INDEX($AC$2:$AC$11,$EI32))</f>
        <v/>
      </c>
      <c r="EP32" s="152">
        <f>IFERROR(VLOOKUP($EB32,$BC$2:$BJ$84,5,FALSE),0)</f>
        <v/>
      </c>
      <c r="EQ32" s="152">
        <f>IFERROR(VLOOKUP($EC32,$BC$2:$BJ$84,5,FALSE),0)</f>
        <v/>
      </c>
      <c r="ER32" s="152">
        <f>IFERROR(VLOOKUP($ED32,$BC$2:$BJ$84,5,FALSE),0)</f>
        <v/>
      </c>
      <c r="ES32" s="152">
        <f>IFERROR(VLOOKUP($EE32,$BC$2:$BJ$84,5,FALSE),0)</f>
        <v/>
      </c>
      <c r="ET32" s="152">
        <f>IFERROR(VLOOKUP($EB32,$BC$2:$BJ$84,6,FALSE),0)+IFERROR(VLOOKUP($EC32,$BC$2:$BJ$84,6,FALSE),0)+IFERROR(VLOOKUP($ED32,$BC$2:$BJ$84,6,FALSE),0)+IFERROR(VLOOKUP($EE32,$BC$2:$BJ$84,6,FALSE),0)</f>
        <v/>
      </c>
      <c r="EU32" s="152">
        <f>IF($EI32=0,0,INDEX($AD$2:$AD$11,$EI32))</f>
        <v/>
      </c>
      <c r="EV32" s="152">
        <f>IF($EI32=0,0,INDEX($AE$2:$AE$11,$EI32))</f>
        <v/>
      </c>
      <c r="EW32" s="152">
        <f>IF($EI32=0,0,INDEX($AG$2:$AG$11,$EI32))</f>
        <v/>
      </c>
      <c r="EX32" s="152">
        <f>IFERROR(VLOOKUP($EF32,$BL$2:$BP$24,3,FALSE),0)</f>
        <v/>
      </c>
      <c r="EY32" s="152">
        <f>IFERROR(VLOOKUP($EG32,$BL$2:$BP$24,3,FALSE),0)</f>
        <v/>
      </c>
      <c r="EZ32" s="152">
        <f>IFERROR(VLOOKUP($EF32,$BL$2:$BP$24,2,FALSE),"")</f>
        <v/>
      </c>
      <c r="FA32" s="152">
        <f>IFERROR(VLOOKUP($EG32,$BL$2:$BP$24,2,FALSE),"")</f>
        <v/>
      </c>
      <c r="FB32" s="152">
        <f>COUNTIF($EJ32:$EN32,1)</f>
        <v/>
      </c>
      <c r="FC32" s="152">
        <f>COUNTIF($EJ32:$EN32,2)</f>
        <v/>
      </c>
      <c r="FD32" s="152">
        <f>COUNTIF($EJ32:$EN32,3)</f>
        <v/>
      </c>
      <c r="FE32" s="152">
        <f>COUNTIF($EJ32:$EN32,4)</f>
        <v/>
      </c>
      <c r="FF32" s="152">
        <f>COUNTIF($EJ32:$EN32,5)</f>
        <v/>
      </c>
      <c r="FG32" s="152">
        <f>COUNTIF($EJ32:$EN32,6)</f>
        <v/>
      </c>
      <c r="FH32" s="152">
        <f>COUNTIF($EX32:$EY32,1)</f>
        <v/>
      </c>
      <c r="FI32" s="152">
        <f>COUNTIF($EX32:$EY32,2)+$EU32</f>
        <v/>
      </c>
      <c r="FJ32" s="152">
        <f>COUNTIF($EB32:$EE32,"?*")</f>
        <v/>
      </c>
      <c r="FK32" s="152">
        <f>COUNTIF($EF32:$EG32,"?*")+$EU32</f>
        <v/>
      </c>
      <c r="FL32" s="152">
        <f>SUMPRODUCT($FB32:$FG32,INDEX($Q$2:$V$8,$DY32,0))</f>
        <v/>
      </c>
      <c r="FM32" s="152">
        <f>$FH32*CEILING($DY32/2,1)+$FI32*$DY32</f>
        <v/>
      </c>
      <c r="FN32" s="152">
        <f>MIN(2*$DY32,$FM32)</f>
        <v/>
      </c>
      <c r="FO32" s="152">
        <f>MIN($FN32,$FL32)</f>
        <v/>
      </c>
      <c r="FP32" s="152">
        <f>$FN32-$FO32</f>
        <v/>
      </c>
      <c r="FQ32" s="152">
        <f>3*$DY32-$FL32+$FO32</f>
        <v/>
      </c>
      <c r="FR32" s="152">
        <f>MAX(0,$FQ32)+$DW32*$DY32</f>
        <v/>
      </c>
      <c r="FS32" s="152">
        <f>(IF(COUNTIF($EB32:$EE32,"Salto")&gt;0,1,0)+IF(COUNTIF($EB32:$EE32,"Queima")&gt;0,1,0)+IF(COUNTIF($EB32:$EE32,"Estilhaço")&gt;0,1,0))*FLOOR($FR32/2,1)</f>
        <v/>
      </c>
      <c r="FT32" s="152">
        <f>MAX(0,3-SUMPRODUCT($FB32:$FG32,$Q$2:$V$2)+MIN(2,$FH32*1+$FI32*1,SUMPRODUCT($FB32:$FG32,$Q$2:$V$2)))+$DW32*1</f>
        <v/>
      </c>
      <c r="FU32" s="152">
        <f>MAX(0,6-SUMPRODUCT($FB32:$FG32,$Q$3:$V$3)+MIN(4,$FH32*1+$FI32*2,SUMPRODUCT($FB32:$FG32,$Q$3:$V$3)))+$DW32*2</f>
        <v/>
      </c>
      <c r="FV32" s="152">
        <f>MAX(0,9-SUMPRODUCT($FB32:$FG32,$Q$4:$V$4)+MIN(6,$FH32*2+$FI32*3,SUMPRODUCT($FB32:$FG32,$Q$4:$V$4)))+$DW32*3</f>
        <v/>
      </c>
      <c r="FW32" s="152">
        <f>MAX(0,12-SUMPRODUCT($FB32:$FG32,$Q$5:$V$5)+MIN(8,$FH32*2+$FI32*4,SUMPRODUCT($FB32:$FG32,$Q$5:$V$5)))+$DW32*4</f>
        <v/>
      </c>
      <c r="FX32" s="152">
        <f>MAX(0,15-SUMPRODUCT($FB32:$FG32,$Q$6:$V$6)+MIN(10,$FH32*3+$FI32*5,SUMPRODUCT($FB32:$FG32,$Q$6:$V$6)))+$DW32*5</f>
        <v/>
      </c>
      <c r="FY32" s="152">
        <f>MAX(0,18-SUMPRODUCT($FB32:$FG32,$Q$7:$V$7)+MIN(12,$FH32*3+$FI32*6,SUMPRODUCT($FB32:$FG32,$Q$7:$V$7)))+$DW32*6</f>
        <v/>
      </c>
      <c r="FZ32" s="152">
        <f>MAX(0,21-SUMPRODUCT($FB32:$FG32,$Q$8:$V$8)+MIN(14,$FH32*4+$FI32*7,SUMPRODUCT($FB32:$FG32,$Q$8:$V$8)))+$DW32*7</f>
        <v/>
      </c>
      <c r="GA32" s="152">
        <f>IF($EV32=2,3*$FT32&amp;" de vida temp.",IF($EV32=3,"sem dano",IF($FT32=0,IF($EV32=1,"sem cura","sem dano"),IF($EV32=1,"cura ","")&amp;$FT32&amp;"d8")))</f>
        <v/>
      </c>
      <c r="GB32" s="152">
        <f>IF($EV32=2,3*$FU32&amp;" de vida temp.",IF($EV32=3,"sem dano",IF($FU32=0,IF($EV32=1,"sem cura","sem dano"),IF($EV32=1,"cura ","")&amp;$FU32&amp;"d8")))</f>
        <v/>
      </c>
      <c r="GC32" s="152">
        <f>IF($EV32=2,3*$FV32&amp;" de vida temp.",IF($EV32=3,"sem dano",IF($FV32=0,IF($EV32=1,"sem cura","sem dano"),IF($EV32=1,"cura ","")&amp;$FV32&amp;"d8")))</f>
        <v/>
      </c>
      <c r="GD32" s="152">
        <f>IF($EV32=2,3*$FW32&amp;" de vida temp.",IF($EV32=3,"sem dano",IF($FW32=0,IF($EV32=1,"sem cura","sem dano"),IF($EV32=1,"cura ","")&amp;$FW32&amp;"d8")))</f>
        <v/>
      </c>
      <c r="GE32" s="152">
        <f>IF($EV32=2,3*$FX32&amp;" de vida temp.",IF($EV32=3,"sem dano",IF($FX32=0,IF($EV32=1,"sem cura","sem dano"),IF($EV32=1,"cura ","")&amp;$FX32&amp;"d8")))</f>
        <v/>
      </c>
      <c r="GF32" s="152">
        <f>IF($EV32=2,3*$FY32&amp;" de vida temp.",IF($EV32=3,"sem dano",IF($FY32=0,IF($EV32=1,"sem cura","sem dano"),IF($EV32=1,"cura ","")&amp;$FY32&amp;"d8")))</f>
        <v/>
      </c>
      <c r="GG32" s="152">
        <f>IF($EV32=2,3*$FZ32&amp;" de vida temp.",IF($EV32=3,"sem dano",IF($FZ32=0,IF($EV32=1,"sem cura","sem dano"),IF($EV32=1,"cura ","")&amp;$FZ32&amp;"d8")))</f>
        <v/>
      </c>
      <c r="GH32" s="152">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52">
        <f>IF($GH32="",0,(LEN($GH32)-LEN(SUBSTITUTE($GH32," · ","")))/3+1)</f>
        <v/>
      </c>
      <c r="GJ32" s="152">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52">
        <f>IF($GJ32="",0,(LEN($GJ32)-LEN(SUBSTITUTE($GJ32," · ","")))/3+1)</f>
        <v/>
      </c>
      <c r="GL32" s="152">
        <f>IF($EH32=0,IF($FJ32+$FK32-$EU32&gt;0,"Dê um nome",""),IF($GI32&gt;0,"⚠ "&amp;$GI32&amp;IF($GI32&gt;1," erros"," erro"),IF($GK32&gt;0,"! "&amp;$GK32&amp;IF($GK32&gt;1," avisos"," aviso"),"Na regra")))</f>
        <v/>
      </c>
      <c r="GM32" s="152">
        <f>IF($EH32=0,"",IF($GI32+$GK32=0,"Dentro das regras que a ficha confere",$GH32&amp;IF(AND($GI32&gt;0,$GK32&gt;0)," · ","")&amp;$GJ32))</f>
        <v/>
      </c>
      <c r="GN32" s="152">
        <f>IF($EH32=0,"",IF($DW32=1,CEILING(4.5*$DY32,1),3*$DY32)&amp;" PE")</f>
        <v/>
      </c>
      <c r="GO32" s="152">
        <f>IF($EH32=0,"",IF($DW32=1,"Rodada inteira",IF(COUNTIF($EZ32:$FA32,"Atrasar")&gt;0,IF(COUNTIF($EZ32:$FA32,"Carregar")&gt;0,"Rodada +1 turno","Rodada inteira"),IF(COUNTIF($EB32:$EE32,"Rápido")&gt;0,"Bônus",IF(COUNTIF($EB32:$EE32,"Reação")&gt;0,"Reação","Padrão"))&amp;IF(COUNTIF($EZ32:$FA32,"Carregar")&gt;0," +1 turno",""))))</f>
        <v/>
      </c>
      <c r="GP32" s="152">
        <f>IF(OR($EH32=0,$EI32=0),"",IF(COUNTIF($EB32:$EE32,"Inescapável")&gt;0,"Automático",IF(COUNTIF($EB32:$EE32,"Certeiro")&gt;0,"TR para metade",INDEX($AF$2:$AF$11,$EI32))))</f>
        <v/>
      </c>
      <c r="GQ32" s="152">
        <f>IF(OR($EH32=0,$EI32=0),"",IF(OR($EV32&gt;=2,$FR32=0),UPPER(LEFT(INDEX($GA32:$GG32,1,$DY32),1))&amp;MID(INDEX($GA32:$GG32,1,$DY32),2,99),UPPER(LEFT(INDEX($GA32:$GG32,1,$DY32),1))&amp;MID(INDEX($GA32:$GG32,1,$DY32),2,99)&amp;" = "&amp;FLOOR($FR32*4.5,1)&amp;IF($FS32&gt;0," · +"&amp;$FS32&amp;"d8","")))</f>
        <v/>
      </c>
      <c r="GR32" s="152">
        <f>COUNTIF($EB32:$EE32,"Longe")+3*COUNTIF($EB32:$EE32,"Muito Longe")</f>
        <v/>
      </c>
      <c r="GS32" s="152">
        <f>COUNTIF($EB32:$EE32,"Maior")+3*COUNTIF($EB32:$EE32,"Muito Maior")</f>
        <v/>
      </c>
      <c r="GT32" s="152">
        <f>IF($EI32=0,0,CHOOSE(1+INDEX($AH$2:$AH$11,$EI32),0,$GR32,$GS32,$GR32+$GS32))</f>
        <v/>
      </c>
      <c r="GU32" s="152">
        <f>IF($EI32=0,0,CHOOSE(1+INDEX($AI$2:$AI$11,$EI32),0,$GR32,$GS32,$GR32+$GS32))</f>
        <v/>
      </c>
      <c r="GV32" s="152">
        <f>IF(OR($EH32=0,$EI32=0),"",INDEX($AP$2:$AU$31,($EI32-1)*3+IF($DY32&gt;=6,3,2),1+MIN(5,$GT32))&amp;INDEX($AV$2:$BA$31,($EI32-1)*3+IF($DY32&gt;=6,3,2),1+MIN(5,$GU32))&amp;IF(INDEX($AJ$2:$AJ$11,$EI32)=1,IF(COUNTIF($EB32:$EE32,"Mais Um")&gt;0," · +"&amp;COUNTIF($EB32:$EE32,"Mais Um")&amp;IF(COUNTIF($EB32:$EE32,"Mais Um")&gt;1," alvos"," alvo"),"")&amp;IF(COUNTIF($EB32:$EE32,"Rajada")&gt;0," · "&amp;($DY32+1)&amp;" tiros",""),""))</f>
        <v/>
      </c>
      <c r="GW32" s="152">
        <f>IF($EH32=0,"",3*$DY32&amp;" − "&amp;$FL32&amp;" + "&amp;$FO32&amp;IF($DW32=1," + "&amp;$DY32,"")&amp;" = "&amp;$FR32&amp;"d8 · teto "&amp;4*$DY32&amp;IF($EU32=1," · a Forma devolve "&amp;$DY32,"")&amp;IF($FP32&gt;0," · perde "&amp;$FP32,""))</f>
        <v/>
      </c>
      <c r="GX32" s="152">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52">
        <f>IF(OR($EH32=0,$EK32=0),"","−"&amp;INDEX($Q$2:$V$8,$DY32,$EK32)&amp;" · "&amp;CHOOSE($EK32,"Leve","Média","Pesada","Leve · Livre","Média · Livre","Pesada · Livre"))</f>
        <v/>
      </c>
      <c r="GZ32" s="152">
        <f>IF(OR($EH32=0,$EL32=0),"","−"&amp;INDEX($Q$2:$V$8,$DY32,$EL32)&amp;" · "&amp;CHOOSE($EL32,"Leve","Média","Pesada","Leve · Livre","Média · Livre","Pesada · Livre"))</f>
        <v/>
      </c>
      <c r="HA32" s="152">
        <f>IF(OR($EH32=0,$EM32=0),"","−"&amp;INDEX($Q$2:$V$8,$DY32,$EM32)&amp;" · "&amp;CHOOSE($EM32,"Leve","Média","Pesada","Leve · Livre","Média · Livre","Pesada · Livre"))</f>
        <v/>
      </c>
      <c r="HB32" s="152">
        <f>IF(OR($EH32=0,$EN32=0),"","−"&amp;INDEX($Q$2:$V$8,$DY32,$EN32)&amp;" · "&amp;CHOOSE($EN32,"Leve","Média","Pesada","Leve · Livre","Média · Livre","Pesada · Livre"))</f>
        <v/>
      </c>
      <c r="HC32" s="152">
        <f>IF(OR($EH32=0,$EF32=""),"","+"&amp;IF($EX32=1,CEILING($DY32/2,1),$DY32))</f>
        <v/>
      </c>
      <c r="HD32" s="152">
        <f>IF(OR($EH32=0,$EG32=""),"","+"&amp;IF($EY32=1,CEILING($DY32/2,1),$DY32))</f>
        <v/>
      </c>
      <c r="HE32" s="152">
        <f>'FICHA AMALDIÇOADA'!$D$267&amp;""</f>
        <v/>
      </c>
      <c r="HF32" s="152">
        <f>IF(AND($EH32=1,$DW32=0),COUNTIFS($EH$2:$EH32,1,$DW$2:$DW32,0),"")</f>
        <v/>
      </c>
      <c r="HH32" s="150" t="inlineStr">
        <is>
          <t>metade do refino</t>
        </is>
      </c>
      <c r="HI32" s="152">
        <f>MAX(1,FLOOR($HI$6/2,1))</f>
        <v/>
      </c>
      <c r="JD32" s="152" t="n">
        <v>31</v>
      </c>
      <c r="JE32" s="152">
        <f>IFERROR(MATCH(31,$HF$2:$HF$37,0),0)</f>
        <v/>
      </c>
      <c r="JF32" s="152">
        <f>IF($JE32=0,"",INDEX($DY$2:$DY$37,$JE32))</f>
        <v/>
      </c>
      <c r="JG32" s="152">
        <f>IF($JE32=0,"",INDEX($DZ$2:$DZ$37,$JE32))</f>
        <v/>
      </c>
      <c r="JH32" s="152">
        <f>IF($JE32=0,"",INDEX($GN$2:$GN$37,$JE32))</f>
        <v/>
      </c>
      <c r="JI32" s="152">
        <f>IF($JE32=0,"",INDEX($EA$2:$EA$37,$JE32))</f>
        <v/>
      </c>
      <c r="JJ32" s="152">
        <f>IF($JE32=0,"",INDEX($GP$2:$GP$37,$JE32))</f>
        <v/>
      </c>
      <c r="JK32" s="152">
        <f>IF($JE32=0,"",INDEX($HE$2:$HE$37,$JE32))</f>
        <v/>
      </c>
      <c r="KQ32" s="150" t="inlineStr">
        <is>
          <t>D48</t>
        </is>
      </c>
      <c r="KR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CC33" s="150" t="inlineStr">
        <is>
          <t>Bênção Própria (CE 2)</t>
        </is>
      </c>
      <c r="CD33" s="150" t="inlineStr">
        <is>
          <t>Uma por personagem</t>
        </is>
      </c>
      <c r="CE33" s="152" t="n">
        <v>2</v>
      </c>
      <c r="CF33" s="150" t="inlineStr">
        <is>
          <t>—</t>
        </is>
      </c>
      <c r="CG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52">
        <f>IF($CK33=1,"",IF($A$2=4,IF($CI33=1,$CC33,""),IF(OR($CI33=1,AND($A$2=3,$CJ33=1)),"",$CC33)))</f>
        <v/>
      </c>
      <c r="CI33" s="152" t="n">
        <v>1</v>
      </c>
      <c r="CJ33" s="152" t="n">
        <v>0</v>
      </c>
      <c r="CK33" s="152" t="n">
        <v>0</v>
      </c>
      <c r="CL33" s="150" t="inlineStr">
        <is>
          <t>Você pode desenvolver uma Bênção Própria por personagem, de Categoria de Efeito 1 ou 2.</t>
        </is>
      </c>
      <c r="DV33" s="150" t="inlineStr">
        <is>
          <t>Feitiço 32</t>
        </is>
      </c>
      <c r="DW33" s="152" t="n">
        <v>0</v>
      </c>
      <c r="DX33" s="152" t="n">
        <v>32</v>
      </c>
      <c r="DY33" s="152">
        <f>MAX(1,MIN(7,N('FICHA AMALDIÇOADA'!$J$265)))</f>
        <v/>
      </c>
      <c r="DZ33" s="152">
        <f>'FICHA AMALDIÇOADA'!$K$265&amp;""</f>
        <v/>
      </c>
      <c r="EA33" s="152">
        <f>'FICHA AMALDIÇOADA'!$J$272&amp;""</f>
        <v/>
      </c>
      <c r="EB33" s="152">
        <f>'FICHA AMALDIÇOADA'!$K$274&amp;""</f>
        <v/>
      </c>
      <c r="EC33" s="152">
        <f>'FICHA AMALDIÇOADA'!$K$275&amp;""</f>
        <v/>
      </c>
      <c r="ED33" s="152">
        <f>'FICHA AMALDIÇOADA'!$K$276&amp;""</f>
        <v/>
      </c>
      <c r="EE33" s="152">
        <f>'FICHA AMALDIÇOADA'!$K$277&amp;""</f>
        <v/>
      </c>
      <c r="EF33" s="152">
        <f>'FICHA AMALDIÇOADA'!$K$278&amp;""</f>
        <v/>
      </c>
      <c r="EG33" s="152">
        <f>'FICHA AMALDIÇOADA'!$K$279&amp;""</f>
        <v/>
      </c>
      <c r="EH33" s="152">
        <f>IF($DZ33&lt;&gt;"",1,0)</f>
        <v/>
      </c>
      <c r="EI33" s="152">
        <f>IFERROR(MATCH($EA33,$Y$2:$Y$11,0),0)</f>
        <v/>
      </c>
      <c r="EJ33" s="152">
        <f>IF($EI33=0,0,INDEX($AB$2:$AB$11,$EI33))</f>
        <v/>
      </c>
      <c r="EK33" s="152">
        <f>IFERROR(VLOOKUP($EB33,$BC$2:$BJ$84,4,FALSE),0)</f>
        <v/>
      </c>
      <c r="EL33" s="152">
        <f>IFERROR(VLOOKUP($EC33,$BC$2:$BJ$84,4,FALSE),0)</f>
        <v/>
      </c>
      <c r="EM33" s="152">
        <f>IFERROR(VLOOKUP($ED33,$BC$2:$BJ$84,4,FALSE),0)</f>
        <v/>
      </c>
      <c r="EN33" s="152">
        <f>IFERROR(VLOOKUP($EE33,$BC$2:$BJ$84,4,FALSE),0)</f>
        <v/>
      </c>
      <c r="EO33" s="152">
        <f>IF($EI33=0,0,INDEX($AC$2:$AC$11,$EI33))</f>
        <v/>
      </c>
      <c r="EP33" s="152">
        <f>IFERROR(VLOOKUP($EB33,$BC$2:$BJ$84,5,FALSE),0)</f>
        <v/>
      </c>
      <c r="EQ33" s="152">
        <f>IFERROR(VLOOKUP($EC33,$BC$2:$BJ$84,5,FALSE),0)</f>
        <v/>
      </c>
      <c r="ER33" s="152">
        <f>IFERROR(VLOOKUP($ED33,$BC$2:$BJ$84,5,FALSE),0)</f>
        <v/>
      </c>
      <c r="ES33" s="152">
        <f>IFERROR(VLOOKUP($EE33,$BC$2:$BJ$84,5,FALSE),0)</f>
        <v/>
      </c>
      <c r="ET33" s="152">
        <f>IFERROR(VLOOKUP($EB33,$BC$2:$BJ$84,6,FALSE),0)+IFERROR(VLOOKUP($EC33,$BC$2:$BJ$84,6,FALSE),0)+IFERROR(VLOOKUP($ED33,$BC$2:$BJ$84,6,FALSE),0)+IFERROR(VLOOKUP($EE33,$BC$2:$BJ$84,6,FALSE),0)</f>
        <v/>
      </c>
      <c r="EU33" s="152">
        <f>IF($EI33=0,0,INDEX($AD$2:$AD$11,$EI33))</f>
        <v/>
      </c>
      <c r="EV33" s="152">
        <f>IF($EI33=0,0,INDEX($AE$2:$AE$11,$EI33))</f>
        <v/>
      </c>
      <c r="EW33" s="152">
        <f>IF($EI33=0,0,INDEX($AG$2:$AG$11,$EI33))</f>
        <v/>
      </c>
      <c r="EX33" s="152">
        <f>IFERROR(VLOOKUP($EF33,$BL$2:$BP$24,3,FALSE),0)</f>
        <v/>
      </c>
      <c r="EY33" s="152">
        <f>IFERROR(VLOOKUP($EG33,$BL$2:$BP$24,3,FALSE),0)</f>
        <v/>
      </c>
      <c r="EZ33" s="152">
        <f>IFERROR(VLOOKUP($EF33,$BL$2:$BP$24,2,FALSE),"")</f>
        <v/>
      </c>
      <c r="FA33" s="152">
        <f>IFERROR(VLOOKUP($EG33,$BL$2:$BP$24,2,FALSE),"")</f>
        <v/>
      </c>
      <c r="FB33" s="152">
        <f>COUNTIF($EJ33:$EN33,1)</f>
        <v/>
      </c>
      <c r="FC33" s="152">
        <f>COUNTIF($EJ33:$EN33,2)</f>
        <v/>
      </c>
      <c r="FD33" s="152">
        <f>COUNTIF($EJ33:$EN33,3)</f>
        <v/>
      </c>
      <c r="FE33" s="152">
        <f>COUNTIF($EJ33:$EN33,4)</f>
        <v/>
      </c>
      <c r="FF33" s="152">
        <f>COUNTIF($EJ33:$EN33,5)</f>
        <v/>
      </c>
      <c r="FG33" s="152">
        <f>COUNTIF($EJ33:$EN33,6)</f>
        <v/>
      </c>
      <c r="FH33" s="152">
        <f>COUNTIF($EX33:$EY33,1)</f>
        <v/>
      </c>
      <c r="FI33" s="152">
        <f>COUNTIF($EX33:$EY33,2)+$EU33</f>
        <v/>
      </c>
      <c r="FJ33" s="152">
        <f>COUNTIF($EB33:$EE33,"?*")</f>
        <v/>
      </c>
      <c r="FK33" s="152">
        <f>COUNTIF($EF33:$EG33,"?*")+$EU33</f>
        <v/>
      </c>
      <c r="FL33" s="152">
        <f>SUMPRODUCT($FB33:$FG33,INDEX($Q$2:$V$8,$DY33,0))</f>
        <v/>
      </c>
      <c r="FM33" s="152">
        <f>$FH33*CEILING($DY33/2,1)+$FI33*$DY33</f>
        <v/>
      </c>
      <c r="FN33" s="152">
        <f>MIN(2*$DY33,$FM33)</f>
        <v/>
      </c>
      <c r="FO33" s="152">
        <f>MIN($FN33,$FL33)</f>
        <v/>
      </c>
      <c r="FP33" s="152">
        <f>$FN33-$FO33</f>
        <v/>
      </c>
      <c r="FQ33" s="152">
        <f>3*$DY33-$FL33+$FO33</f>
        <v/>
      </c>
      <c r="FR33" s="152">
        <f>MAX(0,$FQ33)+$DW33*$DY33</f>
        <v/>
      </c>
      <c r="FS33" s="152">
        <f>(IF(COUNTIF($EB33:$EE33,"Salto")&gt;0,1,0)+IF(COUNTIF($EB33:$EE33,"Queima")&gt;0,1,0)+IF(COUNTIF($EB33:$EE33,"Estilhaço")&gt;0,1,0))*FLOOR($FR33/2,1)</f>
        <v/>
      </c>
      <c r="FT33" s="152">
        <f>MAX(0,3-SUMPRODUCT($FB33:$FG33,$Q$2:$V$2)+MIN(2,$FH33*1+$FI33*1,SUMPRODUCT($FB33:$FG33,$Q$2:$V$2)))+$DW33*1</f>
        <v/>
      </c>
      <c r="FU33" s="152">
        <f>MAX(0,6-SUMPRODUCT($FB33:$FG33,$Q$3:$V$3)+MIN(4,$FH33*1+$FI33*2,SUMPRODUCT($FB33:$FG33,$Q$3:$V$3)))+$DW33*2</f>
        <v/>
      </c>
      <c r="FV33" s="152">
        <f>MAX(0,9-SUMPRODUCT($FB33:$FG33,$Q$4:$V$4)+MIN(6,$FH33*2+$FI33*3,SUMPRODUCT($FB33:$FG33,$Q$4:$V$4)))+$DW33*3</f>
        <v/>
      </c>
      <c r="FW33" s="152">
        <f>MAX(0,12-SUMPRODUCT($FB33:$FG33,$Q$5:$V$5)+MIN(8,$FH33*2+$FI33*4,SUMPRODUCT($FB33:$FG33,$Q$5:$V$5)))+$DW33*4</f>
        <v/>
      </c>
      <c r="FX33" s="152">
        <f>MAX(0,15-SUMPRODUCT($FB33:$FG33,$Q$6:$V$6)+MIN(10,$FH33*3+$FI33*5,SUMPRODUCT($FB33:$FG33,$Q$6:$V$6)))+$DW33*5</f>
        <v/>
      </c>
      <c r="FY33" s="152">
        <f>MAX(0,18-SUMPRODUCT($FB33:$FG33,$Q$7:$V$7)+MIN(12,$FH33*3+$FI33*6,SUMPRODUCT($FB33:$FG33,$Q$7:$V$7)))+$DW33*6</f>
        <v/>
      </c>
      <c r="FZ33" s="152">
        <f>MAX(0,21-SUMPRODUCT($FB33:$FG33,$Q$8:$V$8)+MIN(14,$FH33*4+$FI33*7,SUMPRODUCT($FB33:$FG33,$Q$8:$V$8)))+$DW33*7</f>
        <v/>
      </c>
      <c r="GA33" s="152">
        <f>IF($EV33=2,3*$FT33&amp;" de vida temp.",IF($EV33=3,"sem dano",IF($FT33=0,IF($EV33=1,"sem cura","sem dano"),IF($EV33=1,"cura ","")&amp;$FT33&amp;"d8")))</f>
        <v/>
      </c>
      <c r="GB33" s="152">
        <f>IF($EV33=2,3*$FU33&amp;" de vida temp.",IF($EV33=3,"sem dano",IF($FU33=0,IF($EV33=1,"sem cura","sem dano"),IF($EV33=1,"cura ","")&amp;$FU33&amp;"d8")))</f>
        <v/>
      </c>
      <c r="GC33" s="152">
        <f>IF($EV33=2,3*$FV33&amp;" de vida temp.",IF($EV33=3,"sem dano",IF($FV33=0,IF($EV33=1,"sem cura","sem dano"),IF($EV33=1,"cura ","")&amp;$FV33&amp;"d8")))</f>
        <v/>
      </c>
      <c r="GD33" s="152">
        <f>IF($EV33=2,3*$FW33&amp;" de vida temp.",IF($EV33=3,"sem dano",IF($FW33=0,IF($EV33=1,"sem cura","sem dano"),IF($EV33=1,"cura ","")&amp;$FW33&amp;"d8")))</f>
        <v/>
      </c>
      <c r="GE33" s="152">
        <f>IF($EV33=2,3*$FX33&amp;" de vida temp.",IF($EV33=3,"sem dano",IF($FX33=0,IF($EV33=1,"sem cura","sem dano"),IF($EV33=1,"cura ","")&amp;$FX33&amp;"d8")))</f>
        <v/>
      </c>
      <c r="GF33" s="152">
        <f>IF($EV33=2,3*$FY33&amp;" de vida temp.",IF($EV33=3,"sem dano",IF($FY33=0,IF($EV33=1,"sem cura","sem dano"),IF($EV33=1,"cura ","")&amp;$FY33&amp;"d8")))</f>
        <v/>
      </c>
      <c r="GG33" s="152">
        <f>IF($EV33=2,3*$FZ33&amp;" de vida temp.",IF($EV33=3,"sem dano",IF($FZ33=0,IF($EV33=1,"sem cura","sem dano"),IF($EV33=1,"cura ","")&amp;$FZ33&amp;"d8")))</f>
        <v/>
      </c>
      <c r="GH33" s="152">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52">
        <f>IF($GH33="",0,(LEN($GH33)-LEN(SUBSTITUTE($GH33," · ","")))/3+1)</f>
        <v/>
      </c>
      <c r="GJ33" s="152">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52">
        <f>IF($GJ33="",0,(LEN($GJ33)-LEN(SUBSTITUTE($GJ33," · ","")))/3+1)</f>
        <v/>
      </c>
      <c r="GL33" s="152">
        <f>IF($EH33=0,IF($FJ33+$FK33-$EU33&gt;0,"Dê um nome",""),IF($GI33&gt;0,"⚠ "&amp;$GI33&amp;IF($GI33&gt;1," erros"," erro"),IF($GK33&gt;0,"! "&amp;$GK33&amp;IF($GK33&gt;1," avisos"," aviso"),"Na regra")))</f>
        <v/>
      </c>
      <c r="GM33" s="152">
        <f>IF($EH33=0,"",IF($GI33+$GK33=0,"Dentro das regras que a ficha confere",$GH33&amp;IF(AND($GI33&gt;0,$GK33&gt;0)," · ","")&amp;$GJ33))</f>
        <v/>
      </c>
      <c r="GN33" s="152">
        <f>IF($EH33=0,"",IF($DW33=1,CEILING(4.5*$DY33,1),3*$DY33)&amp;" PE")</f>
        <v/>
      </c>
      <c r="GO33" s="152">
        <f>IF($EH33=0,"",IF($DW33=1,"Rodada inteira",IF(COUNTIF($EZ33:$FA33,"Atrasar")&gt;0,IF(COUNTIF($EZ33:$FA33,"Carregar")&gt;0,"Rodada +1 turno","Rodada inteira"),IF(COUNTIF($EB33:$EE33,"Rápido")&gt;0,"Bônus",IF(COUNTIF($EB33:$EE33,"Reação")&gt;0,"Reação","Padrão"))&amp;IF(COUNTIF($EZ33:$FA33,"Carregar")&gt;0," +1 turno",""))))</f>
        <v/>
      </c>
      <c r="GP33" s="152">
        <f>IF(OR($EH33=0,$EI33=0),"",IF(COUNTIF($EB33:$EE33,"Inescapável")&gt;0,"Automático",IF(COUNTIF($EB33:$EE33,"Certeiro")&gt;0,"TR para metade",INDEX($AF$2:$AF$11,$EI33))))</f>
        <v/>
      </c>
      <c r="GQ33" s="152">
        <f>IF(OR($EH33=0,$EI33=0),"",IF(OR($EV33&gt;=2,$FR33=0),UPPER(LEFT(INDEX($GA33:$GG33,1,$DY33),1))&amp;MID(INDEX($GA33:$GG33,1,$DY33),2,99),UPPER(LEFT(INDEX($GA33:$GG33,1,$DY33),1))&amp;MID(INDEX($GA33:$GG33,1,$DY33),2,99)&amp;" = "&amp;FLOOR($FR33*4.5,1)&amp;IF($FS33&gt;0," · +"&amp;$FS33&amp;"d8","")))</f>
        <v/>
      </c>
      <c r="GR33" s="152">
        <f>COUNTIF($EB33:$EE33,"Longe")+3*COUNTIF($EB33:$EE33,"Muito Longe")</f>
        <v/>
      </c>
      <c r="GS33" s="152">
        <f>COUNTIF($EB33:$EE33,"Maior")+3*COUNTIF($EB33:$EE33,"Muito Maior")</f>
        <v/>
      </c>
      <c r="GT33" s="152">
        <f>IF($EI33=0,0,CHOOSE(1+INDEX($AH$2:$AH$11,$EI33),0,$GR33,$GS33,$GR33+$GS33))</f>
        <v/>
      </c>
      <c r="GU33" s="152">
        <f>IF($EI33=0,0,CHOOSE(1+INDEX($AI$2:$AI$11,$EI33),0,$GR33,$GS33,$GR33+$GS33))</f>
        <v/>
      </c>
      <c r="GV33" s="152">
        <f>IF(OR($EH33=0,$EI33=0),"",INDEX($AP$2:$AU$31,($EI33-1)*3+IF($DY33&gt;=6,3,2),1+MIN(5,$GT33))&amp;INDEX($AV$2:$BA$31,($EI33-1)*3+IF($DY33&gt;=6,3,2),1+MIN(5,$GU33))&amp;IF(INDEX($AJ$2:$AJ$11,$EI33)=1,IF(COUNTIF($EB33:$EE33,"Mais Um")&gt;0," · +"&amp;COUNTIF($EB33:$EE33,"Mais Um")&amp;IF(COUNTIF($EB33:$EE33,"Mais Um")&gt;1," alvos"," alvo"),"")&amp;IF(COUNTIF($EB33:$EE33,"Rajada")&gt;0," · "&amp;($DY33+1)&amp;" tiros",""),""))</f>
        <v/>
      </c>
      <c r="GW33" s="152">
        <f>IF($EH33=0,"",3*$DY33&amp;" − "&amp;$FL33&amp;" + "&amp;$FO33&amp;IF($DW33=1," + "&amp;$DY33,"")&amp;" = "&amp;$FR33&amp;"d8 · teto "&amp;4*$DY33&amp;IF($EU33=1," · a Forma devolve "&amp;$DY33,"")&amp;IF($FP33&gt;0," · perde "&amp;$FP33,""))</f>
        <v/>
      </c>
      <c r="GX33" s="152">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52">
        <f>IF(OR($EH33=0,$EK33=0),"","−"&amp;INDEX($Q$2:$V$8,$DY33,$EK33)&amp;" · "&amp;CHOOSE($EK33,"Leve","Média","Pesada","Leve · Livre","Média · Livre","Pesada · Livre"))</f>
        <v/>
      </c>
      <c r="GZ33" s="152">
        <f>IF(OR($EH33=0,$EL33=0),"","−"&amp;INDEX($Q$2:$V$8,$DY33,$EL33)&amp;" · "&amp;CHOOSE($EL33,"Leve","Média","Pesada","Leve · Livre","Média · Livre","Pesada · Livre"))</f>
        <v/>
      </c>
      <c r="HA33" s="152">
        <f>IF(OR($EH33=0,$EM33=0),"","−"&amp;INDEX($Q$2:$V$8,$DY33,$EM33)&amp;" · "&amp;CHOOSE($EM33,"Leve","Média","Pesada","Leve · Livre","Média · Livre","Pesada · Livre"))</f>
        <v/>
      </c>
      <c r="HB33" s="152">
        <f>IF(OR($EH33=0,$EN33=0),"","−"&amp;INDEX($Q$2:$V$8,$DY33,$EN33)&amp;" · "&amp;CHOOSE($EN33,"Leve","Média","Pesada","Leve · Livre","Média · Livre","Pesada · Livre"))</f>
        <v/>
      </c>
      <c r="HC33" s="152">
        <f>IF(OR($EH33=0,$EF33=""),"","+"&amp;IF($EX33=1,CEILING($DY33/2,1),$DY33))</f>
        <v/>
      </c>
      <c r="HD33" s="152">
        <f>IF(OR($EH33=0,$EG33=""),"","+"&amp;IF($EY33=1,CEILING($DY33/2,1),$DY33))</f>
        <v/>
      </c>
      <c r="HE33" s="152">
        <f>'FICHA AMALDIÇOADA'!$J$267&amp;""</f>
        <v/>
      </c>
      <c r="HF33" s="152">
        <f>IF(AND($EH33=1,$DW33=0),COUNTIFS($EH$2:$EH33,1,$DW$2:$DW33,0),"")</f>
        <v/>
      </c>
      <c r="HH33" s="150" t="inlineStr">
        <is>
          <t>terço do refino</t>
        </is>
      </c>
      <c r="HI33" s="152">
        <f>MAX(1,FLOOR($HI$6/3,1))</f>
        <v/>
      </c>
      <c r="JD33" s="152" t="n">
        <v>32</v>
      </c>
      <c r="JE33" s="152">
        <f>IFERROR(MATCH(32,$HF$2:$HF$37,0),0)</f>
        <v/>
      </c>
      <c r="JF33" s="152">
        <f>IF($JE33=0,"",INDEX($DY$2:$DY$37,$JE33))</f>
        <v/>
      </c>
      <c r="JG33" s="152">
        <f>IF($JE33=0,"",INDEX($DZ$2:$DZ$37,$JE33))</f>
        <v/>
      </c>
      <c r="JH33" s="152">
        <f>IF($JE33=0,"",INDEX($GN$2:$GN$37,$JE33))</f>
        <v/>
      </c>
      <c r="JI33" s="152">
        <f>IF($JE33=0,"",INDEX($EA$2:$EA$37,$JE33))</f>
        <v/>
      </c>
      <c r="JJ33" s="152">
        <f>IF($JE33=0,"",INDEX($GP$2:$GP$37,$JE33))</f>
        <v/>
      </c>
      <c r="JK33" s="152">
        <f>IF($JE33=0,"",INDEX($HE$2:$HE$37,$JE33))</f>
        <v/>
      </c>
      <c r="KQ33" s="150" t="inlineStr">
        <is>
          <t>D135</t>
        </is>
      </c>
      <c r="KR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DV34" s="150" t="inlineStr">
        <is>
          <t>Feitiço 33</t>
        </is>
      </c>
      <c r="DW34" s="152" t="n">
        <v>0</v>
      </c>
      <c r="DX34" s="152" t="n">
        <v>33</v>
      </c>
      <c r="DY34" s="152">
        <f>MAX(1,MIN(7,N('FICHA AMALDIÇOADA'!$P$265)))</f>
        <v/>
      </c>
      <c r="DZ34" s="152">
        <f>'FICHA AMALDIÇOADA'!$Q$265&amp;""</f>
        <v/>
      </c>
      <c r="EA34" s="152">
        <f>'FICHA AMALDIÇOADA'!$P$272&amp;""</f>
        <v/>
      </c>
      <c r="EB34" s="152">
        <f>'FICHA AMALDIÇOADA'!$Q$274&amp;""</f>
        <v/>
      </c>
      <c r="EC34" s="152">
        <f>'FICHA AMALDIÇOADA'!$Q$275&amp;""</f>
        <v/>
      </c>
      <c r="ED34" s="152">
        <f>'FICHA AMALDIÇOADA'!$Q$276&amp;""</f>
        <v/>
      </c>
      <c r="EE34" s="152">
        <f>'FICHA AMALDIÇOADA'!$Q$277&amp;""</f>
        <v/>
      </c>
      <c r="EF34" s="152">
        <f>'FICHA AMALDIÇOADA'!$Q$278&amp;""</f>
        <v/>
      </c>
      <c r="EG34" s="152">
        <f>'FICHA AMALDIÇOADA'!$Q$279&amp;""</f>
        <v/>
      </c>
      <c r="EH34" s="152">
        <f>IF($DZ34&lt;&gt;"",1,0)</f>
        <v/>
      </c>
      <c r="EI34" s="152">
        <f>IFERROR(MATCH($EA34,$Y$2:$Y$11,0),0)</f>
        <v/>
      </c>
      <c r="EJ34" s="152">
        <f>IF($EI34=0,0,INDEX($AB$2:$AB$11,$EI34))</f>
        <v/>
      </c>
      <c r="EK34" s="152">
        <f>IFERROR(VLOOKUP($EB34,$BC$2:$BJ$84,4,FALSE),0)</f>
        <v/>
      </c>
      <c r="EL34" s="152">
        <f>IFERROR(VLOOKUP($EC34,$BC$2:$BJ$84,4,FALSE),0)</f>
        <v/>
      </c>
      <c r="EM34" s="152">
        <f>IFERROR(VLOOKUP($ED34,$BC$2:$BJ$84,4,FALSE),0)</f>
        <v/>
      </c>
      <c r="EN34" s="152">
        <f>IFERROR(VLOOKUP($EE34,$BC$2:$BJ$84,4,FALSE),0)</f>
        <v/>
      </c>
      <c r="EO34" s="152">
        <f>IF($EI34=0,0,INDEX($AC$2:$AC$11,$EI34))</f>
        <v/>
      </c>
      <c r="EP34" s="152">
        <f>IFERROR(VLOOKUP($EB34,$BC$2:$BJ$84,5,FALSE),0)</f>
        <v/>
      </c>
      <c r="EQ34" s="152">
        <f>IFERROR(VLOOKUP($EC34,$BC$2:$BJ$84,5,FALSE),0)</f>
        <v/>
      </c>
      <c r="ER34" s="152">
        <f>IFERROR(VLOOKUP($ED34,$BC$2:$BJ$84,5,FALSE),0)</f>
        <v/>
      </c>
      <c r="ES34" s="152">
        <f>IFERROR(VLOOKUP($EE34,$BC$2:$BJ$84,5,FALSE),0)</f>
        <v/>
      </c>
      <c r="ET34" s="152">
        <f>IFERROR(VLOOKUP($EB34,$BC$2:$BJ$84,6,FALSE),0)+IFERROR(VLOOKUP($EC34,$BC$2:$BJ$84,6,FALSE),0)+IFERROR(VLOOKUP($ED34,$BC$2:$BJ$84,6,FALSE),0)+IFERROR(VLOOKUP($EE34,$BC$2:$BJ$84,6,FALSE),0)</f>
        <v/>
      </c>
      <c r="EU34" s="152">
        <f>IF($EI34=0,0,INDEX($AD$2:$AD$11,$EI34))</f>
        <v/>
      </c>
      <c r="EV34" s="152">
        <f>IF($EI34=0,0,INDEX($AE$2:$AE$11,$EI34))</f>
        <v/>
      </c>
      <c r="EW34" s="152">
        <f>IF($EI34=0,0,INDEX($AG$2:$AG$11,$EI34))</f>
        <v/>
      </c>
      <c r="EX34" s="152">
        <f>IFERROR(VLOOKUP($EF34,$BL$2:$BP$24,3,FALSE),0)</f>
        <v/>
      </c>
      <c r="EY34" s="152">
        <f>IFERROR(VLOOKUP($EG34,$BL$2:$BP$24,3,FALSE),0)</f>
        <v/>
      </c>
      <c r="EZ34" s="152">
        <f>IFERROR(VLOOKUP($EF34,$BL$2:$BP$24,2,FALSE),"")</f>
        <v/>
      </c>
      <c r="FA34" s="152">
        <f>IFERROR(VLOOKUP($EG34,$BL$2:$BP$24,2,FALSE),"")</f>
        <v/>
      </c>
      <c r="FB34" s="152">
        <f>COUNTIF($EJ34:$EN34,1)</f>
        <v/>
      </c>
      <c r="FC34" s="152">
        <f>COUNTIF($EJ34:$EN34,2)</f>
        <v/>
      </c>
      <c r="FD34" s="152">
        <f>COUNTIF($EJ34:$EN34,3)</f>
        <v/>
      </c>
      <c r="FE34" s="152">
        <f>COUNTIF($EJ34:$EN34,4)</f>
        <v/>
      </c>
      <c r="FF34" s="152">
        <f>COUNTIF($EJ34:$EN34,5)</f>
        <v/>
      </c>
      <c r="FG34" s="152">
        <f>COUNTIF($EJ34:$EN34,6)</f>
        <v/>
      </c>
      <c r="FH34" s="152">
        <f>COUNTIF($EX34:$EY34,1)</f>
        <v/>
      </c>
      <c r="FI34" s="152">
        <f>COUNTIF($EX34:$EY34,2)+$EU34</f>
        <v/>
      </c>
      <c r="FJ34" s="152">
        <f>COUNTIF($EB34:$EE34,"?*")</f>
        <v/>
      </c>
      <c r="FK34" s="152">
        <f>COUNTIF($EF34:$EG34,"?*")+$EU34</f>
        <v/>
      </c>
      <c r="FL34" s="152">
        <f>SUMPRODUCT($FB34:$FG34,INDEX($Q$2:$V$8,$DY34,0))</f>
        <v/>
      </c>
      <c r="FM34" s="152">
        <f>$FH34*CEILING($DY34/2,1)+$FI34*$DY34</f>
        <v/>
      </c>
      <c r="FN34" s="152">
        <f>MIN(2*$DY34,$FM34)</f>
        <v/>
      </c>
      <c r="FO34" s="152">
        <f>MIN($FN34,$FL34)</f>
        <v/>
      </c>
      <c r="FP34" s="152">
        <f>$FN34-$FO34</f>
        <v/>
      </c>
      <c r="FQ34" s="152">
        <f>3*$DY34-$FL34+$FO34</f>
        <v/>
      </c>
      <c r="FR34" s="152">
        <f>MAX(0,$FQ34)+$DW34*$DY34</f>
        <v/>
      </c>
      <c r="FS34" s="152">
        <f>(IF(COUNTIF($EB34:$EE34,"Salto")&gt;0,1,0)+IF(COUNTIF($EB34:$EE34,"Queima")&gt;0,1,0)+IF(COUNTIF($EB34:$EE34,"Estilhaço")&gt;0,1,0))*FLOOR($FR34/2,1)</f>
        <v/>
      </c>
      <c r="FT34" s="152">
        <f>MAX(0,3-SUMPRODUCT($FB34:$FG34,$Q$2:$V$2)+MIN(2,$FH34*1+$FI34*1,SUMPRODUCT($FB34:$FG34,$Q$2:$V$2)))+$DW34*1</f>
        <v/>
      </c>
      <c r="FU34" s="152">
        <f>MAX(0,6-SUMPRODUCT($FB34:$FG34,$Q$3:$V$3)+MIN(4,$FH34*1+$FI34*2,SUMPRODUCT($FB34:$FG34,$Q$3:$V$3)))+$DW34*2</f>
        <v/>
      </c>
      <c r="FV34" s="152">
        <f>MAX(0,9-SUMPRODUCT($FB34:$FG34,$Q$4:$V$4)+MIN(6,$FH34*2+$FI34*3,SUMPRODUCT($FB34:$FG34,$Q$4:$V$4)))+$DW34*3</f>
        <v/>
      </c>
      <c r="FW34" s="152">
        <f>MAX(0,12-SUMPRODUCT($FB34:$FG34,$Q$5:$V$5)+MIN(8,$FH34*2+$FI34*4,SUMPRODUCT($FB34:$FG34,$Q$5:$V$5)))+$DW34*4</f>
        <v/>
      </c>
      <c r="FX34" s="152">
        <f>MAX(0,15-SUMPRODUCT($FB34:$FG34,$Q$6:$V$6)+MIN(10,$FH34*3+$FI34*5,SUMPRODUCT($FB34:$FG34,$Q$6:$V$6)))+$DW34*5</f>
        <v/>
      </c>
      <c r="FY34" s="152">
        <f>MAX(0,18-SUMPRODUCT($FB34:$FG34,$Q$7:$V$7)+MIN(12,$FH34*3+$FI34*6,SUMPRODUCT($FB34:$FG34,$Q$7:$V$7)))+$DW34*6</f>
        <v/>
      </c>
      <c r="FZ34" s="152">
        <f>MAX(0,21-SUMPRODUCT($FB34:$FG34,$Q$8:$V$8)+MIN(14,$FH34*4+$FI34*7,SUMPRODUCT($FB34:$FG34,$Q$8:$V$8)))+$DW34*7</f>
        <v/>
      </c>
      <c r="GA34" s="152">
        <f>IF($EV34=2,3*$FT34&amp;" de vida temp.",IF($EV34=3,"sem dano",IF($FT34=0,IF($EV34=1,"sem cura","sem dano"),IF($EV34=1,"cura ","")&amp;$FT34&amp;"d8")))</f>
        <v/>
      </c>
      <c r="GB34" s="152">
        <f>IF($EV34=2,3*$FU34&amp;" de vida temp.",IF($EV34=3,"sem dano",IF($FU34=0,IF($EV34=1,"sem cura","sem dano"),IF($EV34=1,"cura ","")&amp;$FU34&amp;"d8")))</f>
        <v/>
      </c>
      <c r="GC34" s="152">
        <f>IF($EV34=2,3*$FV34&amp;" de vida temp.",IF($EV34=3,"sem dano",IF($FV34=0,IF($EV34=1,"sem cura","sem dano"),IF($EV34=1,"cura ","")&amp;$FV34&amp;"d8")))</f>
        <v/>
      </c>
      <c r="GD34" s="152">
        <f>IF($EV34=2,3*$FW34&amp;" de vida temp.",IF($EV34=3,"sem dano",IF($FW34=0,IF($EV34=1,"sem cura","sem dano"),IF($EV34=1,"cura ","")&amp;$FW34&amp;"d8")))</f>
        <v/>
      </c>
      <c r="GE34" s="152">
        <f>IF($EV34=2,3*$FX34&amp;" de vida temp.",IF($EV34=3,"sem dano",IF($FX34=0,IF($EV34=1,"sem cura","sem dano"),IF($EV34=1,"cura ","")&amp;$FX34&amp;"d8")))</f>
        <v/>
      </c>
      <c r="GF34" s="152">
        <f>IF($EV34=2,3*$FY34&amp;" de vida temp.",IF($EV34=3,"sem dano",IF($FY34=0,IF($EV34=1,"sem cura","sem dano"),IF($EV34=1,"cura ","")&amp;$FY34&amp;"d8")))</f>
        <v/>
      </c>
      <c r="GG34" s="152">
        <f>IF($EV34=2,3*$FZ34&amp;" de vida temp.",IF($EV34=3,"sem dano",IF($FZ34=0,IF($EV34=1,"sem cura","sem dano"),IF($EV34=1,"cura ","")&amp;$FZ34&amp;"d8")))</f>
        <v/>
      </c>
      <c r="GH34" s="152">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52">
        <f>IF($GH34="",0,(LEN($GH34)-LEN(SUBSTITUTE($GH34," · ","")))/3+1)</f>
        <v/>
      </c>
      <c r="GJ34" s="152">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52">
        <f>IF($GJ34="",0,(LEN($GJ34)-LEN(SUBSTITUTE($GJ34," · ","")))/3+1)</f>
        <v/>
      </c>
      <c r="GL34" s="152">
        <f>IF($EH34=0,IF($FJ34+$FK34-$EU34&gt;0,"Dê um nome",""),IF($GI34&gt;0,"⚠ "&amp;$GI34&amp;IF($GI34&gt;1," erros"," erro"),IF($GK34&gt;0,"! "&amp;$GK34&amp;IF($GK34&gt;1," avisos"," aviso"),"Na regra")))</f>
        <v/>
      </c>
      <c r="GM34" s="152">
        <f>IF($EH34=0,"",IF($GI34+$GK34=0,"Dentro das regras que a ficha confere",$GH34&amp;IF(AND($GI34&gt;0,$GK34&gt;0)," · ","")&amp;$GJ34))</f>
        <v/>
      </c>
      <c r="GN34" s="152">
        <f>IF($EH34=0,"",IF($DW34=1,CEILING(4.5*$DY34,1),3*$DY34)&amp;" PE")</f>
        <v/>
      </c>
      <c r="GO34" s="152">
        <f>IF($EH34=0,"",IF($DW34=1,"Rodada inteira",IF(COUNTIF($EZ34:$FA34,"Atrasar")&gt;0,IF(COUNTIF($EZ34:$FA34,"Carregar")&gt;0,"Rodada +1 turno","Rodada inteira"),IF(COUNTIF($EB34:$EE34,"Rápido")&gt;0,"Bônus",IF(COUNTIF($EB34:$EE34,"Reação")&gt;0,"Reação","Padrão"))&amp;IF(COUNTIF($EZ34:$FA34,"Carregar")&gt;0," +1 turno",""))))</f>
        <v/>
      </c>
      <c r="GP34" s="152">
        <f>IF(OR($EH34=0,$EI34=0),"",IF(COUNTIF($EB34:$EE34,"Inescapável")&gt;0,"Automático",IF(COUNTIF($EB34:$EE34,"Certeiro")&gt;0,"TR para metade",INDEX($AF$2:$AF$11,$EI34))))</f>
        <v/>
      </c>
      <c r="GQ34" s="152">
        <f>IF(OR($EH34=0,$EI34=0),"",IF(OR($EV34&gt;=2,$FR34=0),UPPER(LEFT(INDEX($GA34:$GG34,1,$DY34),1))&amp;MID(INDEX($GA34:$GG34,1,$DY34),2,99),UPPER(LEFT(INDEX($GA34:$GG34,1,$DY34),1))&amp;MID(INDEX($GA34:$GG34,1,$DY34),2,99)&amp;" = "&amp;FLOOR($FR34*4.5,1)&amp;IF($FS34&gt;0," · +"&amp;$FS34&amp;"d8","")))</f>
        <v/>
      </c>
      <c r="GR34" s="152">
        <f>COUNTIF($EB34:$EE34,"Longe")+3*COUNTIF($EB34:$EE34,"Muito Longe")</f>
        <v/>
      </c>
      <c r="GS34" s="152">
        <f>COUNTIF($EB34:$EE34,"Maior")+3*COUNTIF($EB34:$EE34,"Muito Maior")</f>
        <v/>
      </c>
      <c r="GT34" s="152">
        <f>IF($EI34=0,0,CHOOSE(1+INDEX($AH$2:$AH$11,$EI34),0,$GR34,$GS34,$GR34+$GS34))</f>
        <v/>
      </c>
      <c r="GU34" s="152">
        <f>IF($EI34=0,0,CHOOSE(1+INDEX($AI$2:$AI$11,$EI34),0,$GR34,$GS34,$GR34+$GS34))</f>
        <v/>
      </c>
      <c r="GV34" s="152">
        <f>IF(OR($EH34=0,$EI34=0),"",INDEX($AP$2:$AU$31,($EI34-1)*3+IF($DY34&gt;=6,3,2),1+MIN(5,$GT34))&amp;INDEX($AV$2:$BA$31,($EI34-1)*3+IF($DY34&gt;=6,3,2),1+MIN(5,$GU34))&amp;IF(INDEX($AJ$2:$AJ$11,$EI34)=1,IF(COUNTIF($EB34:$EE34,"Mais Um")&gt;0," · +"&amp;COUNTIF($EB34:$EE34,"Mais Um")&amp;IF(COUNTIF($EB34:$EE34,"Mais Um")&gt;1," alvos"," alvo"),"")&amp;IF(COUNTIF($EB34:$EE34,"Rajada")&gt;0," · "&amp;($DY34+1)&amp;" tiros",""),""))</f>
        <v/>
      </c>
      <c r="GW34" s="152">
        <f>IF($EH34=0,"",3*$DY34&amp;" − "&amp;$FL34&amp;" + "&amp;$FO34&amp;IF($DW34=1," + "&amp;$DY34,"")&amp;" = "&amp;$FR34&amp;"d8 · teto "&amp;4*$DY34&amp;IF($EU34=1," · a Forma devolve "&amp;$DY34,"")&amp;IF($FP34&gt;0," · perde "&amp;$FP34,""))</f>
        <v/>
      </c>
      <c r="GX34" s="152">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52">
        <f>IF(OR($EH34=0,$EK34=0),"","−"&amp;INDEX($Q$2:$V$8,$DY34,$EK34)&amp;" · "&amp;CHOOSE($EK34,"Leve","Média","Pesada","Leve · Livre","Média · Livre","Pesada · Livre"))</f>
        <v/>
      </c>
      <c r="GZ34" s="152">
        <f>IF(OR($EH34=0,$EL34=0),"","−"&amp;INDEX($Q$2:$V$8,$DY34,$EL34)&amp;" · "&amp;CHOOSE($EL34,"Leve","Média","Pesada","Leve · Livre","Média · Livre","Pesada · Livre"))</f>
        <v/>
      </c>
      <c r="HA34" s="152">
        <f>IF(OR($EH34=0,$EM34=0),"","−"&amp;INDEX($Q$2:$V$8,$DY34,$EM34)&amp;" · "&amp;CHOOSE($EM34,"Leve","Média","Pesada","Leve · Livre","Média · Livre","Pesada · Livre"))</f>
        <v/>
      </c>
      <c r="HB34" s="152">
        <f>IF(OR($EH34=0,$EN34=0),"","−"&amp;INDEX($Q$2:$V$8,$DY34,$EN34)&amp;" · "&amp;CHOOSE($EN34,"Leve","Média","Pesada","Leve · Livre","Média · Livre","Pesada · Livre"))</f>
        <v/>
      </c>
      <c r="HC34" s="152">
        <f>IF(OR($EH34=0,$EF34=""),"","+"&amp;IF($EX34=1,CEILING($DY34/2,1),$DY34))</f>
        <v/>
      </c>
      <c r="HD34" s="152">
        <f>IF(OR($EH34=0,$EG34=""),"","+"&amp;IF($EY34=1,CEILING($DY34/2,1),$DY34))</f>
        <v/>
      </c>
      <c r="HE34" s="152">
        <f>'FICHA AMALDIÇOADA'!$P$267&amp;""</f>
        <v/>
      </c>
      <c r="HF34" s="152">
        <f>IF(AND($EH34=1,$DW34=0),COUNTIFS($EH$2:$EH34,1,$DW$2:$DW34,0),"")</f>
        <v/>
      </c>
      <c r="HH34" s="150" t="inlineStr">
        <is>
          <t>degrau do domínio</t>
        </is>
      </c>
      <c r="HI34" s="152">
        <f>'FICHA AMALDIÇOADA'!$D$357&amp;""</f>
        <v/>
      </c>
      <c r="JD34" s="152" t="n">
        <v>33</v>
      </c>
      <c r="JE34" s="152">
        <f>IFERROR(MATCH(33,$HF$2:$HF$37,0),0)</f>
        <v/>
      </c>
      <c r="JF34" s="152">
        <f>IF($JE34=0,"",INDEX($DY$2:$DY$37,$JE34))</f>
        <v/>
      </c>
      <c r="JG34" s="152">
        <f>IF($JE34=0,"",INDEX($DZ$2:$DZ$37,$JE34))</f>
        <v/>
      </c>
      <c r="JH34" s="152">
        <f>IF($JE34=0,"",INDEX($GN$2:$GN$37,$JE34))</f>
        <v/>
      </c>
      <c r="JI34" s="152">
        <f>IF($JE34=0,"",INDEX($EA$2:$EA$37,$JE34))</f>
        <v/>
      </c>
      <c r="JJ34" s="152">
        <f>IF($JE34=0,"",INDEX($GP$2:$GP$37,$JE34))</f>
        <v/>
      </c>
      <c r="JK34" s="152">
        <f>IF($JE34=0,"",INDEX($HE$2:$HE$37,$JE34))</f>
        <v/>
      </c>
      <c r="KQ34" s="150" t="inlineStr">
        <is>
          <t>D221</t>
        </is>
      </c>
      <c r="KR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DV35" s="150" t="inlineStr">
        <is>
          <t>Feitiço 34</t>
        </is>
      </c>
      <c r="DW35" s="152" t="n">
        <v>0</v>
      </c>
      <c r="DX35" s="152" t="n">
        <v>34</v>
      </c>
      <c r="DY35" s="152">
        <f>MAX(1,MIN(7,N('FICHA AMALDIÇOADA'!$D$286)))</f>
        <v/>
      </c>
      <c r="DZ35" s="152">
        <f>'FICHA AMALDIÇOADA'!$E$286&amp;""</f>
        <v/>
      </c>
      <c r="EA35" s="152">
        <f>'FICHA AMALDIÇOADA'!$D$293&amp;""</f>
        <v/>
      </c>
      <c r="EB35" s="152">
        <f>'FICHA AMALDIÇOADA'!$E$295&amp;""</f>
        <v/>
      </c>
      <c r="EC35" s="152">
        <f>'FICHA AMALDIÇOADA'!$E$296&amp;""</f>
        <v/>
      </c>
      <c r="ED35" s="152">
        <f>'FICHA AMALDIÇOADA'!$E$297&amp;""</f>
        <v/>
      </c>
      <c r="EE35" s="152">
        <f>'FICHA AMALDIÇOADA'!$E$298&amp;""</f>
        <v/>
      </c>
      <c r="EF35" s="152">
        <f>'FICHA AMALDIÇOADA'!$E$299&amp;""</f>
        <v/>
      </c>
      <c r="EG35" s="152">
        <f>'FICHA AMALDIÇOADA'!$E$300&amp;""</f>
        <v/>
      </c>
      <c r="EH35" s="152">
        <f>IF($DZ35&lt;&gt;"",1,0)</f>
        <v/>
      </c>
      <c r="EI35" s="152">
        <f>IFERROR(MATCH($EA35,$Y$2:$Y$11,0),0)</f>
        <v/>
      </c>
      <c r="EJ35" s="152">
        <f>IF($EI35=0,0,INDEX($AB$2:$AB$11,$EI35))</f>
        <v/>
      </c>
      <c r="EK35" s="152">
        <f>IFERROR(VLOOKUP($EB35,$BC$2:$BJ$84,4,FALSE),0)</f>
        <v/>
      </c>
      <c r="EL35" s="152">
        <f>IFERROR(VLOOKUP($EC35,$BC$2:$BJ$84,4,FALSE),0)</f>
        <v/>
      </c>
      <c r="EM35" s="152">
        <f>IFERROR(VLOOKUP($ED35,$BC$2:$BJ$84,4,FALSE),0)</f>
        <v/>
      </c>
      <c r="EN35" s="152">
        <f>IFERROR(VLOOKUP($EE35,$BC$2:$BJ$84,4,FALSE),0)</f>
        <v/>
      </c>
      <c r="EO35" s="152">
        <f>IF($EI35=0,0,INDEX($AC$2:$AC$11,$EI35))</f>
        <v/>
      </c>
      <c r="EP35" s="152">
        <f>IFERROR(VLOOKUP($EB35,$BC$2:$BJ$84,5,FALSE),0)</f>
        <v/>
      </c>
      <c r="EQ35" s="152">
        <f>IFERROR(VLOOKUP($EC35,$BC$2:$BJ$84,5,FALSE),0)</f>
        <v/>
      </c>
      <c r="ER35" s="152">
        <f>IFERROR(VLOOKUP($ED35,$BC$2:$BJ$84,5,FALSE),0)</f>
        <v/>
      </c>
      <c r="ES35" s="152">
        <f>IFERROR(VLOOKUP($EE35,$BC$2:$BJ$84,5,FALSE),0)</f>
        <v/>
      </c>
      <c r="ET35" s="152">
        <f>IFERROR(VLOOKUP($EB35,$BC$2:$BJ$84,6,FALSE),0)+IFERROR(VLOOKUP($EC35,$BC$2:$BJ$84,6,FALSE),0)+IFERROR(VLOOKUP($ED35,$BC$2:$BJ$84,6,FALSE),0)+IFERROR(VLOOKUP($EE35,$BC$2:$BJ$84,6,FALSE),0)</f>
        <v/>
      </c>
      <c r="EU35" s="152">
        <f>IF($EI35=0,0,INDEX($AD$2:$AD$11,$EI35))</f>
        <v/>
      </c>
      <c r="EV35" s="152">
        <f>IF($EI35=0,0,INDEX($AE$2:$AE$11,$EI35))</f>
        <v/>
      </c>
      <c r="EW35" s="152">
        <f>IF($EI35=0,0,INDEX($AG$2:$AG$11,$EI35))</f>
        <v/>
      </c>
      <c r="EX35" s="152">
        <f>IFERROR(VLOOKUP($EF35,$BL$2:$BP$24,3,FALSE),0)</f>
        <v/>
      </c>
      <c r="EY35" s="152">
        <f>IFERROR(VLOOKUP($EG35,$BL$2:$BP$24,3,FALSE),0)</f>
        <v/>
      </c>
      <c r="EZ35" s="152">
        <f>IFERROR(VLOOKUP($EF35,$BL$2:$BP$24,2,FALSE),"")</f>
        <v/>
      </c>
      <c r="FA35" s="152">
        <f>IFERROR(VLOOKUP($EG35,$BL$2:$BP$24,2,FALSE),"")</f>
        <v/>
      </c>
      <c r="FB35" s="152">
        <f>COUNTIF($EJ35:$EN35,1)</f>
        <v/>
      </c>
      <c r="FC35" s="152">
        <f>COUNTIF($EJ35:$EN35,2)</f>
        <v/>
      </c>
      <c r="FD35" s="152">
        <f>COUNTIF($EJ35:$EN35,3)</f>
        <v/>
      </c>
      <c r="FE35" s="152">
        <f>COUNTIF($EJ35:$EN35,4)</f>
        <v/>
      </c>
      <c r="FF35" s="152">
        <f>COUNTIF($EJ35:$EN35,5)</f>
        <v/>
      </c>
      <c r="FG35" s="152">
        <f>COUNTIF($EJ35:$EN35,6)</f>
        <v/>
      </c>
      <c r="FH35" s="152">
        <f>COUNTIF($EX35:$EY35,1)</f>
        <v/>
      </c>
      <c r="FI35" s="152">
        <f>COUNTIF($EX35:$EY35,2)+$EU35</f>
        <v/>
      </c>
      <c r="FJ35" s="152">
        <f>COUNTIF($EB35:$EE35,"?*")</f>
        <v/>
      </c>
      <c r="FK35" s="152">
        <f>COUNTIF($EF35:$EG35,"?*")+$EU35</f>
        <v/>
      </c>
      <c r="FL35" s="152">
        <f>SUMPRODUCT($FB35:$FG35,INDEX($Q$2:$V$8,$DY35,0))</f>
        <v/>
      </c>
      <c r="FM35" s="152">
        <f>$FH35*CEILING($DY35/2,1)+$FI35*$DY35</f>
        <v/>
      </c>
      <c r="FN35" s="152">
        <f>MIN(2*$DY35,$FM35)</f>
        <v/>
      </c>
      <c r="FO35" s="152">
        <f>MIN($FN35,$FL35)</f>
        <v/>
      </c>
      <c r="FP35" s="152">
        <f>$FN35-$FO35</f>
        <v/>
      </c>
      <c r="FQ35" s="152">
        <f>3*$DY35-$FL35+$FO35</f>
        <v/>
      </c>
      <c r="FR35" s="152">
        <f>MAX(0,$FQ35)+$DW35*$DY35</f>
        <v/>
      </c>
      <c r="FS35" s="152">
        <f>(IF(COUNTIF($EB35:$EE35,"Salto")&gt;0,1,0)+IF(COUNTIF($EB35:$EE35,"Queima")&gt;0,1,0)+IF(COUNTIF($EB35:$EE35,"Estilhaço")&gt;0,1,0))*FLOOR($FR35/2,1)</f>
        <v/>
      </c>
      <c r="FT35" s="152">
        <f>MAX(0,3-SUMPRODUCT($FB35:$FG35,$Q$2:$V$2)+MIN(2,$FH35*1+$FI35*1,SUMPRODUCT($FB35:$FG35,$Q$2:$V$2)))+$DW35*1</f>
        <v/>
      </c>
      <c r="FU35" s="152">
        <f>MAX(0,6-SUMPRODUCT($FB35:$FG35,$Q$3:$V$3)+MIN(4,$FH35*1+$FI35*2,SUMPRODUCT($FB35:$FG35,$Q$3:$V$3)))+$DW35*2</f>
        <v/>
      </c>
      <c r="FV35" s="152">
        <f>MAX(0,9-SUMPRODUCT($FB35:$FG35,$Q$4:$V$4)+MIN(6,$FH35*2+$FI35*3,SUMPRODUCT($FB35:$FG35,$Q$4:$V$4)))+$DW35*3</f>
        <v/>
      </c>
      <c r="FW35" s="152">
        <f>MAX(0,12-SUMPRODUCT($FB35:$FG35,$Q$5:$V$5)+MIN(8,$FH35*2+$FI35*4,SUMPRODUCT($FB35:$FG35,$Q$5:$V$5)))+$DW35*4</f>
        <v/>
      </c>
      <c r="FX35" s="152">
        <f>MAX(0,15-SUMPRODUCT($FB35:$FG35,$Q$6:$V$6)+MIN(10,$FH35*3+$FI35*5,SUMPRODUCT($FB35:$FG35,$Q$6:$V$6)))+$DW35*5</f>
        <v/>
      </c>
      <c r="FY35" s="152">
        <f>MAX(0,18-SUMPRODUCT($FB35:$FG35,$Q$7:$V$7)+MIN(12,$FH35*3+$FI35*6,SUMPRODUCT($FB35:$FG35,$Q$7:$V$7)))+$DW35*6</f>
        <v/>
      </c>
      <c r="FZ35" s="152">
        <f>MAX(0,21-SUMPRODUCT($FB35:$FG35,$Q$8:$V$8)+MIN(14,$FH35*4+$FI35*7,SUMPRODUCT($FB35:$FG35,$Q$8:$V$8)))+$DW35*7</f>
        <v/>
      </c>
      <c r="GA35" s="152">
        <f>IF($EV35=2,3*$FT35&amp;" de vida temp.",IF($EV35=3,"sem dano",IF($FT35=0,IF($EV35=1,"sem cura","sem dano"),IF($EV35=1,"cura ","")&amp;$FT35&amp;"d8")))</f>
        <v/>
      </c>
      <c r="GB35" s="152">
        <f>IF($EV35=2,3*$FU35&amp;" de vida temp.",IF($EV35=3,"sem dano",IF($FU35=0,IF($EV35=1,"sem cura","sem dano"),IF($EV35=1,"cura ","")&amp;$FU35&amp;"d8")))</f>
        <v/>
      </c>
      <c r="GC35" s="152">
        <f>IF($EV35=2,3*$FV35&amp;" de vida temp.",IF($EV35=3,"sem dano",IF($FV35=0,IF($EV35=1,"sem cura","sem dano"),IF($EV35=1,"cura ","")&amp;$FV35&amp;"d8")))</f>
        <v/>
      </c>
      <c r="GD35" s="152">
        <f>IF($EV35=2,3*$FW35&amp;" de vida temp.",IF($EV35=3,"sem dano",IF($FW35=0,IF($EV35=1,"sem cura","sem dano"),IF($EV35=1,"cura ","")&amp;$FW35&amp;"d8")))</f>
        <v/>
      </c>
      <c r="GE35" s="152">
        <f>IF($EV35=2,3*$FX35&amp;" de vida temp.",IF($EV35=3,"sem dano",IF($FX35=0,IF($EV35=1,"sem cura","sem dano"),IF($EV35=1,"cura ","")&amp;$FX35&amp;"d8")))</f>
        <v/>
      </c>
      <c r="GF35" s="152">
        <f>IF($EV35=2,3*$FY35&amp;" de vida temp.",IF($EV35=3,"sem dano",IF($FY35=0,IF($EV35=1,"sem cura","sem dano"),IF($EV35=1,"cura ","")&amp;$FY35&amp;"d8")))</f>
        <v/>
      </c>
      <c r="GG35" s="152">
        <f>IF($EV35=2,3*$FZ35&amp;" de vida temp.",IF($EV35=3,"sem dano",IF($FZ35=0,IF($EV35=1,"sem cura","sem dano"),IF($EV35=1,"cura ","")&amp;$FZ35&amp;"d8")))</f>
        <v/>
      </c>
      <c r="GH35" s="152">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52">
        <f>IF($GH35="",0,(LEN($GH35)-LEN(SUBSTITUTE($GH35," · ","")))/3+1)</f>
        <v/>
      </c>
      <c r="GJ35" s="152">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52">
        <f>IF($GJ35="",0,(LEN($GJ35)-LEN(SUBSTITUTE($GJ35," · ","")))/3+1)</f>
        <v/>
      </c>
      <c r="GL35" s="152">
        <f>IF($EH35=0,IF($FJ35+$FK35-$EU35&gt;0,"Dê um nome",""),IF($GI35&gt;0,"⚠ "&amp;$GI35&amp;IF($GI35&gt;1," erros"," erro"),IF($GK35&gt;0,"! "&amp;$GK35&amp;IF($GK35&gt;1," avisos"," aviso"),"Na regra")))</f>
        <v/>
      </c>
      <c r="GM35" s="152">
        <f>IF($EH35=0,"",IF($GI35+$GK35=0,"Dentro das regras que a ficha confere",$GH35&amp;IF(AND($GI35&gt;0,$GK35&gt;0)," · ","")&amp;$GJ35))</f>
        <v/>
      </c>
      <c r="GN35" s="152">
        <f>IF($EH35=0,"",IF($DW35=1,CEILING(4.5*$DY35,1),3*$DY35)&amp;" PE")</f>
        <v/>
      </c>
      <c r="GO35" s="152">
        <f>IF($EH35=0,"",IF($DW35=1,"Rodada inteira",IF(COUNTIF($EZ35:$FA35,"Atrasar")&gt;0,IF(COUNTIF($EZ35:$FA35,"Carregar")&gt;0,"Rodada +1 turno","Rodada inteira"),IF(COUNTIF($EB35:$EE35,"Rápido")&gt;0,"Bônus",IF(COUNTIF($EB35:$EE35,"Reação")&gt;0,"Reação","Padrão"))&amp;IF(COUNTIF($EZ35:$FA35,"Carregar")&gt;0," +1 turno",""))))</f>
        <v/>
      </c>
      <c r="GP35" s="152">
        <f>IF(OR($EH35=0,$EI35=0),"",IF(COUNTIF($EB35:$EE35,"Inescapável")&gt;0,"Automático",IF(COUNTIF($EB35:$EE35,"Certeiro")&gt;0,"TR para metade",INDEX($AF$2:$AF$11,$EI35))))</f>
        <v/>
      </c>
      <c r="GQ35" s="152">
        <f>IF(OR($EH35=0,$EI35=0),"",IF(OR($EV35&gt;=2,$FR35=0),UPPER(LEFT(INDEX($GA35:$GG35,1,$DY35),1))&amp;MID(INDEX($GA35:$GG35,1,$DY35),2,99),UPPER(LEFT(INDEX($GA35:$GG35,1,$DY35),1))&amp;MID(INDEX($GA35:$GG35,1,$DY35),2,99)&amp;" = "&amp;FLOOR($FR35*4.5,1)&amp;IF($FS35&gt;0," · +"&amp;$FS35&amp;"d8","")))</f>
        <v/>
      </c>
      <c r="GR35" s="152">
        <f>COUNTIF($EB35:$EE35,"Longe")+3*COUNTIF($EB35:$EE35,"Muito Longe")</f>
        <v/>
      </c>
      <c r="GS35" s="152">
        <f>COUNTIF($EB35:$EE35,"Maior")+3*COUNTIF($EB35:$EE35,"Muito Maior")</f>
        <v/>
      </c>
      <c r="GT35" s="152">
        <f>IF($EI35=0,0,CHOOSE(1+INDEX($AH$2:$AH$11,$EI35),0,$GR35,$GS35,$GR35+$GS35))</f>
        <v/>
      </c>
      <c r="GU35" s="152">
        <f>IF($EI35=0,0,CHOOSE(1+INDEX($AI$2:$AI$11,$EI35),0,$GR35,$GS35,$GR35+$GS35))</f>
        <v/>
      </c>
      <c r="GV35" s="152">
        <f>IF(OR($EH35=0,$EI35=0),"",INDEX($AP$2:$AU$31,($EI35-1)*3+IF($DY35&gt;=6,3,2),1+MIN(5,$GT35))&amp;INDEX($AV$2:$BA$31,($EI35-1)*3+IF($DY35&gt;=6,3,2),1+MIN(5,$GU35))&amp;IF(INDEX($AJ$2:$AJ$11,$EI35)=1,IF(COUNTIF($EB35:$EE35,"Mais Um")&gt;0," · +"&amp;COUNTIF($EB35:$EE35,"Mais Um")&amp;IF(COUNTIF($EB35:$EE35,"Mais Um")&gt;1," alvos"," alvo"),"")&amp;IF(COUNTIF($EB35:$EE35,"Rajada")&gt;0," · "&amp;($DY35+1)&amp;" tiros",""),""))</f>
        <v/>
      </c>
      <c r="GW35" s="152">
        <f>IF($EH35=0,"",3*$DY35&amp;" − "&amp;$FL35&amp;" + "&amp;$FO35&amp;IF($DW35=1," + "&amp;$DY35,"")&amp;" = "&amp;$FR35&amp;"d8 · teto "&amp;4*$DY35&amp;IF($EU35=1," · a Forma devolve "&amp;$DY35,"")&amp;IF($FP35&gt;0," · perde "&amp;$FP35,""))</f>
        <v/>
      </c>
      <c r="GX35" s="152">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52">
        <f>IF(OR($EH35=0,$EK35=0),"","−"&amp;INDEX($Q$2:$V$8,$DY35,$EK35)&amp;" · "&amp;CHOOSE($EK35,"Leve","Média","Pesada","Leve · Livre","Média · Livre","Pesada · Livre"))</f>
        <v/>
      </c>
      <c r="GZ35" s="152">
        <f>IF(OR($EH35=0,$EL35=0),"","−"&amp;INDEX($Q$2:$V$8,$DY35,$EL35)&amp;" · "&amp;CHOOSE($EL35,"Leve","Média","Pesada","Leve · Livre","Média · Livre","Pesada · Livre"))</f>
        <v/>
      </c>
      <c r="HA35" s="152">
        <f>IF(OR($EH35=0,$EM35=0),"","−"&amp;INDEX($Q$2:$V$8,$DY35,$EM35)&amp;" · "&amp;CHOOSE($EM35,"Leve","Média","Pesada","Leve · Livre","Média · Livre","Pesada · Livre"))</f>
        <v/>
      </c>
      <c r="HB35" s="152">
        <f>IF(OR($EH35=0,$EN35=0),"","−"&amp;INDEX($Q$2:$V$8,$DY35,$EN35)&amp;" · "&amp;CHOOSE($EN35,"Leve","Média","Pesada","Leve · Livre","Média · Livre","Pesada · Livre"))</f>
        <v/>
      </c>
      <c r="HC35" s="152">
        <f>IF(OR($EH35=0,$EF35=""),"","+"&amp;IF($EX35=1,CEILING($DY35/2,1),$DY35))</f>
        <v/>
      </c>
      <c r="HD35" s="152">
        <f>IF(OR($EH35=0,$EG35=""),"","+"&amp;IF($EY35=1,CEILING($DY35/2,1),$DY35))</f>
        <v/>
      </c>
      <c r="HE35" s="152">
        <f>'FICHA AMALDIÇOADA'!$D$288&amp;""</f>
        <v/>
      </c>
      <c r="HF35" s="152">
        <f>IF(AND($EH35=1,$DW35=0),COUNTIFS($EH$2:$EH35,1,$DW$2:$DW35,0),"")</f>
        <v/>
      </c>
      <c r="HH35" s="150" t="inlineStr">
        <is>
          <t>dados da técnica máxima</t>
        </is>
      </c>
      <c r="HI35" s="152">
        <f>IFERROR(VLOOKUP($HI$2,$DG$2:$DI$4,2,TRUE),0)</f>
        <v/>
      </c>
      <c r="JD35" s="152" t="n">
        <v>34</v>
      </c>
      <c r="JE35" s="152">
        <f>IFERROR(MATCH(34,$HF$2:$HF$37,0),0)</f>
        <v/>
      </c>
      <c r="JF35" s="152">
        <f>IF($JE35=0,"",INDEX($DY$2:$DY$37,$JE35))</f>
        <v/>
      </c>
      <c r="JG35" s="152">
        <f>IF($JE35=0,"",INDEX($DZ$2:$DZ$37,$JE35))</f>
        <v/>
      </c>
      <c r="JH35" s="152">
        <f>IF($JE35=0,"",INDEX($GN$2:$GN$37,$JE35))</f>
        <v/>
      </c>
      <c r="JI35" s="152">
        <f>IF($JE35=0,"",INDEX($EA$2:$EA$37,$JE35))</f>
        <v/>
      </c>
      <c r="JJ35" s="152">
        <f>IF($JE35=0,"",INDEX($GP$2:$GP$37,$JE35))</f>
        <v/>
      </c>
      <c r="JK35" s="152">
        <f>IF($JE35=0,"",INDEX($HE$2:$HE$37,$JE35))</f>
        <v/>
      </c>
      <c r="KQ35" s="150" t="inlineStr">
        <is>
          <t>D316</t>
        </is>
      </c>
      <c r="KR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DV36" s="150" t="inlineStr">
        <is>
          <t>Feitiço 35</t>
        </is>
      </c>
      <c r="DW36" s="152" t="n">
        <v>0</v>
      </c>
      <c r="DX36" s="152" t="n">
        <v>35</v>
      </c>
      <c r="DY36" s="152">
        <f>MAX(1,MIN(7,N('FICHA AMALDIÇOADA'!$J$286)))</f>
        <v/>
      </c>
      <c r="DZ36" s="152">
        <f>'FICHA AMALDIÇOADA'!$K$286&amp;""</f>
        <v/>
      </c>
      <c r="EA36" s="152">
        <f>'FICHA AMALDIÇOADA'!$J$293&amp;""</f>
        <v/>
      </c>
      <c r="EB36" s="152">
        <f>'FICHA AMALDIÇOADA'!$K$295&amp;""</f>
        <v/>
      </c>
      <c r="EC36" s="152">
        <f>'FICHA AMALDIÇOADA'!$K$296&amp;""</f>
        <v/>
      </c>
      <c r="ED36" s="152">
        <f>'FICHA AMALDIÇOADA'!$K$297&amp;""</f>
        <v/>
      </c>
      <c r="EE36" s="152">
        <f>'FICHA AMALDIÇOADA'!$K$298&amp;""</f>
        <v/>
      </c>
      <c r="EF36" s="152">
        <f>'FICHA AMALDIÇOADA'!$K$299&amp;""</f>
        <v/>
      </c>
      <c r="EG36" s="152">
        <f>'FICHA AMALDIÇOADA'!$K$300&amp;""</f>
        <v/>
      </c>
      <c r="EH36" s="152">
        <f>IF($DZ36&lt;&gt;"",1,0)</f>
        <v/>
      </c>
      <c r="EI36" s="152">
        <f>IFERROR(MATCH($EA36,$Y$2:$Y$11,0),0)</f>
        <v/>
      </c>
      <c r="EJ36" s="152">
        <f>IF($EI36=0,0,INDEX($AB$2:$AB$11,$EI36))</f>
        <v/>
      </c>
      <c r="EK36" s="152">
        <f>IFERROR(VLOOKUP($EB36,$BC$2:$BJ$84,4,FALSE),0)</f>
        <v/>
      </c>
      <c r="EL36" s="152">
        <f>IFERROR(VLOOKUP($EC36,$BC$2:$BJ$84,4,FALSE),0)</f>
        <v/>
      </c>
      <c r="EM36" s="152">
        <f>IFERROR(VLOOKUP($ED36,$BC$2:$BJ$84,4,FALSE),0)</f>
        <v/>
      </c>
      <c r="EN36" s="152">
        <f>IFERROR(VLOOKUP($EE36,$BC$2:$BJ$84,4,FALSE),0)</f>
        <v/>
      </c>
      <c r="EO36" s="152">
        <f>IF($EI36=0,0,INDEX($AC$2:$AC$11,$EI36))</f>
        <v/>
      </c>
      <c r="EP36" s="152">
        <f>IFERROR(VLOOKUP($EB36,$BC$2:$BJ$84,5,FALSE),0)</f>
        <v/>
      </c>
      <c r="EQ36" s="152">
        <f>IFERROR(VLOOKUP($EC36,$BC$2:$BJ$84,5,FALSE),0)</f>
        <v/>
      </c>
      <c r="ER36" s="152">
        <f>IFERROR(VLOOKUP($ED36,$BC$2:$BJ$84,5,FALSE),0)</f>
        <v/>
      </c>
      <c r="ES36" s="152">
        <f>IFERROR(VLOOKUP($EE36,$BC$2:$BJ$84,5,FALSE),0)</f>
        <v/>
      </c>
      <c r="ET36" s="152">
        <f>IFERROR(VLOOKUP($EB36,$BC$2:$BJ$84,6,FALSE),0)+IFERROR(VLOOKUP($EC36,$BC$2:$BJ$84,6,FALSE),0)+IFERROR(VLOOKUP($ED36,$BC$2:$BJ$84,6,FALSE),0)+IFERROR(VLOOKUP($EE36,$BC$2:$BJ$84,6,FALSE),0)</f>
        <v/>
      </c>
      <c r="EU36" s="152">
        <f>IF($EI36=0,0,INDEX($AD$2:$AD$11,$EI36))</f>
        <v/>
      </c>
      <c r="EV36" s="152">
        <f>IF($EI36=0,0,INDEX($AE$2:$AE$11,$EI36))</f>
        <v/>
      </c>
      <c r="EW36" s="152">
        <f>IF($EI36=0,0,INDEX($AG$2:$AG$11,$EI36))</f>
        <v/>
      </c>
      <c r="EX36" s="152">
        <f>IFERROR(VLOOKUP($EF36,$BL$2:$BP$24,3,FALSE),0)</f>
        <v/>
      </c>
      <c r="EY36" s="152">
        <f>IFERROR(VLOOKUP($EG36,$BL$2:$BP$24,3,FALSE),0)</f>
        <v/>
      </c>
      <c r="EZ36" s="152">
        <f>IFERROR(VLOOKUP($EF36,$BL$2:$BP$24,2,FALSE),"")</f>
        <v/>
      </c>
      <c r="FA36" s="152">
        <f>IFERROR(VLOOKUP($EG36,$BL$2:$BP$24,2,FALSE),"")</f>
        <v/>
      </c>
      <c r="FB36" s="152">
        <f>COUNTIF($EJ36:$EN36,1)</f>
        <v/>
      </c>
      <c r="FC36" s="152">
        <f>COUNTIF($EJ36:$EN36,2)</f>
        <v/>
      </c>
      <c r="FD36" s="152">
        <f>COUNTIF($EJ36:$EN36,3)</f>
        <v/>
      </c>
      <c r="FE36" s="152">
        <f>COUNTIF($EJ36:$EN36,4)</f>
        <v/>
      </c>
      <c r="FF36" s="152">
        <f>COUNTIF($EJ36:$EN36,5)</f>
        <v/>
      </c>
      <c r="FG36" s="152">
        <f>COUNTIF($EJ36:$EN36,6)</f>
        <v/>
      </c>
      <c r="FH36" s="152">
        <f>COUNTIF($EX36:$EY36,1)</f>
        <v/>
      </c>
      <c r="FI36" s="152">
        <f>COUNTIF($EX36:$EY36,2)+$EU36</f>
        <v/>
      </c>
      <c r="FJ36" s="152">
        <f>COUNTIF($EB36:$EE36,"?*")</f>
        <v/>
      </c>
      <c r="FK36" s="152">
        <f>COUNTIF($EF36:$EG36,"?*")+$EU36</f>
        <v/>
      </c>
      <c r="FL36" s="152">
        <f>SUMPRODUCT($FB36:$FG36,INDEX($Q$2:$V$8,$DY36,0))</f>
        <v/>
      </c>
      <c r="FM36" s="152">
        <f>$FH36*CEILING($DY36/2,1)+$FI36*$DY36</f>
        <v/>
      </c>
      <c r="FN36" s="152">
        <f>MIN(2*$DY36,$FM36)</f>
        <v/>
      </c>
      <c r="FO36" s="152">
        <f>MIN($FN36,$FL36)</f>
        <v/>
      </c>
      <c r="FP36" s="152">
        <f>$FN36-$FO36</f>
        <v/>
      </c>
      <c r="FQ36" s="152">
        <f>3*$DY36-$FL36+$FO36</f>
        <v/>
      </c>
      <c r="FR36" s="152">
        <f>MAX(0,$FQ36)+$DW36*$DY36</f>
        <v/>
      </c>
      <c r="FS36" s="152">
        <f>(IF(COUNTIF($EB36:$EE36,"Salto")&gt;0,1,0)+IF(COUNTIF($EB36:$EE36,"Queima")&gt;0,1,0)+IF(COUNTIF($EB36:$EE36,"Estilhaço")&gt;0,1,0))*FLOOR($FR36/2,1)</f>
        <v/>
      </c>
      <c r="FT36" s="152">
        <f>MAX(0,3-SUMPRODUCT($FB36:$FG36,$Q$2:$V$2)+MIN(2,$FH36*1+$FI36*1,SUMPRODUCT($FB36:$FG36,$Q$2:$V$2)))+$DW36*1</f>
        <v/>
      </c>
      <c r="FU36" s="152">
        <f>MAX(0,6-SUMPRODUCT($FB36:$FG36,$Q$3:$V$3)+MIN(4,$FH36*1+$FI36*2,SUMPRODUCT($FB36:$FG36,$Q$3:$V$3)))+$DW36*2</f>
        <v/>
      </c>
      <c r="FV36" s="152">
        <f>MAX(0,9-SUMPRODUCT($FB36:$FG36,$Q$4:$V$4)+MIN(6,$FH36*2+$FI36*3,SUMPRODUCT($FB36:$FG36,$Q$4:$V$4)))+$DW36*3</f>
        <v/>
      </c>
      <c r="FW36" s="152">
        <f>MAX(0,12-SUMPRODUCT($FB36:$FG36,$Q$5:$V$5)+MIN(8,$FH36*2+$FI36*4,SUMPRODUCT($FB36:$FG36,$Q$5:$V$5)))+$DW36*4</f>
        <v/>
      </c>
      <c r="FX36" s="152">
        <f>MAX(0,15-SUMPRODUCT($FB36:$FG36,$Q$6:$V$6)+MIN(10,$FH36*3+$FI36*5,SUMPRODUCT($FB36:$FG36,$Q$6:$V$6)))+$DW36*5</f>
        <v/>
      </c>
      <c r="FY36" s="152">
        <f>MAX(0,18-SUMPRODUCT($FB36:$FG36,$Q$7:$V$7)+MIN(12,$FH36*3+$FI36*6,SUMPRODUCT($FB36:$FG36,$Q$7:$V$7)))+$DW36*6</f>
        <v/>
      </c>
      <c r="FZ36" s="152">
        <f>MAX(0,21-SUMPRODUCT($FB36:$FG36,$Q$8:$V$8)+MIN(14,$FH36*4+$FI36*7,SUMPRODUCT($FB36:$FG36,$Q$8:$V$8)))+$DW36*7</f>
        <v/>
      </c>
      <c r="GA36" s="152">
        <f>IF($EV36=2,3*$FT36&amp;" de vida temp.",IF($EV36=3,"sem dano",IF($FT36=0,IF($EV36=1,"sem cura","sem dano"),IF($EV36=1,"cura ","")&amp;$FT36&amp;"d8")))</f>
        <v/>
      </c>
      <c r="GB36" s="152">
        <f>IF($EV36=2,3*$FU36&amp;" de vida temp.",IF($EV36=3,"sem dano",IF($FU36=0,IF($EV36=1,"sem cura","sem dano"),IF($EV36=1,"cura ","")&amp;$FU36&amp;"d8")))</f>
        <v/>
      </c>
      <c r="GC36" s="152">
        <f>IF($EV36=2,3*$FV36&amp;" de vida temp.",IF($EV36=3,"sem dano",IF($FV36=0,IF($EV36=1,"sem cura","sem dano"),IF($EV36=1,"cura ","")&amp;$FV36&amp;"d8")))</f>
        <v/>
      </c>
      <c r="GD36" s="152">
        <f>IF($EV36=2,3*$FW36&amp;" de vida temp.",IF($EV36=3,"sem dano",IF($FW36=0,IF($EV36=1,"sem cura","sem dano"),IF($EV36=1,"cura ","")&amp;$FW36&amp;"d8")))</f>
        <v/>
      </c>
      <c r="GE36" s="152">
        <f>IF($EV36=2,3*$FX36&amp;" de vida temp.",IF($EV36=3,"sem dano",IF($FX36=0,IF($EV36=1,"sem cura","sem dano"),IF($EV36=1,"cura ","")&amp;$FX36&amp;"d8")))</f>
        <v/>
      </c>
      <c r="GF36" s="152">
        <f>IF($EV36=2,3*$FY36&amp;" de vida temp.",IF($EV36=3,"sem dano",IF($FY36=0,IF($EV36=1,"sem cura","sem dano"),IF($EV36=1,"cura ","")&amp;$FY36&amp;"d8")))</f>
        <v/>
      </c>
      <c r="GG36" s="152">
        <f>IF($EV36=2,3*$FZ36&amp;" de vida temp.",IF($EV36=3,"sem dano",IF($FZ36=0,IF($EV36=1,"sem cura","sem dano"),IF($EV36=1,"cura ","")&amp;$FZ36&amp;"d8")))</f>
        <v/>
      </c>
      <c r="GH36" s="152">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52">
        <f>IF($GH36="",0,(LEN($GH36)-LEN(SUBSTITUTE($GH36," · ","")))/3+1)</f>
        <v/>
      </c>
      <c r="GJ36" s="152">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52">
        <f>IF($GJ36="",0,(LEN($GJ36)-LEN(SUBSTITUTE($GJ36," · ","")))/3+1)</f>
        <v/>
      </c>
      <c r="GL36" s="152">
        <f>IF($EH36=0,IF($FJ36+$FK36-$EU36&gt;0,"Dê um nome",""),IF($GI36&gt;0,"⚠ "&amp;$GI36&amp;IF($GI36&gt;1," erros"," erro"),IF($GK36&gt;0,"! "&amp;$GK36&amp;IF($GK36&gt;1," avisos"," aviso"),"Na regra")))</f>
        <v/>
      </c>
      <c r="GM36" s="152">
        <f>IF($EH36=0,"",IF($GI36+$GK36=0,"Dentro das regras que a ficha confere",$GH36&amp;IF(AND($GI36&gt;0,$GK36&gt;0)," · ","")&amp;$GJ36))</f>
        <v/>
      </c>
      <c r="GN36" s="152">
        <f>IF($EH36=0,"",IF($DW36=1,CEILING(4.5*$DY36,1),3*$DY36)&amp;" PE")</f>
        <v/>
      </c>
      <c r="GO36" s="152">
        <f>IF($EH36=0,"",IF($DW36=1,"Rodada inteira",IF(COUNTIF($EZ36:$FA36,"Atrasar")&gt;0,IF(COUNTIF($EZ36:$FA36,"Carregar")&gt;0,"Rodada +1 turno","Rodada inteira"),IF(COUNTIF($EB36:$EE36,"Rápido")&gt;0,"Bônus",IF(COUNTIF($EB36:$EE36,"Reação")&gt;0,"Reação","Padrão"))&amp;IF(COUNTIF($EZ36:$FA36,"Carregar")&gt;0," +1 turno",""))))</f>
        <v/>
      </c>
      <c r="GP36" s="152">
        <f>IF(OR($EH36=0,$EI36=0),"",IF(COUNTIF($EB36:$EE36,"Inescapável")&gt;0,"Automático",IF(COUNTIF($EB36:$EE36,"Certeiro")&gt;0,"TR para metade",INDEX($AF$2:$AF$11,$EI36))))</f>
        <v/>
      </c>
      <c r="GQ36" s="152">
        <f>IF(OR($EH36=0,$EI36=0),"",IF(OR($EV36&gt;=2,$FR36=0),UPPER(LEFT(INDEX($GA36:$GG36,1,$DY36),1))&amp;MID(INDEX($GA36:$GG36,1,$DY36),2,99),UPPER(LEFT(INDEX($GA36:$GG36,1,$DY36),1))&amp;MID(INDEX($GA36:$GG36,1,$DY36),2,99)&amp;" = "&amp;FLOOR($FR36*4.5,1)&amp;IF($FS36&gt;0," · +"&amp;$FS36&amp;"d8","")))</f>
        <v/>
      </c>
      <c r="GR36" s="152">
        <f>COUNTIF($EB36:$EE36,"Longe")+3*COUNTIF($EB36:$EE36,"Muito Longe")</f>
        <v/>
      </c>
      <c r="GS36" s="152">
        <f>COUNTIF($EB36:$EE36,"Maior")+3*COUNTIF($EB36:$EE36,"Muito Maior")</f>
        <v/>
      </c>
      <c r="GT36" s="152">
        <f>IF($EI36=0,0,CHOOSE(1+INDEX($AH$2:$AH$11,$EI36),0,$GR36,$GS36,$GR36+$GS36))</f>
        <v/>
      </c>
      <c r="GU36" s="152">
        <f>IF($EI36=0,0,CHOOSE(1+INDEX($AI$2:$AI$11,$EI36),0,$GR36,$GS36,$GR36+$GS36))</f>
        <v/>
      </c>
      <c r="GV36" s="152">
        <f>IF(OR($EH36=0,$EI36=0),"",INDEX($AP$2:$AU$31,($EI36-1)*3+IF($DY36&gt;=6,3,2),1+MIN(5,$GT36))&amp;INDEX($AV$2:$BA$31,($EI36-1)*3+IF($DY36&gt;=6,3,2),1+MIN(5,$GU36))&amp;IF(INDEX($AJ$2:$AJ$11,$EI36)=1,IF(COUNTIF($EB36:$EE36,"Mais Um")&gt;0," · +"&amp;COUNTIF($EB36:$EE36,"Mais Um")&amp;IF(COUNTIF($EB36:$EE36,"Mais Um")&gt;1," alvos"," alvo"),"")&amp;IF(COUNTIF($EB36:$EE36,"Rajada")&gt;0," · "&amp;($DY36+1)&amp;" tiros",""),""))</f>
        <v/>
      </c>
      <c r="GW36" s="152">
        <f>IF($EH36=0,"",3*$DY36&amp;" − "&amp;$FL36&amp;" + "&amp;$FO36&amp;IF($DW36=1," + "&amp;$DY36,"")&amp;" = "&amp;$FR36&amp;"d8 · teto "&amp;4*$DY36&amp;IF($EU36=1," · a Forma devolve "&amp;$DY36,"")&amp;IF($FP36&gt;0," · perde "&amp;$FP36,""))</f>
        <v/>
      </c>
      <c r="GX36" s="152">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52">
        <f>IF(OR($EH36=0,$EK36=0),"","−"&amp;INDEX($Q$2:$V$8,$DY36,$EK36)&amp;" · "&amp;CHOOSE($EK36,"Leve","Média","Pesada","Leve · Livre","Média · Livre","Pesada · Livre"))</f>
        <v/>
      </c>
      <c r="GZ36" s="152">
        <f>IF(OR($EH36=0,$EL36=0),"","−"&amp;INDEX($Q$2:$V$8,$DY36,$EL36)&amp;" · "&amp;CHOOSE($EL36,"Leve","Média","Pesada","Leve · Livre","Média · Livre","Pesada · Livre"))</f>
        <v/>
      </c>
      <c r="HA36" s="152">
        <f>IF(OR($EH36=0,$EM36=0),"","−"&amp;INDEX($Q$2:$V$8,$DY36,$EM36)&amp;" · "&amp;CHOOSE($EM36,"Leve","Média","Pesada","Leve · Livre","Média · Livre","Pesada · Livre"))</f>
        <v/>
      </c>
      <c r="HB36" s="152">
        <f>IF(OR($EH36=0,$EN36=0),"","−"&amp;INDEX($Q$2:$V$8,$DY36,$EN36)&amp;" · "&amp;CHOOSE($EN36,"Leve","Média","Pesada","Leve · Livre","Média · Livre","Pesada · Livre"))</f>
        <v/>
      </c>
      <c r="HC36" s="152">
        <f>IF(OR($EH36=0,$EF36=""),"","+"&amp;IF($EX36=1,CEILING($DY36/2,1),$DY36))</f>
        <v/>
      </c>
      <c r="HD36" s="152">
        <f>IF(OR($EH36=0,$EG36=""),"","+"&amp;IF($EY36=1,CEILING($DY36/2,1),$DY36))</f>
        <v/>
      </c>
      <c r="HE36" s="152">
        <f>'FICHA AMALDIÇOADA'!$J$288&amp;""</f>
        <v/>
      </c>
      <c r="HF36" s="152">
        <f>IF(AND($EH36=1,$DW36=0),COUNTIFS($EH$2:$EH36,1,$DW$2:$DW36,0),"")</f>
        <v/>
      </c>
      <c r="HH36" s="150" t="inlineStr">
        <is>
          <t>montagem da técnica máxima</t>
        </is>
      </c>
      <c r="HI36" s="152">
        <f>IFERROR(VLOOKUP($HI$2,$DG$2:$DI$4,3,TRUE),0)</f>
        <v/>
      </c>
      <c r="JD36" s="152" t="n">
        <v>35</v>
      </c>
      <c r="JE36" s="152">
        <f>IFERROR(MATCH(35,$HF$2:$HF$37,0),0)</f>
        <v/>
      </c>
      <c r="JF36" s="152">
        <f>IF($JE36=0,"",INDEX($DY$2:$DY$37,$JE36))</f>
        <v/>
      </c>
      <c r="JG36" s="152">
        <f>IF($JE36=0,"",INDEX($DZ$2:$DZ$37,$JE36))</f>
        <v/>
      </c>
      <c r="JH36" s="152">
        <f>IF($JE36=0,"",INDEX($GN$2:$GN$37,$JE36))</f>
        <v/>
      </c>
      <c r="JI36" s="152">
        <f>IF($JE36=0,"",INDEX($EA$2:$EA$37,$JE36))</f>
        <v/>
      </c>
      <c r="JJ36" s="152">
        <f>IF($JE36=0,"",INDEX($GP$2:$GP$37,$JE36))</f>
        <v/>
      </c>
      <c r="JK36" s="152">
        <f>IF($JE36=0,"",INDEX($HE$2:$HE$37,$JE36))</f>
        <v/>
      </c>
      <c r="KQ36" s="150" t="inlineStr">
        <is>
          <t>D340</t>
        </is>
      </c>
      <c r="KR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DV37" s="150" t="inlineStr">
        <is>
          <t>Feitiço 36</t>
        </is>
      </c>
      <c r="DW37" s="152" t="n">
        <v>0</v>
      </c>
      <c r="DX37" s="152" t="n">
        <v>36</v>
      </c>
      <c r="DY37" s="152">
        <f>MAX(1,MIN(7,N('FICHA AMALDIÇOADA'!$P$286)))</f>
        <v/>
      </c>
      <c r="DZ37" s="152">
        <f>'FICHA AMALDIÇOADA'!$Q$286&amp;""</f>
        <v/>
      </c>
      <c r="EA37" s="152">
        <f>'FICHA AMALDIÇOADA'!$P$293&amp;""</f>
        <v/>
      </c>
      <c r="EB37" s="152">
        <f>'FICHA AMALDIÇOADA'!$Q$295&amp;""</f>
        <v/>
      </c>
      <c r="EC37" s="152">
        <f>'FICHA AMALDIÇOADA'!$Q$296&amp;""</f>
        <v/>
      </c>
      <c r="ED37" s="152">
        <f>'FICHA AMALDIÇOADA'!$Q$297&amp;""</f>
        <v/>
      </c>
      <c r="EE37" s="152">
        <f>'FICHA AMALDIÇOADA'!$Q$298&amp;""</f>
        <v/>
      </c>
      <c r="EF37" s="152">
        <f>'FICHA AMALDIÇOADA'!$Q$299&amp;""</f>
        <v/>
      </c>
      <c r="EG37" s="152">
        <f>'FICHA AMALDIÇOADA'!$Q$300&amp;""</f>
        <v/>
      </c>
      <c r="EH37" s="152">
        <f>IF($DZ37&lt;&gt;"",1,0)</f>
        <v/>
      </c>
      <c r="EI37" s="152">
        <f>IFERROR(MATCH($EA37,$Y$2:$Y$11,0),0)</f>
        <v/>
      </c>
      <c r="EJ37" s="152">
        <f>IF($EI37=0,0,INDEX($AB$2:$AB$11,$EI37))</f>
        <v/>
      </c>
      <c r="EK37" s="152">
        <f>IFERROR(VLOOKUP($EB37,$BC$2:$BJ$84,4,FALSE),0)</f>
        <v/>
      </c>
      <c r="EL37" s="152">
        <f>IFERROR(VLOOKUP($EC37,$BC$2:$BJ$84,4,FALSE),0)</f>
        <v/>
      </c>
      <c r="EM37" s="152">
        <f>IFERROR(VLOOKUP($ED37,$BC$2:$BJ$84,4,FALSE),0)</f>
        <v/>
      </c>
      <c r="EN37" s="152">
        <f>IFERROR(VLOOKUP($EE37,$BC$2:$BJ$84,4,FALSE),0)</f>
        <v/>
      </c>
      <c r="EO37" s="152">
        <f>IF($EI37=0,0,INDEX($AC$2:$AC$11,$EI37))</f>
        <v/>
      </c>
      <c r="EP37" s="152">
        <f>IFERROR(VLOOKUP($EB37,$BC$2:$BJ$84,5,FALSE),0)</f>
        <v/>
      </c>
      <c r="EQ37" s="152">
        <f>IFERROR(VLOOKUP($EC37,$BC$2:$BJ$84,5,FALSE),0)</f>
        <v/>
      </c>
      <c r="ER37" s="152">
        <f>IFERROR(VLOOKUP($ED37,$BC$2:$BJ$84,5,FALSE),0)</f>
        <v/>
      </c>
      <c r="ES37" s="152">
        <f>IFERROR(VLOOKUP($EE37,$BC$2:$BJ$84,5,FALSE),0)</f>
        <v/>
      </c>
      <c r="ET37" s="152">
        <f>IFERROR(VLOOKUP($EB37,$BC$2:$BJ$84,6,FALSE),0)+IFERROR(VLOOKUP($EC37,$BC$2:$BJ$84,6,FALSE),0)+IFERROR(VLOOKUP($ED37,$BC$2:$BJ$84,6,FALSE),0)+IFERROR(VLOOKUP($EE37,$BC$2:$BJ$84,6,FALSE),0)</f>
        <v/>
      </c>
      <c r="EU37" s="152">
        <f>IF($EI37=0,0,INDEX($AD$2:$AD$11,$EI37))</f>
        <v/>
      </c>
      <c r="EV37" s="152">
        <f>IF($EI37=0,0,INDEX($AE$2:$AE$11,$EI37))</f>
        <v/>
      </c>
      <c r="EW37" s="152">
        <f>IF($EI37=0,0,INDEX($AG$2:$AG$11,$EI37))</f>
        <v/>
      </c>
      <c r="EX37" s="152">
        <f>IFERROR(VLOOKUP($EF37,$BL$2:$BP$24,3,FALSE),0)</f>
        <v/>
      </c>
      <c r="EY37" s="152">
        <f>IFERROR(VLOOKUP($EG37,$BL$2:$BP$24,3,FALSE),0)</f>
        <v/>
      </c>
      <c r="EZ37" s="152">
        <f>IFERROR(VLOOKUP($EF37,$BL$2:$BP$24,2,FALSE),"")</f>
        <v/>
      </c>
      <c r="FA37" s="152">
        <f>IFERROR(VLOOKUP($EG37,$BL$2:$BP$24,2,FALSE),"")</f>
        <v/>
      </c>
      <c r="FB37" s="152">
        <f>COUNTIF($EJ37:$EN37,1)</f>
        <v/>
      </c>
      <c r="FC37" s="152">
        <f>COUNTIF($EJ37:$EN37,2)</f>
        <v/>
      </c>
      <c r="FD37" s="152">
        <f>COUNTIF($EJ37:$EN37,3)</f>
        <v/>
      </c>
      <c r="FE37" s="152">
        <f>COUNTIF($EJ37:$EN37,4)</f>
        <v/>
      </c>
      <c r="FF37" s="152">
        <f>COUNTIF($EJ37:$EN37,5)</f>
        <v/>
      </c>
      <c r="FG37" s="152">
        <f>COUNTIF($EJ37:$EN37,6)</f>
        <v/>
      </c>
      <c r="FH37" s="152">
        <f>COUNTIF($EX37:$EY37,1)</f>
        <v/>
      </c>
      <c r="FI37" s="152">
        <f>COUNTIF($EX37:$EY37,2)+$EU37</f>
        <v/>
      </c>
      <c r="FJ37" s="152">
        <f>COUNTIF($EB37:$EE37,"?*")</f>
        <v/>
      </c>
      <c r="FK37" s="152">
        <f>COUNTIF($EF37:$EG37,"?*")+$EU37</f>
        <v/>
      </c>
      <c r="FL37" s="152">
        <f>SUMPRODUCT($FB37:$FG37,INDEX($Q$2:$V$8,$DY37,0))</f>
        <v/>
      </c>
      <c r="FM37" s="152">
        <f>$FH37*CEILING($DY37/2,1)+$FI37*$DY37</f>
        <v/>
      </c>
      <c r="FN37" s="152">
        <f>MIN(2*$DY37,$FM37)</f>
        <v/>
      </c>
      <c r="FO37" s="152">
        <f>MIN($FN37,$FL37)</f>
        <v/>
      </c>
      <c r="FP37" s="152">
        <f>$FN37-$FO37</f>
        <v/>
      </c>
      <c r="FQ37" s="152">
        <f>3*$DY37-$FL37+$FO37</f>
        <v/>
      </c>
      <c r="FR37" s="152">
        <f>MAX(0,$FQ37)+$DW37*$DY37</f>
        <v/>
      </c>
      <c r="FS37" s="152">
        <f>(IF(COUNTIF($EB37:$EE37,"Salto")&gt;0,1,0)+IF(COUNTIF($EB37:$EE37,"Queima")&gt;0,1,0)+IF(COUNTIF($EB37:$EE37,"Estilhaço")&gt;0,1,0))*FLOOR($FR37/2,1)</f>
        <v/>
      </c>
      <c r="FT37" s="152">
        <f>MAX(0,3-SUMPRODUCT($FB37:$FG37,$Q$2:$V$2)+MIN(2,$FH37*1+$FI37*1,SUMPRODUCT($FB37:$FG37,$Q$2:$V$2)))+$DW37*1</f>
        <v/>
      </c>
      <c r="FU37" s="152">
        <f>MAX(0,6-SUMPRODUCT($FB37:$FG37,$Q$3:$V$3)+MIN(4,$FH37*1+$FI37*2,SUMPRODUCT($FB37:$FG37,$Q$3:$V$3)))+$DW37*2</f>
        <v/>
      </c>
      <c r="FV37" s="152">
        <f>MAX(0,9-SUMPRODUCT($FB37:$FG37,$Q$4:$V$4)+MIN(6,$FH37*2+$FI37*3,SUMPRODUCT($FB37:$FG37,$Q$4:$V$4)))+$DW37*3</f>
        <v/>
      </c>
      <c r="FW37" s="152">
        <f>MAX(0,12-SUMPRODUCT($FB37:$FG37,$Q$5:$V$5)+MIN(8,$FH37*2+$FI37*4,SUMPRODUCT($FB37:$FG37,$Q$5:$V$5)))+$DW37*4</f>
        <v/>
      </c>
      <c r="FX37" s="152">
        <f>MAX(0,15-SUMPRODUCT($FB37:$FG37,$Q$6:$V$6)+MIN(10,$FH37*3+$FI37*5,SUMPRODUCT($FB37:$FG37,$Q$6:$V$6)))+$DW37*5</f>
        <v/>
      </c>
      <c r="FY37" s="152">
        <f>MAX(0,18-SUMPRODUCT($FB37:$FG37,$Q$7:$V$7)+MIN(12,$FH37*3+$FI37*6,SUMPRODUCT($FB37:$FG37,$Q$7:$V$7)))+$DW37*6</f>
        <v/>
      </c>
      <c r="FZ37" s="152">
        <f>MAX(0,21-SUMPRODUCT($FB37:$FG37,$Q$8:$V$8)+MIN(14,$FH37*4+$FI37*7,SUMPRODUCT($FB37:$FG37,$Q$8:$V$8)))+$DW37*7</f>
        <v/>
      </c>
      <c r="GA37" s="152">
        <f>IF($EV37=2,3*$FT37&amp;" de vida temp.",IF($EV37=3,"sem dano",IF($FT37=0,IF($EV37=1,"sem cura","sem dano"),IF($EV37=1,"cura ","")&amp;$FT37&amp;"d8")))</f>
        <v/>
      </c>
      <c r="GB37" s="152">
        <f>IF($EV37=2,3*$FU37&amp;" de vida temp.",IF($EV37=3,"sem dano",IF($FU37=0,IF($EV37=1,"sem cura","sem dano"),IF($EV37=1,"cura ","")&amp;$FU37&amp;"d8")))</f>
        <v/>
      </c>
      <c r="GC37" s="152">
        <f>IF($EV37=2,3*$FV37&amp;" de vida temp.",IF($EV37=3,"sem dano",IF($FV37=0,IF($EV37=1,"sem cura","sem dano"),IF($EV37=1,"cura ","")&amp;$FV37&amp;"d8")))</f>
        <v/>
      </c>
      <c r="GD37" s="152">
        <f>IF($EV37=2,3*$FW37&amp;" de vida temp.",IF($EV37=3,"sem dano",IF($FW37=0,IF($EV37=1,"sem cura","sem dano"),IF($EV37=1,"cura ","")&amp;$FW37&amp;"d8")))</f>
        <v/>
      </c>
      <c r="GE37" s="152">
        <f>IF($EV37=2,3*$FX37&amp;" de vida temp.",IF($EV37=3,"sem dano",IF($FX37=0,IF($EV37=1,"sem cura","sem dano"),IF($EV37=1,"cura ","")&amp;$FX37&amp;"d8")))</f>
        <v/>
      </c>
      <c r="GF37" s="152">
        <f>IF($EV37=2,3*$FY37&amp;" de vida temp.",IF($EV37=3,"sem dano",IF($FY37=0,IF($EV37=1,"sem cura","sem dano"),IF($EV37=1,"cura ","")&amp;$FY37&amp;"d8")))</f>
        <v/>
      </c>
      <c r="GG37" s="152">
        <f>IF($EV37=2,3*$FZ37&amp;" de vida temp.",IF($EV37=3,"sem dano",IF($FZ37=0,IF($EV37=1,"sem cura","sem dano"),IF($EV37=1,"cura ","")&amp;$FZ37&amp;"d8")))</f>
        <v/>
      </c>
      <c r="GH37" s="152">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52">
        <f>IF($GH37="",0,(LEN($GH37)-LEN(SUBSTITUTE($GH37," · ","")))/3+1)</f>
        <v/>
      </c>
      <c r="GJ37" s="152">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52">
        <f>IF($GJ37="",0,(LEN($GJ37)-LEN(SUBSTITUTE($GJ37," · ","")))/3+1)</f>
        <v/>
      </c>
      <c r="GL37" s="152">
        <f>IF($EH37=0,IF($FJ37+$FK37-$EU37&gt;0,"Dê um nome",""),IF($GI37&gt;0,"⚠ "&amp;$GI37&amp;IF($GI37&gt;1," erros"," erro"),IF($GK37&gt;0,"! "&amp;$GK37&amp;IF($GK37&gt;1," avisos"," aviso"),"Na regra")))</f>
        <v/>
      </c>
      <c r="GM37" s="152">
        <f>IF($EH37=0,"",IF($GI37+$GK37=0,"Dentro das regras que a ficha confere",$GH37&amp;IF(AND($GI37&gt;0,$GK37&gt;0)," · ","")&amp;$GJ37))</f>
        <v/>
      </c>
      <c r="GN37" s="152">
        <f>IF($EH37=0,"",IF($DW37=1,CEILING(4.5*$DY37,1),3*$DY37)&amp;" PE")</f>
        <v/>
      </c>
      <c r="GO37" s="152">
        <f>IF($EH37=0,"",IF($DW37=1,"Rodada inteira",IF(COUNTIF($EZ37:$FA37,"Atrasar")&gt;0,IF(COUNTIF($EZ37:$FA37,"Carregar")&gt;0,"Rodada +1 turno","Rodada inteira"),IF(COUNTIF($EB37:$EE37,"Rápido")&gt;0,"Bônus",IF(COUNTIF($EB37:$EE37,"Reação")&gt;0,"Reação","Padrão"))&amp;IF(COUNTIF($EZ37:$FA37,"Carregar")&gt;0," +1 turno",""))))</f>
        <v/>
      </c>
      <c r="GP37" s="152">
        <f>IF(OR($EH37=0,$EI37=0),"",IF(COUNTIF($EB37:$EE37,"Inescapável")&gt;0,"Automático",IF(COUNTIF($EB37:$EE37,"Certeiro")&gt;0,"TR para metade",INDEX($AF$2:$AF$11,$EI37))))</f>
        <v/>
      </c>
      <c r="GQ37" s="152">
        <f>IF(OR($EH37=0,$EI37=0),"",IF(OR($EV37&gt;=2,$FR37=0),UPPER(LEFT(INDEX($GA37:$GG37,1,$DY37),1))&amp;MID(INDEX($GA37:$GG37,1,$DY37),2,99),UPPER(LEFT(INDEX($GA37:$GG37,1,$DY37),1))&amp;MID(INDEX($GA37:$GG37,1,$DY37),2,99)&amp;" = "&amp;FLOOR($FR37*4.5,1)&amp;IF($FS37&gt;0," · +"&amp;$FS37&amp;"d8","")))</f>
        <v/>
      </c>
      <c r="GR37" s="152">
        <f>COUNTIF($EB37:$EE37,"Longe")+3*COUNTIF($EB37:$EE37,"Muito Longe")</f>
        <v/>
      </c>
      <c r="GS37" s="152">
        <f>COUNTIF($EB37:$EE37,"Maior")+3*COUNTIF($EB37:$EE37,"Muito Maior")</f>
        <v/>
      </c>
      <c r="GT37" s="152">
        <f>IF($EI37=0,0,CHOOSE(1+INDEX($AH$2:$AH$11,$EI37),0,$GR37,$GS37,$GR37+$GS37))</f>
        <v/>
      </c>
      <c r="GU37" s="152">
        <f>IF($EI37=0,0,CHOOSE(1+INDEX($AI$2:$AI$11,$EI37),0,$GR37,$GS37,$GR37+$GS37))</f>
        <v/>
      </c>
      <c r="GV37" s="152">
        <f>IF(OR($EH37=0,$EI37=0),"",INDEX($AP$2:$AU$31,($EI37-1)*3+IF($DY37&gt;=6,3,2),1+MIN(5,$GT37))&amp;INDEX($AV$2:$BA$31,($EI37-1)*3+IF($DY37&gt;=6,3,2),1+MIN(5,$GU37))&amp;IF(INDEX($AJ$2:$AJ$11,$EI37)=1,IF(COUNTIF($EB37:$EE37,"Mais Um")&gt;0," · +"&amp;COUNTIF($EB37:$EE37,"Mais Um")&amp;IF(COUNTIF($EB37:$EE37,"Mais Um")&gt;1," alvos"," alvo"),"")&amp;IF(COUNTIF($EB37:$EE37,"Rajada")&gt;0," · "&amp;($DY37+1)&amp;" tiros",""),""))</f>
        <v/>
      </c>
      <c r="GW37" s="152">
        <f>IF($EH37=0,"",3*$DY37&amp;" − "&amp;$FL37&amp;" + "&amp;$FO37&amp;IF($DW37=1," + "&amp;$DY37,"")&amp;" = "&amp;$FR37&amp;"d8 · teto "&amp;4*$DY37&amp;IF($EU37=1," · a Forma devolve "&amp;$DY37,"")&amp;IF($FP37&gt;0," · perde "&amp;$FP37,""))</f>
        <v/>
      </c>
      <c r="GX37" s="152">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52">
        <f>IF(OR($EH37=0,$EK37=0),"","−"&amp;INDEX($Q$2:$V$8,$DY37,$EK37)&amp;" · "&amp;CHOOSE($EK37,"Leve","Média","Pesada","Leve · Livre","Média · Livre","Pesada · Livre"))</f>
        <v/>
      </c>
      <c r="GZ37" s="152">
        <f>IF(OR($EH37=0,$EL37=0),"","−"&amp;INDEX($Q$2:$V$8,$DY37,$EL37)&amp;" · "&amp;CHOOSE($EL37,"Leve","Média","Pesada","Leve · Livre","Média · Livre","Pesada · Livre"))</f>
        <v/>
      </c>
      <c r="HA37" s="152">
        <f>IF(OR($EH37=0,$EM37=0),"","−"&amp;INDEX($Q$2:$V$8,$DY37,$EM37)&amp;" · "&amp;CHOOSE($EM37,"Leve","Média","Pesada","Leve · Livre","Média · Livre","Pesada · Livre"))</f>
        <v/>
      </c>
      <c r="HB37" s="152">
        <f>IF(OR($EH37=0,$EN37=0),"","−"&amp;INDEX($Q$2:$V$8,$DY37,$EN37)&amp;" · "&amp;CHOOSE($EN37,"Leve","Média","Pesada","Leve · Livre","Média · Livre","Pesada · Livre"))</f>
        <v/>
      </c>
      <c r="HC37" s="152">
        <f>IF(OR($EH37=0,$EF37=""),"","+"&amp;IF($EX37=1,CEILING($DY37/2,1),$DY37))</f>
        <v/>
      </c>
      <c r="HD37" s="152">
        <f>IF(OR($EH37=0,$EG37=""),"","+"&amp;IF($EY37=1,CEILING($DY37/2,1),$DY37))</f>
        <v/>
      </c>
      <c r="HE37" s="152">
        <f>'FICHA AMALDIÇOADA'!$P$288&amp;""</f>
        <v/>
      </c>
      <c r="HF37" s="152">
        <f>IF(AND($EH37=1,$DW37=0),COUNTIFS($EH$2:$EH37,1,$DW$2:$DW37,0),"")</f>
        <v/>
      </c>
      <c r="HH37" s="150" t="inlineStr">
        <is>
          <t>gasto da técnica máxima</t>
        </is>
      </c>
      <c r="HI37" s="152">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52" t="n">
        <v>36</v>
      </c>
      <c r="JE37" s="152">
        <f>IFERROR(MATCH(36,$HF$2:$HF$37,0),0)</f>
        <v/>
      </c>
      <c r="JF37" s="152">
        <f>IF($JE37=0,"",INDEX($DY$2:$DY$37,$JE37))</f>
        <v/>
      </c>
      <c r="JG37" s="152">
        <f>IF($JE37=0,"",INDEX($DZ$2:$DZ$37,$JE37))</f>
        <v/>
      </c>
      <c r="JH37" s="152">
        <f>IF($JE37=0,"",INDEX($GN$2:$GN$37,$JE37))</f>
        <v/>
      </c>
      <c r="JI37" s="152">
        <f>IF($JE37=0,"",INDEX($EA$2:$EA$37,$JE37))</f>
        <v/>
      </c>
      <c r="JJ37" s="152">
        <f>IF($JE37=0,"",INDEX($GP$2:$GP$37,$JE37))</f>
        <v/>
      </c>
      <c r="JK37" s="152">
        <f>IF($JE37=0,"",INDEX($HE$2:$HE$37,$JE37))</f>
        <v/>
      </c>
      <c r="KQ37" s="150" t="inlineStr">
        <is>
          <t>L343</t>
        </is>
      </c>
      <c r="KR37" s="152">
        <f>IF(DADOS_AM!$HI$35=0,"Nível 17",DADOS_AM!$HI$35&amp;"d8 = "&amp;FLOOR(DADOS_AM!$HI$35*4.5,1))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DV38" s="150" t="inlineStr">
        <is>
          <t>Liberação 1</t>
        </is>
      </c>
      <c r="DW38" s="152" t="n">
        <v>1</v>
      </c>
      <c r="DX38" s="152" t="n">
        <v>1</v>
      </c>
      <c r="DY38" s="152">
        <f>MAX(1,MIN(7,N('FICHA AMALDIÇOADA'!$D$319)))</f>
        <v/>
      </c>
      <c r="DZ38" s="152">
        <f>'FICHA AMALDIÇOADA'!$E$319&amp;""</f>
        <v/>
      </c>
      <c r="EA38" s="152">
        <f>'FICHA AMALDIÇOADA'!$D$326&amp;""</f>
        <v/>
      </c>
      <c r="EB38" s="152">
        <f>'FICHA AMALDIÇOADA'!$E$328&amp;""</f>
        <v/>
      </c>
      <c r="EC38" s="152">
        <f>'FICHA AMALDIÇOADA'!$E$329&amp;""</f>
        <v/>
      </c>
      <c r="ED38" s="152">
        <f>'FICHA AMALDIÇOADA'!$E$330&amp;""</f>
        <v/>
      </c>
      <c r="EE38" s="152">
        <f>'FICHA AMALDIÇOADA'!$E$331&amp;""</f>
        <v/>
      </c>
      <c r="EF38" s="152">
        <f>'FICHA AMALDIÇOADA'!$E$332&amp;""</f>
        <v/>
      </c>
      <c r="EG38" s="152">
        <f>'FICHA AMALDIÇOADA'!$E$333&amp;""</f>
        <v/>
      </c>
      <c r="EH38" s="152">
        <f>IF($DZ38&lt;&gt;"",1,0)</f>
        <v/>
      </c>
      <c r="EI38" s="152">
        <f>IFERROR(MATCH($EA38,$Y$2:$Y$11,0),0)</f>
        <v/>
      </c>
      <c r="EJ38" s="152">
        <f>IF($EI38=0,0,INDEX($AB$2:$AB$11,$EI38))</f>
        <v/>
      </c>
      <c r="EK38" s="152">
        <f>IFERROR(VLOOKUP($EB38,$BC$2:$BJ$84,4,FALSE),0)</f>
        <v/>
      </c>
      <c r="EL38" s="152">
        <f>IFERROR(VLOOKUP($EC38,$BC$2:$BJ$84,4,FALSE),0)</f>
        <v/>
      </c>
      <c r="EM38" s="152">
        <f>IFERROR(VLOOKUP($ED38,$BC$2:$BJ$84,4,FALSE),0)</f>
        <v/>
      </c>
      <c r="EN38" s="152">
        <f>IFERROR(VLOOKUP($EE38,$BC$2:$BJ$84,4,FALSE),0)</f>
        <v/>
      </c>
      <c r="EO38" s="152">
        <f>IF($EI38=0,0,INDEX($AC$2:$AC$11,$EI38))</f>
        <v/>
      </c>
      <c r="EP38" s="152">
        <f>IFERROR(VLOOKUP($EB38,$BC$2:$BJ$84,5,FALSE),0)</f>
        <v/>
      </c>
      <c r="EQ38" s="152">
        <f>IFERROR(VLOOKUP($EC38,$BC$2:$BJ$84,5,FALSE),0)</f>
        <v/>
      </c>
      <c r="ER38" s="152">
        <f>IFERROR(VLOOKUP($ED38,$BC$2:$BJ$84,5,FALSE),0)</f>
        <v/>
      </c>
      <c r="ES38" s="152">
        <f>IFERROR(VLOOKUP($EE38,$BC$2:$BJ$84,5,FALSE),0)</f>
        <v/>
      </c>
      <c r="ET38" s="152">
        <f>IFERROR(VLOOKUP($EB38,$BC$2:$BJ$84,6,FALSE),0)+IFERROR(VLOOKUP($EC38,$BC$2:$BJ$84,6,FALSE),0)+IFERROR(VLOOKUP($ED38,$BC$2:$BJ$84,6,FALSE),0)+IFERROR(VLOOKUP($EE38,$BC$2:$BJ$84,6,FALSE),0)</f>
        <v/>
      </c>
      <c r="EU38" s="152">
        <f>IF($EI38=0,0,INDEX($AD$2:$AD$11,$EI38))</f>
        <v/>
      </c>
      <c r="EV38" s="152">
        <f>IF($EI38=0,0,INDEX($AE$2:$AE$11,$EI38))</f>
        <v/>
      </c>
      <c r="EW38" s="152">
        <f>IF($EI38=0,0,INDEX($AG$2:$AG$11,$EI38))</f>
        <v/>
      </c>
      <c r="EX38" s="152">
        <f>IFERROR(VLOOKUP($EF38,$BL$2:$BP$24,3,FALSE),0)</f>
        <v/>
      </c>
      <c r="EY38" s="152">
        <f>IFERROR(VLOOKUP($EG38,$BL$2:$BP$24,3,FALSE),0)</f>
        <v/>
      </c>
      <c r="EZ38" s="152">
        <f>IFERROR(VLOOKUP($EF38,$BL$2:$BP$24,2,FALSE),"")</f>
        <v/>
      </c>
      <c r="FA38" s="152">
        <f>IFERROR(VLOOKUP($EG38,$BL$2:$BP$24,2,FALSE),"")</f>
        <v/>
      </c>
      <c r="FB38" s="152">
        <f>COUNTIF($EJ38:$EN38,1)</f>
        <v/>
      </c>
      <c r="FC38" s="152">
        <f>COUNTIF($EJ38:$EN38,2)</f>
        <v/>
      </c>
      <c r="FD38" s="152">
        <f>COUNTIF($EJ38:$EN38,3)</f>
        <v/>
      </c>
      <c r="FE38" s="152">
        <f>COUNTIF($EJ38:$EN38,4)</f>
        <v/>
      </c>
      <c r="FF38" s="152">
        <f>COUNTIF($EJ38:$EN38,5)</f>
        <v/>
      </c>
      <c r="FG38" s="152">
        <f>COUNTIF($EJ38:$EN38,6)</f>
        <v/>
      </c>
      <c r="FH38" s="152">
        <f>COUNTIF($EX38:$EY38,1)</f>
        <v/>
      </c>
      <c r="FI38" s="152">
        <f>COUNTIF($EX38:$EY38,2)+$EU38</f>
        <v/>
      </c>
      <c r="FJ38" s="152">
        <f>COUNTIF($EB38:$EE38,"?*")</f>
        <v/>
      </c>
      <c r="FK38" s="152">
        <f>COUNTIF($EF38:$EG38,"?*")+$EU38</f>
        <v/>
      </c>
      <c r="FL38" s="152">
        <f>SUMPRODUCT($FB38:$FG38,INDEX($Q$2:$V$8,$DY38,0))</f>
        <v/>
      </c>
      <c r="FM38" s="152">
        <f>$FH38*CEILING($DY38/2,1)+$FI38*$DY38</f>
        <v/>
      </c>
      <c r="FN38" s="152">
        <f>MIN(2*$DY38,$FM38)</f>
        <v/>
      </c>
      <c r="FO38" s="152">
        <f>MIN($FN38,$FL38)</f>
        <v/>
      </c>
      <c r="FP38" s="152">
        <f>$FN38-$FO38</f>
        <v/>
      </c>
      <c r="FQ38" s="152">
        <f>3*$DY38-$FL38+$FO38</f>
        <v/>
      </c>
      <c r="FR38" s="152">
        <f>MAX(0,$FQ38)+$DW38*$DY38</f>
        <v/>
      </c>
      <c r="FS38" s="152">
        <f>(IF(COUNTIF($EB38:$EE38,"Salto")&gt;0,1,0)+IF(COUNTIF($EB38:$EE38,"Queima")&gt;0,1,0)+IF(COUNTIF($EB38:$EE38,"Estilhaço")&gt;0,1,0))*FLOOR($FR38/2,1)</f>
        <v/>
      </c>
      <c r="FT38" s="152">
        <f>MAX(0,3-SUMPRODUCT($FB38:$FG38,$Q$2:$V$2)+MIN(2,$FH38*1+$FI38*1,SUMPRODUCT($FB38:$FG38,$Q$2:$V$2)))+$DW38*1</f>
        <v/>
      </c>
      <c r="FU38" s="152">
        <f>MAX(0,6-SUMPRODUCT($FB38:$FG38,$Q$3:$V$3)+MIN(4,$FH38*1+$FI38*2,SUMPRODUCT($FB38:$FG38,$Q$3:$V$3)))+$DW38*2</f>
        <v/>
      </c>
      <c r="FV38" s="152">
        <f>MAX(0,9-SUMPRODUCT($FB38:$FG38,$Q$4:$V$4)+MIN(6,$FH38*2+$FI38*3,SUMPRODUCT($FB38:$FG38,$Q$4:$V$4)))+$DW38*3</f>
        <v/>
      </c>
      <c r="FW38" s="152">
        <f>MAX(0,12-SUMPRODUCT($FB38:$FG38,$Q$5:$V$5)+MIN(8,$FH38*2+$FI38*4,SUMPRODUCT($FB38:$FG38,$Q$5:$V$5)))+$DW38*4</f>
        <v/>
      </c>
      <c r="FX38" s="152">
        <f>MAX(0,15-SUMPRODUCT($FB38:$FG38,$Q$6:$V$6)+MIN(10,$FH38*3+$FI38*5,SUMPRODUCT($FB38:$FG38,$Q$6:$V$6)))+$DW38*5</f>
        <v/>
      </c>
      <c r="FY38" s="152">
        <f>MAX(0,18-SUMPRODUCT($FB38:$FG38,$Q$7:$V$7)+MIN(12,$FH38*3+$FI38*6,SUMPRODUCT($FB38:$FG38,$Q$7:$V$7)))+$DW38*6</f>
        <v/>
      </c>
      <c r="FZ38" s="152">
        <f>MAX(0,21-SUMPRODUCT($FB38:$FG38,$Q$8:$V$8)+MIN(14,$FH38*4+$FI38*7,SUMPRODUCT($FB38:$FG38,$Q$8:$V$8)))+$DW38*7</f>
        <v/>
      </c>
      <c r="GA38" s="152">
        <f>IF($EV38=2,3*$FT38&amp;" de vida temp.",IF($EV38=3,"sem dano",IF($FT38=0,IF($EV38=1,"sem cura","sem dano"),IF($EV38=1,"cura ","")&amp;$FT38&amp;"d8")))</f>
        <v/>
      </c>
      <c r="GB38" s="152">
        <f>IF($EV38=2,3*$FU38&amp;" de vida temp.",IF($EV38=3,"sem dano",IF($FU38=0,IF($EV38=1,"sem cura","sem dano"),IF($EV38=1,"cura ","")&amp;$FU38&amp;"d8")))</f>
        <v/>
      </c>
      <c r="GC38" s="152">
        <f>IF($EV38=2,3*$FV38&amp;" de vida temp.",IF($EV38=3,"sem dano",IF($FV38=0,IF($EV38=1,"sem cura","sem dano"),IF($EV38=1,"cura ","")&amp;$FV38&amp;"d8")))</f>
        <v/>
      </c>
      <c r="GD38" s="152">
        <f>IF($EV38=2,3*$FW38&amp;" de vida temp.",IF($EV38=3,"sem dano",IF($FW38=0,IF($EV38=1,"sem cura","sem dano"),IF($EV38=1,"cura ","")&amp;$FW38&amp;"d8")))</f>
        <v/>
      </c>
      <c r="GE38" s="152">
        <f>IF($EV38=2,3*$FX38&amp;" de vida temp.",IF($EV38=3,"sem dano",IF($FX38=0,IF($EV38=1,"sem cura","sem dano"),IF($EV38=1,"cura ","")&amp;$FX38&amp;"d8")))</f>
        <v/>
      </c>
      <c r="GF38" s="152">
        <f>IF($EV38=2,3*$FY38&amp;" de vida temp.",IF($EV38=3,"sem dano",IF($FY38=0,IF($EV38=1,"sem cura","sem dano"),IF($EV38=1,"cura ","")&amp;$FY38&amp;"d8")))</f>
        <v/>
      </c>
      <c r="GG38" s="152">
        <f>IF($EV38=2,3*$FZ38&amp;" de vida temp.",IF($EV38=3,"sem dano",IF($FZ38=0,IF($EV38=1,"sem cura","sem dano"),IF($EV38=1,"cura ","")&amp;$FZ38&amp;"d8")))</f>
        <v/>
      </c>
      <c r="GH38" s="152">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52">
        <f>IF($GH38="",0,(LEN($GH38)-LEN(SUBSTITUTE($GH38," · ","")))/3+1)</f>
        <v/>
      </c>
      <c r="GJ38" s="152">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52">
        <f>IF($GJ38="",0,(LEN($GJ38)-LEN(SUBSTITUTE($GJ38," · ","")))/3+1)</f>
        <v/>
      </c>
      <c r="GL38" s="152">
        <f>IF($EH38=0,IF($FJ38+$FK38-$EU38&gt;0,"Dê um nome",""),IF($GI38&gt;0,"⚠ "&amp;$GI38&amp;IF($GI38&gt;1," erros"," erro"),IF($GK38&gt;0,"! "&amp;$GK38&amp;IF($GK38&gt;1," avisos"," aviso"),"Na regra")))</f>
        <v/>
      </c>
      <c r="GM38" s="152">
        <f>IF($EH38=0,"",IF($GI38+$GK38=0,"Dentro das regras que a ficha confere",$GH38&amp;IF(AND($GI38&gt;0,$GK38&gt;0)," · ","")&amp;$GJ38))</f>
        <v/>
      </c>
      <c r="GN38" s="152">
        <f>IF($EH38=0,"",IF($DW38=1,CEILING(4.5*$DY38,1),3*$DY38)&amp;" PE")</f>
        <v/>
      </c>
      <c r="GO38" s="152">
        <f>IF($EH38=0,"",IF($DW38=1,"Rodada inteira",IF(COUNTIF($EZ38:$FA38,"Atrasar")&gt;0,IF(COUNTIF($EZ38:$FA38,"Carregar")&gt;0,"Rodada +1 turno","Rodada inteira"),IF(COUNTIF($EB38:$EE38,"Rápido")&gt;0,"Bônus",IF(COUNTIF($EB38:$EE38,"Reação")&gt;0,"Reação","Padrão"))&amp;IF(COUNTIF($EZ38:$FA38,"Carregar")&gt;0," +1 turno",""))))</f>
        <v/>
      </c>
      <c r="GP38" s="152">
        <f>IF(OR($EH38=0,$EI38=0),"",IF(COUNTIF($EB38:$EE38,"Inescapável")&gt;0,"Automático",IF(COUNTIF($EB38:$EE38,"Certeiro")&gt;0,"TR para metade",INDEX($AF$2:$AF$11,$EI38))))</f>
        <v/>
      </c>
      <c r="GQ38" s="152">
        <f>IF(OR($EH38=0,$EI38=0),"",IF(OR($EV38&gt;=2,$FR38=0),UPPER(LEFT(INDEX($GA38:$GG38,1,$DY38),1))&amp;MID(INDEX($GA38:$GG38,1,$DY38),2,99),UPPER(LEFT(INDEX($GA38:$GG38,1,$DY38),1))&amp;MID(INDEX($GA38:$GG38,1,$DY38),2,99)&amp;" = "&amp;FLOOR($FR38*4.5,1)&amp;IF($FS38&gt;0," · +"&amp;$FS38&amp;"d8","")))</f>
        <v/>
      </c>
      <c r="GR38" s="152">
        <f>COUNTIF($EB38:$EE38,"Longe")+3*COUNTIF($EB38:$EE38,"Muito Longe")</f>
        <v/>
      </c>
      <c r="GS38" s="152">
        <f>COUNTIF($EB38:$EE38,"Maior")+3*COUNTIF($EB38:$EE38,"Muito Maior")</f>
        <v/>
      </c>
      <c r="GT38" s="152">
        <f>IF($EI38=0,0,CHOOSE(1+INDEX($AH$2:$AH$11,$EI38),0,$GR38,$GS38,$GR38+$GS38))</f>
        <v/>
      </c>
      <c r="GU38" s="152">
        <f>IF($EI38=0,0,CHOOSE(1+INDEX($AI$2:$AI$11,$EI38),0,$GR38,$GS38,$GR38+$GS38))</f>
        <v/>
      </c>
      <c r="GV38" s="152">
        <f>IF(OR($EH38=0,$EI38=0),"",INDEX($AP$2:$AU$31,($EI38-1)*3+IF($DY38&gt;=6,3,2),1+MIN(5,$GT38))&amp;INDEX($AV$2:$BA$31,($EI38-1)*3+IF($DY38&gt;=6,3,2),1+MIN(5,$GU38))&amp;IF(INDEX($AJ$2:$AJ$11,$EI38)=1,IF(COUNTIF($EB38:$EE38,"Mais Um")&gt;0," · +"&amp;COUNTIF($EB38:$EE38,"Mais Um")&amp;IF(COUNTIF($EB38:$EE38,"Mais Um")&gt;1," alvos"," alvo"),"")&amp;IF(COUNTIF($EB38:$EE38,"Rajada")&gt;0," · "&amp;($DY38+1)&amp;" tiros",""),""))</f>
        <v/>
      </c>
      <c r="GW38" s="152">
        <f>IF($EH38=0,"",3*$DY38&amp;" − "&amp;$FL38&amp;" + "&amp;$FO38&amp;IF($DW38=1," + "&amp;$DY38,"")&amp;" = "&amp;$FR38&amp;"d8 · teto "&amp;4*$DY38&amp;IF($EU38=1," · a Forma devolve "&amp;$DY38,"")&amp;IF($FP38&gt;0," · perde "&amp;$FP38,""))</f>
        <v/>
      </c>
      <c r="GX38" s="152">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52">
        <f>IF(OR($EH38=0,$EK38=0),"","−"&amp;INDEX($Q$2:$V$8,$DY38,$EK38)&amp;" · "&amp;CHOOSE($EK38,"Leve","Média","Pesada","Leve · Livre","Média · Livre","Pesada · Livre"))</f>
        <v/>
      </c>
      <c r="GZ38" s="152">
        <f>IF(OR($EH38=0,$EL38=0),"","−"&amp;INDEX($Q$2:$V$8,$DY38,$EL38)&amp;" · "&amp;CHOOSE($EL38,"Leve","Média","Pesada","Leve · Livre","Média · Livre","Pesada · Livre"))</f>
        <v/>
      </c>
      <c r="HA38" s="152">
        <f>IF(OR($EH38=0,$EM38=0),"","−"&amp;INDEX($Q$2:$V$8,$DY38,$EM38)&amp;" · "&amp;CHOOSE($EM38,"Leve","Média","Pesada","Leve · Livre","Média · Livre","Pesada · Livre"))</f>
        <v/>
      </c>
      <c r="HB38" s="152">
        <f>IF(OR($EH38=0,$EN38=0),"","−"&amp;INDEX($Q$2:$V$8,$DY38,$EN38)&amp;" · "&amp;CHOOSE($EN38,"Leve","Média","Pesada","Leve · Livre","Média · Livre","Pesada · Livre"))</f>
        <v/>
      </c>
      <c r="HC38" s="152">
        <f>IF(OR($EH38=0,$EF38=""),"","+"&amp;IF($EX38=1,CEILING($DY38/2,1),$DY38))</f>
        <v/>
      </c>
      <c r="HD38" s="152">
        <f>IF(OR($EH38=0,$EG38=""),"","+"&amp;IF($EY38=1,CEILING($DY38/2,1),$DY38))</f>
        <v/>
      </c>
      <c r="HE38" s="152">
        <f>'FICHA AMALDIÇOADA'!$D$321&amp;""</f>
        <v/>
      </c>
      <c r="HF38" s="152">
        <f>IF(AND($EH38=1,$DW38=0),COUNTIFS($EH$2:$EH38,1,$DW$2:$DW38,0),"")</f>
        <v/>
      </c>
      <c r="HH38" s="150" t="inlineStr">
        <is>
          <t>fechada na técnica máxima</t>
        </is>
      </c>
      <c r="HI38" s="152">
        <f>IFERROR(VLOOKUP('FICHA AMALDIÇOADA'!$J$343,$Y$2:$AC$11,5,FALSE),0)+IFERROR(VLOOKUP('FICHA AMALDIÇOADA'!$J$346,$BC$2:$BJ$84,5,FALSE),0)+IFERROR(VLOOKUP('FICHA AMALDIÇOADA'!$L$346,$BC$2:$BJ$84,5,FALSE),0)+IFERROR(VLOOKUP('FICHA AMALDIÇOADA'!$P$346,$BC$2:$BJ$84,5,FALSE),0)+IFERROR(VLOOKUP('FICHA AMALDIÇOADA'!$R$346,$BC$2:$BJ$84,5,FALSE),0)</f>
        <v/>
      </c>
      <c r="KQ38" s="150" t="inlineStr">
        <is>
          <t>P343</t>
        </is>
      </c>
      <c r="KR38" s="152">
        <f>IF(DADOS_AM!$HI$35=0,"—",5*DADOS_AM!$HI$4)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DV39" s="150" t="inlineStr">
        <is>
          <t>Liberação 2</t>
        </is>
      </c>
      <c r="DW39" s="152" t="n">
        <v>1</v>
      </c>
      <c r="DX39" s="152" t="n">
        <v>2</v>
      </c>
      <c r="DY39" s="152">
        <f>MAX(1,MIN(7,N('FICHA AMALDIÇOADA'!$J$319)))</f>
        <v/>
      </c>
      <c r="DZ39" s="152">
        <f>'FICHA AMALDIÇOADA'!$K$319&amp;""</f>
        <v/>
      </c>
      <c r="EA39" s="152">
        <f>'FICHA AMALDIÇOADA'!$J$326&amp;""</f>
        <v/>
      </c>
      <c r="EB39" s="152">
        <f>'FICHA AMALDIÇOADA'!$K$328&amp;""</f>
        <v/>
      </c>
      <c r="EC39" s="152">
        <f>'FICHA AMALDIÇOADA'!$K$329&amp;""</f>
        <v/>
      </c>
      <c r="ED39" s="152">
        <f>'FICHA AMALDIÇOADA'!$K$330&amp;""</f>
        <v/>
      </c>
      <c r="EE39" s="152">
        <f>'FICHA AMALDIÇOADA'!$K$331&amp;""</f>
        <v/>
      </c>
      <c r="EF39" s="152">
        <f>'FICHA AMALDIÇOADA'!$K$332&amp;""</f>
        <v/>
      </c>
      <c r="EG39" s="152">
        <f>'FICHA AMALDIÇOADA'!$K$333&amp;""</f>
        <v/>
      </c>
      <c r="EH39" s="152">
        <f>IF($DZ39&lt;&gt;"",1,0)</f>
        <v/>
      </c>
      <c r="EI39" s="152">
        <f>IFERROR(MATCH($EA39,$Y$2:$Y$11,0),0)</f>
        <v/>
      </c>
      <c r="EJ39" s="152">
        <f>IF($EI39=0,0,INDEX($AB$2:$AB$11,$EI39))</f>
        <v/>
      </c>
      <c r="EK39" s="152">
        <f>IFERROR(VLOOKUP($EB39,$BC$2:$BJ$84,4,FALSE),0)</f>
        <v/>
      </c>
      <c r="EL39" s="152">
        <f>IFERROR(VLOOKUP($EC39,$BC$2:$BJ$84,4,FALSE),0)</f>
        <v/>
      </c>
      <c r="EM39" s="152">
        <f>IFERROR(VLOOKUP($ED39,$BC$2:$BJ$84,4,FALSE),0)</f>
        <v/>
      </c>
      <c r="EN39" s="152">
        <f>IFERROR(VLOOKUP($EE39,$BC$2:$BJ$84,4,FALSE),0)</f>
        <v/>
      </c>
      <c r="EO39" s="152">
        <f>IF($EI39=0,0,INDEX($AC$2:$AC$11,$EI39))</f>
        <v/>
      </c>
      <c r="EP39" s="152">
        <f>IFERROR(VLOOKUP($EB39,$BC$2:$BJ$84,5,FALSE),0)</f>
        <v/>
      </c>
      <c r="EQ39" s="152">
        <f>IFERROR(VLOOKUP($EC39,$BC$2:$BJ$84,5,FALSE),0)</f>
        <v/>
      </c>
      <c r="ER39" s="152">
        <f>IFERROR(VLOOKUP($ED39,$BC$2:$BJ$84,5,FALSE),0)</f>
        <v/>
      </c>
      <c r="ES39" s="152">
        <f>IFERROR(VLOOKUP($EE39,$BC$2:$BJ$84,5,FALSE),0)</f>
        <v/>
      </c>
      <c r="ET39" s="152">
        <f>IFERROR(VLOOKUP($EB39,$BC$2:$BJ$84,6,FALSE),0)+IFERROR(VLOOKUP($EC39,$BC$2:$BJ$84,6,FALSE),0)+IFERROR(VLOOKUP($ED39,$BC$2:$BJ$84,6,FALSE),0)+IFERROR(VLOOKUP($EE39,$BC$2:$BJ$84,6,FALSE),0)</f>
        <v/>
      </c>
      <c r="EU39" s="152">
        <f>IF($EI39=0,0,INDEX($AD$2:$AD$11,$EI39))</f>
        <v/>
      </c>
      <c r="EV39" s="152">
        <f>IF($EI39=0,0,INDEX($AE$2:$AE$11,$EI39))</f>
        <v/>
      </c>
      <c r="EW39" s="152">
        <f>IF($EI39=0,0,INDEX($AG$2:$AG$11,$EI39))</f>
        <v/>
      </c>
      <c r="EX39" s="152">
        <f>IFERROR(VLOOKUP($EF39,$BL$2:$BP$24,3,FALSE),0)</f>
        <v/>
      </c>
      <c r="EY39" s="152">
        <f>IFERROR(VLOOKUP($EG39,$BL$2:$BP$24,3,FALSE),0)</f>
        <v/>
      </c>
      <c r="EZ39" s="152">
        <f>IFERROR(VLOOKUP($EF39,$BL$2:$BP$24,2,FALSE),"")</f>
        <v/>
      </c>
      <c r="FA39" s="152">
        <f>IFERROR(VLOOKUP($EG39,$BL$2:$BP$24,2,FALSE),"")</f>
        <v/>
      </c>
      <c r="FB39" s="152">
        <f>COUNTIF($EJ39:$EN39,1)</f>
        <v/>
      </c>
      <c r="FC39" s="152">
        <f>COUNTIF($EJ39:$EN39,2)</f>
        <v/>
      </c>
      <c r="FD39" s="152">
        <f>COUNTIF($EJ39:$EN39,3)</f>
        <v/>
      </c>
      <c r="FE39" s="152">
        <f>COUNTIF($EJ39:$EN39,4)</f>
        <v/>
      </c>
      <c r="FF39" s="152">
        <f>COUNTIF($EJ39:$EN39,5)</f>
        <v/>
      </c>
      <c r="FG39" s="152">
        <f>COUNTIF($EJ39:$EN39,6)</f>
        <v/>
      </c>
      <c r="FH39" s="152">
        <f>COUNTIF($EX39:$EY39,1)</f>
        <v/>
      </c>
      <c r="FI39" s="152">
        <f>COUNTIF($EX39:$EY39,2)+$EU39</f>
        <v/>
      </c>
      <c r="FJ39" s="152">
        <f>COUNTIF($EB39:$EE39,"?*")</f>
        <v/>
      </c>
      <c r="FK39" s="152">
        <f>COUNTIF($EF39:$EG39,"?*")+$EU39</f>
        <v/>
      </c>
      <c r="FL39" s="152">
        <f>SUMPRODUCT($FB39:$FG39,INDEX($Q$2:$V$8,$DY39,0))</f>
        <v/>
      </c>
      <c r="FM39" s="152">
        <f>$FH39*CEILING($DY39/2,1)+$FI39*$DY39</f>
        <v/>
      </c>
      <c r="FN39" s="152">
        <f>MIN(2*$DY39,$FM39)</f>
        <v/>
      </c>
      <c r="FO39" s="152">
        <f>MIN($FN39,$FL39)</f>
        <v/>
      </c>
      <c r="FP39" s="152">
        <f>$FN39-$FO39</f>
        <v/>
      </c>
      <c r="FQ39" s="152">
        <f>3*$DY39-$FL39+$FO39</f>
        <v/>
      </c>
      <c r="FR39" s="152">
        <f>MAX(0,$FQ39)+$DW39*$DY39</f>
        <v/>
      </c>
      <c r="FS39" s="152">
        <f>(IF(COUNTIF($EB39:$EE39,"Salto")&gt;0,1,0)+IF(COUNTIF($EB39:$EE39,"Queima")&gt;0,1,0)+IF(COUNTIF($EB39:$EE39,"Estilhaço")&gt;0,1,0))*FLOOR($FR39/2,1)</f>
        <v/>
      </c>
      <c r="FT39" s="152">
        <f>MAX(0,3-SUMPRODUCT($FB39:$FG39,$Q$2:$V$2)+MIN(2,$FH39*1+$FI39*1,SUMPRODUCT($FB39:$FG39,$Q$2:$V$2)))+$DW39*1</f>
        <v/>
      </c>
      <c r="FU39" s="152">
        <f>MAX(0,6-SUMPRODUCT($FB39:$FG39,$Q$3:$V$3)+MIN(4,$FH39*1+$FI39*2,SUMPRODUCT($FB39:$FG39,$Q$3:$V$3)))+$DW39*2</f>
        <v/>
      </c>
      <c r="FV39" s="152">
        <f>MAX(0,9-SUMPRODUCT($FB39:$FG39,$Q$4:$V$4)+MIN(6,$FH39*2+$FI39*3,SUMPRODUCT($FB39:$FG39,$Q$4:$V$4)))+$DW39*3</f>
        <v/>
      </c>
      <c r="FW39" s="152">
        <f>MAX(0,12-SUMPRODUCT($FB39:$FG39,$Q$5:$V$5)+MIN(8,$FH39*2+$FI39*4,SUMPRODUCT($FB39:$FG39,$Q$5:$V$5)))+$DW39*4</f>
        <v/>
      </c>
      <c r="FX39" s="152">
        <f>MAX(0,15-SUMPRODUCT($FB39:$FG39,$Q$6:$V$6)+MIN(10,$FH39*3+$FI39*5,SUMPRODUCT($FB39:$FG39,$Q$6:$V$6)))+$DW39*5</f>
        <v/>
      </c>
      <c r="FY39" s="152">
        <f>MAX(0,18-SUMPRODUCT($FB39:$FG39,$Q$7:$V$7)+MIN(12,$FH39*3+$FI39*6,SUMPRODUCT($FB39:$FG39,$Q$7:$V$7)))+$DW39*6</f>
        <v/>
      </c>
      <c r="FZ39" s="152">
        <f>MAX(0,21-SUMPRODUCT($FB39:$FG39,$Q$8:$V$8)+MIN(14,$FH39*4+$FI39*7,SUMPRODUCT($FB39:$FG39,$Q$8:$V$8)))+$DW39*7</f>
        <v/>
      </c>
      <c r="GA39" s="152">
        <f>IF($EV39=2,3*$FT39&amp;" de vida temp.",IF($EV39=3,"sem dano",IF($FT39=0,IF($EV39=1,"sem cura","sem dano"),IF($EV39=1,"cura ","")&amp;$FT39&amp;"d8")))</f>
        <v/>
      </c>
      <c r="GB39" s="152">
        <f>IF($EV39=2,3*$FU39&amp;" de vida temp.",IF($EV39=3,"sem dano",IF($FU39=0,IF($EV39=1,"sem cura","sem dano"),IF($EV39=1,"cura ","")&amp;$FU39&amp;"d8")))</f>
        <v/>
      </c>
      <c r="GC39" s="152">
        <f>IF($EV39=2,3*$FV39&amp;" de vida temp.",IF($EV39=3,"sem dano",IF($FV39=0,IF($EV39=1,"sem cura","sem dano"),IF($EV39=1,"cura ","")&amp;$FV39&amp;"d8")))</f>
        <v/>
      </c>
      <c r="GD39" s="152">
        <f>IF($EV39=2,3*$FW39&amp;" de vida temp.",IF($EV39=3,"sem dano",IF($FW39=0,IF($EV39=1,"sem cura","sem dano"),IF($EV39=1,"cura ","")&amp;$FW39&amp;"d8")))</f>
        <v/>
      </c>
      <c r="GE39" s="152">
        <f>IF($EV39=2,3*$FX39&amp;" de vida temp.",IF($EV39=3,"sem dano",IF($FX39=0,IF($EV39=1,"sem cura","sem dano"),IF($EV39=1,"cura ","")&amp;$FX39&amp;"d8")))</f>
        <v/>
      </c>
      <c r="GF39" s="152">
        <f>IF($EV39=2,3*$FY39&amp;" de vida temp.",IF($EV39=3,"sem dano",IF($FY39=0,IF($EV39=1,"sem cura","sem dano"),IF($EV39=1,"cura ","")&amp;$FY39&amp;"d8")))</f>
        <v/>
      </c>
      <c r="GG39" s="152">
        <f>IF($EV39=2,3*$FZ39&amp;" de vida temp.",IF($EV39=3,"sem dano",IF($FZ39=0,IF($EV39=1,"sem cura","sem dano"),IF($EV39=1,"cura ","")&amp;$FZ39&amp;"d8")))</f>
        <v/>
      </c>
      <c r="GH39" s="152">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52">
        <f>IF($GH39="",0,(LEN($GH39)-LEN(SUBSTITUTE($GH39," · ","")))/3+1)</f>
        <v/>
      </c>
      <c r="GJ39" s="152">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52">
        <f>IF($GJ39="",0,(LEN($GJ39)-LEN(SUBSTITUTE($GJ39," · ","")))/3+1)</f>
        <v/>
      </c>
      <c r="GL39" s="152">
        <f>IF($EH39=0,IF($FJ39+$FK39-$EU39&gt;0,"Dê um nome",""),IF($GI39&gt;0,"⚠ "&amp;$GI39&amp;IF($GI39&gt;1," erros"," erro"),IF($GK39&gt;0,"! "&amp;$GK39&amp;IF($GK39&gt;1," avisos"," aviso"),"Na regra")))</f>
        <v/>
      </c>
      <c r="GM39" s="152">
        <f>IF($EH39=0,"",IF($GI39+$GK39=0,"Dentro das regras que a ficha confere",$GH39&amp;IF(AND($GI39&gt;0,$GK39&gt;0)," · ","")&amp;$GJ39))</f>
        <v/>
      </c>
      <c r="GN39" s="152">
        <f>IF($EH39=0,"",IF($DW39=1,CEILING(4.5*$DY39,1),3*$DY39)&amp;" PE")</f>
        <v/>
      </c>
      <c r="GO39" s="152">
        <f>IF($EH39=0,"",IF($DW39=1,"Rodada inteira",IF(COUNTIF($EZ39:$FA39,"Atrasar")&gt;0,IF(COUNTIF($EZ39:$FA39,"Carregar")&gt;0,"Rodada +1 turno","Rodada inteira"),IF(COUNTIF($EB39:$EE39,"Rápido")&gt;0,"Bônus",IF(COUNTIF($EB39:$EE39,"Reação")&gt;0,"Reação","Padrão"))&amp;IF(COUNTIF($EZ39:$FA39,"Carregar")&gt;0," +1 turno",""))))</f>
        <v/>
      </c>
      <c r="GP39" s="152">
        <f>IF(OR($EH39=0,$EI39=0),"",IF(COUNTIF($EB39:$EE39,"Inescapável")&gt;0,"Automático",IF(COUNTIF($EB39:$EE39,"Certeiro")&gt;0,"TR para metade",INDEX($AF$2:$AF$11,$EI39))))</f>
        <v/>
      </c>
      <c r="GQ39" s="152">
        <f>IF(OR($EH39=0,$EI39=0),"",IF(OR($EV39&gt;=2,$FR39=0),UPPER(LEFT(INDEX($GA39:$GG39,1,$DY39),1))&amp;MID(INDEX($GA39:$GG39,1,$DY39),2,99),UPPER(LEFT(INDEX($GA39:$GG39,1,$DY39),1))&amp;MID(INDEX($GA39:$GG39,1,$DY39),2,99)&amp;" = "&amp;FLOOR($FR39*4.5,1)&amp;IF($FS39&gt;0," · +"&amp;$FS39&amp;"d8","")))</f>
        <v/>
      </c>
      <c r="GR39" s="152">
        <f>COUNTIF($EB39:$EE39,"Longe")+3*COUNTIF($EB39:$EE39,"Muito Longe")</f>
        <v/>
      </c>
      <c r="GS39" s="152">
        <f>COUNTIF($EB39:$EE39,"Maior")+3*COUNTIF($EB39:$EE39,"Muito Maior")</f>
        <v/>
      </c>
      <c r="GT39" s="152">
        <f>IF($EI39=0,0,CHOOSE(1+INDEX($AH$2:$AH$11,$EI39),0,$GR39,$GS39,$GR39+$GS39))</f>
        <v/>
      </c>
      <c r="GU39" s="152">
        <f>IF($EI39=0,0,CHOOSE(1+INDEX($AI$2:$AI$11,$EI39),0,$GR39,$GS39,$GR39+$GS39))</f>
        <v/>
      </c>
      <c r="GV39" s="152">
        <f>IF(OR($EH39=0,$EI39=0),"",INDEX($AP$2:$AU$31,($EI39-1)*3+IF($DY39&gt;=6,3,2),1+MIN(5,$GT39))&amp;INDEX($AV$2:$BA$31,($EI39-1)*3+IF($DY39&gt;=6,3,2),1+MIN(5,$GU39))&amp;IF(INDEX($AJ$2:$AJ$11,$EI39)=1,IF(COUNTIF($EB39:$EE39,"Mais Um")&gt;0," · +"&amp;COUNTIF($EB39:$EE39,"Mais Um")&amp;IF(COUNTIF($EB39:$EE39,"Mais Um")&gt;1," alvos"," alvo"),"")&amp;IF(COUNTIF($EB39:$EE39,"Rajada")&gt;0," · "&amp;($DY39+1)&amp;" tiros",""),""))</f>
        <v/>
      </c>
      <c r="GW39" s="152">
        <f>IF($EH39=0,"",3*$DY39&amp;" − "&amp;$FL39&amp;" + "&amp;$FO39&amp;IF($DW39=1," + "&amp;$DY39,"")&amp;" = "&amp;$FR39&amp;"d8 · teto "&amp;4*$DY39&amp;IF($EU39=1," · a Forma devolve "&amp;$DY39,"")&amp;IF($FP39&gt;0," · perde "&amp;$FP39,""))</f>
        <v/>
      </c>
      <c r="GX39" s="152">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52">
        <f>IF(OR($EH39=0,$EK39=0),"","−"&amp;INDEX($Q$2:$V$8,$DY39,$EK39)&amp;" · "&amp;CHOOSE($EK39,"Leve","Média","Pesada","Leve · Livre","Média · Livre","Pesada · Livre"))</f>
        <v/>
      </c>
      <c r="GZ39" s="152">
        <f>IF(OR($EH39=0,$EL39=0),"","−"&amp;INDEX($Q$2:$V$8,$DY39,$EL39)&amp;" · "&amp;CHOOSE($EL39,"Leve","Média","Pesada","Leve · Livre","Média · Livre","Pesada · Livre"))</f>
        <v/>
      </c>
      <c r="HA39" s="152">
        <f>IF(OR($EH39=0,$EM39=0),"","−"&amp;INDEX($Q$2:$V$8,$DY39,$EM39)&amp;" · "&amp;CHOOSE($EM39,"Leve","Média","Pesada","Leve · Livre","Média · Livre","Pesada · Livre"))</f>
        <v/>
      </c>
      <c r="HB39" s="152">
        <f>IF(OR($EH39=0,$EN39=0),"","−"&amp;INDEX($Q$2:$V$8,$DY39,$EN39)&amp;" · "&amp;CHOOSE($EN39,"Leve","Média","Pesada","Leve · Livre","Média · Livre","Pesada · Livre"))</f>
        <v/>
      </c>
      <c r="HC39" s="152">
        <f>IF(OR($EH39=0,$EF39=""),"","+"&amp;IF($EX39=1,CEILING($DY39/2,1),$DY39))</f>
        <v/>
      </c>
      <c r="HD39" s="152">
        <f>IF(OR($EH39=0,$EG39=""),"","+"&amp;IF($EY39=1,CEILING($DY39/2,1),$DY39))</f>
        <v/>
      </c>
      <c r="HE39" s="152">
        <f>'FICHA AMALDIÇOADA'!$J$321&amp;""</f>
        <v/>
      </c>
      <c r="HF39" s="152">
        <f>IF(AND($EH39=1,$DW39=0),COUNTIFS($EH$2:$EH39,1,$DW$2:$DW39,0),"")</f>
        <v/>
      </c>
      <c r="HH39" s="150" t="inlineStr">
        <is>
          <t>rota</t>
        </is>
      </c>
      <c r="HI39" s="152">
        <f>$A$2</f>
        <v/>
      </c>
      <c r="KQ39" s="150" t="inlineStr">
        <is>
          <t>R343</t>
        </is>
      </c>
      <c r="KR39" s="152">
        <f>IF(DADOS_AM!$HI$35=0,"—",IF(OR(DADOS_AM!$HI$37&gt;DADOS_AM!$HI$36,DADOS_AM!$HI$38&gt;0),"⚠ ","")&amp;DADOS_AM!$HI$37&amp;" de "&amp;DADOS_AM!$HI$36&amp;IF(DADOS_AM!$HI$38&gt;0,"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DV40" s="150" t="inlineStr">
        <is>
          <t>Liberação 3</t>
        </is>
      </c>
      <c r="DW40" s="152" t="n">
        <v>1</v>
      </c>
      <c r="DX40" s="152" t="n">
        <v>3</v>
      </c>
      <c r="DY40" s="152">
        <f>MAX(1,MIN(7,N('FICHA AMALDIÇOADA'!$P$319)))</f>
        <v/>
      </c>
      <c r="DZ40" s="152">
        <f>'FICHA AMALDIÇOADA'!$Q$319&amp;""</f>
        <v/>
      </c>
      <c r="EA40" s="152">
        <f>'FICHA AMALDIÇOADA'!$P$326&amp;""</f>
        <v/>
      </c>
      <c r="EB40" s="152">
        <f>'FICHA AMALDIÇOADA'!$Q$328&amp;""</f>
        <v/>
      </c>
      <c r="EC40" s="152">
        <f>'FICHA AMALDIÇOADA'!$Q$329&amp;""</f>
        <v/>
      </c>
      <c r="ED40" s="152">
        <f>'FICHA AMALDIÇOADA'!$Q$330&amp;""</f>
        <v/>
      </c>
      <c r="EE40" s="152">
        <f>'FICHA AMALDIÇOADA'!$Q$331&amp;""</f>
        <v/>
      </c>
      <c r="EF40" s="152">
        <f>'FICHA AMALDIÇOADA'!$Q$332&amp;""</f>
        <v/>
      </c>
      <c r="EG40" s="152">
        <f>'FICHA AMALDIÇOADA'!$Q$333&amp;""</f>
        <v/>
      </c>
      <c r="EH40" s="152">
        <f>IF($DZ40&lt;&gt;"",1,0)</f>
        <v/>
      </c>
      <c r="EI40" s="152">
        <f>IFERROR(MATCH($EA40,$Y$2:$Y$11,0),0)</f>
        <v/>
      </c>
      <c r="EJ40" s="152">
        <f>IF($EI40=0,0,INDEX($AB$2:$AB$11,$EI40))</f>
        <v/>
      </c>
      <c r="EK40" s="152">
        <f>IFERROR(VLOOKUP($EB40,$BC$2:$BJ$84,4,FALSE),0)</f>
        <v/>
      </c>
      <c r="EL40" s="152">
        <f>IFERROR(VLOOKUP($EC40,$BC$2:$BJ$84,4,FALSE),0)</f>
        <v/>
      </c>
      <c r="EM40" s="152">
        <f>IFERROR(VLOOKUP($ED40,$BC$2:$BJ$84,4,FALSE),0)</f>
        <v/>
      </c>
      <c r="EN40" s="152">
        <f>IFERROR(VLOOKUP($EE40,$BC$2:$BJ$84,4,FALSE),0)</f>
        <v/>
      </c>
      <c r="EO40" s="152">
        <f>IF($EI40=0,0,INDEX($AC$2:$AC$11,$EI40))</f>
        <v/>
      </c>
      <c r="EP40" s="152">
        <f>IFERROR(VLOOKUP($EB40,$BC$2:$BJ$84,5,FALSE),0)</f>
        <v/>
      </c>
      <c r="EQ40" s="152">
        <f>IFERROR(VLOOKUP($EC40,$BC$2:$BJ$84,5,FALSE),0)</f>
        <v/>
      </c>
      <c r="ER40" s="152">
        <f>IFERROR(VLOOKUP($ED40,$BC$2:$BJ$84,5,FALSE),0)</f>
        <v/>
      </c>
      <c r="ES40" s="152">
        <f>IFERROR(VLOOKUP($EE40,$BC$2:$BJ$84,5,FALSE),0)</f>
        <v/>
      </c>
      <c r="ET40" s="152">
        <f>IFERROR(VLOOKUP($EB40,$BC$2:$BJ$84,6,FALSE),0)+IFERROR(VLOOKUP($EC40,$BC$2:$BJ$84,6,FALSE),0)+IFERROR(VLOOKUP($ED40,$BC$2:$BJ$84,6,FALSE),0)+IFERROR(VLOOKUP($EE40,$BC$2:$BJ$84,6,FALSE),0)</f>
        <v/>
      </c>
      <c r="EU40" s="152">
        <f>IF($EI40=0,0,INDEX($AD$2:$AD$11,$EI40))</f>
        <v/>
      </c>
      <c r="EV40" s="152">
        <f>IF($EI40=0,0,INDEX($AE$2:$AE$11,$EI40))</f>
        <v/>
      </c>
      <c r="EW40" s="152">
        <f>IF($EI40=0,0,INDEX($AG$2:$AG$11,$EI40))</f>
        <v/>
      </c>
      <c r="EX40" s="152">
        <f>IFERROR(VLOOKUP($EF40,$BL$2:$BP$24,3,FALSE),0)</f>
        <v/>
      </c>
      <c r="EY40" s="152">
        <f>IFERROR(VLOOKUP($EG40,$BL$2:$BP$24,3,FALSE),0)</f>
        <v/>
      </c>
      <c r="EZ40" s="152">
        <f>IFERROR(VLOOKUP($EF40,$BL$2:$BP$24,2,FALSE),"")</f>
        <v/>
      </c>
      <c r="FA40" s="152">
        <f>IFERROR(VLOOKUP($EG40,$BL$2:$BP$24,2,FALSE),"")</f>
        <v/>
      </c>
      <c r="FB40" s="152">
        <f>COUNTIF($EJ40:$EN40,1)</f>
        <v/>
      </c>
      <c r="FC40" s="152">
        <f>COUNTIF($EJ40:$EN40,2)</f>
        <v/>
      </c>
      <c r="FD40" s="152">
        <f>COUNTIF($EJ40:$EN40,3)</f>
        <v/>
      </c>
      <c r="FE40" s="152">
        <f>COUNTIF($EJ40:$EN40,4)</f>
        <v/>
      </c>
      <c r="FF40" s="152">
        <f>COUNTIF($EJ40:$EN40,5)</f>
        <v/>
      </c>
      <c r="FG40" s="152">
        <f>COUNTIF($EJ40:$EN40,6)</f>
        <v/>
      </c>
      <c r="FH40" s="152">
        <f>COUNTIF($EX40:$EY40,1)</f>
        <v/>
      </c>
      <c r="FI40" s="152">
        <f>COUNTIF($EX40:$EY40,2)+$EU40</f>
        <v/>
      </c>
      <c r="FJ40" s="152">
        <f>COUNTIF($EB40:$EE40,"?*")</f>
        <v/>
      </c>
      <c r="FK40" s="152">
        <f>COUNTIF($EF40:$EG40,"?*")+$EU40</f>
        <v/>
      </c>
      <c r="FL40" s="152">
        <f>SUMPRODUCT($FB40:$FG40,INDEX($Q$2:$V$8,$DY40,0))</f>
        <v/>
      </c>
      <c r="FM40" s="152">
        <f>$FH40*CEILING($DY40/2,1)+$FI40*$DY40</f>
        <v/>
      </c>
      <c r="FN40" s="152">
        <f>MIN(2*$DY40,$FM40)</f>
        <v/>
      </c>
      <c r="FO40" s="152">
        <f>MIN($FN40,$FL40)</f>
        <v/>
      </c>
      <c r="FP40" s="152">
        <f>$FN40-$FO40</f>
        <v/>
      </c>
      <c r="FQ40" s="152">
        <f>3*$DY40-$FL40+$FO40</f>
        <v/>
      </c>
      <c r="FR40" s="152">
        <f>MAX(0,$FQ40)+$DW40*$DY40</f>
        <v/>
      </c>
      <c r="FS40" s="152">
        <f>(IF(COUNTIF($EB40:$EE40,"Salto")&gt;0,1,0)+IF(COUNTIF($EB40:$EE40,"Queima")&gt;0,1,0)+IF(COUNTIF($EB40:$EE40,"Estilhaço")&gt;0,1,0))*FLOOR($FR40/2,1)</f>
        <v/>
      </c>
      <c r="FT40" s="152">
        <f>MAX(0,3-SUMPRODUCT($FB40:$FG40,$Q$2:$V$2)+MIN(2,$FH40*1+$FI40*1,SUMPRODUCT($FB40:$FG40,$Q$2:$V$2)))+$DW40*1</f>
        <v/>
      </c>
      <c r="FU40" s="152">
        <f>MAX(0,6-SUMPRODUCT($FB40:$FG40,$Q$3:$V$3)+MIN(4,$FH40*1+$FI40*2,SUMPRODUCT($FB40:$FG40,$Q$3:$V$3)))+$DW40*2</f>
        <v/>
      </c>
      <c r="FV40" s="152">
        <f>MAX(0,9-SUMPRODUCT($FB40:$FG40,$Q$4:$V$4)+MIN(6,$FH40*2+$FI40*3,SUMPRODUCT($FB40:$FG40,$Q$4:$V$4)))+$DW40*3</f>
        <v/>
      </c>
      <c r="FW40" s="152">
        <f>MAX(0,12-SUMPRODUCT($FB40:$FG40,$Q$5:$V$5)+MIN(8,$FH40*2+$FI40*4,SUMPRODUCT($FB40:$FG40,$Q$5:$V$5)))+$DW40*4</f>
        <v/>
      </c>
      <c r="FX40" s="152">
        <f>MAX(0,15-SUMPRODUCT($FB40:$FG40,$Q$6:$V$6)+MIN(10,$FH40*3+$FI40*5,SUMPRODUCT($FB40:$FG40,$Q$6:$V$6)))+$DW40*5</f>
        <v/>
      </c>
      <c r="FY40" s="152">
        <f>MAX(0,18-SUMPRODUCT($FB40:$FG40,$Q$7:$V$7)+MIN(12,$FH40*3+$FI40*6,SUMPRODUCT($FB40:$FG40,$Q$7:$V$7)))+$DW40*6</f>
        <v/>
      </c>
      <c r="FZ40" s="152">
        <f>MAX(0,21-SUMPRODUCT($FB40:$FG40,$Q$8:$V$8)+MIN(14,$FH40*4+$FI40*7,SUMPRODUCT($FB40:$FG40,$Q$8:$V$8)))+$DW40*7</f>
        <v/>
      </c>
      <c r="GA40" s="152">
        <f>IF($EV40=2,3*$FT40&amp;" de vida temp.",IF($EV40=3,"sem dano",IF($FT40=0,IF($EV40=1,"sem cura","sem dano"),IF($EV40=1,"cura ","")&amp;$FT40&amp;"d8")))</f>
        <v/>
      </c>
      <c r="GB40" s="152">
        <f>IF($EV40=2,3*$FU40&amp;" de vida temp.",IF($EV40=3,"sem dano",IF($FU40=0,IF($EV40=1,"sem cura","sem dano"),IF($EV40=1,"cura ","")&amp;$FU40&amp;"d8")))</f>
        <v/>
      </c>
      <c r="GC40" s="152">
        <f>IF($EV40=2,3*$FV40&amp;" de vida temp.",IF($EV40=3,"sem dano",IF($FV40=0,IF($EV40=1,"sem cura","sem dano"),IF($EV40=1,"cura ","")&amp;$FV40&amp;"d8")))</f>
        <v/>
      </c>
      <c r="GD40" s="152">
        <f>IF($EV40=2,3*$FW40&amp;" de vida temp.",IF($EV40=3,"sem dano",IF($FW40=0,IF($EV40=1,"sem cura","sem dano"),IF($EV40=1,"cura ","")&amp;$FW40&amp;"d8")))</f>
        <v/>
      </c>
      <c r="GE40" s="152">
        <f>IF($EV40=2,3*$FX40&amp;" de vida temp.",IF($EV40=3,"sem dano",IF($FX40=0,IF($EV40=1,"sem cura","sem dano"),IF($EV40=1,"cura ","")&amp;$FX40&amp;"d8")))</f>
        <v/>
      </c>
      <c r="GF40" s="152">
        <f>IF($EV40=2,3*$FY40&amp;" de vida temp.",IF($EV40=3,"sem dano",IF($FY40=0,IF($EV40=1,"sem cura","sem dano"),IF($EV40=1,"cura ","")&amp;$FY40&amp;"d8")))</f>
        <v/>
      </c>
      <c r="GG40" s="152">
        <f>IF($EV40=2,3*$FZ40&amp;" de vida temp.",IF($EV40=3,"sem dano",IF($FZ40=0,IF($EV40=1,"sem cura","sem dano"),IF($EV40=1,"cura ","")&amp;$FZ40&amp;"d8")))</f>
        <v/>
      </c>
      <c r="GH40" s="152">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52">
        <f>IF($GH40="",0,(LEN($GH40)-LEN(SUBSTITUTE($GH40," · ","")))/3+1)</f>
        <v/>
      </c>
      <c r="GJ40" s="152">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52">
        <f>IF($GJ40="",0,(LEN($GJ40)-LEN(SUBSTITUTE($GJ40," · ","")))/3+1)</f>
        <v/>
      </c>
      <c r="GL40" s="152">
        <f>IF($EH40=0,IF($FJ40+$FK40-$EU40&gt;0,"Dê um nome",""),IF($GI40&gt;0,"⚠ "&amp;$GI40&amp;IF($GI40&gt;1," erros"," erro"),IF($GK40&gt;0,"! "&amp;$GK40&amp;IF($GK40&gt;1," avisos"," aviso"),"Na regra")))</f>
        <v/>
      </c>
      <c r="GM40" s="152">
        <f>IF($EH40=0,"",IF($GI40+$GK40=0,"Dentro das regras que a ficha confere",$GH40&amp;IF(AND($GI40&gt;0,$GK40&gt;0)," · ","")&amp;$GJ40))</f>
        <v/>
      </c>
      <c r="GN40" s="152">
        <f>IF($EH40=0,"",IF($DW40=1,CEILING(4.5*$DY40,1),3*$DY40)&amp;" PE")</f>
        <v/>
      </c>
      <c r="GO40" s="152">
        <f>IF($EH40=0,"",IF($DW40=1,"Rodada inteira",IF(COUNTIF($EZ40:$FA40,"Atrasar")&gt;0,IF(COUNTIF($EZ40:$FA40,"Carregar")&gt;0,"Rodada +1 turno","Rodada inteira"),IF(COUNTIF($EB40:$EE40,"Rápido")&gt;0,"Bônus",IF(COUNTIF($EB40:$EE40,"Reação")&gt;0,"Reação","Padrão"))&amp;IF(COUNTIF($EZ40:$FA40,"Carregar")&gt;0," +1 turno",""))))</f>
        <v/>
      </c>
      <c r="GP40" s="152">
        <f>IF(OR($EH40=0,$EI40=0),"",IF(COUNTIF($EB40:$EE40,"Inescapável")&gt;0,"Automático",IF(COUNTIF($EB40:$EE40,"Certeiro")&gt;0,"TR para metade",INDEX($AF$2:$AF$11,$EI40))))</f>
        <v/>
      </c>
      <c r="GQ40" s="152">
        <f>IF(OR($EH40=0,$EI40=0),"",IF(OR($EV40&gt;=2,$FR40=0),UPPER(LEFT(INDEX($GA40:$GG40,1,$DY40),1))&amp;MID(INDEX($GA40:$GG40,1,$DY40),2,99),UPPER(LEFT(INDEX($GA40:$GG40,1,$DY40),1))&amp;MID(INDEX($GA40:$GG40,1,$DY40),2,99)&amp;" = "&amp;FLOOR($FR40*4.5,1)&amp;IF($FS40&gt;0," · +"&amp;$FS40&amp;"d8","")))</f>
        <v/>
      </c>
      <c r="GR40" s="152">
        <f>COUNTIF($EB40:$EE40,"Longe")+3*COUNTIF($EB40:$EE40,"Muito Longe")</f>
        <v/>
      </c>
      <c r="GS40" s="152">
        <f>COUNTIF($EB40:$EE40,"Maior")+3*COUNTIF($EB40:$EE40,"Muito Maior")</f>
        <v/>
      </c>
      <c r="GT40" s="152">
        <f>IF($EI40=0,0,CHOOSE(1+INDEX($AH$2:$AH$11,$EI40),0,$GR40,$GS40,$GR40+$GS40))</f>
        <v/>
      </c>
      <c r="GU40" s="152">
        <f>IF($EI40=0,0,CHOOSE(1+INDEX($AI$2:$AI$11,$EI40),0,$GR40,$GS40,$GR40+$GS40))</f>
        <v/>
      </c>
      <c r="GV40" s="152">
        <f>IF(OR($EH40=0,$EI40=0),"",INDEX($AP$2:$AU$31,($EI40-1)*3+IF($DY40&gt;=6,3,2),1+MIN(5,$GT40))&amp;INDEX($AV$2:$BA$31,($EI40-1)*3+IF($DY40&gt;=6,3,2),1+MIN(5,$GU40))&amp;IF(INDEX($AJ$2:$AJ$11,$EI40)=1,IF(COUNTIF($EB40:$EE40,"Mais Um")&gt;0," · +"&amp;COUNTIF($EB40:$EE40,"Mais Um")&amp;IF(COUNTIF($EB40:$EE40,"Mais Um")&gt;1," alvos"," alvo"),"")&amp;IF(COUNTIF($EB40:$EE40,"Rajada")&gt;0," · "&amp;($DY40+1)&amp;" tiros",""),""))</f>
        <v/>
      </c>
      <c r="GW40" s="152">
        <f>IF($EH40=0,"",3*$DY40&amp;" − "&amp;$FL40&amp;" + "&amp;$FO40&amp;IF($DW40=1," + "&amp;$DY40,"")&amp;" = "&amp;$FR40&amp;"d8 · teto "&amp;4*$DY40&amp;IF($EU40=1," · a Forma devolve "&amp;$DY40,"")&amp;IF($FP40&gt;0," · perde "&amp;$FP40,""))</f>
        <v/>
      </c>
      <c r="GX40" s="152">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52">
        <f>IF(OR($EH40=0,$EK40=0),"","−"&amp;INDEX($Q$2:$V$8,$DY40,$EK40)&amp;" · "&amp;CHOOSE($EK40,"Leve","Média","Pesada","Leve · Livre","Média · Livre","Pesada · Livre"))</f>
        <v/>
      </c>
      <c r="GZ40" s="152">
        <f>IF(OR($EH40=0,$EL40=0),"","−"&amp;INDEX($Q$2:$V$8,$DY40,$EL40)&amp;" · "&amp;CHOOSE($EL40,"Leve","Média","Pesada","Leve · Livre","Média · Livre","Pesada · Livre"))</f>
        <v/>
      </c>
      <c r="HA40" s="152">
        <f>IF(OR($EH40=0,$EM40=0),"","−"&amp;INDEX($Q$2:$V$8,$DY40,$EM40)&amp;" · "&amp;CHOOSE($EM40,"Leve","Média","Pesada","Leve · Livre","Média · Livre","Pesada · Livre"))</f>
        <v/>
      </c>
      <c r="HB40" s="152">
        <f>IF(OR($EH40=0,$EN40=0),"","−"&amp;INDEX($Q$2:$V$8,$DY40,$EN40)&amp;" · "&amp;CHOOSE($EN40,"Leve","Média","Pesada","Leve · Livre","Média · Livre","Pesada · Livre"))</f>
        <v/>
      </c>
      <c r="HC40" s="152">
        <f>IF(OR($EH40=0,$EF40=""),"","+"&amp;IF($EX40=1,CEILING($DY40/2,1),$DY40))</f>
        <v/>
      </c>
      <c r="HD40" s="152">
        <f>IF(OR($EH40=0,$EG40=""),"","+"&amp;IF($EY40=1,CEILING($DY40/2,1),$DY40))</f>
        <v/>
      </c>
      <c r="HE40" s="152">
        <f>'FICHA AMALDIÇOADA'!$P$321&amp;""</f>
        <v/>
      </c>
      <c r="HF40" s="152">
        <f>IF(AND($EH40=1,$DW40=0),COUNTIFS($EH$2:$EH40,1,$DW$2:$DW40,0),"")</f>
        <v/>
      </c>
      <c r="HH40" s="150" t="inlineStr">
        <is>
          <t>equipamento</t>
        </is>
      </c>
      <c r="HI40" s="152">
        <f>'FICHA AMALDIÇOADA'!$J$16&amp;""</f>
        <v/>
      </c>
      <c r="KQ40" s="150" t="inlineStr">
        <is>
          <t>D354</t>
        </is>
      </c>
      <c r="KR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HH41" s="150" t="inlineStr">
        <is>
          <t>arma</t>
        </is>
      </c>
      <c r="HI41" s="152">
        <f>IF(AND($A$2&gt;=3,'FICHA AMALDIÇOADA'!$J$16&amp;""="Três grupos de arma"),1,0)</f>
        <v/>
      </c>
      <c r="KQ41" s="150" t="inlineStr">
        <is>
          <t>F357</t>
        </is>
      </c>
      <c r="KR41" s="152">
        <f>IF(OR(DADOS_AM!$A$2&lt;&gt;1,DADOS_AM!$HI$34=""),"—",DADOS_AM!$HI$19&amp;"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HH42" s="150" t="inlineStr">
        <is>
          <t>atributo do grupo 1</t>
        </is>
      </c>
      <c r="HI42" s="152">
        <f>IF(OR($HI$41=0,'FICHA AMALDIÇOADA'!$D$18=""),"",IF(IFERROR(VLOOKUP('FICHA AMALDIÇOADA'!$D$18,$CT$2:$CW$14,2,FALSE),0)=1,IF(AND(IFERROR(VLOOKUP('FICHA AMALDIÇOADA'!$D$18,$CT$2:$CW$14,3,FALSE),0)=1,N(FICHA!$L$19)&gt;N(FICHA!$D$19)),"Destreza","Força"),"Destreza"))</f>
        <v/>
      </c>
      <c r="KQ42" s="150" t="inlineStr">
        <is>
          <t>J357</t>
        </is>
      </c>
      <c r="KR42" s="152">
        <f>IF(DADOS_AM!$A$2&lt;&gt;1,"Só o Fundamento tem",IF(DADOS_AM!$HI$34="","—",IF(AND(DADOS_AM!$HI$2&gt;=IFERROR(VLOOKUP(DADOS_AM!$HI$34,DADOS_AM!$DK$2:$DO$4,3,FALSE),0),DADOS_AM!$HI$6&gt;=IFERROR(VLOOKUP(DADOS_AM!$HI$34,DADOS_AM!$DK$2:$DO$4,4,FALSE),0)),"","⚠ ")&amp;IFERROR(VLOOKUP(DADOS_AM!$HI$34,DADOS_AM!$DK$2:$DO$4,5,FALSE),"")))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HH43" s="150" t="inlineStr">
        <is>
          <t>atributo do grupo 2</t>
        </is>
      </c>
      <c r="HI43" s="152">
        <f>IF(OR($HI$41=0,'FICHA AMALDIÇOADA'!$J$18=""),"",IF(IFERROR(VLOOKUP('FICHA AMALDIÇOADA'!$J$18,$CT$2:$CW$14,2,FALSE),0)=1,IF(AND(IFERROR(VLOOKUP('FICHA AMALDIÇOADA'!$J$18,$CT$2:$CW$14,3,FALSE),0)=1,N(FICHA!$L$19)&gt;N(FICHA!$D$19)),"Destreza","Força"),"Destreza"))</f>
        <v/>
      </c>
      <c r="KQ43" s="150" t="inlineStr">
        <is>
          <t>P357</t>
        </is>
      </c>
      <c r="KR43" s="152">
        <f>IF(DADOS_AM!$A$2&lt;&gt;1,"—",DADOS_AM!$HI$6)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HH44" s="150" t="inlineStr">
        <is>
          <t>atributo do grupo 3</t>
        </is>
      </c>
      <c r="HI44" s="152">
        <f>IF(OR($HI$41=0,'FICHA AMALDIÇOADA'!$P$18=""),"",IF(IFERROR(VLOOKUP('FICHA AMALDIÇOADA'!$P$18,$CT$2:$CW$14,2,FALSE),0)=1,IF(AND(IFERROR(VLOOKUP('FICHA AMALDIÇOADA'!$P$18,$CT$2:$CW$14,3,FALSE),0)=1,N(FICHA!$L$19)&gt;N(FICHA!$D$19)),"Destreza","Força"),"Destreza"))</f>
        <v/>
      </c>
      <c r="KQ44" s="150" t="inlineStr">
        <is>
          <t>R357</t>
        </is>
      </c>
      <c r="KR44" s="152">
        <f>IF(DADOS_AM!$A$2&lt;&gt;1,"—","Cai na "&amp;MAX(1,FLOOR(DADOS_AM!$HI$7/2,1))&amp;"ª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HH45" s="150" t="inlineStr">
        <is>
          <t>valor do grupo 1</t>
        </is>
      </c>
      <c r="HI45" s="152">
        <f>IF($HI$42="",0,IF($HI$42="Força",N(FICHA!$D$19),N(FICHA!$L$19)))</f>
        <v/>
      </c>
      <c r="KQ45" s="150" t="inlineStr">
        <is>
          <t>D361</t>
        </is>
      </c>
      <c r="KR45" s="152">
        <f>IF(DADOS_AM!$A$2&lt;&gt;1,"—","Incompleta"&amp;IF(DADOS_AM!$HI$34="Incompleta","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HH46" s="150" t="inlineStr">
        <is>
          <t>valor do grupo 2</t>
        </is>
      </c>
      <c r="HI46" s="152">
        <f>IF($HI$43="",0,IF($HI$43="Força",N(FICHA!$D$19),N(FICHA!$L$19)))</f>
        <v/>
      </c>
      <c r="KQ46" s="150" t="inlineStr">
        <is>
          <t>F361</t>
        </is>
      </c>
      <c r="KR46" s="152">
        <f>IF(DADOS_AM!$A$2&lt;&gt;1,"—",6*DADOS_AM!$HI$4)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HH47" s="150" t="inlineStr">
        <is>
          <t>valor do grupo 3</t>
        </is>
      </c>
      <c r="HI47" s="152">
        <f>IF($HI$44="",0,IF($HI$44="Força",N(FICHA!$D$19),N(FICHA!$L$19)))</f>
        <v/>
      </c>
      <c r="KQ47" s="150" t="inlineStr">
        <is>
          <t>G361</t>
        </is>
      </c>
      <c r="KR47" s="152">
        <f>IF(DADOS_AM!$A$2&lt;&gt;1,"—",DADOS_AM!$HI$32&amp;IF(DADOS_AM!$HI$32&gt;1,"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HH48" s="150" t="inlineStr">
        <is>
          <t>atributos dos grupos</t>
        </is>
      </c>
      <c r="HI48" s="152">
        <f>IF(AND($HI$42&lt;&gt;""),1,0)+IF(AND($HI$43&lt;&gt;"",$HI$43&lt;&gt;$HI$42),1,0)+IF(AND($HI$44&lt;&gt;"",$HI$44&lt;&gt;$HI$42,$HI$44&lt;&gt;$HI$43),1,0)</f>
        <v/>
      </c>
      <c r="KQ48" s="150" t="inlineStr">
        <is>
          <t>J361</t>
        </is>
      </c>
      <c r="KR48" s="152">
        <f>IF(DADOS_AM!$A$2&lt;&gt;1,"—",SUBSTITUTE(MIN(7.5,1.5*DADOS_AM!$HI$6)&amp;"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HH49" s="150" t="inlineStr">
        <is>
          <t>usos do estímulo</t>
        </is>
      </c>
      <c r="HI49" s="152">
        <f>IF($HI$6&gt;=10,2,1)&amp;"× por cena"</f>
        <v/>
      </c>
      <c r="KQ49" s="150" t="inlineStr">
        <is>
          <t>K361</t>
        </is>
      </c>
      <c r="KR49" s="152">
        <f>IF(DADOS_AM!$A$2&lt;&gt;1,"—","−"&amp;DADOS_AM!$HI$33&amp;"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KQ50" s="150" t="inlineStr">
        <is>
          <t>D362</t>
        </is>
      </c>
      <c r="KR50" s="152">
        <f>IF(DADOS_AM!$A$2&lt;&gt;1,"—","Completa"&amp;IF(OR(DADOS_AM!$HI$34="Completa",DADOS_AM!$HI$34="Sem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KQ51" s="150" t="inlineStr">
        <is>
          <t>F362</t>
        </is>
      </c>
      <c r="KR51" s="152">
        <f>IF(DADOS_AM!$A$2&lt;&gt;1,"—",6*DADOS_AM!$HI$4)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KQ52" s="150" t="inlineStr">
        <is>
          <t>G362</t>
        </is>
      </c>
      <c r="KR52" s="152">
        <f>IF(DADOS_AM!$A$2&lt;&gt;1,"—",DADOS_AM!$HI$32&amp;IF(DADOS_AM!$HI$32&gt;1,"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KQ53" s="150" t="inlineStr">
        <is>
          <t>J362</t>
        </is>
      </c>
      <c r="KR53" s="152">
        <f>IF(DADOS_AM!$A$2&lt;&gt;1,"—",SUBSTITUTE(1.5*DADOS_AM!$HI$6&amp;"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KQ54" s="150" t="inlineStr">
        <is>
          <t>K362</t>
        </is>
      </c>
      <c r="KR54" s="152">
        <f>IF(DADOS_AM!$A$2&lt;&gt;1,"—","−"&amp;DADOS_AM!$HI$32&amp;"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KQ55" s="150" t="inlineStr">
        <is>
          <t>L362</t>
        </is>
      </c>
      <c r="KR55" s="152">
        <f>IF(DADOS_AM!$A$2&lt;&gt;1,"—",50*DADOS_AM!$HI$32&amp;"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KQ56" s="150" t="inlineStr">
        <is>
          <t>D363</t>
        </is>
      </c>
      <c r="KR56" s="152">
        <f>IF(DADOS_AM!$A$2&lt;&gt;1,"—","Sem barreira"&amp;IF(DADOS_AM!$HI$34="Sem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KQ57" s="150" t="inlineStr">
        <is>
          <t>F363</t>
        </is>
      </c>
      <c r="KR57" s="152">
        <f>IF(DADOS_AM!$A$2&lt;&gt;1,"—",7*DADOS_AM!$HI$4)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KQ58" s="150" t="inlineStr">
        <is>
          <t>G363</t>
        </is>
      </c>
      <c r="KR58" s="152">
        <f>IF(DADOS_AM!$A$2&lt;&gt;1,"—",DADOS_AM!$HI$32&amp;IF(DADOS_AM!$HI$32&gt;1,"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KQ59" s="150" t="inlineStr">
        <is>
          <t>K363</t>
        </is>
      </c>
      <c r="KR59" s="152">
        <f>IF(DADOS_AM!$A$2&lt;&gt;1,"—","−"&amp;2*DADOS_AM!$HI$3&amp;"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KQ60" s="150" t="inlineStr">
        <is>
          <t>D421</t>
        </is>
      </c>
      <c r="KR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KQ61" s="150" t="inlineStr">
        <is>
          <t>D423</t>
        </is>
      </c>
      <c r="KR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KQ62" s="150" t="inlineStr">
        <is>
          <t>F424</t>
        </is>
      </c>
      <c r="KR62" s="152">
        <f>IF(DADOS_AM!$HI$25&gt;DADOS_AM!$HI$26,"⚠ ","")&amp;DADOS_AM!$HI$25&amp;" de "&amp;DADOS_AM!$HI$26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KQ63" s="150" t="inlineStr">
        <is>
          <t>J423</t>
        </is>
      </c>
      <c r="KR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KQ64" s="150" t="inlineStr">
        <is>
          <t>J424</t>
        </is>
      </c>
      <c r="KR64" s="152">
        <f>"Proteção "&amp;(FLOOR(DADOS_AM!$HI$6/3,1)+1)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KQ65" s="150" t="inlineStr">
        <is>
          <t>L423</t>
        </is>
      </c>
      <c r="KR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KQ66" s="150" t="inlineStr">
        <is>
          <t>L424</t>
        </is>
      </c>
      <c r="KR66" s="152">
        <f>"+"&amp;IF(DADOS_AM!$HI$6&gt;=9,4,IF(DADOS_AM!$HI$6&gt;=6,3,IF(DADOS_AM!$HI$6&gt;=3,2,1)))&amp;IF(DADOS_AM!$HI$6&gt;=10,"d6","d4")&amp;"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KQ67" s="150" t="inlineStr">
        <is>
          <t>P423</t>
        </is>
      </c>
      <c r="KR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KQ68" s="150" t="inlineStr">
        <is>
          <t>P424</t>
        </is>
      </c>
      <c r="KR68" s="152">
        <f>"RD "&amp;FLOOR(1.5*DADOS_AM!$HI$6,1)&amp;"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KQ69" s="150" t="inlineStr">
        <is>
          <t>D427</t>
        </is>
      </c>
      <c r="KR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KQ70" s="150" t="inlineStr">
        <is>
          <t>J427</t>
        </is>
      </c>
      <c r="KR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KQ71" s="150" t="inlineStr">
        <is>
          <t>P427</t>
        </is>
      </c>
      <c r="KR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KQ72" s="150" t="inlineStr">
        <is>
          <t>P428</t>
        </is>
      </c>
      <c r="KR72" s="152">
        <f>IF(DADOS_AM!$A$2=4,DADOS_AM!$HI$49,"—")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KQ73" s="150" t="inlineStr">
        <is>
          <t>D446</t>
        </is>
      </c>
      <c r="KR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KQ74" s="150" t="inlineStr">
        <is>
          <t>J446</t>
        </is>
      </c>
      <c r="KR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KQ75" s="150" t="inlineStr">
        <is>
          <t>P446</t>
        </is>
      </c>
      <c r="KR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KQ76" s="150" t="inlineStr">
        <is>
          <t>D466</t>
        </is>
      </c>
      <c r="KR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KQ77" s="150" t="inlineStr">
        <is>
          <t>J466</t>
        </is>
      </c>
      <c r="KR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KQ78" s="150" t="inlineStr">
        <is>
          <t>P466</t>
        </is>
      </c>
      <c r="KR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KQ79" s="150" t="inlineStr">
        <is>
          <t>D488</t>
        </is>
      </c>
      <c r="KR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KQ80" s="150" t="inlineStr">
        <is>
          <t>J488</t>
        </is>
      </c>
      <c r="KR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KQ81" s="150" t="inlineStr">
        <is>
          <t>P488</t>
        </is>
      </c>
      <c r="KR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KQ82" s="150" t="inlineStr">
        <is>
          <t>D508</t>
        </is>
      </c>
      <c r="KR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KQ83" s="150" t="inlineStr">
        <is>
          <t>J508</t>
        </is>
      </c>
      <c r="KR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KQ84" s="150" t="inlineStr">
        <is>
          <t>P508</t>
        </is>
      </c>
      <c r="KR84" s="152">
        <f>UPPER(INDEX(DADOS_AM!$D$8:$G$8,1,DADOS_AM!$A$2))</f>
        <v/>
      </c>
    </row>
    <row r="85">
      <c r="KQ85" s="150" t="inlineStr">
        <is>
          <t>D470</t>
        </is>
      </c>
      <c r="KR85" s="152">
        <f>UPPER(INDEX(DADOS_AM!$D$6:$G$6,1,DADOS_AM!$A$2))&amp;" 7 A 12 · abra quando faltar lugar"</f>
        <v/>
      </c>
    </row>
    <row r="86">
      <c r="KQ86" s="150" t="inlineStr">
        <is>
          <t>D515</t>
        </is>
      </c>
      <c r="KR86" s="152">
        <f>IF(DADOS_AM!$HI$27&gt;DADOS_AM!$HI$28,"⚠ ","")&amp;DADOS_AM!$HI$27&amp;" de "&amp;DADOS_AM!$HI$28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D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B1" s="151" t="inlineStr">
        <is>
          <t>menu de restrição</t>
        </is>
      </c>
      <c r="BC1" s="151" t="inlineStr">
        <is>
          <t>restrição</t>
        </is>
      </c>
      <c r="BD1" s="151" t="inlineStr">
        <is>
          <t>o que devolve</t>
        </is>
      </c>
      <c r="BE1" s="151" t="inlineStr">
        <is>
          <t>é de frequência</t>
        </is>
      </c>
      <c r="BF1" s="151" t="inlineStr">
        <is>
          <t>menu de restrição leve</t>
        </is>
      </c>
      <c r="BH1" s="151" t="inlineStr">
        <is>
          <t>talento</t>
        </is>
      </c>
      <c r="BI1" s="151" t="inlineStr">
        <is>
          <t>categoria de efeito</t>
        </is>
      </c>
      <c r="BJ1" s="151" t="inlineStr">
        <is>
          <t>o que o talento faz</t>
        </is>
      </c>
      <c r="BK1" s="151" t="inlineStr">
        <is>
          <t>menu de talento da trilha</t>
        </is>
      </c>
      <c r="BM1" s="151" t="inlineStr">
        <is>
          <t>tipo de entidade</t>
        </is>
      </c>
      <c r="BO1" s="151" t="inlineStr">
        <is>
          <t>aquisição</t>
        </is>
      </c>
      <c r="BP1" s="151" t="inlineStr">
        <is>
          <t>acompanha o nível</t>
        </is>
      </c>
      <c r="BR1" s="151" t="inlineStr">
        <is>
          <t>família</t>
        </is>
      </c>
      <c r="BT1" s="151" t="inlineStr">
        <is>
          <t>atributo</t>
        </is>
      </c>
      <c r="BV1" s="151" t="inlineStr">
        <is>
          <t>teste de resistência</t>
        </is>
      </c>
      <c r="BX1" s="151" t="inlineStr">
        <is>
          <t>físico usa</t>
        </is>
      </c>
      <c r="BZ1" s="151" t="inlineStr">
        <is>
          <t>perícia</t>
        </is>
      </c>
      <c r="CA1" s="151" t="inlineStr">
        <is>
          <t>atributo da perícia</t>
        </is>
      </c>
      <c r="CC1" s="151" t="inlineStr">
        <is>
          <t>carga do talismã</t>
        </is>
      </c>
      <c r="CE1" s="151" t="inlineStr">
        <is>
          <t>tipo de dano</t>
        </is>
      </c>
      <c r="CG1" s="151" t="inlineStr">
        <is>
          <t>resolução</t>
        </is>
      </c>
      <c r="CI1" s="151" t="inlineStr">
        <is>
          <t>pontos no atributo</t>
        </is>
      </c>
      <c r="CK1" s="151" t="inlineStr">
        <is>
          <t>nível da técnica máxima</t>
        </is>
      </c>
      <c r="CL1" s="151" t="inlineStr">
        <is>
          <t>dados fixos</t>
        </is>
      </c>
      <c r="CM1" s="151" t="inlineStr">
        <is>
          <t>pontos de montagem da máxima</t>
        </is>
      </c>
      <c r="CN1" s="151" t="inlineStr">
        <is>
          <t>pe da máxima</t>
        </is>
      </c>
      <c r="CP1" s="151" t="inlineStr">
        <is>
          <t>degrau da expansão</t>
        </is>
      </c>
      <c r="CQ1" s="151" t="inlineStr">
        <is>
          <t>aquisição do degrau</t>
        </is>
      </c>
      <c r="CR1" s="151" t="inlineStr">
        <is>
          <t>requisito do degrau</t>
        </is>
      </c>
      <c r="CT1" s="151" t="inlineStr">
        <is>
          <t>a defesa usa</t>
        </is>
      </c>
      <c r="CV1" s="151" t="inlineStr">
        <is>
          <t>contas do conjunto</t>
        </is>
      </c>
      <c r="CW1" s="151" t="inlineStr">
        <is>
          <t>valor do conjunto</t>
        </is>
      </c>
      <c r="CY1" s="151" t="inlineStr">
        <is>
          <t>conta de ficha</t>
        </is>
      </c>
      <c r="CZ1" s="151" t="inlineStr">
        <is>
          <t>nome</t>
        </is>
      </c>
      <c r="DA1" s="151" t="inlineStr">
        <is>
          <t>tipo</t>
        </is>
      </c>
      <c r="DB1" s="151" t="inlineStr">
        <is>
          <t>aquis</t>
        </is>
      </c>
      <c r="DC1" s="151" t="inlineStr">
        <is>
          <t>nfixo</t>
        </is>
      </c>
      <c r="DD1" s="151" t="inlineStr">
        <is>
          <t>talisma</t>
        </is>
      </c>
      <c r="DE1" s="151" t="inlineStr">
        <is>
          <t>p0</t>
        </is>
      </c>
      <c r="DF1" s="151" t="inlineStr">
        <is>
          <t>p1</t>
        </is>
      </c>
      <c r="DG1" s="151" t="inlineStr">
        <is>
          <t>p2</t>
        </is>
      </c>
      <c r="DH1" s="151" t="inlineStr">
        <is>
          <t>p3</t>
        </is>
      </c>
      <c r="DI1" s="151" t="inlineStr">
        <is>
          <t>p4</t>
        </is>
      </c>
      <c r="DJ1" s="151" t="inlineStr">
        <is>
          <t>u0</t>
        </is>
      </c>
      <c r="DK1" s="151" t="inlineStr">
        <is>
          <t>u1</t>
        </is>
      </c>
      <c r="DL1" s="151" t="inlineStr">
        <is>
          <t>u2</t>
        </is>
      </c>
      <c r="DM1" s="151" t="inlineStr">
        <is>
          <t>u3</t>
        </is>
      </c>
      <c r="DN1" s="151" t="inlineStr">
        <is>
          <t>u4</t>
        </is>
      </c>
      <c r="DO1" s="151" t="inlineStr">
        <is>
          <t>acerto</t>
        </is>
      </c>
      <c r="DP1" s="151" t="inlineStr">
        <is>
          <t>fis</t>
        </is>
      </c>
      <c r="DQ1" s="151" t="inlineStr">
        <is>
          <t>trT</t>
        </is>
      </c>
      <c r="DR1" s="151" t="inlineStr">
        <is>
          <t>us0</t>
        </is>
      </c>
      <c r="DS1" s="151" t="inlineStr">
        <is>
          <t>us1</t>
        </is>
      </c>
      <c r="DT1" s="151" t="inlineStr">
        <is>
          <t>us2</t>
        </is>
      </c>
      <c r="DU1" s="151" t="inlineStr">
        <is>
          <t>us3</t>
        </is>
      </c>
      <c r="DV1" s="151" t="inlineStr">
        <is>
          <t>us4</t>
        </is>
      </c>
      <c r="DW1" s="151" t="inlineStr">
        <is>
          <t>ut0</t>
        </is>
      </c>
      <c r="DX1" s="151" t="inlineStr">
        <is>
          <t>ut1</t>
        </is>
      </c>
      <c r="DY1" s="151" t="inlineStr">
        <is>
          <t>ut2</t>
        </is>
      </c>
      <c r="DZ1" s="151" t="inlineStr">
        <is>
          <t>ut3</t>
        </is>
      </c>
      <c r="EA1" s="151" t="inlineStr">
        <is>
          <t>vida_c</t>
        </is>
      </c>
      <c r="EB1" s="151" t="inlineStr">
        <is>
          <t>temp</t>
        </is>
      </c>
      <c r="EC1" s="151" t="inlineStr">
        <is>
          <t>reserva</t>
        </is>
      </c>
      <c r="ED1" s="151" t="inlineStr">
        <is>
          <t>f0</t>
        </is>
      </c>
      <c r="EE1" s="151" t="inlineStr">
        <is>
          <t>f1</t>
        </is>
      </c>
      <c r="EF1" s="151" t="inlineStr">
        <is>
          <t>f2</t>
        </is>
      </c>
      <c r="EG1" s="151" t="inlineStr">
        <is>
          <t>f3</t>
        </is>
      </c>
      <c r="EH1" s="151" t="inlineStr">
        <is>
          <t>f4</t>
        </is>
      </c>
      <c r="EI1" s="151" t="inlineStr">
        <is>
          <t>per0</t>
        </is>
      </c>
      <c r="EJ1" s="151" t="inlineStr">
        <is>
          <t>per1</t>
        </is>
      </c>
      <c r="EK1" s="151" t="inlineStr">
        <is>
          <t>per2</t>
        </is>
      </c>
      <c r="EL1" s="151" t="inlineStr">
        <is>
          <t>per3</t>
        </is>
      </c>
      <c r="EM1" s="151" t="inlineStr">
        <is>
          <t>per4</t>
        </is>
      </c>
      <c r="EN1" s="151" t="inlineStr">
        <is>
          <t>per5</t>
        </is>
      </c>
      <c r="EO1" s="151" t="inlineStr">
        <is>
          <t>per6</t>
        </is>
      </c>
      <c r="EP1" s="151" t="inlineStr">
        <is>
          <t>tal0</t>
        </is>
      </c>
      <c r="EQ1" s="151" t="inlineStr">
        <is>
          <t>tal1</t>
        </is>
      </c>
      <c r="ER1" s="151" t="inlineStr">
        <is>
          <t>tal2</t>
        </is>
      </c>
      <c r="ES1" s="151" t="inlineStr">
        <is>
          <t>tal3</t>
        </is>
      </c>
      <c r="ET1" s="151" t="inlineStr">
        <is>
          <t>tal4</t>
        </is>
      </c>
      <c r="EU1" s="151" t="inlineStr">
        <is>
          <t>tal5</t>
        </is>
      </c>
      <c r="EV1" s="151" t="inlineStr">
        <is>
          <t>tal6</t>
        </is>
      </c>
      <c r="EW1" s="151" t="inlineStr">
        <is>
          <t>tal7</t>
        </is>
      </c>
      <c r="EX1" s="151" t="inlineStr">
        <is>
          <t>tx0</t>
        </is>
      </c>
      <c r="EY1" s="151" t="inlineStr">
        <is>
          <t>tx1</t>
        </is>
      </c>
      <c r="EZ1" s="151" t="inlineStr">
        <is>
          <t>tx2</t>
        </is>
      </c>
      <c r="FA1" s="151" t="inlineStr">
        <is>
          <t>lc0</t>
        </is>
      </c>
      <c r="FB1" s="151" t="inlineStr">
        <is>
          <t>lc1</t>
        </is>
      </c>
      <c r="FC1" s="151" t="inlineStr">
        <is>
          <t>lc2</t>
        </is>
      </c>
      <c r="FD1" s="151" t="inlineStr">
        <is>
          <t>exp</t>
        </is>
      </c>
      <c r="FE1" s="151" t="inlineStr">
        <is>
          <t>tem</t>
        </is>
      </c>
      <c r="FF1" s="151" t="inlineStr">
        <is>
          <t>acomp</t>
        </is>
      </c>
      <c r="FG1" s="151" t="inlineStr">
        <is>
          <t>n</t>
        </is>
      </c>
      <c r="FH1" s="151" t="inlineStr">
        <is>
          <t>cl</t>
        </is>
      </c>
      <c r="FI1" s="151" t="inlineStr">
        <is>
          <t>db</t>
        </is>
      </c>
      <c r="FJ1" s="151" t="inlineStr">
        <is>
          <t>t0</t>
        </is>
      </c>
      <c r="FK1" s="151" t="inlineStr">
        <is>
          <t>t1</t>
        </is>
      </c>
      <c r="FL1" s="151" t="inlineStr">
        <is>
          <t>t2</t>
        </is>
      </c>
      <c r="FM1" s="151" t="inlineStr">
        <is>
          <t>t3</t>
        </is>
      </c>
      <c r="FN1" s="151" t="inlineStr">
        <is>
          <t>t4</t>
        </is>
      </c>
      <c r="FO1" s="151" t="inlineStr">
        <is>
          <t>gastos</t>
        </is>
      </c>
      <c r="FP1" s="151" t="inlineStr">
        <is>
          <t>disp</t>
        </is>
      </c>
      <c r="FQ1" s="151" t="inlineStr">
        <is>
          <t>marc</t>
        </is>
      </c>
      <c r="FR1" s="151" t="inlineStr">
        <is>
          <t>acima</t>
        </is>
      </c>
      <c r="FS1" s="151" t="inlineStr">
        <is>
          <t>va</t>
        </is>
      </c>
      <c r="FT1" s="151" t="inlineStr">
        <is>
          <t>atq</t>
        </is>
      </c>
      <c r="FU1" s="151" t="inlineStr">
        <is>
          <t>cd</t>
        </is>
      </c>
      <c r="FV1" s="151" t="inlineStr">
        <is>
          <t>def</t>
        </is>
      </c>
      <c r="FW1" s="151" t="inlineStr">
        <is>
          <t>cri</t>
        </is>
      </c>
      <c r="FX1" s="151" t="inlineStr">
        <is>
          <t>vida</t>
        </is>
      </c>
      <c r="FY1" s="151" t="inlineStr">
        <is>
          <t>atual</t>
        </is>
      </c>
      <c r="FZ1" s="151" t="inlineStr">
        <is>
          <t>desl</t>
        </is>
      </c>
      <c r="GA1" s="151" t="inlineStr">
        <is>
          <t>vf</t>
        </is>
      </c>
      <c r="GB1" s="151" t="inlineStr">
        <is>
          <t>tr0</t>
        </is>
      </c>
      <c r="GC1" s="151" t="inlineStr">
        <is>
          <t>tr1</t>
        </is>
      </c>
      <c r="GD1" s="151" t="inlineStr">
        <is>
          <t>tr2</t>
        </is>
      </c>
      <c r="GE1" s="151" t="inlineStr">
        <is>
          <t>tr3</t>
        </is>
      </c>
      <c r="GF1" s="151" t="inlineStr">
        <is>
          <t>nper</t>
        </is>
      </c>
      <c r="GG1" s="151" t="inlineStr">
        <is>
          <t>tper</t>
        </is>
      </c>
      <c r="GH1" s="151" t="inlineStr">
        <is>
          <t>esp</t>
        </is>
      </c>
      <c r="GI1" s="151" t="inlineStr">
        <is>
          <t>nbas</t>
        </is>
      </c>
      <c r="GJ1" s="151" t="inlineStr">
        <is>
          <t>ntal</t>
        </is>
      </c>
      <c r="GK1" s="151" t="inlineStr">
        <is>
          <t>ttal</t>
        </is>
      </c>
      <c r="GL1" s="151" t="inlineStr">
        <is>
          <t>ent</t>
        </is>
      </c>
      <c r="GM1" s="151" t="inlineStr">
        <is>
          <t>ret</t>
        </is>
      </c>
      <c r="GN1" s="151" t="inlineStr">
        <is>
          <t>resmax</t>
        </is>
      </c>
      <c r="GO1" s="151" t="inlineStr">
        <is>
          <t>carga</t>
        </is>
      </c>
      <c r="GP1" s="151" t="inlineStr">
        <is>
          <t>nfam</t>
        </is>
      </c>
      <c r="GQ1" s="151" t="inlineStr">
        <is>
          <t>rep</t>
        </is>
      </c>
      <c r="GR1" s="151" t="inlineStr">
        <is>
          <t>maxfam</t>
        </is>
      </c>
      <c r="GS1" s="151" t="inlineStr">
        <is>
          <t>d_titulo</t>
        </is>
      </c>
      <c r="GT1" s="151" t="inlineStr">
        <is>
          <t>d_lomb</t>
        </is>
      </c>
      <c r="GU1" s="151" t="inlineStr">
        <is>
          <t>d_mae</t>
        </is>
      </c>
      <c r="GV1" s="151" t="inlineStr">
        <is>
          <t>d_ent</t>
        </is>
      </c>
      <c r="GW1" s="151" t="inlineStr">
        <is>
          <t>d_ret</t>
        </is>
      </c>
      <c r="GX1" s="151" t="inlineStr">
        <is>
          <t>d_pontos</t>
        </is>
      </c>
      <c r="GY1" s="151" t="inlineStr">
        <is>
          <t>d_atq</t>
        </is>
      </c>
      <c r="GZ1" s="151" t="inlineStr">
        <is>
          <t>d_cd</t>
        </is>
      </c>
      <c r="HA1" s="151" t="inlineStr">
        <is>
          <t>d_desl</t>
        </is>
      </c>
      <c r="HB1" s="151" t="inlineStr">
        <is>
          <t>d_tr0</t>
        </is>
      </c>
      <c r="HC1" s="151" t="inlineStr">
        <is>
          <t>d_tr1</t>
        </is>
      </c>
      <c r="HD1" s="151" t="inlineStr">
        <is>
          <t>d_tr2</t>
        </is>
      </c>
      <c r="HE1" s="151" t="inlineStr">
        <is>
          <t>d_tr3</t>
        </is>
      </c>
      <c r="HF1" s="151" t="inlineStr">
        <is>
          <t>d_per</t>
        </is>
      </c>
      <c r="HG1" s="151" t="inlineStr">
        <is>
          <t>d_pb0</t>
        </is>
      </c>
      <c r="HH1" s="151" t="inlineStr">
        <is>
          <t>d_pb1</t>
        </is>
      </c>
      <c r="HI1" s="151" t="inlineStr">
        <is>
          <t>d_pb2</t>
        </is>
      </c>
      <c r="HJ1" s="151" t="inlineStr">
        <is>
          <t>d_pb3</t>
        </is>
      </c>
      <c r="HK1" s="151" t="inlineStr">
        <is>
          <t>d_pb4</t>
        </is>
      </c>
      <c r="HL1" s="151" t="inlineStr">
        <is>
          <t>d_pb5</t>
        </is>
      </c>
      <c r="HM1" s="151" t="inlineStr">
        <is>
          <t>d_pb6</t>
        </is>
      </c>
      <c r="HN1" s="151" t="inlineStr">
        <is>
          <t>d_res</t>
        </is>
      </c>
      <c r="HO1" s="151" t="inlineStr">
        <is>
          <t>d_equip</t>
        </is>
      </c>
      <c r="HP1" s="151" t="inlineStr">
        <is>
          <t>d_fam</t>
        </is>
      </c>
      <c r="HQ1" s="151" t="inlineStr">
        <is>
          <t>d_hab</t>
        </is>
      </c>
      <c r="HR1" s="151" t="inlineStr">
        <is>
          <t>d_tal</t>
        </is>
      </c>
      <c r="HS1" s="151" t="inlineStr">
        <is>
          <t>ce0</t>
        </is>
      </c>
      <c r="HT1" s="151" t="inlineStr">
        <is>
          <t>ce1</t>
        </is>
      </c>
      <c r="HU1" s="151" t="inlineStr">
        <is>
          <t>ce2</t>
        </is>
      </c>
      <c r="HV1" s="151" t="inlineStr">
        <is>
          <t>ce3</t>
        </is>
      </c>
      <c r="HW1" s="151" t="inlineStr">
        <is>
          <t>ce4</t>
        </is>
      </c>
      <c r="HX1" s="151" t="inlineStr">
        <is>
          <t>ce5</t>
        </is>
      </c>
      <c r="HY1" s="151" t="inlineStr">
        <is>
          <t>ce6</t>
        </is>
      </c>
      <c r="HZ1" s="151" t="inlineStr">
        <is>
          <t>ce7</t>
        </is>
      </c>
      <c r="IA1" s="151" t="inlineStr">
        <is>
          <t>d_tt0</t>
        </is>
      </c>
      <c r="IB1" s="151" t="inlineStr">
        <is>
          <t>d_tt1</t>
        </is>
      </c>
      <c r="IC1" s="151" t="inlineStr">
        <is>
          <t>d_tt2</t>
        </is>
      </c>
      <c r="ID1" s="151" t="inlineStr">
        <is>
          <t>d_tt3</t>
        </is>
      </c>
      <c r="IE1" s="151" t="inlineStr">
        <is>
          <t>d_tt4</t>
        </is>
      </c>
      <c r="IF1" s="151" t="inlineStr">
        <is>
          <t>d_tt5</t>
        </is>
      </c>
      <c r="IG1" s="151" t="inlineStr">
        <is>
          <t>d_tt6</t>
        </is>
      </c>
      <c r="IH1" s="151" t="inlineStr">
        <is>
          <t>d_tt7</t>
        </is>
      </c>
      <c r="II1" s="151" t="inlineStr">
        <is>
          <t>d_xt0</t>
        </is>
      </c>
      <c r="IJ1" s="151" t="inlineStr">
        <is>
          <t>d_xt1</t>
        </is>
      </c>
      <c r="IK1" s="151" t="inlineStr">
        <is>
          <t>d_xt2</t>
        </is>
      </c>
      <c r="IL1" s="151" t="inlineStr">
        <is>
          <t>d_lp0</t>
        </is>
      </c>
      <c r="IM1" s="151" t="inlineStr">
        <is>
          <t>d_lp1</t>
        </is>
      </c>
      <c r="IN1" s="151" t="inlineStr">
        <is>
          <t>d_lp2</t>
        </is>
      </c>
      <c r="IO1" s="151" t="inlineStr">
        <is>
          <t>d_ld0</t>
        </is>
      </c>
      <c r="IP1" s="151" t="inlineStr">
        <is>
          <t>d_ld1</t>
        </is>
      </c>
      <c r="IQ1" s="151" t="inlineStr">
        <is>
          <t>d_ld2</t>
        </is>
      </c>
      <c r="IR1" s="151" t="inlineStr">
        <is>
          <t>d_mp</t>
        </is>
      </c>
      <c r="IS1" s="151" t="inlineStr">
        <is>
          <t>d_md</t>
        </is>
      </c>
      <c r="IT1" s="151" t="inlineStr">
        <is>
          <t>d_ep</t>
        </is>
      </c>
      <c r="IU1" s="151" t="inlineStr">
        <is>
          <t>d_ea</t>
        </is>
      </c>
      <c r="IV1" s="151" t="inlineStr">
        <is>
          <t>d_er</t>
        </is>
      </c>
      <c r="IW1" s="151" t="inlineStr">
        <is>
          <t>d_rol</t>
        </is>
      </c>
      <c r="IY1" s="151" t="inlineStr">
        <is>
          <t>salto</t>
        </is>
      </c>
      <c r="IZ1" s="151" t="inlineStr">
        <is>
          <t>caixa do salto</t>
        </is>
      </c>
      <c r="JA1" s="151" t="inlineStr">
        <is>
          <t>alvo do salto</t>
        </is>
      </c>
      <c r="JB1" s="151" t="inlineStr">
        <is>
          <t>nome do salto</t>
        </is>
      </c>
      <c r="JD1" s="151" t="inlineStr">
        <is>
          <t>menu de melhoria da ficha 1</t>
        </is>
      </c>
      <c r="JE1" s="151" t="inlineStr">
        <is>
          <t>menu de melhoria leve da ficha 1</t>
        </is>
      </c>
      <c r="JG1" s="151" t="inlineStr">
        <is>
          <t>menu de forma da ficha 1</t>
        </is>
      </c>
      <c r="JH1" s="151" t="inlineStr">
        <is>
          <t>menu de forma da classe 0 da ficha 1</t>
        </is>
      </c>
      <c r="JJ1" s="151" t="inlineStr">
        <is>
          <t>menu de melhoria da ficha 2</t>
        </is>
      </c>
      <c r="JK1" s="151" t="inlineStr">
        <is>
          <t>menu de melhoria leve da ficha 2</t>
        </is>
      </c>
      <c r="JM1" s="151" t="inlineStr">
        <is>
          <t>menu de forma da ficha 2</t>
        </is>
      </c>
      <c r="JN1" s="151" t="inlineStr">
        <is>
          <t>menu de forma da classe 0 da ficha 2</t>
        </is>
      </c>
      <c r="JP1" s="151" t="inlineStr">
        <is>
          <t>menu de melhoria da ficha 3</t>
        </is>
      </c>
      <c r="JQ1" s="151" t="inlineStr">
        <is>
          <t>menu de melhoria leve da ficha 3</t>
        </is>
      </c>
      <c r="JS1" s="151" t="inlineStr">
        <is>
          <t>menu de forma da ficha 3</t>
        </is>
      </c>
      <c r="JT1" s="151" t="inlineStr">
        <is>
          <t>menu de forma da classe 0 da ficha 3</t>
        </is>
      </c>
      <c r="JV1" s="151" t="inlineStr">
        <is>
          <t>menu de melhoria da ficha 4</t>
        </is>
      </c>
      <c r="JW1" s="151" t="inlineStr">
        <is>
          <t>menu de melhoria leve da ficha 4</t>
        </is>
      </c>
      <c r="JY1" s="151" t="inlineStr">
        <is>
          <t>menu de forma da ficha 4</t>
        </is>
      </c>
      <c r="JZ1" s="151" t="inlineStr">
        <is>
          <t>menu de forma da classe 0 da ficha 4</t>
        </is>
      </c>
      <c r="KB1" s="151" t="inlineStr">
        <is>
          <t>menu de melhoria da ficha 5</t>
        </is>
      </c>
      <c r="KC1" s="151" t="inlineStr">
        <is>
          <t>menu de melhoria leve da ficha 5</t>
        </is>
      </c>
      <c r="KE1" s="151" t="inlineStr">
        <is>
          <t>menu de forma da ficha 5</t>
        </is>
      </c>
      <c r="KF1" s="151" t="inlineStr">
        <is>
          <t>menu de forma da classe 0 da ficha 5</t>
        </is>
      </c>
      <c r="KH1" s="151" t="inlineStr">
        <is>
          <t>menu de melhoria da ficha 6</t>
        </is>
      </c>
      <c r="KI1" s="151" t="inlineStr">
        <is>
          <t>menu de melhoria leve da ficha 6</t>
        </is>
      </c>
      <c r="KK1" s="151" t="inlineStr">
        <is>
          <t>menu de forma da ficha 6</t>
        </is>
      </c>
      <c r="KL1" s="151" t="inlineStr">
        <is>
          <t>menu de forma da classe 0 da ficha 6</t>
        </is>
      </c>
      <c r="KN1" s="151" t="inlineStr">
        <is>
          <t>menu de melhoria da ficha 7</t>
        </is>
      </c>
      <c r="KO1" s="151" t="inlineStr">
        <is>
          <t>menu de melhoria leve da ficha 7</t>
        </is>
      </c>
      <c r="KQ1" s="151" t="inlineStr">
        <is>
          <t>menu de forma da ficha 7</t>
        </is>
      </c>
      <c r="KR1" s="151" t="inlineStr">
        <is>
          <t>menu de forma da classe 0 da ficha 7</t>
        </is>
      </c>
      <c r="KT1" s="151" t="inlineStr">
        <is>
          <t>menu de melhoria da ficha 8</t>
        </is>
      </c>
      <c r="KU1" s="151" t="inlineStr">
        <is>
          <t>menu de melhoria leve da ficha 8</t>
        </is>
      </c>
      <c r="KW1" s="151" t="inlineStr">
        <is>
          <t>menu de forma da ficha 8</t>
        </is>
      </c>
      <c r="KX1" s="151" t="inlineStr">
        <is>
          <t>menu de forma da classe 0 da ficha 8</t>
        </is>
      </c>
      <c r="KZ1" s="151" t="inlineStr">
        <is>
          <t>menu de melhoria da ficha 9</t>
        </is>
      </c>
      <c r="LA1" s="151" t="inlineStr">
        <is>
          <t>menu de melhoria leve da ficha 9</t>
        </is>
      </c>
      <c r="LC1" s="151" t="inlineStr">
        <is>
          <t>menu de forma da ficha 9</t>
        </is>
      </c>
      <c r="LD1" s="151" t="inlineStr">
        <is>
          <t>menu de forma da classe 0 da ficha 9</t>
        </is>
      </c>
      <c r="LF1" s="151" t="inlineStr">
        <is>
          <t>menu de melhoria da ficha 10</t>
        </is>
      </c>
      <c r="LG1" s="151" t="inlineStr">
        <is>
          <t>menu de melhoria leve da ficha 10</t>
        </is>
      </c>
      <c r="LI1" s="151" t="inlineStr">
        <is>
          <t>menu de forma da ficha 10</t>
        </is>
      </c>
      <c r="LJ1" s="151" t="inlineStr">
        <is>
          <t>menu de forma da classe 0 da ficha 10</t>
        </is>
      </c>
      <c r="LL1" s="151" t="inlineStr">
        <is>
          <t>menu de melhoria da ficha 11</t>
        </is>
      </c>
      <c r="LM1" s="151" t="inlineStr">
        <is>
          <t>menu de melhoria leve da ficha 11</t>
        </is>
      </c>
      <c r="LO1" s="151" t="inlineStr">
        <is>
          <t>menu de forma da ficha 11</t>
        </is>
      </c>
      <c r="LP1" s="151" t="inlineStr">
        <is>
          <t>menu de forma da classe 0 da ficha 11</t>
        </is>
      </c>
      <c r="LR1" s="151" t="inlineStr">
        <is>
          <t>menu de melhoria da ficha 12</t>
        </is>
      </c>
      <c r="LS1" s="151" t="inlineStr">
        <is>
          <t>menu de melhoria leve da ficha 12</t>
        </is>
      </c>
      <c r="LU1" s="151" t="inlineStr">
        <is>
          <t>menu de forma da ficha 12</t>
        </is>
      </c>
      <c r="LV1" s="151" t="inlineStr">
        <is>
          <t>menu de forma da classe 0 da ficha 12</t>
        </is>
      </c>
      <c r="LX1" s="151" t="inlineStr">
        <is>
          <t>conta de habilidade</t>
        </is>
      </c>
      <c r="LY1" s="151" t="inlineStr">
        <is>
          <t>ficha</t>
        </is>
      </c>
      <c r="LZ1" s="151" t="inlineStr">
        <is>
          <t>tipo</t>
        </is>
      </c>
      <c r="MA1" s="151" t="inlineStr">
        <is>
          <t>abre</t>
        </is>
      </c>
      <c r="MB1" s="151" t="inlineStr">
        <is>
          <t>tit</t>
        </is>
      </c>
      <c r="MC1" s="151" t="inlineStr">
        <is>
          <t>classe</t>
        </is>
      </c>
      <c r="MD1" s="151" t="inlineStr">
        <is>
          <t>nome</t>
        </is>
      </c>
      <c r="ME1" s="151" t="inlineStr">
        <is>
          <t>forma</t>
        </is>
      </c>
      <c r="MF1" s="151" t="inlineStr">
        <is>
          <t>tdano</t>
        </is>
      </c>
      <c r="MG1" s="151" t="inlineStr">
        <is>
          <t>rmenu</t>
        </is>
      </c>
      <c r="MH1" s="151" t="inlineStr">
        <is>
          <t>m1</t>
        </is>
      </c>
      <c r="MI1" s="151" t="inlineStr">
        <is>
          <t>m2</t>
        </is>
      </c>
      <c r="MJ1" s="151" t="inlineStr">
        <is>
          <t>m3</t>
        </is>
      </c>
      <c r="MK1" s="151" t="inlineStr">
        <is>
          <t>m4</t>
        </is>
      </c>
      <c r="ML1" s="151" t="inlineStr">
        <is>
          <t>r1</t>
        </is>
      </c>
      <c r="MM1" s="151" t="inlineStr">
        <is>
          <t>r2</t>
        </is>
      </c>
      <c r="MN1" s="151" t="inlineStr">
        <is>
          <t>tem</t>
        </is>
      </c>
      <c r="MO1" s="151" t="inlineStr">
        <is>
          <t>nv</t>
        </is>
      </c>
      <c r="MP1" s="151" t="inlineStr">
        <is>
          <t>mx</t>
        </is>
      </c>
      <c r="MQ1" s="151" t="inlineStr">
        <is>
          <t>db</t>
        </is>
      </c>
      <c r="MR1" s="151" t="inlineStr">
        <is>
          <t>atk</t>
        </is>
      </c>
      <c r="MS1" s="151" t="inlineStr">
        <is>
          <t>cdf</t>
        </is>
      </c>
      <c r="MT1" s="151" t="inlineStr">
        <is>
          <t>lf</t>
        </is>
      </c>
      <c r="MU1" s="151" t="inlineStr">
        <is>
          <t>f1</t>
        </is>
      </c>
      <c r="MV1" s="151" t="inlineStr">
        <is>
          <t>f2</t>
        </is>
      </c>
      <c r="MW1" s="151" t="inlineStr">
        <is>
          <t>f3</t>
        </is>
      </c>
      <c r="MX1" s="151" t="inlineStr">
        <is>
          <t>f4</t>
        </is>
      </c>
      <c r="MY1" s="151" t="inlineStr">
        <is>
          <t>w1</t>
        </is>
      </c>
      <c r="MZ1" s="151" t="inlineStr">
        <is>
          <t>w2</t>
        </is>
      </c>
      <c r="NA1" s="151" t="inlineStr">
        <is>
          <t>w3</t>
        </is>
      </c>
      <c r="NB1" s="151" t="inlineStr">
        <is>
          <t>w4</t>
        </is>
      </c>
      <c r="NC1" s="151" t="inlineStr">
        <is>
          <t>k0</t>
        </is>
      </c>
      <c r="ND1" s="151" t="inlineStr">
        <is>
          <t>k1</t>
        </is>
      </c>
      <c r="NE1" s="151" t="inlineStr">
        <is>
          <t>k2</t>
        </is>
      </c>
      <c r="NF1" s="151" t="inlineStr">
        <is>
          <t>k3</t>
        </is>
      </c>
      <c r="NG1" s="151" t="inlineStr">
        <is>
          <t>k4</t>
        </is>
      </c>
      <c r="NH1" s="151" t="inlineStr">
        <is>
          <t>x0</t>
        </is>
      </c>
      <c r="NI1" s="151" t="inlineStr">
        <is>
          <t>x1</t>
        </is>
      </c>
      <c r="NJ1" s="151" t="inlineStr">
        <is>
          <t>x2</t>
        </is>
      </c>
      <c r="NK1" s="151" t="inlineStr">
        <is>
          <t>x3</t>
        </is>
      </c>
      <c r="NL1" s="151" t="inlineStr">
        <is>
          <t>x4</t>
        </is>
      </c>
      <c r="NM1" s="151" t="inlineStr">
        <is>
          <t>ct</t>
        </is>
      </c>
      <c r="NN1" s="151" t="inlineStr">
        <is>
          <t>rdz</t>
        </is>
      </c>
      <c r="NO1" s="151" t="inlineStr">
        <is>
          <t>emb</t>
        </is>
      </c>
      <c r="NP1" s="151" t="inlineStr">
        <is>
          <t>tp</t>
        </is>
      </c>
      <c r="NQ1" s="151" t="inlineStr">
        <is>
          <t>tr</t>
        </is>
      </c>
      <c r="NR1" s="151" t="inlineStr">
        <is>
          <t>c1</t>
        </is>
      </c>
      <c r="NS1" s="151" t="inlineStr">
        <is>
          <t>c2</t>
        </is>
      </c>
      <c r="NT1" s="151" t="inlineStr">
        <is>
          <t>b1</t>
        </is>
      </c>
      <c r="NU1" s="151" t="inlineStr">
        <is>
          <t>b2</t>
        </is>
      </c>
      <c r="NV1" s="151" t="inlineStr">
        <is>
          <t>n1</t>
        </is>
      </c>
      <c r="NW1" s="151" t="inlineStr">
        <is>
          <t>n2</t>
        </is>
      </c>
      <c r="NX1" s="151" t="inlineStr">
        <is>
          <t>n3</t>
        </is>
      </c>
      <c r="NY1" s="151" t="inlineStr">
        <is>
          <t>n4</t>
        </is>
      </c>
      <c r="NZ1" s="151" t="inlineStr">
        <is>
          <t>n5</t>
        </is>
      </c>
      <c r="OA1" s="151" t="inlineStr">
        <is>
          <t>n6</t>
        </is>
      </c>
      <c r="OB1" s="151" t="inlineStr">
        <is>
          <t>dL</t>
        </is>
      </c>
      <c r="OC1" s="151" t="inlineStr">
        <is>
          <t>dM</t>
        </is>
      </c>
      <c r="OD1" s="151" t="inlineStr">
        <is>
          <t>nm</t>
        </is>
      </c>
      <c r="OE1" s="151" t="inlineStr">
        <is>
          <t>nr</t>
        </is>
      </c>
      <c r="OF1" s="151" t="inlineStr">
        <is>
          <t>g</t>
        </is>
      </c>
      <c r="OG1" s="151" t="inlineStr">
        <is>
          <t>dv0</t>
        </is>
      </c>
      <c r="OH1" s="151" t="inlineStr">
        <is>
          <t>dv</t>
        </is>
      </c>
      <c r="OI1" s="151" t="inlineStr">
        <is>
          <t>usa</t>
        </is>
      </c>
      <c r="OJ1" s="151" t="inlineStr">
        <is>
          <t>perde</t>
        </is>
      </c>
      <c r="OK1" s="151" t="inlineStr">
        <is>
          <t>pts</t>
        </is>
      </c>
      <c r="OL1" s="151" t="inlineStr">
        <is>
          <t>s</t>
        </is>
      </c>
      <c r="OM1" s="151" t="inlineStr">
        <is>
          <t>d</t>
        </is>
      </c>
      <c r="ON1" s="151" t="inlineStr">
        <is>
          <t>dep</t>
        </is>
      </c>
      <c r="OO1" s="151" t="inlineStr">
        <is>
          <t>d1</t>
        </is>
      </c>
      <c r="OP1" s="151" t="inlineStr">
        <is>
          <t>d2</t>
        </is>
      </c>
      <c r="OQ1" s="151" t="inlineStr">
        <is>
          <t>d3</t>
        </is>
      </c>
      <c r="OR1" s="151" t="inlineStr">
        <is>
          <t>d4</t>
        </is>
      </c>
      <c r="OS1" s="151" t="inlineStr">
        <is>
          <t>d5</t>
        </is>
      </c>
      <c r="OT1" s="151" t="inlineStr">
        <is>
          <t>d6</t>
        </is>
      </c>
      <c r="OU1" s="151" t="inlineStr">
        <is>
          <t>d7</t>
        </is>
      </c>
      <c r="OV1" s="151" t="inlineStr">
        <is>
          <t>t1</t>
        </is>
      </c>
      <c r="OW1" s="151" t="inlineStr">
        <is>
          <t>t2</t>
        </is>
      </c>
      <c r="OX1" s="151" t="inlineStr">
        <is>
          <t>t3</t>
        </is>
      </c>
      <c r="OY1" s="151" t="inlineStr">
        <is>
          <t>t4</t>
        </is>
      </c>
      <c r="OZ1" s="151" t="inlineStr">
        <is>
          <t>t5</t>
        </is>
      </c>
      <c r="PA1" s="151" t="inlineStr">
        <is>
          <t>t6</t>
        </is>
      </c>
      <c r="PB1" s="151" t="inlineStr">
        <is>
          <t>t7</t>
        </is>
      </c>
      <c r="PC1" s="151" t="inlineStr">
        <is>
          <t>erros</t>
        </is>
      </c>
      <c r="PD1" s="151" t="inlineStr">
        <is>
          <t>ne</t>
        </is>
      </c>
      <c r="PE1" s="151" t="inlineStr">
        <is>
          <t>avisos</t>
        </is>
      </c>
      <c r="PF1" s="151" t="inlineStr">
        <is>
          <t>na</t>
        </is>
      </c>
      <c r="PG1" s="151" t="inlineStr">
        <is>
          <t>estado</t>
        </is>
      </c>
      <c r="PH1" s="151" t="inlineStr">
        <is>
          <t>linha</t>
        </is>
      </c>
      <c r="PI1" s="151" t="inlineStr">
        <is>
          <t>titulo</t>
        </is>
      </c>
      <c r="PJ1" s="151" t="inlineStr">
        <is>
          <t>pe</t>
        </is>
      </c>
      <c r="PK1" s="151" t="inlineStr">
        <is>
          <t>acao</t>
        </is>
      </c>
      <c r="PL1" s="151" t="inlineStr">
        <is>
          <t>rs</t>
        </is>
      </c>
      <c r="PM1" s="151" t="inlineStr">
        <is>
          <t>resolve</t>
        </is>
      </c>
      <c r="PN1" s="151" t="inlineStr">
        <is>
          <t>dano</t>
        </is>
      </c>
      <c r="PO1" s="151" t="inlineStr">
        <is>
          <t>lg</t>
        </is>
      </c>
      <c r="PP1" s="151" t="inlineStr">
        <is>
          <t>mr</t>
        </is>
      </c>
      <c r="PQ1" s="151" t="inlineStr">
        <is>
          <t>q1</t>
        </is>
      </c>
      <c r="PR1" s="151" t="inlineStr">
        <is>
          <t>q2</t>
        </is>
      </c>
      <c r="PS1" s="151" t="inlineStr">
        <is>
          <t>alcance</t>
        </is>
      </c>
      <c r="PT1" s="151" t="inlineStr">
        <is>
          <t>conta</t>
        </is>
      </c>
      <c r="PU1" s="151" t="inlineStr">
        <is>
          <t>ampliar</t>
        </is>
      </c>
      <c r="PV1" s="151" t="inlineStr">
        <is>
          <t>pt1</t>
        </is>
      </c>
      <c r="PW1" s="151" t="inlineStr">
        <is>
          <t>pt2</t>
        </is>
      </c>
      <c r="PX1" s="151" t="inlineStr">
        <is>
          <t>pt3</t>
        </is>
      </c>
      <c r="PY1" s="151" t="inlineStr">
        <is>
          <t>pt4</t>
        </is>
      </c>
      <c r="PZ1" s="151" t="inlineStr">
        <is>
          <t>dt1</t>
        </is>
      </c>
      <c r="QA1" s="151" t="inlineStr">
        <is>
          <t>dt2</t>
        </is>
      </c>
      <c r="QC1" s="151" t="inlineStr">
        <is>
          <t>caixa calculada</t>
        </is>
      </c>
      <c r="QD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B2" s="150" t="inlineStr">
        <is>
          <t>Corpo a Corpo</t>
        </is>
      </c>
      <c r="BC2" s="150" t="inlineStr">
        <is>
          <t>Corpo a Corpo</t>
        </is>
      </c>
      <c r="BD2" s="152" t="n">
        <v>2</v>
      </c>
      <c r="BE2" s="152" t="n">
        <v>0</v>
      </c>
      <c r="BF2" s="150" t="inlineStr"/>
      <c r="BH2" s="150" t="inlineStr">
        <is>
          <t>Leitura</t>
        </is>
      </c>
      <c r="BI2" s="152" t="n">
        <v>1</v>
      </c>
      <c r="BJ2" s="150" t="inlineStr">
        <is>
          <t>Você identifica a Classe e a Forma de qualquer feitiço conjurado a até 18 m de você. A informação não fornece a montagem completa, o custo de cada peça ou a localização de um alvo oculto.</t>
        </is>
      </c>
      <c r="BK2" s="150" t="inlineStr">
        <is>
          <t>Leitura</t>
        </is>
      </c>
      <c r="BM2" s="150" t="inlineStr">
        <is>
          <t>Shikigami de técnica</t>
        </is>
      </c>
      <c r="BO2" s="150" t="inlineStr">
        <is>
          <t>Espaço conhecido</t>
        </is>
      </c>
      <c r="BP2" s="152" t="n">
        <v>1</v>
      </c>
      <c r="BR2" s="150" t="inlineStr">
        <is>
          <t>Alcance</t>
        </is>
      </c>
      <c r="BT2" s="150" t="inlineStr">
        <is>
          <t>Força</t>
        </is>
      </c>
      <c r="BV2" s="150" t="inlineStr">
        <is>
          <t>Físico</t>
        </is>
      </c>
      <c r="BX2" s="150" t="inlineStr">
        <is>
          <t>Força</t>
        </is>
      </c>
      <c r="BZ2" s="150" t="inlineStr">
        <is>
          <t>Atletismo</t>
        </is>
      </c>
      <c r="CA2" s="150" t="inlineStr">
        <is>
          <t>Força</t>
        </is>
      </c>
      <c r="CC2" s="150" t="inlineStr">
        <is>
          <t>Sem carga</t>
        </is>
      </c>
      <c r="CE2" s="150" t="inlineStr">
        <is>
          <t>Cortante</t>
        </is>
      </c>
      <c r="CG2" s="150" t="inlineStr">
        <is>
          <t>Ataque</t>
        </is>
      </c>
      <c r="CI2" s="152" t="n">
        <v>0</v>
      </c>
      <c r="CK2" s="152" t="n">
        <v>17</v>
      </c>
      <c r="CL2" s="150" t="inlineStr">
        <is>
          <t>19d8</t>
        </is>
      </c>
      <c r="CM2" s="152" t="n">
        <v>8</v>
      </c>
      <c r="CN2" s="152" t="n">
        <v>25</v>
      </c>
      <c r="CP2" s="150" t="inlineStr">
        <is>
          <t>Incompleta</t>
        </is>
      </c>
      <c r="CQ2" s="150" t="inlineStr">
        <is>
          <t>2 espaços.</t>
        </is>
      </c>
      <c r="CR2" s="150" t="inlineStr">
        <is>
          <t>Nível 10 dela e seu refino 4.</t>
        </is>
      </c>
      <c r="CT2" s="150" t="inlineStr">
        <is>
          <t>Essência</t>
        </is>
      </c>
      <c r="CV2" s="150" t="inlineStr">
        <is>
          <t>nível</t>
        </is>
      </c>
      <c r="CW2" s="152">
        <f>MAX(1,N(FICHA!$AH$11))</f>
        <v/>
      </c>
      <c r="CY2" s="152" t="n">
        <v>1</v>
      </c>
      <c r="CZ2" s="152">
        <f>'INVOCAÇÕES'!$I$13&amp;""</f>
        <v/>
      </c>
      <c r="DA2" s="152">
        <f>'INVOCAÇÕES'!$I$43&amp;""</f>
        <v/>
      </c>
      <c r="DB2" s="152">
        <f>'INVOCAÇÕES'!$I$47&amp;""</f>
        <v/>
      </c>
      <c r="DC2" s="152">
        <f>N('INVOCAÇÕES'!$K$47)</f>
        <v/>
      </c>
      <c r="DD2" s="152">
        <f>'INVOCAÇÕES'!$L$47&amp;""</f>
        <v/>
      </c>
      <c r="DE2" s="152">
        <f>N('INVOCAÇÕES'!$O$20)</f>
        <v/>
      </c>
      <c r="DF2" s="152">
        <f>N('INVOCAÇÕES'!$P$20)</f>
        <v/>
      </c>
      <c r="DG2" s="152">
        <f>N('INVOCAÇÕES'!$Q$20)</f>
        <v/>
      </c>
      <c r="DH2" s="152">
        <f>N('INVOCAÇÕES'!$R$20)</f>
        <v/>
      </c>
      <c r="DI2" s="152">
        <f>N('INVOCAÇÕES'!$S$20)</f>
        <v/>
      </c>
      <c r="DJ2" s="152">
        <f>N('INVOCAÇÕES'!$O$21)</f>
        <v/>
      </c>
      <c r="DK2" s="152">
        <f>N('INVOCAÇÕES'!$P$21)</f>
        <v/>
      </c>
      <c r="DL2" s="152">
        <f>N('INVOCAÇÕES'!$Q$21)</f>
        <v/>
      </c>
      <c r="DM2" s="152">
        <f>N('INVOCAÇÕES'!$R$21)</f>
        <v/>
      </c>
      <c r="DN2" s="152">
        <f>N('INVOCAÇÕES'!$S$21)</f>
        <v/>
      </c>
      <c r="DO2" s="152">
        <f>'INVOCAÇÕES'!$O$34&amp;""</f>
        <v/>
      </c>
      <c r="DP2" s="152">
        <f>'INVOCAÇÕES'!$Q$34&amp;""</f>
        <v/>
      </c>
      <c r="DQ2" s="152">
        <f>'INVOCAÇÕES'!$S$34&amp;""</f>
        <v/>
      </c>
      <c r="DR2" s="152">
        <f>N('INVOCAÇÕES'!$O$26)</f>
        <v/>
      </c>
      <c r="DS2" s="152">
        <f>N('INVOCAÇÕES'!$P$26)</f>
        <v/>
      </c>
      <c r="DT2" s="152">
        <f>N('INVOCAÇÕES'!$Q$26)</f>
        <v/>
      </c>
      <c r="DU2" s="152">
        <f>N('INVOCAÇÕES'!$R$26)</f>
        <v/>
      </c>
      <c r="DV2" s="152">
        <f>N('INVOCAÇÕES'!$S$26)</f>
        <v/>
      </c>
      <c r="DW2" s="152">
        <f>N('INVOCAÇÕES'!$O$31)</f>
        <v/>
      </c>
      <c r="DX2" s="152">
        <f>N('INVOCAÇÕES'!$P$31)</f>
        <v/>
      </c>
      <c r="DY2" s="152">
        <f>N('INVOCAÇÕES'!$Q$31)</f>
        <v/>
      </c>
      <c r="DZ2" s="152">
        <f>N('INVOCAÇÕES'!$R$31)</f>
        <v/>
      </c>
      <c r="EA2" s="152">
        <f>'INVOCAÇÕES'!$U$13&amp;""</f>
        <v/>
      </c>
      <c r="EB2" s="152">
        <f>N('INVOCAÇÕES'!$W$13)</f>
        <v/>
      </c>
      <c r="EC2" s="152">
        <f>'INVOCAÇÕES'!$Y$13&amp;""</f>
        <v/>
      </c>
      <c r="ED2" s="152">
        <f>'INVOCAÇÕES'!$O$48&amp;""</f>
        <v/>
      </c>
      <c r="EE2" s="152">
        <f>'INVOCAÇÕES'!$P$48&amp;""</f>
        <v/>
      </c>
      <c r="EF2" s="152">
        <f>'INVOCAÇÕES'!$Q$48&amp;""</f>
        <v/>
      </c>
      <c r="EG2" s="152">
        <f>'INVOCAÇÕES'!$R$48&amp;""</f>
        <v/>
      </c>
      <c r="EH2" s="152">
        <f>'INVOCAÇÕES'!$S$48&amp;""</f>
        <v/>
      </c>
      <c r="EI2" s="152">
        <f>'INVOCAÇÕES'!$O$38&amp;""</f>
        <v/>
      </c>
      <c r="EJ2" s="152">
        <f>'INVOCAÇÕES'!$O$39&amp;""</f>
        <v/>
      </c>
      <c r="EK2" s="152">
        <f>'INVOCAÇÕES'!$O$40&amp;""</f>
        <v/>
      </c>
      <c r="EL2" s="152">
        <f>'INVOCAÇÕES'!$O$41&amp;""</f>
        <v/>
      </c>
      <c r="EM2" s="152">
        <f>'INVOCAÇÕES'!$O$42&amp;""</f>
        <v/>
      </c>
      <c r="EN2" s="152">
        <f>'INVOCAÇÕES'!$O$43&amp;""</f>
        <v/>
      </c>
      <c r="EO2" s="152">
        <f>'INVOCAÇÕES'!$O$44&amp;""</f>
        <v/>
      </c>
      <c r="EP2" s="152">
        <f>'INVOCAÇÕES'!$J$80&amp;""</f>
        <v/>
      </c>
      <c r="EQ2" s="152">
        <f>'INVOCAÇÕES'!$J$81&amp;""</f>
        <v/>
      </c>
      <c r="ER2" s="152">
        <f>'INVOCAÇÕES'!$J$82&amp;""</f>
        <v/>
      </c>
      <c r="ES2" s="152">
        <f>'INVOCAÇÕES'!$J$83&amp;""</f>
        <v/>
      </c>
      <c r="ET2" s="152">
        <f>'INVOCAÇÕES'!$J$84&amp;""</f>
        <v/>
      </c>
      <c r="EU2" s="152">
        <f>'INVOCAÇÕES'!$J$85&amp;""</f>
        <v/>
      </c>
      <c r="EV2" s="152">
        <f>'INVOCAÇÕES'!$J$86&amp;""</f>
        <v/>
      </c>
      <c r="EW2" s="152">
        <f>'INVOCAÇÕES'!$J$87&amp;""</f>
        <v/>
      </c>
      <c r="EX2" s="152">
        <f>'INVOCAÇÕES'!$J$182&amp;""</f>
        <v/>
      </c>
      <c r="EY2" s="152">
        <f>'INVOCAÇÕES'!$J$183&amp;""</f>
        <v/>
      </c>
      <c r="EZ2" s="152">
        <f>'INVOCAÇÕES'!$J$184&amp;""</f>
        <v/>
      </c>
      <c r="FA2" s="152">
        <f>MAX(3,MIN(7,N('INVOCAÇÕES'!$I$189)))</f>
        <v/>
      </c>
      <c r="FB2" s="152">
        <f>MAX(3,MIN(7,N('INVOCAÇÕES'!$O$189)))</f>
        <v/>
      </c>
      <c r="FC2" s="152">
        <f>MAX(3,MIN(7,N('INVOCAÇÕES'!$U$189)))</f>
        <v/>
      </c>
      <c r="FD2" s="152">
        <f>'INVOCAÇÕES'!$O$203&amp;""</f>
        <v/>
      </c>
      <c r="FE2" s="152">
        <f>IF($CZ2&lt;&gt;"",1,0)</f>
        <v/>
      </c>
      <c r="FF2" s="152">
        <f>IFERROR(VLOOKUP($DB2,$BO$2:$BP$5,2,FALSE),1)</f>
        <v/>
      </c>
      <c r="FG2" s="152">
        <f>IF($FF2=1,$CW$2,MAX(1,MIN($CW$2,IF($DC2=0,$CW$2,$DC2))))</f>
        <v/>
      </c>
      <c r="FH2" s="152">
        <f>VLOOKUP(MAX(1,$FG2),$A$2:$D$8,2,TRUE)</f>
        <v/>
      </c>
      <c r="FI2" s="152">
        <f>VLOOKUP(MAX(1,$FG2),$A$2:$D$8,3,TRUE)</f>
        <v/>
      </c>
      <c r="FJ2" s="152">
        <f>$DE2+$DJ2</f>
        <v/>
      </c>
      <c r="FK2" s="152">
        <f>$DF2+$DK2</f>
        <v/>
      </c>
      <c r="FL2" s="152">
        <f>$DG2+$DL2</f>
        <v/>
      </c>
      <c r="FM2" s="152">
        <f>$DH2+$DM2</f>
        <v/>
      </c>
      <c r="FN2" s="152">
        <f>$DI2+$DN2</f>
        <v/>
      </c>
      <c r="FO2" s="152">
        <f>SUM($DE2:$DI2)</f>
        <v/>
      </c>
      <c r="FP2" s="152">
        <f>9+$FQ2</f>
        <v/>
      </c>
      <c r="FQ2" s="152">
        <f>COUNTIF($F$2:$F$8,"&lt;="&amp;$FG2)</f>
        <v/>
      </c>
      <c r="FR2" s="152">
        <f>MAX(0,$DE2-3)+MAX(0,$DF2-3)+MAX(0,$DG2-3)+MAX(0,$DH2-3)+MAX(0,$DI2-3)</f>
        <v/>
      </c>
      <c r="FS2" s="152">
        <f>IFERROR(INDEX($FJ2:$FN2,1,MATCH($DO2,$BT$2:$BT$6,0)),"")</f>
        <v/>
      </c>
      <c r="FT2" s="152">
        <f>IF($FS2="","",$FS2+$CW$3+$DR2)</f>
        <v/>
      </c>
      <c r="FU2" s="152">
        <f>IF($FS2="","",8+$FS2+$CW$3+$DS2)</f>
        <v/>
      </c>
      <c r="FV2" s="152">
        <f>10+$FK2+$CW$7+$DT2</f>
        <v/>
      </c>
      <c r="FW2" s="152">
        <f>IF($DA2="Corpo amaldiçoado de criação",1,0)</f>
        <v/>
      </c>
      <c r="FX2" s="152">
        <f>5+$FL2+(3+$FW2+$FL2)*($FG2-1)+$DU2</f>
        <v/>
      </c>
      <c r="FY2" s="152">
        <f>IF($EA2="",$FX2,MAX(0,MIN(IFERROR(VALUE($EA2),$FX2),$FX2)))</f>
        <v/>
      </c>
      <c r="FZ2" s="152">
        <f>9+$DV2</f>
        <v/>
      </c>
      <c r="GA2" s="152">
        <f>IF($DP2="Destreza",$FK2,$FJ2)</f>
        <v/>
      </c>
      <c r="GB2" s="152">
        <f>$GA2+IF($DQ2="Físico",$CW$3,0)+$DW2</f>
        <v/>
      </c>
      <c r="GC2" s="152">
        <f>$FL2+IF($DQ2="Vigor",$CW$3,0)+$DX2</f>
        <v/>
      </c>
      <c r="GD2" s="152">
        <f>$FM2+IF($DQ2="Intelecto",$CW$3,0)+$DY2</f>
        <v/>
      </c>
      <c r="GE2" s="152">
        <f>$FN2+IF($DQ2="Espírito",$CW$3,0)+$DZ2</f>
        <v/>
      </c>
      <c r="GF2" s="152">
        <f>4+INT($DH2/2)</f>
        <v/>
      </c>
      <c r="GG2" s="152">
        <f>COUNTIF($EI2:$EO2,"?*")</f>
        <v/>
      </c>
      <c r="GH2" s="152">
        <f>INT((2+$FG2/2)/2)</f>
        <v/>
      </c>
      <c r="GI2" s="152">
        <f>IF($FG2&gt;=11,2,1)</f>
        <v/>
      </c>
      <c r="GJ2" s="152">
        <f>1+$FQ2</f>
        <v/>
      </c>
      <c r="GK2" s="152">
        <f>COUNTIF($EP2:$EW2,"?*")</f>
        <v/>
      </c>
      <c r="GL2" s="152">
        <f>IF(AND($DA2="Shikigami de criação",$DD2="Com carga"),MAX(1,CEILING($FH2/2,1)),$FH2)</f>
        <v/>
      </c>
      <c r="GM2" s="152">
        <f>$FH2+$GL2</f>
        <v/>
      </c>
      <c r="GN2" s="152">
        <f>$FG2*(1+INT($DI2/3))</f>
        <v/>
      </c>
      <c r="GO2" s="152">
        <f>5+$FJ2</f>
        <v/>
      </c>
      <c r="GP2" s="152">
        <f>COUNTIF($ED2:$EH2,"?*")</f>
        <v/>
      </c>
      <c r="GQ2" s="152">
        <f>IF($ED2="",0,IF(COUNTIF($ED2:$EH2,$ED2)&gt;1,1,0))+IF($EE2="",0,IF(COUNTIF($ED2:$EH2,$EE2)&gt;1,1,0))+IF($EF2="",0,IF(COUNTIF($ED2:$EH2,$EF2)&gt;1,1,0))+IF($EG2="",0,IF(COUNTIF($ED2:$EH2,$EG2)&gt;1,1,0))+IF($EH2="",0,IF(COUNTIF($ED2:$EH2,$EH2)&gt;1,1,0))</f>
        <v/>
      </c>
      <c r="GR2" s="152">
        <f>$CW$11</f>
        <v/>
      </c>
      <c r="GS2" s="152">
        <f>IF($FE2=0,"INVOCAÇÃO 1 · lugar vazio",$CZ2&amp;" · "&amp;$DA2&amp;" · nível "&amp;$FG2&amp;" · vida "&amp;$FY2&amp;" de "&amp;$FX2)</f>
        <v/>
      </c>
      <c r="GT2" s="152">
        <f>IF($FE2=0,"VAZIA",UPPER($CZ2))</f>
        <v/>
      </c>
      <c r="GU2" s="152">
        <f>IF($CW$3&gt;=0,"+","−")&amp;ABS($CW$3)</f>
        <v/>
      </c>
      <c r="GV2" s="152">
        <f>$GL2&amp;" PE"</f>
        <v/>
      </c>
      <c r="GW2" s="152">
        <f>$GM2&amp;" PE"</f>
        <v/>
      </c>
      <c r="GX2" s="152">
        <f>IF(OR($FO2&gt;$FP2,$FR2&gt;$FQ2),"⚠ ",IF(AND($FE2=1,$FO2&lt;$FP2),"! ",""))&amp;"ATRIBUTOS · "&amp;$FO2&amp;" DE "&amp;$FP2&amp;" PONTOS"&amp;IF($FR2&gt;$FQ2," · ACIMA DE 3 SÓ COM MARCO","")</f>
        <v/>
      </c>
      <c r="GY2" s="152">
        <f>IF($FT2="","",IF($FT2&gt;=0,"+","−")&amp;ABS($FT2))</f>
        <v/>
      </c>
      <c r="GZ2" s="152">
        <f>IF($FU2="","",$FU2)</f>
        <v/>
      </c>
      <c r="HA2" s="152">
        <f>SUBSTITUTE($FZ2&amp;" m",".",",")</f>
        <v/>
      </c>
      <c r="HB2" s="152">
        <f>IF($GB2&gt;=0,"+","−")&amp;ABS($GB2)</f>
        <v/>
      </c>
      <c r="HC2" s="152">
        <f>IF($GC2&gt;=0,"+","−")&amp;ABS($GC2)</f>
        <v/>
      </c>
      <c r="HD2" s="152">
        <f>IF($GD2&gt;=0,"+","−")&amp;ABS($GD2)</f>
        <v/>
      </c>
      <c r="HE2" s="152">
        <f>IF($GE2&gt;=0,"+","−")&amp;ABS($GE2)</f>
        <v/>
      </c>
      <c r="HF2" s="152">
        <f>IF($GG2&gt;$GF2,"⚠ ","")&amp;"PERÍCIAS · "&amp;$GG2&amp;" DE "&amp;$GF2</f>
        <v/>
      </c>
      <c r="HG2" s="152">
        <f>IF($EI2="","",IFERROR(IF((INDEX($FJ2:$FN2,1,MATCH(VLOOKUP($EI2,$BZ$2:$CA$24,2,FALSE),$BT$2:$BT$6,0))+$CW$3)&gt;=0,"+","−")&amp;ABS((INDEX($FJ2:$FN2,1,MATCH(VLOOKUP($EI2,$BZ$2:$CA$24,2,FALSE),$BT$2:$BT$6,0))+$CW$3)),""))</f>
        <v/>
      </c>
      <c r="HH2" s="152">
        <f>IF($EJ2="","",IFERROR(IF((INDEX($FJ2:$FN2,1,MATCH(VLOOKUP($EJ2,$BZ$2:$CA$24,2,FALSE),$BT$2:$BT$6,0))+$CW$3)&gt;=0,"+","−")&amp;ABS((INDEX($FJ2:$FN2,1,MATCH(VLOOKUP($EJ2,$BZ$2:$CA$24,2,FALSE),$BT$2:$BT$6,0))+$CW$3)),""))</f>
        <v/>
      </c>
      <c r="HI2" s="152">
        <f>IF($EK2="","",IFERROR(IF((INDEX($FJ2:$FN2,1,MATCH(VLOOKUP($EK2,$BZ$2:$CA$24,2,FALSE),$BT$2:$BT$6,0))+$CW$3)&gt;=0,"+","−")&amp;ABS((INDEX($FJ2:$FN2,1,MATCH(VLOOKUP($EK2,$BZ$2:$CA$24,2,FALSE),$BT$2:$BT$6,0))+$CW$3)),""))</f>
        <v/>
      </c>
      <c r="HJ2" s="152">
        <f>IF($EL2="","",IFERROR(IF((INDEX($FJ2:$FN2,1,MATCH(VLOOKUP($EL2,$BZ$2:$CA$24,2,FALSE),$BT$2:$BT$6,0))+$CW$3)&gt;=0,"+","−")&amp;ABS((INDEX($FJ2:$FN2,1,MATCH(VLOOKUP($EL2,$BZ$2:$CA$24,2,FALSE),$BT$2:$BT$6,0))+$CW$3)),""))</f>
        <v/>
      </c>
      <c r="HK2" s="152">
        <f>IF($EM2="","",IFERROR(IF((INDEX($FJ2:$FN2,1,MATCH(VLOOKUP($EM2,$BZ$2:$CA$24,2,FALSE),$BT$2:$BT$6,0))+$CW$3)&gt;=0,"+","−")&amp;ABS((INDEX($FJ2:$FN2,1,MATCH(VLOOKUP($EM2,$BZ$2:$CA$24,2,FALSE),$BT$2:$BT$6,0))+$CW$3)),""))</f>
        <v/>
      </c>
      <c r="HL2" s="152">
        <f>IF($EN2="","",IFERROR(IF((INDEX($FJ2:$FN2,1,MATCH(VLOOKUP($EN2,$BZ$2:$CA$24,2,FALSE),$BT$2:$BT$6,0))+$CW$3)&gt;=0,"+","−")&amp;ABS((INDEX($FJ2:$FN2,1,MATCH(VLOOKUP($EN2,$BZ$2:$CA$24,2,FALSE),$BT$2:$BT$6,0))+$CW$3)),""))</f>
        <v/>
      </c>
      <c r="HM2" s="152">
        <f>IF($EO2="","",IFERROR(IF((INDEX($FJ2:$FN2,1,MATCH(VLOOKUP($EO2,$BZ$2:$CA$24,2,FALSE),$BT$2:$BT$6,0))+$CW$3)&gt;=0,"+","−")&amp;ABS((INDEX($FJ2:$FN2,1,MATCH(VLOOKUP($EO2,$BZ$2:$CA$24,2,FALSE),$BT$2:$BT$6,0))+$CW$3)),""))</f>
        <v/>
      </c>
      <c r="HN2" s="152">
        <f>IF($DA2="Maldição domada","RESERVA · MÁX. "&amp;$GN2,"RESERVA DE PE")</f>
        <v/>
      </c>
      <c r="HO2" s="152">
        <f>"EQUIPAMENTO · CARGA ATÉ "&amp;$GO2&amp;" DE VOLUME"</f>
        <v/>
      </c>
      <c r="HP2" s="152">
        <f>IF(OR($GQ2&gt;0,$GP2&gt;$GR2),"⚠ ","")&amp;"FAMÍLIAS · "&amp;$GP2&amp;" ABERTAS"&amp;IF($GQ2&gt;0," · REPETIDA","")&amp;IF($GP2&gt;$GR2," · O LIMITE É "&amp;$GR2,"")</f>
        <v/>
      </c>
      <c r="HQ2" s="152">
        <f>"HABILIDADES · básica de "&amp;$FI2&amp;"d6 · "&amp;$GH2&amp;IF($GH2&gt;1," espaços"," espaço")&amp;" de especial até a Classe "&amp;$FH2&amp;" · "&amp;$GJ2&amp;IF($GJ2&gt;1," talentos"," talento")</f>
        <v/>
      </c>
      <c r="HR2" s="152">
        <f>IF($GK2&gt;$GJ2,"⚠ ","")&amp;"TALENTOS · "&amp;$GK2&amp;" DE "&amp;$GJ2</f>
        <v/>
      </c>
      <c r="HS2" s="152">
        <f>IFERROR(VLOOKUP($EP2,$BH$2:$BK$15,2,FALSE),0)</f>
        <v/>
      </c>
      <c r="HT2" s="152">
        <f>IFERROR(VLOOKUP($EQ2,$BH$2:$BK$15,2,FALSE),0)</f>
        <v/>
      </c>
      <c r="HU2" s="152">
        <f>IFERROR(VLOOKUP($ER2,$BH$2:$BK$15,2,FALSE),0)</f>
        <v/>
      </c>
      <c r="HV2" s="152">
        <f>IFERROR(VLOOKUP($ES2,$BH$2:$BK$15,2,FALSE),0)</f>
        <v/>
      </c>
      <c r="HW2" s="152">
        <f>IFERROR(VLOOKUP($ET2,$BH$2:$BK$15,2,FALSE),0)</f>
        <v/>
      </c>
      <c r="HX2" s="152">
        <f>IFERROR(VLOOKUP($EU2,$BH$2:$BK$15,2,FALSE),0)</f>
        <v/>
      </c>
      <c r="HY2" s="152">
        <f>IFERROR(VLOOKUP($EV2,$BH$2:$BK$15,2,FALSE),0)</f>
        <v/>
      </c>
      <c r="HZ2" s="152">
        <f>IFERROR(VLOOKUP($EW2,$BH$2:$BK$15,2,FALSE),0)</f>
        <v/>
      </c>
      <c r="IA2" s="152">
        <f>IF($EP2="","",IF(1&gt;$FG2,"⚠ Este talento abre no nível 1",IF($HS2&gt;1,"⚠ Categoria "&amp;$HS2&amp;": este ganho vai até a 1 · ","")&amp;IFERROR(VLOOKUP($EP2,$BH$2:$BK$15,3,FALSE),"")))</f>
        <v/>
      </c>
      <c r="IB2" s="152">
        <f>IF($EQ2="","",IF(6&gt;$FG2,"⚠ Este talento abre no nível 6",IF($HT2&gt;1,"⚠ Categoria "&amp;$HT2&amp;": este ganho vai até a 1 · ","")&amp;IFERROR(VLOOKUP($EQ2,$BH$2:$BK$15,3,FALSE),"")))</f>
        <v/>
      </c>
      <c r="IC2" s="152">
        <f>IF($ER2="","",IF(10&gt;$FG2,"⚠ Este talento abre no nível 10",IF($HU2&gt;2,"⚠ Categoria "&amp;$HU2&amp;": este ganho vai até a 2 · ","")&amp;IFERROR(VLOOKUP($ER2,$BH$2:$BK$15,3,FALSE),"")))</f>
        <v/>
      </c>
      <c r="ID2" s="152">
        <f>IF($ES2="","",IF(14&gt;$FG2,"⚠ Este talento abre no nível 14",IF($HV2&gt;3,"⚠ Categoria "&amp;$HV2&amp;": este ganho vai até a 3 · ","")&amp;IFERROR(VLOOKUP($ES2,$BH$2:$BK$15,3,FALSE),"")))</f>
        <v/>
      </c>
      <c r="IE2" s="152">
        <f>IF($ET2="","",IF(18&gt;$FG2,"⚠ Este talento abre no nível 18",IF($HW2&gt;3,"⚠ Categoria "&amp;$HW2&amp;": este ganho vai até a 3 · ","")&amp;IFERROR(VLOOKUP($ET2,$BH$2:$BK$15,3,FALSE),"")))</f>
        <v/>
      </c>
      <c r="IF2" s="152">
        <f>IF($EU2="","",IF(22&gt;$FG2,"⚠ Este talento abre no nível 22",IF($HX2&gt;3,"⚠ Categoria "&amp;$HX2&amp;": este ganho vai até a 3 · ","")&amp;IFERROR(VLOOKUP($EU2,$BH$2:$BK$15,3,FALSE),"")))</f>
        <v/>
      </c>
      <c r="IG2" s="152">
        <f>IF($EV2="","",IF(26&gt;$FG2,"⚠ Este talento abre no nível 26",IF($HY2&gt;3,"⚠ Categoria "&amp;$HY2&amp;": este ganho vai até a 3 · ","")&amp;IFERROR(VLOOKUP($EV2,$BH$2:$BK$15,3,FALSE),"")))</f>
        <v/>
      </c>
      <c r="IH2" s="152">
        <f>IF($EW2="","",IF(30&gt;$FG2,"⚠ Este talento abre no nível 30",IF($HZ2&gt;3,"⚠ Categoria "&amp;$HZ2&amp;": este ganho vai até a 3 · ","")&amp;IFERROR(VLOOKUP($EW2,$BH$2:$BK$15,3,FALSE),"")))</f>
        <v/>
      </c>
      <c r="II2" s="152">
        <f>IF($EX2="","",IFERROR(VLOOKUP($EX2,$BH$2:$BK$15,3,FALSE),""))</f>
        <v/>
      </c>
      <c r="IJ2" s="152">
        <f>IF($EY2="","",IFERROR(VLOOKUP($EY2,$BH$2:$BK$15,3,FALSE),""))</f>
        <v/>
      </c>
      <c r="IK2" s="152">
        <f>IF($EZ2="","",IFERROR(VLOOKUP($EZ2,$BH$2:$BK$15,3,FALSE),""))</f>
        <v/>
      </c>
      <c r="IL2" s="152">
        <f>CEILING(4.5*$FA2,1)&amp;" PE"</f>
        <v/>
      </c>
      <c r="IM2" s="152">
        <f>CEILING(4.5*$FB2,1)&amp;" PE"</f>
        <v/>
      </c>
      <c r="IN2" s="152">
        <f>CEILING(4.5*$FC2,1)&amp;" PE"</f>
        <v/>
      </c>
      <c r="IO2" s="152">
        <f>INDEX($P$2:$P$8,$FA2)&amp;" pontos + "&amp;$FA2&amp;"d8"</f>
        <v/>
      </c>
      <c r="IP2" s="152">
        <f>INDEX($P$2:$P$8,$FB2)&amp;" pontos + "&amp;$FB2&amp;"d8"</f>
        <v/>
      </c>
      <c r="IQ2" s="152">
        <f>INDEX($P$2:$P$8,$FC2)&amp;" pontos + "&amp;$FC2&amp;"d8"</f>
        <v/>
      </c>
      <c r="IR2" s="152">
        <f>IF($FG2&lt;17,"—",VLOOKUP($FG2,$CK$2:$CN$4,4,TRUE)&amp;" PE")</f>
        <v/>
      </c>
      <c r="IS2" s="152">
        <f>IF($FG2&lt;17,"Abre no nível 17",VLOOKUP($FG2,$CK$2:$CN$4,2,TRUE)&amp;" fixos · "&amp;VLOOKUP($FG2,$CK$2:$CN$4,3,TRUE)&amp;" pontos")</f>
        <v/>
      </c>
      <c r="IT2" s="152">
        <f>IF($FD2="Sem Barreiras",7,6)*$FH2&amp;" PE"</f>
        <v/>
      </c>
      <c r="IU2" s="152">
        <f>"Acerto "&amp;$FH2&amp;"d8"</f>
        <v/>
      </c>
      <c r="IV2" s="152">
        <f>IFERROR(VLOOKUP($FD2,$CP$2:$CR$4,3,FALSE),"Escolha o degrau")</f>
        <v/>
      </c>
      <c r="IW2" s="152">
        <f>1&amp;" · "&amp;IF($FE2=0,"vazia",$CZ2&amp;" · nv "&amp;$FG2&amp;" · "&amp;$FY2&amp;"/"&amp;$FX2)</f>
        <v/>
      </c>
      <c r="IY2" s="150" t="inlineStr">
        <is>
          <t>Invocação 1</t>
        </is>
      </c>
      <c r="IZ2" s="152">
        <f>ADDRESS(ROW('INVOCAÇÕES'!D21),COLUMN('INVOCAÇÕES'!D21),4)</f>
        <v/>
      </c>
      <c r="JA2" s="152">
        <f>ADDRESS(ROW('INVOCAÇÕES'!H9),COLUMN('INVOCAÇÕES'!H9),4)</f>
        <v/>
      </c>
      <c r="JB2" s="150" t="inlineStr">
        <is>
          <t>DADOS_INVOC!$IW$2</t>
        </is>
      </c>
      <c r="JD2" s="152">
        <f>IF(OR($AW2="",COUNTIF($ED$2:$EH$2,$AW2)&gt;0),$AV2,"")</f>
        <v/>
      </c>
      <c r="JE2" s="152">
        <f>IF(AND($AX2=1,OR($AW2="",COUNTIF($ED$2:$EH$2,$AW2)&gt;0)),$AV2,"")</f>
        <v/>
      </c>
      <c r="JG2" s="152">
        <f>IF(OR($W2="",COUNTIF($ED$2:$EH$2,$W2)&gt;0),$V2,"")</f>
        <v/>
      </c>
      <c r="JH2" s="152">
        <f>IF(AND($AF2=1,OR($W2="",COUNTIF($ED$2:$EH$2,$W2)&gt;0)),$V2,"")</f>
        <v/>
      </c>
      <c r="JJ2" s="152">
        <f>IF(OR($AW2="",COUNTIF($ED$3:$EH$3,$AW2)&gt;0),$AV2,"")</f>
        <v/>
      </c>
      <c r="JK2" s="152">
        <f>IF(AND($AX2=1,OR($AW2="",COUNTIF($ED$3:$EH$3,$AW2)&gt;0)),$AV2,"")</f>
        <v/>
      </c>
      <c r="JM2" s="152">
        <f>IF(OR($W2="",COUNTIF($ED$3:$EH$3,$W2)&gt;0),$V2,"")</f>
        <v/>
      </c>
      <c r="JN2" s="152">
        <f>IF(AND($AF2=1,OR($W2="",COUNTIF($ED$3:$EH$3,$W2)&gt;0)),$V2,"")</f>
        <v/>
      </c>
      <c r="JP2" s="152">
        <f>IF(OR($AW2="",COUNTIF($ED$4:$EH$4,$AW2)&gt;0),$AV2,"")</f>
        <v/>
      </c>
      <c r="JQ2" s="152">
        <f>IF(AND($AX2=1,OR($AW2="",COUNTIF($ED$4:$EH$4,$AW2)&gt;0)),$AV2,"")</f>
        <v/>
      </c>
      <c r="JS2" s="152">
        <f>IF(OR($W2="",COUNTIF($ED$4:$EH$4,$W2)&gt;0),$V2,"")</f>
        <v/>
      </c>
      <c r="JT2" s="152">
        <f>IF(AND($AF2=1,OR($W2="",COUNTIF($ED$4:$EH$4,$W2)&gt;0)),$V2,"")</f>
        <v/>
      </c>
      <c r="JV2" s="152">
        <f>IF(OR($AW2="",COUNTIF($ED$5:$EH$5,$AW2)&gt;0),$AV2,"")</f>
        <v/>
      </c>
      <c r="JW2" s="152">
        <f>IF(AND($AX2=1,OR($AW2="",COUNTIF($ED$5:$EH$5,$AW2)&gt;0)),$AV2,"")</f>
        <v/>
      </c>
      <c r="JY2" s="152">
        <f>IF(OR($W2="",COUNTIF($ED$5:$EH$5,$W2)&gt;0),$V2,"")</f>
        <v/>
      </c>
      <c r="JZ2" s="152">
        <f>IF(AND($AF2=1,OR($W2="",COUNTIF($ED$5:$EH$5,$W2)&gt;0)),$V2,"")</f>
        <v/>
      </c>
      <c r="KB2" s="152">
        <f>IF(OR($AW2="",COUNTIF($ED$6:$EH$6,$AW2)&gt;0),$AV2,"")</f>
        <v/>
      </c>
      <c r="KC2" s="152">
        <f>IF(AND($AX2=1,OR($AW2="",COUNTIF($ED$6:$EH$6,$AW2)&gt;0)),$AV2,"")</f>
        <v/>
      </c>
      <c r="KE2" s="152">
        <f>IF(OR($W2="",COUNTIF($ED$6:$EH$6,$W2)&gt;0),$V2,"")</f>
        <v/>
      </c>
      <c r="KF2" s="152">
        <f>IF(AND($AF2=1,OR($W2="",COUNTIF($ED$6:$EH$6,$W2)&gt;0)),$V2,"")</f>
        <v/>
      </c>
      <c r="KH2" s="152">
        <f>IF(OR($AW2="",COUNTIF($ED$7:$EH$7,$AW2)&gt;0),$AV2,"")</f>
        <v/>
      </c>
      <c r="KI2" s="152">
        <f>IF(AND($AX2=1,OR($AW2="",COUNTIF($ED$7:$EH$7,$AW2)&gt;0)),$AV2,"")</f>
        <v/>
      </c>
      <c r="KK2" s="152">
        <f>IF(OR($W2="",COUNTIF($ED$7:$EH$7,$W2)&gt;0),$V2,"")</f>
        <v/>
      </c>
      <c r="KL2" s="152">
        <f>IF(AND($AF2=1,OR($W2="",COUNTIF($ED$7:$EH$7,$W2)&gt;0)),$V2,"")</f>
        <v/>
      </c>
      <c r="KN2" s="152">
        <f>IF(OR($AW2="",COUNTIF($ED$8:$EH$8,$AW2)&gt;0),$AV2,"")</f>
        <v/>
      </c>
      <c r="KO2" s="152">
        <f>IF(AND($AX2=1,OR($AW2="",COUNTIF($ED$8:$EH$8,$AW2)&gt;0)),$AV2,"")</f>
        <v/>
      </c>
      <c r="KQ2" s="152">
        <f>IF(OR($W2="",COUNTIF($ED$8:$EH$8,$W2)&gt;0),$V2,"")</f>
        <v/>
      </c>
      <c r="KR2" s="152">
        <f>IF(AND($AF2=1,OR($W2="",COUNTIF($ED$8:$EH$8,$W2)&gt;0)),$V2,"")</f>
        <v/>
      </c>
      <c r="KT2" s="152">
        <f>IF(OR($AW2="",COUNTIF($ED$9:$EH$9,$AW2)&gt;0),$AV2,"")</f>
        <v/>
      </c>
      <c r="KU2" s="152">
        <f>IF(AND($AX2=1,OR($AW2="",COUNTIF($ED$9:$EH$9,$AW2)&gt;0)),$AV2,"")</f>
        <v/>
      </c>
      <c r="KW2" s="152">
        <f>IF(OR($W2="",COUNTIF($ED$9:$EH$9,$W2)&gt;0),$V2,"")</f>
        <v/>
      </c>
      <c r="KX2" s="152">
        <f>IF(AND($AF2=1,OR($W2="",COUNTIF($ED$9:$EH$9,$W2)&gt;0)),$V2,"")</f>
        <v/>
      </c>
      <c r="KZ2" s="152">
        <f>IF(OR($AW2="",COUNTIF($ED$10:$EH$10,$AW2)&gt;0),$AV2,"")</f>
        <v/>
      </c>
      <c r="LA2" s="152">
        <f>IF(AND($AX2=1,OR($AW2="",COUNTIF($ED$10:$EH$10,$AW2)&gt;0)),$AV2,"")</f>
        <v/>
      </c>
      <c r="LC2" s="152">
        <f>IF(OR($W2="",COUNTIF($ED$10:$EH$10,$W2)&gt;0),$V2,"")</f>
        <v/>
      </c>
      <c r="LD2" s="152">
        <f>IF(AND($AF2=1,OR($W2="",COUNTIF($ED$10:$EH$10,$W2)&gt;0)),$V2,"")</f>
        <v/>
      </c>
      <c r="LF2" s="152">
        <f>IF(OR($AW2="",COUNTIF($ED$11:$EH$11,$AW2)&gt;0),$AV2,"")</f>
        <v/>
      </c>
      <c r="LG2" s="152">
        <f>IF(AND($AX2=1,OR($AW2="",COUNTIF($ED$11:$EH$11,$AW2)&gt;0)),$AV2,"")</f>
        <v/>
      </c>
      <c r="LI2" s="152">
        <f>IF(OR($W2="",COUNTIF($ED$11:$EH$11,$W2)&gt;0),$V2,"")</f>
        <v/>
      </c>
      <c r="LJ2" s="152">
        <f>IF(AND($AF2=1,OR($W2="",COUNTIF($ED$11:$EH$11,$W2)&gt;0)),$V2,"")</f>
        <v/>
      </c>
      <c r="LL2" s="152">
        <f>IF(OR($AW2="",COUNTIF($ED$12:$EH$12,$AW2)&gt;0),$AV2,"")</f>
        <v/>
      </c>
      <c r="LM2" s="152">
        <f>IF(AND($AX2=1,OR($AW2="",COUNTIF($ED$12:$EH$12,$AW2)&gt;0)),$AV2,"")</f>
        <v/>
      </c>
      <c r="LO2" s="152">
        <f>IF(OR($W2="",COUNTIF($ED$12:$EH$12,$W2)&gt;0),$V2,"")</f>
        <v/>
      </c>
      <c r="LP2" s="152">
        <f>IF(AND($AF2=1,OR($W2="",COUNTIF($ED$12:$EH$12,$W2)&gt;0)),$V2,"")</f>
        <v/>
      </c>
      <c r="LR2" s="152">
        <f>IF(OR($AW2="",COUNTIF($ED$13:$EH$13,$AW2)&gt;0),$AV2,"")</f>
        <v/>
      </c>
      <c r="LS2" s="152">
        <f>IF(AND($AX2=1,OR($AW2="",COUNTIF($ED$13:$EH$13,$AW2)&gt;0)),$AV2,"")</f>
        <v/>
      </c>
      <c r="LU2" s="152">
        <f>IF(OR($W2="",COUNTIF($ED$13:$EH$13,$W2)&gt;0),$V2,"")</f>
        <v/>
      </c>
      <c r="LV2" s="152">
        <f>IF(AND($AF2=1,OR($W2="",COUNTIF($ED$13:$EH$13,$W2)&gt;0)),$V2,"")</f>
        <v/>
      </c>
      <c r="LX2" s="150" t="inlineStr">
        <is>
          <t>Ficha 1 · Básica 1</t>
        </is>
      </c>
      <c r="LY2" s="152" t="n">
        <v>1</v>
      </c>
      <c r="LZ2" s="152" t="n">
        <v>0</v>
      </c>
      <c r="MA2" s="152" t="n">
        <v>1</v>
      </c>
      <c r="MB2" s="150" t="inlineStr">
        <is>
          <t>BÁSICA 1</t>
        </is>
      </c>
      <c r="MC2" s="152" t="n">
        <v>0</v>
      </c>
      <c r="MD2" s="152">
        <f>'INVOCAÇÕES'!$J$58&amp;""</f>
        <v/>
      </c>
      <c r="ME2" s="152">
        <f>'INVOCAÇÕES'!$I$63&amp;""</f>
        <v/>
      </c>
      <c r="MF2" s="152">
        <f>'INVOCAÇÕES'!$I$64&amp;""</f>
        <v/>
      </c>
      <c r="MG2" s="152">
        <f>'INVOCAÇÕES'!$K$64&amp;""</f>
        <v/>
      </c>
      <c r="MH2" s="152">
        <f>'INVOCAÇÕES'!$J$67&amp;""</f>
        <v/>
      </c>
      <c r="MI2" s="152">
        <f>'INVOCAÇÕES'!$J$68&amp;""</f>
        <v/>
      </c>
      <c r="MJ2" s="152">
        <f>'INVOCAÇÕES'!$J$69&amp;""</f>
        <v/>
      </c>
      <c r="MK2" s="152">
        <f>'INVOCAÇÕES'!$J$70&amp;""</f>
        <v/>
      </c>
      <c r="ML2" s="152">
        <f>'INVOCAÇÕES'!$J$71&amp;""</f>
        <v/>
      </c>
      <c r="MM2" s="152">
        <f>'INVOCAÇÕES'!$J$72&amp;""</f>
        <v/>
      </c>
      <c r="MN2" s="152">
        <f>IF($MD2&lt;&gt;"",1,0)</f>
        <v/>
      </c>
      <c r="MO2" s="152">
        <f>INDEX($FG$2:$FG$13,$LY2)</f>
        <v/>
      </c>
      <c r="MP2" s="152">
        <f>INDEX($FH$2:$FH$13,$LY2)</f>
        <v/>
      </c>
      <c r="MQ2" s="152">
        <f>INDEX($FI$2:$FI$13,$LY2)</f>
        <v/>
      </c>
      <c r="MR2" s="152">
        <f>INDEX($FT$2:$FT$13,$LY2)</f>
        <v/>
      </c>
      <c r="MS2" s="152">
        <f>INDEX($FU$2:$FU$13,$LY2)</f>
        <v/>
      </c>
      <c r="MT2" s="152">
        <f>IFERROR(MATCH($ME2,$V$2:$V$11,0),0)</f>
        <v/>
      </c>
      <c r="MU2" s="152">
        <f>IFERROR(VLOOKUP($MH2,$AV$2:$AZ$84,2,FALSE),"")</f>
        <v/>
      </c>
      <c r="MV2" s="152">
        <f>IFERROR(VLOOKUP($MI2,$AV$2:$AZ$84,2,FALSE),"")</f>
        <v/>
      </c>
      <c r="MW2" s="152">
        <f>IFERROR(VLOOKUP($MJ2,$AV$2:$AZ$84,2,FALSE),"")</f>
        <v/>
      </c>
      <c r="MX2" s="152">
        <f>IFERROR(VLOOKUP($MK2,$AV$2:$AZ$84,2,FALSE),"")</f>
        <v/>
      </c>
      <c r="MY2" s="152">
        <f>IFERROR(VLOOKUP($MH2,$AV$2:$AZ$84,3,FALSE),0)</f>
        <v/>
      </c>
      <c r="MZ2" s="152">
        <f>IFERROR(VLOOKUP($MI2,$AV$2:$AZ$84,3,FALSE),0)</f>
        <v/>
      </c>
      <c r="NA2" s="152">
        <f>IFERROR(VLOOKUP($MJ2,$AV$2:$AZ$84,3,FALSE),0)</f>
        <v/>
      </c>
      <c r="NB2" s="152">
        <f>IFERROR(VLOOKUP($MK2,$AV$2:$AZ$84,3,FALSE),0)</f>
        <v/>
      </c>
      <c r="NC2" s="152">
        <f>IF($MC2=0,0,IF($MT2=0,0,INDEX($X$2:$X$11,$MT2)))</f>
        <v/>
      </c>
      <c r="ND2" s="152">
        <f>IF(OR($MY2=0,$MC2=0),0,$MY2+3*IF(AND($MU2&lt;&gt;"",OR($MU2=INDEX($ED$2:$ED$13,$LY2),$MU2=INDEX($EE$2:$EE$13,$LY2))),1,0))</f>
        <v/>
      </c>
      <c r="NE2" s="152">
        <f>IF(OR($MZ2=0,$MC2=0),0,$MZ2+3*IF(AND($MV2&lt;&gt;"",OR($MV2=INDEX($ED$2:$ED$13,$LY2),$MV2=INDEX($EE$2:$EE$13,$LY2))),1,0))</f>
        <v/>
      </c>
      <c r="NF2" s="152">
        <f>IF(OR($NA2=0,$MC2=0),0,$NA2+3*IF(AND($MW2&lt;&gt;"",OR($MW2=INDEX($ED$2:$ED$13,$LY2),$MW2=INDEX($EE$2:$EE$13,$LY2))),1,0))</f>
        <v/>
      </c>
      <c r="NG2" s="152">
        <f>IF(OR($NB2=0,$MC2=0),0,$NB2+3*IF(AND($MX2&lt;&gt;"",OR($MX2=INDEX($ED$2:$ED$13,$LY2),$MX2=INDEX($EE$2:$EE$13,$LY2))),1,0))</f>
        <v/>
      </c>
      <c r="NH2" s="152">
        <f>IF($MT2=0,0,IF(INDEX($W$2:$W$11,$MT2)="",0,IF(COUNTIF(INDEX($ED$2:$EH$13,$LY2,0),INDEX($W$2:$W$11,$MT2))=0,1,0)))</f>
        <v/>
      </c>
      <c r="NI2" s="152">
        <f>IF(OR($MY2=0,$MU2=""),0,IF(COUNTIF(INDEX($ED$2:$EH$13,$LY2,0),$MU2)=0,1,0))</f>
        <v/>
      </c>
      <c r="NJ2" s="152">
        <f>IF(OR($MZ2=0,$MV2=""),0,IF(COUNTIF(INDEX($ED$2:$EH$13,$LY2,0),$MV2)=0,1,0))</f>
        <v/>
      </c>
      <c r="NK2" s="152">
        <f>IF(OR($NA2=0,$MW2=""),0,IF(COUNTIF(INDEX($ED$2:$EH$13,$LY2,0),$MW2)=0,1,0))</f>
        <v/>
      </c>
      <c r="NL2" s="152">
        <f>IF(OR($NB2=0,$MX2=""),0,IF(COUNTIF(INDEX($ED$2:$EH$13,$LY2,0),$MX2)=0,1,0))</f>
        <v/>
      </c>
      <c r="NM2" s="152">
        <f>IFERROR(VLOOKUP($MH2,$AV$2:$AZ$84,4,FALSE),0)+IFERROR(VLOOKUP($MI2,$AV$2:$AZ$84,4,FALSE),0)+IFERROR(VLOOKUP($MJ2,$AV$2:$AZ$84,4,FALSE),0)+IFERROR(VLOOKUP($MK2,$AV$2:$AZ$84,4,FALSE),0)</f>
        <v/>
      </c>
      <c r="NN2" s="152">
        <f>TEXTJOIN(", ",TRUE,IF(IFERROR(VLOOKUP($MH2,$AV$2:$AZ$84,5,FALSE),0)=1,$MH2,""),IF(IFERROR(VLOOKUP($MI2,$AV$2:$AZ$84,5,FALSE),0)=1,$MI2,""),IF(IFERROR(VLOOKUP($MJ2,$AV$2:$AZ$84,5,FALSE),0)=1,$MJ2,""),IF(IFERROR(VLOOKUP($MK2,$AV$2:$AZ$84,5,FALSE),0)=1,$MK2,""))</f>
        <v/>
      </c>
      <c r="NO2" s="152">
        <f>IF($MT2=0,0,INDEX($Y$2:$Y$11,$MT2))</f>
        <v/>
      </c>
      <c r="NP2" s="152">
        <f>IF($MT2=0,0,INDEX($Z$2:$Z$11,$MT2))</f>
        <v/>
      </c>
      <c r="NQ2" s="152">
        <f>IF($MT2=0,0,INDEX($AB$2:$AB$11,$MT2))</f>
        <v/>
      </c>
      <c r="NR2" s="152">
        <f>IFERROR(VLOOKUP($ML2,$BB$2:$BF$24,3,FALSE),0)</f>
        <v/>
      </c>
      <c r="NS2" s="152">
        <f>IFERROR(VLOOKUP($MM2,$BB$2:$BF$24,3,FALSE),0)</f>
        <v/>
      </c>
      <c r="NT2" s="152">
        <f>IFERROR(VLOOKUP($ML2,$BB$2:$BF$24,2,FALSE),"")</f>
        <v/>
      </c>
      <c r="NU2" s="152">
        <f>IFERROR(VLOOKUP($MM2,$BB$2:$BF$24,2,FALSE),"")</f>
        <v/>
      </c>
      <c r="NV2" s="152">
        <f>COUNTIF($NC2:$NG2,1)</f>
        <v/>
      </c>
      <c r="NW2" s="152">
        <f>COUNTIF($NC2:$NG2,2)</f>
        <v/>
      </c>
      <c r="NX2" s="152">
        <f>COUNTIF($NC2:$NG2,3)</f>
        <v/>
      </c>
      <c r="NY2" s="152">
        <f>COUNTIF($NC2:$NG2,4)</f>
        <v/>
      </c>
      <c r="NZ2" s="152">
        <f>COUNTIF($NC2:$NG2,5)</f>
        <v/>
      </c>
      <c r="OA2" s="152">
        <f>COUNTIF($NC2:$NG2,6)</f>
        <v/>
      </c>
      <c r="OB2" s="152">
        <f>COUNTIF($NR2:$NS2,1)</f>
        <v/>
      </c>
      <c r="OC2" s="152">
        <f>COUNTIF($NR2:$NS2,2)+$NO2</f>
        <v/>
      </c>
      <c r="OD2" s="152">
        <f>COUNTIF($MH2:$MK2,"?*")</f>
        <v/>
      </c>
      <c r="OE2" s="152">
        <f>COUNTIF($ML2:$MM2,"?*")+$NO2</f>
        <v/>
      </c>
      <c r="OF2" s="152">
        <f>IF($MC2=0,0,SUMPRODUCT($NV2:$OA2,INDEX($I$2:$N$8,MAX(1,$MC2),0)))</f>
        <v/>
      </c>
      <c r="OG2" s="152">
        <f>IF($MC2=0,0,$OB2*CEILING($MC2/2,1)+$OC2*$MC2)</f>
        <v/>
      </c>
      <c r="OH2" s="152">
        <f>MIN(2*$MC2,$OG2)</f>
        <v/>
      </c>
      <c r="OI2" s="152">
        <f>MIN($OH2,$OF2)</f>
        <v/>
      </c>
      <c r="OJ2" s="152">
        <f>$OH2-$OI2</f>
        <v/>
      </c>
      <c r="OK2" s="152">
        <f>IF($MC2=0,0,INDEX($P$2:$P$8,MAX(1,$MC2)))</f>
        <v/>
      </c>
      <c r="OL2" s="152">
        <f>$OK2-$OF2+$OI2</f>
        <v/>
      </c>
      <c r="OM2" s="152">
        <f>IF($MC2=0,MAX(0,$MQ2-IF($OD2&gt;0,1,0)),MAX(0,$OL2))</f>
        <v/>
      </c>
      <c r="ON2" s="152">
        <f>IF($MC2=0,0,(IF(COUNTIF($MH2:$MK2,"Salto")&gt;0,1,0)+IF(COUNTIF($MH2:$MK2,"Queima")&gt;0,1,0)+IF(COUNTIF($MH2:$MK2,"Estilhaço")&gt;0,1,0))*FLOOR($OM2/2,1))</f>
        <v/>
      </c>
      <c r="OO2" s="152">
        <f>MAX(0,2-SUMPRODUCT($NV2:$OA2,$I$2:$N$2)+MIN(2,$OB2*1+$OC2*1,SUMPRODUCT($NV2:$OA2,$I$2:$N$2)))</f>
        <v/>
      </c>
      <c r="OP2" s="152">
        <f>MAX(0,4-SUMPRODUCT($NV2:$OA2,$I$3:$N$3)+MIN(4,$OB2*1+$OC2*2,SUMPRODUCT($NV2:$OA2,$I$3:$N$3)))</f>
        <v/>
      </c>
      <c r="OQ2" s="152">
        <f>MAX(0,6-SUMPRODUCT($NV2:$OA2,$I$4:$N$4)+MIN(6,$OB2*2+$OC2*3,SUMPRODUCT($NV2:$OA2,$I$4:$N$4)))</f>
        <v/>
      </c>
      <c r="OR2" s="152">
        <f>MAX(0,9-SUMPRODUCT($NV2:$OA2,$I$5:$N$5)+MIN(8,$OB2*2+$OC2*4,SUMPRODUCT($NV2:$OA2,$I$5:$N$5)))</f>
        <v/>
      </c>
      <c r="OS2" s="152">
        <f>MAX(0,11-SUMPRODUCT($NV2:$OA2,$I$6:$N$6)+MIN(10,$OB2*3+$OC2*5,SUMPRODUCT($NV2:$OA2,$I$6:$N$6)))</f>
        <v/>
      </c>
      <c r="OT2" s="152">
        <f>MAX(0,13-SUMPRODUCT($NV2:$OA2,$I$7:$N$7)+MIN(12,$OB2*3+$OC2*6,SUMPRODUCT($NV2:$OA2,$I$7:$N$7)))</f>
        <v/>
      </c>
      <c r="OU2" s="152">
        <f>MAX(0,16-SUMPRODUCT($NV2:$OA2,$I$8:$N$8)+MIN(14,$OB2*4+$OC2*7,SUMPRODUCT($NV2:$OA2,$I$8:$N$8)))</f>
        <v/>
      </c>
      <c r="OV2" s="152">
        <f>IF($NP2=2,3*$OO2&amp;" de vida temp.",IF($NP2=3,"sem dano",IF($OO2=0,IF($NP2=1,"sem cura","sem dano"),IF($NP2=1,"cura ","")&amp;$OO2&amp;"d8")))</f>
        <v/>
      </c>
      <c r="OW2" s="152">
        <f>IF($NP2=2,3*$OP2&amp;" de vida temp.",IF($NP2=3,"sem dano",IF($OP2=0,IF($NP2=1,"sem cura","sem dano"),IF($NP2=1,"cura ","")&amp;$OP2&amp;"d8")))</f>
        <v/>
      </c>
      <c r="OX2" s="152">
        <f>IF($NP2=2,3*$OQ2&amp;" de vida temp.",IF($NP2=3,"sem dano",IF($OQ2=0,IF($NP2=1,"sem cura","sem dano"),IF($NP2=1,"cura ","")&amp;$OQ2&amp;"d8")))</f>
        <v/>
      </c>
      <c r="OY2" s="152">
        <f>IF($NP2=2,3*$OR2&amp;" de vida temp.",IF($NP2=3,"sem dano",IF($OR2=0,IF($NP2=1,"sem cura","sem dano"),IF($NP2=1,"cura ","")&amp;$OR2&amp;"d8")))</f>
        <v/>
      </c>
      <c r="OZ2" s="152">
        <f>IF($NP2=2,3*$OS2&amp;" de vida temp.",IF($NP2=3,"sem dano",IF($OS2=0,IF($NP2=1,"sem cura","sem dano"),IF($NP2=1,"cura ","")&amp;$OS2&amp;"d8")))</f>
        <v/>
      </c>
      <c r="PA2" s="152">
        <f>IF($NP2=2,3*$OT2&amp;" de vida temp.",IF($NP2=3,"sem dano",IF($OT2=0,IF($NP2=1,"sem cura","sem dano"),IF($NP2=1,"cura ","")&amp;$OT2&amp;"d8")))</f>
        <v/>
      </c>
      <c r="PB2" s="152">
        <f>IF($NP2=2,3*$OU2&amp;" de vida temp.",IF($NP2=3,"sem dano",IF($OU2=0,IF($NP2=1,"sem cura","sem dano"),IF($NP2=1,"cura ","")&amp;$OU2&amp;"d8")))</f>
        <v/>
      </c>
      <c r="PC2" s="152">
        <f>IF($MN2=0,"",TEXTJOIN(" · ",TRUE,IF($MA2&gt;$MO2,"Este lugar abre no nível "&amp;$MA2,""),IF($MC2&gt;$MP2,"Classe "&amp;$MC2&amp;": o nível "&amp;$MO2&amp;" libera até a "&amp;$MP2,""),IF($NH2=1,"A Forma "&amp;$ME2&amp;" pede "&amp;INDEX($W$2:$W$11,$MT2)&amp;" aberta",""),IF(AND($MC2=0,$MT2&gt;0,IF($MT2=0,0,INDEX($AF$2:$AF$11,$MT2))=0),$ME2&amp;" não existe na Classe 0",""),IF($NI2=1,"Família Fechada: "&amp;$MH2,""),IF($NJ2=1,"Família Fechada: "&amp;$MI2,""),IF($NK2=1,"Família Fechada: "&amp;$MJ2,""),IF($NL2=1,"Família Fechada: "&amp;$MK2,""),IF(AND($MC2&gt;0,$OD2&gt;INDEX($O$2:$O$8,MAX(1,$MC2))),$OD2&amp;" Melhorias: a Classe "&amp;$MC2&amp;" aceita "&amp;INDEX($O$2:$O$8,MAX(1,$MC2)),""),IF(AND($MC2=0,$OD2&gt;1),"A básica aceita uma Melhoria",""),IF(AND($MC2=0,COUNTIF($MY2:$NB2,"&gt;1")&gt;0),"A básica só aceita Melhoria Leve",""),IF(AND($MC2&gt;0,$OE2&gt;2),$OE2&amp;" Restrições"&amp;IF($NO2=1,", contando a que a Forma "&amp;$ME2&amp;" já traz","")&amp;": o limite é 2",""),IF(AND($MC2=0,COUNTIF($ML2:$MM2,"?*")&gt;1),"A básica aceita uma Restrição Leve",""),IF(AND($MC2=0,COUNTIF($NR2:$NS2,2)&gt;0),"A básica só aceita Restrição Leve",""),IF(AND($MC2&gt;0,$OL2&lt;0),"Orçamento estourado: faltam "&amp;(-$OL2)&amp;IF($OL2&lt;-1," pontos"," ponto"),""),IF(IFERROR(VLOOKUP($ML2,$BB$2:$BF$24,4,FALSE),0)+IFERROR(VLOOKUP($MM2,$BB$2:$BF$24,4,FALSE),0)&gt;1,$NT2&amp;" e "&amp;$NU2&amp;" são as duas de frequência",""),IF(AND((COUNTIF($MH2:$MK2,"Rápido")+COUNTIF($NT2:$NU2,"Rápido"))&gt;0,(COUNTIF($MH2:$MK2,"Atrasar")+COUNTIF($NT2:$NU2,"Atrasar"))&gt;0),"Rápido não entra com Atrasar",""),IF(AND((COUNTIF($MH2:$MK2,"Reação")+COUNTIF($NT2:$NU2,"Reação"))&gt;0,(COUNTIF($MH2:$MK2,"Rápido")+COUNTIF($NT2:$NU2,"Rápido"))&gt;0),"Reação não entra com Rápido",""),IF(AND((COUNTIF($MH2:$MK2,"Reação")+COUNTIF($NT2:$NU2,"Reação"))&gt;0,(COUNTIF($MH2:$MK2,"Armado")+COUNTIF($NT2:$NU2,"Armado"))&gt;0),"Reação não entra com Armado",""),IF(AND((COUNTIF($MH2:$MK2,"Reação")+COUNTIF($NT2:$NU2,"Reação"))&gt;0,(COUNTIF($MH2:$MK2,"Atrasar")+COUNTIF($NT2:$NU2,"Atrasar"))&gt;0),"Reação não entra com Atrasar",""),IF(AND((COUNTIF($MH2:$MK2,"Reação")+COUNTIF($NT2:$NU2,"Reação"))&gt;0,(COUNTIF($MH2:$MK2,"Parado")+COUNTIF($NT2:$NU2,"Parado"))&gt;0),"Reação não entra com Parado",""),IF(AND((COUNTIF($MH2:$MK2,"Atrasar")+COUNTIF($NT2:$NU2,"Atrasar"))&gt;0,(COUNTIF($MH2:$MK2,"Parado")+COUNTIF($NT2:$NU2,"Parado"))&gt;0),"Atrasar não entra com Parado",""),IF(AND((COUNTIF($MH2:$MK2,"Armado")+COUNTIF($NT2:$NU2,"Armado"))&gt;0,(COUNTIF($MH2:$MK2,"Carregar")+COUNTIF($NT2:$NU2,"Carregar"))&gt;0),"Armado não entra com Carregar",""),IF(AND(COUNTIF($NT2:$NU2,"Corpo a Corpo")&gt;0,$NO2=0,OR($ME2="Cone",$ME2="Linha")),"Corpo a Corpo não entra em "&amp;$ME2,""),IF(AND(COUNTIF($NT2:$NU2,"Corpo a Corpo")&gt;0,$NO2=1),"A Forma "&amp;$ME2&amp;" já traz o Corpo a Corpo",""),IF(AND(COUNTIF($NT2:$NU2,"Tudo ou Nada")&gt;0,$NQ2=0),"Tudo ou Nada só entra em habilidade de Teste de Resistência",""),IF(AND(COUNTIF($MH2:$MK2,"Inescapável")&gt;0,OR($OD2&gt;1,$OE2&gt;0)),"Inescapável não aceita outra peça",""),IF(AND($MC2&gt;0,$OM2*IF(COUNTIF($MH2:$MK2,"Remate")&gt;0,1.25,1)+$ON2&gt;4*$MC2),($OM2*IF(COUNTIF($MH2:$MK2,"Remate")&gt;0,1.25,1)+$ON2)&amp;" dados somando repetições"&amp;IF(COUNTIF($MH2:$MK2,"Remate")&gt;0," e o Remate","")&amp;": o teto da Classe "&amp;$MC2&amp;" é "&amp;4*$MC2,"")))</f>
        <v/>
      </c>
      <c r="PD2" s="152">
        <f>IF($PC2="",0,(LEN($PC2)-LEN(SUBSTITUTE($PC2," · ","")))/3+1)</f>
        <v/>
      </c>
      <c r="PE2" s="152">
        <f>IF($MN2=0,"",TEXTJOIN(" · ",TRUE,IF($OG2&gt;2*$MC2,"A devolução parou no teto de "&amp;2*$MC2,""),IF($OJ2&gt;0,"Devolução perdida: "&amp;$OJ2&amp;IF($OJ2&gt;1," pontos"," ponto")&amp;" sem peça para pagar",""),IF(AND($NM2&gt;0,AND($MC2&gt;0,$NP2=0),$OM2=0),"Controle sem dano: uma rodada a mais e CD +2",""),IF(AND($NM2&gt;0,AND($MC2&gt;0,$NP2=0),$OM2&gt;0,$OM2&lt;=$MC2),"Controle com saldo até a Classe: uma rodada a mais",""),IF(AND($MC2&gt;0,$NN2&lt;&gt;""),"Efeito de "&amp;$NN2&amp;" pela Classe "&amp;MAX(1,$MC2-1),"")))</f>
        <v/>
      </c>
      <c r="PF2" s="152">
        <f>IF($PE2="",0,(LEN($PE2)-LEN(SUBSTITUTE($PE2," · ","")))/3+1)</f>
        <v/>
      </c>
      <c r="PG2" s="152">
        <f>IF($MN2=0,IF($OD2+COUNTIF($ML2:$MM2,"?*")&gt;0,"Dê um nome",""),IF($PD2&gt;0,"⚠ "&amp;$PD2&amp;IF($PD2&gt;1," erros"," erro"),IF($PF2&gt;0,"! "&amp;$PF2&amp;IF($PF2&gt;1," avisos"," aviso"),"Na regra")))</f>
        <v/>
      </c>
      <c r="PH2" s="152">
        <f>IF($MN2=0,"",IF($PD2+$PF2=0,"Dentro das regras que a ficha confere",$PC2&amp;IF(AND($PD2&gt;0,$PF2&gt;0)," · ","")&amp;$PE2))</f>
        <v/>
      </c>
      <c r="PI2" s="152">
        <f>IF($MA2&gt;$MO2,$MB2&amp;" · ABRE NO NÍVEL "&amp;$MA2,$MB2)</f>
        <v/>
      </c>
      <c r="PJ2" s="152">
        <f>IF($MN2=0,"",IF($MC2=0,"Sem PE",3*$MC2&amp;" PE"))</f>
        <v/>
      </c>
      <c r="PK2" s="152">
        <f>IF($MN2=0,"",IF($MC2=0,"A atuação básica dela",IF(COUNTIF($NT2:$NU2,"Atrasar")&gt;0,"Sua Ação Completa",IF(COUNTIF($MH2:$MK2,"Rápido")&gt;0,"Sua Bônus",IF(COUNTIF($MH2:$MK2,"Reação")&gt;0,"Sua Reação","Sua Padrão")))&amp;" + a básica dela"&amp;IF(COUNTIF($MH2:$MK2,"Reação")&gt;0," e a coletiva","")&amp;IF(COUNTIF($NT2:$NU2,"Carregar")&gt;0," · em dois turnos","")))</f>
        <v/>
      </c>
      <c r="PL2" s="152">
        <f>IF($MG2&lt;&gt;"",$MG2,IF($MT2=0,"",INDEX($AA$2:$AA$11,$MT2)))</f>
        <v/>
      </c>
      <c r="PM2" s="152">
        <f>IF(OR($MN2=0,$MT2=0),"",IF(COUNTIF($MH2:$MK2,"Inescapável")&gt;0,"Automático",IF($PL2="Ataque",IF($MR2="","Ataque","Ataque "&amp;IF(($MR2+2*IF(COUNTIF($MH2:$MK2,"Precisão")&gt;0,1,0))&gt;=0,"+","−")&amp;ABS(($MR2+2*IF(COUNTIF($MH2:$MK2,"Precisão")&gt;0,1,0)))),IF(LEFT($PL2,2)="TR",$PL2&amp;IF($MS2="",""," · CD "&amp;$MS2)&amp;IF(COUNTIF($MH2:$MK2,"Certeiro")&gt;0," · metade",""),"Sem rolagem"))))</f>
        <v/>
      </c>
      <c r="PN2" s="152">
        <f>IF(OR($MN2=0,$MT2=0),"",IF($MC2=0,IF(OR($NP2&gt;=1,$OM2=0),"Sem dano",$OM2&amp;"d6"&amp;IF($MF2="",""," "&amp;$MF2)),IF(OR($NP2&gt;=1,$OM2=0),UPPER(LEFT(INDEX($OV2:$PB2,1,MAX(1,$MC2)),1))&amp;MID(INDEX($OV2:$PB2,1,MAX(1,$MC2)),2,99),UPPER(LEFT(INDEX($OV2:$PB2,1,MAX(1,$MC2)),1))&amp;MID(INDEX($OV2:$PB2,1,MAX(1,$MC2)),2,99)&amp;IF($MF2="",""," "&amp;$MF2)&amp;IF($ON2&gt;0," · +"&amp;$ON2&amp;"d8",""))))</f>
        <v/>
      </c>
      <c r="PO2" s="152">
        <f>COUNTIF($MH2:$MK2,"Longe")+3*COUNTIF($MH2:$MK2,"Muito Longe")</f>
        <v/>
      </c>
      <c r="PP2" s="152">
        <f>COUNTIF($MH2:$MK2,"Maior")+3*COUNTIF($MH2:$MK2,"Muito Maior")</f>
        <v/>
      </c>
      <c r="PQ2" s="152">
        <f>IF($MT2=0,0,CHOOSE(1+INDEX($AC$2:$AC$11,$MT2),0,$PO2,$PP2,$PO2+$PP2))</f>
        <v/>
      </c>
      <c r="PR2" s="152">
        <f>IF($MT2=0,0,CHOOSE(1+INDEX($AD$2:$AD$11,$MT2),0,$PO2,$PP2,$PO2+$PP2))</f>
        <v/>
      </c>
      <c r="PS2" s="152">
        <f>IF(OR($MN2=0,$MT2=0),"",INDEX($AI$2:$AN$41,($MT2-1)*4+IF($MC2=0,1,IF($MC2&lt;=5,2,IF($MC2=6,3,4))),1+MIN(5,$PQ2))&amp;INDEX($AO$2:$AT$41,($MT2-1)*4+IF($MC2=0,1,IF($MC2&lt;=5,2,IF($MC2=6,3,4))),1+MIN(5,$PR2))&amp;IF(INDEX($AE$2:$AE$11,$MT2)=1,IF(COUNTIF($MH2:$MK2,"Mais Um")&gt;0," · +"&amp;COUNTIF($MH2:$MK2,"Mais Um")&amp;IF(COUNTIF($MH2:$MK2,"Mais Um")&gt;1," alvos"," alvo"),"")&amp;IF(COUNTIF($MH2:$MK2,"Rajada")&gt;0,IF($MC2=0," · 1 tiro"," · "&amp;(MAX(1,$MC2-1)+1)&amp;" tiros"),""),""))</f>
        <v/>
      </c>
      <c r="PT2" s="152">
        <f>IF($MN2=0,"",IF($MC2=0,$MQ2&amp;"d6"&amp;IF($OD2&gt;0," − 1 = "&amp;$OM2&amp;"d6"," da básica do nível "&amp;$MO2),$OK2&amp;" − "&amp;$OF2&amp;" + "&amp;$OI2&amp;" = "&amp;$OL2&amp;" · teto "&amp;4*$MC2&amp;"d8"&amp;IF($NO2=1," · a Forma devolve "&amp;$MC2,"")&amp;IF($OJ2&gt;0," · perde "&amp;$OJ2,"")))</f>
        <v/>
      </c>
      <c r="PU2" s="152">
        <f>IF($MN2=0,"",IF($MC2=0,"A básica não amplia: os dados dela sobem com o nível",IF($MC2&gt;=$MP2,"Já está na maior Classe que o nível liberou",TEXTJOIN(" · ",TRUE,IF(AND(2&gt;$MC2,2&lt;=$MP2),"2 → "&amp;$OW2&amp;", 6 PE",""),IF(AND(3&gt;$MC2,3&lt;=$MP2),"3 → "&amp;$OX2&amp;", 9 PE",""),IF(AND(4&gt;$MC2,4&lt;=$MP2),"4 → "&amp;$OY2&amp;", 12 PE",""),IF(AND(5&gt;$MC2,5&lt;=$MP2),"5 → "&amp;$OZ2&amp;", 15 PE",""),IF(AND(6&gt;$MC2,6&lt;=$MP2),"6 → "&amp;$PA2&amp;", 18 PE",""),IF(AND(7&gt;$MC2,7&lt;=$MP2),"7 → "&amp;$PB2&amp;", 21 PE","")))))</f>
        <v/>
      </c>
      <c r="PV2" s="152">
        <f>IF(OR($MN2=0,$MY2=0),"",IF($MC2=0,"−1 dado","−"&amp;INDEX($I$2:$N$8,MAX(1,$MC2),MAX(1,$ND2))&amp;" · "&amp;CHOOSE(MAX(1,$ND2),"Leve","Média","Pesada","Leve · Livre","Média · Livre","Pesada · Livre")))</f>
        <v/>
      </c>
      <c r="PW2" s="152">
        <f>IF(OR($MN2=0,$MZ2=0),"",IF($MC2=0,"−1 dado","−"&amp;INDEX($I$2:$N$8,MAX(1,$MC2),MAX(1,$NE2))&amp;" · "&amp;CHOOSE(MAX(1,$NE2),"Leve","Média","Pesada","Leve · Livre","Média · Livre","Pesada · Livre")))</f>
        <v/>
      </c>
      <c r="PX2" s="152">
        <f>IF(OR($MN2=0,$NA2=0),"",IF($MC2=0,"−1 dado","−"&amp;INDEX($I$2:$N$8,MAX(1,$MC2),MAX(1,$NF2))&amp;" · "&amp;CHOOSE(MAX(1,$NF2),"Leve","Média","Pesada","Leve · Livre","Média · Livre","Pesada · Livre")))</f>
        <v/>
      </c>
      <c r="PY2" s="152">
        <f>IF(OR($MN2=0,$NB2=0),"",IF($MC2=0,"−1 dado","−"&amp;INDEX($I$2:$N$8,MAX(1,$MC2),MAX(1,$NG2))&amp;" · "&amp;CHOOSE(MAX(1,$NG2),"Leve","Média","Pesada","Leve · Livre","Média · Livre","Pesada · Livre")))</f>
        <v/>
      </c>
      <c r="PZ2" s="152">
        <f>IF(OR($MN2=0,$ML2=""),"",IF($MC2=0,"não devolve","+"&amp;IF($NR2=1,CEILING($MC2/2,1),$MC2)))</f>
        <v/>
      </c>
      <c r="QA2" s="152">
        <f>IF(OR($MN2=0,$MM2=""),"",IF($MC2=0,"não devolve","+"&amp;IF($NS2=1,CEILING($MC2/2,1),$MC2)))</f>
        <v/>
      </c>
      <c r="QC2" s="150" t="inlineStr">
        <is>
          <t>E13</t>
        </is>
      </c>
      <c r="QD2" s="152">
        <f>IF(DADOS_INVOC!$CW$3&gt;=0,"+","−")&amp;ABS(DADOS_INVOC!$CW$3)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B3" s="150" t="inlineStr">
        <is>
          <t>Atrasar</t>
        </is>
      </c>
      <c r="BC3" s="150" t="inlineStr">
        <is>
          <t>Atrasar</t>
        </is>
      </c>
      <c r="BD3" s="152" t="n">
        <v>2</v>
      </c>
      <c r="BE3" s="152" t="n">
        <v>0</v>
      </c>
      <c r="BF3" s="150" t="inlineStr"/>
      <c r="BH3" s="150" t="inlineStr">
        <is>
          <t>Instinto</t>
        </is>
      </c>
      <c r="BI3" s="152" t="n">
        <v>1</v>
      </c>
      <c r="BJ3" s="150" t="inlineStr">
        <is>
          <t>Você não é pego de surpresa enquanto estiver acordado. Isso não revela criaturas escondidas, não muda sua posição na iniciativa e não concede uma ação adicional.</t>
        </is>
      </c>
      <c r="BK3" s="150" t="inlineStr">
        <is>
          <t>Instinto</t>
        </is>
      </c>
      <c r="BM3" s="150" t="inlineStr">
        <is>
          <t>Corpo amaldiçoado de técnica</t>
        </is>
      </c>
      <c r="BO3" s="150" t="inlineStr">
        <is>
          <t>Lista de ritual</t>
        </is>
      </c>
      <c r="BP3" s="152" t="n">
        <v>1</v>
      </c>
      <c r="BR3" s="150" t="inlineStr">
        <is>
          <t>Área</t>
        </is>
      </c>
      <c r="BT3" s="150" t="inlineStr">
        <is>
          <t>Destreza</t>
        </is>
      </c>
      <c r="BV3" s="150" t="inlineStr">
        <is>
          <t>Vigor</t>
        </is>
      </c>
      <c r="BX3" s="150" t="inlineStr">
        <is>
          <t>Destreza</t>
        </is>
      </c>
      <c r="BZ3" s="150" t="inlineStr">
        <is>
          <t>Acrobacia</t>
        </is>
      </c>
      <c r="CA3" s="150" t="inlineStr">
        <is>
          <t>Destreza</t>
        </is>
      </c>
      <c r="CC3" s="150" t="inlineStr">
        <is>
          <t>Com carga</t>
        </is>
      </c>
      <c r="CE3" s="150" t="inlineStr">
        <is>
          <t>Perfurante</t>
        </is>
      </c>
      <c r="CG3" s="150" t="inlineStr">
        <is>
          <t>TR Físico</t>
        </is>
      </c>
      <c r="CI3" s="152" t="n">
        <v>1</v>
      </c>
      <c r="CK3" s="152" t="n">
        <v>21</v>
      </c>
      <c r="CL3" s="150" t="inlineStr">
        <is>
          <t>22d8</t>
        </is>
      </c>
      <c r="CM3" s="152" t="n">
        <v>12</v>
      </c>
      <c r="CN3" s="152" t="n">
        <v>30</v>
      </c>
      <c r="CP3" s="150" t="inlineStr">
        <is>
          <t>Completa</t>
        </is>
      </c>
      <c r="CQ3" s="150" t="inlineStr">
        <is>
          <t>Mais 1 espaço; total 3.</t>
        </is>
      </c>
      <c r="CR3" s="150" t="inlineStr">
        <is>
          <t>Incompleta, nível 14 dela e seu refino 5.</t>
        </is>
      </c>
      <c r="CT3" s="150" t="inlineStr">
        <is>
          <t>Inteligência</t>
        </is>
      </c>
      <c r="CV3" s="150" t="inlineStr">
        <is>
          <t>maestria</t>
        </is>
      </c>
      <c r="CW3" s="152">
        <f>N(FICHA!$D$51)</f>
        <v/>
      </c>
      <c r="CY3" s="152" t="n">
        <v>2</v>
      </c>
      <c r="CZ3" s="152">
        <f>'INVOCAÇÕES'!$I$211&amp;""</f>
        <v/>
      </c>
      <c r="DA3" s="152">
        <f>'INVOCAÇÕES'!$I$241&amp;""</f>
        <v/>
      </c>
      <c r="DB3" s="152">
        <f>'INVOCAÇÕES'!$I$245&amp;""</f>
        <v/>
      </c>
      <c r="DC3" s="152">
        <f>N('INVOCAÇÕES'!$K$245)</f>
        <v/>
      </c>
      <c r="DD3" s="152">
        <f>'INVOCAÇÕES'!$L$245&amp;""</f>
        <v/>
      </c>
      <c r="DE3" s="152">
        <f>N('INVOCAÇÕES'!$O$218)</f>
        <v/>
      </c>
      <c r="DF3" s="152">
        <f>N('INVOCAÇÕES'!$P$218)</f>
        <v/>
      </c>
      <c r="DG3" s="152">
        <f>N('INVOCAÇÕES'!$Q$218)</f>
        <v/>
      </c>
      <c r="DH3" s="152">
        <f>N('INVOCAÇÕES'!$R$218)</f>
        <v/>
      </c>
      <c r="DI3" s="152">
        <f>N('INVOCAÇÕES'!$S$218)</f>
        <v/>
      </c>
      <c r="DJ3" s="152">
        <f>N('INVOCAÇÕES'!$O$219)</f>
        <v/>
      </c>
      <c r="DK3" s="152">
        <f>N('INVOCAÇÕES'!$P$219)</f>
        <v/>
      </c>
      <c r="DL3" s="152">
        <f>N('INVOCAÇÕES'!$Q$219)</f>
        <v/>
      </c>
      <c r="DM3" s="152">
        <f>N('INVOCAÇÕES'!$R$219)</f>
        <v/>
      </c>
      <c r="DN3" s="152">
        <f>N('INVOCAÇÕES'!$S$219)</f>
        <v/>
      </c>
      <c r="DO3" s="152">
        <f>'INVOCAÇÕES'!$O$232&amp;""</f>
        <v/>
      </c>
      <c r="DP3" s="152">
        <f>'INVOCAÇÕES'!$Q$232&amp;""</f>
        <v/>
      </c>
      <c r="DQ3" s="152">
        <f>'INVOCAÇÕES'!$S$232&amp;""</f>
        <v/>
      </c>
      <c r="DR3" s="152">
        <f>N('INVOCAÇÕES'!$O$224)</f>
        <v/>
      </c>
      <c r="DS3" s="152">
        <f>N('INVOCAÇÕES'!$P$224)</f>
        <v/>
      </c>
      <c r="DT3" s="152">
        <f>N('INVOCAÇÕES'!$Q$224)</f>
        <v/>
      </c>
      <c r="DU3" s="152">
        <f>N('INVOCAÇÕES'!$R$224)</f>
        <v/>
      </c>
      <c r="DV3" s="152">
        <f>N('INVOCAÇÕES'!$S$224)</f>
        <v/>
      </c>
      <c r="DW3" s="152">
        <f>N('INVOCAÇÕES'!$O$229)</f>
        <v/>
      </c>
      <c r="DX3" s="152">
        <f>N('INVOCAÇÕES'!$P$229)</f>
        <v/>
      </c>
      <c r="DY3" s="152">
        <f>N('INVOCAÇÕES'!$Q$229)</f>
        <v/>
      </c>
      <c r="DZ3" s="152">
        <f>N('INVOCAÇÕES'!$R$229)</f>
        <v/>
      </c>
      <c r="EA3" s="152">
        <f>'INVOCAÇÕES'!$U$211&amp;""</f>
        <v/>
      </c>
      <c r="EB3" s="152">
        <f>N('INVOCAÇÕES'!$W$211)</f>
        <v/>
      </c>
      <c r="EC3" s="152">
        <f>'INVOCAÇÕES'!$Y$211&amp;""</f>
        <v/>
      </c>
      <c r="ED3" s="152">
        <f>'INVOCAÇÕES'!$O$246&amp;""</f>
        <v/>
      </c>
      <c r="EE3" s="152">
        <f>'INVOCAÇÕES'!$P$246&amp;""</f>
        <v/>
      </c>
      <c r="EF3" s="152">
        <f>'INVOCAÇÕES'!$Q$246&amp;""</f>
        <v/>
      </c>
      <c r="EG3" s="152">
        <f>'INVOCAÇÕES'!$R$246&amp;""</f>
        <v/>
      </c>
      <c r="EH3" s="152">
        <f>'INVOCAÇÕES'!$S$246&amp;""</f>
        <v/>
      </c>
      <c r="EI3" s="152">
        <f>'INVOCAÇÕES'!$O$236&amp;""</f>
        <v/>
      </c>
      <c r="EJ3" s="152">
        <f>'INVOCAÇÕES'!$O$237&amp;""</f>
        <v/>
      </c>
      <c r="EK3" s="152">
        <f>'INVOCAÇÕES'!$O$238&amp;""</f>
        <v/>
      </c>
      <c r="EL3" s="152">
        <f>'INVOCAÇÕES'!$O$239&amp;""</f>
        <v/>
      </c>
      <c r="EM3" s="152">
        <f>'INVOCAÇÕES'!$O$240&amp;""</f>
        <v/>
      </c>
      <c r="EN3" s="152">
        <f>'INVOCAÇÕES'!$O$241&amp;""</f>
        <v/>
      </c>
      <c r="EO3" s="152">
        <f>'INVOCAÇÕES'!$O$242&amp;""</f>
        <v/>
      </c>
      <c r="EP3" s="152">
        <f>'INVOCAÇÕES'!$J$278&amp;""</f>
        <v/>
      </c>
      <c r="EQ3" s="152">
        <f>'INVOCAÇÕES'!$J$279&amp;""</f>
        <v/>
      </c>
      <c r="ER3" s="152">
        <f>'INVOCAÇÕES'!$J$280&amp;""</f>
        <v/>
      </c>
      <c r="ES3" s="152">
        <f>'INVOCAÇÕES'!$J$281&amp;""</f>
        <v/>
      </c>
      <c r="ET3" s="152">
        <f>'INVOCAÇÕES'!$J$282&amp;""</f>
        <v/>
      </c>
      <c r="EU3" s="152">
        <f>'INVOCAÇÕES'!$J$283&amp;""</f>
        <v/>
      </c>
      <c r="EV3" s="152">
        <f>'INVOCAÇÕES'!$J$284&amp;""</f>
        <v/>
      </c>
      <c r="EW3" s="152">
        <f>'INVOCAÇÕES'!$J$285&amp;""</f>
        <v/>
      </c>
      <c r="EX3" s="152">
        <f>'INVOCAÇÕES'!$J$380&amp;""</f>
        <v/>
      </c>
      <c r="EY3" s="152">
        <f>'INVOCAÇÕES'!$J$381&amp;""</f>
        <v/>
      </c>
      <c r="EZ3" s="152">
        <f>'INVOCAÇÕES'!$J$382&amp;""</f>
        <v/>
      </c>
      <c r="FA3" s="152">
        <f>MAX(3,MIN(7,N('INVOCAÇÕES'!$I$387)))</f>
        <v/>
      </c>
      <c r="FB3" s="152">
        <f>MAX(3,MIN(7,N('INVOCAÇÕES'!$O$387)))</f>
        <v/>
      </c>
      <c r="FC3" s="152">
        <f>MAX(3,MIN(7,N('INVOCAÇÕES'!$U$387)))</f>
        <v/>
      </c>
      <c r="FD3" s="152">
        <f>'INVOCAÇÕES'!$O$401&amp;""</f>
        <v/>
      </c>
      <c r="FE3" s="152">
        <f>IF($CZ3&lt;&gt;"",1,0)</f>
        <v/>
      </c>
      <c r="FF3" s="152">
        <f>IFERROR(VLOOKUP($DB3,$BO$2:$BP$5,2,FALSE),1)</f>
        <v/>
      </c>
      <c r="FG3" s="152">
        <f>IF($FF3=1,$CW$2,MAX(1,MIN($CW$2,IF($DC3=0,$CW$2,$DC3))))</f>
        <v/>
      </c>
      <c r="FH3" s="152">
        <f>VLOOKUP(MAX(1,$FG3),$A$2:$D$8,2,TRUE)</f>
        <v/>
      </c>
      <c r="FI3" s="152">
        <f>VLOOKUP(MAX(1,$FG3),$A$2:$D$8,3,TRUE)</f>
        <v/>
      </c>
      <c r="FJ3" s="152">
        <f>$DE3+$DJ3</f>
        <v/>
      </c>
      <c r="FK3" s="152">
        <f>$DF3+$DK3</f>
        <v/>
      </c>
      <c r="FL3" s="152">
        <f>$DG3+$DL3</f>
        <v/>
      </c>
      <c r="FM3" s="152">
        <f>$DH3+$DM3</f>
        <v/>
      </c>
      <c r="FN3" s="152">
        <f>$DI3+$DN3</f>
        <v/>
      </c>
      <c r="FO3" s="152">
        <f>SUM($DE3:$DI3)</f>
        <v/>
      </c>
      <c r="FP3" s="152">
        <f>9+$FQ3</f>
        <v/>
      </c>
      <c r="FQ3" s="152">
        <f>COUNTIF($F$2:$F$8,"&lt;="&amp;$FG3)</f>
        <v/>
      </c>
      <c r="FR3" s="152">
        <f>MAX(0,$DE3-3)+MAX(0,$DF3-3)+MAX(0,$DG3-3)+MAX(0,$DH3-3)+MAX(0,$DI3-3)</f>
        <v/>
      </c>
      <c r="FS3" s="152">
        <f>IFERROR(INDEX($FJ3:$FN3,1,MATCH($DO3,$BT$2:$BT$6,0)),"")</f>
        <v/>
      </c>
      <c r="FT3" s="152">
        <f>IF($FS3="","",$FS3+$CW$3+$DR3)</f>
        <v/>
      </c>
      <c r="FU3" s="152">
        <f>IF($FS3="","",8+$FS3+$CW$3+$DS3)</f>
        <v/>
      </c>
      <c r="FV3" s="152">
        <f>10+$FK3+$CW$7+$DT3</f>
        <v/>
      </c>
      <c r="FW3" s="152">
        <f>IF($DA3="Corpo amaldiçoado de criação",1,0)</f>
        <v/>
      </c>
      <c r="FX3" s="152">
        <f>5+$FL3+(3+$FW3+$FL3)*($FG3-1)+$DU3</f>
        <v/>
      </c>
      <c r="FY3" s="152">
        <f>IF($EA3="",$FX3,MAX(0,MIN(IFERROR(VALUE($EA3),$FX3),$FX3)))</f>
        <v/>
      </c>
      <c r="FZ3" s="152">
        <f>9+$DV3</f>
        <v/>
      </c>
      <c r="GA3" s="152">
        <f>IF($DP3="Destreza",$FK3,$FJ3)</f>
        <v/>
      </c>
      <c r="GB3" s="152">
        <f>$GA3+IF($DQ3="Físico",$CW$3,0)+$DW3</f>
        <v/>
      </c>
      <c r="GC3" s="152">
        <f>$FL3+IF($DQ3="Vigor",$CW$3,0)+$DX3</f>
        <v/>
      </c>
      <c r="GD3" s="152">
        <f>$FM3+IF($DQ3="Intelecto",$CW$3,0)+$DY3</f>
        <v/>
      </c>
      <c r="GE3" s="152">
        <f>$FN3+IF($DQ3="Espírito",$CW$3,0)+$DZ3</f>
        <v/>
      </c>
      <c r="GF3" s="152">
        <f>4+INT($DH3/2)</f>
        <v/>
      </c>
      <c r="GG3" s="152">
        <f>COUNTIF($EI3:$EO3,"?*")</f>
        <v/>
      </c>
      <c r="GH3" s="152">
        <f>INT((2+$FG3/2)/2)</f>
        <v/>
      </c>
      <c r="GI3" s="152">
        <f>IF($FG3&gt;=11,2,1)</f>
        <v/>
      </c>
      <c r="GJ3" s="152">
        <f>1+$FQ3</f>
        <v/>
      </c>
      <c r="GK3" s="152">
        <f>COUNTIF($EP3:$EW3,"?*")</f>
        <v/>
      </c>
      <c r="GL3" s="152">
        <f>IF(AND($DA3="Shikigami de criação",$DD3="Com carga"),MAX(1,CEILING($FH3/2,1)),$FH3)</f>
        <v/>
      </c>
      <c r="GM3" s="152">
        <f>$FH3+$GL3</f>
        <v/>
      </c>
      <c r="GN3" s="152">
        <f>$FG3*(1+INT($DI3/3))</f>
        <v/>
      </c>
      <c r="GO3" s="152">
        <f>5+$FJ3</f>
        <v/>
      </c>
      <c r="GP3" s="152">
        <f>COUNTIF($ED3:$EH3,"?*")</f>
        <v/>
      </c>
      <c r="GQ3" s="152">
        <f>IF($ED3="",0,IF(COUNTIF($ED3:$EH3,$ED3)&gt;1,1,0))+IF($EE3="",0,IF(COUNTIF($ED3:$EH3,$EE3)&gt;1,1,0))+IF($EF3="",0,IF(COUNTIF($ED3:$EH3,$EF3)&gt;1,1,0))+IF($EG3="",0,IF(COUNTIF($ED3:$EH3,$EG3)&gt;1,1,0))+IF($EH3="",0,IF(COUNTIF($ED3:$EH3,$EH3)&gt;1,1,0))</f>
        <v/>
      </c>
      <c r="GR3" s="152">
        <f>$CW$11</f>
        <v/>
      </c>
      <c r="GS3" s="152">
        <f>IF($FE3=0,"INVOCAÇÃO 2 · lugar vazio",$CZ3&amp;" · "&amp;$DA3&amp;" · nível "&amp;$FG3&amp;" · vida "&amp;$FY3&amp;" de "&amp;$FX3)</f>
        <v/>
      </c>
      <c r="GT3" s="152">
        <f>IF($FE3=0,"VAZIA",UPPER($CZ3))</f>
        <v/>
      </c>
      <c r="GU3" s="152">
        <f>IF($CW$3&gt;=0,"+","−")&amp;ABS($CW$3)</f>
        <v/>
      </c>
      <c r="GV3" s="152">
        <f>$GL3&amp;" PE"</f>
        <v/>
      </c>
      <c r="GW3" s="152">
        <f>$GM3&amp;" PE"</f>
        <v/>
      </c>
      <c r="GX3" s="152">
        <f>IF(OR($FO3&gt;$FP3,$FR3&gt;$FQ3),"⚠ ",IF(AND($FE3=1,$FO3&lt;$FP3),"! ",""))&amp;"ATRIBUTOS · "&amp;$FO3&amp;" DE "&amp;$FP3&amp;" PONTOS"&amp;IF($FR3&gt;$FQ3," · ACIMA DE 3 SÓ COM MARCO","")</f>
        <v/>
      </c>
      <c r="GY3" s="152">
        <f>IF($FT3="","",IF($FT3&gt;=0,"+","−")&amp;ABS($FT3))</f>
        <v/>
      </c>
      <c r="GZ3" s="152">
        <f>IF($FU3="","",$FU3)</f>
        <v/>
      </c>
      <c r="HA3" s="152">
        <f>SUBSTITUTE($FZ3&amp;" m",".",",")</f>
        <v/>
      </c>
      <c r="HB3" s="152">
        <f>IF($GB3&gt;=0,"+","−")&amp;ABS($GB3)</f>
        <v/>
      </c>
      <c r="HC3" s="152">
        <f>IF($GC3&gt;=0,"+","−")&amp;ABS($GC3)</f>
        <v/>
      </c>
      <c r="HD3" s="152">
        <f>IF($GD3&gt;=0,"+","−")&amp;ABS($GD3)</f>
        <v/>
      </c>
      <c r="HE3" s="152">
        <f>IF($GE3&gt;=0,"+","−")&amp;ABS($GE3)</f>
        <v/>
      </c>
      <c r="HF3" s="152">
        <f>IF($GG3&gt;$GF3,"⚠ ","")&amp;"PERÍCIAS · "&amp;$GG3&amp;" DE "&amp;$GF3</f>
        <v/>
      </c>
      <c r="HG3" s="152">
        <f>IF($EI3="","",IFERROR(IF((INDEX($FJ3:$FN3,1,MATCH(VLOOKUP($EI3,$BZ$2:$CA$24,2,FALSE),$BT$2:$BT$6,0))+$CW$3)&gt;=0,"+","−")&amp;ABS((INDEX($FJ3:$FN3,1,MATCH(VLOOKUP($EI3,$BZ$2:$CA$24,2,FALSE),$BT$2:$BT$6,0))+$CW$3)),""))</f>
        <v/>
      </c>
      <c r="HH3" s="152">
        <f>IF($EJ3="","",IFERROR(IF((INDEX($FJ3:$FN3,1,MATCH(VLOOKUP($EJ3,$BZ$2:$CA$24,2,FALSE),$BT$2:$BT$6,0))+$CW$3)&gt;=0,"+","−")&amp;ABS((INDEX($FJ3:$FN3,1,MATCH(VLOOKUP($EJ3,$BZ$2:$CA$24,2,FALSE),$BT$2:$BT$6,0))+$CW$3)),""))</f>
        <v/>
      </c>
      <c r="HI3" s="152">
        <f>IF($EK3="","",IFERROR(IF((INDEX($FJ3:$FN3,1,MATCH(VLOOKUP($EK3,$BZ$2:$CA$24,2,FALSE),$BT$2:$BT$6,0))+$CW$3)&gt;=0,"+","−")&amp;ABS((INDEX($FJ3:$FN3,1,MATCH(VLOOKUP($EK3,$BZ$2:$CA$24,2,FALSE),$BT$2:$BT$6,0))+$CW$3)),""))</f>
        <v/>
      </c>
      <c r="HJ3" s="152">
        <f>IF($EL3="","",IFERROR(IF((INDEX($FJ3:$FN3,1,MATCH(VLOOKUP($EL3,$BZ$2:$CA$24,2,FALSE),$BT$2:$BT$6,0))+$CW$3)&gt;=0,"+","−")&amp;ABS((INDEX($FJ3:$FN3,1,MATCH(VLOOKUP($EL3,$BZ$2:$CA$24,2,FALSE),$BT$2:$BT$6,0))+$CW$3)),""))</f>
        <v/>
      </c>
      <c r="HK3" s="152">
        <f>IF($EM3="","",IFERROR(IF((INDEX($FJ3:$FN3,1,MATCH(VLOOKUP($EM3,$BZ$2:$CA$24,2,FALSE),$BT$2:$BT$6,0))+$CW$3)&gt;=0,"+","−")&amp;ABS((INDEX($FJ3:$FN3,1,MATCH(VLOOKUP($EM3,$BZ$2:$CA$24,2,FALSE),$BT$2:$BT$6,0))+$CW$3)),""))</f>
        <v/>
      </c>
      <c r="HL3" s="152">
        <f>IF($EN3="","",IFERROR(IF((INDEX($FJ3:$FN3,1,MATCH(VLOOKUP($EN3,$BZ$2:$CA$24,2,FALSE),$BT$2:$BT$6,0))+$CW$3)&gt;=0,"+","−")&amp;ABS((INDEX($FJ3:$FN3,1,MATCH(VLOOKUP($EN3,$BZ$2:$CA$24,2,FALSE),$BT$2:$BT$6,0))+$CW$3)),""))</f>
        <v/>
      </c>
      <c r="HM3" s="152">
        <f>IF($EO3="","",IFERROR(IF((INDEX($FJ3:$FN3,1,MATCH(VLOOKUP($EO3,$BZ$2:$CA$24,2,FALSE),$BT$2:$BT$6,0))+$CW$3)&gt;=0,"+","−")&amp;ABS((INDEX($FJ3:$FN3,1,MATCH(VLOOKUP($EO3,$BZ$2:$CA$24,2,FALSE),$BT$2:$BT$6,0))+$CW$3)),""))</f>
        <v/>
      </c>
      <c r="HN3" s="152">
        <f>IF($DA3="Maldição domada","RESERVA · MÁX. "&amp;$GN3,"RESERVA DE PE")</f>
        <v/>
      </c>
      <c r="HO3" s="152">
        <f>"EQUIPAMENTO · CARGA ATÉ "&amp;$GO3&amp;" DE VOLUME"</f>
        <v/>
      </c>
      <c r="HP3" s="152">
        <f>IF(OR($GQ3&gt;0,$GP3&gt;$GR3),"⚠ ","")&amp;"FAMÍLIAS · "&amp;$GP3&amp;" ABERTAS"&amp;IF($GQ3&gt;0," · REPETIDA","")&amp;IF($GP3&gt;$GR3," · O LIMITE É "&amp;$GR3,"")</f>
        <v/>
      </c>
      <c r="HQ3" s="152">
        <f>"HABILIDADES · básica de "&amp;$FI3&amp;"d6 · "&amp;$GH3&amp;IF($GH3&gt;1," espaços"," espaço")&amp;" de especial até a Classe "&amp;$FH3&amp;" · "&amp;$GJ3&amp;IF($GJ3&gt;1," talentos"," talento")</f>
        <v/>
      </c>
      <c r="HR3" s="152">
        <f>IF($GK3&gt;$GJ3,"⚠ ","")&amp;"TALENTOS · "&amp;$GK3&amp;" DE "&amp;$GJ3</f>
        <v/>
      </c>
      <c r="HS3" s="152">
        <f>IFERROR(VLOOKUP($EP3,$BH$2:$BK$15,2,FALSE),0)</f>
        <v/>
      </c>
      <c r="HT3" s="152">
        <f>IFERROR(VLOOKUP($EQ3,$BH$2:$BK$15,2,FALSE),0)</f>
        <v/>
      </c>
      <c r="HU3" s="152">
        <f>IFERROR(VLOOKUP($ER3,$BH$2:$BK$15,2,FALSE),0)</f>
        <v/>
      </c>
      <c r="HV3" s="152">
        <f>IFERROR(VLOOKUP($ES3,$BH$2:$BK$15,2,FALSE),0)</f>
        <v/>
      </c>
      <c r="HW3" s="152">
        <f>IFERROR(VLOOKUP($ET3,$BH$2:$BK$15,2,FALSE),0)</f>
        <v/>
      </c>
      <c r="HX3" s="152">
        <f>IFERROR(VLOOKUP($EU3,$BH$2:$BK$15,2,FALSE),0)</f>
        <v/>
      </c>
      <c r="HY3" s="152">
        <f>IFERROR(VLOOKUP($EV3,$BH$2:$BK$15,2,FALSE),0)</f>
        <v/>
      </c>
      <c r="HZ3" s="152">
        <f>IFERROR(VLOOKUP($EW3,$BH$2:$BK$15,2,FALSE),0)</f>
        <v/>
      </c>
      <c r="IA3" s="152">
        <f>IF($EP3="","",IF(1&gt;$FG3,"⚠ Este talento abre no nível 1",IF($HS3&gt;1,"⚠ Categoria "&amp;$HS3&amp;": este ganho vai até a 1 · ","")&amp;IFERROR(VLOOKUP($EP3,$BH$2:$BK$15,3,FALSE),"")))</f>
        <v/>
      </c>
      <c r="IB3" s="152">
        <f>IF($EQ3="","",IF(6&gt;$FG3,"⚠ Este talento abre no nível 6",IF($HT3&gt;1,"⚠ Categoria "&amp;$HT3&amp;": este ganho vai até a 1 · ","")&amp;IFERROR(VLOOKUP($EQ3,$BH$2:$BK$15,3,FALSE),"")))</f>
        <v/>
      </c>
      <c r="IC3" s="152">
        <f>IF($ER3="","",IF(10&gt;$FG3,"⚠ Este talento abre no nível 10",IF($HU3&gt;2,"⚠ Categoria "&amp;$HU3&amp;": este ganho vai até a 2 · ","")&amp;IFERROR(VLOOKUP($ER3,$BH$2:$BK$15,3,FALSE),"")))</f>
        <v/>
      </c>
      <c r="ID3" s="152">
        <f>IF($ES3="","",IF(14&gt;$FG3,"⚠ Este talento abre no nível 14",IF($HV3&gt;3,"⚠ Categoria "&amp;$HV3&amp;": este ganho vai até a 3 · ","")&amp;IFERROR(VLOOKUP($ES3,$BH$2:$BK$15,3,FALSE),"")))</f>
        <v/>
      </c>
      <c r="IE3" s="152">
        <f>IF($ET3="","",IF(18&gt;$FG3,"⚠ Este talento abre no nível 18",IF($HW3&gt;3,"⚠ Categoria "&amp;$HW3&amp;": este ganho vai até a 3 · ","")&amp;IFERROR(VLOOKUP($ET3,$BH$2:$BK$15,3,FALSE),"")))</f>
        <v/>
      </c>
      <c r="IF3" s="152">
        <f>IF($EU3="","",IF(22&gt;$FG3,"⚠ Este talento abre no nível 22",IF($HX3&gt;3,"⚠ Categoria "&amp;$HX3&amp;": este ganho vai até a 3 · ","")&amp;IFERROR(VLOOKUP($EU3,$BH$2:$BK$15,3,FALSE),"")))</f>
        <v/>
      </c>
      <c r="IG3" s="152">
        <f>IF($EV3="","",IF(26&gt;$FG3,"⚠ Este talento abre no nível 26",IF($HY3&gt;3,"⚠ Categoria "&amp;$HY3&amp;": este ganho vai até a 3 · ","")&amp;IFERROR(VLOOKUP($EV3,$BH$2:$BK$15,3,FALSE),"")))</f>
        <v/>
      </c>
      <c r="IH3" s="152">
        <f>IF($EW3="","",IF(30&gt;$FG3,"⚠ Este talento abre no nível 30",IF($HZ3&gt;3,"⚠ Categoria "&amp;$HZ3&amp;": este ganho vai até a 3 · ","")&amp;IFERROR(VLOOKUP($EW3,$BH$2:$BK$15,3,FALSE),"")))</f>
        <v/>
      </c>
      <c r="II3" s="152">
        <f>IF($EX3="","",IFERROR(VLOOKUP($EX3,$BH$2:$BK$15,3,FALSE),""))</f>
        <v/>
      </c>
      <c r="IJ3" s="152">
        <f>IF($EY3="","",IFERROR(VLOOKUP($EY3,$BH$2:$BK$15,3,FALSE),""))</f>
        <v/>
      </c>
      <c r="IK3" s="152">
        <f>IF($EZ3="","",IFERROR(VLOOKUP($EZ3,$BH$2:$BK$15,3,FALSE),""))</f>
        <v/>
      </c>
      <c r="IL3" s="152">
        <f>CEILING(4.5*$FA3,1)&amp;" PE"</f>
        <v/>
      </c>
      <c r="IM3" s="152">
        <f>CEILING(4.5*$FB3,1)&amp;" PE"</f>
        <v/>
      </c>
      <c r="IN3" s="152">
        <f>CEILING(4.5*$FC3,1)&amp;" PE"</f>
        <v/>
      </c>
      <c r="IO3" s="152">
        <f>INDEX($P$2:$P$8,$FA3)&amp;" pontos + "&amp;$FA3&amp;"d8"</f>
        <v/>
      </c>
      <c r="IP3" s="152">
        <f>INDEX($P$2:$P$8,$FB3)&amp;" pontos + "&amp;$FB3&amp;"d8"</f>
        <v/>
      </c>
      <c r="IQ3" s="152">
        <f>INDEX($P$2:$P$8,$FC3)&amp;" pontos + "&amp;$FC3&amp;"d8"</f>
        <v/>
      </c>
      <c r="IR3" s="152">
        <f>IF($FG3&lt;17,"—",VLOOKUP($FG3,$CK$2:$CN$4,4,TRUE)&amp;" PE")</f>
        <v/>
      </c>
      <c r="IS3" s="152">
        <f>IF($FG3&lt;17,"Abre no nível 17",VLOOKUP($FG3,$CK$2:$CN$4,2,TRUE)&amp;" fixos · "&amp;VLOOKUP($FG3,$CK$2:$CN$4,3,TRUE)&amp;" pontos")</f>
        <v/>
      </c>
      <c r="IT3" s="152">
        <f>IF($FD3="Sem Barreiras",7,6)*$FH3&amp;" PE"</f>
        <v/>
      </c>
      <c r="IU3" s="152">
        <f>"Acerto "&amp;$FH3&amp;"d8"</f>
        <v/>
      </c>
      <c r="IV3" s="152">
        <f>IFERROR(VLOOKUP($FD3,$CP$2:$CR$4,3,FALSE),"Escolha o degrau")</f>
        <v/>
      </c>
      <c r="IW3" s="152">
        <f>2&amp;" · "&amp;IF($FE3=0,"vazia",$CZ3&amp;" · nv "&amp;$FG3&amp;" · "&amp;$FY3&amp;"/"&amp;$FX3)</f>
        <v/>
      </c>
      <c r="IY3" s="150" t="inlineStr">
        <is>
          <t>Invocação 2</t>
        </is>
      </c>
      <c r="IZ3" s="152">
        <f>ADDRESS(ROW('INVOCAÇÕES'!D22),COLUMN('INVOCAÇÕES'!D22),4)</f>
        <v/>
      </c>
      <c r="JA3" s="152">
        <f>ADDRESS(ROW('INVOCAÇÕES'!H207),COLUMN('INVOCAÇÕES'!H207),4)</f>
        <v/>
      </c>
      <c r="JB3" s="150" t="inlineStr">
        <is>
          <t>DADOS_INVOC!$IW$3</t>
        </is>
      </c>
      <c r="JD3" s="152">
        <f>IF(OR($AW3="",COUNTIF($ED$2:$EH$2,$AW3)&gt;0),$AV3,"")</f>
        <v/>
      </c>
      <c r="JE3" s="152">
        <f>IF(AND($AX3=1,OR($AW3="",COUNTIF($ED$2:$EH$2,$AW3)&gt;0)),$AV3,"")</f>
        <v/>
      </c>
      <c r="JG3" s="152">
        <f>IF(OR($W3="",COUNTIF($ED$2:$EH$2,$W3)&gt;0),$V3,"")</f>
        <v/>
      </c>
      <c r="JH3" s="152">
        <f>IF(AND($AF3=1,OR($W3="",COUNTIF($ED$2:$EH$2,$W3)&gt;0)),$V3,"")</f>
        <v/>
      </c>
      <c r="JJ3" s="152">
        <f>IF(OR($AW3="",COUNTIF($ED$3:$EH$3,$AW3)&gt;0),$AV3,"")</f>
        <v/>
      </c>
      <c r="JK3" s="152">
        <f>IF(AND($AX3=1,OR($AW3="",COUNTIF($ED$3:$EH$3,$AW3)&gt;0)),$AV3,"")</f>
        <v/>
      </c>
      <c r="JM3" s="152">
        <f>IF(OR($W3="",COUNTIF($ED$3:$EH$3,$W3)&gt;0),$V3,"")</f>
        <v/>
      </c>
      <c r="JN3" s="152">
        <f>IF(AND($AF3=1,OR($W3="",COUNTIF($ED$3:$EH$3,$W3)&gt;0)),$V3,"")</f>
        <v/>
      </c>
      <c r="JP3" s="152">
        <f>IF(OR($AW3="",COUNTIF($ED$4:$EH$4,$AW3)&gt;0),$AV3,"")</f>
        <v/>
      </c>
      <c r="JQ3" s="152">
        <f>IF(AND($AX3=1,OR($AW3="",COUNTIF($ED$4:$EH$4,$AW3)&gt;0)),$AV3,"")</f>
        <v/>
      </c>
      <c r="JS3" s="152">
        <f>IF(OR($W3="",COUNTIF($ED$4:$EH$4,$W3)&gt;0),$V3,"")</f>
        <v/>
      </c>
      <c r="JT3" s="152">
        <f>IF(AND($AF3=1,OR($W3="",COUNTIF($ED$4:$EH$4,$W3)&gt;0)),$V3,"")</f>
        <v/>
      </c>
      <c r="JV3" s="152">
        <f>IF(OR($AW3="",COUNTIF($ED$5:$EH$5,$AW3)&gt;0),$AV3,"")</f>
        <v/>
      </c>
      <c r="JW3" s="152">
        <f>IF(AND($AX3=1,OR($AW3="",COUNTIF($ED$5:$EH$5,$AW3)&gt;0)),$AV3,"")</f>
        <v/>
      </c>
      <c r="JY3" s="152">
        <f>IF(OR($W3="",COUNTIF($ED$5:$EH$5,$W3)&gt;0),$V3,"")</f>
        <v/>
      </c>
      <c r="JZ3" s="152">
        <f>IF(AND($AF3=1,OR($W3="",COUNTIF($ED$5:$EH$5,$W3)&gt;0)),$V3,"")</f>
        <v/>
      </c>
      <c r="KB3" s="152">
        <f>IF(OR($AW3="",COUNTIF($ED$6:$EH$6,$AW3)&gt;0),$AV3,"")</f>
        <v/>
      </c>
      <c r="KC3" s="152">
        <f>IF(AND($AX3=1,OR($AW3="",COUNTIF($ED$6:$EH$6,$AW3)&gt;0)),$AV3,"")</f>
        <v/>
      </c>
      <c r="KE3" s="152">
        <f>IF(OR($W3="",COUNTIF($ED$6:$EH$6,$W3)&gt;0),$V3,"")</f>
        <v/>
      </c>
      <c r="KF3" s="152">
        <f>IF(AND($AF3=1,OR($W3="",COUNTIF($ED$6:$EH$6,$W3)&gt;0)),$V3,"")</f>
        <v/>
      </c>
      <c r="KH3" s="152">
        <f>IF(OR($AW3="",COUNTIF($ED$7:$EH$7,$AW3)&gt;0),$AV3,"")</f>
        <v/>
      </c>
      <c r="KI3" s="152">
        <f>IF(AND($AX3=1,OR($AW3="",COUNTIF($ED$7:$EH$7,$AW3)&gt;0)),$AV3,"")</f>
        <v/>
      </c>
      <c r="KK3" s="152">
        <f>IF(OR($W3="",COUNTIF($ED$7:$EH$7,$W3)&gt;0),$V3,"")</f>
        <v/>
      </c>
      <c r="KL3" s="152">
        <f>IF(AND($AF3=1,OR($W3="",COUNTIF($ED$7:$EH$7,$W3)&gt;0)),$V3,"")</f>
        <v/>
      </c>
      <c r="KN3" s="152">
        <f>IF(OR($AW3="",COUNTIF($ED$8:$EH$8,$AW3)&gt;0),$AV3,"")</f>
        <v/>
      </c>
      <c r="KO3" s="152">
        <f>IF(AND($AX3=1,OR($AW3="",COUNTIF($ED$8:$EH$8,$AW3)&gt;0)),$AV3,"")</f>
        <v/>
      </c>
      <c r="KQ3" s="152">
        <f>IF(OR($W3="",COUNTIF($ED$8:$EH$8,$W3)&gt;0),$V3,"")</f>
        <v/>
      </c>
      <c r="KR3" s="152">
        <f>IF(AND($AF3=1,OR($W3="",COUNTIF($ED$8:$EH$8,$W3)&gt;0)),$V3,"")</f>
        <v/>
      </c>
      <c r="KT3" s="152">
        <f>IF(OR($AW3="",COUNTIF($ED$9:$EH$9,$AW3)&gt;0),$AV3,"")</f>
        <v/>
      </c>
      <c r="KU3" s="152">
        <f>IF(AND($AX3=1,OR($AW3="",COUNTIF($ED$9:$EH$9,$AW3)&gt;0)),$AV3,"")</f>
        <v/>
      </c>
      <c r="KW3" s="152">
        <f>IF(OR($W3="",COUNTIF($ED$9:$EH$9,$W3)&gt;0),$V3,"")</f>
        <v/>
      </c>
      <c r="KX3" s="152">
        <f>IF(AND($AF3=1,OR($W3="",COUNTIF($ED$9:$EH$9,$W3)&gt;0)),$V3,"")</f>
        <v/>
      </c>
      <c r="KZ3" s="152">
        <f>IF(OR($AW3="",COUNTIF($ED$10:$EH$10,$AW3)&gt;0),$AV3,"")</f>
        <v/>
      </c>
      <c r="LA3" s="152">
        <f>IF(AND($AX3=1,OR($AW3="",COUNTIF($ED$10:$EH$10,$AW3)&gt;0)),$AV3,"")</f>
        <v/>
      </c>
      <c r="LC3" s="152">
        <f>IF(OR($W3="",COUNTIF($ED$10:$EH$10,$W3)&gt;0),$V3,"")</f>
        <v/>
      </c>
      <c r="LD3" s="152">
        <f>IF(AND($AF3=1,OR($W3="",COUNTIF($ED$10:$EH$10,$W3)&gt;0)),$V3,"")</f>
        <v/>
      </c>
      <c r="LF3" s="152">
        <f>IF(OR($AW3="",COUNTIF($ED$11:$EH$11,$AW3)&gt;0),$AV3,"")</f>
        <v/>
      </c>
      <c r="LG3" s="152">
        <f>IF(AND($AX3=1,OR($AW3="",COUNTIF($ED$11:$EH$11,$AW3)&gt;0)),$AV3,"")</f>
        <v/>
      </c>
      <c r="LI3" s="152">
        <f>IF(OR($W3="",COUNTIF($ED$11:$EH$11,$W3)&gt;0),$V3,"")</f>
        <v/>
      </c>
      <c r="LJ3" s="152">
        <f>IF(AND($AF3=1,OR($W3="",COUNTIF($ED$11:$EH$11,$W3)&gt;0)),$V3,"")</f>
        <v/>
      </c>
      <c r="LL3" s="152">
        <f>IF(OR($AW3="",COUNTIF($ED$12:$EH$12,$AW3)&gt;0),$AV3,"")</f>
        <v/>
      </c>
      <c r="LM3" s="152">
        <f>IF(AND($AX3=1,OR($AW3="",COUNTIF($ED$12:$EH$12,$AW3)&gt;0)),$AV3,"")</f>
        <v/>
      </c>
      <c r="LO3" s="152">
        <f>IF(OR($W3="",COUNTIF($ED$12:$EH$12,$W3)&gt;0),$V3,"")</f>
        <v/>
      </c>
      <c r="LP3" s="152">
        <f>IF(AND($AF3=1,OR($W3="",COUNTIF($ED$12:$EH$12,$W3)&gt;0)),$V3,"")</f>
        <v/>
      </c>
      <c r="LR3" s="152">
        <f>IF(OR($AW3="",COUNTIF($ED$13:$EH$13,$AW3)&gt;0),$AV3,"")</f>
        <v/>
      </c>
      <c r="LS3" s="152">
        <f>IF(AND($AX3=1,OR($AW3="",COUNTIF($ED$13:$EH$13,$AW3)&gt;0)),$AV3,"")</f>
        <v/>
      </c>
      <c r="LU3" s="152">
        <f>IF(OR($W3="",COUNTIF($ED$13:$EH$13,$W3)&gt;0),$V3,"")</f>
        <v/>
      </c>
      <c r="LV3" s="152">
        <f>IF(AND($AF3=1,OR($W3="",COUNTIF($ED$13:$EH$13,$W3)&gt;0)),$V3,"")</f>
        <v/>
      </c>
      <c r="LX3" s="150" t="inlineStr">
        <is>
          <t>Ficha 1 · Especial 1</t>
        </is>
      </c>
      <c r="LY3" s="152" t="n">
        <v>1</v>
      </c>
      <c r="LZ3" s="152" t="n">
        <v>1</v>
      </c>
      <c r="MA3" s="152" t="n">
        <v>1</v>
      </c>
      <c r="MB3" s="150" t="inlineStr">
        <is>
          <t>ESPECIAL 1</t>
        </is>
      </c>
      <c r="MC3" s="152">
        <f>MAX(1,MIN(7,N('INVOCAÇÕES'!$O$58)))</f>
        <v/>
      </c>
      <c r="MD3" s="152">
        <f>'INVOCAÇÕES'!$P$58&amp;""</f>
        <v/>
      </c>
      <c r="ME3" s="152">
        <f>'INVOCAÇÕES'!$O$63&amp;""</f>
        <v/>
      </c>
      <c r="MF3" s="152">
        <f>'INVOCAÇÕES'!$O$64&amp;""</f>
        <v/>
      </c>
      <c r="MG3" s="152">
        <f>'INVOCAÇÕES'!$Q$64&amp;""</f>
        <v/>
      </c>
      <c r="MH3" s="152">
        <f>'INVOCAÇÕES'!$P$67&amp;""</f>
        <v/>
      </c>
      <c r="MI3" s="152">
        <f>'INVOCAÇÕES'!$P$68&amp;""</f>
        <v/>
      </c>
      <c r="MJ3" s="152">
        <f>'INVOCAÇÕES'!$P$69&amp;""</f>
        <v/>
      </c>
      <c r="MK3" s="152">
        <f>'INVOCAÇÕES'!$P$70&amp;""</f>
        <v/>
      </c>
      <c r="ML3" s="152">
        <f>'INVOCAÇÕES'!$P$71&amp;""</f>
        <v/>
      </c>
      <c r="MM3" s="152">
        <f>'INVOCAÇÕES'!$P$72&amp;""</f>
        <v/>
      </c>
      <c r="MN3" s="152">
        <f>IF($MD3&lt;&gt;"",1,0)</f>
        <v/>
      </c>
      <c r="MO3" s="152">
        <f>INDEX($FG$2:$FG$13,$LY3)</f>
        <v/>
      </c>
      <c r="MP3" s="152">
        <f>INDEX($FH$2:$FH$13,$LY3)</f>
        <v/>
      </c>
      <c r="MQ3" s="152">
        <f>INDEX($FI$2:$FI$13,$LY3)</f>
        <v/>
      </c>
      <c r="MR3" s="152">
        <f>INDEX($FT$2:$FT$13,$LY3)</f>
        <v/>
      </c>
      <c r="MS3" s="152">
        <f>INDEX($FU$2:$FU$13,$LY3)</f>
        <v/>
      </c>
      <c r="MT3" s="152">
        <f>IFERROR(MATCH($ME3,$V$2:$V$11,0),0)</f>
        <v/>
      </c>
      <c r="MU3" s="152">
        <f>IFERROR(VLOOKUP($MH3,$AV$2:$AZ$84,2,FALSE),"")</f>
        <v/>
      </c>
      <c r="MV3" s="152">
        <f>IFERROR(VLOOKUP($MI3,$AV$2:$AZ$84,2,FALSE),"")</f>
        <v/>
      </c>
      <c r="MW3" s="152">
        <f>IFERROR(VLOOKUP($MJ3,$AV$2:$AZ$84,2,FALSE),"")</f>
        <v/>
      </c>
      <c r="MX3" s="152">
        <f>IFERROR(VLOOKUP($MK3,$AV$2:$AZ$84,2,FALSE),"")</f>
        <v/>
      </c>
      <c r="MY3" s="152">
        <f>IFERROR(VLOOKUP($MH3,$AV$2:$AZ$84,3,FALSE),0)</f>
        <v/>
      </c>
      <c r="MZ3" s="152">
        <f>IFERROR(VLOOKUP($MI3,$AV$2:$AZ$84,3,FALSE),0)</f>
        <v/>
      </c>
      <c r="NA3" s="152">
        <f>IFERROR(VLOOKUP($MJ3,$AV$2:$AZ$84,3,FALSE),0)</f>
        <v/>
      </c>
      <c r="NB3" s="152">
        <f>IFERROR(VLOOKUP($MK3,$AV$2:$AZ$84,3,FALSE),0)</f>
        <v/>
      </c>
      <c r="NC3" s="152">
        <f>IF($MC3=0,0,IF($MT3=0,0,INDEX($X$2:$X$11,$MT3)))</f>
        <v/>
      </c>
      <c r="ND3" s="152">
        <f>IF(OR($MY3=0,$MC3=0),0,$MY3+3*IF(AND($MU3&lt;&gt;"",OR($MU3=INDEX($ED$2:$ED$13,$LY3),$MU3=INDEX($EE$2:$EE$13,$LY3))),1,0))</f>
        <v/>
      </c>
      <c r="NE3" s="152">
        <f>IF(OR($MZ3=0,$MC3=0),0,$MZ3+3*IF(AND($MV3&lt;&gt;"",OR($MV3=INDEX($ED$2:$ED$13,$LY3),$MV3=INDEX($EE$2:$EE$13,$LY3))),1,0))</f>
        <v/>
      </c>
      <c r="NF3" s="152">
        <f>IF(OR($NA3=0,$MC3=0),0,$NA3+3*IF(AND($MW3&lt;&gt;"",OR($MW3=INDEX($ED$2:$ED$13,$LY3),$MW3=INDEX($EE$2:$EE$13,$LY3))),1,0))</f>
        <v/>
      </c>
      <c r="NG3" s="152">
        <f>IF(OR($NB3=0,$MC3=0),0,$NB3+3*IF(AND($MX3&lt;&gt;"",OR($MX3=INDEX($ED$2:$ED$13,$LY3),$MX3=INDEX($EE$2:$EE$13,$LY3))),1,0))</f>
        <v/>
      </c>
      <c r="NH3" s="152">
        <f>IF($MT3=0,0,IF(INDEX($W$2:$W$11,$MT3)="",0,IF(COUNTIF(INDEX($ED$2:$EH$13,$LY3,0),INDEX($W$2:$W$11,$MT3))=0,1,0)))</f>
        <v/>
      </c>
      <c r="NI3" s="152">
        <f>IF(OR($MY3=0,$MU3=""),0,IF(COUNTIF(INDEX($ED$2:$EH$13,$LY3,0),$MU3)=0,1,0))</f>
        <v/>
      </c>
      <c r="NJ3" s="152">
        <f>IF(OR($MZ3=0,$MV3=""),0,IF(COUNTIF(INDEX($ED$2:$EH$13,$LY3,0),$MV3)=0,1,0))</f>
        <v/>
      </c>
      <c r="NK3" s="152">
        <f>IF(OR($NA3=0,$MW3=""),0,IF(COUNTIF(INDEX($ED$2:$EH$13,$LY3,0),$MW3)=0,1,0))</f>
        <v/>
      </c>
      <c r="NL3" s="152">
        <f>IF(OR($NB3=0,$MX3=""),0,IF(COUNTIF(INDEX($ED$2:$EH$13,$LY3,0),$MX3)=0,1,0))</f>
        <v/>
      </c>
      <c r="NM3" s="152">
        <f>IFERROR(VLOOKUP($MH3,$AV$2:$AZ$84,4,FALSE),0)+IFERROR(VLOOKUP($MI3,$AV$2:$AZ$84,4,FALSE),0)+IFERROR(VLOOKUP($MJ3,$AV$2:$AZ$84,4,FALSE),0)+IFERROR(VLOOKUP($MK3,$AV$2:$AZ$84,4,FALSE),0)</f>
        <v/>
      </c>
      <c r="NN3" s="152">
        <f>TEXTJOIN(", ",TRUE,IF(IFERROR(VLOOKUP($MH3,$AV$2:$AZ$84,5,FALSE),0)=1,$MH3,""),IF(IFERROR(VLOOKUP($MI3,$AV$2:$AZ$84,5,FALSE),0)=1,$MI3,""),IF(IFERROR(VLOOKUP($MJ3,$AV$2:$AZ$84,5,FALSE),0)=1,$MJ3,""),IF(IFERROR(VLOOKUP($MK3,$AV$2:$AZ$84,5,FALSE),0)=1,$MK3,""))</f>
        <v/>
      </c>
      <c r="NO3" s="152">
        <f>IF($MT3=0,0,INDEX($Y$2:$Y$11,$MT3))</f>
        <v/>
      </c>
      <c r="NP3" s="152">
        <f>IF($MT3=0,0,INDEX($Z$2:$Z$11,$MT3))</f>
        <v/>
      </c>
      <c r="NQ3" s="152">
        <f>IF($MT3=0,0,INDEX($AB$2:$AB$11,$MT3))</f>
        <v/>
      </c>
      <c r="NR3" s="152">
        <f>IFERROR(VLOOKUP($ML3,$BB$2:$BF$24,3,FALSE),0)</f>
        <v/>
      </c>
      <c r="NS3" s="152">
        <f>IFERROR(VLOOKUP($MM3,$BB$2:$BF$24,3,FALSE),0)</f>
        <v/>
      </c>
      <c r="NT3" s="152">
        <f>IFERROR(VLOOKUP($ML3,$BB$2:$BF$24,2,FALSE),"")</f>
        <v/>
      </c>
      <c r="NU3" s="152">
        <f>IFERROR(VLOOKUP($MM3,$BB$2:$BF$24,2,FALSE),"")</f>
        <v/>
      </c>
      <c r="NV3" s="152">
        <f>COUNTIF($NC3:$NG3,1)</f>
        <v/>
      </c>
      <c r="NW3" s="152">
        <f>COUNTIF($NC3:$NG3,2)</f>
        <v/>
      </c>
      <c r="NX3" s="152">
        <f>COUNTIF($NC3:$NG3,3)</f>
        <v/>
      </c>
      <c r="NY3" s="152">
        <f>COUNTIF($NC3:$NG3,4)</f>
        <v/>
      </c>
      <c r="NZ3" s="152">
        <f>COUNTIF($NC3:$NG3,5)</f>
        <v/>
      </c>
      <c r="OA3" s="152">
        <f>COUNTIF($NC3:$NG3,6)</f>
        <v/>
      </c>
      <c r="OB3" s="152">
        <f>COUNTIF($NR3:$NS3,1)</f>
        <v/>
      </c>
      <c r="OC3" s="152">
        <f>COUNTIF($NR3:$NS3,2)+$NO3</f>
        <v/>
      </c>
      <c r="OD3" s="152">
        <f>COUNTIF($MH3:$MK3,"?*")</f>
        <v/>
      </c>
      <c r="OE3" s="152">
        <f>COUNTIF($ML3:$MM3,"?*")+$NO3</f>
        <v/>
      </c>
      <c r="OF3" s="152">
        <f>IF($MC3=0,0,SUMPRODUCT($NV3:$OA3,INDEX($I$2:$N$8,MAX(1,$MC3),0)))</f>
        <v/>
      </c>
      <c r="OG3" s="152">
        <f>IF($MC3=0,0,$OB3*CEILING($MC3/2,1)+$OC3*$MC3)</f>
        <v/>
      </c>
      <c r="OH3" s="152">
        <f>MIN(2*$MC3,$OG3)</f>
        <v/>
      </c>
      <c r="OI3" s="152">
        <f>MIN($OH3,$OF3)</f>
        <v/>
      </c>
      <c r="OJ3" s="152">
        <f>$OH3-$OI3</f>
        <v/>
      </c>
      <c r="OK3" s="152">
        <f>IF($MC3=0,0,INDEX($P$2:$P$8,MAX(1,$MC3)))</f>
        <v/>
      </c>
      <c r="OL3" s="152">
        <f>$OK3-$OF3+$OI3</f>
        <v/>
      </c>
      <c r="OM3" s="152">
        <f>IF($MC3=0,MAX(0,$MQ3-IF($OD3&gt;0,1,0)),MAX(0,$OL3))</f>
        <v/>
      </c>
      <c r="ON3" s="152">
        <f>IF($MC3=0,0,(IF(COUNTIF($MH3:$MK3,"Salto")&gt;0,1,0)+IF(COUNTIF($MH3:$MK3,"Queima")&gt;0,1,0)+IF(COUNTIF($MH3:$MK3,"Estilhaço")&gt;0,1,0))*FLOOR($OM3/2,1))</f>
        <v/>
      </c>
      <c r="OO3" s="152">
        <f>MAX(0,2-SUMPRODUCT($NV3:$OA3,$I$2:$N$2)+MIN(2,$OB3*1+$OC3*1,SUMPRODUCT($NV3:$OA3,$I$2:$N$2)))</f>
        <v/>
      </c>
      <c r="OP3" s="152">
        <f>MAX(0,4-SUMPRODUCT($NV3:$OA3,$I$3:$N$3)+MIN(4,$OB3*1+$OC3*2,SUMPRODUCT($NV3:$OA3,$I$3:$N$3)))</f>
        <v/>
      </c>
      <c r="OQ3" s="152">
        <f>MAX(0,6-SUMPRODUCT($NV3:$OA3,$I$4:$N$4)+MIN(6,$OB3*2+$OC3*3,SUMPRODUCT($NV3:$OA3,$I$4:$N$4)))</f>
        <v/>
      </c>
      <c r="OR3" s="152">
        <f>MAX(0,9-SUMPRODUCT($NV3:$OA3,$I$5:$N$5)+MIN(8,$OB3*2+$OC3*4,SUMPRODUCT($NV3:$OA3,$I$5:$N$5)))</f>
        <v/>
      </c>
      <c r="OS3" s="152">
        <f>MAX(0,11-SUMPRODUCT($NV3:$OA3,$I$6:$N$6)+MIN(10,$OB3*3+$OC3*5,SUMPRODUCT($NV3:$OA3,$I$6:$N$6)))</f>
        <v/>
      </c>
      <c r="OT3" s="152">
        <f>MAX(0,13-SUMPRODUCT($NV3:$OA3,$I$7:$N$7)+MIN(12,$OB3*3+$OC3*6,SUMPRODUCT($NV3:$OA3,$I$7:$N$7)))</f>
        <v/>
      </c>
      <c r="OU3" s="152">
        <f>MAX(0,16-SUMPRODUCT($NV3:$OA3,$I$8:$N$8)+MIN(14,$OB3*4+$OC3*7,SUMPRODUCT($NV3:$OA3,$I$8:$N$8)))</f>
        <v/>
      </c>
      <c r="OV3" s="152">
        <f>IF($NP3=2,3*$OO3&amp;" de vida temp.",IF($NP3=3,"sem dano",IF($OO3=0,IF($NP3=1,"sem cura","sem dano"),IF($NP3=1,"cura ","")&amp;$OO3&amp;"d8")))</f>
        <v/>
      </c>
      <c r="OW3" s="152">
        <f>IF($NP3=2,3*$OP3&amp;" de vida temp.",IF($NP3=3,"sem dano",IF($OP3=0,IF($NP3=1,"sem cura","sem dano"),IF($NP3=1,"cura ","")&amp;$OP3&amp;"d8")))</f>
        <v/>
      </c>
      <c r="OX3" s="152">
        <f>IF($NP3=2,3*$OQ3&amp;" de vida temp.",IF($NP3=3,"sem dano",IF($OQ3=0,IF($NP3=1,"sem cura","sem dano"),IF($NP3=1,"cura ","")&amp;$OQ3&amp;"d8")))</f>
        <v/>
      </c>
      <c r="OY3" s="152">
        <f>IF($NP3=2,3*$OR3&amp;" de vida temp.",IF($NP3=3,"sem dano",IF($OR3=0,IF($NP3=1,"sem cura","sem dano"),IF($NP3=1,"cura ","")&amp;$OR3&amp;"d8")))</f>
        <v/>
      </c>
      <c r="OZ3" s="152">
        <f>IF($NP3=2,3*$OS3&amp;" de vida temp.",IF($NP3=3,"sem dano",IF($OS3=0,IF($NP3=1,"sem cura","sem dano"),IF($NP3=1,"cura ","")&amp;$OS3&amp;"d8")))</f>
        <v/>
      </c>
      <c r="PA3" s="152">
        <f>IF($NP3=2,3*$OT3&amp;" de vida temp.",IF($NP3=3,"sem dano",IF($OT3=0,IF($NP3=1,"sem cura","sem dano"),IF($NP3=1,"cura ","")&amp;$OT3&amp;"d8")))</f>
        <v/>
      </c>
      <c r="PB3" s="152">
        <f>IF($NP3=2,3*$OU3&amp;" de vida temp.",IF($NP3=3,"sem dano",IF($OU3=0,IF($NP3=1,"sem cura","sem dano"),IF($NP3=1,"cura ","")&amp;$OU3&amp;"d8")))</f>
        <v/>
      </c>
      <c r="PC3" s="152">
        <f>IF($MN3=0,"",TEXTJOIN(" · ",TRUE,IF($MA3&gt;$MO3,"Este lugar abre no nível "&amp;$MA3,""),IF($MC3&gt;$MP3,"Classe "&amp;$MC3&amp;": o nível "&amp;$MO3&amp;" libera até a "&amp;$MP3,""),IF($NH3=1,"A Forma "&amp;$ME3&amp;" pede "&amp;INDEX($W$2:$W$11,$MT3)&amp;" aberta",""),IF(AND($MC3=0,$MT3&gt;0,IF($MT3=0,0,INDEX($AF$2:$AF$11,$MT3))=0),$ME3&amp;" não existe na Classe 0",""),IF($NI3=1,"Família Fechada: "&amp;$MH3,""),IF($NJ3=1,"Família Fechada: "&amp;$MI3,""),IF($NK3=1,"Família Fechada: "&amp;$MJ3,""),IF($NL3=1,"Família Fechada: "&amp;$MK3,""),IF(AND($MC3&gt;0,$OD3&gt;INDEX($O$2:$O$8,MAX(1,$MC3))),$OD3&amp;" Melhorias: a Classe "&amp;$MC3&amp;" aceita "&amp;INDEX($O$2:$O$8,MAX(1,$MC3)),""),IF(AND($MC3=0,$OD3&gt;1),"A básica aceita uma Melhoria",""),IF(AND($MC3=0,COUNTIF($MY3:$NB3,"&gt;1")&gt;0),"A básica só aceita Melhoria Leve",""),IF(AND($MC3&gt;0,$OE3&gt;2),$OE3&amp;" Restrições"&amp;IF($NO3=1,", contando a que a Forma "&amp;$ME3&amp;" já traz","")&amp;": o limite é 2",""),IF(AND($MC3=0,COUNTIF($ML3:$MM3,"?*")&gt;1),"A básica aceita uma Restrição Leve",""),IF(AND($MC3=0,COUNTIF($NR3:$NS3,2)&gt;0),"A básica só aceita Restrição Leve",""),IF(AND($MC3&gt;0,$OL3&lt;0),"Orçamento estourado: faltam "&amp;(-$OL3)&amp;IF($OL3&lt;-1," pontos"," ponto"),""),IF(IFERROR(VLOOKUP($ML3,$BB$2:$BF$24,4,FALSE),0)+IFERROR(VLOOKUP($MM3,$BB$2:$BF$24,4,FALSE),0)&gt;1,$NT3&amp;" e "&amp;$NU3&amp;" são as duas de frequência",""),IF(AND((COUNTIF($MH3:$MK3,"Rápido")+COUNTIF($NT3:$NU3,"Rápido"))&gt;0,(COUNTIF($MH3:$MK3,"Atrasar")+COUNTIF($NT3:$NU3,"Atrasar"))&gt;0),"Rápido não entra com Atrasar",""),IF(AND((COUNTIF($MH3:$MK3,"Reação")+COUNTIF($NT3:$NU3,"Reação"))&gt;0,(COUNTIF($MH3:$MK3,"Rápido")+COUNTIF($NT3:$NU3,"Rápido"))&gt;0),"Reação não entra com Rápido",""),IF(AND((COUNTIF($MH3:$MK3,"Reação")+COUNTIF($NT3:$NU3,"Reação"))&gt;0,(COUNTIF($MH3:$MK3,"Armado")+COUNTIF($NT3:$NU3,"Armado"))&gt;0),"Reação não entra com Armado",""),IF(AND((COUNTIF($MH3:$MK3,"Reação")+COUNTIF($NT3:$NU3,"Reação"))&gt;0,(COUNTIF($MH3:$MK3,"Atrasar")+COUNTIF($NT3:$NU3,"Atrasar"))&gt;0),"Reação não entra com Atrasar",""),IF(AND((COUNTIF($MH3:$MK3,"Reação")+COUNTIF($NT3:$NU3,"Reação"))&gt;0,(COUNTIF($MH3:$MK3,"Parado")+COUNTIF($NT3:$NU3,"Parado"))&gt;0),"Reação não entra com Parado",""),IF(AND((COUNTIF($MH3:$MK3,"Atrasar")+COUNTIF($NT3:$NU3,"Atrasar"))&gt;0,(COUNTIF($MH3:$MK3,"Parado")+COUNTIF($NT3:$NU3,"Parado"))&gt;0),"Atrasar não entra com Parado",""),IF(AND((COUNTIF($MH3:$MK3,"Armado")+COUNTIF($NT3:$NU3,"Armado"))&gt;0,(COUNTIF($MH3:$MK3,"Carregar")+COUNTIF($NT3:$NU3,"Carregar"))&gt;0),"Armado não entra com Carregar",""),IF(AND(COUNTIF($NT3:$NU3,"Corpo a Corpo")&gt;0,$NO3=0,OR($ME3="Cone",$ME3="Linha")),"Corpo a Corpo não entra em "&amp;$ME3,""),IF(AND(COUNTIF($NT3:$NU3,"Corpo a Corpo")&gt;0,$NO3=1),"A Forma "&amp;$ME3&amp;" já traz o Corpo a Corpo",""),IF(AND(COUNTIF($NT3:$NU3,"Tudo ou Nada")&gt;0,$NQ3=0),"Tudo ou Nada só entra em habilidade de Teste de Resistência",""),IF(AND(COUNTIF($MH3:$MK3,"Inescapável")&gt;0,OR($OD3&gt;1,$OE3&gt;0)),"Inescapável não aceita outra peça",""),IF(AND($MC3&gt;0,$OM3*IF(COUNTIF($MH3:$MK3,"Remate")&gt;0,1.25,1)+$ON3&gt;4*$MC3),($OM3*IF(COUNTIF($MH3:$MK3,"Remate")&gt;0,1.25,1)+$ON3)&amp;" dados somando repetições"&amp;IF(COUNTIF($MH3:$MK3,"Remate")&gt;0," e o Remate","")&amp;": o teto da Classe "&amp;$MC3&amp;" é "&amp;4*$MC3,"")))</f>
        <v/>
      </c>
      <c r="PD3" s="152">
        <f>IF($PC3="",0,(LEN($PC3)-LEN(SUBSTITUTE($PC3," · ","")))/3+1)</f>
        <v/>
      </c>
      <c r="PE3" s="152">
        <f>IF($MN3=0,"",TEXTJOIN(" · ",TRUE,IF($OG3&gt;2*$MC3,"A devolução parou no teto de "&amp;2*$MC3,""),IF($OJ3&gt;0,"Devolução perdida: "&amp;$OJ3&amp;IF($OJ3&gt;1," pontos"," ponto")&amp;" sem peça para pagar",""),IF(AND($NM3&gt;0,AND($MC3&gt;0,$NP3=0),$OM3=0),"Controle sem dano: uma rodada a mais e CD +2",""),IF(AND($NM3&gt;0,AND($MC3&gt;0,$NP3=0),$OM3&gt;0,$OM3&lt;=$MC3),"Controle com saldo até a Classe: uma rodada a mais",""),IF(AND($MC3&gt;0,$NN3&lt;&gt;""),"Efeito de "&amp;$NN3&amp;" pela Classe "&amp;MAX(1,$MC3-1),"")))</f>
        <v/>
      </c>
      <c r="PF3" s="152">
        <f>IF($PE3="",0,(LEN($PE3)-LEN(SUBSTITUTE($PE3," · ","")))/3+1)</f>
        <v/>
      </c>
      <c r="PG3" s="152">
        <f>IF($MN3=0,IF($OD3+COUNTIF($ML3:$MM3,"?*")&gt;0,"Dê um nome",""),IF($PD3&gt;0,"⚠ "&amp;$PD3&amp;IF($PD3&gt;1," erros"," erro"),IF($PF3&gt;0,"! "&amp;$PF3&amp;IF($PF3&gt;1," avisos"," aviso"),"Na regra")))</f>
        <v/>
      </c>
      <c r="PH3" s="152">
        <f>IF($MN3=0,"",IF($PD3+$PF3=0,"Dentro das regras que a ficha confere",$PC3&amp;IF(AND($PD3&gt;0,$PF3&gt;0)," · ","")&amp;$PE3))</f>
        <v/>
      </c>
      <c r="PI3" s="152">
        <f>IF($MA3&gt;$MO3,$MB3&amp;" · ABRE NO NÍVEL "&amp;$MA3,$MB3)</f>
        <v/>
      </c>
      <c r="PJ3" s="152">
        <f>IF($MN3=0,"",IF($MC3=0,"Sem PE",3*$MC3&amp;" PE"))</f>
        <v/>
      </c>
      <c r="PK3" s="152">
        <f>IF($MN3=0,"",IF($MC3=0,"A atuação básica dela",IF(COUNTIF($NT3:$NU3,"Atrasar")&gt;0,"Sua Ação Completa",IF(COUNTIF($MH3:$MK3,"Rápido")&gt;0,"Sua Bônus",IF(COUNTIF($MH3:$MK3,"Reação")&gt;0,"Sua Reação","Sua Padrão")))&amp;" + a básica dela"&amp;IF(COUNTIF($MH3:$MK3,"Reação")&gt;0," e a coletiva","")&amp;IF(COUNTIF($NT3:$NU3,"Carregar")&gt;0," · em dois turnos","")))</f>
        <v/>
      </c>
      <c r="PL3" s="152">
        <f>IF($MG3&lt;&gt;"",$MG3,IF($MT3=0,"",INDEX($AA$2:$AA$11,$MT3)))</f>
        <v/>
      </c>
      <c r="PM3" s="152">
        <f>IF(OR($MN3=0,$MT3=0),"",IF(COUNTIF($MH3:$MK3,"Inescapável")&gt;0,"Automático",IF($PL3="Ataque",IF($MR3="","Ataque","Ataque "&amp;IF(($MR3+2*IF(COUNTIF($MH3:$MK3,"Precisão")&gt;0,1,0))&gt;=0,"+","−")&amp;ABS(($MR3+2*IF(COUNTIF($MH3:$MK3,"Precisão")&gt;0,1,0)))),IF(LEFT($PL3,2)="TR",$PL3&amp;IF($MS3="",""," · CD "&amp;$MS3)&amp;IF(COUNTIF($MH3:$MK3,"Certeiro")&gt;0," · metade",""),"Sem rolagem"))))</f>
        <v/>
      </c>
      <c r="PN3" s="152">
        <f>IF(OR($MN3=0,$MT3=0),"",IF($MC3=0,IF(OR($NP3&gt;=1,$OM3=0),"Sem dano",$OM3&amp;"d6"&amp;IF($MF3="",""," "&amp;$MF3)),IF(OR($NP3&gt;=1,$OM3=0),UPPER(LEFT(INDEX($OV3:$PB3,1,MAX(1,$MC3)),1))&amp;MID(INDEX($OV3:$PB3,1,MAX(1,$MC3)),2,99),UPPER(LEFT(INDEX($OV3:$PB3,1,MAX(1,$MC3)),1))&amp;MID(INDEX($OV3:$PB3,1,MAX(1,$MC3)),2,99)&amp;IF($MF3="",""," "&amp;$MF3)&amp;IF($ON3&gt;0," · +"&amp;$ON3&amp;"d8",""))))</f>
        <v/>
      </c>
      <c r="PO3" s="152">
        <f>COUNTIF($MH3:$MK3,"Longe")+3*COUNTIF($MH3:$MK3,"Muito Longe")</f>
        <v/>
      </c>
      <c r="PP3" s="152">
        <f>COUNTIF($MH3:$MK3,"Maior")+3*COUNTIF($MH3:$MK3,"Muito Maior")</f>
        <v/>
      </c>
      <c r="PQ3" s="152">
        <f>IF($MT3=0,0,CHOOSE(1+INDEX($AC$2:$AC$11,$MT3),0,$PO3,$PP3,$PO3+$PP3))</f>
        <v/>
      </c>
      <c r="PR3" s="152">
        <f>IF($MT3=0,0,CHOOSE(1+INDEX($AD$2:$AD$11,$MT3),0,$PO3,$PP3,$PO3+$PP3))</f>
        <v/>
      </c>
      <c r="PS3" s="152">
        <f>IF(OR($MN3=0,$MT3=0),"",INDEX($AI$2:$AN$41,($MT3-1)*4+IF($MC3=0,1,IF($MC3&lt;=5,2,IF($MC3=6,3,4))),1+MIN(5,$PQ3))&amp;INDEX($AO$2:$AT$41,($MT3-1)*4+IF($MC3=0,1,IF($MC3&lt;=5,2,IF($MC3=6,3,4))),1+MIN(5,$PR3))&amp;IF(INDEX($AE$2:$AE$11,$MT3)=1,IF(COUNTIF($MH3:$MK3,"Mais Um")&gt;0," · +"&amp;COUNTIF($MH3:$MK3,"Mais Um")&amp;IF(COUNTIF($MH3:$MK3,"Mais Um")&gt;1," alvos"," alvo"),"")&amp;IF(COUNTIF($MH3:$MK3,"Rajada")&gt;0,IF($MC3=0," · 1 tiro"," · "&amp;(MAX(1,$MC3-1)+1)&amp;" tiros"),""),""))</f>
        <v/>
      </c>
      <c r="PT3" s="152">
        <f>IF($MN3=0,"",IF($MC3=0,$MQ3&amp;"d6"&amp;IF($OD3&gt;0," − 1 = "&amp;$OM3&amp;"d6"," da básica do nível "&amp;$MO3),$OK3&amp;" − "&amp;$OF3&amp;" + "&amp;$OI3&amp;" = "&amp;$OL3&amp;" · teto "&amp;4*$MC3&amp;"d8"&amp;IF($NO3=1," · a Forma devolve "&amp;$MC3,"")&amp;IF($OJ3&gt;0," · perde "&amp;$OJ3,"")))</f>
        <v/>
      </c>
      <c r="PU3" s="152">
        <f>IF($MN3=0,"",IF($MC3=0,"A básica não amplia: os dados dela sobem com o nível",IF($MC3&gt;=$MP3,"Já está na maior Classe que o nível liberou",TEXTJOIN(" · ",TRUE,IF(AND(2&gt;$MC3,2&lt;=$MP3),"2 → "&amp;$OW3&amp;", 6 PE",""),IF(AND(3&gt;$MC3,3&lt;=$MP3),"3 → "&amp;$OX3&amp;", 9 PE",""),IF(AND(4&gt;$MC3,4&lt;=$MP3),"4 → "&amp;$OY3&amp;", 12 PE",""),IF(AND(5&gt;$MC3,5&lt;=$MP3),"5 → "&amp;$OZ3&amp;", 15 PE",""),IF(AND(6&gt;$MC3,6&lt;=$MP3),"6 → "&amp;$PA3&amp;", 18 PE",""),IF(AND(7&gt;$MC3,7&lt;=$MP3),"7 → "&amp;$PB3&amp;", 21 PE","")))))</f>
        <v/>
      </c>
      <c r="PV3" s="152">
        <f>IF(OR($MN3=0,$MY3=0),"",IF($MC3=0,"−1 dado","−"&amp;INDEX($I$2:$N$8,MAX(1,$MC3),MAX(1,$ND3))&amp;" · "&amp;CHOOSE(MAX(1,$ND3),"Leve","Média","Pesada","Leve · Livre","Média · Livre","Pesada · Livre")))</f>
        <v/>
      </c>
      <c r="PW3" s="152">
        <f>IF(OR($MN3=0,$MZ3=0),"",IF($MC3=0,"−1 dado","−"&amp;INDEX($I$2:$N$8,MAX(1,$MC3),MAX(1,$NE3))&amp;" · "&amp;CHOOSE(MAX(1,$NE3),"Leve","Média","Pesada","Leve · Livre","Média · Livre","Pesada · Livre")))</f>
        <v/>
      </c>
      <c r="PX3" s="152">
        <f>IF(OR($MN3=0,$NA3=0),"",IF($MC3=0,"−1 dado","−"&amp;INDEX($I$2:$N$8,MAX(1,$MC3),MAX(1,$NF3))&amp;" · "&amp;CHOOSE(MAX(1,$NF3),"Leve","Média","Pesada","Leve · Livre","Média · Livre","Pesada · Livre")))</f>
        <v/>
      </c>
      <c r="PY3" s="152">
        <f>IF(OR($MN3=0,$NB3=0),"",IF($MC3=0,"−1 dado","−"&amp;INDEX($I$2:$N$8,MAX(1,$MC3),MAX(1,$NG3))&amp;" · "&amp;CHOOSE(MAX(1,$NG3),"Leve","Média","Pesada","Leve · Livre","Média · Livre","Pesada · Livre")))</f>
        <v/>
      </c>
      <c r="PZ3" s="152">
        <f>IF(OR($MN3=0,$ML3=""),"",IF($MC3=0,"não devolve","+"&amp;IF($NR3=1,CEILING($MC3/2,1),$MC3)))</f>
        <v/>
      </c>
      <c r="QA3" s="152">
        <f>IF(OR($MN3=0,$MM3=""),"",IF($MC3=0,"não devolve","+"&amp;IF($NS3=1,CEILING($MC3/2,1),$MC3)))</f>
        <v/>
      </c>
      <c r="QC3" s="150" t="inlineStr">
        <is>
          <t>F13</t>
        </is>
      </c>
      <c r="QD3" s="152">
        <f>IF(OR(DADOS_INVOC!$CW$4="",LEFT(DADOS_INVOC!$CW$4,7)="Escolha"),"—",DADOS_INVOC!$CW$4)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B4" s="150" t="inlineStr">
        <is>
          <t>Parado</t>
        </is>
      </c>
      <c r="BC4" s="150" t="inlineStr">
        <is>
          <t>Parado</t>
        </is>
      </c>
      <c r="BD4" s="152" t="n">
        <v>1</v>
      </c>
      <c r="BE4" s="152" t="n">
        <v>0</v>
      </c>
      <c r="BF4" s="150" t="inlineStr">
        <is>
          <t>Parado</t>
        </is>
      </c>
      <c r="BH4" s="150" t="inlineStr">
        <is>
          <t>Raiz</t>
        </is>
      </c>
      <c r="BI4" s="152" t="n">
        <v>1</v>
      </c>
      <c r="BJ4" s="150" t="inlineStr">
        <is>
          <t>Você não é movido à força nem fica Derrubado contra a sua vontade. Pode aceitar um deslocamento ou se deitar por escolha própria. O Talento não impede o dano de um efeito que também empurre ou derrube.</t>
        </is>
      </c>
      <c r="BK4" s="150" t="inlineStr">
        <is>
          <t>Raiz</t>
        </is>
      </c>
      <c r="BM4" s="150" t="inlineStr">
        <is>
          <t>Shikigami de criação</t>
        </is>
      </c>
      <c r="BO4" s="150" t="inlineStr">
        <is>
          <t>Maldição domada</t>
        </is>
      </c>
      <c r="BP4" s="152" t="n">
        <v>0</v>
      </c>
      <c r="BR4" s="150" t="inlineStr">
        <is>
          <t>Mira</t>
        </is>
      </c>
      <c r="BT4" s="150" t="inlineStr">
        <is>
          <t>Constituição</t>
        </is>
      </c>
      <c r="BV4" s="150" t="inlineStr">
        <is>
          <t>Intelecto</t>
        </is>
      </c>
      <c r="BZ4" s="150" t="inlineStr">
        <is>
          <t>Furtividade</t>
        </is>
      </c>
      <c r="CA4" s="150" t="inlineStr">
        <is>
          <t>Destreza</t>
        </is>
      </c>
      <c r="CE4" s="150" t="inlineStr">
        <is>
          <t>Concussão</t>
        </is>
      </c>
      <c r="CG4" s="150" t="inlineStr">
        <is>
          <t>TR Vigor</t>
        </is>
      </c>
      <c r="CI4" s="152" t="n">
        <v>2</v>
      </c>
      <c r="CK4" s="152" t="n">
        <v>26</v>
      </c>
      <c r="CL4" s="150" t="inlineStr">
        <is>
          <t>26d8</t>
        </is>
      </c>
      <c r="CM4" s="152" t="n">
        <v>16</v>
      </c>
      <c r="CN4" s="152" t="n">
        <v>35</v>
      </c>
      <c r="CP4" s="150" t="inlineStr">
        <is>
          <t>Sem Barreiras</t>
        </is>
      </c>
      <c r="CQ4" s="150" t="inlineStr">
        <is>
          <t>Mais 2 espaços; total 5.</t>
        </is>
      </c>
      <c r="CR4" s="150" t="inlineStr">
        <is>
          <t>Completa, seu refino 10 e sua especialização em Ocultismo.</t>
        </is>
      </c>
      <c r="CV4" s="150" t="inlineStr">
        <is>
          <t>trilha</t>
        </is>
      </c>
      <c r="CW4" s="152">
        <f>FICHA!$N$11&amp;""</f>
        <v/>
      </c>
      <c r="CY4" s="152" t="n">
        <v>3</v>
      </c>
      <c r="CZ4" s="152">
        <f>'INVOCAÇÕES'!$I$409&amp;""</f>
        <v/>
      </c>
      <c r="DA4" s="152">
        <f>'INVOCAÇÕES'!$I$439&amp;""</f>
        <v/>
      </c>
      <c r="DB4" s="152">
        <f>'INVOCAÇÕES'!$I$443&amp;""</f>
        <v/>
      </c>
      <c r="DC4" s="152">
        <f>N('INVOCAÇÕES'!$K$443)</f>
        <v/>
      </c>
      <c r="DD4" s="152">
        <f>'INVOCAÇÕES'!$L$443&amp;""</f>
        <v/>
      </c>
      <c r="DE4" s="152">
        <f>N('INVOCAÇÕES'!$O$416)</f>
        <v/>
      </c>
      <c r="DF4" s="152">
        <f>N('INVOCAÇÕES'!$P$416)</f>
        <v/>
      </c>
      <c r="DG4" s="152">
        <f>N('INVOCAÇÕES'!$Q$416)</f>
        <v/>
      </c>
      <c r="DH4" s="152">
        <f>N('INVOCAÇÕES'!$R$416)</f>
        <v/>
      </c>
      <c r="DI4" s="152">
        <f>N('INVOCAÇÕES'!$S$416)</f>
        <v/>
      </c>
      <c r="DJ4" s="152">
        <f>N('INVOCAÇÕES'!$O$417)</f>
        <v/>
      </c>
      <c r="DK4" s="152">
        <f>N('INVOCAÇÕES'!$P$417)</f>
        <v/>
      </c>
      <c r="DL4" s="152">
        <f>N('INVOCAÇÕES'!$Q$417)</f>
        <v/>
      </c>
      <c r="DM4" s="152">
        <f>N('INVOCAÇÕES'!$R$417)</f>
        <v/>
      </c>
      <c r="DN4" s="152">
        <f>N('INVOCAÇÕES'!$S$417)</f>
        <v/>
      </c>
      <c r="DO4" s="152">
        <f>'INVOCAÇÕES'!$O$430&amp;""</f>
        <v/>
      </c>
      <c r="DP4" s="152">
        <f>'INVOCAÇÕES'!$Q$430&amp;""</f>
        <v/>
      </c>
      <c r="DQ4" s="152">
        <f>'INVOCAÇÕES'!$S$430&amp;""</f>
        <v/>
      </c>
      <c r="DR4" s="152">
        <f>N('INVOCAÇÕES'!$O$422)</f>
        <v/>
      </c>
      <c r="DS4" s="152">
        <f>N('INVOCAÇÕES'!$P$422)</f>
        <v/>
      </c>
      <c r="DT4" s="152">
        <f>N('INVOCAÇÕES'!$Q$422)</f>
        <v/>
      </c>
      <c r="DU4" s="152">
        <f>N('INVOCAÇÕES'!$R$422)</f>
        <v/>
      </c>
      <c r="DV4" s="152">
        <f>N('INVOCAÇÕES'!$S$422)</f>
        <v/>
      </c>
      <c r="DW4" s="152">
        <f>N('INVOCAÇÕES'!$O$427)</f>
        <v/>
      </c>
      <c r="DX4" s="152">
        <f>N('INVOCAÇÕES'!$P$427)</f>
        <v/>
      </c>
      <c r="DY4" s="152">
        <f>N('INVOCAÇÕES'!$Q$427)</f>
        <v/>
      </c>
      <c r="DZ4" s="152">
        <f>N('INVOCAÇÕES'!$R$427)</f>
        <v/>
      </c>
      <c r="EA4" s="152">
        <f>'INVOCAÇÕES'!$U$409&amp;""</f>
        <v/>
      </c>
      <c r="EB4" s="152">
        <f>N('INVOCAÇÕES'!$W$409)</f>
        <v/>
      </c>
      <c r="EC4" s="152">
        <f>'INVOCAÇÕES'!$Y$409&amp;""</f>
        <v/>
      </c>
      <c r="ED4" s="152">
        <f>'INVOCAÇÕES'!$O$444&amp;""</f>
        <v/>
      </c>
      <c r="EE4" s="152">
        <f>'INVOCAÇÕES'!$P$444&amp;""</f>
        <v/>
      </c>
      <c r="EF4" s="152">
        <f>'INVOCAÇÕES'!$Q$444&amp;""</f>
        <v/>
      </c>
      <c r="EG4" s="152">
        <f>'INVOCAÇÕES'!$R$444&amp;""</f>
        <v/>
      </c>
      <c r="EH4" s="152">
        <f>'INVOCAÇÕES'!$S$444&amp;""</f>
        <v/>
      </c>
      <c r="EI4" s="152">
        <f>'INVOCAÇÕES'!$O$434&amp;""</f>
        <v/>
      </c>
      <c r="EJ4" s="152">
        <f>'INVOCAÇÕES'!$O$435&amp;""</f>
        <v/>
      </c>
      <c r="EK4" s="152">
        <f>'INVOCAÇÕES'!$O$436&amp;""</f>
        <v/>
      </c>
      <c r="EL4" s="152">
        <f>'INVOCAÇÕES'!$O$437&amp;""</f>
        <v/>
      </c>
      <c r="EM4" s="152">
        <f>'INVOCAÇÕES'!$O$438&amp;""</f>
        <v/>
      </c>
      <c r="EN4" s="152">
        <f>'INVOCAÇÕES'!$O$439&amp;""</f>
        <v/>
      </c>
      <c r="EO4" s="152">
        <f>'INVOCAÇÕES'!$O$440&amp;""</f>
        <v/>
      </c>
      <c r="EP4" s="152">
        <f>'INVOCAÇÕES'!$J$476&amp;""</f>
        <v/>
      </c>
      <c r="EQ4" s="152">
        <f>'INVOCAÇÕES'!$J$477&amp;""</f>
        <v/>
      </c>
      <c r="ER4" s="152">
        <f>'INVOCAÇÕES'!$J$478&amp;""</f>
        <v/>
      </c>
      <c r="ES4" s="152">
        <f>'INVOCAÇÕES'!$J$479&amp;""</f>
        <v/>
      </c>
      <c r="ET4" s="152">
        <f>'INVOCAÇÕES'!$J$480&amp;""</f>
        <v/>
      </c>
      <c r="EU4" s="152">
        <f>'INVOCAÇÕES'!$J$481&amp;""</f>
        <v/>
      </c>
      <c r="EV4" s="152">
        <f>'INVOCAÇÕES'!$J$482&amp;""</f>
        <v/>
      </c>
      <c r="EW4" s="152">
        <f>'INVOCAÇÕES'!$J$483&amp;""</f>
        <v/>
      </c>
      <c r="EX4" s="152">
        <f>'INVOCAÇÕES'!$J$578&amp;""</f>
        <v/>
      </c>
      <c r="EY4" s="152">
        <f>'INVOCAÇÕES'!$J$579&amp;""</f>
        <v/>
      </c>
      <c r="EZ4" s="152">
        <f>'INVOCAÇÕES'!$J$580&amp;""</f>
        <v/>
      </c>
      <c r="FA4" s="152">
        <f>MAX(3,MIN(7,N('INVOCAÇÕES'!$I$585)))</f>
        <v/>
      </c>
      <c r="FB4" s="152">
        <f>MAX(3,MIN(7,N('INVOCAÇÕES'!$O$585)))</f>
        <v/>
      </c>
      <c r="FC4" s="152">
        <f>MAX(3,MIN(7,N('INVOCAÇÕES'!$U$585)))</f>
        <v/>
      </c>
      <c r="FD4" s="152">
        <f>'INVOCAÇÕES'!$O$599&amp;""</f>
        <v/>
      </c>
      <c r="FE4" s="152">
        <f>IF($CZ4&lt;&gt;"",1,0)</f>
        <v/>
      </c>
      <c r="FF4" s="152">
        <f>IFERROR(VLOOKUP($DB4,$BO$2:$BP$5,2,FALSE),1)</f>
        <v/>
      </c>
      <c r="FG4" s="152">
        <f>IF($FF4=1,$CW$2,MAX(1,MIN($CW$2,IF($DC4=0,$CW$2,$DC4))))</f>
        <v/>
      </c>
      <c r="FH4" s="152">
        <f>VLOOKUP(MAX(1,$FG4),$A$2:$D$8,2,TRUE)</f>
        <v/>
      </c>
      <c r="FI4" s="152">
        <f>VLOOKUP(MAX(1,$FG4),$A$2:$D$8,3,TRUE)</f>
        <v/>
      </c>
      <c r="FJ4" s="152">
        <f>$DE4+$DJ4</f>
        <v/>
      </c>
      <c r="FK4" s="152">
        <f>$DF4+$DK4</f>
        <v/>
      </c>
      <c r="FL4" s="152">
        <f>$DG4+$DL4</f>
        <v/>
      </c>
      <c r="FM4" s="152">
        <f>$DH4+$DM4</f>
        <v/>
      </c>
      <c r="FN4" s="152">
        <f>$DI4+$DN4</f>
        <v/>
      </c>
      <c r="FO4" s="152">
        <f>SUM($DE4:$DI4)</f>
        <v/>
      </c>
      <c r="FP4" s="152">
        <f>9+$FQ4</f>
        <v/>
      </c>
      <c r="FQ4" s="152">
        <f>COUNTIF($F$2:$F$8,"&lt;="&amp;$FG4)</f>
        <v/>
      </c>
      <c r="FR4" s="152">
        <f>MAX(0,$DE4-3)+MAX(0,$DF4-3)+MAX(0,$DG4-3)+MAX(0,$DH4-3)+MAX(0,$DI4-3)</f>
        <v/>
      </c>
      <c r="FS4" s="152">
        <f>IFERROR(INDEX($FJ4:$FN4,1,MATCH($DO4,$BT$2:$BT$6,0)),"")</f>
        <v/>
      </c>
      <c r="FT4" s="152">
        <f>IF($FS4="","",$FS4+$CW$3+$DR4)</f>
        <v/>
      </c>
      <c r="FU4" s="152">
        <f>IF($FS4="","",8+$FS4+$CW$3+$DS4)</f>
        <v/>
      </c>
      <c r="FV4" s="152">
        <f>10+$FK4+$CW$7+$DT4</f>
        <v/>
      </c>
      <c r="FW4" s="152">
        <f>IF($DA4="Corpo amaldiçoado de criação",1,0)</f>
        <v/>
      </c>
      <c r="FX4" s="152">
        <f>5+$FL4+(3+$FW4+$FL4)*($FG4-1)+$DU4</f>
        <v/>
      </c>
      <c r="FY4" s="152">
        <f>IF($EA4="",$FX4,MAX(0,MIN(IFERROR(VALUE($EA4),$FX4),$FX4)))</f>
        <v/>
      </c>
      <c r="FZ4" s="152">
        <f>9+$DV4</f>
        <v/>
      </c>
      <c r="GA4" s="152">
        <f>IF($DP4="Destreza",$FK4,$FJ4)</f>
        <v/>
      </c>
      <c r="GB4" s="152">
        <f>$GA4+IF($DQ4="Físico",$CW$3,0)+$DW4</f>
        <v/>
      </c>
      <c r="GC4" s="152">
        <f>$FL4+IF($DQ4="Vigor",$CW$3,0)+$DX4</f>
        <v/>
      </c>
      <c r="GD4" s="152">
        <f>$FM4+IF($DQ4="Intelecto",$CW$3,0)+$DY4</f>
        <v/>
      </c>
      <c r="GE4" s="152">
        <f>$FN4+IF($DQ4="Espírito",$CW$3,0)+$DZ4</f>
        <v/>
      </c>
      <c r="GF4" s="152">
        <f>4+INT($DH4/2)</f>
        <v/>
      </c>
      <c r="GG4" s="152">
        <f>COUNTIF($EI4:$EO4,"?*")</f>
        <v/>
      </c>
      <c r="GH4" s="152">
        <f>INT((2+$FG4/2)/2)</f>
        <v/>
      </c>
      <c r="GI4" s="152">
        <f>IF($FG4&gt;=11,2,1)</f>
        <v/>
      </c>
      <c r="GJ4" s="152">
        <f>1+$FQ4</f>
        <v/>
      </c>
      <c r="GK4" s="152">
        <f>COUNTIF($EP4:$EW4,"?*")</f>
        <v/>
      </c>
      <c r="GL4" s="152">
        <f>IF(AND($DA4="Shikigami de criação",$DD4="Com carga"),MAX(1,CEILING($FH4/2,1)),$FH4)</f>
        <v/>
      </c>
      <c r="GM4" s="152">
        <f>$FH4+$GL4</f>
        <v/>
      </c>
      <c r="GN4" s="152">
        <f>$FG4*(1+INT($DI4/3))</f>
        <v/>
      </c>
      <c r="GO4" s="152">
        <f>5+$FJ4</f>
        <v/>
      </c>
      <c r="GP4" s="152">
        <f>COUNTIF($ED4:$EH4,"?*")</f>
        <v/>
      </c>
      <c r="GQ4" s="152">
        <f>IF($ED4="",0,IF(COUNTIF($ED4:$EH4,$ED4)&gt;1,1,0))+IF($EE4="",0,IF(COUNTIF($ED4:$EH4,$EE4)&gt;1,1,0))+IF($EF4="",0,IF(COUNTIF($ED4:$EH4,$EF4)&gt;1,1,0))+IF($EG4="",0,IF(COUNTIF($ED4:$EH4,$EG4)&gt;1,1,0))+IF($EH4="",0,IF(COUNTIF($ED4:$EH4,$EH4)&gt;1,1,0))</f>
        <v/>
      </c>
      <c r="GR4" s="152">
        <f>$CW$11</f>
        <v/>
      </c>
      <c r="GS4" s="152">
        <f>IF($FE4=0,"INVOCAÇÃO 3 · lugar vazio",$CZ4&amp;" · "&amp;$DA4&amp;" · nível "&amp;$FG4&amp;" · vida "&amp;$FY4&amp;" de "&amp;$FX4)</f>
        <v/>
      </c>
      <c r="GT4" s="152">
        <f>IF($FE4=0,"VAZIA",UPPER($CZ4))</f>
        <v/>
      </c>
      <c r="GU4" s="152">
        <f>IF($CW$3&gt;=0,"+","−")&amp;ABS($CW$3)</f>
        <v/>
      </c>
      <c r="GV4" s="152">
        <f>$GL4&amp;" PE"</f>
        <v/>
      </c>
      <c r="GW4" s="152">
        <f>$GM4&amp;" PE"</f>
        <v/>
      </c>
      <c r="GX4" s="152">
        <f>IF(OR($FO4&gt;$FP4,$FR4&gt;$FQ4),"⚠ ",IF(AND($FE4=1,$FO4&lt;$FP4),"! ",""))&amp;"ATRIBUTOS · "&amp;$FO4&amp;" DE "&amp;$FP4&amp;" PONTOS"&amp;IF($FR4&gt;$FQ4," · ACIMA DE 3 SÓ COM MARCO","")</f>
        <v/>
      </c>
      <c r="GY4" s="152">
        <f>IF($FT4="","",IF($FT4&gt;=0,"+","−")&amp;ABS($FT4))</f>
        <v/>
      </c>
      <c r="GZ4" s="152">
        <f>IF($FU4="","",$FU4)</f>
        <v/>
      </c>
      <c r="HA4" s="152">
        <f>SUBSTITUTE($FZ4&amp;" m",".",",")</f>
        <v/>
      </c>
      <c r="HB4" s="152">
        <f>IF($GB4&gt;=0,"+","−")&amp;ABS($GB4)</f>
        <v/>
      </c>
      <c r="HC4" s="152">
        <f>IF($GC4&gt;=0,"+","−")&amp;ABS($GC4)</f>
        <v/>
      </c>
      <c r="HD4" s="152">
        <f>IF($GD4&gt;=0,"+","−")&amp;ABS($GD4)</f>
        <v/>
      </c>
      <c r="HE4" s="152">
        <f>IF($GE4&gt;=0,"+","−")&amp;ABS($GE4)</f>
        <v/>
      </c>
      <c r="HF4" s="152">
        <f>IF($GG4&gt;$GF4,"⚠ ","")&amp;"PERÍCIAS · "&amp;$GG4&amp;" DE "&amp;$GF4</f>
        <v/>
      </c>
      <c r="HG4" s="152">
        <f>IF($EI4="","",IFERROR(IF((INDEX($FJ4:$FN4,1,MATCH(VLOOKUP($EI4,$BZ$2:$CA$24,2,FALSE),$BT$2:$BT$6,0))+$CW$3)&gt;=0,"+","−")&amp;ABS((INDEX($FJ4:$FN4,1,MATCH(VLOOKUP($EI4,$BZ$2:$CA$24,2,FALSE),$BT$2:$BT$6,0))+$CW$3)),""))</f>
        <v/>
      </c>
      <c r="HH4" s="152">
        <f>IF($EJ4="","",IFERROR(IF((INDEX($FJ4:$FN4,1,MATCH(VLOOKUP($EJ4,$BZ$2:$CA$24,2,FALSE),$BT$2:$BT$6,0))+$CW$3)&gt;=0,"+","−")&amp;ABS((INDEX($FJ4:$FN4,1,MATCH(VLOOKUP($EJ4,$BZ$2:$CA$24,2,FALSE),$BT$2:$BT$6,0))+$CW$3)),""))</f>
        <v/>
      </c>
      <c r="HI4" s="152">
        <f>IF($EK4="","",IFERROR(IF((INDEX($FJ4:$FN4,1,MATCH(VLOOKUP($EK4,$BZ$2:$CA$24,2,FALSE),$BT$2:$BT$6,0))+$CW$3)&gt;=0,"+","−")&amp;ABS((INDEX($FJ4:$FN4,1,MATCH(VLOOKUP($EK4,$BZ$2:$CA$24,2,FALSE),$BT$2:$BT$6,0))+$CW$3)),""))</f>
        <v/>
      </c>
      <c r="HJ4" s="152">
        <f>IF($EL4="","",IFERROR(IF((INDEX($FJ4:$FN4,1,MATCH(VLOOKUP($EL4,$BZ$2:$CA$24,2,FALSE),$BT$2:$BT$6,0))+$CW$3)&gt;=0,"+","−")&amp;ABS((INDEX($FJ4:$FN4,1,MATCH(VLOOKUP($EL4,$BZ$2:$CA$24,2,FALSE),$BT$2:$BT$6,0))+$CW$3)),""))</f>
        <v/>
      </c>
      <c r="HK4" s="152">
        <f>IF($EM4="","",IFERROR(IF((INDEX($FJ4:$FN4,1,MATCH(VLOOKUP($EM4,$BZ$2:$CA$24,2,FALSE),$BT$2:$BT$6,0))+$CW$3)&gt;=0,"+","−")&amp;ABS((INDEX($FJ4:$FN4,1,MATCH(VLOOKUP($EM4,$BZ$2:$CA$24,2,FALSE),$BT$2:$BT$6,0))+$CW$3)),""))</f>
        <v/>
      </c>
      <c r="HL4" s="152">
        <f>IF($EN4="","",IFERROR(IF((INDEX($FJ4:$FN4,1,MATCH(VLOOKUP($EN4,$BZ$2:$CA$24,2,FALSE),$BT$2:$BT$6,0))+$CW$3)&gt;=0,"+","−")&amp;ABS((INDEX($FJ4:$FN4,1,MATCH(VLOOKUP($EN4,$BZ$2:$CA$24,2,FALSE),$BT$2:$BT$6,0))+$CW$3)),""))</f>
        <v/>
      </c>
      <c r="HM4" s="152">
        <f>IF($EO4="","",IFERROR(IF((INDEX($FJ4:$FN4,1,MATCH(VLOOKUP($EO4,$BZ$2:$CA$24,2,FALSE),$BT$2:$BT$6,0))+$CW$3)&gt;=0,"+","−")&amp;ABS((INDEX($FJ4:$FN4,1,MATCH(VLOOKUP($EO4,$BZ$2:$CA$24,2,FALSE),$BT$2:$BT$6,0))+$CW$3)),""))</f>
        <v/>
      </c>
      <c r="HN4" s="152">
        <f>IF($DA4="Maldição domada","RESERVA · MÁX. "&amp;$GN4,"RESERVA DE PE")</f>
        <v/>
      </c>
      <c r="HO4" s="152">
        <f>"EQUIPAMENTO · CARGA ATÉ "&amp;$GO4&amp;" DE VOLUME"</f>
        <v/>
      </c>
      <c r="HP4" s="152">
        <f>IF(OR($GQ4&gt;0,$GP4&gt;$GR4),"⚠ ","")&amp;"FAMÍLIAS · "&amp;$GP4&amp;" ABERTAS"&amp;IF($GQ4&gt;0," · REPETIDA","")&amp;IF($GP4&gt;$GR4," · O LIMITE É "&amp;$GR4,"")</f>
        <v/>
      </c>
      <c r="HQ4" s="152">
        <f>"HABILIDADES · básica de "&amp;$FI4&amp;"d6 · "&amp;$GH4&amp;IF($GH4&gt;1," espaços"," espaço")&amp;" de especial até a Classe "&amp;$FH4&amp;" · "&amp;$GJ4&amp;IF($GJ4&gt;1," talentos"," talento")</f>
        <v/>
      </c>
      <c r="HR4" s="152">
        <f>IF($GK4&gt;$GJ4,"⚠ ","")&amp;"TALENTOS · "&amp;$GK4&amp;" DE "&amp;$GJ4</f>
        <v/>
      </c>
      <c r="HS4" s="152">
        <f>IFERROR(VLOOKUP($EP4,$BH$2:$BK$15,2,FALSE),0)</f>
        <v/>
      </c>
      <c r="HT4" s="152">
        <f>IFERROR(VLOOKUP($EQ4,$BH$2:$BK$15,2,FALSE),0)</f>
        <v/>
      </c>
      <c r="HU4" s="152">
        <f>IFERROR(VLOOKUP($ER4,$BH$2:$BK$15,2,FALSE),0)</f>
        <v/>
      </c>
      <c r="HV4" s="152">
        <f>IFERROR(VLOOKUP($ES4,$BH$2:$BK$15,2,FALSE),0)</f>
        <v/>
      </c>
      <c r="HW4" s="152">
        <f>IFERROR(VLOOKUP($ET4,$BH$2:$BK$15,2,FALSE),0)</f>
        <v/>
      </c>
      <c r="HX4" s="152">
        <f>IFERROR(VLOOKUP($EU4,$BH$2:$BK$15,2,FALSE),0)</f>
        <v/>
      </c>
      <c r="HY4" s="152">
        <f>IFERROR(VLOOKUP($EV4,$BH$2:$BK$15,2,FALSE),0)</f>
        <v/>
      </c>
      <c r="HZ4" s="152">
        <f>IFERROR(VLOOKUP($EW4,$BH$2:$BK$15,2,FALSE),0)</f>
        <v/>
      </c>
      <c r="IA4" s="152">
        <f>IF($EP4="","",IF(1&gt;$FG4,"⚠ Este talento abre no nível 1",IF($HS4&gt;1,"⚠ Categoria "&amp;$HS4&amp;": este ganho vai até a 1 · ","")&amp;IFERROR(VLOOKUP($EP4,$BH$2:$BK$15,3,FALSE),"")))</f>
        <v/>
      </c>
      <c r="IB4" s="152">
        <f>IF($EQ4="","",IF(6&gt;$FG4,"⚠ Este talento abre no nível 6",IF($HT4&gt;1,"⚠ Categoria "&amp;$HT4&amp;": este ganho vai até a 1 · ","")&amp;IFERROR(VLOOKUP($EQ4,$BH$2:$BK$15,3,FALSE),"")))</f>
        <v/>
      </c>
      <c r="IC4" s="152">
        <f>IF($ER4="","",IF(10&gt;$FG4,"⚠ Este talento abre no nível 10",IF($HU4&gt;2,"⚠ Categoria "&amp;$HU4&amp;": este ganho vai até a 2 · ","")&amp;IFERROR(VLOOKUP($ER4,$BH$2:$BK$15,3,FALSE),"")))</f>
        <v/>
      </c>
      <c r="ID4" s="152">
        <f>IF($ES4="","",IF(14&gt;$FG4,"⚠ Este talento abre no nível 14",IF($HV4&gt;3,"⚠ Categoria "&amp;$HV4&amp;": este ganho vai até a 3 · ","")&amp;IFERROR(VLOOKUP($ES4,$BH$2:$BK$15,3,FALSE),"")))</f>
        <v/>
      </c>
      <c r="IE4" s="152">
        <f>IF($ET4="","",IF(18&gt;$FG4,"⚠ Este talento abre no nível 18",IF($HW4&gt;3,"⚠ Categoria "&amp;$HW4&amp;": este ganho vai até a 3 · ","")&amp;IFERROR(VLOOKUP($ET4,$BH$2:$BK$15,3,FALSE),"")))</f>
        <v/>
      </c>
      <c r="IF4" s="152">
        <f>IF($EU4="","",IF(22&gt;$FG4,"⚠ Este talento abre no nível 22",IF($HX4&gt;3,"⚠ Categoria "&amp;$HX4&amp;": este ganho vai até a 3 · ","")&amp;IFERROR(VLOOKUP($EU4,$BH$2:$BK$15,3,FALSE),"")))</f>
        <v/>
      </c>
      <c r="IG4" s="152">
        <f>IF($EV4="","",IF(26&gt;$FG4,"⚠ Este talento abre no nível 26",IF($HY4&gt;3,"⚠ Categoria "&amp;$HY4&amp;": este ganho vai até a 3 · ","")&amp;IFERROR(VLOOKUP($EV4,$BH$2:$BK$15,3,FALSE),"")))</f>
        <v/>
      </c>
      <c r="IH4" s="152">
        <f>IF($EW4="","",IF(30&gt;$FG4,"⚠ Este talento abre no nível 30",IF($HZ4&gt;3,"⚠ Categoria "&amp;$HZ4&amp;": este ganho vai até a 3 · ","")&amp;IFERROR(VLOOKUP($EW4,$BH$2:$BK$15,3,FALSE),"")))</f>
        <v/>
      </c>
      <c r="II4" s="152">
        <f>IF($EX4="","",IFERROR(VLOOKUP($EX4,$BH$2:$BK$15,3,FALSE),""))</f>
        <v/>
      </c>
      <c r="IJ4" s="152">
        <f>IF($EY4="","",IFERROR(VLOOKUP($EY4,$BH$2:$BK$15,3,FALSE),""))</f>
        <v/>
      </c>
      <c r="IK4" s="152">
        <f>IF($EZ4="","",IFERROR(VLOOKUP($EZ4,$BH$2:$BK$15,3,FALSE),""))</f>
        <v/>
      </c>
      <c r="IL4" s="152">
        <f>CEILING(4.5*$FA4,1)&amp;" PE"</f>
        <v/>
      </c>
      <c r="IM4" s="152">
        <f>CEILING(4.5*$FB4,1)&amp;" PE"</f>
        <v/>
      </c>
      <c r="IN4" s="152">
        <f>CEILING(4.5*$FC4,1)&amp;" PE"</f>
        <v/>
      </c>
      <c r="IO4" s="152">
        <f>INDEX($P$2:$P$8,$FA4)&amp;" pontos + "&amp;$FA4&amp;"d8"</f>
        <v/>
      </c>
      <c r="IP4" s="152">
        <f>INDEX($P$2:$P$8,$FB4)&amp;" pontos + "&amp;$FB4&amp;"d8"</f>
        <v/>
      </c>
      <c r="IQ4" s="152">
        <f>INDEX($P$2:$P$8,$FC4)&amp;" pontos + "&amp;$FC4&amp;"d8"</f>
        <v/>
      </c>
      <c r="IR4" s="152">
        <f>IF($FG4&lt;17,"—",VLOOKUP($FG4,$CK$2:$CN$4,4,TRUE)&amp;" PE")</f>
        <v/>
      </c>
      <c r="IS4" s="152">
        <f>IF($FG4&lt;17,"Abre no nível 17",VLOOKUP($FG4,$CK$2:$CN$4,2,TRUE)&amp;" fixos · "&amp;VLOOKUP($FG4,$CK$2:$CN$4,3,TRUE)&amp;" pontos")</f>
        <v/>
      </c>
      <c r="IT4" s="152">
        <f>IF($FD4="Sem Barreiras",7,6)*$FH4&amp;" PE"</f>
        <v/>
      </c>
      <c r="IU4" s="152">
        <f>"Acerto "&amp;$FH4&amp;"d8"</f>
        <v/>
      </c>
      <c r="IV4" s="152">
        <f>IFERROR(VLOOKUP($FD4,$CP$2:$CR$4,3,FALSE),"Escolha o degrau")</f>
        <v/>
      </c>
      <c r="IW4" s="152">
        <f>3&amp;" · "&amp;IF($FE4=0,"vazia",$CZ4&amp;" · nv "&amp;$FG4&amp;" · "&amp;$FY4&amp;"/"&amp;$FX4)</f>
        <v/>
      </c>
      <c r="IY4" s="150" t="inlineStr">
        <is>
          <t>Invocação 3</t>
        </is>
      </c>
      <c r="IZ4" s="152">
        <f>ADDRESS(ROW('INVOCAÇÕES'!D23),COLUMN('INVOCAÇÕES'!D23),4)</f>
        <v/>
      </c>
      <c r="JA4" s="152">
        <f>ADDRESS(ROW('INVOCAÇÕES'!H405),COLUMN('INVOCAÇÕES'!H405),4)</f>
        <v/>
      </c>
      <c r="JB4" s="150" t="inlineStr">
        <is>
          <t>DADOS_INVOC!$IW$4</t>
        </is>
      </c>
      <c r="JD4" s="152">
        <f>IF(OR($AW4="",COUNTIF($ED$2:$EH$2,$AW4)&gt;0),$AV4,"")</f>
        <v/>
      </c>
      <c r="JE4" s="152">
        <f>IF(AND($AX4=1,OR($AW4="",COUNTIF($ED$2:$EH$2,$AW4)&gt;0)),$AV4,"")</f>
        <v/>
      </c>
      <c r="JG4" s="152">
        <f>IF(OR($W4="",COUNTIF($ED$2:$EH$2,$W4)&gt;0),$V4,"")</f>
        <v/>
      </c>
      <c r="JH4" s="152">
        <f>IF(AND($AF4=1,OR($W4="",COUNTIF($ED$2:$EH$2,$W4)&gt;0)),$V4,"")</f>
        <v/>
      </c>
      <c r="JJ4" s="152">
        <f>IF(OR($AW4="",COUNTIF($ED$3:$EH$3,$AW4)&gt;0),$AV4,"")</f>
        <v/>
      </c>
      <c r="JK4" s="152">
        <f>IF(AND($AX4=1,OR($AW4="",COUNTIF($ED$3:$EH$3,$AW4)&gt;0)),$AV4,"")</f>
        <v/>
      </c>
      <c r="JM4" s="152">
        <f>IF(OR($W4="",COUNTIF($ED$3:$EH$3,$W4)&gt;0),$V4,"")</f>
        <v/>
      </c>
      <c r="JN4" s="152">
        <f>IF(AND($AF4=1,OR($W4="",COUNTIF($ED$3:$EH$3,$W4)&gt;0)),$V4,"")</f>
        <v/>
      </c>
      <c r="JP4" s="152">
        <f>IF(OR($AW4="",COUNTIF($ED$4:$EH$4,$AW4)&gt;0),$AV4,"")</f>
        <v/>
      </c>
      <c r="JQ4" s="152">
        <f>IF(AND($AX4=1,OR($AW4="",COUNTIF($ED$4:$EH$4,$AW4)&gt;0)),$AV4,"")</f>
        <v/>
      </c>
      <c r="JS4" s="152">
        <f>IF(OR($W4="",COUNTIF($ED$4:$EH$4,$W4)&gt;0),$V4,"")</f>
        <v/>
      </c>
      <c r="JT4" s="152">
        <f>IF(AND($AF4=1,OR($W4="",COUNTIF($ED$4:$EH$4,$W4)&gt;0)),$V4,"")</f>
        <v/>
      </c>
      <c r="JV4" s="152">
        <f>IF(OR($AW4="",COUNTIF($ED$5:$EH$5,$AW4)&gt;0),$AV4,"")</f>
        <v/>
      </c>
      <c r="JW4" s="152">
        <f>IF(AND($AX4=1,OR($AW4="",COUNTIF($ED$5:$EH$5,$AW4)&gt;0)),$AV4,"")</f>
        <v/>
      </c>
      <c r="JY4" s="152">
        <f>IF(OR($W4="",COUNTIF($ED$5:$EH$5,$W4)&gt;0),$V4,"")</f>
        <v/>
      </c>
      <c r="JZ4" s="152">
        <f>IF(AND($AF4=1,OR($W4="",COUNTIF($ED$5:$EH$5,$W4)&gt;0)),$V4,"")</f>
        <v/>
      </c>
      <c r="KB4" s="152">
        <f>IF(OR($AW4="",COUNTIF($ED$6:$EH$6,$AW4)&gt;0),$AV4,"")</f>
        <v/>
      </c>
      <c r="KC4" s="152">
        <f>IF(AND($AX4=1,OR($AW4="",COUNTIF($ED$6:$EH$6,$AW4)&gt;0)),$AV4,"")</f>
        <v/>
      </c>
      <c r="KE4" s="152">
        <f>IF(OR($W4="",COUNTIF($ED$6:$EH$6,$W4)&gt;0),$V4,"")</f>
        <v/>
      </c>
      <c r="KF4" s="152">
        <f>IF(AND($AF4=1,OR($W4="",COUNTIF($ED$6:$EH$6,$W4)&gt;0)),$V4,"")</f>
        <v/>
      </c>
      <c r="KH4" s="152">
        <f>IF(OR($AW4="",COUNTIF($ED$7:$EH$7,$AW4)&gt;0),$AV4,"")</f>
        <v/>
      </c>
      <c r="KI4" s="152">
        <f>IF(AND($AX4=1,OR($AW4="",COUNTIF($ED$7:$EH$7,$AW4)&gt;0)),$AV4,"")</f>
        <v/>
      </c>
      <c r="KK4" s="152">
        <f>IF(OR($W4="",COUNTIF($ED$7:$EH$7,$W4)&gt;0),$V4,"")</f>
        <v/>
      </c>
      <c r="KL4" s="152">
        <f>IF(AND($AF4=1,OR($W4="",COUNTIF($ED$7:$EH$7,$W4)&gt;0)),$V4,"")</f>
        <v/>
      </c>
      <c r="KN4" s="152">
        <f>IF(OR($AW4="",COUNTIF($ED$8:$EH$8,$AW4)&gt;0),$AV4,"")</f>
        <v/>
      </c>
      <c r="KO4" s="152">
        <f>IF(AND($AX4=1,OR($AW4="",COUNTIF($ED$8:$EH$8,$AW4)&gt;0)),$AV4,"")</f>
        <v/>
      </c>
      <c r="KQ4" s="152">
        <f>IF(OR($W4="",COUNTIF($ED$8:$EH$8,$W4)&gt;0),$V4,"")</f>
        <v/>
      </c>
      <c r="KR4" s="152">
        <f>IF(AND($AF4=1,OR($W4="",COUNTIF($ED$8:$EH$8,$W4)&gt;0)),$V4,"")</f>
        <v/>
      </c>
      <c r="KT4" s="152">
        <f>IF(OR($AW4="",COUNTIF($ED$9:$EH$9,$AW4)&gt;0),$AV4,"")</f>
        <v/>
      </c>
      <c r="KU4" s="152">
        <f>IF(AND($AX4=1,OR($AW4="",COUNTIF($ED$9:$EH$9,$AW4)&gt;0)),$AV4,"")</f>
        <v/>
      </c>
      <c r="KW4" s="152">
        <f>IF(OR($W4="",COUNTIF($ED$9:$EH$9,$W4)&gt;0),$V4,"")</f>
        <v/>
      </c>
      <c r="KX4" s="152">
        <f>IF(AND($AF4=1,OR($W4="",COUNTIF($ED$9:$EH$9,$W4)&gt;0)),$V4,"")</f>
        <v/>
      </c>
      <c r="KZ4" s="152">
        <f>IF(OR($AW4="",COUNTIF($ED$10:$EH$10,$AW4)&gt;0),$AV4,"")</f>
        <v/>
      </c>
      <c r="LA4" s="152">
        <f>IF(AND($AX4=1,OR($AW4="",COUNTIF($ED$10:$EH$10,$AW4)&gt;0)),$AV4,"")</f>
        <v/>
      </c>
      <c r="LC4" s="152">
        <f>IF(OR($W4="",COUNTIF($ED$10:$EH$10,$W4)&gt;0),$V4,"")</f>
        <v/>
      </c>
      <c r="LD4" s="152">
        <f>IF(AND($AF4=1,OR($W4="",COUNTIF($ED$10:$EH$10,$W4)&gt;0)),$V4,"")</f>
        <v/>
      </c>
      <c r="LF4" s="152">
        <f>IF(OR($AW4="",COUNTIF($ED$11:$EH$11,$AW4)&gt;0),$AV4,"")</f>
        <v/>
      </c>
      <c r="LG4" s="152">
        <f>IF(AND($AX4=1,OR($AW4="",COUNTIF($ED$11:$EH$11,$AW4)&gt;0)),$AV4,"")</f>
        <v/>
      </c>
      <c r="LI4" s="152">
        <f>IF(OR($W4="",COUNTIF($ED$11:$EH$11,$W4)&gt;0),$V4,"")</f>
        <v/>
      </c>
      <c r="LJ4" s="152">
        <f>IF(AND($AF4=1,OR($W4="",COUNTIF($ED$11:$EH$11,$W4)&gt;0)),$V4,"")</f>
        <v/>
      </c>
      <c r="LL4" s="152">
        <f>IF(OR($AW4="",COUNTIF($ED$12:$EH$12,$AW4)&gt;0),$AV4,"")</f>
        <v/>
      </c>
      <c r="LM4" s="152">
        <f>IF(AND($AX4=1,OR($AW4="",COUNTIF($ED$12:$EH$12,$AW4)&gt;0)),$AV4,"")</f>
        <v/>
      </c>
      <c r="LO4" s="152">
        <f>IF(OR($W4="",COUNTIF($ED$12:$EH$12,$W4)&gt;0),$V4,"")</f>
        <v/>
      </c>
      <c r="LP4" s="152">
        <f>IF(AND($AF4=1,OR($W4="",COUNTIF($ED$12:$EH$12,$W4)&gt;0)),$V4,"")</f>
        <v/>
      </c>
      <c r="LR4" s="152">
        <f>IF(OR($AW4="",COUNTIF($ED$13:$EH$13,$AW4)&gt;0),$AV4,"")</f>
        <v/>
      </c>
      <c r="LS4" s="152">
        <f>IF(AND($AX4=1,OR($AW4="",COUNTIF($ED$13:$EH$13,$AW4)&gt;0)),$AV4,"")</f>
        <v/>
      </c>
      <c r="LU4" s="152">
        <f>IF(OR($W4="",COUNTIF($ED$13:$EH$13,$W4)&gt;0),$V4,"")</f>
        <v/>
      </c>
      <c r="LV4" s="152">
        <f>IF(AND($AF4=1,OR($W4="",COUNTIF($ED$13:$EH$13,$W4)&gt;0)),$V4,"")</f>
        <v/>
      </c>
      <c r="LX4" s="150" t="inlineStr">
        <is>
          <t>Ficha 1 · Especial 2</t>
        </is>
      </c>
      <c r="LY4" s="152" t="n">
        <v>1</v>
      </c>
      <c r="LZ4" s="152" t="n">
        <v>1</v>
      </c>
      <c r="MA4" s="152" t="n">
        <v>4</v>
      </c>
      <c r="MB4" s="150" t="inlineStr">
        <is>
          <t>ESPECIAL 2</t>
        </is>
      </c>
      <c r="MC4" s="152">
        <f>MAX(1,MIN(7,N('INVOCAÇÕES'!$U$58)))</f>
        <v/>
      </c>
      <c r="MD4" s="152">
        <f>'INVOCAÇÕES'!$V$58&amp;""</f>
        <v/>
      </c>
      <c r="ME4" s="152">
        <f>'INVOCAÇÕES'!$U$63&amp;""</f>
        <v/>
      </c>
      <c r="MF4" s="152">
        <f>'INVOCAÇÕES'!$U$64&amp;""</f>
        <v/>
      </c>
      <c r="MG4" s="152">
        <f>'INVOCAÇÕES'!$W$64&amp;""</f>
        <v/>
      </c>
      <c r="MH4" s="152">
        <f>'INVOCAÇÕES'!$V$67&amp;""</f>
        <v/>
      </c>
      <c r="MI4" s="152">
        <f>'INVOCAÇÕES'!$V$68&amp;""</f>
        <v/>
      </c>
      <c r="MJ4" s="152">
        <f>'INVOCAÇÕES'!$V$69&amp;""</f>
        <v/>
      </c>
      <c r="MK4" s="152">
        <f>'INVOCAÇÕES'!$V$70&amp;""</f>
        <v/>
      </c>
      <c r="ML4" s="152">
        <f>'INVOCAÇÕES'!$V$71&amp;""</f>
        <v/>
      </c>
      <c r="MM4" s="152">
        <f>'INVOCAÇÕES'!$V$72&amp;""</f>
        <v/>
      </c>
      <c r="MN4" s="152">
        <f>IF($MD4&lt;&gt;"",1,0)</f>
        <v/>
      </c>
      <c r="MO4" s="152">
        <f>INDEX($FG$2:$FG$13,$LY4)</f>
        <v/>
      </c>
      <c r="MP4" s="152">
        <f>INDEX($FH$2:$FH$13,$LY4)</f>
        <v/>
      </c>
      <c r="MQ4" s="152">
        <f>INDEX($FI$2:$FI$13,$LY4)</f>
        <v/>
      </c>
      <c r="MR4" s="152">
        <f>INDEX($FT$2:$FT$13,$LY4)</f>
        <v/>
      </c>
      <c r="MS4" s="152">
        <f>INDEX($FU$2:$FU$13,$LY4)</f>
        <v/>
      </c>
      <c r="MT4" s="152">
        <f>IFERROR(MATCH($ME4,$V$2:$V$11,0),0)</f>
        <v/>
      </c>
      <c r="MU4" s="152">
        <f>IFERROR(VLOOKUP($MH4,$AV$2:$AZ$84,2,FALSE),"")</f>
        <v/>
      </c>
      <c r="MV4" s="152">
        <f>IFERROR(VLOOKUP($MI4,$AV$2:$AZ$84,2,FALSE),"")</f>
        <v/>
      </c>
      <c r="MW4" s="152">
        <f>IFERROR(VLOOKUP($MJ4,$AV$2:$AZ$84,2,FALSE),"")</f>
        <v/>
      </c>
      <c r="MX4" s="152">
        <f>IFERROR(VLOOKUP($MK4,$AV$2:$AZ$84,2,FALSE),"")</f>
        <v/>
      </c>
      <c r="MY4" s="152">
        <f>IFERROR(VLOOKUP($MH4,$AV$2:$AZ$84,3,FALSE),0)</f>
        <v/>
      </c>
      <c r="MZ4" s="152">
        <f>IFERROR(VLOOKUP($MI4,$AV$2:$AZ$84,3,FALSE),0)</f>
        <v/>
      </c>
      <c r="NA4" s="152">
        <f>IFERROR(VLOOKUP($MJ4,$AV$2:$AZ$84,3,FALSE),0)</f>
        <v/>
      </c>
      <c r="NB4" s="152">
        <f>IFERROR(VLOOKUP($MK4,$AV$2:$AZ$84,3,FALSE),0)</f>
        <v/>
      </c>
      <c r="NC4" s="152">
        <f>IF($MC4=0,0,IF($MT4=0,0,INDEX($X$2:$X$11,$MT4)))</f>
        <v/>
      </c>
      <c r="ND4" s="152">
        <f>IF(OR($MY4=0,$MC4=0),0,$MY4+3*IF(AND($MU4&lt;&gt;"",OR($MU4=INDEX($ED$2:$ED$13,$LY4),$MU4=INDEX($EE$2:$EE$13,$LY4))),1,0))</f>
        <v/>
      </c>
      <c r="NE4" s="152">
        <f>IF(OR($MZ4=0,$MC4=0),0,$MZ4+3*IF(AND($MV4&lt;&gt;"",OR($MV4=INDEX($ED$2:$ED$13,$LY4),$MV4=INDEX($EE$2:$EE$13,$LY4))),1,0))</f>
        <v/>
      </c>
      <c r="NF4" s="152">
        <f>IF(OR($NA4=0,$MC4=0),0,$NA4+3*IF(AND($MW4&lt;&gt;"",OR($MW4=INDEX($ED$2:$ED$13,$LY4),$MW4=INDEX($EE$2:$EE$13,$LY4))),1,0))</f>
        <v/>
      </c>
      <c r="NG4" s="152">
        <f>IF(OR($NB4=0,$MC4=0),0,$NB4+3*IF(AND($MX4&lt;&gt;"",OR($MX4=INDEX($ED$2:$ED$13,$LY4),$MX4=INDEX($EE$2:$EE$13,$LY4))),1,0))</f>
        <v/>
      </c>
      <c r="NH4" s="152">
        <f>IF($MT4=0,0,IF(INDEX($W$2:$W$11,$MT4)="",0,IF(COUNTIF(INDEX($ED$2:$EH$13,$LY4,0),INDEX($W$2:$W$11,$MT4))=0,1,0)))</f>
        <v/>
      </c>
      <c r="NI4" s="152">
        <f>IF(OR($MY4=0,$MU4=""),0,IF(COUNTIF(INDEX($ED$2:$EH$13,$LY4,0),$MU4)=0,1,0))</f>
        <v/>
      </c>
      <c r="NJ4" s="152">
        <f>IF(OR($MZ4=0,$MV4=""),0,IF(COUNTIF(INDEX($ED$2:$EH$13,$LY4,0),$MV4)=0,1,0))</f>
        <v/>
      </c>
      <c r="NK4" s="152">
        <f>IF(OR($NA4=0,$MW4=""),0,IF(COUNTIF(INDEX($ED$2:$EH$13,$LY4,0),$MW4)=0,1,0))</f>
        <v/>
      </c>
      <c r="NL4" s="152">
        <f>IF(OR($NB4=0,$MX4=""),0,IF(COUNTIF(INDEX($ED$2:$EH$13,$LY4,0),$MX4)=0,1,0))</f>
        <v/>
      </c>
      <c r="NM4" s="152">
        <f>IFERROR(VLOOKUP($MH4,$AV$2:$AZ$84,4,FALSE),0)+IFERROR(VLOOKUP($MI4,$AV$2:$AZ$84,4,FALSE),0)+IFERROR(VLOOKUP($MJ4,$AV$2:$AZ$84,4,FALSE),0)+IFERROR(VLOOKUP($MK4,$AV$2:$AZ$84,4,FALSE),0)</f>
        <v/>
      </c>
      <c r="NN4" s="152">
        <f>TEXTJOIN(", ",TRUE,IF(IFERROR(VLOOKUP($MH4,$AV$2:$AZ$84,5,FALSE),0)=1,$MH4,""),IF(IFERROR(VLOOKUP($MI4,$AV$2:$AZ$84,5,FALSE),0)=1,$MI4,""),IF(IFERROR(VLOOKUP($MJ4,$AV$2:$AZ$84,5,FALSE),0)=1,$MJ4,""),IF(IFERROR(VLOOKUP($MK4,$AV$2:$AZ$84,5,FALSE),0)=1,$MK4,""))</f>
        <v/>
      </c>
      <c r="NO4" s="152">
        <f>IF($MT4=0,0,INDEX($Y$2:$Y$11,$MT4))</f>
        <v/>
      </c>
      <c r="NP4" s="152">
        <f>IF($MT4=0,0,INDEX($Z$2:$Z$11,$MT4))</f>
        <v/>
      </c>
      <c r="NQ4" s="152">
        <f>IF($MT4=0,0,INDEX($AB$2:$AB$11,$MT4))</f>
        <v/>
      </c>
      <c r="NR4" s="152">
        <f>IFERROR(VLOOKUP($ML4,$BB$2:$BF$24,3,FALSE),0)</f>
        <v/>
      </c>
      <c r="NS4" s="152">
        <f>IFERROR(VLOOKUP($MM4,$BB$2:$BF$24,3,FALSE),0)</f>
        <v/>
      </c>
      <c r="NT4" s="152">
        <f>IFERROR(VLOOKUP($ML4,$BB$2:$BF$24,2,FALSE),"")</f>
        <v/>
      </c>
      <c r="NU4" s="152">
        <f>IFERROR(VLOOKUP($MM4,$BB$2:$BF$24,2,FALSE),"")</f>
        <v/>
      </c>
      <c r="NV4" s="152">
        <f>COUNTIF($NC4:$NG4,1)</f>
        <v/>
      </c>
      <c r="NW4" s="152">
        <f>COUNTIF($NC4:$NG4,2)</f>
        <v/>
      </c>
      <c r="NX4" s="152">
        <f>COUNTIF($NC4:$NG4,3)</f>
        <v/>
      </c>
      <c r="NY4" s="152">
        <f>COUNTIF($NC4:$NG4,4)</f>
        <v/>
      </c>
      <c r="NZ4" s="152">
        <f>COUNTIF($NC4:$NG4,5)</f>
        <v/>
      </c>
      <c r="OA4" s="152">
        <f>COUNTIF($NC4:$NG4,6)</f>
        <v/>
      </c>
      <c r="OB4" s="152">
        <f>COUNTIF($NR4:$NS4,1)</f>
        <v/>
      </c>
      <c r="OC4" s="152">
        <f>COUNTIF($NR4:$NS4,2)+$NO4</f>
        <v/>
      </c>
      <c r="OD4" s="152">
        <f>COUNTIF($MH4:$MK4,"?*")</f>
        <v/>
      </c>
      <c r="OE4" s="152">
        <f>COUNTIF($ML4:$MM4,"?*")+$NO4</f>
        <v/>
      </c>
      <c r="OF4" s="152">
        <f>IF($MC4=0,0,SUMPRODUCT($NV4:$OA4,INDEX($I$2:$N$8,MAX(1,$MC4),0)))</f>
        <v/>
      </c>
      <c r="OG4" s="152">
        <f>IF($MC4=0,0,$OB4*CEILING($MC4/2,1)+$OC4*$MC4)</f>
        <v/>
      </c>
      <c r="OH4" s="152">
        <f>MIN(2*$MC4,$OG4)</f>
        <v/>
      </c>
      <c r="OI4" s="152">
        <f>MIN($OH4,$OF4)</f>
        <v/>
      </c>
      <c r="OJ4" s="152">
        <f>$OH4-$OI4</f>
        <v/>
      </c>
      <c r="OK4" s="152">
        <f>IF($MC4=0,0,INDEX($P$2:$P$8,MAX(1,$MC4)))</f>
        <v/>
      </c>
      <c r="OL4" s="152">
        <f>$OK4-$OF4+$OI4</f>
        <v/>
      </c>
      <c r="OM4" s="152">
        <f>IF($MC4=0,MAX(0,$MQ4-IF($OD4&gt;0,1,0)),MAX(0,$OL4))</f>
        <v/>
      </c>
      <c r="ON4" s="152">
        <f>IF($MC4=0,0,(IF(COUNTIF($MH4:$MK4,"Salto")&gt;0,1,0)+IF(COUNTIF($MH4:$MK4,"Queima")&gt;0,1,0)+IF(COUNTIF($MH4:$MK4,"Estilhaço")&gt;0,1,0))*FLOOR($OM4/2,1))</f>
        <v/>
      </c>
      <c r="OO4" s="152">
        <f>MAX(0,2-SUMPRODUCT($NV4:$OA4,$I$2:$N$2)+MIN(2,$OB4*1+$OC4*1,SUMPRODUCT($NV4:$OA4,$I$2:$N$2)))</f>
        <v/>
      </c>
      <c r="OP4" s="152">
        <f>MAX(0,4-SUMPRODUCT($NV4:$OA4,$I$3:$N$3)+MIN(4,$OB4*1+$OC4*2,SUMPRODUCT($NV4:$OA4,$I$3:$N$3)))</f>
        <v/>
      </c>
      <c r="OQ4" s="152">
        <f>MAX(0,6-SUMPRODUCT($NV4:$OA4,$I$4:$N$4)+MIN(6,$OB4*2+$OC4*3,SUMPRODUCT($NV4:$OA4,$I$4:$N$4)))</f>
        <v/>
      </c>
      <c r="OR4" s="152">
        <f>MAX(0,9-SUMPRODUCT($NV4:$OA4,$I$5:$N$5)+MIN(8,$OB4*2+$OC4*4,SUMPRODUCT($NV4:$OA4,$I$5:$N$5)))</f>
        <v/>
      </c>
      <c r="OS4" s="152">
        <f>MAX(0,11-SUMPRODUCT($NV4:$OA4,$I$6:$N$6)+MIN(10,$OB4*3+$OC4*5,SUMPRODUCT($NV4:$OA4,$I$6:$N$6)))</f>
        <v/>
      </c>
      <c r="OT4" s="152">
        <f>MAX(0,13-SUMPRODUCT($NV4:$OA4,$I$7:$N$7)+MIN(12,$OB4*3+$OC4*6,SUMPRODUCT($NV4:$OA4,$I$7:$N$7)))</f>
        <v/>
      </c>
      <c r="OU4" s="152">
        <f>MAX(0,16-SUMPRODUCT($NV4:$OA4,$I$8:$N$8)+MIN(14,$OB4*4+$OC4*7,SUMPRODUCT($NV4:$OA4,$I$8:$N$8)))</f>
        <v/>
      </c>
      <c r="OV4" s="152">
        <f>IF($NP4=2,3*$OO4&amp;" de vida temp.",IF($NP4=3,"sem dano",IF($OO4=0,IF($NP4=1,"sem cura","sem dano"),IF($NP4=1,"cura ","")&amp;$OO4&amp;"d8")))</f>
        <v/>
      </c>
      <c r="OW4" s="152">
        <f>IF($NP4=2,3*$OP4&amp;" de vida temp.",IF($NP4=3,"sem dano",IF($OP4=0,IF($NP4=1,"sem cura","sem dano"),IF($NP4=1,"cura ","")&amp;$OP4&amp;"d8")))</f>
        <v/>
      </c>
      <c r="OX4" s="152">
        <f>IF($NP4=2,3*$OQ4&amp;" de vida temp.",IF($NP4=3,"sem dano",IF($OQ4=0,IF($NP4=1,"sem cura","sem dano"),IF($NP4=1,"cura ","")&amp;$OQ4&amp;"d8")))</f>
        <v/>
      </c>
      <c r="OY4" s="152">
        <f>IF($NP4=2,3*$OR4&amp;" de vida temp.",IF($NP4=3,"sem dano",IF($OR4=0,IF($NP4=1,"sem cura","sem dano"),IF($NP4=1,"cura ","")&amp;$OR4&amp;"d8")))</f>
        <v/>
      </c>
      <c r="OZ4" s="152">
        <f>IF($NP4=2,3*$OS4&amp;" de vida temp.",IF($NP4=3,"sem dano",IF($OS4=0,IF($NP4=1,"sem cura","sem dano"),IF($NP4=1,"cura ","")&amp;$OS4&amp;"d8")))</f>
        <v/>
      </c>
      <c r="PA4" s="152">
        <f>IF($NP4=2,3*$OT4&amp;" de vida temp.",IF($NP4=3,"sem dano",IF($OT4=0,IF($NP4=1,"sem cura","sem dano"),IF($NP4=1,"cura ","")&amp;$OT4&amp;"d8")))</f>
        <v/>
      </c>
      <c r="PB4" s="152">
        <f>IF($NP4=2,3*$OU4&amp;" de vida temp.",IF($NP4=3,"sem dano",IF($OU4=0,IF($NP4=1,"sem cura","sem dano"),IF($NP4=1,"cura ","")&amp;$OU4&amp;"d8")))</f>
        <v/>
      </c>
      <c r="PC4" s="152">
        <f>IF($MN4=0,"",TEXTJOIN(" · ",TRUE,IF($MA4&gt;$MO4,"Este lugar abre no nível "&amp;$MA4,""),IF($MC4&gt;$MP4,"Classe "&amp;$MC4&amp;": o nível "&amp;$MO4&amp;" libera até a "&amp;$MP4,""),IF($NH4=1,"A Forma "&amp;$ME4&amp;" pede "&amp;INDEX($W$2:$W$11,$MT4)&amp;" aberta",""),IF(AND($MC4=0,$MT4&gt;0,IF($MT4=0,0,INDEX($AF$2:$AF$11,$MT4))=0),$ME4&amp;" não existe na Classe 0",""),IF($NI4=1,"Família Fechada: "&amp;$MH4,""),IF($NJ4=1,"Família Fechada: "&amp;$MI4,""),IF($NK4=1,"Família Fechada: "&amp;$MJ4,""),IF($NL4=1,"Família Fechada: "&amp;$MK4,""),IF(AND($MC4&gt;0,$OD4&gt;INDEX($O$2:$O$8,MAX(1,$MC4))),$OD4&amp;" Melhorias: a Classe "&amp;$MC4&amp;" aceita "&amp;INDEX($O$2:$O$8,MAX(1,$MC4)),""),IF(AND($MC4=0,$OD4&gt;1),"A básica aceita uma Melhoria",""),IF(AND($MC4=0,COUNTIF($MY4:$NB4,"&gt;1")&gt;0),"A básica só aceita Melhoria Leve",""),IF(AND($MC4&gt;0,$OE4&gt;2),$OE4&amp;" Restrições"&amp;IF($NO4=1,", contando a que a Forma "&amp;$ME4&amp;" já traz","")&amp;": o limite é 2",""),IF(AND($MC4=0,COUNTIF($ML4:$MM4,"?*")&gt;1),"A básica aceita uma Restrição Leve",""),IF(AND($MC4=0,COUNTIF($NR4:$NS4,2)&gt;0),"A básica só aceita Restrição Leve",""),IF(AND($MC4&gt;0,$OL4&lt;0),"Orçamento estourado: faltam "&amp;(-$OL4)&amp;IF($OL4&lt;-1," pontos"," ponto"),""),IF(IFERROR(VLOOKUP($ML4,$BB$2:$BF$24,4,FALSE),0)+IFERROR(VLOOKUP($MM4,$BB$2:$BF$24,4,FALSE),0)&gt;1,$NT4&amp;" e "&amp;$NU4&amp;" são as duas de frequência",""),IF(AND((COUNTIF($MH4:$MK4,"Rápido")+COUNTIF($NT4:$NU4,"Rápido"))&gt;0,(COUNTIF($MH4:$MK4,"Atrasar")+COUNTIF($NT4:$NU4,"Atrasar"))&gt;0),"Rápido não entra com Atrasar",""),IF(AND((COUNTIF($MH4:$MK4,"Reação")+COUNTIF($NT4:$NU4,"Reação"))&gt;0,(COUNTIF($MH4:$MK4,"Rápido")+COUNTIF($NT4:$NU4,"Rápido"))&gt;0),"Reação não entra com Rápido",""),IF(AND((COUNTIF($MH4:$MK4,"Reação")+COUNTIF($NT4:$NU4,"Reação"))&gt;0,(COUNTIF($MH4:$MK4,"Armado")+COUNTIF($NT4:$NU4,"Armado"))&gt;0),"Reação não entra com Armado",""),IF(AND((COUNTIF($MH4:$MK4,"Reação")+COUNTIF($NT4:$NU4,"Reação"))&gt;0,(COUNTIF($MH4:$MK4,"Atrasar")+COUNTIF($NT4:$NU4,"Atrasar"))&gt;0),"Reação não entra com Atrasar",""),IF(AND((COUNTIF($MH4:$MK4,"Reação")+COUNTIF($NT4:$NU4,"Reação"))&gt;0,(COUNTIF($MH4:$MK4,"Parado")+COUNTIF($NT4:$NU4,"Parado"))&gt;0),"Reação não entra com Parado",""),IF(AND((COUNTIF($MH4:$MK4,"Atrasar")+COUNTIF($NT4:$NU4,"Atrasar"))&gt;0,(COUNTIF($MH4:$MK4,"Parado")+COUNTIF($NT4:$NU4,"Parado"))&gt;0),"Atrasar não entra com Parado",""),IF(AND((COUNTIF($MH4:$MK4,"Armado")+COUNTIF($NT4:$NU4,"Armado"))&gt;0,(COUNTIF($MH4:$MK4,"Carregar")+COUNTIF($NT4:$NU4,"Carregar"))&gt;0),"Armado não entra com Carregar",""),IF(AND(COUNTIF($NT4:$NU4,"Corpo a Corpo")&gt;0,$NO4=0,OR($ME4="Cone",$ME4="Linha")),"Corpo a Corpo não entra em "&amp;$ME4,""),IF(AND(COUNTIF($NT4:$NU4,"Corpo a Corpo")&gt;0,$NO4=1),"A Forma "&amp;$ME4&amp;" já traz o Corpo a Corpo",""),IF(AND(COUNTIF($NT4:$NU4,"Tudo ou Nada")&gt;0,$NQ4=0),"Tudo ou Nada só entra em habilidade de Teste de Resistência",""),IF(AND(COUNTIF($MH4:$MK4,"Inescapável")&gt;0,OR($OD4&gt;1,$OE4&gt;0)),"Inescapável não aceita outra peça",""),IF(AND($MC4&gt;0,$OM4*IF(COUNTIF($MH4:$MK4,"Remate")&gt;0,1.25,1)+$ON4&gt;4*$MC4),($OM4*IF(COUNTIF($MH4:$MK4,"Remate")&gt;0,1.25,1)+$ON4)&amp;" dados somando repetições"&amp;IF(COUNTIF($MH4:$MK4,"Remate")&gt;0," e o Remate","")&amp;": o teto da Classe "&amp;$MC4&amp;" é "&amp;4*$MC4,"")))</f>
        <v/>
      </c>
      <c r="PD4" s="152">
        <f>IF($PC4="",0,(LEN($PC4)-LEN(SUBSTITUTE($PC4," · ","")))/3+1)</f>
        <v/>
      </c>
      <c r="PE4" s="152">
        <f>IF($MN4=0,"",TEXTJOIN(" · ",TRUE,IF($OG4&gt;2*$MC4,"A devolução parou no teto de "&amp;2*$MC4,""),IF($OJ4&gt;0,"Devolução perdida: "&amp;$OJ4&amp;IF($OJ4&gt;1," pontos"," ponto")&amp;" sem peça para pagar",""),IF(AND($NM4&gt;0,AND($MC4&gt;0,$NP4=0),$OM4=0),"Controle sem dano: uma rodada a mais e CD +2",""),IF(AND($NM4&gt;0,AND($MC4&gt;0,$NP4=0),$OM4&gt;0,$OM4&lt;=$MC4),"Controle com saldo até a Classe: uma rodada a mais",""),IF(AND($MC4&gt;0,$NN4&lt;&gt;""),"Efeito de "&amp;$NN4&amp;" pela Classe "&amp;MAX(1,$MC4-1),"")))</f>
        <v/>
      </c>
      <c r="PF4" s="152">
        <f>IF($PE4="",0,(LEN($PE4)-LEN(SUBSTITUTE($PE4," · ","")))/3+1)</f>
        <v/>
      </c>
      <c r="PG4" s="152">
        <f>IF($MN4=0,IF($OD4+COUNTIF($ML4:$MM4,"?*")&gt;0,"Dê um nome",""),IF($PD4&gt;0,"⚠ "&amp;$PD4&amp;IF($PD4&gt;1," erros"," erro"),IF($PF4&gt;0,"! "&amp;$PF4&amp;IF($PF4&gt;1," avisos"," aviso"),"Na regra")))</f>
        <v/>
      </c>
      <c r="PH4" s="152">
        <f>IF($MN4=0,"",IF($PD4+$PF4=0,"Dentro das regras que a ficha confere",$PC4&amp;IF(AND($PD4&gt;0,$PF4&gt;0)," · ","")&amp;$PE4))</f>
        <v/>
      </c>
      <c r="PI4" s="152">
        <f>IF($MA4&gt;$MO4,$MB4&amp;" · ABRE NO NÍVEL "&amp;$MA4,$MB4)</f>
        <v/>
      </c>
      <c r="PJ4" s="152">
        <f>IF($MN4=0,"",IF($MC4=0,"Sem PE",3*$MC4&amp;" PE"))</f>
        <v/>
      </c>
      <c r="PK4" s="152">
        <f>IF($MN4=0,"",IF($MC4=0,"A atuação básica dela",IF(COUNTIF($NT4:$NU4,"Atrasar")&gt;0,"Sua Ação Completa",IF(COUNTIF($MH4:$MK4,"Rápido")&gt;0,"Sua Bônus",IF(COUNTIF($MH4:$MK4,"Reação")&gt;0,"Sua Reação","Sua Padrão")))&amp;" + a básica dela"&amp;IF(COUNTIF($MH4:$MK4,"Reação")&gt;0," e a coletiva","")&amp;IF(COUNTIF($NT4:$NU4,"Carregar")&gt;0," · em dois turnos","")))</f>
        <v/>
      </c>
      <c r="PL4" s="152">
        <f>IF($MG4&lt;&gt;"",$MG4,IF($MT4=0,"",INDEX($AA$2:$AA$11,$MT4)))</f>
        <v/>
      </c>
      <c r="PM4" s="152">
        <f>IF(OR($MN4=0,$MT4=0),"",IF(COUNTIF($MH4:$MK4,"Inescapável")&gt;0,"Automático",IF($PL4="Ataque",IF($MR4="","Ataque","Ataque "&amp;IF(($MR4+2*IF(COUNTIF($MH4:$MK4,"Precisão")&gt;0,1,0))&gt;=0,"+","−")&amp;ABS(($MR4+2*IF(COUNTIF($MH4:$MK4,"Precisão")&gt;0,1,0)))),IF(LEFT($PL4,2)="TR",$PL4&amp;IF($MS4="",""," · CD "&amp;$MS4)&amp;IF(COUNTIF($MH4:$MK4,"Certeiro")&gt;0," · metade",""),"Sem rolagem"))))</f>
        <v/>
      </c>
      <c r="PN4" s="152">
        <f>IF(OR($MN4=0,$MT4=0),"",IF($MC4=0,IF(OR($NP4&gt;=1,$OM4=0),"Sem dano",$OM4&amp;"d6"&amp;IF($MF4="",""," "&amp;$MF4)),IF(OR($NP4&gt;=1,$OM4=0),UPPER(LEFT(INDEX($OV4:$PB4,1,MAX(1,$MC4)),1))&amp;MID(INDEX($OV4:$PB4,1,MAX(1,$MC4)),2,99),UPPER(LEFT(INDEX($OV4:$PB4,1,MAX(1,$MC4)),1))&amp;MID(INDEX($OV4:$PB4,1,MAX(1,$MC4)),2,99)&amp;IF($MF4="",""," "&amp;$MF4)&amp;IF($ON4&gt;0," · +"&amp;$ON4&amp;"d8",""))))</f>
        <v/>
      </c>
      <c r="PO4" s="152">
        <f>COUNTIF($MH4:$MK4,"Longe")+3*COUNTIF($MH4:$MK4,"Muito Longe")</f>
        <v/>
      </c>
      <c r="PP4" s="152">
        <f>COUNTIF($MH4:$MK4,"Maior")+3*COUNTIF($MH4:$MK4,"Muito Maior")</f>
        <v/>
      </c>
      <c r="PQ4" s="152">
        <f>IF($MT4=0,0,CHOOSE(1+INDEX($AC$2:$AC$11,$MT4),0,$PO4,$PP4,$PO4+$PP4))</f>
        <v/>
      </c>
      <c r="PR4" s="152">
        <f>IF($MT4=0,0,CHOOSE(1+INDEX($AD$2:$AD$11,$MT4),0,$PO4,$PP4,$PO4+$PP4))</f>
        <v/>
      </c>
      <c r="PS4" s="152">
        <f>IF(OR($MN4=0,$MT4=0),"",INDEX($AI$2:$AN$41,($MT4-1)*4+IF($MC4=0,1,IF($MC4&lt;=5,2,IF($MC4=6,3,4))),1+MIN(5,$PQ4))&amp;INDEX($AO$2:$AT$41,($MT4-1)*4+IF($MC4=0,1,IF($MC4&lt;=5,2,IF($MC4=6,3,4))),1+MIN(5,$PR4))&amp;IF(INDEX($AE$2:$AE$11,$MT4)=1,IF(COUNTIF($MH4:$MK4,"Mais Um")&gt;0," · +"&amp;COUNTIF($MH4:$MK4,"Mais Um")&amp;IF(COUNTIF($MH4:$MK4,"Mais Um")&gt;1," alvos"," alvo"),"")&amp;IF(COUNTIF($MH4:$MK4,"Rajada")&gt;0,IF($MC4=0," · 1 tiro"," · "&amp;(MAX(1,$MC4-1)+1)&amp;" tiros"),""),""))</f>
        <v/>
      </c>
      <c r="PT4" s="152">
        <f>IF($MN4=0,"",IF($MC4=0,$MQ4&amp;"d6"&amp;IF($OD4&gt;0," − 1 = "&amp;$OM4&amp;"d6"," da básica do nível "&amp;$MO4),$OK4&amp;" − "&amp;$OF4&amp;" + "&amp;$OI4&amp;" = "&amp;$OL4&amp;" · teto "&amp;4*$MC4&amp;"d8"&amp;IF($NO4=1," · a Forma devolve "&amp;$MC4,"")&amp;IF($OJ4&gt;0," · perde "&amp;$OJ4,"")))</f>
        <v/>
      </c>
      <c r="PU4" s="152">
        <f>IF($MN4=0,"",IF($MC4=0,"A básica não amplia: os dados dela sobem com o nível",IF($MC4&gt;=$MP4,"Já está na maior Classe que o nível liberou",TEXTJOIN(" · ",TRUE,IF(AND(2&gt;$MC4,2&lt;=$MP4),"2 → "&amp;$OW4&amp;", 6 PE",""),IF(AND(3&gt;$MC4,3&lt;=$MP4),"3 → "&amp;$OX4&amp;", 9 PE",""),IF(AND(4&gt;$MC4,4&lt;=$MP4),"4 → "&amp;$OY4&amp;", 12 PE",""),IF(AND(5&gt;$MC4,5&lt;=$MP4),"5 → "&amp;$OZ4&amp;", 15 PE",""),IF(AND(6&gt;$MC4,6&lt;=$MP4),"6 → "&amp;$PA4&amp;", 18 PE",""),IF(AND(7&gt;$MC4,7&lt;=$MP4),"7 → "&amp;$PB4&amp;", 21 PE","")))))</f>
        <v/>
      </c>
      <c r="PV4" s="152">
        <f>IF(OR($MN4=0,$MY4=0),"",IF($MC4=0,"−1 dado","−"&amp;INDEX($I$2:$N$8,MAX(1,$MC4),MAX(1,$ND4))&amp;" · "&amp;CHOOSE(MAX(1,$ND4),"Leve","Média","Pesada","Leve · Livre","Média · Livre","Pesada · Livre")))</f>
        <v/>
      </c>
      <c r="PW4" s="152">
        <f>IF(OR($MN4=0,$MZ4=0),"",IF($MC4=0,"−1 dado","−"&amp;INDEX($I$2:$N$8,MAX(1,$MC4),MAX(1,$NE4))&amp;" · "&amp;CHOOSE(MAX(1,$NE4),"Leve","Média","Pesada","Leve · Livre","Média · Livre","Pesada · Livre")))</f>
        <v/>
      </c>
      <c r="PX4" s="152">
        <f>IF(OR($MN4=0,$NA4=0),"",IF($MC4=0,"−1 dado","−"&amp;INDEX($I$2:$N$8,MAX(1,$MC4),MAX(1,$NF4))&amp;" · "&amp;CHOOSE(MAX(1,$NF4),"Leve","Média","Pesada","Leve · Livre","Média · Livre","Pesada · Livre")))</f>
        <v/>
      </c>
      <c r="PY4" s="152">
        <f>IF(OR($MN4=0,$NB4=0),"",IF($MC4=0,"−1 dado","−"&amp;INDEX($I$2:$N$8,MAX(1,$MC4),MAX(1,$NG4))&amp;" · "&amp;CHOOSE(MAX(1,$NG4),"Leve","Média","Pesada","Leve · Livre","Média · Livre","Pesada · Livre")))</f>
        <v/>
      </c>
      <c r="PZ4" s="152">
        <f>IF(OR($MN4=0,$ML4=""),"",IF($MC4=0,"não devolve","+"&amp;IF($NR4=1,CEILING($MC4/2,1),$MC4)))</f>
        <v/>
      </c>
      <c r="QA4" s="152">
        <f>IF(OR($MN4=0,$MM4=""),"",IF($MC4=0,"não devolve","+"&amp;IF($NS4=1,CEILING($MC4/2,1),$MC4)))</f>
        <v/>
      </c>
      <c r="QC4" s="150" t="inlineStr">
        <is>
          <t>D20</t>
        </is>
      </c>
      <c r="QD4" s="152">
        <f>"AS INVOCAÇÕES · "&amp;DADOS_INVOC!$CW$10&amp;" DE 12"</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B5" s="150" t="inlineStr">
        <is>
          <t>Gesto</t>
        </is>
      </c>
      <c r="BC5" s="150" t="inlineStr">
        <is>
          <t>Gesto</t>
        </is>
      </c>
      <c r="BD5" s="152" t="n">
        <v>1</v>
      </c>
      <c r="BE5" s="152" t="n">
        <v>0</v>
      </c>
      <c r="BF5" s="150" t="inlineStr">
        <is>
          <t>Gesto</t>
        </is>
      </c>
      <c r="BH5" s="150" t="inlineStr">
        <is>
          <t>Mão Firme</t>
        </is>
      </c>
      <c r="BI5" s="152" t="n">
        <v>1</v>
      </c>
      <c r="BJ5" s="150" t="inlineStr">
        <is>
          <t>Quando uma ocorrência de dano causar 10 pontos ou menos, você não precisa fazer o teste para manter Concentração ou Carregar. Confira o dano de cada ocorrência depois das reduções aplicáveis. Não some todos os golpes da rodada.</t>
        </is>
      </c>
      <c r="BK5" s="150" t="inlineStr">
        <is>
          <t>Mão Firme</t>
        </is>
      </c>
      <c r="BM5" s="150" t="inlineStr">
        <is>
          <t>Corpo amaldiçoado de criação</t>
        </is>
      </c>
      <c r="BO5" s="150" t="inlineStr">
        <is>
          <t>Criação</t>
        </is>
      </c>
      <c r="BP5" s="152" t="n">
        <v>0</v>
      </c>
      <c r="BR5" s="150" t="inlineStr">
        <is>
          <t>Controle</t>
        </is>
      </c>
      <c r="BT5" s="150" t="inlineStr">
        <is>
          <t>Inteligência</t>
        </is>
      </c>
      <c r="BV5" s="150" t="inlineStr">
        <is>
          <t>Espírito</t>
        </is>
      </c>
      <c r="BZ5" s="150" t="inlineStr">
        <is>
          <t>Pontaria</t>
        </is>
      </c>
      <c r="CA5" s="150" t="inlineStr">
        <is>
          <t>Destreza</t>
        </is>
      </c>
      <c r="CE5" s="150" t="inlineStr">
        <is>
          <t>Fogo</t>
        </is>
      </c>
      <c r="CG5" s="150" t="inlineStr">
        <is>
          <t>TR Intelecto</t>
        </is>
      </c>
      <c r="CI5" s="152" t="n">
        <v>3</v>
      </c>
      <c r="CV5" s="150" t="inlineStr">
        <is>
          <t>a defesa usa</t>
        </is>
      </c>
      <c r="CW5" s="152">
        <f>'INVOCAÇÕES'!$D$17&amp;""</f>
        <v/>
      </c>
      <c r="CY5" s="152" t="n">
        <v>4</v>
      </c>
      <c r="CZ5" s="152">
        <f>'INVOCAÇÕES'!$I$607&amp;""</f>
        <v/>
      </c>
      <c r="DA5" s="152">
        <f>'INVOCAÇÕES'!$I$637&amp;""</f>
        <v/>
      </c>
      <c r="DB5" s="152">
        <f>'INVOCAÇÕES'!$I$641&amp;""</f>
        <v/>
      </c>
      <c r="DC5" s="152">
        <f>N('INVOCAÇÕES'!$K$641)</f>
        <v/>
      </c>
      <c r="DD5" s="152">
        <f>'INVOCAÇÕES'!$L$641&amp;""</f>
        <v/>
      </c>
      <c r="DE5" s="152">
        <f>N('INVOCAÇÕES'!$O$614)</f>
        <v/>
      </c>
      <c r="DF5" s="152">
        <f>N('INVOCAÇÕES'!$P$614)</f>
        <v/>
      </c>
      <c r="DG5" s="152">
        <f>N('INVOCAÇÕES'!$Q$614)</f>
        <v/>
      </c>
      <c r="DH5" s="152">
        <f>N('INVOCAÇÕES'!$R$614)</f>
        <v/>
      </c>
      <c r="DI5" s="152">
        <f>N('INVOCAÇÕES'!$S$614)</f>
        <v/>
      </c>
      <c r="DJ5" s="152">
        <f>N('INVOCAÇÕES'!$O$615)</f>
        <v/>
      </c>
      <c r="DK5" s="152">
        <f>N('INVOCAÇÕES'!$P$615)</f>
        <v/>
      </c>
      <c r="DL5" s="152">
        <f>N('INVOCAÇÕES'!$Q$615)</f>
        <v/>
      </c>
      <c r="DM5" s="152">
        <f>N('INVOCAÇÕES'!$R$615)</f>
        <v/>
      </c>
      <c r="DN5" s="152">
        <f>N('INVOCAÇÕES'!$S$615)</f>
        <v/>
      </c>
      <c r="DO5" s="152">
        <f>'INVOCAÇÕES'!$O$628&amp;""</f>
        <v/>
      </c>
      <c r="DP5" s="152">
        <f>'INVOCAÇÕES'!$Q$628&amp;""</f>
        <v/>
      </c>
      <c r="DQ5" s="152">
        <f>'INVOCAÇÕES'!$S$628&amp;""</f>
        <v/>
      </c>
      <c r="DR5" s="152">
        <f>N('INVOCAÇÕES'!$O$620)</f>
        <v/>
      </c>
      <c r="DS5" s="152">
        <f>N('INVOCAÇÕES'!$P$620)</f>
        <v/>
      </c>
      <c r="DT5" s="152">
        <f>N('INVOCAÇÕES'!$Q$620)</f>
        <v/>
      </c>
      <c r="DU5" s="152">
        <f>N('INVOCAÇÕES'!$R$620)</f>
        <v/>
      </c>
      <c r="DV5" s="152">
        <f>N('INVOCAÇÕES'!$S$620)</f>
        <v/>
      </c>
      <c r="DW5" s="152">
        <f>N('INVOCAÇÕES'!$O$625)</f>
        <v/>
      </c>
      <c r="DX5" s="152">
        <f>N('INVOCAÇÕES'!$P$625)</f>
        <v/>
      </c>
      <c r="DY5" s="152">
        <f>N('INVOCAÇÕES'!$Q$625)</f>
        <v/>
      </c>
      <c r="DZ5" s="152">
        <f>N('INVOCAÇÕES'!$R$625)</f>
        <v/>
      </c>
      <c r="EA5" s="152">
        <f>'INVOCAÇÕES'!$U$607&amp;""</f>
        <v/>
      </c>
      <c r="EB5" s="152">
        <f>N('INVOCAÇÕES'!$W$607)</f>
        <v/>
      </c>
      <c r="EC5" s="152">
        <f>'INVOCAÇÕES'!$Y$607&amp;""</f>
        <v/>
      </c>
      <c r="ED5" s="152">
        <f>'INVOCAÇÕES'!$O$642&amp;""</f>
        <v/>
      </c>
      <c r="EE5" s="152">
        <f>'INVOCAÇÕES'!$P$642&amp;""</f>
        <v/>
      </c>
      <c r="EF5" s="152">
        <f>'INVOCAÇÕES'!$Q$642&amp;""</f>
        <v/>
      </c>
      <c r="EG5" s="152">
        <f>'INVOCAÇÕES'!$R$642&amp;""</f>
        <v/>
      </c>
      <c r="EH5" s="152">
        <f>'INVOCAÇÕES'!$S$642&amp;""</f>
        <v/>
      </c>
      <c r="EI5" s="152">
        <f>'INVOCAÇÕES'!$O$632&amp;""</f>
        <v/>
      </c>
      <c r="EJ5" s="152">
        <f>'INVOCAÇÕES'!$O$633&amp;""</f>
        <v/>
      </c>
      <c r="EK5" s="152">
        <f>'INVOCAÇÕES'!$O$634&amp;""</f>
        <v/>
      </c>
      <c r="EL5" s="152">
        <f>'INVOCAÇÕES'!$O$635&amp;""</f>
        <v/>
      </c>
      <c r="EM5" s="152">
        <f>'INVOCAÇÕES'!$O$636&amp;""</f>
        <v/>
      </c>
      <c r="EN5" s="152">
        <f>'INVOCAÇÕES'!$O$637&amp;""</f>
        <v/>
      </c>
      <c r="EO5" s="152">
        <f>'INVOCAÇÕES'!$O$638&amp;""</f>
        <v/>
      </c>
      <c r="EP5" s="152">
        <f>'INVOCAÇÕES'!$J$674&amp;""</f>
        <v/>
      </c>
      <c r="EQ5" s="152">
        <f>'INVOCAÇÕES'!$J$675&amp;""</f>
        <v/>
      </c>
      <c r="ER5" s="152">
        <f>'INVOCAÇÕES'!$J$676&amp;""</f>
        <v/>
      </c>
      <c r="ES5" s="152">
        <f>'INVOCAÇÕES'!$J$677&amp;""</f>
        <v/>
      </c>
      <c r="ET5" s="152">
        <f>'INVOCAÇÕES'!$J$678&amp;""</f>
        <v/>
      </c>
      <c r="EU5" s="152">
        <f>'INVOCAÇÕES'!$J$679&amp;""</f>
        <v/>
      </c>
      <c r="EV5" s="152">
        <f>'INVOCAÇÕES'!$J$680&amp;""</f>
        <v/>
      </c>
      <c r="EW5" s="152">
        <f>'INVOCAÇÕES'!$J$681&amp;""</f>
        <v/>
      </c>
      <c r="EX5" s="152">
        <f>'INVOCAÇÕES'!$J$776&amp;""</f>
        <v/>
      </c>
      <c r="EY5" s="152">
        <f>'INVOCAÇÕES'!$J$777&amp;""</f>
        <v/>
      </c>
      <c r="EZ5" s="152">
        <f>'INVOCAÇÕES'!$J$778&amp;""</f>
        <v/>
      </c>
      <c r="FA5" s="152">
        <f>MAX(3,MIN(7,N('INVOCAÇÕES'!$I$783)))</f>
        <v/>
      </c>
      <c r="FB5" s="152">
        <f>MAX(3,MIN(7,N('INVOCAÇÕES'!$O$783)))</f>
        <v/>
      </c>
      <c r="FC5" s="152">
        <f>MAX(3,MIN(7,N('INVOCAÇÕES'!$U$783)))</f>
        <v/>
      </c>
      <c r="FD5" s="152">
        <f>'INVOCAÇÕES'!$O$797&amp;""</f>
        <v/>
      </c>
      <c r="FE5" s="152">
        <f>IF($CZ5&lt;&gt;"",1,0)</f>
        <v/>
      </c>
      <c r="FF5" s="152">
        <f>IFERROR(VLOOKUP($DB5,$BO$2:$BP$5,2,FALSE),1)</f>
        <v/>
      </c>
      <c r="FG5" s="152">
        <f>IF($FF5=1,$CW$2,MAX(1,MIN($CW$2,IF($DC5=0,$CW$2,$DC5))))</f>
        <v/>
      </c>
      <c r="FH5" s="152">
        <f>VLOOKUP(MAX(1,$FG5),$A$2:$D$8,2,TRUE)</f>
        <v/>
      </c>
      <c r="FI5" s="152">
        <f>VLOOKUP(MAX(1,$FG5),$A$2:$D$8,3,TRUE)</f>
        <v/>
      </c>
      <c r="FJ5" s="152">
        <f>$DE5+$DJ5</f>
        <v/>
      </c>
      <c r="FK5" s="152">
        <f>$DF5+$DK5</f>
        <v/>
      </c>
      <c r="FL5" s="152">
        <f>$DG5+$DL5</f>
        <v/>
      </c>
      <c r="FM5" s="152">
        <f>$DH5+$DM5</f>
        <v/>
      </c>
      <c r="FN5" s="152">
        <f>$DI5+$DN5</f>
        <v/>
      </c>
      <c r="FO5" s="152">
        <f>SUM($DE5:$DI5)</f>
        <v/>
      </c>
      <c r="FP5" s="152">
        <f>9+$FQ5</f>
        <v/>
      </c>
      <c r="FQ5" s="152">
        <f>COUNTIF($F$2:$F$8,"&lt;="&amp;$FG5)</f>
        <v/>
      </c>
      <c r="FR5" s="152">
        <f>MAX(0,$DE5-3)+MAX(0,$DF5-3)+MAX(0,$DG5-3)+MAX(0,$DH5-3)+MAX(0,$DI5-3)</f>
        <v/>
      </c>
      <c r="FS5" s="152">
        <f>IFERROR(INDEX($FJ5:$FN5,1,MATCH($DO5,$BT$2:$BT$6,0)),"")</f>
        <v/>
      </c>
      <c r="FT5" s="152">
        <f>IF($FS5="","",$FS5+$CW$3+$DR5)</f>
        <v/>
      </c>
      <c r="FU5" s="152">
        <f>IF($FS5="","",8+$FS5+$CW$3+$DS5)</f>
        <v/>
      </c>
      <c r="FV5" s="152">
        <f>10+$FK5+$CW$7+$DT5</f>
        <v/>
      </c>
      <c r="FW5" s="152">
        <f>IF($DA5="Corpo amaldiçoado de criação",1,0)</f>
        <v/>
      </c>
      <c r="FX5" s="152">
        <f>5+$FL5+(3+$FW5+$FL5)*($FG5-1)+$DU5</f>
        <v/>
      </c>
      <c r="FY5" s="152">
        <f>IF($EA5="",$FX5,MAX(0,MIN(IFERROR(VALUE($EA5),$FX5),$FX5)))</f>
        <v/>
      </c>
      <c r="FZ5" s="152">
        <f>9+$DV5</f>
        <v/>
      </c>
      <c r="GA5" s="152">
        <f>IF($DP5="Destreza",$FK5,$FJ5)</f>
        <v/>
      </c>
      <c r="GB5" s="152">
        <f>$GA5+IF($DQ5="Físico",$CW$3,0)+$DW5</f>
        <v/>
      </c>
      <c r="GC5" s="152">
        <f>$FL5+IF($DQ5="Vigor",$CW$3,0)+$DX5</f>
        <v/>
      </c>
      <c r="GD5" s="152">
        <f>$FM5+IF($DQ5="Intelecto",$CW$3,0)+$DY5</f>
        <v/>
      </c>
      <c r="GE5" s="152">
        <f>$FN5+IF($DQ5="Espírito",$CW$3,0)+$DZ5</f>
        <v/>
      </c>
      <c r="GF5" s="152">
        <f>4+INT($DH5/2)</f>
        <v/>
      </c>
      <c r="GG5" s="152">
        <f>COUNTIF($EI5:$EO5,"?*")</f>
        <v/>
      </c>
      <c r="GH5" s="152">
        <f>INT((2+$FG5/2)/2)</f>
        <v/>
      </c>
      <c r="GI5" s="152">
        <f>IF($FG5&gt;=11,2,1)</f>
        <v/>
      </c>
      <c r="GJ5" s="152">
        <f>1+$FQ5</f>
        <v/>
      </c>
      <c r="GK5" s="152">
        <f>COUNTIF($EP5:$EW5,"?*")</f>
        <v/>
      </c>
      <c r="GL5" s="152">
        <f>IF(AND($DA5="Shikigami de criação",$DD5="Com carga"),MAX(1,CEILING($FH5/2,1)),$FH5)</f>
        <v/>
      </c>
      <c r="GM5" s="152">
        <f>$FH5+$GL5</f>
        <v/>
      </c>
      <c r="GN5" s="152">
        <f>$FG5*(1+INT($DI5/3))</f>
        <v/>
      </c>
      <c r="GO5" s="152">
        <f>5+$FJ5</f>
        <v/>
      </c>
      <c r="GP5" s="152">
        <f>COUNTIF($ED5:$EH5,"?*")</f>
        <v/>
      </c>
      <c r="GQ5" s="152">
        <f>IF($ED5="",0,IF(COUNTIF($ED5:$EH5,$ED5)&gt;1,1,0))+IF($EE5="",0,IF(COUNTIF($ED5:$EH5,$EE5)&gt;1,1,0))+IF($EF5="",0,IF(COUNTIF($ED5:$EH5,$EF5)&gt;1,1,0))+IF($EG5="",0,IF(COUNTIF($ED5:$EH5,$EG5)&gt;1,1,0))+IF($EH5="",0,IF(COUNTIF($ED5:$EH5,$EH5)&gt;1,1,0))</f>
        <v/>
      </c>
      <c r="GR5" s="152">
        <f>$CW$11</f>
        <v/>
      </c>
      <c r="GS5" s="152">
        <f>IF($FE5=0,"INVOCAÇÃO 4 · lugar vazio",$CZ5&amp;" · "&amp;$DA5&amp;" · nível "&amp;$FG5&amp;" · vida "&amp;$FY5&amp;" de "&amp;$FX5)</f>
        <v/>
      </c>
      <c r="GT5" s="152">
        <f>IF($FE5=0,"VAZIA",UPPER($CZ5))</f>
        <v/>
      </c>
      <c r="GU5" s="152">
        <f>IF($CW$3&gt;=0,"+","−")&amp;ABS($CW$3)</f>
        <v/>
      </c>
      <c r="GV5" s="152">
        <f>$GL5&amp;" PE"</f>
        <v/>
      </c>
      <c r="GW5" s="152">
        <f>$GM5&amp;" PE"</f>
        <v/>
      </c>
      <c r="GX5" s="152">
        <f>IF(OR($FO5&gt;$FP5,$FR5&gt;$FQ5),"⚠ ",IF(AND($FE5=1,$FO5&lt;$FP5),"! ",""))&amp;"ATRIBUTOS · "&amp;$FO5&amp;" DE "&amp;$FP5&amp;" PONTOS"&amp;IF($FR5&gt;$FQ5," · ACIMA DE 3 SÓ COM MARCO","")</f>
        <v/>
      </c>
      <c r="GY5" s="152">
        <f>IF($FT5="","",IF($FT5&gt;=0,"+","−")&amp;ABS($FT5))</f>
        <v/>
      </c>
      <c r="GZ5" s="152">
        <f>IF($FU5="","",$FU5)</f>
        <v/>
      </c>
      <c r="HA5" s="152">
        <f>SUBSTITUTE($FZ5&amp;" m",".",",")</f>
        <v/>
      </c>
      <c r="HB5" s="152">
        <f>IF($GB5&gt;=0,"+","−")&amp;ABS($GB5)</f>
        <v/>
      </c>
      <c r="HC5" s="152">
        <f>IF($GC5&gt;=0,"+","−")&amp;ABS($GC5)</f>
        <v/>
      </c>
      <c r="HD5" s="152">
        <f>IF($GD5&gt;=0,"+","−")&amp;ABS($GD5)</f>
        <v/>
      </c>
      <c r="HE5" s="152">
        <f>IF($GE5&gt;=0,"+","−")&amp;ABS($GE5)</f>
        <v/>
      </c>
      <c r="HF5" s="152">
        <f>IF($GG5&gt;$GF5,"⚠ ","")&amp;"PERÍCIAS · "&amp;$GG5&amp;" DE "&amp;$GF5</f>
        <v/>
      </c>
      <c r="HG5" s="152">
        <f>IF($EI5="","",IFERROR(IF((INDEX($FJ5:$FN5,1,MATCH(VLOOKUP($EI5,$BZ$2:$CA$24,2,FALSE),$BT$2:$BT$6,0))+$CW$3)&gt;=0,"+","−")&amp;ABS((INDEX($FJ5:$FN5,1,MATCH(VLOOKUP($EI5,$BZ$2:$CA$24,2,FALSE),$BT$2:$BT$6,0))+$CW$3)),""))</f>
        <v/>
      </c>
      <c r="HH5" s="152">
        <f>IF($EJ5="","",IFERROR(IF((INDEX($FJ5:$FN5,1,MATCH(VLOOKUP($EJ5,$BZ$2:$CA$24,2,FALSE),$BT$2:$BT$6,0))+$CW$3)&gt;=0,"+","−")&amp;ABS((INDEX($FJ5:$FN5,1,MATCH(VLOOKUP($EJ5,$BZ$2:$CA$24,2,FALSE),$BT$2:$BT$6,0))+$CW$3)),""))</f>
        <v/>
      </c>
      <c r="HI5" s="152">
        <f>IF($EK5="","",IFERROR(IF((INDEX($FJ5:$FN5,1,MATCH(VLOOKUP($EK5,$BZ$2:$CA$24,2,FALSE),$BT$2:$BT$6,0))+$CW$3)&gt;=0,"+","−")&amp;ABS((INDEX($FJ5:$FN5,1,MATCH(VLOOKUP($EK5,$BZ$2:$CA$24,2,FALSE),$BT$2:$BT$6,0))+$CW$3)),""))</f>
        <v/>
      </c>
      <c r="HJ5" s="152">
        <f>IF($EL5="","",IFERROR(IF((INDEX($FJ5:$FN5,1,MATCH(VLOOKUP($EL5,$BZ$2:$CA$24,2,FALSE),$BT$2:$BT$6,0))+$CW$3)&gt;=0,"+","−")&amp;ABS((INDEX($FJ5:$FN5,1,MATCH(VLOOKUP($EL5,$BZ$2:$CA$24,2,FALSE),$BT$2:$BT$6,0))+$CW$3)),""))</f>
        <v/>
      </c>
      <c r="HK5" s="152">
        <f>IF($EM5="","",IFERROR(IF((INDEX($FJ5:$FN5,1,MATCH(VLOOKUP($EM5,$BZ$2:$CA$24,2,FALSE),$BT$2:$BT$6,0))+$CW$3)&gt;=0,"+","−")&amp;ABS((INDEX($FJ5:$FN5,1,MATCH(VLOOKUP($EM5,$BZ$2:$CA$24,2,FALSE),$BT$2:$BT$6,0))+$CW$3)),""))</f>
        <v/>
      </c>
      <c r="HL5" s="152">
        <f>IF($EN5="","",IFERROR(IF((INDEX($FJ5:$FN5,1,MATCH(VLOOKUP($EN5,$BZ$2:$CA$24,2,FALSE),$BT$2:$BT$6,0))+$CW$3)&gt;=0,"+","−")&amp;ABS((INDEX($FJ5:$FN5,1,MATCH(VLOOKUP($EN5,$BZ$2:$CA$24,2,FALSE),$BT$2:$BT$6,0))+$CW$3)),""))</f>
        <v/>
      </c>
      <c r="HM5" s="152">
        <f>IF($EO5="","",IFERROR(IF((INDEX($FJ5:$FN5,1,MATCH(VLOOKUP($EO5,$BZ$2:$CA$24,2,FALSE),$BT$2:$BT$6,0))+$CW$3)&gt;=0,"+","−")&amp;ABS((INDEX($FJ5:$FN5,1,MATCH(VLOOKUP($EO5,$BZ$2:$CA$24,2,FALSE),$BT$2:$BT$6,0))+$CW$3)),""))</f>
        <v/>
      </c>
      <c r="HN5" s="152">
        <f>IF($DA5="Maldição domada","RESERVA · MÁX. "&amp;$GN5,"RESERVA DE PE")</f>
        <v/>
      </c>
      <c r="HO5" s="152">
        <f>"EQUIPAMENTO · CARGA ATÉ "&amp;$GO5&amp;" DE VOLUME"</f>
        <v/>
      </c>
      <c r="HP5" s="152">
        <f>IF(OR($GQ5&gt;0,$GP5&gt;$GR5),"⚠ ","")&amp;"FAMÍLIAS · "&amp;$GP5&amp;" ABERTAS"&amp;IF($GQ5&gt;0," · REPETIDA","")&amp;IF($GP5&gt;$GR5," · O LIMITE É "&amp;$GR5,"")</f>
        <v/>
      </c>
      <c r="HQ5" s="152">
        <f>"HABILIDADES · básica de "&amp;$FI5&amp;"d6 · "&amp;$GH5&amp;IF($GH5&gt;1," espaços"," espaço")&amp;" de especial até a Classe "&amp;$FH5&amp;" · "&amp;$GJ5&amp;IF($GJ5&gt;1," talentos"," talento")</f>
        <v/>
      </c>
      <c r="HR5" s="152">
        <f>IF($GK5&gt;$GJ5,"⚠ ","")&amp;"TALENTOS · "&amp;$GK5&amp;" DE "&amp;$GJ5</f>
        <v/>
      </c>
      <c r="HS5" s="152">
        <f>IFERROR(VLOOKUP($EP5,$BH$2:$BK$15,2,FALSE),0)</f>
        <v/>
      </c>
      <c r="HT5" s="152">
        <f>IFERROR(VLOOKUP($EQ5,$BH$2:$BK$15,2,FALSE),0)</f>
        <v/>
      </c>
      <c r="HU5" s="152">
        <f>IFERROR(VLOOKUP($ER5,$BH$2:$BK$15,2,FALSE),0)</f>
        <v/>
      </c>
      <c r="HV5" s="152">
        <f>IFERROR(VLOOKUP($ES5,$BH$2:$BK$15,2,FALSE),0)</f>
        <v/>
      </c>
      <c r="HW5" s="152">
        <f>IFERROR(VLOOKUP($ET5,$BH$2:$BK$15,2,FALSE),0)</f>
        <v/>
      </c>
      <c r="HX5" s="152">
        <f>IFERROR(VLOOKUP($EU5,$BH$2:$BK$15,2,FALSE),0)</f>
        <v/>
      </c>
      <c r="HY5" s="152">
        <f>IFERROR(VLOOKUP($EV5,$BH$2:$BK$15,2,FALSE),0)</f>
        <v/>
      </c>
      <c r="HZ5" s="152">
        <f>IFERROR(VLOOKUP($EW5,$BH$2:$BK$15,2,FALSE),0)</f>
        <v/>
      </c>
      <c r="IA5" s="152">
        <f>IF($EP5="","",IF(1&gt;$FG5,"⚠ Este talento abre no nível 1",IF($HS5&gt;1,"⚠ Categoria "&amp;$HS5&amp;": este ganho vai até a 1 · ","")&amp;IFERROR(VLOOKUP($EP5,$BH$2:$BK$15,3,FALSE),"")))</f>
        <v/>
      </c>
      <c r="IB5" s="152">
        <f>IF($EQ5="","",IF(6&gt;$FG5,"⚠ Este talento abre no nível 6",IF($HT5&gt;1,"⚠ Categoria "&amp;$HT5&amp;": este ganho vai até a 1 · ","")&amp;IFERROR(VLOOKUP($EQ5,$BH$2:$BK$15,3,FALSE),"")))</f>
        <v/>
      </c>
      <c r="IC5" s="152">
        <f>IF($ER5="","",IF(10&gt;$FG5,"⚠ Este talento abre no nível 10",IF($HU5&gt;2,"⚠ Categoria "&amp;$HU5&amp;": este ganho vai até a 2 · ","")&amp;IFERROR(VLOOKUP($ER5,$BH$2:$BK$15,3,FALSE),"")))</f>
        <v/>
      </c>
      <c r="ID5" s="152">
        <f>IF($ES5="","",IF(14&gt;$FG5,"⚠ Este talento abre no nível 14",IF($HV5&gt;3,"⚠ Categoria "&amp;$HV5&amp;": este ganho vai até a 3 · ","")&amp;IFERROR(VLOOKUP($ES5,$BH$2:$BK$15,3,FALSE),"")))</f>
        <v/>
      </c>
      <c r="IE5" s="152">
        <f>IF($ET5="","",IF(18&gt;$FG5,"⚠ Este talento abre no nível 18",IF($HW5&gt;3,"⚠ Categoria "&amp;$HW5&amp;": este ganho vai até a 3 · ","")&amp;IFERROR(VLOOKUP($ET5,$BH$2:$BK$15,3,FALSE),"")))</f>
        <v/>
      </c>
      <c r="IF5" s="152">
        <f>IF($EU5="","",IF(22&gt;$FG5,"⚠ Este talento abre no nível 22",IF($HX5&gt;3,"⚠ Categoria "&amp;$HX5&amp;": este ganho vai até a 3 · ","")&amp;IFERROR(VLOOKUP($EU5,$BH$2:$BK$15,3,FALSE),"")))</f>
        <v/>
      </c>
      <c r="IG5" s="152">
        <f>IF($EV5="","",IF(26&gt;$FG5,"⚠ Este talento abre no nível 26",IF($HY5&gt;3,"⚠ Categoria "&amp;$HY5&amp;": este ganho vai até a 3 · ","")&amp;IFERROR(VLOOKUP($EV5,$BH$2:$BK$15,3,FALSE),"")))</f>
        <v/>
      </c>
      <c r="IH5" s="152">
        <f>IF($EW5="","",IF(30&gt;$FG5,"⚠ Este talento abre no nível 30",IF($HZ5&gt;3,"⚠ Categoria "&amp;$HZ5&amp;": este ganho vai até a 3 · ","")&amp;IFERROR(VLOOKUP($EW5,$BH$2:$BK$15,3,FALSE),"")))</f>
        <v/>
      </c>
      <c r="II5" s="152">
        <f>IF($EX5="","",IFERROR(VLOOKUP($EX5,$BH$2:$BK$15,3,FALSE),""))</f>
        <v/>
      </c>
      <c r="IJ5" s="152">
        <f>IF($EY5="","",IFERROR(VLOOKUP($EY5,$BH$2:$BK$15,3,FALSE),""))</f>
        <v/>
      </c>
      <c r="IK5" s="152">
        <f>IF($EZ5="","",IFERROR(VLOOKUP($EZ5,$BH$2:$BK$15,3,FALSE),""))</f>
        <v/>
      </c>
      <c r="IL5" s="152">
        <f>CEILING(4.5*$FA5,1)&amp;" PE"</f>
        <v/>
      </c>
      <c r="IM5" s="152">
        <f>CEILING(4.5*$FB5,1)&amp;" PE"</f>
        <v/>
      </c>
      <c r="IN5" s="152">
        <f>CEILING(4.5*$FC5,1)&amp;" PE"</f>
        <v/>
      </c>
      <c r="IO5" s="152">
        <f>INDEX($P$2:$P$8,$FA5)&amp;" pontos + "&amp;$FA5&amp;"d8"</f>
        <v/>
      </c>
      <c r="IP5" s="152">
        <f>INDEX($P$2:$P$8,$FB5)&amp;" pontos + "&amp;$FB5&amp;"d8"</f>
        <v/>
      </c>
      <c r="IQ5" s="152">
        <f>INDEX($P$2:$P$8,$FC5)&amp;" pontos + "&amp;$FC5&amp;"d8"</f>
        <v/>
      </c>
      <c r="IR5" s="152">
        <f>IF($FG5&lt;17,"—",VLOOKUP($FG5,$CK$2:$CN$4,4,TRUE)&amp;" PE")</f>
        <v/>
      </c>
      <c r="IS5" s="152">
        <f>IF($FG5&lt;17,"Abre no nível 17",VLOOKUP($FG5,$CK$2:$CN$4,2,TRUE)&amp;" fixos · "&amp;VLOOKUP($FG5,$CK$2:$CN$4,3,TRUE)&amp;" pontos")</f>
        <v/>
      </c>
      <c r="IT5" s="152">
        <f>IF($FD5="Sem Barreiras",7,6)*$FH5&amp;" PE"</f>
        <v/>
      </c>
      <c r="IU5" s="152">
        <f>"Acerto "&amp;$FH5&amp;"d8"</f>
        <v/>
      </c>
      <c r="IV5" s="152">
        <f>IFERROR(VLOOKUP($FD5,$CP$2:$CR$4,3,FALSE),"Escolha o degrau")</f>
        <v/>
      </c>
      <c r="IW5" s="152">
        <f>4&amp;" · "&amp;IF($FE5=0,"vazia",$CZ5&amp;" · nv "&amp;$FG5&amp;" · "&amp;$FY5&amp;"/"&amp;$FX5)</f>
        <v/>
      </c>
      <c r="IY5" s="150" t="inlineStr">
        <is>
          <t>Invocação 4</t>
        </is>
      </c>
      <c r="IZ5" s="152">
        <f>ADDRESS(ROW('INVOCAÇÕES'!D24),COLUMN('INVOCAÇÕES'!D24),4)</f>
        <v/>
      </c>
      <c r="JA5" s="152">
        <f>ADDRESS(ROW('INVOCAÇÕES'!H603),COLUMN('INVOCAÇÕES'!H603),4)</f>
        <v/>
      </c>
      <c r="JB5" s="150" t="inlineStr">
        <is>
          <t>DADOS_INVOC!$IW$5</t>
        </is>
      </c>
      <c r="JD5" s="152">
        <f>IF(OR($AW5="",COUNTIF($ED$2:$EH$2,$AW5)&gt;0),$AV5,"")</f>
        <v/>
      </c>
      <c r="JE5" s="152">
        <f>IF(AND($AX5=1,OR($AW5="",COUNTIF($ED$2:$EH$2,$AW5)&gt;0)),$AV5,"")</f>
        <v/>
      </c>
      <c r="JG5" s="152">
        <f>IF(OR($W5="",COUNTIF($ED$2:$EH$2,$W5)&gt;0),$V5,"")</f>
        <v/>
      </c>
      <c r="JH5" s="152">
        <f>IF(AND($AF5=1,OR($W5="",COUNTIF($ED$2:$EH$2,$W5)&gt;0)),$V5,"")</f>
        <v/>
      </c>
      <c r="JJ5" s="152">
        <f>IF(OR($AW5="",COUNTIF($ED$3:$EH$3,$AW5)&gt;0),$AV5,"")</f>
        <v/>
      </c>
      <c r="JK5" s="152">
        <f>IF(AND($AX5=1,OR($AW5="",COUNTIF($ED$3:$EH$3,$AW5)&gt;0)),$AV5,"")</f>
        <v/>
      </c>
      <c r="JM5" s="152">
        <f>IF(OR($W5="",COUNTIF($ED$3:$EH$3,$W5)&gt;0),$V5,"")</f>
        <v/>
      </c>
      <c r="JN5" s="152">
        <f>IF(AND($AF5=1,OR($W5="",COUNTIF($ED$3:$EH$3,$W5)&gt;0)),$V5,"")</f>
        <v/>
      </c>
      <c r="JP5" s="152">
        <f>IF(OR($AW5="",COUNTIF($ED$4:$EH$4,$AW5)&gt;0),$AV5,"")</f>
        <v/>
      </c>
      <c r="JQ5" s="152">
        <f>IF(AND($AX5=1,OR($AW5="",COUNTIF($ED$4:$EH$4,$AW5)&gt;0)),$AV5,"")</f>
        <v/>
      </c>
      <c r="JS5" s="152">
        <f>IF(OR($W5="",COUNTIF($ED$4:$EH$4,$W5)&gt;0),$V5,"")</f>
        <v/>
      </c>
      <c r="JT5" s="152">
        <f>IF(AND($AF5=1,OR($W5="",COUNTIF($ED$4:$EH$4,$W5)&gt;0)),$V5,"")</f>
        <v/>
      </c>
      <c r="JV5" s="152">
        <f>IF(OR($AW5="",COUNTIF($ED$5:$EH$5,$AW5)&gt;0),$AV5,"")</f>
        <v/>
      </c>
      <c r="JW5" s="152">
        <f>IF(AND($AX5=1,OR($AW5="",COUNTIF($ED$5:$EH$5,$AW5)&gt;0)),$AV5,"")</f>
        <v/>
      </c>
      <c r="JY5" s="152">
        <f>IF(OR($W5="",COUNTIF($ED$5:$EH$5,$W5)&gt;0),$V5,"")</f>
        <v/>
      </c>
      <c r="JZ5" s="152">
        <f>IF(AND($AF5=1,OR($W5="",COUNTIF($ED$5:$EH$5,$W5)&gt;0)),$V5,"")</f>
        <v/>
      </c>
      <c r="KB5" s="152">
        <f>IF(OR($AW5="",COUNTIF($ED$6:$EH$6,$AW5)&gt;0),$AV5,"")</f>
        <v/>
      </c>
      <c r="KC5" s="152">
        <f>IF(AND($AX5=1,OR($AW5="",COUNTIF($ED$6:$EH$6,$AW5)&gt;0)),$AV5,"")</f>
        <v/>
      </c>
      <c r="KE5" s="152">
        <f>IF(OR($W5="",COUNTIF($ED$6:$EH$6,$W5)&gt;0),$V5,"")</f>
        <v/>
      </c>
      <c r="KF5" s="152">
        <f>IF(AND($AF5=1,OR($W5="",COUNTIF($ED$6:$EH$6,$W5)&gt;0)),$V5,"")</f>
        <v/>
      </c>
      <c r="KH5" s="152">
        <f>IF(OR($AW5="",COUNTIF($ED$7:$EH$7,$AW5)&gt;0),$AV5,"")</f>
        <v/>
      </c>
      <c r="KI5" s="152">
        <f>IF(AND($AX5=1,OR($AW5="",COUNTIF($ED$7:$EH$7,$AW5)&gt;0)),$AV5,"")</f>
        <v/>
      </c>
      <c r="KK5" s="152">
        <f>IF(OR($W5="",COUNTIF($ED$7:$EH$7,$W5)&gt;0),$V5,"")</f>
        <v/>
      </c>
      <c r="KL5" s="152">
        <f>IF(AND($AF5=1,OR($W5="",COUNTIF($ED$7:$EH$7,$W5)&gt;0)),$V5,"")</f>
        <v/>
      </c>
      <c r="KN5" s="152">
        <f>IF(OR($AW5="",COUNTIF($ED$8:$EH$8,$AW5)&gt;0),$AV5,"")</f>
        <v/>
      </c>
      <c r="KO5" s="152">
        <f>IF(AND($AX5=1,OR($AW5="",COUNTIF($ED$8:$EH$8,$AW5)&gt;0)),$AV5,"")</f>
        <v/>
      </c>
      <c r="KQ5" s="152">
        <f>IF(OR($W5="",COUNTIF($ED$8:$EH$8,$W5)&gt;0),$V5,"")</f>
        <v/>
      </c>
      <c r="KR5" s="152">
        <f>IF(AND($AF5=1,OR($W5="",COUNTIF($ED$8:$EH$8,$W5)&gt;0)),$V5,"")</f>
        <v/>
      </c>
      <c r="KT5" s="152">
        <f>IF(OR($AW5="",COUNTIF($ED$9:$EH$9,$AW5)&gt;0),$AV5,"")</f>
        <v/>
      </c>
      <c r="KU5" s="152">
        <f>IF(AND($AX5=1,OR($AW5="",COUNTIF($ED$9:$EH$9,$AW5)&gt;0)),$AV5,"")</f>
        <v/>
      </c>
      <c r="KW5" s="152">
        <f>IF(OR($W5="",COUNTIF($ED$9:$EH$9,$W5)&gt;0),$V5,"")</f>
        <v/>
      </c>
      <c r="KX5" s="152">
        <f>IF(AND($AF5=1,OR($W5="",COUNTIF($ED$9:$EH$9,$W5)&gt;0)),$V5,"")</f>
        <v/>
      </c>
      <c r="KZ5" s="152">
        <f>IF(OR($AW5="",COUNTIF($ED$10:$EH$10,$AW5)&gt;0),$AV5,"")</f>
        <v/>
      </c>
      <c r="LA5" s="152">
        <f>IF(AND($AX5=1,OR($AW5="",COUNTIF($ED$10:$EH$10,$AW5)&gt;0)),$AV5,"")</f>
        <v/>
      </c>
      <c r="LC5" s="152">
        <f>IF(OR($W5="",COUNTIF($ED$10:$EH$10,$W5)&gt;0),$V5,"")</f>
        <v/>
      </c>
      <c r="LD5" s="152">
        <f>IF(AND($AF5=1,OR($W5="",COUNTIF($ED$10:$EH$10,$W5)&gt;0)),$V5,"")</f>
        <v/>
      </c>
      <c r="LF5" s="152">
        <f>IF(OR($AW5="",COUNTIF($ED$11:$EH$11,$AW5)&gt;0),$AV5,"")</f>
        <v/>
      </c>
      <c r="LG5" s="152">
        <f>IF(AND($AX5=1,OR($AW5="",COUNTIF($ED$11:$EH$11,$AW5)&gt;0)),$AV5,"")</f>
        <v/>
      </c>
      <c r="LI5" s="152">
        <f>IF(OR($W5="",COUNTIF($ED$11:$EH$11,$W5)&gt;0),$V5,"")</f>
        <v/>
      </c>
      <c r="LJ5" s="152">
        <f>IF(AND($AF5=1,OR($W5="",COUNTIF($ED$11:$EH$11,$W5)&gt;0)),$V5,"")</f>
        <v/>
      </c>
      <c r="LL5" s="152">
        <f>IF(OR($AW5="",COUNTIF($ED$12:$EH$12,$AW5)&gt;0),$AV5,"")</f>
        <v/>
      </c>
      <c r="LM5" s="152">
        <f>IF(AND($AX5=1,OR($AW5="",COUNTIF($ED$12:$EH$12,$AW5)&gt;0)),$AV5,"")</f>
        <v/>
      </c>
      <c r="LO5" s="152">
        <f>IF(OR($W5="",COUNTIF($ED$12:$EH$12,$W5)&gt;0),$V5,"")</f>
        <v/>
      </c>
      <c r="LP5" s="152">
        <f>IF(AND($AF5=1,OR($W5="",COUNTIF($ED$12:$EH$12,$W5)&gt;0)),$V5,"")</f>
        <v/>
      </c>
      <c r="LR5" s="152">
        <f>IF(OR($AW5="",COUNTIF($ED$13:$EH$13,$AW5)&gt;0),$AV5,"")</f>
        <v/>
      </c>
      <c r="LS5" s="152">
        <f>IF(AND($AX5=1,OR($AW5="",COUNTIF($ED$13:$EH$13,$AW5)&gt;0)),$AV5,"")</f>
        <v/>
      </c>
      <c r="LU5" s="152">
        <f>IF(OR($W5="",COUNTIF($ED$13:$EH$13,$W5)&gt;0),$V5,"")</f>
        <v/>
      </c>
      <c r="LV5" s="152">
        <f>IF(AND($AF5=1,OR($W5="",COUNTIF($ED$13:$EH$13,$W5)&gt;0)),$V5,"")</f>
        <v/>
      </c>
      <c r="LX5" s="150" t="inlineStr">
        <is>
          <t>Ficha 1 · Básica 2</t>
        </is>
      </c>
      <c r="LY5" s="152" t="n">
        <v>1</v>
      </c>
      <c r="LZ5" s="152" t="n">
        <v>0</v>
      </c>
      <c r="MA5" s="152" t="n">
        <v>11</v>
      </c>
      <c r="MB5" s="150" t="inlineStr">
        <is>
          <t>BÁSICA 2</t>
        </is>
      </c>
      <c r="MC5" s="152" t="n">
        <v>0</v>
      </c>
      <c r="MD5" s="152">
        <f>'INVOCAÇÕES'!$J$92&amp;""</f>
        <v/>
      </c>
      <c r="ME5" s="152">
        <f>'INVOCAÇÕES'!$I$97&amp;""</f>
        <v/>
      </c>
      <c r="MF5" s="152">
        <f>'INVOCAÇÕES'!$I$98&amp;""</f>
        <v/>
      </c>
      <c r="MG5" s="152">
        <f>'INVOCAÇÕES'!$K$98&amp;""</f>
        <v/>
      </c>
      <c r="MH5" s="152">
        <f>'INVOCAÇÕES'!$J$101&amp;""</f>
        <v/>
      </c>
      <c r="MI5" s="152">
        <f>'INVOCAÇÕES'!$J$102&amp;""</f>
        <v/>
      </c>
      <c r="MJ5" s="152">
        <f>'INVOCAÇÕES'!$J$103&amp;""</f>
        <v/>
      </c>
      <c r="MK5" s="152">
        <f>'INVOCAÇÕES'!$J$104&amp;""</f>
        <v/>
      </c>
      <c r="ML5" s="152">
        <f>'INVOCAÇÕES'!$J$105&amp;""</f>
        <v/>
      </c>
      <c r="MM5" s="152">
        <f>'INVOCAÇÕES'!$J$106&amp;""</f>
        <v/>
      </c>
      <c r="MN5" s="152">
        <f>IF($MD5&lt;&gt;"",1,0)</f>
        <v/>
      </c>
      <c r="MO5" s="152">
        <f>INDEX($FG$2:$FG$13,$LY5)</f>
        <v/>
      </c>
      <c r="MP5" s="152">
        <f>INDEX($FH$2:$FH$13,$LY5)</f>
        <v/>
      </c>
      <c r="MQ5" s="152">
        <f>INDEX($FI$2:$FI$13,$LY5)</f>
        <v/>
      </c>
      <c r="MR5" s="152">
        <f>INDEX($FT$2:$FT$13,$LY5)</f>
        <v/>
      </c>
      <c r="MS5" s="152">
        <f>INDEX($FU$2:$FU$13,$LY5)</f>
        <v/>
      </c>
      <c r="MT5" s="152">
        <f>IFERROR(MATCH($ME5,$V$2:$V$11,0),0)</f>
        <v/>
      </c>
      <c r="MU5" s="152">
        <f>IFERROR(VLOOKUP($MH5,$AV$2:$AZ$84,2,FALSE),"")</f>
        <v/>
      </c>
      <c r="MV5" s="152">
        <f>IFERROR(VLOOKUP($MI5,$AV$2:$AZ$84,2,FALSE),"")</f>
        <v/>
      </c>
      <c r="MW5" s="152">
        <f>IFERROR(VLOOKUP($MJ5,$AV$2:$AZ$84,2,FALSE),"")</f>
        <v/>
      </c>
      <c r="MX5" s="152">
        <f>IFERROR(VLOOKUP($MK5,$AV$2:$AZ$84,2,FALSE),"")</f>
        <v/>
      </c>
      <c r="MY5" s="152">
        <f>IFERROR(VLOOKUP($MH5,$AV$2:$AZ$84,3,FALSE),0)</f>
        <v/>
      </c>
      <c r="MZ5" s="152">
        <f>IFERROR(VLOOKUP($MI5,$AV$2:$AZ$84,3,FALSE),0)</f>
        <v/>
      </c>
      <c r="NA5" s="152">
        <f>IFERROR(VLOOKUP($MJ5,$AV$2:$AZ$84,3,FALSE),0)</f>
        <v/>
      </c>
      <c r="NB5" s="152">
        <f>IFERROR(VLOOKUP($MK5,$AV$2:$AZ$84,3,FALSE),0)</f>
        <v/>
      </c>
      <c r="NC5" s="152">
        <f>IF($MC5=0,0,IF($MT5=0,0,INDEX($X$2:$X$11,$MT5)))</f>
        <v/>
      </c>
      <c r="ND5" s="152">
        <f>IF(OR($MY5=0,$MC5=0),0,$MY5+3*IF(AND($MU5&lt;&gt;"",OR($MU5=INDEX($ED$2:$ED$13,$LY5),$MU5=INDEX($EE$2:$EE$13,$LY5))),1,0))</f>
        <v/>
      </c>
      <c r="NE5" s="152">
        <f>IF(OR($MZ5=0,$MC5=0),0,$MZ5+3*IF(AND($MV5&lt;&gt;"",OR($MV5=INDEX($ED$2:$ED$13,$LY5),$MV5=INDEX($EE$2:$EE$13,$LY5))),1,0))</f>
        <v/>
      </c>
      <c r="NF5" s="152">
        <f>IF(OR($NA5=0,$MC5=0),0,$NA5+3*IF(AND($MW5&lt;&gt;"",OR($MW5=INDEX($ED$2:$ED$13,$LY5),$MW5=INDEX($EE$2:$EE$13,$LY5))),1,0))</f>
        <v/>
      </c>
      <c r="NG5" s="152">
        <f>IF(OR($NB5=0,$MC5=0),0,$NB5+3*IF(AND($MX5&lt;&gt;"",OR($MX5=INDEX($ED$2:$ED$13,$LY5),$MX5=INDEX($EE$2:$EE$13,$LY5))),1,0))</f>
        <v/>
      </c>
      <c r="NH5" s="152">
        <f>IF($MT5=0,0,IF(INDEX($W$2:$W$11,$MT5)="",0,IF(COUNTIF(INDEX($ED$2:$EH$13,$LY5,0),INDEX($W$2:$W$11,$MT5))=0,1,0)))</f>
        <v/>
      </c>
      <c r="NI5" s="152">
        <f>IF(OR($MY5=0,$MU5=""),0,IF(COUNTIF(INDEX($ED$2:$EH$13,$LY5,0),$MU5)=0,1,0))</f>
        <v/>
      </c>
      <c r="NJ5" s="152">
        <f>IF(OR($MZ5=0,$MV5=""),0,IF(COUNTIF(INDEX($ED$2:$EH$13,$LY5,0),$MV5)=0,1,0))</f>
        <v/>
      </c>
      <c r="NK5" s="152">
        <f>IF(OR($NA5=0,$MW5=""),0,IF(COUNTIF(INDEX($ED$2:$EH$13,$LY5,0),$MW5)=0,1,0))</f>
        <v/>
      </c>
      <c r="NL5" s="152">
        <f>IF(OR($NB5=0,$MX5=""),0,IF(COUNTIF(INDEX($ED$2:$EH$13,$LY5,0),$MX5)=0,1,0))</f>
        <v/>
      </c>
      <c r="NM5" s="152">
        <f>IFERROR(VLOOKUP($MH5,$AV$2:$AZ$84,4,FALSE),0)+IFERROR(VLOOKUP($MI5,$AV$2:$AZ$84,4,FALSE),0)+IFERROR(VLOOKUP($MJ5,$AV$2:$AZ$84,4,FALSE),0)+IFERROR(VLOOKUP($MK5,$AV$2:$AZ$84,4,FALSE),0)</f>
        <v/>
      </c>
      <c r="NN5" s="152">
        <f>TEXTJOIN(", ",TRUE,IF(IFERROR(VLOOKUP($MH5,$AV$2:$AZ$84,5,FALSE),0)=1,$MH5,""),IF(IFERROR(VLOOKUP($MI5,$AV$2:$AZ$84,5,FALSE),0)=1,$MI5,""),IF(IFERROR(VLOOKUP($MJ5,$AV$2:$AZ$84,5,FALSE),0)=1,$MJ5,""),IF(IFERROR(VLOOKUP($MK5,$AV$2:$AZ$84,5,FALSE),0)=1,$MK5,""))</f>
        <v/>
      </c>
      <c r="NO5" s="152">
        <f>IF($MT5=0,0,INDEX($Y$2:$Y$11,$MT5))</f>
        <v/>
      </c>
      <c r="NP5" s="152">
        <f>IF($MT5=0,0,INDEX($Z$2:$Z$11,$MT5))</f>
        <v/>
      </c>
      <c r="NQ5" s="152">
        <f>IF($MT5=0,0,INDEX($AB$2:$AB$11,$MT5))</f>
        <v/>
      </c>
      <c r="NR5" s="152">
        <f>IFERROR(VLOOKUP($ML5,$BB$2:$BF$24,3,FALSE),0)</f>
        <v/>
      </c>
      <c r="NS5" s="152">
        <f>IFERROR(VLOOKUP($MM5,$BB$2:$BF$24,3,FALSE),0)</f>
        <v/>
      </c>
      <c r="NT5" s="152">
        <f>IFERROR(VLOOKUP($ML5,$BB$2:$BF$24,2,FALSE),"")</f>
        <v/>
      </c>
      <c r="NU5" s="152">
        <f>IFERROR(VLOOKUP($MM5,$BB$2:$BF$24,2,FALSE),"")</f>
        <v/>
      </c>
      <c r="NV5" s="152">
        <f>COUNTIF($NC5:$NG5,1)</f>
        <v/>
      </c>
      <c r="NW5" s="152">
        <f>COUNTIF($NC5:$NG5,2)</f>
        <v/>
      </c>
      <c r="NX5" s="152">
        <f>COUNTIF($NC5:$NG5,3)</f>
        <v/>
      </c>
      <c r="NY5" s="152">
        <f>COUNTIF($NC5:$NG5,4)</f>
        <v/>
      </c>
      <c r="NZ5" s="152">
        <f>COUNTIF($NC5:$NG5,5)</f>
        <v/>
      </c>
      <c r="OA5" s="152">
        <f>COUNTIF($NC5:$NG5,6)</f>
        <v/>
      </c>
      <c r="OB5" s="152">
        <f>COUNTIF($NR5:$NS5,1)</f>
        <v/>
      </c>
      <c r="OC5" s="152">
        <f>COUNTIF($NR5:$NS5,2)+$NO5</f>
        <v/>
      </c>
      <c r="OD5" s="152">
        <f>COUNTIF($MH5:$MK5,"?*")</f>
        <v/>
      </c>
      <c r="OE5" s="152">
        <f>COUNTIF($ML5:$MM5,"?*")+$NO5</f>
        <v/>
      </c>
      <c r="OF5" s="152">
        <f>IF($MC5=0,0,SUMPRODUCT($NV5:$OA5,INDEX($I$2:$N$8,MAX(1,$MC5),0)))</f>
        <v/>
      </c>
      <c r="OG5" s="152">
        <f>IF($MC5=0,0,$OB5*CEILING($MC5/2,1)+$OC5*$MC5)</f>
        <v/>
      </c>
      <c r="OH5" s="152">
        <f>MIN(2*$MC5,$OG5)</f>
        <v/>
      </c>
      <c r="OI5" s="152">
        <f>MIN($OH5,$OF5)</f>
        <v/>
      </c>
      <c r="OJ5" s="152">
        <f>$OH5-$OI5</f>
        <v/>
      </c>
      <c r="OK5" s="152">
        <f>IF($MC5=0,0,INDEX($P$2:$P$8,MAX(1,$MC5)))</f>
        <v/>
      </c>
      <c r="OL5" s="152">
        <f>$OK5-$OF5+$OI5</f>
        <v/>
      </c>
      <c r="OM5" s="152">
        <f>IF($MC5=0,MAX(0,$MQ5-IF($OD5&gt;0,1,0)),MAX(0,$OL5))</f>
        <v/>
      </c>
      <c r="ON5" s="152">
        <f>IF($MC5=0,0,(IF(COUNTIF($MH5:$MK5,"Salto")&gt;0,1,0)+IF(COUNTIF($MH5:$MK5,"Queima")&gt;0,1,0)+IF(COUNTIF($MH5:$MK5,"Estilhaço")&gt;0,1,0))*FLOOR($OM5/2,1))</f>
        <v/>
      </c>
      <c r="OO5" s="152">
        <f>MAX(0,2-SUMPRODUCT($NV5:$OA5,$I$2:$N$2)+MIN(2,$OB5*1+$OC5*1,SUMPRODUCT($NV5:$OA5,$I$2:$N$2)))</f>
        <v/>
      </c>
      <c r="OP5" s="152">
        <f>MAX(0,4-SUMPRODUCT($NV5:$OA5,$I$3:$N$3)+MIN(4,$OB5*1+$OC5*2,SUMPRODUCT($NV5:$OA5,$I$3:$N$3)))</f>
        <v/>
      </c>
      <c r="OQ5" s="152">
        <f>MAX(0,6-SUMPRODUCT($NV5:$OA5,$I$4:$N$4)+MIN(6,$OB5*2+$OC5*3,SUMPRODUCT($NV5:$OA5,$I$4:$N$4)))</f>
        <v/>
      </c>
      <c r="OR5" s="152">
        <f>MAX(0,9-SUMPRODUCT($NV5:$OA5,$I$5:$N$5)+MIN(8,$OB5*2+$OC5*4,SUMPRODUCT($NV5:$OA5,$I$5:$N$5)))</f>
        <v/>
      </c>
      <c r="OS5" s="152">
        <f>MAX(0,11-SUMPRODUCT($NV5:$OA5,$I$6:$N$6)+MIN(10,$OB5*3+$OC5*5,SUMPRODUCT($NV5:$OA5,$I$6:$N$6)))</f>
        <v/>
      </c>
      <c r="OT5" s="152">
        <f>MAX(0,13-SUMPRODUCT($NV5:$OA5,$I$7:$N$7)+MIN(12,$OB5*3+$OC5*6,SUMPRODUCT($NV5:$OA5,$I$7:$N$7)))</f>
        <v/>
      </c>
      <c r="OU5" s="152">
        <f>MAX(0,16-SUMPRODUCT($NV5:$OA5,$I$8:$N$8)+MIN(14,$OB5*4+$OC5*7,SUMPRODUCT($NV5:$OA5,$I$8:$N$8)))</f>
        <v/>
      </c>
      <c r="OV5" s="152">
        <f>IF($NP5=2,3*$OO5&amp;" de vida temp.",IF($NP5=3,"sem dano",IF($OO5=0,IF($NP5=1,"sem cura","sem dano"),IF($NP5=1,"cura ","")&amp;$OO5&amp;"d8")))</f>
        <v/>
      </c>
      <c r="OW5" s="152">
        <f>IF($NP5=2,3*$OP5&amp;" de vida temp.",IF($NP5=3,"sem dano",IF($OP5=0,IF($NP5=1,"sem cura","sem dano"),IF($NP5=1,"cura ","")&amp;$OP5&amp;"d8")))</f>
        <v/>
      </c>
      <c r="OX5" s="152">
        <f>IF($NP5=2,3*$OQ5&amp;" de vida temp.",IF($NP5=3,"sem dano",IF($OQ5=0,IF($NP5=1,"sem cura","sem dano"),IF($NP5=1,"cura ","")&amp;$OQ5&amp;"d8")))</f>
        <v/>
      </c>
      <c r="OY5" s="152">
        <f>IF($NP5=2,3*$OR5&amp;" de vida temp.",IF($NP5=3,"sem dano",IF($OR5=0,IF($NP5=1,"sem cura","sem dano"),IF($NP5=1,"cura ","")&amp;$OR5&amp;"d8")))</f>
        <v/>
      </c>
      <c r="OZ5" s="152">
        <f>IF($NP5=2,3*$OS5&amp;" de vida temp.",IF($NP5=3,"sem dano",IF($OS5=0,IF($NP5=1,"sem cura","sem dano"),IF($NP5=1,"cura ","")&amp;$OS5&amp;"d8")))</f>
        <v/>
      </c>
      <c r="PA5" s="152">
        <f>IF($NP5=2,3*$OT5&amp;" de vida temp.",IF($NP5=3,"sem dano",IF($OT5=0,IF($NP5=1,"sem cura","sem dano"),IF($NP5=1,"cura ","")&amp;$OT5&amp;"d8")))</f>
        <v/>
      </c>
      <c r="PB5" s="152">
        <f>IF($NP5=2,3*$OU5&amp;" de vida temp.",IF($NP5=3,"sem dano",IF($OU5=0,IF($NP5=1,"sem cura","sem dano"),IF($NP5=1,"cura ","")&amp;$OU5&amp;"d8")))</f>
        <v/>
      </c>
      <c r="PC5" s="152">
        <f>IF($MN5=0,"",TEXTJOIN(" · ",TRUE,IF($MA5&gt;$MO5,"Este lugar abre no nível "&amp;$MA5,""),IF($MC5&gt;$MP5,"Classe "&amp;$MC5&amp;": o nível "&amp;$MO5&amp;" libera até a "&amp;$MP5,""),IF($NH5=1,"A Forma "&amp;$ME5&amp;" pede "&amp;INDEX($W$2:$W$11,$MT5)&amp;" aberta",""),IF(AND($MC5=0,$MT5&gt;0,IF($MT5=0,0,INDEX($AF$2:$AF$11,$MT5))=0),$ME5&amp;" não existe na Classe 0",""),IF($NI5=1,"Família Fechada: "&amp;$MH5,""),IF($NJ5=1,"Família Fechada: "&amp;$MI5,""),IF($NK5=1,"Família Fechada: "&amp;$MJ5,""),IF($NL5=1,"Família Fechada: "&amp;$MK5,""),IF(AND($MC5&gt;0,$OD5&gt;INDEX($O$2:$O$8,MAX(1,$MC5))),$OD5&amp;" Melhorias: a Classe "&amp;$MC5&amp;" aceita "&amp;INDEX($O$2:$O$8,MAX(1,$MC5)),""),IF(AND($MC5=0,$OD5&gt;1),"A básica aceita uma Melhoria",""),IF(AND($MC5=0,COUNTIF($MY5:$NB5,"&gt;1")&gt;0),"A básica só aceita Melhoria Leve",""),IF(AND($MC5&gt;0,$OE5&gt;2),$OE5&amp;" Restrições"&amp;IF($NO5=1,", contando a que a Forma "&amp;$ME5&amp;" já traz","")&amp;": o limite é 2",""),IF(AND($MC5=0,COUNTIF($ML5:$MM5,"?*")&gt;1),"A básica aceita uma Restrição Leve",""),IF(AND($MC5=0,COUNTIF($NR5:$NS5,2)&gt;0),"A básica só aceita Restrição Leve",""),IF(AND($MC5&gt;0,$OL5&lt;0),"Orçamento estourado: faltam "&amp;(-$OL5)&amp;IF($OL5&lt;-1," pontos"," ponto"),""),IF(IFERROR(VLOOKUP($ML5,$BB$2:$BF$24,4,FALSE),0)+IFERROR(VLOOKUP($MM5,$BB$2:$BF$24,4,FALSE),0)&gt;1,$NT5&amp;" e "&amp;$NU5&amp;" são as duas de frequência",""),IF(AND((COUNTIF($MH5:$MK5,"Rápido")+COUNTIF($NT5:$NU5,"Rápido"))&gt;0,(COUNTIF($MH5:$MK5,"Atrasar")+COUNTIF($NT5:$NU5,"Atrasar"))&gt;0),"Rápido não entra com Atrasar",""),IF(AND((COUNTIF($MH5:$MK5,"Reação")+COUNTIF($NT5:$NU5,"Reação"))&gt;0,(COUNTIF($MH5:$MK5,"Rápido")+COUNTIF($NT5:$NU5,"Rápido"))&gt;0),"Reação não entra com Rápido",""),IF(AND((COUNTIF($MH5:$MK5,"Reação")+COUNTIF($NT5:$NU5,"Reação"))&gt;0,(COUNTIF($MH5:$MK5,"Armado")+COUNTIF($NT5:$NU5,"Armado"))&gt;0),"Reação não entra com Armado",""),IF(AND((COUNTIF($MH5:$MK5,"Reação")+COUNTIF($NT5:$NU5,"Reação"))&gt;0,(COUNTIF($MH5:$MK5,"Atrasar")+COUNTIF($NT5:$NU5,"Atrasar"))&gt;0),"Reação não entra com Atrasar",""),IF(AND((COUNTIF($MH5:$MK5,"Reação")+COUNTIF($NT5:$NU5,"Reação"))&gt;0,(COUNTIF($MH5:$MK5,"Parado")+COUNTIF($NT5:$NU5,"Parado"))&gt;0),"Reação não entra com Parado",""),IF(AND((COUNTIF($MH5:$MK5,"Atrasar")+COUNTIF($NT5:$NU5,"Atrasar"))&gt;0,(COUNTIF($MH5:$MK5,"Parado")+COUNTIF($NT5:$NU5,"Parado"))&gt;0),"Atrasar não entra com Parado",""),IF(AND((COUNTIF($MH5:$MK5,"Armado")+COUNTIF($NT5:$NU5,"Armado"))&gt;0,(COUNTIF($MH5:$MK5,"Carregar")+COUNTIF($NT5:$NU5,"Carregar"))&gt;0),"Armado não entra com Carregar",""),IF(AND(COUNTIF($NT5:$NU5,"Corpo a Corpo")&gt;0,$NO5=0,OR($ME5="Cone",$ME5="Linha")),"Corpo a Corpo não entra em "&amp;$ME5,""),IF(AND(COUNTIF($NT5:$NU5,"Corpo a Corpo")&gt;0,$NO5=1),"A Forma "&amp;$ME5&amp;" já traz o Corpo a Corpo",""),IF(AND(COUNTIF($NT5:$NU5,"Tudo ou Nada")&gt;0,$NQ5=0),"Tudo ou Nada só entra em habilidade de Teste de Resistência",""),IF(AND(COUNTIF($MH5:$MK5,"Inescapável")&gt;0,OR($OD5&gt;1,$OE5&gt;0)),"Inescapável não aceita outra peça",""),IF(AND($MC5&gt;0,$OM5*IF(COUNTIF($MH5:$MK5,"Remate")&gt;0,1.25,1)+$ON5&gt;4*$MC5),($OM5*IF(COUNTIF($MH5:$MK5,"Remate")&gt;0,1.25,1)+$ON5)&amp;" dados somando repetições"&amp;IF(COUNTIF($MH5:$MK5,"Remate")&gt;0," e o Remate","")&amp;": o teto da Classe "&amp;$MC5&amp;" é "&amp;4*$MC5,"")))</f>
        <v/>
      </c>
      <c r="PD5" s="152">
        <f>IF($PC5="",0,(LEN($PC5)-LEN(SUBSTITUTE($PC5," · ","")))/3+1)</f>
        <v/>
      </c>
      <c r="PE5" s="152">
        <f>IF($MN5=0,"",TEXTJOIN(" · ",TRUE,IF($OG5&gt;2*$MC5,"A devolução parou no teto de "&amp;2*$MC5,""),IF($OJ5&gt;0,"Devolução perdida: "&amp;$OJ5&amp;IF($OJ5&gt;1," pontos"," ponto")&amp;" sem peça para pagar",""),IF(AND($NM5&gt;0,AND($MC5&gt;0,$NP5=0),$OM5=0),"Controle sem dano: uma rodada a mais e CD +2",""),IF(AND($NM5&gt;0,AND($MC5&gt;0,$NP5=0),$OM5&gt;0,$OM5&lt;=$MC5),"Controle com saldo até a Classe: uma rodada a mais",""),IF(AND($MC5&gt;0,$NN5&lt;&gt;""),"Efeito de "&amp;$NN5&amp;" pela Classe "&amp;MAX(1,$MC5-1),"")))</f>
        <v/>
      </c>
      <c r="PF5" s="152">
        <f>IF($PE5="",0,(LEN($PE5)-LEN(SUBSTITUTE($PE5," · ","")))/3+1)</f>
        <v/>
      </c>
      <c r="PG5" s="152">
        <f>IF($MN5=0,IF($OD5+COUNTIF($ML5:$MM5,"?*")&gt;0,"Dê um nome",""),IF($PD5&gt;0,"⚠ "&amp;$PD5&amp;IF($PD5&gt;1," erros"," erro"),IF($PF5&gt;0,"! "&amp;$PF5&amp;IF($PF5&gt;1," avisos"," aviso"),"Na regra")))</f>
        <v/>
      </c>
      <c r="PH5" s="152">
        <f>IF($MN5=0,"",IF($PD5+$PF5=0,"Dentro das regras que a ficha confere",$PC5&amp;IF(AND($PD5&gt;0,$PF5&gt;0)," · ","")&amp;$PE5))</f>
        <v/>
      </c>
      <c r="PI5" s="152">
        <f>IF($MA5&gt;$MO5,$MB5&amp;" · ABRE NO NÍVEL "&amp;$MA5,$MB5)</f>
        <v/>
      </c>
      <c r="PJ5" s="152">
        <f>IF($MN5=0,"",IF($MC5=0,"Sem PE",3*$MC5&amp;" PE"))</f>
        <v/>
      </c>
      <c r="PK5" s="152">
        <f>IF($MN5=0,"",IF($MC5=0,"A atuação básica dela",IF(COUNTIF($NT5:$NU5,"Atrasar")&gt;0,"Sua Ação Completa",IF(COUNTIF($MH5:$MK5,"Rápido")&gt;0,"Sua Bônus",IF(COUNTIF($MH5:$MK5,"Reação")&gt;0,"Sua Reação","Sua Padrão")))&amp;" + a básica dela"&amp;IF(COUNTIF($MH5:$MK5,"Reação")&gt;0," e a coletiva","")&amp;IF(COUNTIF($NT5:$NU5,"Carregar")&gt;0," · em dois turnos","")))</f>
        <v/>
      </c>
      <c r="PL5" s="152">
        <f>IF($MG5&lt;&gt;"",$MG5,IF($MT5=0,"",INDEX($AA$2:$AA$11,$MT5)))</f>
        <v/>
      </c>
      <c r="PM5" s="152">
        <f>IF(OR($MN5=0,$MT5=0),"",IF(COUNTIF($MH5:$MK5,"Inescapável")&gt;0,"Automático",IF($PL5="Ataque",IF($MR5="","Ataque","Ataque "&amp;IF(($MR5+2*IF(COUNTIF($MH5:$MK5,"Precisão")&gt;0,1,0))&gt;=0,"+","−")&amp;ABS(($MR5+2*IF(COUNTIF($MH5:$MK5,"Precisão")&gt;0,1,0)))),IF(LEFT($PL5,2)="TR",$PL5&amp;IF($MS5="",""," · CD "&amp;$MS5)&amp;IF(COUNTIF($MH5:$MK5,"Certeiro")&gt;0," · metade",""),"Sem rolagem"))))</f>
        <v/>
      </c>
      <c r="PN5" s="152">
        <f>IF(OR($MN5=0,$MT5=0),"",IF($MC5=0,IF(OR($NP5&gt;=1,$OM5=0),"Sem dano",$OM5&amp;"d6"&amp;IF($MF5="",""," "&amp;$MF5)),IF(OR($NP5&gt;=1,$OM5=0),UPPER(LEFT(INDEX($OV5:$PB5,1,MAX(1,$MC5)),1))&amp;MID(INDEX($OV5:$PB5,1,MAX(1,$MC5)),2,99),UPPER(LEFT(INDEX($OV5:$PB5,1,MAX(1,$MC5)),1))&amp;MID(INDEX($OV5:$PB5,1,MAX(1,$MC5)),2,99)&amp;IF($MF5="",""," "&amp;$MF5)&amp;IF($ON5&gt;0," · +"&amp;$ON5&amp;"d8",""))))</f>
        <v/>
      </c>
      <c r="PO5" s="152">
        <f>COUNTIF($MH5:$MK5,"Longe")+3*COUNTIF($MH5:$MK5,"Muito Longe")</f>
        <v/>
      </c>
      <c r="PP5" s="152">
        <f>COUNTIF($MH5:$MK5,"Maior")+3*COUNTIF($MH5:$MK5,"Muito Maior")</f>
        <v/>
      </c>
      <c r="PQ5" s="152">
        <f>IF($MT5=0,0,CHOOSE(1+INDEX($AC$2:$AC$11,$MT5),0,$PO5,$PP5,$PO5+$PP5))</f>
        <v/>
      </c>
      <c r="PR5" s="152">
        <f>IF($MT5=0,0,CHOOSE(1+INDEX($AD$2:$AD$11,$MT5),0,$PO5,$PP5,$PO5+$PP5))</f>
        <v/>
      </c>
      <c r="PS5" s="152">
        <f>IF(OR($MN5=0,$MT5=0),"",INDEX($AI$2:$AN$41,($MT5-1)*4+IF($MC5=0,1,IF($MC5&lt;=5,2,IF($MC5=6,3,4))),1+MIN(5,$PQ5))&amp;INDEX($AO$2:$AT$41,($MT5-1)*4+IF($MC5=0,1,IF($MC5&lt;=5,2,IF($MC5=6,3,4))),1+MIN(5,$PR5))&amp;IF(INDEX($AE$2:$AE$11,$MT5)=1,IF(COUNTIF($MH5:$MK5,"Mais Um")&gt;0," · +"&amp;COUNTIF($MH5:$MK5,"Mais Um")&amp;IF(COUNTIF($MH5:$MK5,"Mais Um")&gt;1," alvos"," alvo"),"")&amp;IF(COUNTIF($MH5:$MK5,"Rajada")&gt;0,IF($MC5=0," · 1 tiro"," · "&amp;(MAX(1,$MC5-1)+1)&amp;" tiros"),""),""))</f>
        <v/>
      </c>
      <c r="PT5" s="152">
        <f>IF($MN5=0,"",IF($MC5=0,$MQ5&amp;"d6"&amp;IF($OD5&gt;0," − 1 = "&amp;$OM5&amp;"d6"," da básica do nível "&amp;$MO5),$OK5&amp;" − "&amp;$OF5&amp;" + "&amp;$OI5&amp;" = "&amp;$OL5&amp;" · teto "&amp;4*$MC5&amp;"d8"&amp;IF($NO5=1," · a Forma devolve "&amp;$MC5,"")&amp;IF($OJ5&gt;0," · perde "&amp;$OJ5,"")))</f>
        <v/>
      </c>
      <c r="PU5" s="152">
        <f>IF($MN5=0,"",IF($MC5=0,"A básica não amplia: os dados dela sobem com o nível",IF($MC5&gt;=$MP5,"Já está na maior Classe que o nível liberou",TEXTJOIN(" · ",TRUE,IF(AND(2&gt;$MC5,2&lt;=$MP5),"2 → "&amp;$OW5&amp;", 6 PE",""),IF(AND(3&gt;$MC5,3&lt;=$MP5),"3 → "&amp;$OX5&amp;", 9 PE",""),IF(AND(4&gt;$MC5,4&lt;=$MP5),"4 → "&amp;$OY5&amp;", 12 PE",""),IF(AND(5&gt;$MC5,5&lt;=$MP5),"5 → "&amp;$OZ5&amp;", 15 PE",""),IF(AND(6&gt;$MC5,6&lt;=$MP5),"6 → "&amp;$PA5&amp;", 18 PE",""),IF(AND(7&gt;$MC5,7&lt;=$MP5),"7 → "&amp;$PB5&amp;", 21 PE","")))))</f>
        <v/>
      </c>
      <c r="PV5" s="152">
        <f>IF(OR($MN5=0,$MY5=0),"",IF($MC5=0,"−1 dado","−"&amp;INDEX($I$2:$N$8,MAX(1,$MC5),MAX(1,$ND5))&amp;" · "&amp;CHOOSE(MAX(1,$ND5),"Leve","Média","Pesada","Leve · Livre","Média · Livre","Pesada · Livre")))</f>
        <v/>
      </c>
      <c r="PW5" s="152">
        <f>IF(OR($MN5=0,$MZ5=0),"",IF($MC5=0,"−1 dado","−"&amp;INDEX($I$2:$N$8,MAX(1,$MC5),MAX(1,$NE5))&amp;" · "&amp;CHOOSE(MAX(1,$NE5),"Leve","Média","Pesada","Leve · Livre","Média · Livre","Pesada · Livre")))</f>
        <v/>
      </c>
      <c r="PX5" s="152">
        <f>IF(OR($MN5=0,$NA5=0),"",IF($MC5=0,"−1 dado","−"&amp;INDEX($I$2:$N$8,MAX(1,$MC5),MAX(1,$NF5))&amp;" · "&amp;CHOOSE(MAX(1,$NF5),"Leve","Média","Pesada","Leve · Livre","Média · Livre","Pesada · Livre")))</f>
        <v/>
      </c>
      <c r="PY5" s="152">
        <f>IF(OR($MN5=0,$NB5=0),"",IF($MC5=0,"−1 dado","−"&amp;INDEX($I$2:$N$8,MAX(1,$MC5),MAX(1,$NG5))&amp;" · "&amp;CHOOSE(MAX(1,$NG5),"Leve","Média","Pesada","Leve · Livre","Média · Livre","Pesada · Livre")))</f>
        <v/>
      </c>
      <c r="PZ5" s="152">
        <f>IF(OR($MN5=0,$ML5=""),"",IF($MC5=0,"não devolve","+"&amp;IF($NR5=1,CEILING($MC5/2,1),$MC5)))</f>
        <v/>
      </c>
      <c r="QA5" s="152">
        <f>IF(OR($MN5=0,$MM5=""),"",IF($MC5=0,"não devolve","+"&amp;IF($NS5=1,CEILING($MC5/2,1),$MC5)))</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B6" s="150" t="inlineStr">
        <is>
          <t>Carregar</t>
        </is>
      </c>
      <c r="BC6" s="150" t="inlineStr">
        <is>
          <t>Carregar</t>
        </is>
      </c>
      <c r="BD6" s="152" t="n">
        <v>2</v>
      </c>
      <c r="BE6" s="152" t="n">
        <v>0</v>
      </c>
      <c r="BF6" s="150" t="inlineStr"/>
      <c r="BH6" s="150" t="inlineStr">
        <is>
          <t>Farejador</t>
        </is>
      </c>
      <c r="BI6" s="152" t="n">
        <v>1</v>
      </c>
      <c r="BJ6" s="150" t="inlineStr">
        <is>
          <t>Você sente se houve uma conjuração no local onde está nas últimas 24 horas, e identifica a Classe deixada por ela. Se houver vestígios de mais de uma Classe, reconhece essas Classes.</t>
        </is>
      </c>
      <c r="BK6" s="150" t="inlineStr">
        <is>
          <t>Farejador</t>
        </is>
      </c>
      <c r="BM6" s="150" t="inlineStr">
        <is>
          <t>Maldição domada</t>
        </is>
      </c>
      <c r="BR6" s="150" t="inlineStr">
        <is>
          <t>Auxiliares</t>
        </is>
      </c>
      <c r="BT6" s="150" t="inlineStr">
        <is>
          <t>Essência</t>
        </is>
      </c>
      <c r="BZ6" s="150" t="inlineStr">
        <is>
          <t>Prestidigitação</t>
        </is>
      </c>
      <c r="CA6" s="150" t="inlineStr">
        <is>
          <t>Destreza</t>
        </is>
      </c>
      <c r="CE6" s="150" t="inlineStr">
        <is>
          <t>Frio</t>
        </is>
      </c>
      <c r="CG6" s="150" t="inlineStr">
        <is>
          <t>TR Espírito</t>
        </is>
      </c>
      <c r="CI6" s="152" t="n">
        <v>4</v>
      </c>
      <c r="CV6" s="150" t="inlineStr">
        <is>
          <t>valor da defesa</t>
        </is>
      </c>
      <c r="CW6" s="152">
        <f>IF($CW$5="Inteligência",N(FICHA!$AB$19),N(FICHA!$AJ$19))</f>
        <v/>
      </c>
      <c r="CY6" s="152" t="n">
        <v>5</v>
      </c>
      <c r="CZ6" s="152">
        <f>'INVOCAÇÕES'!$I$805&amp;""</f>
        <v/>
      </c>
      <c r="DA6" s="152">
        <f>'INVOCAÇÕES'!$I$835&amp;""</f>
        <v/>
      </c>
      <c r="DB6" s="152">
        <f>'INVOCAÇÕES'!$I$839&amp;""</f>
        <v/>
      </c>
      <c r="DC6" s="152">
        <f>N('INVOCAÇÕES'!$K$839)</f>
        <v/>
      </c>
      <c r="DD6" s="152">
        <f>'INVOCAÇÕES'!$L$839&amp;""</f>
        <v/>
      </c>
      <c r="DE6" s="152">
        <f>N('INVOCAÇÕES'!$O$812)</f>
        <v/>
      </c>
      <c r="DF6" s="152">
        <f>N('INVOCAÇÕES'!$P$812)</f>
        <v/>
      </c>
      <c r="DG6" s="152">
        <f>N('INVOCAÇÕES'!$Q$812)</f>
        <v/>
      </c>
      <c r="DH6" s="152">
        <f>N('INVOCAÇÕES'!$R$812)</f>
        <v/>
      </c>
      <c r="DI6" s="152">
        <f>N('INVOCAÇÕES'!$S$812)</f>
        <v/>
      </c>
      <c r="DJ6" s="152">
        <f>N('INVOCAÇÕES'!$O$813)</f>
        <v/>
      </c>
      <c r="DK6" s="152">
        <f>N('INVOCAÇÕES'!$P$813)</f>
        <v/>
      </c>
      <c r="DL6" s="152">
        <f>N('INVOCAÇÕES'!$Q$813)</f>
        <v/>
      </c>
      <c r="DM6" s="152">
        <f>N('INVOCAÇÕES'!$R$813)</f>
        <v/>
      </c>
      <c r="DN6" s="152">
        <f>N('INVOCAÇÕES'!$S$813)</f>
        <v/>
      </c>
      <c r="DO6" s="152">
        <f>'INVOCAÇÕES'!$O$826&amp;""</f>
        <v/>
      </c>
      <c r="DP6" s="152">
        <f>'INVOCAÇÕES'!$Q$826&amp;""</f>
        <v/>
      </c>
      <c r="DQ6" s="152">
        <f>'INVOCAÇÕES'!$S$826&amp;""</f>
        <v/>
      </c>
      <c r="DR6" s="152">
        <f>N('INVOCAÇÕES'!$O$818)</f>
        <v/>
      </c>
      <c r="DS6" s="152">
        <f>N('INVOCAÇÕES'!$P$818)</f>
        <v/>
      </c>
      <c r="DT6" s="152">
        <f>N('INVOCAÇÕES'!$Q$818)</f>
        <v/>
      </c>
      <c r="DU6" s="152">
        <f>N('INVOCAÇÕES'!$R$818)</f>
        <v/>
      </c>
      <c r="DV6" s="152">
        <f>N('INVOCAÇÕES'!$S$818)</f>
        <v/>
      </c>
      <c r="DW6" s="152">
        <f>N('INVOCAÇÕES'!$O$823)</f>
        <v/>
      </c>
      <c r="DX6" s="152">
        <f>N('INVOCAÇÕES'!$P$823)</f>
        <v/>
      </c>
      <c r="DY6" s="152">
        <f>N('INVOCAÇÕES'!$Q$823)</f>
        <v/>
      </c>
      <c r="DZ6" s="152">
        <f>N('INVOCAÇÕES'!$R$823)</f>
        <v/>
      </c>
      <c r="EA6" s="152">
        <f>'INVOCAÇÕES'!$U$805&amp;""</f>
        <v/>
      </c>
      <c r="EB6" s="152">
        <f>N('INVOCAÇÕES'!$W$805)</f>
        <v/>
      </c>
      <c r="EC6" s="152">
        <f>'INVOCAÇÕES'!$Y$805&amp;""</f>
        <v/>
      </c>
      <c r="ED6" s="152">
        <f>'INVOCAÇÕES'!$O$840&amp;""</f>
        <v/>
      </c>
      <c r="EE6" s="152">
        <f>'INVOCAÇÕES'!$P$840&amp;""</f>
        <v/>
      </c>
      <c r="EF6" s="152">
        <f>'INVOCAÇÕES'!$Q$840&amp;""</f>
        <v/>
      </c>
      <c r="EG6" s="152">
        <f>'INVOCAÇÕES'!$R$840&amp;""</f>
        <v/>
      </c>
      <c r="EH6" s="152">
        <f>'INVOCAÇÕES'!$S$840&amp;""</f>
        <v/>
      </c>
      <c r="EI6" s="152">
        <f>'INVOCAÇÕES'!$O$830&amp;""</f>
        <v/>
      </c>
      <c r="EJ6" s="152">
        <f>'INVOCAÇÕES'!$O$831&amp;""</f>
        <v/>
      </c>
      <c r="EK6" s="152">
        <f>'INVOCAÇÕES'!$O$832&amp;""</f>
        <v/>
      </c>
      <c r="EL6" s="152">
        <f>'INVOCAÇÕES'!$O$833&amp;""</f>
        <v/>
      </c>
      <c r="EM6" s="152">
        <f>'INVOCAÇÕES'!$O$834&amp;""</f>
        <v/>
      </c>
      <c r="EN6" s="152">
        <f>'INVOCAÇÕES'!$O$835&amp;""</f>
        <v/>
      </c>
      <c r="EO6" s="152">
        <f>'INVOCAÇÕES'!$O$836&amp;""</f>
        <v/>
      </c>
      <c r="EP6" s="152">
        <f>'INVOCAÇÕES'!$J$872&amp;""</f>
        <v/>
      </c>
      <c r="EQ6" s="152">
        <f>'INVOCAÇÕES'!$J$873&amp;""</f>
        <v/>
      </c>
      <c r="ER6" s="152">
        <f>'INVOCAÇÕES'!$J$874&amp;""</f>
        <v/>
      </c>
      <c r="ES6" s="152">
        <f>'INVOCAÇÕES'!$J$875&amp;""</f>
        <v/>
      </c>
      <c r="ET6" s="152">
        <f>'INVOCAÇÕES'!$J$876&amp;""</f>
        <v/>
      </c>
      <c r="EU6" s="152">
        <f>'INVOCAÇÕES'!$J$877&amp;""</f>
        <v/>
      </c>
      <c r="EV6" s="152">
        <f>'INVOCAÇÕES'!$J$878&amp;""</f>
        <v/>
      </c>
      <c r="EW6" s="152">
        <f>'INVOCAÇÕES'!$J$879&amp;""</f>
        <v/>
      </c>
      <c r="EX6" s="152">
        <f>'INVOCAÇÕES'!$J$974&amp;""</f>
        <v/>
      </c>
      <c r="EY6" s="152">
        <f>'INVOCAÇÕES'!$J$975&amp;""</f>
        <v/>
      </c>
      <c r="EZ6" s="152">
        <f>'INVOCAÇÕES'!$J$976&amp;""</f>
        <v/>
      </c>
      <c r="FA6" s="152">
        <f>MAX(3,MIN(7,N('INVOCAÇÕES'!$I$981)))</f>
        <v/>
      </c>
      <c r="FB6" s="152">
        <f>MAX(3,MIN(7,N('INVOCAÇÕES'!$O$981)))</f>
        <v/>
      </c>
      <c r="FC6" s="152">
        <f>MAX(3,MIN(7,N('INVOCAÇÕES'!$U$981)))</f>
        <v/>
      </c>
      <c r="FD6" s="152">
        <f>'INVOCAÇÕES'!$O$995&amp;""</f>
        <v/>
      </c>
      <c r="FE6" s="152">
        <f>IF($CZ6&lt;&gt;"",1,0)</f>
        <v/>
      </c>
      <c r="FF6" s="152">
        <f>IFERROR(VLOOKUP($DB6,$BO$2:$BP$5,2,FALSE),1)</f>
        <v/>
      </c>
      <c r="FG6" s="152">
        <f>IF($FF6=1,$CW$2,MAX(1,MIN($CW$2,IF($DC6=0,$CW$2,$DC6))))</f>
        <v/>
      </c>
      <c r="FH6" s="152">
        <f>VLOOKUP(MAX(1,$FG6),$A$2:$D$8,2,TRUE)</f>
        <v/>
      </c>
      <c r="FI6" s="152">
        <f>VLOOKUP(MAX(1,$FG6),$A$2:$D$8,3,TRUE)</f>
        <v/>
      </c>
      <c r="FJ6" s="152">
        <f>$DE6+$DJ6</f>
        <v/>
      </c>
      <c r="FK6" s="152">
        <f>$DF6+$DK6</f>
        <v/>
      </c>
      <c r="FL6" s="152">
        <f>$DG6+$DL6</f>
        <v/>
      </c>
      <c r="FM6" s="152">
        <f>$DH6+$DM6</f>
        <v/>
      </c>
      <c r="FN6" s="152">
        <f>$DI6+$DN6</f>
        <v/>
      </c>
      <c r="FO6" s="152">
        <f>SUM($DE6:$DI6)</f>
        <v/>
      </c>
      <c r="FP6" s="152">
        <f>9+$FQ6</f>
        <v/>
      </c>
      <c r="FQ6" s="152">
        <f>COUNTIF($F$2:$F$8,"&lt;="&amp;$FG6)</f>
        <v/>
      </c>
      <c r="FR6" s="152">
        <f>MAX(0,$DE6-3)+MAX(0,$DF6-3)+MAX(0,$DG6-3)+MAX(0,$DH6-3)+MAX(0,$DI6-3)</f>
        <v/>
      </c>
      <c r="FS6" s="152">
        <f>IFERROR(INDEX($FJ6:$FN6,1,MATCH($DO6,$BT$2:$BT$6,0)),"")</f>
        <v/>
      </c>
      <c r="FT6" s="152">
        <f>IF($FS6="","",$FS6+$CW$3+$DR6)</f>
        <v/>
      </c>
      <c r="FU6" s="152">
        <f>IF($FS6="","",8+$FS6+$CW$3+$DS6)</f>
        <v/>
      </c>
      <c r="FV6" s="152">
        <f>10+$FK6+$CW$7+$DT6</f>
        <v/>
      </c>
      <c r="FW6" s="152">
        <f>IF($DA6="Corpo amaldiçoado de criação",1,0)</f>
        <v/>
      </c>
      <c r="FX6" s="152">
        <f>5+$FL6+(3+$FW6+$FL6)*($FG6-1)+$DU6</f>
        <v/>
      </c>
      <c r="FY6" s="152">
        <f>IF($EA6="",$FX6,MAX(0,MIN(IFERROR(VALUE($EA6),$FX6),$FX6)))</f>
        <v/>
      </c>
      <c r="FZ6" s="152">
        <f>9+$DV6</f>
        <v/>
      </c>
      <c r="GA6" s="152">
        <f>IF($DP6="Destreza",$FK6,$FJ6)</f>
        <v/>
      </c>
      <c r="GB6" s="152">
        <f>$GA6+IF($DQ6="Físico",$CW$3,0)+$DW6</f>
        <v/>
      </c>
      <c r="GC6" s="152">
        <f>$FL6+IF($DQ6="Vigor",$CW$3,0)+$DX6</f>
        <v/>
      </c>
      <c r="GD6" s="152">
        <f>$FM6+IF($DQ6="Intelecto",$CW$3,0)+$DY6</f>
        <v/>
      </c>
      <c r="GE6" s="152">
        <f>$FN6+IF($DQ6="Espírito",$CW$3,0)+$DZ6</f>
        <v/>
      </c>
      <c r="GF6" s="152">
        <f>4+INT($DH6/2)</f>
        <v/>
      </c>
      <c r="GG6" s="152">
        <f>COUNTIF($EI6:$EO6,"?*")</f>
        <v/>
      </c>
      <c r="GH6" s="152">
        <f>INT((2+$FG6/2)/2)</f>
        <v/>
      </c>
      <c r="GI6" s="152">
        <f>IF($FG6&gt;=11,2,1)</f>
        <v/>
      </c>
      <c r="GJ6" s="152">
        <f>1+$FQ6</f>
        <v/>
      </c>
      <c r="GK6" s="152">
        <f>COUNTIF($EP6:$EW6,"?*")</f>
        <v/>
      </c>
      <c r="GL6" s="152">
        <f>IF(AND($DA6="Shikigami de criação",$DD6="Com carga"),MAX(1,CEILING($FH6/2,1)),$FH6)</f>
        <v/>
      </c>
      <c r="GM6" s="152">
        <f>$FH6+$GL6</f>
        <v/>
      </c>
      <c r="GN6" s="152">
        <f>$FG6*(1+INT($DI6/3))</f>
        <v/>
      </c>
      <c r="GO6" s="152">
        <f>5+$FJ6</f>
        <v/>
      </c>
      <c r="GP6" s="152">
        <f>COUNTIF($ED6:$EH6,"?*")</f>
        <v/>
      </c>
      <c r="GQ6" s="152">
        <f>IF($ED6="",0,IF(COUNTIF($ED6:$EH6,$ED6)&gt;1,1,0))+IF($EE6="",0,IF(COUNTIF($ED6:$EH6,$EE6)&gt;1,1,0))+IF($EF6="",0,IF(COUNTIF($ED6:$EH6,$EF6)&gt;1,1,0))+IF($EG6="",0,IF(COUNTIF($ED6:$EH6,$EG6)&gt;1,1,0))+IF($EH6="",0,IF(COUNTIF($ED6:$EH6,$EH6)&gt;1,1,0))</f>
        <v/>
      </c>
      <c r="GR6" s="152">
        <f>$CW$11</f>
        <v/>
      </c>
      <c r="GS6" s="152">
        <f>IF($FE6=0,"INVOCAÇÃO 5 · lugar vazio",$CZ6&amp;" · "&amp;$DA6&amp;" · nível "&amp;$FG6&amp;" · vida "&amp;$FY6&amp;" de "&amp;$FX6)</f>
        <v/>
      </c>
      <c r="GT6" s="152">
        <f>IF($FE6=0,"VAZIA",UPPER($CZ6))</f>
        <v/>
      </c>
      <c r="GU6" s="152">
        <f>IF($CW$3&gt;=0,"+","−")&amp;ABS($CW$3)</f>
        <v/>
      </c>
      <c r="GV6" s="152">
        <f>$GL6&amp;" PE"</f>
        <v/>
      </c>
      <c r="GW6" s="152">
        <f>$GM6&amp;" PE"</f>
        <v/>
      </c>
      <c r="GX6" s="152">
        <f>IF(OR($FO6&gt;$FP6,$FR6&gt;$FQ6),"⚠ ",IF(AND($FE6=1,$FO6&lt;$FP6),"! ",""))&amp;"ATRIBUTOS · "&amp;$FO6&amp;" DE "&amp;$FP6&amp;" PONTOS"&amp;IF($FR6&gt;$FQ6," · ACIMA DE 3 SÓ COM MARCO","")</f>
        <v/>
      </c>
      <c r="GY6" s="152">
        <f>IF($FT6="","",IF($FT6&gt;=0,"+","−")&amp;ABS($FT6))</f>
        <v/>
      </c>
      <c r="GZ6" s="152">
        <f>IF($FU6="","",$FU6)</f>
        <v/>
      </c>
      <c r="HA6" s="152">
        <f>SUBSTITUTE($FZ6&amp;" m",".",",")</f>
        <v/>
      </c>
      <c r="HB6" s="152">
        <f>IF($GB6&gt;=0,"+","−")&amp;ABS($GB6)</f>
        <v/>
      </c>
      <c r="HC6" s="152">
        <f>IF($GC6&gt;=0,"+","−")&amp;ABS($GC6)</f>
        <v/>
      </c>
      <c r="HD6" s="152">
        <f>IF($GD6&gt;=0,"+","−")&amp;ABS($GD6)</f>
        <v/>
      </c>
      <c r="HE6" s="152">
        <f>IF($GE6&gt;=0,"+","−")&amp;ABS($GE6)</f>
        <v/>
      </c>
      <c r="HF6" s="152">
        <f>IF($GG6&gt;$GF6,"⚠ ","")&amp;"PERÍCIAS · "&amp;$GG6&amp;" DE "&amp;$GF6</f>
        <v/>
      </c>
      <c r="HG6" s="152">
        <f>IF($EI6="","",IFERROR(IF((INDEX($FJ6:$FN6,1,MATCH(VLOOKUP($EI6,$BZ$2:$CA$24,2,FALSE),$BT$2:$BT$6,0))+$CW$3)&gt;=0,"+","−")&amp;ABS((INDEX($FJ6:$FN6,1,MATCH(VLOOKUP($EI6,$BZ$2:$CA$24,2,FALSE),$BT$2:$BT$6,0))+$CW$3)),""))</f>
        <v/>
      </c>
      <c r="HH6" s="152">
        <f>IF($EJ6="","",IFERROR(IF((INDEX($FJ6:$FN6,1,MATCH(VLOOKUP($EJ6,$BZ$2:$CA$24,2,FALSE),$BT$2:$BT$6,0))+$CW$3)&gt;=0,"+","−")&amp;ABS((INDEX($FJ6:$FN6,1,MATCH(VLOOKUP($EJ6,$BZ$2:$CA$24,2,FALSE),$BT$2:$BT$6,0))+$CW$3)),""))</f>
        <v/>
      </c>
      <c r="HI6" s="152">
        <f>IF($EK6="","",IFERROR(IF((INDEX($FJ6:$FN6,1,MATCH(VLOOKUP($EK6,$BZ$2:$CA$24,2,FALSE),$BT$2:$BT$6,0))+$CW$3)&gt;=0,"+","−")&amp;ABS((INDEX($FJ6:$FN6,1,MATCH(VLOOKUP($EK6,$BZ$2:$CA$24,2,FALSE),$BT$2:$BT$6,0))+$CW$3)),""))</f>
        <v/>
      </c>
      <c r="HJ6" s="152">
        <f>IF($EL6="","",IFERROR(IF((INDEX($FJ6:$FN6,1,MATCH(VLOOKUP($EL6,$BZ$2:$CA$24,2,FALSE),$BT$2:$BT$6,0))+$CW$3)&gt;=0,"+","−")&amp;ABS((INDEX($FJ6:$FN6,1,MATCH(VLOOKUP($EL6,$BZ$2:$CA$24,2,FALSE),$BT$2:$BT$6,0))+$CW$3)),""))</f>
        <v/>
      </c>
      <c r="HK6" s="152">
        <f>IF($EM6="","",IFERROR(IF((INDEX($FJ6:$FN6,1,MATCH(VLOOKUP($EM6,$BZ$2:$CA$24,2,FALSE),$BT$2:$BT$6,0))+$CW$3)&gt;=0,"+","−")&amp;ABS((INDEX($FJ6:$FN6,1,MATCH(VLOOKUP($EM6,$BZ$2:$CA$24,2,FALSE),$BT$2:$BT$6,0))+$CW$3)),""))</f>
        <v/>
      </c>
      <c r="HL6" s="152">
        <f>IF($EN6="","",IFERROR(IF((INDEX($FJ6:$FN6,1,MATCH(VLOOKUP($EN6,$BZ$2:$CA$24,2,FALSE),$BT$2:$BT$6,0))+$CW$3)&gt;=0,"+","−")&amp;ABS((INDEX($FJ6:$FN6,1,MATCH(VLOOKUP($EN6,$BZ$2:$CA$24,2,FALSE),$BT$2:$BT$6,0))+$CW$3)),""))</f>
        <v/>
      </c>
      <c r="HM6" s="152">
        <f>IF($EO6="","",IFERROR(IF((INDEX($FJ6:$FN6,1,MATCH(VLOOKUP($EO6,$BZ$2:$CA$24,2,FALSE),$BT$2:$BT$6,0))+$CW$3)&gt;=0,"+","−")&amp;ABS((INDEX($FJ6:$FN6,1,MATCH(VLOOKUP($EO6,$BZ$2:$CA$24,2,FALSE),$BT$2:$BT$6,0))+$CW$3)),""))</f>
        <v/>
      </c>
      <c r="HN6" s="152">
        <f>IF($DA6="Maldição domada","RESERVA · MÁX. "&amp;$GN6,"RESERVA DE PE")</f>
        <v/>
      </c>
      <c r="HO6" s="152">
        <f>"EQUIPAMENTO · CARGA ATÉ "&amp;$GO6&amp;" DE VOLUME"</f>
        <v/>
      </c>
      <c r="HP6" s="152">
        <f>IF(OR($GQ6&gt;0,$GP6&gt;$GR6),"⚠ ","")&amp;"FAMÍLIAS · "&amp;$GP6&amp;" ABERTAS"&amp;IF($GQ6&gt;0," · REPETIDA","")&amp;IF($GP6&gt;$GR6," · O LIMITE É "&amp;$GR6,"")</f>
        <v/>
      </c>
      <c r="HQ6" s="152">
        <f>"HABILIDADES · básica de "&amp;$FI6&amp;"d6 · "&amp;$GH6&amp;IF($GH6&gt;1," espaços"," espaço")&amp;" de especial até a Classe "&amp;$FH6&amp;" · "&amp;$GJ6&amp;IF($GJ6&gt;1," talentos"," talento")</f>
        <v/>
      </c>
      <c r="HR6" s="152">
        <f>IF($GK6&gt;$GJ6,"⚠ ","")&amp;"TALENTOS · "&amp;$GK6&amp;" DE "&amp;$GJ6</f>
        <v/>
      </c>
      <c r="HS6" s="152">
        <f>IFERROR(VLOOKUP($EP6,$BH$2:$BK$15,2,FALSE),0)</f>
        <v/>
      </c>
      <c r="HT6" s="152">
        <f>IFERROR(VLOOKUP($EQ6,$BH$2:$BK$15,2,FALSE),0)</f>
        <v/>
      </c>
      <c r="HU6" s="152">
        <f>IFERROR(VLOOKUP($ER6,$BH$2:$BK$15,2,FALSE),0)</f>
        <v/>
      </c>
      <c r="HV6" s="152">
        <f>IFERROR(VLOOKUP($ES6,$BH$2:$BK$15,2,FALSE),0)</f>
        <v/>
      </c>
      <c r="HW6" s="152">
        <f>IFERROR(VLOOKUP($ET6,$BH$2:$BK$15,2,FALSE),0)</f>
        <v/>
      </c>
      <c r="HX6" s="152">
        <f>IFERROR(VLOOKUP($EU6,$BH$2:$BK$15,2,FALSE),0)</f>
        <v/>
      </c>
      <c r="HY6" s="152">
        <f>IFERROR(VLOOKUP($EV6,$BH$2:$BK$15,2,FALSE),0)</f>
        <v/>
      </c>
      <c r="HZ6" s="152">
        <f>IFERROR(VLOOKUP($EW6,$BH$2:$BK$15,2,FALSE),0)</f>
        <v/>
      </c>
      <c r="IA6" s="152">
        <f>IF($EP6="","",IF(1&gt;$FG6,"⚠ Este talento abre no nível 1",IF($HS6&gt;1,"⚠ Categoria "&amp;$HS6&amp;": este ganho vai até a 1 · ","")&amp;IFERROR(VLOOKUP($EP6,$BH$2:$BK$15,3,FALSE),"")))</f>
        <v/>
      </c>
      <c r="IB6" s="152">
        <f>IF($EQ6="","",IF(6&gt;$FG6,"⚠ Este talento abre no nível 6",IF($HT6&gt;1,"⚠ Categoria "&amp;$HT6&amp;": este ganho vai até a 1 · ","")&amp;IFERROR(VLOOKUP($EQ6,$BH$2:$BK$15,3,FALSE),"")))</f>
        <v/>
      </c>
      <c r="IC6" s="152">
        <f>IF($ER6="","",IF(10&gt;$FG6,"⚠ Este talento abre no nível 10",IF($HU6&gt;2,"⚠ Categoria "&amp;$HU6&amp;": este ganho vai até a 2 · ","")&amp;IFERROR(VLOOKUP($ER6,$BH$2:$BK$15,3,FALSE),"")))</f>
        <v/>
      </c>
      <c r="ID6" s="152">
        <f>IF($ES6="","",IF(14&gt;$FG6,"⚠ Este talento abre no nível 14",IF($HV6&gt;3,"⚠ Categoria "&amp;$HV6&amp;": este ganho vai até a 3 · ","")&amp;IFERROR(VLOOKUP($ES6,$BH$2:$BK$15,3,FALSE),"")))</f>
        <v/>
      </c>
      <c r="IE6" s="152">
        <f>IF($ET6="","",IF(18&gt;$FG6,"⚠ Este talento abre no nível 18",IF($HW6&gt;3,"⚠ Categoria "&amp;$HW6&amp;": este ganho vai até a 3 · ","")&amp;IFERROR(VLOOKUP($ET6,$BH$2:$BK$15,3,FALSE),"")))</f>
        <v/>
      </c>
      <c r="IF6" s="152">
        <f>IF($EU6="","",IF(22&gt;$FG6,"⚠ Este talento abre no nível 22",IF($HX6&gt;3,"⚠ Categoria "&amp;$HX6&amp;": este ganho vai até a 3 · ","")&amp;IFERROR(VLOOKUP($EU6,$BH$2:$BK$15,3,FALSE),"")))</f>
        <v/>
      </c>
      <c r="IG6" s="152">
        <f>IF($EV6="","",IF(26&gt;$FG6,"⚠ Este talento abre no nível 26",IF($HY6&gt;3,"⚠ Categoria "&amp;$HY6&amp;": este ganho vai até a 3 · ","")&amp;IFERROR(VLOOKUP($EV6,$BH$2:$BK$15,3,FALSE),"")))</f>
        <v/>
      </c>
      <c r="IH6" s="152">
        <f>IF($EW6="","",IF(30&gt;$FG6,"⚠ Este talento abre no nível 30",IF($HZ6&gt;3,"⚠ Categoria "&amp;$HZ6&amp;": este ganho vai até a 3 · ","")&amp;IFERROR(VLOOKUP($EW6,$BH$2:$BK$15,3,FALSE),"")))</f>
        <v/>
      </c>
      <c r="II6" s="152">
        <f>IF($EX6="","",IFERROR(VLOOKUP($EX6,$BH$2:$BK$15,3,FALSE),""))</f>
        <v/>
      </c>
      <c r="IJ6" s="152">
        <f>IF($EY6="","",IFERROR(VLOOKUP($EY6,$BH$2:$BK$15,3,FALSE),""))</f>
        <v/>
      </c>
      <c r="IK6" s="152">
        <f>IF($EZ6="","",IFERROR(VLOOKUP($EZ6,$BH$2:$BK$15,3,FALSE),""))</f>
        <v/>
      </c>
      <c r="IL6" s="152">
        <f>CEILING(4.5*$FA6,1)&amp;" PE"</f>
        <v/>
      </c>
      <c r="IM6" s="152">
        <f>CEILING(4.5*$FB6,1)&amp;" PE"</f>
        <v/>
      </c>
      <c r="IN6" s="152">
        <f>CEILING(4.5*$FC6,1)&amp;" PE"</f>
        <v/>
      </c>
      <c r="IO6" s="152">
        <f>INDEX($P$2:$P$8,$FA6)&amp;" pontos + "&amp;$FA6&amp;"d8"</f>
        <v/>
      </c>
      <c r="IP6" s="152">
        <f>INDEX($P$2:$P$8,$FB6)&amp;" pontos + "&amp;$FB6&amp;"d8"</f>
        <v/>
      </c>
      <c r="IQ6" s="152">
        <f>INDEX($P$2:$P$8,$FC6)&amp;" pontos + "&amp;$FC6&amp;"d8"</f>
        <v/>
      </c>
      <c r="IR6" s="152">
        <f>IF($FG6&lt;17,"—",VLOOKUP($FG6,$CK$2:$CN$4,4,TRUE)&amp;" PE")</f>
        <v/>
      </c>
      <c r="IS6" s="152">
        <f>IF($FG6&lt;17,"Abre no nível 17",VLOOKUP($FG6,$CK$2:$CN$4,2,TRUE)&amp;" fixos · "&amp;VLOOKUP($FG6,$CK$2:$CN$4,3,TRUE)&amp;" pontos")</f>
        <v/>
      </c>
      <c r="IT6" s="152">
        <f>IF($FD6="Sem Barreiras",7,6)*$FH6&amp;" PE"</f>
        <v/>
      </c>
      <c r="IU6" s="152">
        <f>"Acerto "&amp;$FH6&amp;"d8"</f>
        <v/>
      </c>
      <c r="IV6" s="152">
        <f>IFERROR(VLOOKUP($FD6,$CP$2:$CR$4,3,FALSE),"Escolha o degrau")</f>
        <v/>
      </c>
      <c r="IW6" s="152">
        <f>5&amp;" · "&amp;IF($FE6=0,"vazia",$CZ6&amp;" · nv "&amp;$FG6&amp;" · "&amp;$FY6&amp;"/"&amp;$FX6)</f>
        <v/>
      </c>
      <c r="IY6" s="150" t="inlineStr">
        <is>
          <t>Invocação 5</t>
        </is>
      </c>
      <c r="IZ6" s="152">
        <f>ADDRESS(ROW('INVOCAÇÕES'!D25),COLUMN('INVOCAÇÕES'!D25),4)</f>
        <v/>
      </c>
      <c r="JA6" s="152">
        <f>ADDRESS(ROW('INVOCAÇÕES'!H801),COLUMN('INVOCAÇÕES'!H801),4)</f>
        <v/>
      </c>
      <c r="JB6" s="150" t="inlineStr">
        <is>
          <t>DADOS_INVOC!$IW$6</t>
        </is>
      </c>
      <c r="JD6" s="152">
        <f>IF(OR($AW6="",COUNTIF($ED$2:$EH$2,$AW6)&gt;0),$AV6,"")</f>
        <v/>
      </c>
      <c r="JE6" s="152">
        <f>IF(AND($AX6=1,OR($AW6="",COUNTIF($ED$2:$EH$2,$AW6)&gt;0)),$AV6,"")</f>
        <v/>
      </c>
      <c r="JG6" s="152">
        <f>IF(OR($W6="",COUNTIF($ED$2:$EH$2,$W6)&gt;0),$V6,"")</f>
        <v/>
      </c>
      <c r="JH6" s="152">
        <f>IF(AND($AF6=1,OR($W6="",COUNTIF($ED$2:$EH$2,$W6)&gt;0)),$V6,"")</f>
        <v/>
      </c>
      <c r="JJ6" s="152">
        <f>IF(OR($AW6="",COUNTIF($ED$3:$EH$3,$AW6)&gt;0),$AV6,"")</f>
        <v/>
      </c>
      <c r="JK6" s="152">
        <f>IF(AND($AX6=1,OR($AW6="",COUNTIF($ED$3:$EH$3,$AW6)&gt;0)),$AV6,"")</f>
        <v/>
      </c>
      <c r="JM6" s="152">
        <f>IF(OR($W6="",COUNTIF($ED$3:$EH$3,$W6)&gt;0),$V6,"")</f>
        <v/>
      </c>
      <c r="JN6" s="152">
        <f>IF(AND($AF6=1,OR($W6="",COUNTIF($ED$3:$EH$3,$W6)&gt;0)),$V6,"")</f>
        <v/>
      </c>
      <c r="JP6" s="152">
        <f>IF(OR($AW6="",COUNTIF($ED$4:$EH$4,$AW6)&gt;0),$AV6,"")</f>
        <v/>
      </c>
      <c r="JQ6" s="152">
        <f>IF(AND($AX6=1,OR($AW6="",COUNTIF($ED$4:$EH$4,$AW6)&gt;0)),$AV6,"")</f>
        <v/>
      </c>
      <c r="JS6" s="152">
        <f>IF(OR($W6="",COUNTIF($ED$4:$EH$4,$W6)&gt;0),$V6,"")</f>
        <v/>
      </c>
      <c r="JT6" s="152">
        <f>IF(AND($AF6=1,OR($W6="",COUNTIF($ED$4:$EH$4,$W6)&gt;0)),$V6,"")</f>
        <v/>
      </c>
      <c r="JV6" s="152">
        <f>IF(OR($AW6="",COUNTIF($ED$5:$EH$5,$AW6)&gt;0),$AV6,"")</f>
        <v/>
      </c>
      <c r="JW6" s="152">
        <f>IF(AND($AX6=1,OR($AW6="",COUNTIF($ED$5:$EH$5,$AW6)&gt;0)),$AV6,"")</f>
        <v/>
      </c>
      <c r="JY6" s="152">
        <f>IF(OR($W6="",COUNTIF($ED$5:$EH$5,$W6)&gt;0),$V6,"")</f>
        <v/>
      </c>
      <c r="JZ6" s="152">
        <f>IF(AND($AF6=1,OR($W6="",COUNTIF($ED$5:$EH$5,$W6)&gt;0)),$V6,"")</f>
        <v/>
      </c>
      <c r="KB6" s="152">
        <f>IF(OR($AW6="",COUNTIF($ED$6:$EH$6,$AW6)&gt;0),$AV6,"")</f>
        <v/>
      </c>
      <c r="KC6" s="152">
        <f>IF(AND($AX6=1,OR($AW6="",COUNTIF($ED$6:$EH$6,$AW6)&gt;0)),$AV6,"")</f>
        <v/>
      </c>
      <c r="KE6" s="152">
        <f>IF(OR($W6="",COUNTIF($ED$6:$EH$6,$W6)&gt;0),$V6,"")</f>
        <v/>
      </c>
      <c r="KF6" s="152">
        <f>IF(AND($AF6=1,OR($W6="",COUNTIF($ED$6:$EH$6,$W6)&gt;0)),$V6,"")</f>
        <v/>
      </c>
      <c r="KH6" s="152">
        <f>IF(OR($AW6="",COUNTIF($ED$7:$EH$7,$AW6)&gt;0),$AV6,"")</f>
        <v/>
      </c>
      <c r="KI6" s="152">
        <f>IF(AND($AX6=1,OR($AW6="",COUNTIF($ED$7:$EH$7,$AW6)&gt;0)),$AV6,"")</f>
        <v/>
      </c>
      <c r="KK6" s="152">
        <f>IF(OR($W6="",COUNTIF($ED$7:$EH$7,$W6)&gt;0),$V6,"")</f>
        <v/>
      </c>
      <c r="KL6" s="152">
        <f>IF(AND($AF6=1,OR($W6="",COUNTIF($ED$7:$EH$7,$W6)&gt;0)),$V6,"")</f>
        <v/>
      </c>
      <c r="KN6" s="152">
        <f>IF(OR($AW6="",COUNTIF($ED$8:$EH$8,$AW6)&gt;0),$AV6,"")</f>
        <v/>
      </c>
      <c r="KO6" s="152">
        <f>IF(AND($AX6=1,OR($AW6="",COUNTIF($ED$8:$EH$8,$AW6)&gt;0)),$AV6,"")</f>
        <v/>
      </c>
      <c r="KQ6" s="152">
        <f>IF(OR($W6="",COUNTIF($ED$8:$EH$8,$W6)&gt;0),$V6,"")</f>
        <v/>
      </c>
      <c r="KR6" s="152">
        <f>IF(AND($AF6=1,OR($W6="",COUNTIF($ED$8:$EH$8,$W6)&gt;0)),$V6,"")</f>
        <v/>
      </c>
      <c r="KT6" s="152">
        <f>IF(OR($AW6="",COUNTIF($ED$9:$EH$9,$AW6)&gt;0),$AV6,"")</f>
        <v/>
      </c>
      <c r="KU6" s="152">
        <f>IF(AND($AX6=1,OR($AW6="",COUNTIF($ED$9:$EH$9,$AW6)&gt;0)),$AV6,"")</f>
        <v/>
      </c>
      <c r="KW6" s="152">
        <f>IF(OR($W6="",COUNTIF($ED$9:$EH$9,$W6)&gt;0),$V6,"")</f>
        <v/>
      </c>
      <c r="KX6" s="152">
        <f>IF(AND($AF6=1,OR($W6="",COUNTIF($ED$9:$EH$9,$W6)&gt;0)),$V6,"")</f>
        <v/>
      </c>
      <c r="KZ6" s="152">
        <f>IF(OR($AW6="",COUNTIF($ED$10:$EH$10,$AW6)&gt;0),$AV6,"")</f>
        <v/>
      </c>
      <c r="LA6" s="152">
        <f>IF(AND($AX6=1,OR($AW6="",COUNTIF($ED$10:$EH$10,$AW6)&gt;0)),$AV6,"")</f>
        <v/>
      </c>
      <c r="LC6" s="152">
        <f>IF(OR($W6="",COUNTIF($ED$10:$EH$10,$W6)&gt;0),$V6,"")</f>
        <v/>
      </c>
      <c r="LD6" s="152">
        <f>IF(AND($AF6=1,OR($W6="",COUNTIF($ED$10:$EH$10,$W6)&gt;0)),$V6,"")</f>
        <v/>
      </c>
      <c r="LF6" s="152">
        <f>IF(OR($AW6="",COUNTIF($ED$11:$EH$11,$AW6)&gt;0),$AV6,"")</f>
        <v/>
      </c>
      <c r="LG6" s="152">
        <f>IF(AND($AX6=1,OR($AW6="",COUNTIF($ED$11:$EH$11,$AW6)&gt;0)),$AV6,"")</f>
        <v/>
      </c>
      <c r="LI6" s="152">
        <f>IF(OR($W6="",COUNTIF($ED$11:$EH$11,$W6)&gt;0),$V6,"")</f>
        <v/>
      </c>
      <c r="LJ6" s="152">
        <f>IF(AND($AF6=1,OR($W6="",COUNTIF($ED$11:$EH$11,$W6)&gt;0)),$V6,"")</f>
        <v/>
      </c>
      <c r="LL6" s="152">
        <f>IF(OR($AW6="",COUNTIF($ED$12:$EH$12,$AW6)&gt;0),$AV6,"")</f>
        <v/>
      </c>
      <c r="LM6" s="152">
        <f>IF(AND($AX6=1,OR($AW6="",COUNTIF($ED$12:$EH$12,$AW6)&gt;0)),$AV6,"")</f>
        <v/>
      </c>
      <c r="LO6" s="152">
        <f>IF(OR($W6="",COUNTIF($ED$12:$EH$12,$W6)&gt;0),$V6,"")</f>
        <v/>
      </c>
      <c r="LP6" s="152">
        <f>IF(AND($AF6=1,OR($W6="",COUNTIF($ED$12:$EH$12,$W6)&gt;0)),$V6,"")</f>
        <v/>
      </c>
      <c r="LR6" s="152">
        <f>IF(OR($AW6="",COUNTIF($ED$13:$EH$13,$AW6)&gt;0),$AV6,"")</f>
        <v/>
      </c>
      <c r="LS6" s="152">
        <f>IF(AND($AX6=1,OR($AW6="",COUNTIF($ED$13:$EH$13,$AW6)&gt;0)),$AV6,"")</f>
        <v/>
      </c>
      <c r="LU6" s="152">
        <f>IF(OR($W6="",COUNTIF($ED$13:$EH$13,$W6)&gt;0),$V6,"")</f>
        <v/>
      </c>
      <c r="LV6" s="152">
        <f>IF(AND($AF6=1,OR($W6="",COUNTIF($ED$13:$EH$13,$W6)&gt;0)),$V6,"")</f>
        <v/>
      </c>
      <c r="LX6" s="150" t="inlineStr">
        <is>
          <t>Ficha 1 · Especial 3</t>
        </is>
      </c>
      <c r="LY6" s="152" t="n">
        <v>1</v>
      </c>
      <c r="LZ6" s="152" t="n">
        <v>1</v>
      </c>
      <c r="MA6" s="152" t="n">
        <v>8</v>
      </c>
      <c r="MB6" s="150" t="inlineStr">
        <is>
          <t>ESPECIAL 3</t>
        </is>
      </c>
      <c r="MC6" s="152">
        <f>MAX(1,MIN(7,N('INVOCAÇÕES'!$O$92)))</f>
        <v/>
      </c>
      <c r="MD6" s="152">
        <f>'INVOCAÇÕES'!$P$92&amp;""</f>
        <v/>
      </c>
      <c r="ME6" s="152">
        <f>'INVOCAÇÕES'!$O$97&amp;""</f>
        <v/>
      </c>
      <c r="MF6" s="152">
        <f>'INVOCAÇÕES'!$O$98&amp;""</f>
        <v/>
      </c>
      <c r="MG6" s="152">
        <f>'INVOCAÇÕES'!$Q$98&amp;""</f>
        <v/>
      </c>
      <c r="MH6" s="152">
        <f>'INVOCAÇÕES'!$P$101&amp;""</f>
        <v/>
      </c>
      <c r="MI6" s="152">
        <f>'INVOCAÇÕES'!$P$102&amp;""</f>
        <v/>
      </c>
      <c r="MJ6" s="152">
        <f>'INVOCAÇÕES'!$P$103&amp;""</f>
        <v/>
      </c>
      <c r="MK6" s="152">
        <f>'INVOCAÇÕES'!$P$104&amp;""</f>
        <v/>
      </c>
      <c r="ML6" s="152">
        <f>'INVOCAÇÕES'!$P$105&amp;""</f>
        <v/>
      </c>
      <c r="MM6" s="152">
        <f>'INVOCAÇÕES'!$P$106&amp;""</f>
        <v/>
      </c>
      <c r="MN6" s="152">
        <f>IF($MD6&lt;&gt;"",1,0)</f>
        <v/>
      </c>
      <c r="MO6" s="152">
        <f>INDEX($FG$2:$FG$13,$LY6)</f>
        <v/>
      </c>
      <c r="MP6" s="152">
        <f>INDEX($FH$2:$FH$13,$LY6)</f>
        <v/>
      </c>
      <c r="MQ6" s="152">
        <f>INDEX($FI$2:$FI$13,$LY6)</f>
        <v/>
      </c>
      <c r="MR6" s="152">
        <f>INDEX($FT$2:$FT$13,$LY6)</f>
        <v/>
      </c>
      <c r="MS6" s="152">
        <f>INDEX($FU$2:$FU$13,$LY6)</f>
        <v/>
      </c>
      <c r="MT6" s="152">
        <f>IFERROR(MATCH($ME6,$V$2:$V$11,0),0)</f>
        <v/>
      </c>
      <c r="MU6" s="152">
        <f>IFERROR(VLOOKUP($MH6,$AV$2:$AZ$84,2,FALSE),"")</f>
        <v/>
      </c>
      <c r="MV6" s="152">
        <f>IFERROR(VLOOKUP($MI6,$AV$2:$AZ$84,2,FALSE),"")</f>
        <v/>
      </c>
      <c r="MW6" s="152">
        <f>IFERROR(VLOOKUP($MJ6,$AV$2:$AZ$84,2,FALSE),"")</f>
        <v/>
      </c>
      <c r="MX6" s="152">
        <f>IFERROR(VLOOKUP($MK6,$AV$2:$AZ$84,2,FALSE),"")</f>
        <v/>
      </c>
      <c r="MY6" s="152">
        <f>IFERROR(VLOOKUP($MH6,$AV$2:$AZ$84,3,FALSE),0)</f>
        <v/>
      </c>
      <c r="MZ6" s="152">
        <f>IFERROR(VLOOKUP($MI6,$AV$2:$AZ$84,3,FALSE),0)</f>
        <v/>
      </c>
      <c r="NA6" s="152">
        <f>IFERROR(VLOOKUP($MJ6,$AV$2:$AZ$84,3,FALSE),0)</f>
        <v/>
      </c>
      <c r="NB6" s="152">
        <f>IFERROR(VLOOKUP($MK6,$AV$2:$AZ$84,3,FALSE),0)</f>
        <v/>
      </c>
      <c r="NC6" s="152">
        <f>IF($MC6=0,0,IF($MT6=0,0,INDEX($X$2:$X$11,$MT6)))</f>
        <v/>
      </c>
      <c r="ND6" s="152">
        <f>IF(OR($MY6=0,$MC6=0),0,$MY6+3*IF(AND($MU6&lt;&gt;"",OR($MU6=INDEX($ED$2:$ED$13,$LY6),$MU6=INDEX($EE$2:$EE$13,$LY6))),1,0))</f>
        <v/>
      </c>
      <c r="NE6" s="152">
        <f>IF(OR($MZ6=0,$MC6=0),0,$MZ6+3*IF(AND($MV6&lt;&gt;"",OR($MV6=INDEX($ED$2:$ED$13,$LY6),$MV6=INDEX($EE$2:$EE$13,$LY6))),1,0))</f>
        <v/>
      </c>
      <c r="NF6" s="152">
        <f>IF(OR($NA6=0,$MC6=0),0,$NA6+3*IF(AND($MW6&lt;&gt;"",OR($MW6=INDEX($ED$2:$ED$13,$LY6),$MW6=INDEX($EE$2:$EE$13,$LY6))),1,0))</f>
        <v/>
      </c>
      <c r="NG6" s="152">
        <f>IF(OR($NB6=0,$MC6=0),0,$NB6+3*IF(AND($MX6&lt;&gt;"",OR($MX6=INDEX($ED$2:$ED$13,$LY6),$MX6=INDEX($EE$2:$EE$13,$LY6))),1,0))</f>
        <v/>
      </c>
      <c r="NH6" s="152">
        <f>IF($MT6=0,0,IF(INDEX($W$2:$W$11,$MT6)="",0,IF(COUNTIF(INDEX($ED$2:$EH$13,$LY6,0),INDEX($W$2:$W$11,$MT6))=0,1,0)))</f>
        <v/>
      </c>
      <c r="NI6" s="152">
        <f>IF(OR($MY6=0,$MU6=""),0,IF(COUNTIF(INDEX($ED$2:$EH$13,$LY6,0),$MU6)=0,1,0))</f>
        <v/>
      </c>
      <c r="NJ6" s="152">
        <f>IF(OR($MZ6=0,$MV6=""),0,IF(COUNTIF(INDEX($ED$2:$EH$13,$LY6,0),$MV6)=0,1,0))</f>
        <v/>
      </c>
      <c r="NK6" s="152">
        <f>IF(OR($NA6=0,$MW6=""),0,IF(COUNTIF(INDEX($ED$2:$EH$13,$LY6,0),$MW6)=0,1,0))</f>
        <v/>
      </c>
      <c r="NL6" s="152">
        <f>IF(OR($NB6=0,$MX6=""),0,IF(COUNTIF(INDEX($ED$2:$EH$13,$LY6,0),$MX6)=0,1,0))</f>
        <v/>
      </c>
      <c r="NM6" s="152">
        <f>IFERROR(VLOOKUP($MH6,$AV$2:$AZ$84,4,FALSE),0)+IFERROR(VLOOKUP($MI6,$AV$2:$AZ$84,4,FALSE),0)+IFERROR(VLOOKUP($MJ6,$AV$2:$AZ$84,4,FALSE),0)+IFERROR(VLOOKUP($MK6,$AV$2:$AZ$84,4,FALSE),0)</f>
        <v/>
      </c>
      <c r="NN6" s="152">
        <f>TEXTJOIN(", ",TRUE,IF(IFERROR(VLOOKUP($MH6,$AV$2:$AZ$84,5,FALSE),0)=1,$MH6,""),IF(IFERROR(VLOOKUP($MI6,$AV$2:$AZ$84,5,FALSE),0)=1,$MI6,""),IF(IFERROR(VLOOKUP($MJ6,$AV$2:$AZ$84,5,FALSE),0)=1,$MJ6,""),IF(IFERROR(VLOOKUP($MK6,$AV$2:$AZ$84,5,FALSE),0)=1,$MK6,""))</f>
        <v/>
      </c>
      <c r="NO6" s="152">
        <f>IF($MT6=0,0,INDEX($Y$2:$Y$11,$MT6))</f>
        <v/>
      </c>
      <c r="NP6" s="152">
        <f>IF($MT6=0,0,INDEX($Z$2:$Z$11,$MT6))</f>
        <v/>
      </c>
      <c r="NQ6" s="152">
        <f>IF($MT6=0,0,INDEX($AB$2:$AB$11,$MT6))</f>
        <v/>
      </c>
      <c r="NR6" s="152">
        <f>IFERROR(VLOOKUP($ML6,$BB$2:$BF$24,3,FALSE),0)</f>
        <v/>
      </c>
      <c r="NS6" s="152">
        <f>IFERROR(VLOOKUP($MM6,$BB$2:$BF$24,3,FALSE),0)</f>
        <v/>
      </c>
      <c r="NT6" s="152">
        <f>IFERROR(VLOOKUP($ML6,$BB$2:$BF$24,2,FALSE),"")</f>
        <v/>
      </c>
      <c r="NU6" s="152">
        <f>IFERROR(VLOOKUP($MM6,$BB$2:$BF$24,2,FALSE),"")</f>
        <v/>
      </c>
      <c r="NV6" s="152">
        <f>COUNTIF($NC6:$NG6,1)</f>
        <v/>
      </c>
      <c r="NW6" s="152">
        <f>COUNTIF($NC6:$NG6,2)</f>
        <v/>
      </c>
      <c r="NX6" s="152">
        <f>COUNTIF($NC6:$NG6,3)</f>
        <v/>
      </c>
      <c r="NY6" s="152">
        <f>COUNTIF($NC6:$NG6,4)</f>
        <v/>
      </c>
      <c r="NZ6" s="152">
        <f>COUNTIF($NC6:$NG6,5)</f>
        <v/>
      </c>
      <c r="OA6" s="152">
        <f>COUNTIF($NC6:$NG6,6)</f>
        <v/>
      </c>
      <c r="OB6" s="152">
        <f>COUNTIF($NR6:$NS6,1)</f>
        <v/>
      </c>
      <c r="OC6" s="152">
        <f>COUNTIF($NR6:$NS6,2)+$NO6</f>
        <v/>
      </c>
      <c r="OD6" s="152">
        <f>COUNTIF($MH6:$MK6,"?*")</f>
        <v/>
      </c>
      <c r="OE6" s="152">
        <f>COUNTIF($ML6:$MM6,"?*")+$NO6</f>
        <v/>
      </c>
      <c r="OF6" s="152">
        <f>IF($MC6=0,0,SUMPRODUCT($NV6:$OA6,INDEX($I$2:$N$8,MAX(1,$MC6),0)))</f>
        <v/>
      </c>
      <c r="OG6" s="152">
        <f>IF($MC6=0,0,$OB6*CEILING($MC6/2,1)+$OC6*$MC6)</f>
        <v/>
      </c>
      <c r="OH6" s="152">
        <f>MIN(2*$MC6,$OG6)</f>
        <v/>
      </c>
      <c r="OI6" s="152">
        <f>MIN($OH6,$OF6)</f>
        <v/>
      </c>
      <c r="OJ6" s="152">
        <f>$OH6-$OI6</f>
        <v/>
      </c>
      <c r="OK6" s="152">
        <f>IF($MC6=0,0,INDEX($P$2:$P$8,MAX(1,$MC6)))</f>
        <v/>
      </c>
      <c r="OL6" s="152">
        <f>$OK6-$OF6+$OI6</f>
        <v/>
      </c>
      <c r="OM6" s="152">
        <f>IF($MC6=0,MAX(0,$MQ6-IF($OD6&gt;0,1,0)),MAX(0,$OL6))</f>
        <v/>
      </c>
      <c r="ON6" s="152">
        <f>IF($MC6=0,0,(IF(COUNTIF($MH6:$MK6,"Salto")&gt;0,1,0)+IF(COUNTIF($MH6:$MK6,"Queima")&gt;0,1,0)+IF(COUNTIF($MH6:$MK6,"Estilhaço")&gt;0,1,0))*FLOOR($OM6/2,1))</f>
        <v/>
      </c>
      <c r="OO6" s="152">
        <f>MAX(0,2-SUMPRODUCT($NV6:$OA6,$I$2:$N$2)+MIN(2,$OB6*1+$OC6*1,SUMPRODUCT($NV6:$OA6,$I$2:$N$2)))</f>
        <v/>
      </c>
      <c r="OP6" s="152">
        <f>MAX(0,4-SUMPRODUCT($NV6:$OA6,$I$3:$N$3)+MIN(4,$OB6*1+$OC6*2,SUMPRODUCT($NV6:$OA6,$I$3:$N$3)))</f>
        <v/>
      </c>
      <c r="OQ6" s="152">
        <f>MAX(0,6-SUMPRODUCT($NV6:$OA6,$I$4:$N$4)+MIN(6,$OB6*2+$OC6*3,SUMPRODUCT($NV6:$OA6,$I$4:$N$4)))</f>
        <v/>
      </c>
      <c r="OR6" s="152">
        <f>MAX(0,9-SUMPRODUCT($NV6:$OA6,$I$5:$N$5)+MIN(8,$OB6*2+$OC6*4,SUMPRODUCT($NV6:$OA6,$I$5:$N$5)))</f>
        <v/>
      </c>
      <c r="OS6" s="152">
        <f>MAX(0,11-SUMPRODUCT($NV6:$OA6,$I$6:$N$6)+MIN(10,$OB6*3+$OC6*5,SUMPRODUCT($NV6:$OA6,$I$6:$N$6)))</f>
        <v/>
      </c>
      <c r="OT6" s="152">
        <f>MAX(0,13-SUMPRODUCT($NV6:$OA6,$I$7:$N$7)+MIN(12,$OB6*3+$OC6*6,SUMPRODUCT($NV6:$OA6,$I$7:$N$7)))</f>
        <v/>
      </c>
      <c r="OU6" s="152">
        <f>MAX(0,16-SUMPRODUCT($NV6:$OA6,$I$8:$N$8)+MIN(14,$OB6*4+$OC6*7,SUMPRODUCT($NV6:$OA6,$I$8:$N$8)))</f>
        <v/>
      </c>
      <c r="OV6" s="152">
        <f>IF($NP6=2,3*$OO6&amp;" de vida temp.",IF($NP6=3,"sem dano",IF($OO6=0,IF($NP6=1,"sem cura","sem dano"),IF($NP6=1,"cura ","")&amp;$OO6&amp;"d8")))</f>
        <v/>
      </c>
      <c r="OW6" s="152">
        <f>IF($NP6=2,3*$OP6&amp;" de vida temp.",IF($NP6=3,"sem dano",IF($OP6=0,IF($NP6=1,"sem cura","sem dano"),IF($NP6=1,"cura ","")&amp;$OP6&amp;"d8")))</f>
        <v/>
      </c>
      <c r="OX6" s="152">
        <f>IF($NP6=2,3*$OQ6&amp;" de vida temp.",IF($NP6=3,"sem dano",IF($OQ6=0,IF($NP6=1,"sem cura","sem dano"),IF($NP6=1,"cura ","")&amp;$OQ6&amp;"d8")))</f>
        <v/>
      </c>
      <c r="OY6" s="152">
        <f>IF($NP6=2,3*$OR6&amp;" de vida temp.",IF($NP6=3,"sem dano",IF($OR6=0,IF($NP6=1,"sem cura","sem dano"),IF($NP6=1,"cura ","")&amp;$OR6&amp;"d8")))</f>
        <v/>
      </c>
      <c r="OZ6" s="152">
        <f>IF($NP6=2,3*$OS6&amp;" de vida temp.",IF($NP6=3,"sem dano",IF($OS6=0,IF($NP6=1,"sem cura","sem dano"),IF($NP6=1,"cura ","")&amp;$OS6&amp;"d8")))</f>
        <v/>
      </c>
      <c r="PA6" s="152">
        <f>IF($NP6=2,3*$OT6&amp;" de vida temp.",IF($NP6=3,"sem dano",IF($OT6=0,IF($NP6=1,"sem cura","sem dano"),IF($NP6=1,"cura ","")&amp;$OT6&amp;"d8")))</f>
        <v/>
      </c>
      <c r="PB6" s="152">
        <f>IF($NP6=2,3*$OU6&amp;" de vida temp.",IF($NP6=3,"sem dano",IF($OU6=0,IF($NP6=1,"sem cura","sem dano"),IF($NP6=1,"cura ","")&amp;$OU6&amp;"d8")))</f>
        <v/>
      </c>
      <c r="PC6" s="152">
        <f>IF($MN6=0,"",TEXTJOIN(" · ",TRUE,IF($MA6&gt;$MO6,"Este lugar abre no nível "&amp;$MA6,""),IF($MC6&gt;$MP6,"Classe "&amp;$MC6&amp;": o nível "&amp;$MO6&amp;" libera até a "&amp;$MP6,""),IF($NH6=1,"A Forma "&amp;$ME6&amp;" pede "&amp;INDEX($W$2:$W$11,$MT6)&amp;" aberta",""),IF(AND($MC6=0,$MT6&gt;0,IF($MT6=0,0,INDEX($AF$2:$AF$11,$MT6))=0),$ME6&amp;" não existe na Classe 0",""),IF($NI6=1,"Família Fechada: "&amp;$MH6,""),IF($NJ6=1,"Família Fechada: "&amp;$MI6,""),IF($NK6=1,"Família Fechada: "&amp;$MJ6,""),IF($NL6=1,"Família Fechada: "&amp;$MK6,""),IF(AND($MC6&gt;0,$OD6&gt;INDEX($O$2:$O$8,MAX(1,$MC6))),$OD6&amp;" Melhorias: a Classe "&amp;$MC6&amp;" aceita "&amp;INDEX($O$2:$O$8,MAX(1,$MC6)),""),IF(AND($MC6=0,$OD6&gt;1),"A básica aceita uma Melhoria",""),IF(AND($MC6=0,COUNTIF($MY6:$NB6,"&gt;1")&gt;0),"A básica só aceita Melhoria Leve",""),IF(AND($MC6&gt;0,$OE6&gt;2),$OE6&amp;" Restrições"&amp;IF($NO6=1,", contando a que a Forma "&amp;$ME6&amp;" já traz","")&amp;": o limite é 2",""),IF(AND($MC6=0,COUNTIF($ML6:$MM6,"?*")&gt;1),"A básica aceita uma Restrição Leve",""),IF(AND($MC6=0,COUNTIF($NR6:$NS6,2)&gt;0),"A básica só aceita Restrição Leve",""),IF(AND($MC6&gt;0,$OL6&lt;0),"Orçamento estourado: faltam "&amp;(-$OL6)&amp;IF($OL6&lt;-1," pontos"," ponto"),""),IF(IFERROR(VLOOKUP($ML6,$BB$2:$BF$24,4,FALSE),0)+IFERROR(VLOOKUP($MM6,$BB$2:$BF$24,4,FALSE),0)&gt;1,$NT6&amp;" e "&amp;$NU6&amp;" são as duas de frequência",""),IF(AND((COUNTIF($MH6:$MK6,"Rápido")+COUNTIF($NT6:$NU6,"Rápido"))&gt;0,(COUNTIF($MH6:$MK6,"Atrasar")+COUNTIF($NT6:$NU6,"Atrasar"))&gt;0),"Rápido não entra com Atrasar",""),IF(AND((COUNTIF($MH6:$MK6,"Reação")+COUNTIF($NT6:$NU6,"Reação"))&gt;0,(COUNTIF($MH6:$MK6,"Rápido")+COUNTIF($NT6:$NU6,"Rápido"))&gt;0),"Reação não entra com Rápido",""),IF(AND((COUNTIF($MH6:$MK6,"Reação")+COUNTIF($NT6:$NU6,"Reação"))&gt;0,(COUNTIF($MH6:$MK6,"Armado")+COUNTIF($NT6:$NU6,"Armado"))&gt;0),"Reação não entra com Armado",""),IF(AND((COUNTIF($MH6:$MK6,"Reação")+COUNTIF($NT6:$NU6,"Reação"))&gt;0,(COUNTIF($MH6:$MK6,"Atrasar")+COUNTIF($NT6:$NU6,"Atrasar"))&gt;0),"Reação não entra com Atrasar",""),IF(AND((COUNTIF($MH6:$MK6,"Reação")+COUNTIF($NT6:$NU6,"Reação"))&gt;0,(COUNTIF($MH6:$MK6,"Parado")+COUNTIF($NT6:$NU6,"Parado"))&gt;0),"Reação não entra com Parado",""),IF(AND((COUNTIF($MH6:$MK6,"Atrasar")+COUNTIF($NT6:$NU6,"Atrasar"))&gt;0,(COUNTIF($MH6:$MK6,"Parado")+COUNTIF($NT6:$NU6,"Parado"))&gt;0),"Atrasar não entra com Parado",""),IF(AND((COUNTIF($MH6:$MK6,"Armado")+COUNTIF($NT6:$NU6,"Armado"))&gt;0,(COUNTIF($MH6:$MK6,"Carregar")+COUNTIF($NT6:$NU6,"Carregar"))&gt;0),"Armado não entra com Carregar",""),IF(AND(COUNTIF($NT6:$NU6,"Corpo a Corpo")&gt;0,$NO6=0,OR($ME6="Cone",$ME6="Linha")),"Corpo a Corpo não entra em "&amp;$ME6,""),IF(AND(COUNTIF($NT6:$NU6,"Corpo a Corpo")&gt;0,$NO6=1),"A Forma "&amp;$ME6&amp;" já traz o Corpo a Corpo",""),IF(AND(COUNTIF($NT6:$NU6,"Tudo ou Nada")&gt;0,$NQ6=0),"Tudo ou Nada só entra em habilidade de Teste de Resistência",""),IF(AND(COUNTIF($MH6:$MK6,"Inescapável")&gt;0,OR($OD6&gt;1,$OE6&gt;0)),"Inescapável não aceita outra peça",""),IF(AND($MC6&gt;0,$OM6*IF(COUNTIF($MH6:$MK6,"Remate")&gt;0,1.25,1)+$ON6&gt;4*$MC6),($OM6*IF(COUNTIF($MH6:$MK6,"Remate")&gt;0,1.25,1)+$ON6)&amp;" dados somando repetições"&amp;IF(COUNTIF($MH6:$MK6,"Remate")&gt;0," e o Remate","")&amp;": o teto da Classe "&amp;$MC6&amp;" é "&amp;4*$MC6,"")))</f>
        <v/>
      </c>
      <c r="PD6" s="152">
        <f>IF($PC6="",0,(LEN($PC6)-LEN(SUBSTITUTE($PC6," · ","")))/3+1)</f>
        <v/>
      </c>
      <c r="PE6" s="152">
        <f>IF($MN6=0,"",TEXTJOIN(" · ",TRUE,IF($OG6&gt;2*$MC6,"A devolução parou no teto de "&amp;2*$MC6,""),IF($OJ6&gt;0,"Devolução perdida: "&amp;$OJ6&amp;IF($OJ6&gt;1," pontos"," ponto")&amp;" sem peça para pagar",""),IF(AND($NM6&gt;0,AND($MC6&gt;0,$NP6=0),$OM6=0),"Controle sem dano: uma rodada a mais e CD +2",""),IF(AND($NM6&gt;0,AND($MC6&gt;0,$NP6=0),$OM6&gt;0,$OM6&lt;=$MC6),"Controle com saldo até a Classe: uma rodada a mais",""),IF(AND($MC6&gt;0,$NN6&lt;&gt;""),"Efeito de "&amp;$NN6&amp;" pela Classe "&amp;MAX(1,$MC6-1),"")))</f>
        <v/>
      </c>
      <c r="PF6" s="152">
        <f>IF($PE6="",0,(LEN($PE6)-LEN(SUBSTITUTE($PE6," · ","")))/3+1)</f>
        <v/>
      </c>
      <c r="PG6" s="152">
        <f>IF($MN6=0,IF($OD6+COUNTIF($ML6:$MM6,"?*")&gt;0,"Dê um nome",""),IF($PD6&gt;0,"⚠ "&amp;$PD6&amp;IF($PD6&gt;1," erros"," erro"),IF($PF6&gt;0,"! "&amp;$PF6&amp;IF($PF6&gt;1," avisos"," aviso"),"Na regra")))</f>
        <v/>
      </c>
      <c r="PH6" s="152">
        <f>IF($MN6=0,"",IF($PD6+$PF6=0,"Dentro das regras que a ficha confere",$PC6&amp;IF(AND($PD6&gt;0,$PF6&gt;0)," · ","")&amp;$PE6))</f>
        <v/>
      </c>
      <c r="PI6" s="152">
        <f>IF($MA6&gt;$MO6,$MB6&amp;" · ABRE NO NÍVEL "&amp;$MA6,$MB6)</f>
        <v/>
      </c>
      <c r="PJ6" s="152">
        <f>IF($MN6=0,"",IF($MC6=0,"Sem PE",3*$MC6&amp;" PE"))</f>
        <v/>
      </c>
      <c r="PK6" s="152">
        <f>IF($MN6=0,"",IF($MC6=0,"A atuação básica dela",IF(COUNTIF($NT6:$NU6,"Atrasar")&gt;0,"Sua Ação Completa",IF(COUNTIF($MH6:$MK6,"Rápido")&gt;0,"Sua Bônus",IF(COUNTIF($MH6:$MK6,"Reação")&gt;0,"Sua Reação","Sua Padrão")))&amp;" + a básica dela"&amp;IF(COUNTIF($MH6:$MK6,"Reação")&gt;0," e a coletiva","")&amp;IF(COUNTIF($NT6:$NU6,"Carregar")&gt;0," · em dois turnos","")))</f>
        <v/>
      </c>
      <c r="PL6" s="152">
        <f>IF($MG6&lt;&gt;"",$MG6,IF($MT6=0,"",INDEX($AA$2:$AA$11,$MT6)))</f>
        <v/>
      </c>
      <c r="PM6" s="152">
        <f>IF(OR($MN6=0,$MT6=0),"",IF(COUNTIF($MH6:$MK6,"Inescapável")&gt;0,"Automático",IF($PL6="Ataque",IF($MR6="","Ataque","Ataque "&amp;IF(($MR6+2*IF(COUNTIF($MH6:$MK6,"Precisão")&gt;0,1,0))&gt;=0,"+","−")&amp;ABS(($MR6+2*IF(COUNTIF($MH6:$MK6,"Precisão")&gt;0,1,0)))),IF(LEFT($PL6,2)="TR",$PL6&amp;IF($MS6="",""," · CD "&amp;$MS6)&amp;IF(COUNTIF($MH6:$MK6,"Certeiro")&gt;0," · metade",""),"Sem rolagem"))))</f>
        <v/>
      </c>
      <c r="PN6" s="152">
        <f>IF(OR($MN6=0,$MT6=0),"",IF($MC6=0,IF(OR($NP6&gt;=1,$OM6=0),"Sem dano",$OM6&amp;"d6"&amp;IF($MF6="",""," "&amp;$MF6)),IF(OR($NP6&gt;=1,$OM6=0),UPPER(LEFT(INDEX($OV6:$PB6,1,MAX(1,$MC6)),1))&amp;MID(INDEX($OV6:$PB6,1,MAX(1,$MC6)),2,99),UPPER(LEFT(INDEX($OV6:$PB6,1,MAX(1,$MC6)),1))&amp;MID(INDEX($OV6:$PB6,1,MAX(1,$MC6)),2,99)&amp;IF($MF6="",""," "&amp;$MF6)&amp;IF($ON6&gt;0," · +"&amp;$ON6&amp;"d8",""))))</f>
        <v/>
      </c>
      <c r="PO6" s="152">
        <f>COUNTIF($MH6:$MK6,"Longe")+3*COUNTIF($MH6:$MK6,"Muito Longe")</f>
        <v/>
      </c>
      <c r="PP6" s="152">
        <f>COUNTIF($MH6:$MK6,"Maior")+3*COUNTIF($MH6:$MK6,"Muito Maior")</f>
        <v/>
      </c>
      <c r="PQ6" s="152">
        <f>IF($MT6=0,0,CHOOSE(1+INDEX($AC$2:$AC$11,$MT6),0,$PO6,$PP6,$PO6+$PP6))</f>
        <v/>
      </c>
      <c r="PR6" s="152">
        <f>IF($MT6=0,0,CHOOSE(1+INDEX($AD$2:$AD$11,$MT6),0,$PO6,$PP6,$PO6+$PP6))</f>
        <v/>
      </c>
      <c r="PS6" s="152">
        <f>IF(OR($MN6=0,$MT6=0),"",INDEX($AI$2:$AN$41,($MT6-1)*4+IF($MC6=0,1,IF($MC6&lt;=5,2,IF($MC6=6,3,4))),1+MIN(5,$PQ6))&amp;INDEX($AO$2:$AT$41,($MT6-1)*4+IF($MC6=0,1,IF($MC6&lt;=5,2,IF($MC6=6,3,4))),1+MIN(5,$PR6))&amp;IF(INDEX($AE$2:$AE$11,$MT6)=1,IF(COUNTIF($MH6:$MK6,"Mais Um")&gt;0," · +"&amp;COUNTIF($MH6:$MK6,"Mais Um")&amp;IF(COUNTIF($MH6:$MK6,"Mais Um")&gt;1," alvos"," alvo"),"")&amp;IF(COUNTIF($MH6:$MK6,"Rajada")&gt;0,IF($MC6=0," · 1 tiro"," · "&amp;(MAX(1,$MC6-1)+1)&amp;" tiros"),""),""))</f>
        <v/>
      </c>
      <c r="PT6" s="152">
        <f>IF($MN6=0,"",IF($MC6=0,$MQ6&amp;"d6"&amp;IF($OD6&gt;0," − 1 = "&amp;$OM6&amp;"d6"," da básica do nível "&amp;$MO6),$OK6&amp;" − "&amp;$OF6&amp;" + "&amp;$OI6&amp;" = "&amp;$OL6&amp;" · teto "&amp;4*$MC6&amp;"d8"&amp;IF($NO6=1," · a Forma devolve "&amp;$MC6,"")&amp;IF($OJ6&gt;0," · perde "&amp;$OJ6,"")))</f>
        <v/>
      </c>
      <c r="PU6" s="152">
        <f>IF($MN6=0,"",IF($MC6=0,"A básica não amplia: os dados dela sobem com o nível",IF($MC6&gt;=$MP6,"Já está na maior Classe que o nível liberou",TEXTJOIN(" · ",TRUE,IF(AND(2&gt;$MC6,2&lt;=$MP6),"2 → "&amp;$OW6&amp;", 6 PE",""),IF(AND(3&gt;$MC6,3&lt;=$MP6),"3 → "&amp;$OX6&amp;", 9 PE",""),IF(AND(4&gt;$MC6,4&lt;=$MP6),"4 → "&amp;$OY6&amp;", 12 PE",""),IF(AND(5&gt;$MC6,5&lt;=$MP6),"5 → "&amp;$OZ6&amp;", 15 PE",""),IF(AND(6&gt;$MC6,6&lt;=$MP6),"6 → "&amp;$PA6&amp;", 18 PE",""),IF(AND(7&gt;$MC6,7&lt;=$MP6),"7 → "&amp;$PB6&amp;", 21 PE","")))))</f>
        <v/>
      </c>
      <c r="PV6" s="152">
        <f>IF(OR($MN6=0,$MY6=0),"",IF($MC6=0,"−1 dado","−"&amp;INDEX($I$2:$N$8,MAX(1,$MC6),MAX(1,$ND6))&amp;" · "&amp;CHOOSE(MAX(1,$ND6),"Leve","Média","Pesada","Leve · Livre","Média · Livre","Pesada · Livre")))</f>
        <v/>
      </c>
      <c r="PW6" s="152">
        <f>IF(OR($MN6=0,$MZ6=0),"",IF($MC6=0,"−1 dado","−"&amp;INDEX($I$2:$N$8,MAX(1,$MC6),MAX(1,$NE6))&amp;" · "&amp;CHOOSE(MAX(1,$NE6),"Leve","Média","Pesada","Leve · Livre","Média · Livre","Pesada · Livre")))</f>
        <v/>
      </c>
      <c r="PX6" s="152">
        <f>IF(OR($MN6=0,$NA6=0),"",IF($MC6=0,"−1 dado","−"&amp;INDEX($I$2:$N$8,MAX(1,$MC6),MAX(1,$NF6))&amp;" · "&amp;CHOOSE(MAX(1,$NF6),"Leve","Média","Pesada","Leve · Livre","Média · Livre","Pesada · Livre")))</f>
        <v/>
      </c>
      <c r="PY6" s="152">
        <f>IF(OR($MN6=0,$NB6=0),"",IF($MC6=0,"−1 dado","−"&amp;INDEX($I$2:$N$8,MAX(1,$MC6),MAX(1,$NG6))&amp;" · "&amp;CHOOSE(MAX(1,$NG6),"Leve","Média","Pesada","Leve · Livre","Média · Livre","Pesada · Livre")))</f>
        <v/>
      </c>
      <c r="PZ6" s="152">
        <f>IF(OR($MN6=0,$ML6=""),"",IF($MC6=0,"não devolve","+"&amp;IF($NR6=1,CEILING($MC6/2,1),$MC6)))</f>
        <v/>
      </c>
      <c r="QA6" s="152">
        <f>IF(OR($MN6=0,$MM6=""),"",IF($MC6=0,"não devolve","+"&amp;IF($NS6=1,CEILING($MC6/2,1),$MC6)))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B7" s="150" t="inlineStr">
        <is>
          <t>Sangra</t>
        </is>
      </c>
      <c r="BC7" s="150" t="inlineStr">
        <is>
          <t>Sangra</t>
        </is>
      </c>
      <c r="BD7" s="152" t="n">
        <v>2</v>
      </c>
      <c r="BE7" s="152" t="n">
        <v>0</v>
      </c>
      <c r="BF7" s="150" t="inlineStr"/>
      <c r="BH7" s="150" t="inlineStr">
        <is>
          <t>Leitura de Feitiços</t>
        </is>
      </c>
      <c r="BI7" s="152" t="n">
        <v>1</v>
      </c>
      <c r="BJ7" s="150" t="inlineStr">
        <is>
          <t>Ao ter um inimigo à vista, você sabe qual foi o último feitiço que ele usou, mesmo que não tenha presenciado aquela conjuração. Recebe o nome ou uma descrição suficiente para reconhecer a aplicação, não sua ficha completa.</t>
        </is>
      </c>
      <c r="BK7" s="150" t="inlineStr">
        <is>
          <t>Leitura de Feitiços</t>
        </is>
      </c>
      <c r="BR7" s="150" t="inlineStr">
        <is>
          <t>Castigo</t>
        </is>
      </c>
      <c r="BZ7" s="150" t="inlineStr">
        <is>
          <t>Investigação</t>
        </is>
      </c>
      <c r="CA7" s="150" t="inlineStr">
        <is>
          <t>Inteligência</t>
        </is>
      </c>
      <c r="CE7" s="150" t="inlineStr">
        <is>
          <t>Elétrico</t>
        </is>
      </c>
      <c r="CI7" s="152" t="n">
        <v>5</v>
      </c>
      <c r="CV7" s="150" t="inlineStr">
        <is>
          <t>parcela da defesa</t>
        </is>
      </c>
      <c r="CW7" s="152">
        <f>INT($CW$6/2)</f>
        <v/>
      </c>
      <c r="CY7" s="152" t="n">
        <v>6</v>
      </c>
      <c r="CZ7" s="152">
        <f>'INVOCAÇÕES'!$I$1003&amp;""</f>
        <v/>
      </c>
      <c r="DA7" s="152">
        <f>'INVOCAÇÕES'!$I$1033&amp;""</f>
        <v/>
      </c>
      <c r="DB7" s="152">
        <f>'INVOCAÇÕES'!$I$1037&amp;""</f>
        <v/>
      </c>
      <c r="DC7" s="152">
        <f>N('INVOCAÇÕES'!$K$1037)</f>
        <v/>
      </c>
      <c r="DD7" s="152">
        <f>'INVOCAÇÕES'!$L$1037&amp;""</f>
        <v/>
      </c>
      <c r="DE7" s="152">
        <f>N('INVOCAÇÕES'!$O$1010)</f>
        <v/>
      </c>
      <c r="DF7" s="152">
        <f>N('INVOCAÇÕES'!$P$1010)</f>
        <v/>
      </c>
      <c r="DG7" s="152">
        <f>N('INVOCAÇÕES'!$Q$1010)</f>
        <v/>
      </c>
      <c r="DH7" s="152">
        <f>N('INVOCAÇÕES'!$R$1010)</f>
        <v/>
      </c>
      <c r="DI7" s="152">
        <f>N('INVOCAÇÕES'!$S$1010)</f>
        <v/>
      </c>
      <c r="DJ7" s="152">
        <f>N('INVOCAÇÕES'!$O$1011)</f>
        <v/>
      </c>
      <c r="DK7" s="152">
        <f>N('INVOCAÇÕES'!$P$1011)</f>
        <v/>
      </c>
      <c r="DL7" s="152">
        <f>N('INVOCAÇÕES'!$Q$1011)</f>
        <v/>
      </c>
      <c r="DM7" s="152">
        <f>N('INVOCAÇÕES'!$R$1011)</f>
        <v/>
      </c>
      <c r="DN7" s="152">
        <f>N('INVOCAÇÕES'!$S$1011)</f>
        <v/>
      </c>
      <c r="DO7" s="152">
        <f>'INVOCAÇÕES'!$O$1024&amp;""</f>
        <v/>
      </c>
      <c r="DP7" s="152">
        <f>'INVOCAÇÕES'!$Q$1024&amp;""</f>
        <v/>
      </c>
      <c r="DQ7" s="152">
        <f>'INVOCAÇÕES'!$S$1024&amp;""</f>
        <v/>
      </c>
      <c r="DR7" s="152">
        <f>N('INVOCAÇÕES'!$O$1016)</f>
        <v/>
      </c>
      <c r="DS7" s="152">
        <f>N('INVOCAÇÕES'!$P$1016)</f>
        <v/>
      </c>
      <c r="DT7" s="152">
        <f>N('INVOCAÇÕES'!$Q$1016)</f>
        <v/>
      </c>
      <c r="DU7" s="152">
        <f>N('INVOCAÇÕES'!$R$1016)</f>
        <v/>
      </c>
      <c r="DV7" s="152">
        <f>N('INVOCAÇÕES'!$S$1016)</f>
        <v/>
      </c>
      <c r="DW7" s="152">
        <f>N('INVOCAÇÕES'!$O$1021)</f>
        <v/>
      </c>
      <c r="DX7" s="152">
        <f>N('INVOCAÇÕES'!$P$1021)</f>
        <v/>
      </c>
      <c r="DY7" s="152">
        <f>N('INVOCAÇÕES'!$Q$1021)</f>
        <v/>
      </c>
      <c r="DZ7" s="152">
        <f>N('INVOCAÇÕES'!$R$1021)</f>
        <v/>
      </c>
      <c r="EA7" s="152">
        <f>'INVOCAÇÕES'!$U$1003&amp;""</f>
        <v/>
      </c>
      <c r="EB7" s="152">
        <f>N('INVOCAÇÕES'!$W$1003)</f>
        <v/>
      </c>
      <c r="EC7" s="152">
        <f>'INVOCAÇÕES'!$Y$1003&amp;""</f>
        <v/>
      </c>
      <c r="ED7" s="152">
        <f>'INVOCAÇÕES'!$O$1038&amp;""</f>
        <v/>
      </c>
      <c r="EE7" s="152">
        <f>'INVOCAÇÕES'!$P$1038&amp;""</f>
        <v/>
      </c>
      <c r="EF7" s="152">
        <f>'INVOCAÇÕES'!$Q$1038&amp;""</f>
        <v/>
      </c>
      <c r="EG7" s="152">
        <f>'INVOCAÇÕES'!$R$1038&amp;""</f>
        <v/>
      </c>
      <c r="EH7" s="152">
        <f>'INVOCAÇÕES'!$S$1038&amp;""</f>
        <v/>
      </c>
      <c r="EI7" s="152">
        <f>'INVOCAÇÕES'!$O$1028&amp;""</f>
        <v/>
      </c>
      <c r="EJ7" s="152">
        <f>'INVOCAÇÕES'!$O$1029&amp;""</f>
        <v/>
      </c>
      <c r="EK7" s="152">
        <f>'INVOCAÇÕES'!$O$1030&amp;""</f>
        <v/>
      </c>
      <c r="EL7" s="152">
        <f>'INVOCAÇÕES'!$O$1031&amp;""</f>
        <v/>
      </c>
      <c r="EM7" s="152">
        <f>'INVOCAÇÕES'!$O$1032&amp;""</f>
        <v/>
      </c>
      <c r="EN7" s="152">
        <f>'INVOCAÇÕES'!$O$1033&amp;""</f>
        <v/>
      </c>
      <c r="EO7" s="152">
        <f>'INVOCAÇÕES'!$O$1034&amp;""</f>
        <v/>
      </c>
      <c r="EP7" s="152">
        <f>'INVOCAÇÕES'!$J$1070&amp;""</f>
        <v/>
      </c>
      <c r="EQ7" s="152">
        <f>'INVOCAÇÕES'!$J$1071&amp;""</f>
        <v/>
      </c>
      <c r="ER7" s="152">
        <f>'INVOCAÇÕES'!$J$1072&amp;""</f>
        <v/>
      </c>
      <c r="ES7" s="152">
        <f>'INVOCAÇÕES'!$J$1073&amp;""</f>
        <v/>
      </c>
      <c r="ET7" s="152">
        <f>'INVOCAÇÕES'!$J$1074&amp;""</f>
        <v/>
      </c>
      <c r="EU7" s="152">
        <f>'INVOCAÇÕES'!$J$1075&amp;""</f>
        <v/>
      </c>
      <c r="EV7" s="152">
        <f>'INVOCAÇÕES'!$J$1076&amp;""</f>
        <v/>
      </c>
      <c r="EW7" s="152">
        <f>'INVOCAÇÕES'!$J$1077&amp;""</f>
        <v/>
      </c>
      <c r="EX7" s="152">
        <f>'INVOCAÇÕES'!$J$1172&amp;""</f>
        <v/>
      </c>
      <c r="EY7" s="152">
        <f>'INVOCAÇÕES'!$J$1173&amp;""</f>
        <v/>
      </c>
      <c r="EZ7" s="152">
        <f>'INVOCAÇÕES'!$J$1174&amp;""</f>
        <v/>
      </c>
      <c r="FA7" s="152">
        <f>MAX(3,MIN(7,N('INVOCAÇÕES'!$I$1179)))</f>
        <v/>
      </c>
      <c r="FB7" s="152">
        <f>MAX(3,MIN(7,N('INVOCAÇÕES'!$O$1179)))</f>
        <v/>
      </c>
      <c r="FC7" s="152">
        <f>MAX(3,MIN(7,N('INVOCAÇÕES'!$U$1179)))</f>
        <v/>
      </c>
      <c r="FD7" s="152">
        <f>'INVOCAÇÕES'!$O$1193&amp;""</f>
        <v/>
      </c>
      <c r="FE7" s="152">
        <f>IF($CZ7&lt;&gt;"",1,0)</f>
        <v/>
      </c>
      <c r="FF7" s="152">
        <f>IFERROR(VLOOKUP($DB7,$BO$2:$BP$5,2,FALSE),1)</f>
        <v/>
      </c>
      <c r="FG7" s="152">
        <f>IF($FF7=1,$CW$2,MAX(1,MIN($CW$2,IF($DC7=0,$CW$2,$DC7))))</f>
        <v/>
      </c>
      <c r="FH7" s="152">
        <f>VLOOKUP(MAX(1,$FG7),$A$2:$D$8,2,TRUE)</f>
        <v/>
      </c>
      <c r="FI7" s="152">
        <f>VLOOKUP(MAX(1,$FG7),$A$2:$D$8,3,TRUE)</f>
        <v/>
      </c>
      <c r="FJ7" s="152">
        <f>$DE7+$DJ7</f>
        <v/>
      </c>
      <c r="FK7" s="152">
        <f>$DF7+$DK7</f>
        <v/>
      </c>
      <c r="FL7" s="152">
        <f>$DG7+$DL7</f>
        <v/>
      </c>
      <c r="FM7" s="152">
        <f>$DH7+$DM7</f>
        <v/>
      </c>
      <c r="FN7" s="152">
        <f>$DI7+$DN7</f>
        <v/>
      </c>
      <c r="FO7" s="152">
        <f>SUM($DE7:$DI7)</f>
        <v/>
      </c>
      <c r="FP7" s="152">
        <f>9+$FQ7</f>
        <v/>
      </c>
      <c r="FQ7" s="152">
        <f>COUNTIF($F$2:$F$8,"&lt;="&amp;$FG7)</f>
        <v/>
      </c>
      <c r="FR7" s="152">
        <f>MAX(0,$DE7-3)+MAX(0,$DF7-3)+MAX(0,$DG7-3)+MAX(0,$DH7-3)+MAX(0,$DI7-3)</f>
        <v/>
      </c>
      <c r="FS7" s="152">
        <f>IFERROR(INDEX($FJ7:$FN7,1,MATCH($DO7,$BT$2:$BT$6,0)),"")</f>
        <v/>
      </c>
      <c r="FT7" s="152">
        <f>IF($FS7="","",$FS7+$CW$3+$DR7)</f>
        <v/>
      </c>
      <c r="FU7" s="152">
        <f>IF($FS7="","",8+$FS7+$CW$3+$DS7)</f>
        <v/>
      </c>
      <c r="FV7" s="152">
        <f>10+$FK7+$CW$7+$DT7</f>
        <v/>
      </c>
      <c r="FW7" s="152">
        <f>IF($DA7="Corpo amaldiçoado de criação",1,0)</f>
        <v/>
      </c>
      <c r="FX7" s="152">
        <f>5+$FL7+(3+$FW7+$FL7)*($FG7-1)+$DU7</f>
        <v/>
      </c>
      <c r="FY7" s="152">
        <f>IF($EA7="",$FX7,MAX(0,MIN(IFERROR(VALUE($EA7),$FX7),$FX7)))</f>
        <v/>
      </c>
      <c r="FZ7" s="152">
        <f>9+$DV7</f>
        <v/>
      </c>
      <c r="GA7" s="152">
        <f>IF($DP7="Destreza",$FK7,$FJ7)</f>
        <v/>
      </c>
      <c r="GB7" s="152">
        <f>$GA7+IF($DQ7="Físico",$CW$3,0)+$DW7</f>
        <v/>
      </c>
      <c r="GC7" s="152">
        <f>$FL7+IF($DQ7="Vigor",$CW$3,0)+$DX7</f>
        <v/>
      </c>
      <c r="GD7" s="152">
        <f>$FM7+IF($DQ7="Intelecto",$CW$3,0)+$DY7</f>
        <v/>
      </c>
      <c r="GE7" s="152">
        <f>$FN7+IF($DQ7="Espírito",$CW$3,0)+$DZ7</f>
        <v/>
      </c>
      <c r="GF7" s="152">
        <f>4+INT($DH7/2)</f>
        <v/>
      </c>
      <c r="GG7" s="152">
        <f>COUNTIF($EI7:$EO7,"?*")</f>
        <v/>
      </c>
      <c r="GH7" s="152">
        <f>INT((2+$FG7/2)/2)</f>
        <v/>
      </c>
      <c r="GI7" s="152">
        <f>IF($FG7&gt;=11,2,1)</f>
        <v/>
      </c>
      <c r="GJ7" s="152">
        <f>1+$FQ7</f>
        <v/>
      </c>
      <c r="GK7" s="152">
        <f>COUNTIF($EP7:$EW7,"?*")</f>
        <v/>
      </c>
      <c r="GL7" s="152">
        <f>IF(AND($DA7="Shikigami de criação",$DD7="Com carga"),MAX(1,CEILING($FH7/2,1)),$FH7)</f>
        <v/>
      </c>
      <c r="GM7" s="152">
        <f>$FH7+$GL7</f>
        <v/>
      </c>
      <c r="GN7" s="152">
        <f>$FG7*(1+INT($DI7/3))</f>
        <v/>
      </c>
      <c r="GO7" s="152">
        <f>5+$FJ7</f>
        <v/>
      </c>
      <c r="GP7" s="152">
        <f>COUNTIF($ED7:$EH7,"?*")</f>
        <v/>
      </c>
      <c r="GQ7" s="152">
        <f>IF($ED7="",0,IF(COUNTIF($ED7:$EH7,$ED7)&gt;1,1,0))+IF($EE7="",0,IF(COUNTIF($ED7:$EH7,$EE7)&gt;1,1,0))+IF($EF7="",0,IF(COUNTIF($ED7:$EH7,$EF7)&gt;1,1,0))+IF($EG7="",0,IF(COUNTIF($ED7:$EH7,$EG7)&gt;1,1,0))+IF($EH7="",0,IF(COUNTIF($ED7:$EH7,$EH7)&gt;1,1,0))</f>
        <v/>
      </c>
      <c r="GR7" s="152">
        <f>$CW$11</f>
        <v/>
      </c>
      <c r="GS7" s="152">
        <f>IF($FE7=0,"INVOCAÇÃO 6 · lugar vazio",$CZ7&amp;" · "&amp;$DA7&amp;" · nível "&amp;$FG7&amp;" · vida "&amp;$FY7&amp;" de "&amp;$FX7)</f>
        <v/>
      </c>
      <c r="GT7" s="152">
        <f>IF($FE7=0,"VAZIA",UPPER($CZ7))</f>
        <v/>
      </c>
      <c r="GU7" s="152">
        <f>IF($CW$3&gt;=0,"+","−")&amp;ABS($CW$3)</f>
        <v/>
      </c>
      <c r="GV7" s="152">
        <f>$GL7&amp;" PE"</f>
        <v/>
      </c>
      <c r="GW7" s="152">
        <f>$GM7&amp;" PE"</f>
        <v/>
      </c>
      <c r="GX7" s="152">
        <f>IF(OR($FO7&gt;$FP7,$FR7&gt;$FQ7),"⚠ ",IF(AND($FE7=1,$FO7&lt;$FP7),"! ",""))&amp;"ATRIBUTOS · "&amp;$FO7&amp;" DE "&amp;$FP7&amp;" PONTOS"&amp;IF($FR7&gt;$FQ7," · ACIMA DE 3 SÓ COM MARCO","")</f>
        <v/>
      </c>
      <c r="GY7" s="152">
        <f>IF($FT7="","",IF($FT7&gt;=0,"+","−")&amp;ABS($FT7))</f>
        <v/>
      </c>
      <c r="GZ7" s="152">
        <f>IF($FU7="","",$FU7)</f>
        <v/>
      </c>
      <c r="HA7" s="152">
        <f>SUBSTITUTE($FZ7&amp;" m",".",",")</f>
        <v/>
      </c>
      <c r="HB7" s="152">
        <f>IF($GB7&gt;=0,"+","−")&amp;ABS($GB7)</f>
        <v/>
      </c>
      <c r="HC7" s="152">
        <f>IF($GC7&gt;=0,"+","−")&amp;ABS($GC7)</f>
        <v/>
      </c>
      <c r="HD7" s="152">
        <f>IF($GD7&gt;=0,"+","−")&amp;ABS($GD7)</f>
        <v/>
      </c>
      <c r="HE7" s="152">
        <f>IF($GE7&gt;=0,"+","−")&amp;ABS($GE7)</f>
        <v/>
      </c>
      <c r="HF7" s="152">
        <f>IF($GG7&gt;$GF7,"⚠ ","")&amp;"PERÍCIAS · "&amp;$GG7&amp;" DE "&amp;$GF7</f>
        <v/>
      </c>
      <c r="HG7" s="152">
        <f>IF($EI7="","",IFERROR(IF((INDEX($FJ7:$FN7,1,MATCH(VLOOKUP($EI7,$BZ$2:$CA$24,2,FALSE),$BT$2:$BT$6,0))+$CW$3)&gt;=0,"+","−")&amp;ABS((INDEX($FJ7:$FN7,1,MATCH(VLOOKUP($EI7,$BZ$2:$CA$24,2,FALSE),$BT$2:$BT$6,0))+$CW$3)),""))</f>
        <v/>
      </c>
      <c r="HH7" s="152">
        <f>IF($EJ7="","",IFERROR(IF((INDEX($FJ7:$FN7,1,MATCH(VLOOKUP($EJ7,$BZ$2:$CA$24,2,FALSE),$BT$2:$BT$6,0))+$CW$3)&gt;=0,"+","−")&amp;ABS((INDEX($FJ7:$FN7,1,MATCH(VLOOKUP($EJ7,$BZ$2:$CA$24,2,FALSE),$BT$2:$BT$6,0))+$CW$3)),""))</f>
        <v/>
      </c>
      <c r="HI7" s="152">
        <f>IF($EK7="","",IFERROR(IF((INDEX($FJ7:$FN7,1,MATCH(VLOOKUP($EK7,$BZ$2:$CA$24,2,FALSE),$BT$2:$BT$6,0))+$CW$3)&gt;=0,"+","−")&amp;ABS((INDEX($FJ7:$FN7,1,MATCH(VLOOKUP($EK7,$BZ$2:$CA$24,2,FALSE),$BT$2:$BT$6,0))+$CW$3)),""))</f>
        <v/>
      </c>
      <c r="HJ7" s="152">
        <f>IF($EL7="","",IFERROR(IF((INDEX($FJ7:$FN7,1,MATCH(VLOOKUP($EL7,$BZ$2:$CA$24,2,FALSE),$BT$2:$BT$6,0))+$CW$3)&gt;=0,"+","−")&amp;ABS((INDEX($FJ7:$FN7,1,MATCH(VLOOKUP($EL7,$BZ$2:$CA$24,2,FALSE),$BT$2:$BT$6,0))+$CW$3)),""))</f>
        <v/>
      </c>
      <c r="HK7" s="152">
        <f>IF($EM7="","",IFERROR(IF((INDEX($FJ7:$FN7,1,MATCH(VLOOKUP($EM7,$BZ$2:$CA$24,2,FALSE),$BT$2:$BT$6,0))+$CW$3)&gt;=0,"+","−")&amp;ABS((INDEX($FJ7:$FN7,1,MATCH(VLOOKUP($EM7,$BZ$2:$CA$24,2,FALSE),$BT$2:$BT$6,0))+$CW$3)),""))</f>
        <v/>
      </c>
      <c r="HL7" s="152">
        <f>IF($EN7="","",IFERROR(IF((INDEX($FJ7:$FN7,1,MATCH(VLOOKUP($EN7,$BZ$2:$CA$24,2,FALSE),$BT$2:$BT$6,0))+$CW$3)&gt;=0,"+","−")&amp;ABS((INDEX($FJ7:$FN7,1,MATCH(VLOOKUP($EN7,$BZ$2:$CA$24,2,FALSE),$BT$2:$BT$6,0))+$CW$3)),""))</f>
        <v/>
      </c>
      <c r="HM7" s="152">
        <f>IF($EO7="","",IFERROR(IF((INDEX($FJ7:$FN7,1,MATCH(VLOOKUP($EO7,$BZ$2:$CA$24,2,FALSE),$BT$2:$BT$6,0))+$CW$3)&gt;=0,"+","−")&amp;ABS((INDEX($FJ7:$FN7,1,MATCH(VLOOKUP($EO7,$BZ$2:$CA$24,2,FALSE),$BT$2:$BT$6,0))+$CW$3)),""))</f>
        <v/>
      </c>
      <c r="HN7" s="152">
        <f>IF($DA7="Maldição domada","RESERVA · MÁX. "&amp;$GN7,"RESERVA DE PE")</f>
        <v/>
      </c>
      <c r="HO7" s="152">
        <f>"EQUIPAMENTO · CARGA ATÉ "&amp;$GO7&amp;" DE VOLUME"</f>
        <v/>
      </c>
      <c r="HP7" s="152">
        <f>IF(OR($GQ7&gt;0,$GP7&gt;$GR7),"⚠ ","")&amp;"FAMÍLIAS · "&amp;$GP7&amp;" ABERTAS"&amp;IF($GQ7&gt;0," · REPETIDA","")&amp;IF($GP7&gt;$GR7," · O LIMITE É "&amp;$GR7,"")</f>
        <v/>
      </c>
      <c r="HQ7" s="152">
        <f>"HABILIDADES · básica de "&amp;$FI7&amp;"d6 · "&amp;$GH7&amp;IF($GH7&gt;1," espaços"," espaço")&amp;" de especial até a Classe "&amp;$FH7&amp;" · "&amp;$GJ7&amp;IF($GJ7&gt;1," talentos"," talento")</f>
        <v/>
      </c>
      <c r="HR7" s="152">
        <f>IF($GK7&gt;$GJ7,"⚠ ","")&amp;"TALENTOS · "&amp;$GK7&amp;" DE "&amp;$GJ7</f>
        <v/>
      </c>
      <c r="HS7" s="152">
        <f>IFERROR(VLOOKUP($EP7,$BH$2:$BK$15,2,FALSE),0)</f>
        <v/>
      </c>
      <c r="HT7" s="152">
        <f>IFERROR(VLOOKUP($EQ7,$BH$2:$BK$15,2,FALSE),0)</f>
        <v/>
      </c>
      <c r="HU7" s="152">
        <f>IFERROR(VLOOKUP($ER7,$BH$2:$BK$15,2,FALSE),0)</f>
        <v/>
      </c>
      <c r="HV7" s="152">
        <f>IFERROR(VLOOKUP($ES7,$BH$2:$BK$15,2,FALSE),0)</f>
        <v/>
      </c>
      <c r="HW7" s="152">
        <f>IFERROR(VLOOKUP($ET7,$BH$2:$BK$15,2,FALSE),0)</f>
        <v/>
      </c>
      <c r="HX7" s="152">
        <f>IFERROR(VLOOKUP($EU7,$BH$2:$BK$15,2,FALSE),0)</f>
        <v/>
      </c>
      <c r="HY7" s="152">
        <f>IFERROR(VLOOKUP($EV7,$BH$2:$BK$15,2,FALSE),0)</f>
        <v/>
      </c>
      <c r="HZ7" s="152">
        <f>IFERROR(VLOOKUP($EW7,$BH$2:$BK$15,2,FALSE),0)</f>
        <v/>
      </c>
      <c r="IA7" s="152">
        <f>IF($EP7="","",IF(1&gt;$FG7,"⚠ Este talento abre no nível 1",IF($HS7&gt;1,"⚠ Categoria "&amp;$HS7&amp;": este ganho vai até a 1 · ","")&amp;IFERROR(VLOOKUP($EP7,$BH$2:$BK$15,3,FALSE),"")))</f>
        <v/>
      </c>
      <c r="IB7" s="152">
        <f>IF($EQ7="","",IF(6&gt;$FG7,"⚠ Este talento abre no nível 6",IF($HT7&gt;1,"⚠ Categoria "&amp;$HT7&amp;": este ganho vai até a 1 · ","")&amp;IFERROR(VLOOKUP($EQ7,$BH$2:$BK$15,3,FALSE),"")))</f>
        <v/>
      </c>
      <c r="IC7" s="152">
        <f>IF($ER7="","",IF(10&gt;$FG7,"⚠ Este talento abre no nível 10",IF($HU7&gt;2,"⚠ Categoria "&amp;$HU7&amp;": este ganho vai até a 2 · ","")&amp;IFERROR(VLOOKUP($ER7,$BH$2:$BK$15,3,FALSE),"")))</f>
        <v/>
      </c>
      <c r="ID7" s="152">
        <f>IF($ES7="","",IF(14&gt;$FG7,"⚠ Este talento abre no nível 14",IF($HV7&gt;3,"⚠ Categoria "&amp;$HV7&amp;": este ganho vai até a 3 · ","")&amp;IFERROR(VLOOKUP($ES7,$BH$2:$BK$15,3,FALSE),"")))</f>
        <v/>
      </c>
      <c r="IE7" s="152">
        <f>IF($ET7="","",IF(18&gt;$FG7,"⚠ Este talento abre no nível 18",IF($HW7&gt;3,"⚠ Categoria "&amp;$HW7&amp;": este ganho vai até a 3 · ","")&amp;IFERROR(VLOOKUP($ET7,$BH$2:$BK$15,3,FALSE),"")))</f>
        <v/>
      </c>
      <c r="IF7" s="152">
        <f>IF($EU7="","",IF(22&gt;$FG7,"⚠ Este talento abre no nível 22",IF($HX7&gt;3,"⚠ Categoria "&amp;$HX7&amp;": este ganho vai até a 3 · ","")&amp;IFERROR(VLOOKUP($EU7,$BH$2:$BK$15,3,FALSE),"")))</f>
        <v/>
      </c>
      <c r="IG7" s="152">
        <f>IF($EV7="","",IF(26&gt;$FG7,"⚠ Este talento abre no nível 26",IF($HY7&gt;3,"⚠ Categoria "&amp;$HY7&amp;": este ganho vai até a 3 · ","")&amp;IFERROR(VLOOKUP($EV7,$BH$2:$BK$15,3,FALSE),"")))</f>
        <v/>
      </c>
      <c r="IH7" s="152">
        <f>IF($EW7="","",IF(30&gt;$FG7,"⚠ Este talento abre no nível 30",IF($HZ7&gt;3,"⚠ Categoria "&amp;$HZ7&amp;": este ganho vai até a 3 · ","")&amp;IFERROR(VLOOKUP($EW7,$BH$2:$BK$15,3,FALSE),"")))</f>
        <v/>
      </c>
      <c r="II7" s="152">
        <f>IF($EX7="","",IFERROR(VLOOKUP($EX7,$BH$2:$BK$15,3,FALSE),""))</f>
        <v/>
      </c>
      <c r="IJ7" s="152">
        <f>IF($EY7="","",IFERROR(VLOOKUP($EY7,$BH$2:$BK$15,3,FALSE),""))</f>
        <v/>
      </c>
      <c r="IK7" s="152">
        <f>IF($EZ7="","",IFERROR(VLOOKUP($EZ7,$BH$2:$BK$15,3,FALSE),""))</f>
        <v/>
      </c>
      <c r="IL7" s="152">
        <f>CEILING(4.5*$FA7,1)&amp;" PE"</f>
        <v/>
      </c>
      <c r="IM7" s="152">
        <f>CEILING(4.5*$FB7,1)&amp;" PE"</f>
        <v/>
      </c>
      <c r="IN7" s="152">
        <f>CEILING(4.5*$FC7,1)&amp;" PE"</f>
        <v/>
      </c>
      <c r="IO7" s="152">
        <f>INDEX($P$2:$P$8,$FA7)&amp;" pontos + "&amp;$FA7&amp;"d8"</f>
        <v/>
      </c>
      <c r="IP7" s="152">
        <f>INDEX($P$2:$P$8,$FB7)&amp;" pontos + "&amp;$FB7&amp;"d8"</f>
        <v/>
      </c>
      <c r="IQ7" s="152">
        <f>INDEX($P$2:$P$8,$FC7)&amp;" pontos + "&amp;$FC7&amp;"d8"</f>
        <v/>
      </c>
      <c r="IR7" s="152">
        <f>IF($FG7&lt;17,"—",VLOOKUP($FG7,$CK$2:$CN$4,4,TRUE)&amp;" PE")</f>
        <v/>
      </c>
      <c r="IS7" s="152">
        <f>IF($FG7&lt;17,"Abre no nível 17",VLOOKUP($FG7,$CK$2:$CN$4,2,TRUE)&amp;" fixos · "&amp;VLOOKUP($FG7,$CK$2:$CN$4,3,TRUE)&amp;" pontos")</f>
        <v/>
      </c>
      <c r="IT7" s="152">
        <f>IF($FD7="Sem Barreiras",7,6)*$FH7&amp;" PE"</f>
        <v/>
      </c>
      <c r="IU7" s="152">
        <f>"Acerto "&amp;$FH7&amp;"d8"</f>
        <v/>
      </c>
      <c r="IV7" s="152">
        <f>IFERROR(VLOOKUP($FD7,$CP$2:$CR$4,3,FALSE),"Escolha o degrau")</f>
        <v/>
      </c>
      <c r="IW7" s="152">
        <f>6&amp;" · "&amp;IF($FE7=0,"vazia",$CZ7&amp;" · nv "&amp;$FG7&amp;" · "&amp;$FY7&amp;"/"&amp;$FX7)</f>
        <v/>
      </c>
      <c r="IY7" s="150" t="inlineStr">
        <is>
          <t>Invocação 6</t>
        </is>
      </c>
      <c r="IZ7" s="152">
        <f>ADDRESS(ROW('INVOCAÇÕES'!D26),COLUMN('INVOCAÇÕES'!D26),4)</f>
        <v/>
      </c>
      <c r="JA7" s="152">
        <f>ADDRESS(ROW('INVOCAÇÕES'!H999),COLUMN('INVOCAÇÕES'!H999),4)</f>
        <v/>
      </c>
      <c r="JB7" s="150" t="inlineStr">
        <is>
          <t>DADOS_INVOC!$IW$7</t>
        </is>
      </c>
      <c r="JD7" s="152">
        <f>IF(OR($AW7="",COUNTIF($ED$2:$EH$2,$AW7)&gt;0),$AV7,"")</f>
        <v/>
      </c>
      <c r="JE7" s="152">
        <f>IF(AND($AX7=1,OR($AW7="",COUNTIF($ED$2:$EH$2,$AW7)&gt;0)),$AV7,"")</f>
        <v/>
      </c>
      <c r="JG7" s="152">
        <f>IF(OR($W7="",COUNTIF($ED$2:$EH$2,$W7)&gt;0),$V7,"")</f>
        <v/>
      </c>
      <c r="JH7" s="152">
        <f>IF(AND($AF7=1,OR($W7="",COUNTIF($ED$2:$EH$2,$W7)&gt;0)),$V7,"")</f>
        <v/>
      </c>
      <c r="JJ7" s="152">
        <f>IF(OR($AW7="",COUNTIF($ED$3:$EH$3,$AW7)&gt;0),$AV7,"")</f>
        <v/>
      </c>
      <c r="JK7" s="152">
        <f>IF(AND($AX7=1,OR($AW7="",COUNTIF($ED$3:$EH$3,$AW7)&gt;0)),$AV7,"")</f>
        <v/>
      </c>
      <c r="JM7" s="152">
        <f>IF(OR($W7="",COUNTIF($ED$3:$EH$3,$W7)&gt;0),$V7,"")</f>
        <v/>
      </c>
      <c r="JN7" s="152">
        <f>IF(AND($AF7=1,OR($W7="",COUNTIF($ED$3:$EH$3,$W7)&gt;0)),$V7,"")</f>
        <v/>
      </c>
      <c r="JP7" s="152">
        <f>IF(OR($AW7="",COUNTIF($ED$4:$EH$4,$AW7)&gt;0),$AV7,"")</f>
        <v/>
      </c>
      <c r="JQ7" s="152">
        <f>IF(AND($AX7=1,OR($AW7="",COUNTIF($ED$4:$EH$4,$AW7)&gt;0)),$AV7,"")</f>
        <v/>
      </c>
      <c r="JS7" s="152">
        <f>IF(OR($W7="",COUNTIF($ED$4:$EH$4,$W7)&gt;0),$V7,"")</f>
        <v/>
      </c>
      <c r="JT7" s="152">
        <f>IF(AND($AF7=1,OR($W7="",COUNTIF($ED$4:$EH$4,$W7)&gt;0)),$V7,"")</f>
        <v/>
      </c>
      <c r="JV7" s="152">
        <f>IF(OR($AW7="",COUNTIF($ED$5:$EH$5,$AW7)&gt;0),$AV7,"")</f>
        <v/>
      </c>
      <c r="JW7" s="152">
        <f>IF(AND($AX7=1,OR($AW7="",COUNTIF($ED$5:$EH$5,$AW7)&gt;0)),$AV7,"")</f>
        <v/>
      </c>
      <c r="JY7" s="152">
        <f>IF(OR($W7="",COUNTIF($ED$5:$EH$5,$W7)&gt;0),$V7,"")</f>
        <v/>
      </c>
      <c r="JZ7" s="152">
        <f>IF(AND($AF7=1,OR($W7="",COUNTIF($ED$5:$EH$5,$W7)&gt;0)),$V7,"")</f>
        <v/>
      </c>
      <c r="KB7" s="152">
        <f>IF(OR($AW7="",COUNTIF($ED$6:$EH$6,$AW7)&gt;0),$AV7,"")</f>
        <v/>
      </c>
      <c r="KC7" s="152">
        <f>IF(AND($AX7=1,OR($AW7="",COUNTIF($ED$6:$EH$6,$AW7)&gt;0)),$AV7,"")</f>
        <v/>
      </c>
      <c r="KE7" s="152">
        <f>IF(OR($W7="",COUNTIF($ED$6:$EH$6,$W7)&gt;0),$V7,"")</f>
        <v/>
      </c>
      <c r="KF7" s="152">
        <f>IF(AND($AF7=1,OR($W7="",COUNTIF($ED$6:$EH$6,$W7)&gt;0)),$V7,"")</f>
        <v/>
      </c>
      <c r="KH7" s="152">
        <f>IF(OR($AW7="",COUNTIF($ED$7:$EH$7,$AW7)&gt;0),$AV7,"")</f>
        <v/>
      </c>
      <c r="KI7" s="152">
        <f>IF(AND($AX7=1,OR($AW7="",COUNTIF($ED$7:$EH$7,$AW7)&gt;0)),$AV7,"")</f>
        <v/>
      </c>
      <c r="KK7" s="152">
        <f>IF(OR($W7="",COUNTIF($ED$7:$EH$7,$W7)&gt;0),$V7,"")</f>
        <v/>
      </c>
      <c r="KL7" s="152">
        <f>IF(AND($AF7=1,OR($W7="",COUNTIF($ED$7:$EH$7,$W7)&gt;0)),$V7,"")</f>
        <v/>
      </c>
      <c r="KN7" s="152">
        <f>IF(OR($AW7="",COUNTIF($ED$8:$EH$8,$AW7)&gt;0),$AV7,"")</f>
        <v/>
      </c>
      <c r="KO7" s="152">
        <f>IF(AND($AX7=1,OR($AW7="",COUNTIF($ED$8:$EH$8,$AW7)&gt;0)),$AV7,"")</f>
        <v/>
      </c>
      <c r="KQ7" s="152">
        <f>IF(OR($W7="",COUNTIF($ED$8:$EH$8,$W7)&gt;0),$V7,"")</f>
        <v/>
      </c>
      <c r="KR7" s="152">
        <f>IF(AND($AF7=1,OR($W7="",COUNTIF($ED$8:$EH$8,$W7)&gt;0)),$V7,"")</f>
        <v/>
      </c>
      <c r="KT7" s="152">
        <f>IF(OR($AW7="",COUNTIF($ED$9:$EH$9,$AW7)&gt;0),$AV7,"")</f>
        <v/>
      </c>
      <c r="KU7" s="152">
        <f>IF(AND($AX7=1,OR($AW7="",COUNTIF($ED$9:$EH$9,$AW7)&gt;0)),$AV7,"")</f>
        <v/>
      </c>
      <c r="KW7" s="152">
        <f>IF(OR($W7="",COUNTIF($ED$9:$EH$9,$W7)&gt;0),$V7,"")</f>
        <v/>
      </c>
      <c r="KX7" s="152">
        <f>IF(AND($AF7=1,OR($W7="",COUNTIF($ED$9:$EH$9,$W7)&gt;0)),$V7,"")</f>
        <v/>
      </c>
      <c r="KZ7" s="152">
        <f>IF(OR($AW7="",COUNTIF($ED$10:$EH$10,$AW7)&gt;0),$AV7,"")</f>
        <v/>
      </c>
      <c r="LA7" s="152">
        <f>IF(AND($AX7=1,OR($AW7="",COUNTIF($ED$10:$EH$10,$AW7)&gt;0)),$AV7,"")</f>
        <v/>
      </c>
      <c r="LC7" s="152">
        <f>IF(OR($W7="",COUNTIF($ED$10:$EH$10,$W7)&gt;0),$V7,"")</f>
        <v/>
      </c>
      <c r="LD7" s="152">
        <f>IF(AND($AF7=1,OR($W7="",COUNTIF($ED$10:$EH$10,$W7)&gt;0)),$V7,"")</f>
        <v/>
      </c>
      <c r="LF7" s="152">
        <f>IF(OR($AW7="",COUNTIF($ED$11:$EH$11,$AW7)&gt;0),$AV7,"")</f>
        <v/>
      </c>
      <c r="LG7" s="152">
        <f>IF(AND($AX7=1,OR($AW7="",COUNTIF($ED$11:$EH$11,$AW7)&gt;0)),$AV7,"")</f>
        <v/>
      </c>
      <c r="LI7" s="152">
        <f>IF(OR($W7="",COUNTIF($ED$11:$EH$11,$W7)&gt;0),$V7,"")</f>
        <v/>
      </c>
      <c r="LJ7" s="152">
        <f>IF(AND($AF7=1,OR($W7="",COUNTIF($ED$11:$EH$11,$W7)&gt;0)),$V7,"")</f>
        <v/>
      </c>
      <c r="LL7" s="152">
        <f>IF(OR($AW7="",COUNTIF($ED$12:$EH$12,$AW7)&gt;0),$AV7,"")</f>
        <v/>
      </c>
      <c r="LM7" s="152">
        <f>IF(AND($AX7=1,OR($AW7="",COUNTIF($ED$12:$EH$12,$AW7)&gt;0)),$AV7,"")</f>
        <v/>
      </c>
      <c r="LO7" s="152">
        <f>IF(OR($W7="",COUNTIF($ED$12:$EH$12,$W7)&gt;0),$V7,"")</f>
        <v/>
      </c>
      <c r="LP7" s="152">
        <f>IF(AND($AF7=1,OR($W7="",COUNTIF($ED$12:$EH$12,$W7)&gt;0)),$V7,"")</f>
        <v/>
      </c>
      <c r="LR7" s="152">
        <f>IF(OR($AW7="",COUNTIF($ED$13:$EH$13,$AW7)&gt;0),$AV7,"")</f>
        <v/>
      </c>
      <c r="LS7" s="152">
        <f>IF(AND($AX7=1,OR($AW7="",COUNTIF($ED$13:$EH$13,$AW7)&gt;0)),$AV7,"")</f>
        <v/>
      </c>
      <c r="LU7" s="152">
        <f>IF(OR($W7="",COUNTIF($ED$13:$EH$13,$W7)&gt;0),$V7,"")</f>
        <v/>
      </c>
      <c r="LV7" s="152">
        <f>IF(AND($AF7=1,OR($W7="",COUNTIF($ED$13:$EH$13,$W7)&gt;0)),$V7,"")</f>
        <v/>
      </c>
      <c r="LX7" s="150" t="inlineStr">
        <is>
          <t>Ficha 1 · Especial 4</t>
        </is>
      </c>
      <c r="LY7" s="152" t="n">
        <v>1</v>
      </c>
      <c r="LZ7" s="152" t="n">
        <v>1</v>
      </c>
      <c r="MA7" s="152" t="n">
        <v>12</v>
      </c>
      <c r="MB7" s="150" t="inlineStr">
        <is>
          <t>ESPECIAL 4</t>
        </is>
      </c>
      <c r="MC7" s="152">
        <f>MAX(1,MIN(7,N('INVOCAÇÕES'!$U$92)))</f>
        <v/>
      </c>
      <c r="MD7" s="152">
        <f>'INVOCAÇÕES'!$V$92&amp;""</f>
        <v/>
      </c>
      <c r="ME7" s="152">
        <f>'INVOCAÇÕES'!$U$97&amp;""</f>
        <v/>
      </c>
      <c r="MF7" s="152">
        <f>'INVOCAÇÕES'!$U$98&amp;""</f>
        <v/>
      </c>
      <c r="MG7" s="152">
        <f>'INVOCAÇÕES'!$W$98&amp;""</f>
        <v/>
      </c>
      <c r="MH7" s="152">
        <f>'INVOCAÇÕES'!$V$101&amp;""</f>
        <v/>
      </c>
      <c r="MI7" s="152">
        <f>'INVOCAÇÕES'!$V$102&amp;""</f>
        <v/>
      </c>
      <c r="MJ7" s="152">
        <f>'INVOCAÇÕES'!$V$103&amp;""</f>
        <v/>
      </c>
      <c r="MK7" s="152">
        <f>'INVOCAÇÕES'!$V$104&amp;""</f>
        <v/>
      </c>
      <c r="ML7" s="152">
        <f>'INVOCAÇÕES'!$V$105&amp;""</f>
        <v/>
      </c>
      <c r="MM7" s="152">
        <f>'INVOCAÇÕES'!$V$106&amp;""</f>
        <v/>
      </c>
      <c r="MN7" s="152">
        <f>IF($MD7&lt;&gt;"",1,0)</f>
        <v/>
      </c>
      <c r="MO7" s="152">
        <f>INDEX($FG$2:$FG$13,$LY7)</f>
        <v/>
      </c>
      <c r="MP7" s="152">
        <f>INDEX($FH$2:$FH$13,$LY7)</f>
        <v/>
      </c>
      <c r="MQ7" s="152">
        <f>INDEX($FI$2:$FI$13,$LY7)</f>
        <v/>
      </c>
      <c r="MR7" s="152">
        <f>INDEX($FT$2:$FT$13,$LY7)</f>
        <v/>
      </c>
      <c r="MS7" s="152">
        <f>INDEX($FU$2:$FU$13,$LY7)</f>
        <v/>
      </c>
      <c r="MT7" s="152">
        <f>IFERROR(MATCH($ME7,$V$2:$V$11,0),0)</f>
        <v/>
      </c>
      <c r="MU7" s="152">
        <f>IFERROR(VLOOKUP($MH7,$AV$2:$AZ$84,2,FALSE),"")</f>
        <v/>
      </c>
      <c r="MV7" s="152">
        <f>IFERROR(VLOOKUP($MI7,$AV$2:$AZ$84,2,FALSE),"")</f>
        <v/>
      </c>
      <c r="MW7" s="152">
        <f>IFERROR(VLOOKUP($MJ7,$AV$2:$AZ$84,2,FALSE),"")</f>
        <v/>
      </c>
      <c r="MX7" s="152">
        <f>IFERROR(VLOOKUP($MK7,$AV$2:$AZ$84,2,FALSE),"")</f>
        <v/>
      </c>
      <c r="MY7" s="152">
        <f>IFERROR(VLOOKUP($MH7,$AV$2:$AZ$84,3,FALSE),0)</f>
        <v/>
      </c>
      <c r="MZ7" s="152">
        <f>IFERROR(VLOOKUP($MI7,$AV$2:$AZ$84,3,FALSE),0)</f>
        <v/>
      </c>
      <c r="NA7" s="152">
        <f>IFERROR(VLOOKUP($MJ7,$AV$2:$AZ$84,3,FALSE),0)</f>
        <v/>
      </c>
      <c r="NB7" s="152">
        <f>IFERROR(VLOOKUP($MK7,$AV$2:$AZ$84,3,FALSE),0)</f>
        <v/>
      </c>
      <c r="NC7" s="152">
        <f>IF($MC7=0,0,IF($MT7=0,0,INDEX($X$2:$X$11,$MT7)))</f>
        <v/>
      </c>
      <c r="ND7" s="152">
        <f>IF(OR($MY7=0,$MC7=0),0,$MY7+3*IF(AND($MU7&lt;&gt;"",OR($MU7=INDEX($ED$2:$ED$13,$LY7),$MU7=INDEX($EE$2:$EE$13,$LY7))),1,0))</f>
        <v/>
      </c>
      <c r="NE7" s="152">
        <f>IF(OR($MZ7=0,$MC7=0),0,$MZ7+3*IF(AND($MV7&lt;&gt;"",OR($MV7=INDEX($ED$2:$ED$13,$LY7),$MV7=INDEX($EE$2:$EE$13,$LY7))),1,0))</f>
        <v/>
      </c>
      <c r="NF7" s="152">
        <f>IF(OR($NA7=0,$MC7=0),0,$NA7+3*IF(AND($MW7&lt;&gt;"",OR($MW7=INDEX($ED$2:$ED$13,$LY7),$MW7=INDEX($EE$2:$EE$13,$LY7))),1,0))</f>
        <v/>
      </c>
      <c r="NG7" s="152">
        <f>IF(OR($NB7=0,$MC7=0),0,$NB7+3*IF(AND($MX7&lt;&gt;"",OR($MX7=INDEX($ED$2:$ED$13,$LY7),$MX7=INDEX($EE$2:$EE$13,$LY7))),1,0))</f>
        <v/>
      </c>
      <c r="NH7" s="152">
        <f>IF($MT7=0,0,IF(INDEX($W$2:$W$11,$MT7)="",0,IF(COUNTIF(INDEX($ED$2:$EH$13,$LY7,0),INDEX($W$2:$W$11,$MT7))=0,1,0)))</f>
        <v/>
      </c>
      <c r="NI7" s="152">
        <f>IF(OR($MY7=0,$MU7=""),0,IF(COUNTIF(INDEX($ED$2:$EH$13,$LY7,0),$MU7)=0,1,0))</f>
        <v/>
      </c>
      <c r="NJ7" s="152">
        <f>IF(OR($MZ7=0,$MV7=""),0,IF(COUNTIF(INDEX($ED$2:$EH$13,$LY7,0),$MV7)=0,1,0))</f>
        <v/>
      </c>
      <c r="NK7" s="152">
        <f>IF(OR($NA7=0,$MW7=""),0,IF(COUNTIF(INDEX($ED$2:$EH$13,$LY7,0),$MW7)=0,1,0))</f>
        <v/>
      </c>
      <c r="NL7" s="152">
        <f>IF(OR($NB7=0,$MX7=""),0,IF(COUNTIF(INDEX($ED$2:$EH$13,$LY7,0),$MX7)=0,1,0))</f>
        <v/>
      </c>
      <c r="NM7" s="152">
        <f>IFERROR(VLOOKUP($MH7,$AV$2:$AZ$84,4,FALSE),0)+IFERROR(VLOOKUP($MI7,$AV$2:$AZ$84,4,FALSE),0)+IFERROR(VLOOKUP($MJ7,$AV$2:$AZ$84,4,FALSE),0)+IFERROR(VLOOKUP($MK7,$AV$2:$AZ$84,4,FALSE),0)</f>
        <v/>
      </c>
      <c r="NN7" s="152">
        <f>TEXTJOIN(", ",TRUE,IF(IFERROR(VLOOKUP($MH7,$AV$2:$AZ$84,5,FALSE),0)=1,$MH7,""),IF(IFERROR(VLOOKUP($MI7,$AV$2:$AZ$84,5,FALSE),0)=1,$MI7,""),IF(IFERROR(VLOOKUP($MJ7,$AV$2:$AZ$84,5,FALSE),0)=1,$MJ7,""),IF(IFERROR(VLOOKUP($MK7,$AV$2:$AZ$84,5,FALSE),0)=1,$MK7,""))</f>
        <v/>
      </c>
      <c r="NO7" s="152">
        <f>IF($MT7=0,0,INDEX($Y$2:$Y$11,$MT7))</f>
        <v/>
      </c>
      <c r="NP7" s="152">
        <f>IF($MT7=0,0,INDEX($Z$2:$Z$11,$MT7))</f>
        <v/>
      </c>
      <c r="NQ7" s="152">
        <f>IF($MT7=0,0,INDEX($AB$2:$AB$11,$MT7))</f>
        <v/>
      </c>
      <c r="NR7" s="152">
        <f>IFERROR(VLOOKUP($ML7,$BB$2:$BF$24,3,FALSE),0)</f>
        <v/>
      </c>
      <c r="NS7" s="152">
        <f>IFERROR(VLOOKUP($MM7,$BB$2:$BF$24,3,FALSE),0)</f>
        <v/>
      </c>
      <c r="NT7" s="152">
        <f>IFERROR(VLOOKUP($ML7,$BB$2:$BF$24,2,FALSE),"")</f>
        <v/>
      </c>
      <c r="NU7" s="152">
        <f>IFERROR(VLOOKUP($MM7,$BB$2:$BF$24,2,FALSE),"")</f>
        <v/>
      </c>
      <c r="NV7" s="152">
        <f>COUNTIF($NC7:$NG7,1)</f>
        <v/>
      </c>
      <c r="NW7" s="152">
        <f>COUNTIF($NC7:$NG7,2)</f>
        <v/>
      </c>
      <c r="NX7" s="152">
        <f>COUNTIF($NC7:$NG7,3)</f>
        <v/>
      </c>
      <c r="NY7" s="152">
        <f>COUNTIF($NC7:$NG7,4)</f>
        <v/>
      </c>
      <c r="NZ7" s="152">
        <f>COUNTIF($NC7:$NG7,5)</f>
        <v/>
      </c>
      <c r="OA7" s="152">
        <f>COUNTIF($NC7:$NG7,6)</f>
        <v/>
      </c>
      <c r="OB7" s="152">
        <f>COUNTIF($NR7:$NS7,1)</f>
        <v/>
      </c>
      <c r="OC7" s="152">
        <f>COUNTIF($NR7:$NS7,2)+$NO7</f>
        <v/>
      </c>
      <c r="OD7" s="152">
        <f>COUNTIF($MH7:$MK7,"?*")</f>
        <v/>
      </c>
      <c r="OE7" s="152">
        <f>COUNTIF($ML7:$MM7,"?*")+$NO7</f>
        <v/>
      </c>
      <c r="OF7" s="152">
        <f>IF($MC7=0,0,SUMPRODUCT($NV7:$OA7,INDEX($I$2:$N$8,MAX(1,$MC7),0)))</f>
        <v/>
      </c>
      <c r="OG7" s="152">
        <f>IF($MC7=0,0,$OB7*CEILING($MC7/2,1)+$OC7*$MC7)</f>
        <v/>
      </c>
      <c r="OH7" s="152">
        <f>MIN(2*$MC7,$OG7)</f>
        <v/>
      </c>
      <c r="OI7" s="152">
        <f>MIN($OH7,$OF7)</f>
        <v/>
      </c>
      <c r="OJ7" s="152">
        <f>$OH7-$OI7</f>
        <v/>
      </c>
      <c r="OK7" s="152">
        <f>IF($MC7=0,0,INDEX($P$2:$P$8,MAX(1,$MC7)))</f>
        <v/>
      </c>
      <c r="OL7" s="152">
        <f>$OK7-$OF7+$OI7</f>
        <v/>
      </c>
      <c r="OM7" s="152">
        <f>IF($MC7=0,MAX(0,$MQ7-IF($OD7&gt;0,1,0)),MAX(0,$OL7))</f>
        <v/>
      </c>
      <c r="ON7" s="152">
        <f>IF($MC7=0,0,(IF(COUNTIF($MH7:$MK7,"Salto")&gt;0,1,0)+IF(COUNTIF($MH7:$MK7,"Queima")&gt;0,1,0)+IF(COUNTIF($MH7:$MK7,"Estilhaço")&gt;0,1,0))*FLOOR($OM7/2,1))</f>
        <v/>
      </c>
      <c r="OO7" s="152">
        <f>MAX(0,2-SUMPRODUCT($NV7:$OA7,$I$2:$N$2)+MIN(2,$OB7*1+$OC7*1,SUMPRODUCT($NV7:$OA7,$I$2:$N$2)))</f>
        <v/>
      </c>
      <c r="OP7" s="152">
        <f>MAX(0,4-SUMPRODUCT($NV7:$OA7,$I$3:$N$3)+MIN(4,$OB7*1+$OC7*2,SUMPRODUCT($NV7:$OA7,$I$3:$N$3)))</f>
        <v/>
      </c>
      <c r="OQ7" s="152">
        <f>MAX(0,6-SUMPRODUCT($NV7:$OA7,$I$4:$N$4)+MIN(6,$OB7*2+$OC7*3,SUMPRODUCT($NV7:$OA7,$I$4:$N$4)))</f>
        <v/>
      </c>
      <c r="OR7" s="152">
        <f>MAX(0,9-SUMPRODUCT($NV7:$OA7,$I$5:$N$5)+MIN(8,$OB7*2+$OC7*4,SUMPRODUCT($NV7:$OA7,$I$5:$N$5)))</f>
        <v/>
      </c>
      <c r="OS7" s="152">
        <f>MAX(0,11-SUMPRODUCT($NV7:$OA7,$I$6:$N$6)+MIN(10,$OB7*3+$OC7*5,SUMPRODUCT($NV7:$OA7,$I$6:$N$6)))</f>
        <v/>
      </c>
      <c r="OT7" s="152">
        <f>MAX(0,13-SUMPRODUCT($NV7:$OA7,$I$7:$N$7)+MIN(12,$OB7*3+$OC7*6,SUMPRODUCT($NV7:$OA7,$I$7:$N$7)))</f>
        <v/>
      </c>
      <c r="OU7" s="152">
        <f>MAX(0,16-SUMPRODUCT($NV7:$OA7,$I$8:$N$8)+MIN(14,$OB7*4+$OC7*7,SUMPRODUCT($NV7:$OA7,$I$8:$N$8)))</f>
        <v/>
      </c>
      <c r="OV7" s="152">
        <f>IF($NP7=2,3*$OO7&amp;" de vida temp.",IF($NP7=3,"sem dano",IF($OO7=0,IF($NP7=1,"sem cura","sem dano"),IF($NP7=1,"cura ","")&amp;$OO7&amp;"d8")))</f>
        <v/>
      </c>
      <c r="OW7" s="152">
        <f>IF($NP7=2,3*$OP7&amp;" de vida temp.",IF($NP7=3,"sem dano",IF($OP7=0,IF($NP7=1,"sem cura","sem dano"),IF($NP7=1,"cura ","")&amp;$OP7&amp;"d8")))</f>
        <v/>
      </c>
      <c r="OX7" s="152">
        <f>IF($NP7=2,3*$OQ7&amp;" de vida temp.",IF($NP7=3,"sem dano",IF($OQ7=0,IF($NP7=1,"sem cura","sem dano"),IF($NP7=1,"cura ","")&amp;$OQ7&amp;"d8")))</f>
        <v/>
      </c>
      <c r="OY7" s="152">
        <f>IF($NP7=2,3*$OR7&amp;" de vida temp.",IF($NP7=3,"sem dano",IF($OR7=0,IF($NP7=1,"sem cura","sem dano"),IF($NP7=1,"cura ","")&amp;$OR7&amp;"d8")))</f>
        <v/>
      </c>
      <c r="OZ7" s="152">
        <f>IF($NP7=2,3*$OS7&amp;" de vida temp.",IF($NP7=3,"sem dano",IF($OS7=0,IF($NP7=1,"sem cura","sem dano"),IF($NP7=1,"cura ","")&amp;$OS7&amp;"d8")))</f>
        <v/>
      </c>
      <c r="PA7" s="152">
        <f>IF($NP7=2,3*$OT7&amp;" de vida temp.",IF($NP7=3,"sem dano",IF($OT7=0,IF($NP7=1,"sem cura","sem dano"),IF($NP7=1,"cura ","")&amp;$OT7&amp;"d8")))</f>
        <v/>
      </c>
      <c r="PB7" s="152">
        <f>IF($NP7=2,3*$OU7&amp;" de vida temp.",IF($NP7=3,"sem dano",IF($OU7=0,IF($NP7=1,"sem cura","sem dano"),IF($NP7=1,"cura ","")&amp;$OU7&amp;"d8")))</f>
        <v/>
      </c>
      <c r="PC7" s="152">
        <f>IF($MN7=0,"",TEXTJOIN(" · ",TRUE,IF($MA7&gt;$MO7,"Este lugar abre no nível "&amp;$MA7,""),IF($MC7&gt;$MP7,"Classe "&amp;$MC7&amp;": o nível "&amp;$MO7&amp;" libera até a "&amp;$MP7,""),IF($NH7=1,"A Forma "&amp;$ME7&amp;" pede "&amp;INDEX($W$2:$W$11,$MT7)&amp;" aberta",""),IF(AND($MC7=0,$MT7&gt;0,IF($MT7=0,0,INDEX($AF$2:$AF$11,$MT7))=0),$ME7&amp;" não existe na Classe 0",""),IF($NI7=1,"Família Fechada: "&amp;$MH7,""),IF($NJ7=1,"Família Fechada: "&amp;$MI7,""),IF($NK7=1,"Família Fechada: "&amp;$MJ7,""),IF($NL7=1,"Família Fechada: "&amp;$MK7,""),IF(AND($MC7&gt;0,$OD7&gt;INDEX($O$2:$O$8,MAX(1,$MC7))),$OD7&amp;" Melhorias: a Classe "&amp;$MC7&amp;" aceita "&amp;INDEX($O$2:$O$8,MAX(1,$MC7)),""),IF(AND($MC7=0,$OD7&gt;1),"A básica aceita uma Melhoria",""),IF(AND($MC7=0,COUNTIF($MY7:$NB7,"&gt;1")&gt;0),"A básica só aceita Melhoria Leve",""),IF(AND($MC7&gt;0,$OE7&gt;2),$OE7&amp;" Restrições"&amp;IF($NO7=1,", contando a que a Forma "&amp;$ME7&amp;" já traz","")&amp;": o limite é 2",""),IF(AND($MC7=0,COUNTIF($ML7:$MM7,"?*")&gt;1),"A básica aceita uma Restrição Leve",""),IF(AND($MC7=0,COUNTIF($NR7:$NS7,2)&gt;0),"A básica só aceita Restrição Leve",""),IF(AND($MC7&gt;0,$OL7&lt;0),"Orçamento estourado: faltam "&amp;(-$OL7)&amp;IF($OL7&lt;-1," pontos"," ponto"),""),IF(IFERROR(VLOOKUP($ML7,$BB$2:$BF$24,4,FALSE),0)+IFERROR(VLOOKUP($MM7,$BB$2:$BF$24,4,FALSE),0)&gt;1,$NT7&amp;" e "&amp;$NU7&amp;" são as duas de frequência",""),IF(AND((COUNTIF($MH7:$MK7,"Rápido")+COUNTIF($NT7:$NU7,"Rápido"))&gt;0,(COUNTIF($MH7:$MK7,"Atrasar")+COUNTIF($NT7:$NU7,"Atrasar"))&gt;0),"Rápido não entra com Atrasar",""),IF(AND((COUNTIF($MH7:$MK7,"Reação")+COUNTIF($NT7:$NU7,"Reação"))&gt;0,(COUNTIF($MH7:$MK7,"Rápido")+COUNTIF($NT7:$NU7,"Rápido"))&gt;0),"Reação não entra com Rápido",""),IF(AND((COUNTIF($MH7:$MK7,"Reação")+COUNTIF($NT7:$NU7,"Reação"))&gt;0,(COUNTIF($MH7:$MK7,"Armado")+COUNTIF($NT7:$NU7,"Armado"))&gt;0),"Reação não entra com Armado",""),IF(AND((COUNTIF($MH7:$MK7,"Reação")+COUNTIF($NT7:$NU7,"Reação"))&gt;0,(COUNTIF($MH7:$MK7,"Atrasar")+COUNTIF($NT7:$NU7,"Atrasar"))&gt;0),"Reação não entra com Atrasar",""),IF(AND((COUNTIF($MH7:$MK7,"Reação")+COUNTIF($NT7:$NU7,"Reação"))&gt;0,(COUNTIF($MH7:$MK7,"Parado")+COUNTIF($NT7:$NU7,"Parado"))&gt;0),"Reação não entra com Parado",""),IF(AND((COUNTIF($MH7:$MK7,"Atrasar")+COUNTIF($NT7:$NU7,"Atrasar"))&gt;0,(COUNTIF($MH7:$MK7,"Parado")+COUNTIF($NT7:$NU7,"Parado"))&gt;0),"Atrasar não entra com Parado",""),IF(AND((COUNTIF($MH7:$MK7,"Armado")+COUNTIF($NT7:$NU7,"Armado"))&gt;0,(COUNTIF($MH7:$MK7,"Carregar")+COUNTIF($NT7:$NU7,"Carregar"))&gt;0),"Armado não entra com Carregar",""),IF(AND(COUNTIF($NT7:$NU7,"Corpo a Corpo")&gt;0,$NO7=0,OR($ME7="Cone",$ME7="Linha")),"Corpo a Corpo não entra em "&amp;$ME7,""),IF(AND(COUNTIF($NT7:$NU7,"Corpo a Corpo")&gt;0,$NO7=1),"A Forma "&amp;$ME7&amp;" já traz o Corpo a Corpo",""),IF(AND(COUNTIF($NT7:$NU7,"Tudo ou Nada")&gt;0,$NQ7=0),"Tudo ou Nada só entra em habilidade de Teste de Resistência",""),IF(AND(COUNTIF($MH7:$MK7,"Inescapável")&gt;0,OR($OD7&gt;1,$OE7&gt;0)),"Inescapável não aceita outra peça",""),IF(AND($MC7&gt;0,$OM7*IF(COUNTIF($MH7:$MK7,"Remate")&gt;0,1.25,1)+$ON7&gt;4*$MC7),($OM7*IF(COUNTIF($MH7:$MK7,"Remate")&gt;0,1.25,1)+$ON7)&amp;" dados somando repetições"&amp;IF(COUNTIF($MH7:$MK7,"Remate")&gt;0," e o Remate","")&amp;": o teto da Classe "&amp;$MC7&amp;" é "&amp;4*$MC7,"")))</f>
        <v/>
      </c>
      <c r="PD7" s="152">
        <f>IF($PC7="",0,(LEN($PC7)-LEN(SUBSTITUTE($PC7," · ","")))/3+1)</f>
        <v/>
      </c>
      <c r="PE7" s="152">
        <f>IF($MN7=0,"",TEXTJOIN(" · ",TRUE,IF($OG7&gt;2*$MC7,"A devolução parou no teto de "&amp;2*$MC7,""),IF($OJ7&gt;0,"Devolução perdida: "&amp;$OJ7&amp;IF($OJ7&gt;1," pontos"," ponto")&amp;" sem peça para pagar",""),IF(AND($NM7&gt;0,AND($MC7&gt;0,$NP7=0),$OM7=0),"Controle sem dano: uma rodada a mais e CD +2",""),IF(AND($NM7&gt;0,AND($MC7&gt;0,$NP7=0),$OM7&gt;0,$OM7&lt;=$MC7),"Controle com saldo até a Classe: uma rodada a mais",""),IF(AND($MC7&gt;0,$NN7&lt;&gt;""),"Efeito de "&amp;$NN7&amp;" pela Classe "&amp;MAX(1,$MC7-1),"")))</f>
        <v/>
      </c>
      <c r="PF7" s="152">
        <f>IF($PE7="",0,(LEN($PE7)-LEN(SUBSTITUTE($PE7," · ","")))/3+1)</f>
        <v/>
      </c>
      <c r="PG7" s="152">
        <f>IF($MN7=0,IF($OD7+COUNTIF($ML7:$MM7,"?*")&gt;0,"Dê um nome",""),IF($PD7&gt;0,"⚠ "&amp;$PD7&amp;IF($PD7&gt;1," erros"," erro"),IF($PF7&gt;0,"! "&amp;$PF7&amp;IF($PF7&gt;1," avisos"," aviso"),"Na regra")))</f>
        <v/>
      </c>
      <c r="PH7" s="152">
        <f>IF($MN7=0,"",IF($PD7+$PF7=0,"Dentro das regras que a ficha confere",$PC7&amp;IF(AND($PD7&gt;0,$PF7&gt;0)," · ","")&amp;$PE7))</f>
        <v/>
      </c>
      <c r="PI7" s="152">
        <f>IF($MA7&gt;$MO7,$MB7&amp;" · ABRE NO NÍVEL "&amp;$MA7,$MB7)</f>
        <v/>
      </c>
      <c r="PJ7" s="152">
        <f>IF($MN7=0,"",IF($MC7=0,"Sem PE",3*$MC7&amp;" PE"))</f>
        <v/>
      </c>
      <c r="PK7" s="152">
        <f>IF($MN7=0,"",IF($MC7=0,"A atuação básica dela",IF(COUNTIF($NT7:$NU7,"Atrasar")&gt;0,"Sua Ação Completa",IF(COUNTIF($MH7:$MK7,"Rápido")&gt;0,"Sua Bônus",IF(COUNTIF($MH7:$MK7,"Reação")&gt;0,"Sua Reação","Sua Padrão")))&amp;" + a básica dela"&amp;IF(COUNTIF($MH7:$MK7,"Reação")&gt;0," e a coletiva","")&amp;IF(COUNTIF($NT7:$NU7,"Carregar")&gt;0," · em dois turnos","")))</f>
        <v/>
      </c>
      <c r="PL7" s="152">
        <f>IF($MG7&lt;&gt;"",$MG7,IF($MT7=0,"",INDEX($AA$2:$AA$11,$MT7)))</f>
        <v/>
      </c>
      <c r="PM7" s="152">
        <f>IF(OR($MN7=0,$MT7=0),"",IF(COUNTIF($MH7:$MK7,"Inescapável")&gt;0,"Automático",IF($PL7="Ataque",IF($MR7="","Ataque","Ataque "&amp;IF(($MR7+2*IF(COUNTIF($MH7:$MK7,"Precisão")&gt;0,1,0))&gt;=0,"+","−")&amp;ABS(($MR7+2*IF(COUNTIF($MH7:$MK7,"Precisão")&gt;0,1,0)))),IF(LEFT($PL7,2)="TR",$PL7&amp;IF($MS7="",""," · CD "&amp;$MS7)&amp;IF(COUNTIF($MH7:$MK7,"Certeiro")&gt;0," · metade",""),"Sem rolagem"))))</f>
        <v/>
      </c>
      <c r="PN7" s="152">
        <f>IF(OR($MN7=0,$MT7=0),"",IF($MC7=0,IF(OR($NP7&gt;=1,$OM7=0),"Sem dano",$OM7&amp;"d6"&amp;IF($MF7="",""," "&amp;$MF7)),IF(OR($NP7&gt;=1,$OM7=0),UPPER(LEFT(INDEX($OV7:$PB7,1,MAX(1,$MC7)),1))&amp;MID(INDEX($OV7:$PB7,1,MAX(1,$MC7)),2,99),UPPER(LEFT(INDEX($OV7:$PB7,1,MAX(1,$MC7)),1))&amp;MID(INDEX($OV7:$PB7,1,MAX(1,$MC7)),2,99)&amp;IF($MF7="",""," "&amp;$MF7)&amp;IF($ON7&gt;0," · +"&amp;$ON7&amp;"d8",""))))</f>
        <v/>
      </c>
      <c r="PO7" s="152">
        <f>COUNTIF($MH7:$MK7,"Longe")+3*COUNTIF($MH7:$MK7,"Muito Longe")</f>
        <v/>
      </c>
      <c r="PP7" s="152">
        <f>COUNTIF($MH7:$MK7,"Maior")+3*COUNTIF($MH7:$MK7,"Muito Maior")</f>
        <v/>
      </c>
      <c r="PQ7" s="152">
        <f>IF($MT7=0,0,CHOOSE(1+INDEX($AC$2:$AC$11,$MT7),0,$PO7,$PP7,$PO7+$PP7))</f>
        <v/>
      </c>
      <c r="PR7" s="152">
        <f>IF($MT7=0,0,CHOOSE(1+INDEX($AD$2:$AD$11,$MT7),0,$PO7,$PP7,$PO7+$PP7))</f>
        <v/>
      </c>
      <c r="PS7" s="152">
        <f>IF(OR($MN7=0,$MT7=0),"",INDEX($AI$2:$AN$41,($MT7-1)*4+IF($MC7=0,1,IF($MC7&lt;=5,2,IF($MC7=6,3,4))),1+MIN(5,$PQ7))&amp;INDEX($AO$2:$AT$41,($MT7-1)*4+IF($MC7=0,1,IF($MC7&lt;=5,2,IF($MC7=6,3,4))),1+MIN(5,$PR7))&amp;IF(INDEX($AE$2:$AE$11,$MT7)=1,IF(COUNTIF($MH7:$MK7,"Mais Um")&gt;0," · +"&amp;COUNTIF($MH7:$MK7,"Mais Um")&amp;IF(COUNTIF($MH7:$MK7,"Mais Um")&gt;1," alvos"," alvo"),"")&amp;IF(COUNTIF($MH7:$MK7,"Rajada")&gt;0,IF($MC7=0," · 1 tiro"," · "&amp;(MAX(1,$MC7-1)+1)&amp;" tiros"),""),""))</f>
        <v/>
      </c>
      <c r="PT7" s="152">
        <f>IF($MN7=0,"",IF($MC7=0,$MQ7&amp;"d6"&amp;IF($OD7&gt;0," − 1 = "&amp;$OM7&amp;"d6"," da básica do nível "&amp;$MO7),$OK7&amp;" − "&amp;$OF7&amp;" + "&amp;$OI7&amp;" = "&amp;$OL7&amp;" · teto "&amp;4*$MC7&amp;"d8"&amp;IF($NO7=1," · a Forma devolve "&amp;$MC7,"")&amp;IF($OJ7&gt;0," · perde "&amp;$OJ7,"")))</f>
        <v/>
      </c>
      <c r="PU7" s="152">
        <f>IF($MN7=0,"",IF($MC7=0,"A básica não amplia: os dados dela sobem com o nível",IF($MC7&gt;=$MP7,"Já está na maior Classe que o nível liberou",TEXTJOIN(" · ",TRUE,IF(AND(2&gt;$MC7,2&lt;=$MP7),"2 → "&amp;$OW7&amp;", 6 PE",""),IF(AND(3&gt;$MC7,3&lt;=$MP7),"3 → "&amp;$OX7&amp;", 9 PE",""),IF(AND(4&gt;$MC7,4&lt;=$MP7),"4 → "&amp;$OY7&amp;", 12 PE",""),IF(AND(5&gt;$MC7,5&lt;=$MP7),"5 → "&amp;$OZ7&amp;", 15 PE",""),IF(AND(6&gt;$MC7,6&lt;=$MP7),"6 → "&amp;$PA7&amp;", 18 PE",""),IF(AND(7&gt;$MC7,7&lt;=$MP7),"7 → "&amp;$PB7&amp;", 21 PE","")))))</f>
        <v/>
      </c>
      <c r="PV7" s="152">
        <f>IF(OR($MN7=0,$MY7=0),"",IF($MC7=0,"−1 dado","−"&amp;INDEX($I$2:$N$8,MAX(1,$MC7),MAX(1,$ND7))&amp;" · "&amp;CHOOSE(MAX(1,$ND7),"Leve","Média","Pesada","Leve · Livre","Média · Livre","Pesada · Livre")))</f>
        <v/>
      </c>
      <c r="PW7" s="152">
        <f>IF(OR($MN7=0,$MZ7=0),"",IF($MC7=0,"−1 dado","−"&amp;INDEX($I$2:$N$8,MAX(1,$MC7),MAX(1,$NE7))&amp;" · "&amp;CHOOSE(MAX(1,$NE7),"Leve","Média","Pesada","Leve · Livre","Média · Livre","Pesada · Livre")))</f>
        <v/>
      </c>
      <c r="PX7" s="152">
        <f>IF(OR($MN7=0,$NA7=0),"",IF($MC7=0,"−1 dado","−"&amp;INDEX($I$2:$N$8,MAX(1,$MC7),MAX(1,$NF7))&amp;" · "&amp;CHOOSE(MAX(1,$NF7),"Leve","Média","Pesada","Leve · Livre","Média · Livre","Pesada · Livre")))</f>
        <v/>
      </c>
      <c r="PY7" s="152">
        <f>IF(OR($MN7=0,$NB7=0),"",IF($MC7=0,"−1 dado","−"&amp;INDEX($I$2:$N$8,MAX(1,$MC7),MAX(1,$NG7))&amp;" · "&amp;CHOOSE(MAX(1,$NG7),"Leve","Média","Pesada","Leve · Livre","Média · Livre","Pesada · Livre")))</f>
        <v/>
      </c>
      <c r="PZ7" s="152">
        <f>IF(OR($MN7=0,$ML7=""),"",IF($MC7=0,"não devolve","+"&amp;IF($NR7=1,CEILING($MC7/2,1),$MC7)))</f>
        <v/>
      </c>
      <c r="QA7" s="152">
        <f>IF(OR($MN7=0,$MM7=""),"",IF($MC7=0,"não devolve","+"&amp;IF($NS7=1,CEILING($MC7/2,1),$MC7)))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B8" s="150" t="inlineStr">
        <is>
          <t>Recuo (Leve)</t>
        </is>
      </c>
      <c r="BC8" s="150" t="inlineStr">
        <is>
          <t>Recuo</t>
        </is>
      </c>
      <c r="BD8" s="152" t="n">
        <v>1</v>
      </c>
      <c r="BE8" s="152" t="n">
        <v>0</v>
      </c>
      <c r="BF8" s="150" t="inlineStr">
        <is>
          <t>Recuo (Leve)</t>
        </is>
      </c>
      <c r="BH8" s="150" t="inlineStr">
        <is>
          <t>Fluxo</t>
        </is>
      </c>
      <c r="BI8" s="152" t="n">
        <v>2</v>
      </c>
      <c r="BJ8" s="150" t="inlineStr">
        <is>
          <t>Ao conjurar um feitiço de Classe 3 ou maior, você recebe 2 × a Classe usada em pontos de vida temporária. Uma conjuração concede a reserva uma vez, mesmo que alcance vários alvos ou produza vários ataques.</t>
        </is>
      </c>
      <c r="BK8" s="150" t="inlineStr"/>
      <c r="BR8" s="150" t="inlineStr">
        <is>
          <t>Tempo</t>
        </is>
      </c>
      <c r="BZ8" s="150" t="inlineStr">
        <is>
          <t>Intuição</t>
        </is>
      </c>
      <c r="CA8" s="150" t="inlineStr">
        <is>
          <t>Inteligência</t>
        </is>
      </c>
      <c r="CE8" s="150" t="inlineStr">
        <is>
          <t>Ácido</t>
        </is>
      </c>
      <c r="CI8" s="152" t="n">
        <v>6</v>
      </c>
      <c r="CV8" s="150" t="inlineStr">
        <is>
          <t>teto de ativas</t>
        </is>
      </c>
      <c r="CW8" s="152">
        <f>IF($CW$4="Múltiplas Invocações",4,2)</f>
        <v/>
      </c>
      <c r="CY8" s="152" t="n">
        <v>7</v>
      </c>
      <c r="CZ8" s="152">
        <f>'INVOCAÇÕES'!$AB$13&amp;""</f>
        <v/>
      </c>
      <c r="DA8" s="152">
        <f>'INVOCAÇÕES'!$AB$43&amp;""</f>
        <v/>
      </c>
      <c r="DB8" s="152">
        <f>'INVOCAÇÕES'!$AB$47&amp;""</f>
        <v/>
      </c>
      <c r="DC8" s="152">
        <f>N('INVOCAÇÕES'!$AD$47)</f>
        <v/>
      </c>
      <c r="DD8" s="152">
        <f>'INVOCAÇÕES'!$AE$47&amp;""</f>
        <v/>
      </c>
      <c r="DE8" s="152">
        <f>N('INVOCAÇÕES'!$AH$20)</f>
        <v/>
      </c>
      <c r="DF8" s="152">
        <f>N('INVOCAÇÕES'!$AI$20)</f>
        <v/>
      </c>
      <c r="DG8" s="152">
        <f>N('INVOCAÇÕES'!$AJ$20)</f>
        <v/>
      </c>
      <c r="DH8" s="152">
        <f>N('INVOCAÇÕES'!$AK$20)</f>
        <v/>
      </c>
      <c r="DI8" s="152">
        <f>N('INVOCAÇÕES'!$AL$20)</f>
        <v/>
      </c>
      <c r="DJ8" s="152">
        <f>N('INVOCAÇÕES'!$AH$21)</f>
        <v/>
      </c>
      <c r="DK8" s="152">
        <f>N('INVOCAÇÕES'!$AI$21)</f>
        <v/>
      </c>
      <c r="DL8" s="152">
        <f>N('INVOCAÇÕES'!$AJ$21)</f>
        <v/>
      </c>
      <c r="DM8" s="152">
        <f>N('INVOCAÇÕES'!$AK$21)</f>
        <v/>
      </c>
      <c r="DN8" s="152">
        <f>N('INVOCAÇÕES'!$AL$21)</f>
        <v/>
      </c>
      <c r="DO8" s="152">
        <f>'INVOCAÇÕES'!$AH$34&amp;""</f>
        <v/>
      </c>
      <c r="DP8" s="152">
        <f>'INVOCAÇÕES'!$AJ$34&amp;""</f>
        <v/>
      </c>
      <c r="DQ8" s="152">
        <f>'INVOCAÇÕES'!$AL$34&amp;""</f>
        <v/>
      </c>
      <c r="DR8" s="152">
        <f>N('INVOCAÇÕES'!$AH$26)</f>
        <v/>
      </c>
      <c r="DS8" s="152">
        <f>N('INVOCAÇÕES'!$AI$26)</f>
        <v/>
      </c>
      <c r="DT8" s="152">
        <f>N('INVOCAÇÕES'!$AJ$26)</f>
        <v/>
      </c>
      <c r="DU8" s="152">
        <f>N('INVOCAÇÕES'!$AK$26)</f>
        <v/>
      </c>
      <c r="DV8" s="152">
        <f>N('INVOCAÇÕES'!$AL$26)</f>
        <v/>
      </c>
      <c r="DW8" s="152">
        <f>N('INVOCAÇÕES'!$AH$31)</f>
        <v/>
      </c>
      <c r="DX8" s="152">
        <f>N('INVOCAÇÕES'!$AI$31)</f>
        <v/>
      </c>
      <c r="DY8" s="152">
        <f>N('INVOCAÇÕES'!$AJ$31)</f>
        <v/>
      </c>
      <c r="DZ8" s="152">
        <f>N('INVOCAÇÕES'!$AK$31)</f>
        <v/>
      </c>
      <c r="EA8" s="152">
        <f>'INVOCAÇÕES'!$AN$13&amp;""</f>
        <v/>
      </c>
      <c r="EB8" s="152">
        <f>N('INVOCAÇÕES'!$AP$13)</f>
        <v/>
      </c>
      <c r="EC8" s="152">
        <f>'INVOCAÇÕES'!$AR$13&amp;""</f>
        <v/>
      </c>
      <c r="ED8" s="152">
        <f>'INVOCAÇÕES'!$AH$48&amp;""</f>
        <v/>
      </c>
      <c r="EE8" s="152">
        <f>'INVOCAÇÕES'!$AI$48&amp;""</f>
        <v/>
      </c>
      <c r="EF8" s="152">
        <f>'INVOCAÇÕES'!$AJ$48&amp;""</f>
        <v/>
      </c>
      <c r="EG8" s="152">
        <f>'INVOCAÇÕES'!$AK$48&amp;""</f>
        <v/>
      </c>
      <c r="EH8" s="152">
        <f>'INVOCAÇÕES'!$AL$48&amp;""</f>
        <v/>
      </c>
      <c r="EI8" s="152">
        <f>'INVOCAÇÕES'!$AH$38&amp;""</f>
        <v/>
      </c>
      <c r="EJ8" s="152">
        <f>'INVOCAÇÕES'!$AH$39&amp;""</f>
        <v/>
      </c>
      <c r="EK8" s="152">
        <f>'INVOCAÇÕES'!$AH$40&amp;""</f>
        <v/>
      </c>
      <c r="EL8" s="152">
        <f>'INVOCAÇÕES'!$AH$41&amp;""</f>
        <v/>
      </c>
      <c r="EM8" s="152">
        <f>'INVOCAÇÕES'!$AH$42&amp;""</f>
        <v/>
      </c>
      <c r="EN8" s="152">
        <f>'INVOCAÇÕES'!$AH$43&amp;""</f>
        <v/>
      </c>
      <c r="EO8" s="152">
        <f>'INVOCAÇÕES'!$AH$44&amp;""</f>
        <v/>
      </c>
      <c r="EP8" s="152">
        <f>'INVOCAÇÕES'!$AC$80&amp;""</f>
        <v/>
      </c>
      <c r="EQ8" s="152">
        <f>'INVOCAÇÕES'!$AC$81&amp;""</f>
        <v/>
      </c>
      <c r="ER8" s="152">
        <f>'INVOCAÇÕES'!$AC$82&amp;""</f>
        <v/>
      </c>
      <c r="ES8" s="152">
        <f>'INVOCAÇÕES'!$AC$83&amp;""</f>
        <v/>
      </c>
      <c r="ET8" s="152">
        <f>'INVOCAÇÕES'!$AC$84&amp;""</f>
        <v/>
      </c>
      <c r="EU8" s="152">
        <f>'INVOCAÇÕES'!$AC$85&amp;""</f>
        <v/>
      </c>
      <c r="EV8" s="152">
        <f>'INVOCAÇÕES'!$AC$86&amp;""</f>
        <v/>
      </c>
      <c r="EW8" s="152">
        <f>'INVOCAÇÕES'!$AC$87&amp;""</f>
        <v/>
      </c>
      <c r="EX8" s="152">
        <f>'INVOCAÇÕES'!$AC$182&amp;""</f>
        <v/>
      </c>
      <c r="EY8" s="152">
        <f>'INVOCAÇÕES'!$AC$183&amp;""</f>
        <v/>
      </c>
      <c r="EZ8" s="152">
        <f>'INVOCAÇÕES'!$AC$184&amp;""</f>
        <v/>
      </c>
      <c r="FA8" s="152">
        <f>MAX(3,MIN(7,N('INVOCAÇÕES'!$AB$189)))</f>
        <v/>
      </c>
      <c r="FB8" s="152">
        <f>MAX(3,MIN(7,N('INVOCAÇÕES'!$AH$189)))</f>
        <v/>
      </c>
      <c r="FC8" s="152">
        <f>MAX(3,MIN(7,N('INVOCAÇÕES'!$AN$189)))</f>
        <v/>
      </c>
      <c r="FD8" s="152">
        <f>'INVOCAÇÕES'!$AH$203&amp;""</f>
        <v/>
      </c>
      <c r="FE8" s="152">
        <f>IF($CZ8&lt;&gt;"",1,0)</f>
        <v/>
      </c>
      <c r="FF8" s="152">
        <f>IFERROR(VLOOKUP($DB8,$BO$2:$BP$5,2,FALSE),1)</f>
        <v/>
      </c>
      <c r="FG8" s="152">
        <f>IF($FF8=1,$CW$2,MAX(1,MIN($CW$2,IF($DC8=0,$CW$2,$DC8))))</f>
        <v/>
      </c>
      <c r="FH8" s="152">
        <f>VLOOKUP(MAX(1,$FG8),$A$2:$D$8,2,TRUE)</f>
        <v/>
      </c>
      <c r="FI8" s="152">
        <f>VLOOKUP(MAX(1,$FG8),$A$2:$D$8,3,TRUE)</f>
        <v/>
      </c>
      <c r="FJ8" s="152">
        <f>$DE8+$DJ8</f>
        <v/>
      </c>
      <c r="FK8" s="152">
        <f>$DF8+$DK8</f>
        <v/>
      </c>
      <c r="FL8" s="152">
        <f>$DG8+$DL8</f>
        <v/>
      </c>
      <c r="FM8" s="152">
        <f>$DH8+$DM8</f>
        <v/>
      </c>
      <c r="FN8" s="152">
        <f>$DI8+$DN8</f>
        <v/>
      </c>
      <c r="FO8" s="152">
        <f>SUM($DE8:$DI8)</f>
        <v/>
      </c>
      <c r="FP8" s="152">
        <f>9+$FQ8</f>
        <v/>
      </c>
      <c r="FQ8" s="152">
        <f>COUNTIF($F$2:$F$8,"&lt;="&amp;$FG8)</f>
        <v/>
      </c>
      <c r="FR8" s="152">
        <f>MAX(0,$DE8-3)+MAX(0,$DF8-3)+MAX(0,$DG8-3)+MAX(0,$DH8-3)+MAX(0,$DI8-3)</f>
        <v/>
      </c>
      <c r="FS8" s="152">
        <f>IFERROR(INDEX($FJ8:$FN8,1,MATCH($DO8,$BT$2:$BT$6,0)),"")</f>
        <v/>
      </c>
      <c r="FT8" s="152">
        <f>IF($FS8="","",$FS8+$CW$3+$DR8)</f>
        <v/>
      </c>
      <c r="FU8" s="152">
        <f>IF($FS8="","",8+$FS8+$CW$3+$DS8)</f>
        <v/>
      </c>
      <c r="FV8" s="152">
        <f>10+$FK8+$CW$7+$DT8</f>
        <v/>
      </c>
      <c r="FW8" s="152">
        <f>IF($DA8="Corpo amaldiçoado de criação",1,0)</f>
        <v/>
      </c>
      <c r="FX8" s="152">
        <f>5+$FL8+(3+$FW8+$FL8)*($FG8-1)+$DU8</f>
        <v/>
      </c>
      <c r="FY8" s="152">
        <f>IF($EA8="",$FX8,MAX(0,MIN(IFERROR(VALUE($EA8),$FX8),$FX8)))</f>
        <v/>
      </c>
      <c r="FZ8" s="152">
        <f>9+$DV8</f>
        <v/>
      </c>
      <c r="GA8" s="152">
        <f>IF($DP8="Destreza",$FK8,$FJ8)</f>
        <v/>
      </c>
      <c r="GB8" s="152">
        <f>$GA8+IF($DQ8="Físico",$CW$3,0)+$DW8</f>
        <v/>
      </c>
      <c r="GC8" s="152">
        <f>$FL8+IF($DQ8="Vigor",$CW$3,0)+$DX8</f>
        <v/>
      </c>
      <c r="GD8" s="152">
        <f>$FM8+IF($DQ8="Intelecto",$CW$3,0)+$DY8</f>
        <v/>
      </c>
      <c r="GE8" s="152">
        <f>$FN8+IF($DQ8="Espírito",$CW$3,0)+$DZ8</f>
        <v/>
      </c>
      <c r="GF8" s="152">
        <f>4+INT($DH8/2)</f>
        <v/>
      </c>
      <c r="GG8" s="152">
        <f>COUNTIF($EI8:$EO8,"?*")</f>
        <v/>
      </c>
      <c r="GH8" s="152">
        <f>INT((2+$FG8/2)/2)</f>
        <v/>
      </c>
      <c r="GI8" s="152">
        <f>IF($FG8&gt;=11,2,1)</f>
        <v/>
      </c>
      <c r="GJ8" s="152">
        <f>1+$FQ8</f>
        <v/>
      </c>
      <c r="GK8" s="152">
        <f>COUNTIF($EP8:$EW8,"?*")</f>
        <v/>
      </c>
      <c r="GL8" s="152">
        <f>IF(AND($DA8="Shikigami de criação",$DD8="Com carga"),MAX(1,CEILING($FH8/2,1)),$FH8)</f>
        <v/>
      </c>
      <c r="GM8" s="152">
        <f>$FH8+$GL8</f>
        <v/>
      </c>
      <c r="GN8" s="152">
        <f>$FG8*(1+INT($DI8/3))</f>
        <v/>
      </c>
      <c r="GO8" s="152">
        <f>5+$FJ8</f>
        <v/>
      </c>
      <c r="GP8" s="152">
        <f>COUNTIF($ED8:$EH8,"?*")</f>
        <v/>
      </c>
      <c r="GQ8" s="152">
        <f>IF($ED8="",0,IF(COUNTIF($ED8:$EH8,$ED8)&gt;1,1,0))+IF($EE8="",0,IF(COUNTIF($ED8:$EH8,$EE8)&gt;1,1,0))+IF($EF8="",0,IF(COUNTIF($ED8:$EH8,$EF8)&gt;1,1,0))+IF($EG8="",0,IF(COUNTIF($ED8:$EH8,$EG8)&gt;1,1,0))+IF($EH8="",0,IF(COUNTIF($ED8:$EH8,$EH8)&gt;1,1,0))</f>
        <v/>
      </c>
      <c r="GR8" s="152">
        <f>$CW$11</f>
        <v/>
      </c>
      <c r="GS8" s="152">
        <f>IF($FE8=0,"INVOCAÇÃO 7 · lugar vazio",$CZ8&amp;" · "&amp;$DA8&amp;" · nível "&amp;$FG8&amp;" · vida "&amp;$FY8&amp;" de "&amp;$FX8)</f>
        <v/>
      </c>
      <c r="GT8" s="152">
        <f>IF($FE8=0,"VAZIA",UPPER($CZ8))</f>
        <v/>
      </c>
      <c r="GU8" s="152">
        <f>IF($CW$3&gt;=0,"+","−")&amp;ABS($CW$3)</f>
        <v/>
      </c>
      <c r="GV8" s="152">
        <f>$GL8&amp;" PE"</f>
        <v/>
      </c>
      <c r="GW8" s="152">
        <f>$GM8&amp;" PE"</f>
        <v/>
      </c>
      <c r="GX8" s="152">
        <f>IF(OR($FO8&gt;$FP8,$FR8&gt;$FQ8),"⚠ ",IF(AND($FE8=1,$FO8&lt;$FP8),"! ",""))&amp;"ATRIBUTOS · "&amp;$FO8&amp;" DE "&amp;$FP8&amp;" PONTOS"&amp;IF($FR8&gt;$FQ8," · ACIMA DE 3 SÓ COM MARCO","")</f>
        <v/>
      </c>
      <c r="GY8" s="152">
        <f>IF($FT8="","",IF($FT8&gt;=0,"+","−")&amp;ABS($FT8))</f>
        <v/>
      </c>
      <c r="GZ8" s="152">
        <f>IF($FU8="","",$FU8)</f>
        <v/>
      </c>
      <c r="HA8" s="152">
        <f>SUBSTITUTE($FZ8&amp;" m",".",",")</f>
        <v/>
      </c>
      <c r="HB8" s="152">
        <f>IF($GB8&gt;=0,"+","−")&amp;ABS($GB8)</f>
        <v/>
      </c>
      <c r="HC8" s="152">
        <f>IF($GC8&gt;=0,"+","−")&amp;ABS($GC8)</f>
        <v/>
      </c>
      <c r="HD8" s="152">
        <f>IF($GD8&gt;=0,"+","−")&amp;ABS($GD8)</f>
        <v/>
      </c>
      <c r="HE8" s="152">
        <f>IF($GE8&gt;=0,"+","−")&amp;ABS($GE8)</f>
        <v/>
      </c>
      <c r="HF8" s="152">
        <f>IF($GG8&gt;$GF8,"⚠ ","")&amp;"PERÍCIAS · "&amp;$GG8&amp;" DE "&amp;$GF8</f>
        <v/>
      </c>
      <c r="HG8" s="152">
        <f>IF($EI8="","",IFERROR(IF((INDEX($FJ8:$FN8,1,MATCH(VLOOKUP($EI8,$BZ$2:$CA$24,2,FALSE),$BT$2:$BT$6,0))+$CW$3)&gt;=0,"+","−")&amp;ABS((INDEX($FJ8:$FN8,1,MATCH(VLOOKUP($EI8,$BZ$2:$CA$24,2,FALSE),$BT$2:$BT$6,0))+$CW$3)),""))</f>
        <v/>
      </c>
      <c r="HH8" s="152">
        <f>IF($EJ8="","",IFERROR(IF((INDEX($FJ8:$FN8,1,MATCH(VLOOKUP($EJ8,$BZ$2:$CA$24,2,FALSE),$BT$2:$BT$6,0))+$CW$3)&gt;=0,"+","−")&amp;ABS((INDEX($FJ8:$FN8,1,MATCH(VLOOKUP($EJ8,$BZ$2:$CA$24,2,FALSE),$BT$2:$BT$6,0))+$CW$3)),""))</f>
        <v/>
      </c>
      <c r="HI8" s="152">
        <f>IF($EK8="","",IFERROR(IF((INDEX($FJ8:$FN8,1,MATCH(VLOOKUP($EK8,$BZ$2:$CA$24,2,FALSE),$BT$2:$BT$6,0))+$CW$3)&gt;=0,"+","−")&amp;ABS((INDEX($FJ8:$FN8,1,MATCH(VLOOKUP($EK8,$BZ$2:$CA$24,2,FALSE),$BT$2:$BT$6,0))+$CW$3)),""))</f>
        <v/>
      </c>
      <c r="HJ8" s="152">
        <f>IF($EL8="","",IFERROR(IF((INDEX($FJ8:$FN8,1,MATCH(VLOOKUP($EL8,$BZ$2:$CA$24,2,FALSE),$BT$2:$BT$6,0))+$CW$3)&gt;=0,"+","−")&amp;ABS((INDEX($FJ8:$FN8,1,MATCH(VLOOKUP($EL8,$BZ$2:$CA$24,2,FALSE),$BT$2:$BT$6,0))+$CW$3)),""))</f>
        <v/>
      </c>
      <c r="HK8" s="152">
        <f>IF($EM8="","",IFERROR(IF((INDEX($FJ8:$FN8,1,MATCH(VLOOKUP($EM8,$BZ$2:$CA$24,2,FALSE),$BT$2:$BT$6,0))+$CW$3)&gt;=0,"+","−")&amp;ABS((INDEX($FJ8:$FN8,1,MATCH(VLOOKUP($EM8,$BZ$2:$CA$24,2,FALSE),$BT$2:$BT$6,0))+$CW$3)),""))</f>
        <v/>
      </c>
      <c r="HL8" s="152">
        <f>IF($EN8="","",IFERROR(IF((INDEX($FJ8:$FN8,1,MATCH(VLOOKUP($EN8,$BZ$2:$CA$24,2,FALSE),$BT$2:$BT$6,0))+$CW$3)&gt;=0,"+","−")&amp;ABS((INDEX($FJ8:$FN8,1,MATCH(VLOOKUP($EN8,$BZ$2:$CA$24,2,FALSE),$BT$2:$BT$6,0))+$CW$3)),""))</f>
        <v/>
      </c>
      <c r="HM8" s="152">
        <f>IF($EO8="","",IFERROR(IF((INDEX($FJ8:$FN8,1,MATCH(VLOOKUP($EO8,$BZ$2:$CA$24,2,FALSE),$BT$2:$BT$6,0))+$CW$3)&gt;=0,"+","−")&amp;ABS((INDEX($FJ8:$FN8,1,MATCH(VLOOKUP($EO8,$BZ$2:$CA$24,2,FALSE),$BT$2:$BT$6,0))+$CW$3)),""))</f>
        <v/>
      </c>
      <c r="HN8" s="152">
        <f>IF($DA8="Maldição domada","RESERVA · MÁX. "&amp;$GN8,"RESERVA DE PE")</f>
        <v/>
      </c>
      <c r="HO8" s="152">
        <f>"EQUIPAMENTO · CARGA ATÉ "&amp;$GO8&amp;" DE VOLUME"</f>
        <v/>
      </c>
      <c r="HP8" s="152">
        <f>IF(OR($GQ8&gt;0,$GP8&gt;$GR8),"⚠ ","")&amp;"FAMÍLIAS · "&amp;$GP8&amp;" ABERTAS"&amp;IF($GQ8&gt;0," · REPETIDA","")&amp;IF($GP8&gt;$GR8," · O LIMITE É "&amp;$GR8,"")</f>
        <v/>
      </c>
      <c r="HQ8" s="152">
        <f>"HABILIDADES · básica de "&amp;$FI8&amp;"d6 · "&amp;$GH8&amp;IF($GH8&gt;1," espaços"," espaço")&amp;" de especial até a Classe "&amp;$FH8&amp;" · "&amp;$GJ8&amp;IF($GJ8&gt;1," talentos"," talento")</f>
        <v/>
      </c>
      <c r="HR8" s="152">
        <f>IF($GK8&gt;$GJ8,"⚠ ","")&amp;"TALENTOS · "&amp;$GK8&amp;" DE "&amp;$GJ8</f>
        <v/>
      </c>
      <c r="HS8" s="152">
        <f>IFERROR(VLOOKUP($EP8,$BH$2:$BK$15,2,FALSE),0)</f>
        <v/>
      </c>
      <c r="HT8" s="152">
        <f>IFERROR(VLOOKUP($EQ8,$BH$2:$BK$15,2,FALSE),0)</f>
        <v/>
      </c>
      <c r="HU8" s="152">
        <f>IFERROR(VLOOKUP($ER8,$BH$2:$BK$15,2,FALSE),0)</f>
        <v/>
      </c>
      <c r="HV8" s="152">
        <f>IFERROR(VLOOKUP($ES8,$BH$2:$BK$15,2,FALSE),0)</f>
        <v/>
      </c>
      <c r="HW8" s="152">
        <f>IFERROR(VLOOKUP($ET8,$BH$2:$BK$15,2,FALSE),0)</f>
        <v/>
      </c>
      <c r="HX8" s="152">
        <f>IFERROR(VLOOKUP($EU8,$BH$2:$BK$15,2,FALSE),0)</f>
        <v/>
      </c>
      <c r="HY8" s="152">
        <f>IFERROR(VLOOKUP($EV8,$BH$2:$BK$15,2,FALSE),0)</f>
        <v/>
      </c>
      <c r="HZ8" s="152">
        <f>IFERROR(VLOOKUP($EW8,$BH$2:$BK$15,2,FALSE),0)</f>
        <v/>
      </c>
      <c r="IA8" s="152">
        <f>IF($EP8="","",IF(1&gt;$FG8,"⚠ Este talento abre no nível 1",IF($HS8&gt;1,"⚠ Categoria "&amp;$HS8&amp;": este ganho vai até a 1 · ","")&amp;IFERROR(VLOOKUP($EP8,$BH$2:$BK$15,3,FALSE),"")))</f>
        <v/>
      </c>
      <c r="IB8" s="152">
        <f>IF($EQ8="","",IF(6&gt;$FG8,"⚠ Este talento abre no nível 6",IF($HT8&gt;1,"⚠ Categoria "&amp;$HT8&amp;": este ganho vai até a 1 · ","")&amp;IFERROR(VLOOKUP($EQ8,$BH$2:$BK$15,3,FALSE),"")))</f>
        <v/>
      </c>
      <c r="IC8" s="152">
        <f>IF($ER8="","",IF(10&gt;$FG8,"⚠ Este talento abre no nível 10",IF($HU8&gt;2,"⚠ Categoria "&amp;$HU8&amp;": este ganho vai até a 2 · ","")&amp;IFERROR(VLOOKUP($ER8,$BH$2:$BK$15,3,FALSE),"")))</f>
        <v/>
      </c>
      <c r="ID8" s="152">
        <f>IF($ES8="","",IF(14&gt;$FG8,"⚠ Este talento abre no nível 14",IF($HV8&gt;3,"⚠ Categoria "&amp;$HV8&amp;": este ganho vai até a 3 · ","")&amp;IFERROR(VLOOKUP($ES8,$BH$2:$BK$15,3,FALSE),"")))</f>
        <v/>
      </c>
      <c r="IE8" s="152">
        <f>IF($ET8="","",IF(18&gt;$FG8,"⚠ Este talento abre no nível 18",IF($HW8&gt;3,"⚠ Categoria "&amp;$HW8&amp;": este ganho vai até a 3 · ","")&amp;IFERROR(VLOOKUP($ET8,$BH$2:$BK$15,3,FALSE),"")))</f>
        <v/>
      </c>
      <c r="IF8" s="152">
        <f>IF($EU8="","",IF(22&gt;$FG8,"⚠ Este talento abre no nível 22",IF($HX8&gt;3,"⚠ Categoria "&amp;$HX8&amp;": este ganho vai até a 3 · ","")&amp;IFERROR(VLOOKUP($EU8,$BH$2:$BK$15,3,FALSE),"")))</f>
        <v/>
      </c>
      <c r="IG8" s="152">
        <f>IF($EV8="","",IF(26&gt;$FG8,"⚠ Este talento abre no nível 26",IF($HY8&gt;3,"⚠ Categoria "&amp;$HY8&amp;": este ganho vai até a 3 · ","")&amp;IFERROR(VLOOKUP($EV8,$BH$2:$BK$15,3,FALSE),"")))</f>
        <v/>
      </c>
      <c r="IH8" s="152">
        <f>IF($EW8="","",IF(30&gt;$FG8,"⚠ Este talento abre no nível 30",IF($HZ8&gt;3,"⚠ Categoria "&amp;$HZ8&amp;": este ganho vai até a 3 · ","")&amp;IFERROR(VLOOKUP($EW8,$BH$2:$BK$15,3,FALSE),"")))</f>
        <v/>
      </c>
      <c r="II8" s="152">
        <f>IF($EX8="","",IFERROR(VLOOKUP($EX8,$BH$2:$BK$15,3,FALSE),""))</f>
        <v/>
      </c>
      <c r="IJ8" s="152">
        <f>IF($EY8="","",IFERROR(VLOOKUP($EY8,$BH$2:$BK$15,3,FALSE),""))</f>
        <v/>
      </c>
      <c r="IK8" s="152">
        <f>IF($EZ8="","",IFERROR(VLOOKUP($EZ8,$BH$2:$BK$15,3,FALSE),""))</f>
        <v/>
      </c>
      <c r="IL8" s="152">
        <f>CEILING(4.5*$FA8,1)&amp;" PE"</f>
        <v/>
      </c>
      <c r="IM8" s="152">
        <f>CEILING(4.5*$FB8,1)&amp;" PE"</f>
        <v/>
      </c>
      <c r="IN8" s="152">
        <f>CEILING(4.5*$FC8,1)&amp;" PE"</f>
        <v/>
      </c>
      <c r="IO8" s="152">
        <f>INDEX($P$2:$P$8,$FA8)&amp;" pontos + "&amp;$FA8&amp;"d8"</f>
        <v/>
      </c>
      <c r="IP8" s="152">
        <f>INDEX($P$2:$P$8,$FB8)&amp;" pontos + "&amp;$FB8&amp;"d8"</f>
        <v/>
      </c>
      <c r="IQ8" s="152">
        <f>INDEX($P$2:$P$8,$FC8)&amp;" pontos + "&amp;$FC8&amp;"d8"</f>
        <v/>
      </c>
      <c r="IR8" s="152">
        <f>IF($FG8&lt;17,"—",VLOOKUP($FG8,$CK$2:$CN$4,4,TRUE)&amp;" PE")</f>
        <v/>
      </c>
      <c r="IS8" s="152">
        <f>IF($FG8&lt;17,"Abre no nível 17",VLOOKUP($FG8,$CK$2:$CN$4,2,TRUE)&amp;" fixos · "&amp;VLOOKUP($FG8,$CK$2:$CN$4,3,TRUE)&amp;" pontos")</f>
        <v/>
      </c>
      <c r="IT8" s="152">
        <f>IF($FD8="Sem Barreiras",7,6)*$FH8&amp;" PE"</f>
        <v/>
      </c>
      <c r="IU8" s="152">
        <f>"Acerto "&amp;$FH8&amp;"d8"</f>
        <v/>
      </c>
      <c r="IV8" s="152">
        <f>IFERROR(VLOOKUP($FD8,$CP$2:$CR$4,3,FALSE),"Escolha o degrau")</f>
        <v/>
      </c>
      <c r="IW8" s="152">
        <f>7&amp;" · "&amp;IF($FE8=0,"vazia",$CZ8&amp;" · nv "&amp;$FG8&amp;" · "&amp;$FY8&amp;"/"&amp;$FX8)</f>
        <v/>
      </c>
      <c r="IY8" s="150" t="inlineStr">
        <is>
          <t>Invocação 7</t>
        </is>
      </c>
      <c r="IZ8" s="152">
        <f>ADDRESS(ROW('INVOCAÇÕES'!D27),COLUMN('INVOCAÇÕES'!D27),4)</f>
        <v/>
      </c>
      <c r="JA8" s="152">
        <f>ADDRESS(ROW('INVOCAÇÕES'!AA9),COLUMN('INVOCAÇÕES'!AA9),4)</f>
        <v/>
      </c>
      <c r="JB8" s="150" t="inlineStr">
        <is>
          <t>DADOS_INVOC!$IW$8</t>
        </is>
      </c>
      <c r="JD8" s="152">
        <f>IF(OR($AW8="",COUNTIF($ED$2:$EH$2,$AW8)&gt;0),$AV8,"")</f>
        <v/>
      </c>
      <c r="JE8" s="152">
        <f>IF(AND($AX8=1,OR($AW8="",COUNTIF($ED$2:$EH$2,$AW8)&gt;0)),$AV8,"")</f>
        <v/>
      </c>
      <c r="JG8" s="152">
        <f>IF(OR($W8="",COUNTIF($ED$2:$EH$2,$W8)&gt;0),$V8,"")</f>
        <v/>
      </c>
      <c r="JH8" s="152">
        <f>IF(AND($AF8=1,OR($W8="",COUNTIF($ED$2:$EH$2,$W8)&gt;0)),$V8,"")</f>
        <v/>
      </c>
      <c r="JJ8" s="152">
        <f>IF(OR($AW8="",COUNTIF($ED$3:$EH$3,$AW8)&gt;0),$AV8,"")</f>
        <v/>
      </c>
      <c r="JK8" s="152">
        <f>IF(AND($AX8=1,OR($AW8="",COUNTIF($ED$3:$EH$3,$AW8)&gt;0)),$AV8,"")</f>
        <v/>
      </c>
      <c r="JM8" s="152">
        <f>IF(OR($W8="",COUNTIF($ED$3:$EH$3,$W8)&gt;0),$V8,"")</f>
        <v/>
      </c>
      <c r="JN8" s="152">
        <f>IF(AND($AF8=1,OR($W8="",COUNTIF($ED$3:$EH$3,$W8)&gt;0)),$V8,"")</f>
        <v/>
      </c>
      <c r="JP8" s="152">
        <f>IF(OR($AW8="",COUNTIF($ED$4:$EH$4,$AW8)&gt;0),$AV8,"")</f>
        <v/>
      </c>
      <c r="JQ8" s="152">
        <f>IF(AND($AX8=1,OR($AW8="",COUNTIF($ED$4:$EH$4,$AW8)&gt;0)),$AV8,"")</f>
        <v/>
      </c>
      <c r="JS8" s="152">
        <f>IF(OR($W8="",COUNTIF($ED$4:$EH$4,$W8)&gt;0),$V8,"")</f>
        <v/>
      </c>
      <c r="JT8" s="152">
        <f>IF(AND($AF8=1,OR($W8="",COUNTIF($ED$4:$EH$4,$W8)&gt;0)),$V8,"")</f>
        <v/>
      </c>
      <c r="JV8" s="152">
        <f>IF(OR($AW8="",COUNTIF($ED$5:$EH$5,$AW8)&gt;0),$AV8,"")</f>
        <v/>
      </c>
      <c r="JW8" s="152">
        <f>IF(AND($AX8=1,OR($AW8="",COUNTIF($ED$5:$EH$5,$AW8)&gt;0)),$AV8,"")</f>
        <v/>
      </c>
      <c r="JY8" s="152">
        <f>IF(OR($W8="",COUNTIF($ED$5:$EH$5,$W8)&gt;0),$V8,"")</f>
        <v/>
      </c>
      <c r="JZ8" s="152">
        <f>IF(AND($AF8=1,OR($W8="",COUNTIF($ED$5:$EH$5,$W8)&gt;0)),$V8,"")</f>
        <v/>
      </c>
      <c r="KB8" s="152">
        <f>IF(OR($AW8="",COUNTIF($ED$6:$EH$6,$AW8)&gt;0),$AV8,"")</f>
        <v/>
      </c>
      <c r="KC8" s="152">
        <f>IF(AND($AX8=1,OR($AW8="",COUNTIF($ED$6:$EH$6,$AW8)&gt;0)),$AV8,"")</f>
        <v/>
      </c>
      <c r="KE8" s="152">
        <f>IF(OR($W8="",COUNTIF($ED$6:$EH$6,$W8)&gt;0),$V8,"")</f>
        <v/>
      </c>
      <c r="KF8" s="152">
        <f>IF(AND($AF8=1,OR($W8="",COUNTIF($ED$6:$EH$6,$W8)&gt;0)),$V8,"")</f>
        <v/>
      </c>
      <c r="KH8" s="152">
        <f>IF(OR($AW8="",COUNTIF($ED$7:$EH$7,$AW8)&gt;0),$AV8,"")</f>
        <v/>
      </c>
      <c r="KI8" s="152">
        <f>IF(AND($AX8=1,OR($AW8="",COUNTIF($ED$7:$EH$7,$AW8)&gt;0)),$AV8,"")</f>
        <v/>
      </c>
      <c r="KK8" s="152">
        <f>IF(OR($W8="",COUNTIF($ED$7:$EH$7,$W8)&gt;0),$V8,"")</f>
        <v/>
      </c>
      <c r="KL8" s="152">
        <f>IF(AND($AF8=1,OR($W8="",COUNTIF($ED$7:$EH$7,$W8)&gt;0)),$V8,"")</f>
        <v/>
      </c>
      <c r="KN8" s="152">
        <f>IF(OR($AW8="",COUNTIF($ED$8:$EH$8,$AW8)&gt;0),$AV8,"")</f>
        <v/>
      </c>
      <c r="KO8" s="152">
        <f>IF(AND($AX8=1,OR($AW8="",COUNTIF($ED$8:$EH$8,$AW8)&gt;0)),$AV8,"")</f>
        <v/>
      </c>
      <c r="KQ8" s="152">
        <f>IF(OR($W8="",COUNTIF($ED$8:$EH$8,$W8)&gt;0),$V8,"")</f>
        <v/>
      </c>
      <c r="KR8" s="152">
        <f>IF(AND($AF8=1,OR($W8="",COUNTIF($ED$8:$EH$8,$W8)&gt;0)),$V8,"")</f>
        <v/>
      </c>
      <c r="KT8" s="152">
        <f>IF(OR($AW8="",COUNTIF($ED$9:$EH$9,$AW8)&gt;0),$AV8,"")</f>
        <v/>
      </c>
      <c r="KU8" s="152">
        <f>IF(AND($AX8=1,OR($AW8="",COUNTIF($ED$9:$EH$9,$AW8)&gt;0)),$AV8,"")</f>
        <v/>
      </c>
      <c r="KW8" s="152">
        <f>IF(OR($W8="",COUNTIF($ED$9:$EH$9,$W8)&gt;0),$V8,"")</f>
        <v/>
      </c>
      <c r="KX8" s="152">
        <f>IF(AND($AF8=1,OR($W8="",COUNTIF($ED$9:$EH$9,$W8)&gt;0)),$V8,"")</f>
        <v/>
      </c>
      <c r="KZ8" s="152">
        <f>IF(OR($AW8="",COUNTIF($ED$10:$EH$10,$AW8)&gt;0),$AV8,"")</f>
        <v/>
      </c>
      <c r="LA8" s="152">
        <f>IF(AND($AX8=1,OR($AW8="",COUNTIF($ED$10:$EH$10,$AW8)&gt;0)),$AV8,"")</f>
        <v/>
      </c>
      <c r="LC8" s="152">
        <f>IF(OR($W8="",COUNTIF($ED$10:$EH$10,$W8)&gt;0),$V8,"")</f>
        <v/>
      </c>
      <c r="LD8" s="152">
        <f>IF(AND($AF8=1,OR($W8="",COUNTIF($ED$10:$EH$10,$W8)&gt;0)),$V8,"")</f>
        <v/>
      </c>
      <c r="LF8" s="152">
        <f>IF(OR($AW8="",COUNTIF($ED$11:$EH$11,$AW8)&gt;0),$AV8,"")</f>
        <v/>
      </c>
      <c r="LG8" s="152">
        <f>IF(AND($AX8=1,OR($AW8="",COUNTIF($ED$11:$EH$11,$AW8)&gt;0)),$AV8,"")</f>
        <v/>
      </c>
      <c r="LI8" s="152">
        <f>IF(OR($W8="",COUNTIF($ED$11:$EH$11,$W8)&gt;0),$V8,"")</f>
        <v/>
      </c>
      <c r="LJ8" s="152">
        <f>IF(AND($AF8=1,OR($W8="",COUNTIF($ED$11:$EH$11,$W8)&gt;0)),$V8,"")</f>
        <v/>
      </c>
      <c r="LL8" s="152">
        <f>IF(OR($AW8="",COUNTIF($ED$12:$EH$12,$AW8)&gt;0),$AV8,"")</f>
        <v/>
      </c>
      <c r="LM8" s="152">
        <f>IF(AND($AX8=1,OR($AW8="",COUNTIF($ED$12:$EH$12,$AW8)&gt;0)),$AV8,"")</f>
        <v/>
      </c>
      <c r="LO8" s="152">
        <f>IF(OR($W8="",COUNTIF($ED$12:$EH$12,$W8)&gt;0),$V8,"")</f>
        <v/>
      </c>
      <c r="LP8" s="152">
        <f>IF(AND($AF8=1,OR($W8="",COUNTIF($ED$12:$EH$12,$W8)&gt;0)),$V8,"")</f>
        <v/>
      </c>
      <c r="LR8" s="152">
        <f>IF(OR($AW8="",COUNTIF($ED$13:$EH$13,$AW8)&gt;0),$AV8,"")</f>
        <v/>
      </c>
      <c r="LS8" s="152">
        <f>IF(AND($AX8=1,OR($AW8="",COUNTIF($ED$13:$EH$13,$AW8)&gt;0)),$AV8,"")</f>
        <v/>
      </c>
      <c r="LU8" s="152">
        <f>IF(OR($W8="",COUNTIF($ED$13:$EH$13,$W8)&gt;0),$V8,"")</f>
        <v/>
      </c>
      <c r="LV8" s="152">
        <f>IF(AND($AF8=1,OR($W8="",COUNTIF($ED$13:$EH$13,$W8)&gt;0)),$V8,"")</f>
        <v/>
      </c>
      <c r="LX8" s="150" t="inlineStr">
        <is>
          <t>Ficha 1 · Especial 5</t>
        </is>
      </c>
      <c r="LY8" s="152" t="n">
        <v>1</v>
      </c>
      <c r="LZ8" s="152" t="n">
        <v>1</v>
      </c>
      <c r="MA8" s="152" t="n">
        <v>16</v>
      </c>
      <c r="MB8" s="150" t="inlineStr">
        <is>
          <t>ESPECIAL 5</t>
        </is>
      </c>
      <c r="MC8" s="152">
        <f>MAX(1,MIN(7,N('INVOCAÇÕES'!$I$114)))</f>
        <v/>
      </c>
      <c r="MD8" s="152">
        <f>'INVOCAÇÕES'!$J$114&amp;""</f>
        <v/>
      </c>
      <c r="ME8" s="152">
        <f>'INVOCAÇÕES'!$I$119&amp;""</f>
        <v/>
      </c>
      <c r="MF8" s="152">
        <f>'INVOCAÇÕES'!$I$120&amp;""</f>
        <v/>
      </c>
      <c r="MG8" s="152">
        <f>'INVOCAÇÕES'!$K$120&amp;""</f>
        <v/>
      </c>
      <c r="MH8" s="152">
        <f>'INVOCAÇÕES'!$J$123&amp;""</f>
        <v/>
      </c>
      <c r="MI8" s="152">
        <f>'INVOCAÇÕES'!$J$124&amp;""</f>
        <v/>
      </c>
      <c r="MJ8" s="152">
        <f>'INVOCAÇÕES'!$J$125&amp;""</f>
        <v/>
      </c>
      <c r="MK8" s="152">
        <f>'INVOCAÇÕES'!$J$126&amp;""</f>
        <v/>
      </c>
      <c r="ML8" s="152">
        <f>'INVOCAÇÕES'!$J$127&amp;""</f>
        <v/>
      </c>
      <c r="MM8" s="152">
        <f>'INVOCAÇÕES'!$J$128&amp;""</f>
        <v/>
      </c>
      <c r="MN8" s="152">
        <f>IF($MD8&lt;&gt;"",1,0)</f>
        <v/>
      </c>
      <c r="MO8" s="152">
        <f>INDEX($FG$2:$FG$13,$LY8)</f>
        <v/>
      </c>
      <c r="MP8" s="152">
        <f>INDEX($FH$2:$FH$13,$LY8)</f>
        <v/>
      </c>
      <c r="MQ8" s="152">
        <f>INDEX($FI$2:$FI$13,$LY8)</f>
        <v/>
      </c>
      <c r="MR8" s="152">
        <f>INDEX($FT$2:$FT$13,$LY8)</f>
        <v/>
      </c>
      <c r="MS8" s="152">
        <f>INDEX($FU$2:$FU$13,$LY8)</f>
        <v/>
      </c>
      <c r="MT8" s="152">
        <f>IFERROR(MATCH($ME8,$V$2:$V$11,0),0)</f>
        <v/>
      </c>
      <c r="MU8" s="152">
        <f>IFERROR(VLOOKUP($MH8,$AV$2:$AZ$84,2,FALSE),"")</f>
        <v/>
      </c>
      <c r="MV8" s="152">
        <f>IFERROR(VLOOKUP($MI8,$AV$2:$AZ$84,2,FALSE),"")</f>
        <v/>
      </c>
      <c r="MW8" s="152">
        <f>IFERROR(VLOOKUP($MJ8,$AV$2:$AZ$84,2,FALSE),"")</f>
        <v/>
      </c>
      <c r="MX8" s="152">
        <f>IFERROR(VLOOKUP($MK8,$AV$2:$AZ$84,2,FALSE),"")</f>
        <v/>
      </c>
      <c r="MY8" s="152">
        <f>IFERROR(VLOOKUP($MH8,$AV$2:$AZ$84,3,FALSE),0)</f>
        <v/>
      </c>
      <c r="MZ8" s="152">
        <f>IFERROR(VLOOKUP($MI8,$AV$2:$AZ$84,3,FALSE),0)</f>
        <v/>
      </c>
      <c r="NA8" s="152">
        <f>IFERROR(VLOOKUP($MJ8,$AV$2:$AZ$84,3,FALSE),0)</f>
        <v/>
      </c>
      <c r="NB8" s="152">
        <f>IFERROR(VLOOKUP($MK8,$AV$2:$AZ$84,3,FALSE),0)</f>
        <v/>
      </c>
      <c r="NC8" s="152">
        <f>IF($MC8=0,0,IF($MT8=0,0,INDEX($X$2:$X$11,$MT8)))</f>
        <v/>
      </c>
      <c r="ND8" s="152">
        <f>IF(OR($MY8=0,$MC8=0),0,$MY8+3*IF(AND($MU8&lt;&gt;"",OR($MU8=INDEX($ED$2:$ED$13,$LY8),$MU8=INDEX($EE$2:$EE$13,$LY8))),1,0))</f>
        <v/>
      </c>
      <c r="NE8" s="152">
        <f>IF(OR($MZ8=0,$MC8=0),0,$MZ8+3*IF(AND($MV8&lt;&gt;"",OR($MV8=INDEX($ED$2:$ED$13,$LY8),$MV8=INDEX($EE$2:$EE$13,$LY8))),1,0))</f>
        <v/>
      </c>
      <c r="NF8" s="152">
        <f>IF(OR($NA8=0,$MC8=0),0,$NA8+3*IF(AND($MW8&lt;&gt;"",OR($MW8=INDEX($ED$2:$ED$13,$LY8),$MW8=INDEX($EE$2:$EE$13,$LY8))),1,0))</f>
        <v/>
      </c>
      <c r="NG8" s="152">
        <f>IF(OR($NB8=0,$MC8=0),0,$NB8+3*IF(AND($MX8&lt;&gt;"",OR($MX8=INDEX($ED$2:$ED$13,$LY8),$MX8=INDEX($EE$2:$EE$13,$LY8))),1,0))</f>
        <v/>
      </c>
      <c r="NH8" s="152">
        <f>IF($MT8=0,0,IF(INDEX($W$2:$W$11,$MT8)="",0,IF(COUNTIF(INDEX($ED$2:$EH$13,$LY8,0),INDEX($W$2:$W$11,$MT8))=0,1,0)))</f>
        <v/>
      </c>
      <c r="NI8" s="152">
        <f>IF(OR($MY8=0,$MU8=""),0,IF(COUNTIF(INDEX($ED$2:$EH$13,$LY8,0),$MU8)=0,1,0))</f>
        <v/>
      </c>
      <c r="NJ8" s="152">
        <f>IF(OR($MZ8=0,$MV8=""),0,IF(COUNTIF(INDEX($ED$2:$EH$13,$LY8,0),$MV8)=0,1,0))</f>
        <v/>
      </c>
      <c r="NK8" s="152">
        <f>IF(OR($NA8=0,$MW8=""),0,IF(COUNTIF(INDEX($ED$2:$EH$13,$LY8,0),$MW8)=0,1,0))</f>
        <v/>
      </c>
      <c r="NL8" s="152">
        <f>IF(OR($NB8=0,$MX8=""),0,IF(COUNTIF(INDEX($ED$2:$EH$13,$LY8,0),$MX8)=0,1,0))</f>
        <v/>
      </c>
      <c r="NM8" s="152">
        <f>IFERROR(VLOOKUP($MH8,$AV$2:$AZ$84,4,FALSE),0)+IFERROR(VLOOKUP($MI8,$AV$2:$AZ$84,4,FALSE),0)+IFERROR(VLOOKUP($MJ8,$AV$2:$AZ$84,4,FALSE),0)+IFERROR(VLOOKUP($MK8,$AV$2:$AZ$84,4,FALSE),0)</f>
        <v/>
      </c>
      <c r="NN8" s="152">
        <f>TEXTJOIN(", ",TRUE,IF(IFERROR(VLOOKUP($MH8,$AV$2:$AZ$84,5,FALSE),0)=1,$MH8,""),IF(IFERROR(VLOOKUP($MI8,$AV$2:$AZ$84,5,FALSE),0)=1,$MI8,""),IF(IFERROR(VLOOKUP($MJ8,$AV$2:$AZ$84,5,FALSE),0)=1,$MJ8,""),IF(IFERROR(VLOOKUP($MK8,$AV$2:$AZ$84,5,FALSE),0)=1,$MK8,""))</f>
        <v/>
      </c>
      <c r="NO8" s="152">
        <f>IF($MT8=0,0,INDEX($Y$2:$Y$11,$MT8))</f>
        <v/>
      </c>
      <c r="NP8" s="152">
        <f>IF($MT8=0,0,INDEX($Z$2:$Z$11,$MT8))</f>
        <v/>
      </c>
      <c r="NQ8" s="152">
        <f>IF($MT8=0,0,INDEX($AB$2:$AB$11,$MT8))</f>
        <v/>
      </c>
      <c r="NR8" s="152">
        <f>IFERROR(VLOOKUP($ML8,$BB$2:$BF$24,3,FALSE),0)</f>
        <v/>
      </c>
      <c r="NS8" s="152">
        <f>IFERROR(VLOOKUP($MM8,$BB$2:$BF$24,3,FALSE),0)</f>
        <v/>
      </c>
      <c r="NT8" s="152">
        <f>IFERROR(VLOOKUP($ML8,$BB$2:$BF$24,2,FALSE),"")</f>
        <v/>
      </c>
      <c r="NU8" s="152">
        <f>IFERROR(VLOOKUP($MM8,$BB$2:$BF$24,2,FALSE),"")</f>
        <v/>
      </c>
      <c r="NV8" s="152">
        <f>COUNTIF($NC8:$NG8,1)</f>
        <v/>
      </c>
      <c r="NW8" s="152">
        <f>COUNTIF($NC8:$NG8,2)</f>
        <v/>
      </c>
      <c r="NX8" s="152">
        <f>COUNTIF($NC8:$NG8,3)</f>
        <v/>
      </c>
      <c r="NY8" s="152">
        <f>COUNTIF($NC8:$NG8,4)</f>
        <v/>
      </c>
      <c r="NZ8" s="152">
        <f>COUNTIF($NC8:$NG8,5)</f>
        <v/>
      </c>
      <c r="OA8" s="152">
        <f>COUNTIF($NC8:$NG8,6)</f>
        <v/>
      </c>
      <c r="OB8" s="152">
        <f>COUNTIF($NR8:$NS8,1)</f>
        <v/>
      </c>
      <c r="OC8" s="152">
        <f>COUNTIF($NR8:$NS8,2)+$NO8</f>
        <v/>
      </c>
      <c r="OD8" s="152">
        <f>COUNTIF($MH8:$MK8,"?*")</f>
        <v/>
      </c>
      <c r="OE8" s="152">
        <f>COUNTIF($ML8:$MM8,"?*")+$NO8</f>
        <v/>
      </c>
      <c r="OF8" s="152">
        <f>IF($MC8=0,0,SUMPRODUCT($NV8:$OA8,INDEX($I$2:$N$8,MAX(1,$MC8),0)))</f>
        <v/>
      </c>
      <c r="OG8" s="152">
        <f>IF($MC8=0,0,$OB8*CEILING($MC8/2,1)+$OC8*$MC8)</f>
        <v/>
      </c>
      <c r="OH8" s="152">
        <f>MIN(2*$MC8,$OG8)</f>
        <v/>
      </c>
      <c r="OI8" s="152">
        <f>MIN($OH8,$OF8)</f>
        <v/>
      </c>
      <c r="OJ8" s="152">
        <f>$OH8-$OI8</f>
        <v/>
      </c>
      <c r="OK8" s="152">
        <f>IF($MC8=0,0,INDEX($P$2:$P$8,MAX(1,$MC8)))</f>
        <v/>
      </c>
      <c r="OL8" s="152">
        <f>$OK8-$OF8+$OI8</f>
        <v/>
      </c>
      <c r="OM8" s="152">
        <f>IF($MC8=0,MAX(0,$MQ8-IF($OD8&gt;0,1,0)),MAX(0,$OL8))</f>
        <v/>
      </c>
      <c r="ON8" s="152">
        <f>IF($MC8=0,0,(IF(COUNTIF($MH8:$MK8,"Salto")&gt;0,1,0)+IF(COUNTIF($MH8:$MK8,"Queima")&gt;0,1,0)+IF(COUNTIF($MH8:$MK8,"Estilhaço")&gt;0,1,0))*FLOOR($OM8/2,1))</f>
        <v/>
      </c>
      <c r="OO8" s="152">
        <f>MAX(0,2-SUMPRODUCT($NV8:$OA8,$I$2:$N$2)+MIN(2,$OB8*1+$OC8*1,SUMPRODUCT($NV8:$OA8,$I$2:$N$2)))</f>
        <v/>
      </c>
      <c r="OP8" s="152">
        <f>MAX(0,4-SUMPRODUCT($NV8:$OA8,$I$3:$N$3)+MIN(4,$OB8*1+$OC8*2,SUMPRODUCT($NV8:$OA8,$I$3:$N$3)))</f>
        <v/>
      </c>
      <c r="OQ8" s="152">
        <f>MAX(0,6-SUMPRODUCT($NV8:$OA8,$I$4:$N$4)+MIN(6,$OB8*2+$OC8*3,SUMPRODUCT($NV8:$OA8,$I$4:$N$4)))</f>
        <v/>
      </c>
      <c r="OR8" s="152">
        <f>MAX(0,9-SUMPRODUCT($NV8:$OA8,$I$5:$N$5)+MIN(8,$OB8*2+$OC8*4,SUMPRODUCT($NV8:$OA8,$I$5:$N$5)))</f>
        <v/>
      </c>
      <c r="OS8" s="152">
        <f>MAX(0,11-SUMPRODUCT($NV8:$OA8,$I$6:$N$6)+MIN(10,$OB8*3+$OC8*5,SUMPRODUCT($NV8:$OA8,$I$6:$N$6)))</f>
        <v/>
      </c>
      <c r="OT8" s="152">
        <f>MAX(0,13-SUMPRODUCT($NV8:$OA8,$I$7:$N$7)+MIN(12,$OB8*3+$OC8*6,SUMPRODUCT($NV8:$OA8,$I$7:$N$7)))</f>
        <v/>
      </c>
      <c r="OU8" s="152">
        <f>MAX(0,16-SUMPRODUCT($NV8:$OA8,$I$8:$N$8)+MIN(14,$OB8*4+$OC8*7,SUMPRODUCT($NV8:$OA8,$I$8:$N$8)))</f>
        <v/>
      </c>
      <c r="OV8" s="152">
        <f>IF($NP8=2,3*$OO8&amp;" de vida temp.",IF($NP8=3,"sem dano",IF($OO8=0,IF($NP8=1,"sem cura","sem dano"),IF($NP8=1,"cura ","")&amp;$OO8&amp;"d8")))</f>
        <v/>
      </c>
      <c r="OW8" s="152">
        <f>IF($NP8=2,3*$OP8&amp;" de vida temp.",IF($NP8=3,"sem dano",IF($OP8=0,IF($NP8=1,"sem cura","sem dano"),IF($NP8=1,"cura ","")&amp;$OP8&amp;"d8")))</f>
        <v/>
      </c>
      <c r="OX8" s="152">
        <f>IF($NP8=2,3*$OQ8&amp;" de vida temp.",IF($NP8=3,"sem dano",IF($OQ8=0,IF($NP8=1,"sem cura","sem dano"),IF($NP8=1,"cura ","")&amp;$OQ8&amp;"d8")))</f>
        <v/>
      </c>
      <c r="OY8" s="152">
        <f>IF($NP8=2,3*$OR8&amp;" de vida temp.",IF($NP8=3,"sem dano",IF($OR8=0,IF($NP8=1,"sem cura","sem dano"),IF($NP8=1,"cura ","")&amp;$OR8&amp;"d8")))</f>
        <v/>
      </c>
      <c r="OZ8" s="152">
        <f>IF($NP8=2,3*$OS8&amp;" de vida temp.",IF($NP8=3,"sem dano",IF($OS8=0,IF($NP8=1,"sem cura","sem dano"),IF($NP8=1,"cura ","")&amp;$OS8&amp;"d8")))</f>
        <v/>
      </c>
      <c r="PA8" s="152">
        <f>IF($NP8=2,3*$OT8&amp;" de vida temp.",IF($NP8=3,"sem dano",IF($OT8=0,IF($NP8=1,"sem cura","sem dano"),IF($NP8=1,"cura ","")&amp;$OT8&amp;"d8")))</f>
        <v/>
      </c>
      <c r="PB8" s="152">
        <f>IF($NP8=2,3*$OU8&amp;" de vida temp.",IF($NP8=3,"sem dano",IF($OU8=0,IF($NP8=1,"sem cura","sem dano"),IF($NP8=1,"cura ","")&amp;$OU8&amp;"d8")))</f>
        <v/>
      </c>
      <c r="PC8" s="152">
        <f>IF($MN8=0,"",TEXTJOIN(" · ",TRUE,IF($MA8&gt;$MO8,"Este lugar abre no nível "&amp;$MA8,""),IF($MC8&gt;$MP8,"Classe "&amp;$MC8&amp;": o nível "&amp;$MO8&amp;" libera até a "&amp;$MP8,""),IF($NH8=1,"A Forma "&amp;$ME8&amp;" pede "&amp;INDEX($W$2:$W$11,$MT8)&amp;" aberta",""),IF(AND($MC8=0,$MT8&gt;0,IF($MT8=0,0,INDEX($AF$2:$AF$11,$MT8))=0),$ME8&amp;" não existe na Classe 0",""),IF($NI8=1,"Família Fechada: "&amp;$MH8,""),IF($NJ8=1,"Família Fechada: "&amp;$MI8,""),IF($NK8=1,"Família Fechada: "&amp;$MJ8,""),IF($NL8=1,"Família Fechada: "&amp;$MK8,""),IF(AND($MC8&gt;0,$OD8&gt;INDEX($O$2:$O$8,MAX(1,$MC8))),$OD8&amp;" Melhorias: a Classe "&amp;$MC8&amp;" aceita "&amp;INDEX($O$2:$O$8,MAX(1,$MC8)),""),IF(AND($MC8=0,$OD8&gt;1),"A básica aceita uma Melhoria",""),IF(AND($MC8=0,COUNTIF($MY8:$NB8,"&gt;1")&gt;0),"A básica só aceita Melhoria Leve",""),IF(AND($MC8&gt;0,$OE8&gt;2),$OE8&amp;" Restrições"&amp;IF($NO8=1,", contando a que a Forma "&amp;$ME8&amp;" já traz","")&amp;": o limite é 2",""),IF(AND($MC8=0,COUNTIF($ML8:$MM8,"?*")&gt;1),"A básica aceita uma Restrição Leve",""),IF(AND($MC8=0,COUNTIF($NR8:$NS8,2)&gt;0),"A básica só aceita Restrição Leve",""),IF(AND($MC8&gt;0,$OL8&lt;0),"Orçamento estourado: faltam "&amp;(-$OL8)&amp;IF($OL8&lt;-1," pontos"," ponto"),""),IF(IFERROR(VLOOKUP($ML8,$BB$2:$BF$24,4,FALSE),0)+IFERROR(VLOOKUP($MM8,$BB$2:$BF$24,4,FALSE),0)&gt;1,$NT8&amp;" e "&amp;$NU8&amp;" são as duas de frequência",""),IF(AND((COUNTIF($MH8:$MK8,"Rápido")+COUNTIF($NT8:$NU8,"Rápido"))&gt;0,(COUNTIF($MH8:$MK8,"Atrasar")+COUNTIF($NT8:$NU8,"Atrasar"))&gt;0),"Rápido não entra com Atrasar",""),IF(AND((COUNTIF($MH8:$MK8,"Reação")+COUNTIF($NT8:$NU8,"Reação"))&gt;0,(COUNTIF($MH8:$MK8,"Rápido")+COUNTIF($NT8:$NU8,"Rápido"))&gt;0),"Reação não entra com Rápido",""),IF(AND((COUNTIF($MH8:$MK8,"Reação")+COUNTIF($NT8:$NU8,"Reação"))&gt;0,(COUNTIF($MH8:$MK8,"Armado")+COUNTIF($NT8:$NU8,"Armado"))&gt;0),"Reação não entra com Armado",""),IF(AND((COUNTIF($MH8:$MK8,"Reação")+COUNTIF($NT8:$NU8,"Reação"))&gt;0,(COUNTIF($MH8:$MK8,"Atrasar")+COUNTIF($NT8:$NU8,"Atrasar"))&gt;0),"Reação não entra com Atrasar",""),IF(AND((COUNTIF($MH8:$MK8,"Reação")+COUNTIF($NT8:$NU8,"Reação"))&gt;0,(COUNTIF($MH8:$MK8,"Parado")+COUNTIF($NT8:$NU8,"Parado"))&gt;0),"Reação não entra com Parado",""),IF(AND((COUNTIF($MH8:$MK8,"Atrasar")+COUNTIF($NT8:$NU8,"Atrasar"))&gt;0,(COUNTIF($MH8:$MK8,"Parado")+COUNTIF($NT8:$NU8,"Parado"))&gt;0),"Atrasar não entra com Parado",""),IF(AND((COUNTIF($MH8:$MK8,"Armado")+COUNTIF($NT8:$NU8,"Armado"))&gt;0,(COUNTIF($MH8:$MK8,"Carregar")+COUNTIF($NT8:$NU8,"Carregar"))&gt;0),"Armado não entra com Carregar",""),IF(AND(COUNTIF($NT8:$NU8,"Corpo a Corpo")&gt;0,$NO8=0,OR($ME8="Cone",$ME8="Linha")),"Corpo a Corpo não entra em "&amp;$ME8,""),IF(AND(COUNTIF($NT8:$NU8,"Corpo a Corpo")&gt;0,$NO8=1),"A Forma "&amp;$ME8&amp;" já traz o Corpo a Corpo",""),IF(AND(COUNTIF($NT8:$NU8,"Tudo ou Nada")&gt;0,$NQ8=0),"Tudo ou Nada só entra em habilidade de Teste de Resistência",""),IF(AND(COUNTIF($MH8:$MK8,"Inescapável")&gt;0,OR($OD8&gt;1,$OE8&gt;0)),"Inescapável não aceita outra peça",""),IF(AND($MC8&gt;0,$OM8*IF(COUNTIF($MH8:$MK8,"Remate")&gt;0,1.25,1)+$ON8&gt;4*$MC8),($OM8*IF(COUNTIF($MH8:$MK8,"Remate")&gt;0,1.25,1)+$ON8)&amp;" dados somando repetições"&amp;IF(COUNTIF($MH8:$MK8,"Remate")&gt;0," e o Remate","")&amp;": o teto da Classe "&amp;$MC8&amp;" é "&amp;4*$MC8,"")))</f>
        <v/>
      </c>
      <c r="PD8" s="152">
        <f>IF($PC8="",0,(LEN($PC8)-LEN(SUBSTITUTE($PC8," · ","")))/3+1)</f>
        <v/>
      </c>
      <c r="PE8" s="152">
        <f>IF($MN8=0,"",TEXTJOIN(" · ",TRUE,IF($OG8&gt;2*$MC8,"A devolução parou no teto de "&amp;2*$MC8,""),IF($OJ8&gt;0,"Devolução perdida: "&amp;$OJ8&amp;IF($OJ8&gt;1," pontos"," ponto")&amp;" sem peça para pagar",""),IF(AND($NM8&gt;0,AND($MC8&gt;0,$NP8=0),$OM8=0),"Controle sem dano: uma rodada a mais e CD +2",""),IF(AND($NM8&gt;0,AND($MC8&gt;0,$NP8=0),$OM8&gt;0,$OM8&lt;=$MC8),"Controle com saldo até a Classe: uma rodada a mais",""),IF(AND($MC8&gt;0,$NN8&lt;&gt;""),"Efeito de "&amp;$NN8&amp;" pela Classe "&amp;MAX(1,$MC8-1),"")))</f>
        <v/>
      </c>
      <c r="PF8" s="152">
        <f>IF($PE8="",0,(LEN($PE8)-LEN(SUBSTITUTE($PE8," · ","")))/3+1)</f>
        <v/>
      </c>
      <c r="PG8" s="152">
        <f>IF($MN8=0,IF($OD8+COUNTIF($ML8:$MM8,"?*")&gt;0,"Dê um nome",""),IF($PD8&gt;0,"⚠ "&amp;$PD8&amp;IF($PD8&gt;1," erros"," erro"),IF($PF8&gt;0,"! "&amp;$PF8&amp;IF($PF8&gt;1," avisos"," aviso"),"Na regra")))</f>
        <v/>
      </c>
      <c r="PH8" s="152">
        <f>IF($MN8=0,"",IF($PD8+$PF8=0,"Dentro das regras que a ficha confere",$PC8&amp;IF(AND($PD8&gt;0,$PF8&gt;0)," · ","")&amp;$PE8))</f>
        <v/>
      </c>
      <c r="PI8" s="152">
        <f>IF($MA8&gt;$MO8,$MB8&amp;" · ABRE NO NÍVEL "&amp;$MA8,$MB8)</f>
        <v/>
      </c>
      <c r="PJ8" s="152">
        <f>IF($MN8=0,"",IF($MC8=0,"Sem PE",3*$MC8&amp;" PE"))</f>
        <v/>
      </c>
      <c r="PK8" s="152">
        <f>IF($MN8=0,"",IF($MC8=0,"A atuação básica dela",IF(COUNTIF($NT8:$NU8,"Atrasar")&gt;0,"Sua Ação Completa",IF(COUNTIF($MH8:$MK8,"Rápido")&gt;0,"Sua Bônus",IF(COUNTIF($MH8:$MK8,"Reação")&gt;0,"Sua Reação","Sua Padrão")))&amp;" + a básica dela"&amp;IF(COUNTIF($MH8:$MK8,"Reação")&gt;0," e a coletiva","")&amp;IF(COUNTIF($NT8:$NU8,"Carregar")&gt;0," · em dois turnos","")))</f>
        <v/>
      </c>
      <c r="PL8" s="152">
        <f>IF($MG8&lt;&gt;"",$MG8,IF($MT8=0,"",INDEX($AA$2:$AA$11,$MT8)))</f>
        <v/>
      </c>
      <c r="PM8" s="152">
        <f>IF(OR($MN8=0,$MT8=0),"",IF(COUNTIF($MH8:$MK8,"Inescapável")&gt;0,"Automático",IF($PL8="Ataque",IF($MR8="","Ataque","Ataque "&amp;IF(($MR8+2*IF(COUNTIF($MH8:$MK8,"Precisão")&gt;0,1,0))&gt;=0,"+","−")&amp;ABS(($MR8+2*IF(COUNTIF($MH8:$MK8,"Precisão")&gt;0,1,0)))),IF(LEFT($PL8,2)="TR",$PL8&amp;IF($MS8="",""," · CD "&amp;$MS8)&amp;IF(COUNTIF($MH8:$MK8,"Certeiro")&gt;0," · metade",""),"Sem rolagem"))))</f>
        <v/>
      </c>
      <c r="PN8" s="152">
        <f>IF(OR($MN8=0,$MT8=0),"",IF($MC8=0,IF(OR($NP8&gt;=1,$OM8=0),"Sem dano",$OM8&amp;"d6"&amp;IF($MF8="",""," "&amp;$MF8)),IF(OR($NP8&gt;=1,$OM8=0),UPPER(LEFT(INDEX($OV8:$PB8,1,MAX(1,$MC8)),1))&amp;MID(INDEX($OV8:$PB8,1,MAX(1,$MC8)),2,99),UPPER(LEFT(INDEX($OV8:$PB8,1,MAX(1,$MC8)),1))&amp;MID(INDEX($OV8:$PB8,1,MAX(1,$MC8)),2,99)&amp;IF($MF8="",""," "&amp;$MF8)&amp;IF($ON8&gt;0," · +"&amp;$ON8&amp;"d8",""))))</f>
        <v/>
      </c>
      <c r="PO8" s="152">
        <f>COUNTIF($MH8:$MK8,"Longe")+3*COUNTIF($MH8:$MK8,"Muito Longe")</f>
        <v/>
      </c>
      <c r="PP8" s="152">
        <f>COUNTIF($MH8:$MK8,"Maior")+3*COUNTIF($MH8:$MK8,"Muito Maior")</f>
        <v/>
      </c>
      <c r="PQ8" s="152">
        <f>IF($MT8=0,0,CHOOSE(1+INDEX($AC$2:$AC$11,$MT8),0,$PO8,$PP8,$PO8+$PP8))</f>
        <v/>
      </c>
      <c r="PR8" s="152">
        <f>IF($MT8=0,0,CHOOSE(1+INDEX($AD$2:$AD$11,$MT8),0,$PO8,$PP8,$PO8+$PP8))</f>
        <v/>
      </c>
      <c r="PS8" s="152">
        <f>IF(OR($MN8=0,$MT8=0),"",INDEX($AI$2:$AN$41,($MT8-1)*4+IF($MC8=0,1,IF($MC8&lt;=5,2,IF($MC8=6,3,4))),1+MIN(5,$PQ8))&amp;INDEX($AO$2:$AT$41,($MT8-1)*4+IF($MC8=0,1,IF($MC8&lt;=5,2,IF($MC8=6,3,4))),1+MIN(5,$PR8))&amp;IF(INDEX($AE$2:$AE$11,$MT8)=1,IF(COUNTIF($MH8:$MK8,"Mais Um")&gt;0," · +"&amp;COUNTIF($MH8:$MK8,"Mais Um")&amp;IF(COUNTIF($MH8:$MK8,"Mais Um")&gt;1," alvos"," alvo"),"")&amp;IF(COUNTIF($MH8:$MK8,"Rajada")&gt;0,IF($MC8=0," · 1 tiro"," · "&amp;(MAX(1,$MC8-1)+1)&amp;" tiros"),""),""))</f>
        <v/>
      </c>
      <c r="PT8" s="152">
        <f>IF($MN8=0,"",IF($MC8=0,$MQ8&amp;"d6"&amp;IF($OD8&gt;0," − 1 = "&amp;$OM8&amp;"d6"," da básica do nível "&amp;$MO8),$OK8&amp;" − "&amp;$OF8&amp;" + "&amp;$OI8&amp;" = "&amp;$OL8&amp;" · teto "&amp;4*$MC8&amp;"d8"&amp;IF($NO8=1," · a Forma devolve "&amp;$MC8,"")&amp;IF($OJ8&gt;0," · perde "&amp;$OJ8,"")))</f>
        <v/>
      </c>
      <c r="PU8" s="152">
        <f>IF($MN8=0,"",IF($MC8=0,"A básica não amplia: os dados dela sobem com o nível",IF($MC8&gt;=$MP8,"Já está na maior Classe que o nível liberou",TEXTJOIN(" · ",TRUE,IF(AND(2&gt;$MC8,2&lt;=$MP8),"2 → "&amp;$OW8&amp;", 6 PE",""),IF(AND(3&gt;$MC8,3&lt;=$MP8),"3 → "&amp;$OX8&amp;", 9 PE",""),IF(AND(4&gt;$MC8,4&lt;=$MP8),"4 → "&amp;$OY8&amp;", 12 PE",""),IF(AND(5&gt;$MC8,5&lt;=$MP8),"5 → "&amp;$OZ8&amp;", 15 PE",""),IF(AND(6&gt;$MC8,6&lt;=$MP8),"6 → "&amp;$PA8&amp;", 18 PE",""),IF(AND(7&gt;$MC8,7&lt;=$MP8),"7 → "&amp;$PB8&amp;", 21 PE","")))))</f>
        <v/>
      </c>
      <c r="PV8" s="152">
        <f>IF(OR($MN8=0,$MY8=0),"",IF($MC8=0,"−1 dado","−"&amp;INDEX($I$2:$N$8,MAX(1,$MC8),MAX(1,$ND8))&amp;" · "&amp;CHOOSE(MAX(1,$ND8),"Leve","Média","Pesada","Leve · Livre","Média · Livre","Pesada · Livre")))</f>
        <v/>
      </c>
      <c r="PW8" s="152">
        <f>IF(OR($MN8=0,$MZ8=0),"",IF($MC8=0,"−1 dado","−"&amp;INDEX($I$2:$N$8,MAX(1,$MC8),MAX(1,$NE8))&amp;" · "&amp;CHOOSE(MAX(1,$NE8),"Leve","Média","Pesada","Leve · Livre","Média · Livre","Pesada · Livre")))</f>
        <v/>
      </c>
      <c r="PX8" s="152">
        <f>IF(OR($MN8=0,$NA8=0),"",IF($MC8=0,"−1 dado","−"&amp;INDEX($I$2:$N$8,MAX(1,$MC8),MAX(1,$NF8))&amp;" · "&amp;CHOOSE(MAX(1,$NF8),"Leve","Média","Pesada","Leve · Livre","Média · Livre","Pesada · Livre")))</f>
        <v/>
      </c>
      <c r="PY8" s="152">
        <f>IF(OR($MN8=0,$NB8=0),"",IF($MC8=0,"−1 dado","−"&amp;INDEX($I$2:$N$8,MAX(1,$MC8),MAX(1,$NG8))&amp;" · "&amp;CHOOSE(MAX(1,$NG8),"Leve","Média","Pesada","Leve · Livre","Média · Livre","Pesada · Livre")))</f>
        <v/>
      </c>
      <c r="PZ8" s="152">
        <f>IF(OR($MN8=0,$ML8=""),"",IF($MC8=0,"não devolve","+"&amp;IF($NR8=1,CEILING($MC8/2,1),$MC8)))</f>
        <v/>
      </c>
      <c r="QA8" s="152">
        <f>IF(OR($MN8=0,$MM8=""),"",IF($MC8=0,"não devolve","+"&amp;IF($NS8=1,CEILING($MC8/2,1),$MC8)))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B9" s="150" t="inlineStr">
        <is>
          <t>Recuo (Média)</t>
        </is>
      </c>
      <c r="BC9" s="150" t="inlineStr">
        <is>
          <t>Recuo</t>
        </is>
      </c>
      <c r="BD9" s="152" t="n">
        <v>2</v>
      </c>
      <c r="BE9" s="152" t="n">
        <v>0</v>
      </c>
      <c r="BF9" s="150" t="inlineStr"/>
      <c r="BH9" s="150" t="inlineStr">
        <is>
          <t>Eco</t>
        </is>
      </c>
      <c r="BI9" s="152" t="n">
        <v>2</v>
      </c>
      <c r="BJ9" s="150" t="inlineStr">
        <is>
          <t>Quando um feitiço seu reduzir um inimigo a 0 pontos de vida, o próximo feitiço que você conjurar nesta cena custa metade do seu PE normal, arredondada para cima. Derrubado, a condição, não ativa Eco.</t>
        </is>
      </c>
      <c r="BK9" s="150" t="inlineStr"/>
      <c r="BR9" s="150" t="inlineStr">
        <is>
          <t>Marca</t>
        </is>
      </c>
      <c r="BZ9" s="150" t="inlineStr">
        <is>
          <t>Ocultismo</t>
        </is>
      </c>
      <c r="CA9" s="150" t="inlineStr">
        <is>
          <t>Inteligência</t>
        </is>
      </c>
      <c r="CE9" s="150" t="inlineStr">
        <is>
          <t>Trovejante</t>
        </is>
      </c>
      <c r="CV9" s="150" t="inlineStr">
        <is>
          <t>corpos mantidos</t>
        </is>
      </c>
      <c r="CW9" s="152">
        <f>$CW$6+$CW$8</f>
        <v/>
      </c>
      <c r="CY9" s="152" t="n">
        <v>8</v>
      </c>
      <c r="CZ9" s="152">
        <f>'INVOCAÇÕES'!$AB$211&amp;""</f>
        <v/>
      </c>
      <c r="DA9" s="152">
        <f>'INVOCAÇÕES'!$AB$241&amp;""</f>
        <v/>
      </c>
      <c r="DB9" s="152">
        <f>'INVOCAÇÕES'!$AB$245&amp;""</f>
        <v/>
      </c>
      <c r="DC9" s="152">
        <f>N('INVOCAÇÕES'!$AD$245)</f>
        <v/>
      </c>
      <c r="DD9" s="152">
        <f>'INVOCAÇÕES'!$AE$245&amp;""</f>
        <v/>
      </c>
      <c r="DE9" s="152">
        <f>N('INVOCAÇÕES'!$AH$218)</f>
        <v/>
      </c>
      <c r="DF9" s="152">
        <f>N('INVOCAÇÕES'!$AI$218)</f>
        <v/>
      </c>
      <c r="DG9" s="152">
        <f>N('INVOCAÇÕES'!$AJ$218)</f>
        <v/>
      </c>
      <c r="DH9" s="152">
        <f>N('INVOCAÇÕES'!$AK$218)</f>
        <v/>
      </c>
      <c r="DI9" s="152">
        <f>N('INVOCAÇÕES'!$AL$218)</f>
        <v/>
      </c>
      <c r="DJ9" s="152">
        <f>N('INVOCAÇÕES'!$AH$219)</f>
        <v/>
      </c>
      <c r="DK9" s="152">
        <f>N('INVOCAÇÕES'!$AI$219)</f>
        <v/>
      </c>
      <c r="DL9" s="152">
        <f>N('INVOCAÇÕES'!$AJ$219)</f>
        <v/>
      </c>
      <c r="DM9" s="152">
        <f>N('INVOCAÇÕES'!$AK$219)</f>
        <v/>
      </c>
      <c r="DN9" s="152">
        <f>N('INVOCAÇÕES'!$AL$219)</f>
        <v/>
      </c>
      <c r="DO9" s="152">
        <f>'INVOCAÇÕES'!$AH$232&amp;""</f>
        <v/>
      </c>
      <c r="DP9" s="152">
        <f>'INVOCAÇÕES'!$AJ$232&amp;""</f>
        <v/>
      </c>
      <c r="DQ9" s="152">
        <f>'INVOCAÇÕES'!$AL$232&amp;""</f>
        <v/>
      </c>
      <c r="DR9" s="152">
        <f>N('INVOCAÇÕES'!$AH$224)</f>
        <v/>
      </c>
      <c r="DS9" s="152">
        <f>N('INVOCAÇÕES'!$AI$224)</f>
        <v/>
      </c>
      <c r="DT9" s="152">
        <f>N('INVOCAÇÕES'!$AJ$224)</f>
        <v/>
      </c>
      <c r="DU9" s="152">
        <f>N('INVOCAÇÕES'!$AK$224)</f>
        <v/>
      </c>
      <c r="DV9" s="152">
        <f>N('INVOCAÇÕES'!$AL$224)</f>
        <v/>
      </c>
      <c r="DW9" s="152">
        <f>N('INVOCAÇÕES'!$AH$229)</f>
        <v/>
      </c>
      <c r="DX9" s="152">
        <f>N('INVOCAÇÕES'!$AI$229)</f>
        <v/>
      </c>
      <c r="DY9" s="152">
        <f>N('INVOCAÇÕES'!$AJ$229)</f>
        <v/>
      </c>
      <c r="DZ9" s="152">
        <f>N('INVOCAÇÕES'!$AK$229)</f>
        <v/>
      </c>
      <c r="EA9" s="152">
        <f>'INVOCAÇÕES'!$AN$211&amp;""</f>
        <v/>
      </c>
      <c r="EB9" s="152">
        <f>N('INVOCAÇÕES'!$AP$211)</f>
        <v/>
      </c>
      <c r="EC9" s="152">
        <f>'INVOCAÇÕES'!$AR$211&amp;""</f>
        <v/>
      </c>
      <c r="ED9" s="152">
        <f>'INVOCAÇÕES'!$AH$246&amp;""</f>
        <v/>
      </c>
      <c r="EE9" s="152">
        <f>'INVOCAÇÕES'!$AI$246&amp;""</f>
        <v/>
      </c>
      <c r="EF9" s="152">
        <f>'INVOCAÇÕES'!$AJ$246&amp;""</f>
        <v/>
      </c>
      <c r="EG9" s="152">
        <f>'INVOCAÇÕES'!$AK$246&amp;""</f>
        <v/>
      </c>
      <c r="EH9" s="152">
        <f>'INVOCAÇÕES'!$AL$246&amp;""</f>
        <v/>
      </c>
      <c r="EI9" s="152">
        <f>'INVOCAÇÕES'!$AH$236&amp;""</f>
        <v/>
      </c>
      <c r="EJ9" s="152">
        <f>'INVOCAÇÕES'!$AH$237&amp;""</f>
        <v/>
      </c>
      <c r="EK9" s="152">
        <f>'INVOCAÇÕES'!$AH$238&amp;""</f>
        <v/>
      </c>
      <c r="EL9" s="152">
        <f>'INVOCAÇÕES'!$AH$239&amp;""</f>
        <v/>
      </c>
      <c r="EM9" s="152">
        <f>'INVOCAÇÕES'!$AH$240&amp;""</f>
        <v/>
      </c>
      <c r="EN9" s="152">
        <f>'INVOCAÇÕES'!$AH$241&amp;""</f>
        <v/>
      </c>
      <c r="EO9" s="152">
        <f>'INVOCAÇÕES'!$AH$242&amp;""</f>
        <v/>
      </c>
      <c r="EP9" s="152">
        <f>'INVOCAÇÕES'!$AC$278&amp;""</f>
        <v/>
      </c>
      <c r="EQ9" s="152">
        <f>'INVOCAÇÕES'!$AC$279&amp;""</f>
        <v/>
      </c>
      <c r="ER9" s="152">
        <f>'INVOCAÇÕES'!$AC$280&amp;""</f>
        <v/>
      </c>
      <c r="ES9" s="152">
        <f>'INVOCAÇÕES'!$AC$281&amp;""</f>
        <v/>
      </c>
      <c r="ET9" s="152">
        <f>'INVOCAÇÕES'!$AC$282&amp;""</f>
        <v/>
      </c>
      <c r="EU9" s="152">
        <f>'INVOCAÇÕES'!$AC$283&amp;""</f>
        <v/>
      </c>
      <c r="EV9" s="152">
        <f>'INVOCAÇÕES'!$AC$284&amp;""</f>
        <v/>
      </c>
      <c r="EW9" s="152">
        <f>'INVOCAÇÕES'!$AC$285&amp;""</f>
        <v/>
      </c>
      <c r="EX9" s="152">
        <f>'INVOCAÇÕES'!$AC$380&amp;""</f>
        <v/>
      </c>
      <c r="EY9" s="152">
        <f>'INVOCAÇÕES'!$AC$381&amp;""</f>
        <v/>
      </c>
      <c r="EZ9" s="152">
        <f>'INVOCAÇÕES'!$AC$382&amp;""</f>
        <v/>
      </c>
      <c r="FA9" s="152">
        <f>MAX(3,MIN(7,N('INVOCAÇÕES'!$AB$387)))</f>
        <v/>
      </c>
      <c r="FB9" s="152">
        <f>MAX(3,MIN(7,N('INVOCAÇÕES'!$AH$387)))</f>
        <v/>
      </c>
      <c r="FC9" s="152">
        <f>MAX(3,MIN(7,N('INVOCAÇÕES'!$AN$387)))</f>
        <v/>
      </c>
      <c r="FD9" s="152">
        <f>'INVOCAÇÕES'!$AH$401&amp;""</f>
        <v/>
      </c>
      <c r="FE9" s="152">
        <f>IF($CZ9&lt;&gt;"",1,0)</f>
        <v/>
      </c>
      <c r="FF9" s="152">
        <f>IFERROR(VLOOKUP($DB9,$BO$2:$BP$5,2,FALSE),1)</f>
        <v/>
      </c>
      <c r="FG9" s="152">
        <f>IF($FF9=1,$CW$2,MAX(1,MIN($CW$2,IF($DC9=0,$CW$2,$DC9))))</f>
        <v/>
      </c>
      <c r="FH9" s="152">
        <f>VLOOKUP(MAX(1,$FG9),$A$2:$D$8,2,TRUE)</f>
        <v/>
      </c>
      <c r="FI9" s="152">
        <f>VLOOKUP(MAX(1,$FG9),$A$2:$D$8,3,TRUE)</f>
        <v/>
      </c>
      <c r="FJ9" s="152">
        <f>$DE9+$DJ9</f>
        <v/>
      </c>
      <c r="FK9" s="152">
        <f>$DF9+$DK9</f>
        <v/>
      </c>
      <c r="FL9" s="152">
        <f>$DG9+$DL9</f>
        <v/>
      </c>
      <c r="FM9" s="152">
        <f>$DH9+$DM9</f>
        <v/>
      </c>
      <c r="FN9" s="152">
        <f>$DI9+$DN9</f>
        <v/>
      </c>
      <c r="FO9" s="152">
        <f>SUM($DE9:$DI9)</f>
        <v/>
      </c>
      <c r="FP9" s="152">
        <f>9+$FQ9</f>
        <v/>
      </c>
      <c r="FQ9" s="152">
        <f>COUNTIF($F$2:$F$8,"&lt;="&amp;$FG9)</f>
        <v/>
      </c>
      <c r="FR9" s="152">
        <f>MAX(0,$DE9-3)+MAX(0,$DF9-3)+MAX(0,$DG9-3)+MAX(0,$DH9-3)+MAX(0,$DI9-3)</f>
        <v/>
      </c>
      <c r="FS9" s="152">
        <f>IFERROR(INDEX($FJ9:$FN9,1,MATCH($DO9,$BT$2:$BT$6,0)),"")</f>
        <v/>
      </c>
      <c r="FT9" s="152">
        <f>IF($FS9="","",$FS9+$CW$3+$DR9)</f>
        <v/>
      </c>
      <c r="FU9" s="152">
        <f>IF($FS9="","",8+$FS9+$CW$3+$DS9)</f>
        <v/>
      </c>
      <c r="FV9" s="152">
        <f>10+$FK9+$CW$7+$DT9</f>
        <v/>
      </c>
      <c r="FW9" s="152">
        <f>IF($DA9="Corpo amaldiçoado de criação",1,0)</f>
        <v/>
      </c>
      <c r="FX9" s="152">
        <f>5+$FL9+(3+$FW9+$FL9)*($FG9-1)+$DU9</f>
        <v/>
      </c>
      <c r="FY9" s="152">
        <f>IF($EA9="",$FX9,MAX(0,MIN(IFERROR(VALUE($EA9),$FX9),$FX9)))</f>
        <v/>
      </c>
      <c r="FZ9" s="152">
        <f>9+$DV9</f>
        <v/>
      </c>
      <c r="GA9" s="152">
        <f>IF($DP9="Destreza",$FK9,$FJ9)</f>
        <v/>
      </c>
      <c r="GB9" s="152">
        <f>$GA9+IF($DQ9="Físico",$CW$3,0)+$DW9</f>
        <v/>
      </c>
      <c r="GC9" s="152">
        <f>$FL9+IF($DQ9="Vigor",$CW$3,0)+$DX9</f>
        <v/>
      </c>
      <c r="GD9" s="152">
        <f>$FM9+IF($DQ9="Intelecto",$CW$3,0)+$DY9</f>
        <v/>
      </c>
      <c r="GE9" s="152">
        <f>$FN9+IF($DQ9="Espírito",$CW$3,0)+$DZ9</f>
        <v/>
      </c>
      <c r="GF9" s="152">
        <f>4+INT($DH9/2)</f>
        <v/>
      </c>
      <c r="GG9" s="152">
        <f>COUNTIF($EI9:$EO9,"?*")</f>
        <v/>
      </c>
      <c r="GH9" s="152">
        <f>INT((2+$FG9/2)/2)</f>
        <v/>
      </c>
      <c r="GI9" s="152">
        <f>IF($FG9&gt;=11,2,1)</f>
        <v/>
      </c>
      <c r="GJ9" s="152">
        <f>1+$FQ9</f>
        <v/>
      </c>
      <c r="GK9" s="152">
        <f>COUNTIF($EP9:$EW9,"?*")</f>
        <v/>
      </c>
      <c r="GL9" s="152">
        <f>IF(AND($DA9="Shikigami de criação",$DD9="Com carga"),MAX(1,CEILING($FH9/2,1)),$FH9)</f>
        <v/>
      </c>
      <c r="GM9" s="152">
        <f>$FH9+$GL9</f>
        <v/>
      </c>
      <c r="GN9" s="152">
        <f>$FG9*(1+INT($DI9/3))</f>
        <v/>
      </c>
      <c r="GO9" s="152">
        <f>5+$FJ9</f>
        <v/>
      </c>
      <c r="GP9" s="152">
        <f>COUNTIF($ED9:$EH9,"?*")</f>
        <v/>
      </c>
      <c r="GQ9" s="152">
        <f>IF($ED9="",0,IF(COUNTIF($ED9:$EH9,$ED9)&gt;1,1,0))+IF($EE9="",0,IF(COUNTIF($ED9:$EH9,$EE9)&gt;1,1,0))+IF($EF9="",0,IF(COUNTIF($ED9:$EH9,$EF9)&gt;1,1,0))+IF($EG9="",0,IF(COUNTIF($ED9:$EH9,$EG9)&gt;1,1,0))+IF($EH9="",0,IF(COUNTIF($ED9:$EH9,$EH9)&gt;1,1,0))</f>
        <v/>
      </c>
      <c r="GR9" s="152">
        <f>$CW$11</f>
        <v/>
      </c>
      <c r="GS9" s="152">
        <f>IF($FE9=0,"INVOCAÇÃO 8 · lugar vazio",$CZ9&amp;" · "&amp;$DA9&amp;" · nível "&amp;$FG9&amp;" · vida "&amp;$FY9&amp;" de "&amp;$FX9)</f>
        <v/>
      </c>
      <c r="GT9" s="152">
        <f>IF($FE9=0,"VAZIA",UPPER($CZ9))</f>
        <v/>
      </c>
      <c r="GU9" s="152">
        <f>IF($CW$3&gt;=0,"+","−")&amp;ABS($CW$3)</f>
        <v/>
      </c>
      <c r="GV9" s="152">
        <f>$GL9&amp;" PE"</f>
        <v/>
      </c>
      <c r="GW9" s="152">
        <f>$GM9&amp;" PE"</f>
        <v/>
      </c>
      <c r="GX9" s="152">
        <f>IF(OR($FO9&gt;$FP9,$FR9&gt;$FQ9),"⚠ ",IF(AND($FE9=1,$FO9&lt;$FP9),"! ",""))&amp;"ATRIBUTOS · "&amp;$FO9&amp;" DE "&amp;$FP9&amp;" PONTOS"&amp;IF($FR9&gt;$FQ9," · ACIMA DE 3 SÓ COM MARCO","")</f>
        <v/>
      </c>
      <c r="GY9" s="152">
        <f>IF($FT9="","",IF($FT9&gt;=0,"+","−")&amp;ABS($FT9))</f>
        <v/>
      </c>
      <c r="GZ9" s="152">
        <f>IF($FU9="","",$FU9)</f>
        <v/>
      </c>
      <c r="HA9" s="152">
        <f>SUBSTITUTE($FZ9&amp;" m",".",",")</f>
        <v/>
      </c>
      <c r="HB9" s="152">
        <f>IF($GB9&gt;=0,"+","−")&amp;ABS($GB9)</f>
        <v/>
      </c>
      <c r="HC9" s="152">
        <f>IF($GC9&gt;=0,"+","−")&amp;ABS($GC9)</f>
        <v/>
      </c>
      <c r="HD9" s="152">
        <f>IF($GD9&gt;=0,"+","−")&amp;ABS($GD9)</f>
        <v/>
      </c>
      <c r="HE9" s="152">
        <f>IF($GE9&gt;=0,"+","−")&amp;ABS($GE9)</f>
        <v/>
      </c>
      <c r="HF9" s="152">
        <f>IF($GG9&gt;$GF9,"⚠ ","")&amp;"PERÍCIAS · "&amp;$GG9&amp;" DE "&amp;$GF9</f>
        <v/>
      </c>
      <c r="HG9" s="152">
        <f>IF($EI9="","",IFERROR(IF((INDEX($FJ9:$FN9,1,MATCH(VLOOKUP($EI9,$BZ$2:$CA$24,2,FALSE),$BT$2:$BT$6,0))+$CW$3)&gt;=0,"+","−")&amp;ABS((INDEX($FJ9:$FN9,1,MATCH(VLOOKUP($EI9,$BZ$2:$CA$24,2,FALSE),$BT$2:$BT$6,0))+$CW$3)),""))</f>
        <v/>
      </c>
      <c r="HH9" s="152">
        <f>IF($EJ9="","",IFERROR(IF((INDEX($FJ9:$FN9,1,MATCH(VLOOKUP($EJ9,$BZ$2:$CA$24,2,FALSE),$BT$2:$BT$6,0))+$CW$3)&gt;=0,"+","−")&amp;ABS((INDEX($FJ9:$FN9,1,MATCH(VLOOKUP($EJ9,$BZ$2:$CA$24,2,FALSE),$BT$2:$BT$6,0))+$CW$3)),""))</f>
        <v/>
      </c>
      <c r="HI9" s="152">
        <f>IF($EK9="","",IFERROR(IF((INDEX($FJ9:$FN9,1,MATCH(VLOOKUP($EK9,$BZ$2:$CA$24,2,FALSE),$BT$2:$BT$6,0))+$CW$3)&gt;=0,"+","−")&amp;ABS((INDEX($FJ9:$FN9,1,MATCH(VLOOKUP($EK9,$BZ$2:$CA$24,2,FALSE),$BT$2:$BT$6,0))+$CW$3)),""))</f>
        <v/>
      </c>
      <c r="HJ9" s="152">
        <f>IF($EL9="","",IFERROR(IF((INDEX($FJ9:$FN9,1,MATCH(VLOOKUP($EL9,$BZ$2:$CA$24,2,FALSE),$BT$2:$BT$6,0))+$CW$3)&gt;=0,"+","−")&amp;ABS((INDEX($FJ9:$FN9,1,MATCH(VLOOKUP($EL9,$BZ$2:$CA$24,2,FALSE),$BT$2:$BT$6,0))+$CW$3)),""))</f>
        <v/>
      </c>
      <c r="HK9" s="152">
        <f>IF($EM9="","",IFERROR(IF((INDEX($FJ9:$FN9,1,MATCH(VLOOKUP($EM9,$BZ$2:$CA$24,2,FALSE),$BT$2:$BT$6,0))+$CW$3)&gt;=0,"+","−")&amp;ABS((INDEX($FJ9:$FN9,1,MATCH(VLOOKUP($EM9,$BZ$2:$CA$24,2,FALSE),$BT$2:$BT$6,0))+$CW$3)),""))</f>
        <v/>
      </c>
      <c r="HL9" s="152">
        <f>IF($EN9="","",IFERROR(IF((INDEX($FJ9:$FN9,1,MATCH(VLOOKUP($EN9,$BZ$2:$CA$24,2,FALSE),$BT$2:$BT$6,0))+$CW$3)&gt;=0,"+","−")&amp;ABS((INDEX($FJ9:$FN9,1,MATCH(VLOOKUP($EN9,$BZ$2:$CA$24,2,FALSE),$BT$2:$BT$6,0))+$CW$3)),""))</f>
        <v/>
      </c>
      <c r="HM9" s="152">
        <f>IF($EO9="","",IFERROR(IF((INDEX($FJ9:$FN9,1,MATCH(VLOOKUP($EO9,$BZ$2:$CA$24,2,FALSE),$BT$2:$BT$6,0))+$CW$3)&gt;=0,"+","−")&amp;ABS((INDEX($FJ9:$FN9,1,MATCH(VLOOKUP($EO9,$BZ$2:$CA$24,2,FALSE),$BT$2:$BT$6,0))+$CW$3)),""))</f>
        <v/>
      </c>
      <c r="HN9" s="152">
        <f>IF($DA9="Maldição domada","RESERVA · MÁX. "&amp;$GN9,"RESERVA DE PE")</f>
        <v/>
      </c>
      <c r="HO9" s="152">
        <f>"EQUIPAMENTO · CARGA ATÉ "&amp;$GO9&amp;" DE VOLUME"</f>
        <v/>
      </c>
      <c r="HP9" s="152">
        <f>IF(OR($GQ9&gt;0,$GP9&gt;$GR9),"⚠ ","")&amp;"FAMÍLIAS · "&amp;$GP9&amp;" ABERTAS"&amp;IF($GQ9&gt;0," · REPETIDA","")&amp;IF($GP9&gt;$GR9," · O LIMITE É "&amp;$GR9,"")</f>
        <v/>
      </c>
      <c r="HQ9" s="152">
        <f>"HABILIDADES · básica de "&amp;$FI9&amp;"d6 · "&amp;$GH9&amp;IF($GH9&gt;1," espaços"," espaço")&amp;" de especial até a Classe "&amp;$FH9&amp;" · "&amp;$GJ9&amp;IF($GJ9&gt;1," talentos"," talento")</f>
        <v/>
      </c>
      <c r="HR9" s="152">
        <f>IF($GK9&gt;$GJ9,"⚠ ","")&amp;"TALENTOS · "&amp;$GK9&amp;" DE "&amp;$GJ9</f>
        <v/>
      </c>
      <c r="HS9" s="152">
        <f>IFERROR(VLOOKUP($EP9,$BH$2:$BK$15,2,FALSE),0)</f>
        <v/>
      </c>
      <c r="HT9" s="152">
        <f>IFERROR(VLOOKUP($EQ9,$BH$2:$BK$15,2,FALSE),0)</f>
        <v/>
      </c>
      <c r="HU9" s="152">
        <f>IFERROR(VLOOKUP($ER9,$BH$2:$BK$15,2,FALSE),0)</f>
        <v/>
      </c>
      <c r="HV9" s="152">
        <f>IFERROR(VLOOKUP($ES9,$BH$2:$BK$15,2,FALSE),0)</f>
        <v/>
      </c>
      <c r="HW9" s="152">
        <f>IFERROR(VLOOKUP($ET9,$BH$2:$BK$15,2,FALSE),0)</f>
        <v/>
      </c>
      <c r="HX9" s="152">
        <f>IFERROR(VLOOKUP($EU9,$BH$2:$BK$15,2,FALSE),0)</f>
        <v/>
      </c>
      <c r="HY9" s="152">
        <f>IFERROR(VLOOKUP($EV9,$BH$2:$BK$15,2,FALSE),0)</f>
        <v/>
      </c>
      <c r="HZ9" s="152">
        <f>IFERROR(VLOOKUP($EW9,$BH$2:$BK$15,2,FALSE),0)</f>
        <v/>
      </c>
      <c r="IA9" s="152">
        <f>IF($EP9="","",IF(1&gt;$FG9,"⚠ Este talento abre no nível 1",IF($HS9&gt;1,"⚠ Categoria "&amp;$HS9&amp;": este ganho vai até a 1 · ","")&amp;IFERROR(VLOOKUP($EP9,$BH$2:$BK$15,3,FALSE),"")))</f>
        <v/>
      </c>
      <c r="IB9" s="152">
        <f>IF($EQ9="","",IF(6&gt;$FG9,"⚠ Este talento abre no nível 6",IF($HT9&gt;1,"⚠ Categoria "&amp;$HT9&amp;": este ganho vai até a 1 · ","")&amp;IFERROR(VLOOKUP($EQ9,$BH$2:$BK$15,3,FALSE),"")))</f>
        <v/>
      </c>
      <c r="IC9" s="152">
        <f>IF($ER9="","",IF(10&gt;$FG9,"⚠ Este talento abre no nível 10",IF($HU9&gt;2,"⚠ Categoria "&amp;$HU9&amp;": este ganho vai até a 2 · ","")&amp;IFERROR(VLOOKUP($ER9,$BH$2:$BK$15,3,FALSE),"")))</f>
        <v/>
      </c>
      <c r="ID9" s="152">
        <f>IF($ES9="","",IF(14&gt;$FG9,"⚠ Este talento abre no nível 14",IF($HV9&gt;3,"⚠ Categoria "&amp;$HV9&amp;": este ganho vai até a 3 · ","")&amp;IFERROR(VLOOKUP($ES9,$BH$2:$BK$15,3,FALSE),"")))</f>
        <v/>
      </c>
      <c r="IE9" s="152">
        <f>IF($ET9="","",IF(18&gt;$FG9,"⚠ Este talento abre no nível 18",IF($HW9&gt;3,"⚠ Categoria "&amp;$HW9&amp;": este ganho vai até a 3 · ","")&amp;IFERROR(VLOOKUP($ET9,$BH$2:$BK$15,3,FALSE),"")))</f>
        <v/>
      </c>
      <c r="IF9" s="152">
        <f>IF($EU9="","",IF(22&gt;$FG9,"⚠ Este talento abre no nível 22",IF($HX9&gt;3,"⚠ Categoria "&amp;$HX9&amp;": este ganho vai até a 3 · ","")&amp;IFERROR(VLOOKUP($EU9,$BH$2:$BK$15,3,FALSE),"")))</f>
        <v/>
      </c>
      <c r="IG9" s="152">
        <f>IF($EV9="","",IF(26&gt;$FG9,"⚠ Este talento abre no nível 26",IF($HY9&gt;3,"⚠ Categoria "&amp;$HY9&amp;": este ganho vai até a 3 · ","")&amp;IFERROR(VLOOKUP($EV9,$BH$2:$BK$15,3,FALSE),"")))</f>
        <v/>
      </c>
      <c r="IH9" s="152">
        <f>IF($EW9="","",IF(30&gt;$FG9,"⚠ Este talento abre no nível 30",IF($HZ9&gt;3,"⚠ Categoria "&amp;$HZ9&amp;": este ganho vai até a 3 · ","")&amp;IFERROR(VLOOKUP($EW9,$BH$2:$BK$15,3,FALSE),"")))</f>
        <v/>
      </c>
      <c r="II9" s="152">
        <f>IF($EX9="","",IFERROR(VLOOKUP($EX9,$BH$2:$BK$15,3,FALSE),""))</f>
        <v/>
      </c>
      <c r="IJ9" s="152">
        <f>IF($EY9="","",IFERROR(VLOOKUP($EY9,$BH$2:$BK$15,3,FALSE),""))</f>
        <v/>
      </c>
      <c r="IK9" s="152">
        <f>IF($EZ9="","",IFERROR(VLOOKUP($EZ9,$BH$2:$BK$15,3,FALSE),""))</f>
        <v/>
      </c>
      <c r="IL9" s="152">
        <f>CEILING(4.5*$FA9,1)&amp;" PE"</f>
        <v/>
      </c>
      <c r="IM9" s="152">
        <f>CEILING(4.5*$FB9,1)&amp;" PE"</f>
        <v/>
      </c>
      <c r="IN9" s="152">
        <f>CEILING(4.5*$FC9,1)&amp;" PE"</f>
        <v/>
      </c>
      <c r="IO9" s="152">
        <f>INDEX($P$2:$P$8,$FA9)&amp;" pontos + "&amp;$FA9&amp;"d8"</f>
        <v/>
      </c>
      <c r="IP9" s="152">
        <f>INDEX($P$2:$P$8,$FB9)&amp;" pontos + "&amp;$FB9&amp;"d8"</f>
        <v/>
      </c>
      <c r="IQ9" s="152">
        <f>INDEX($P$2:$P$8,$FC9)&amp;" pontos + "&amp;$FC9&amp;"d8"</f>
        <v/>
      </c>
      <c r="IR9" s="152">
        <f>IF($FG9&lt;17,"—",VLOOKUP($FG9,$CK$2:$CN$4,4,TRUE)&amp;" PE")</f>
        <v/>
      </c>
      <c r="IS9" s="152">
        <f>IF($FG9&lt;17,"Abre no nível 17",VLOOKUP($FG9,$CK$2:$CN$4,2,TRUE)&amp;" fixos · "&amp;VLOOKUP($FG9,$CK$2:$CN$4,3,TRUE)&amp;" pontos")</f>
        <v/>
      </c>
      <c r="IT9" s="152">
        <f>IF($FD9="Sem Barreiras",7,6)*$FH9&amp;" PE"</f>
        <v/>
      </c>
      <c r="IU9" s="152">
        <f>"Acerto "&amp;$FH9&amp;"d8"</f>
        <v/>
      </c>
      <c r="IV9" s="152">
        <f>IFERROR(VLOOKUP($FD9,$CP$2:$CR$4,3,FALSE),"Escolha o degrau")</f>
        <v/>
      </c>
      <c r="IW9" s="152">
        <f>8&amp;" · "&amp;IF($FE9=0,"vazia",$CZ9&amp;" · nv "&amp;$FG9&amp;" · "&amp;$FY9&amp;"/"&amp;$FX9)</f>
        <v/>
      </c>
      <c r="IY9" s="150" t="inlineStr">
        <is>
          <t>Invocação 8</t>
        </is>
      </c>
      <c r="IZ9" s="152">
        <f>ADDRESS(ROW('INVOCAÇÕES'!D28),COLUMN('INVOCAÇÕES'!D28),4)</f>
        <v/>
      </c>
      <c r="JA9" s="152">
        <f>ADDRESS(ROW('INVOCAÇÕES'!AA207),COLUMN('INVOCAÇÕES'!AA207),4)</f>
        <v/>
      </c>
      <c r="JB9" s="150" t="inlineStr">
        <is>
          <t>DADOS_INVOC!$IW$9</t>
        </is>
      </c>
      <c r="JD9" s="152">
        <f>IF(OR($AW9="",COUNTIF($ED$2:$EH$2,$AW9)&gt;0),$AV9,"")</f>
        <v/>
      </c>
      <c r="JE9" s="152">
        <f>IF(AND($AX9=1,OR($AW9="",COUNTIF($ED$2:$EH$2,$AW9)&gt;0)),$AV9,"")</f>
        <v/>
      </c>
      <c r="JG9" s="152">
        <f>IF(OR($W9="",COUNTIF($ED$2:$EH$2,$W9)&gt;0),$V9,"")</f>
        <v/>
      </c>
      <c r="JH9" s="152">
        <f>IF(AND($AF9=1,OR($W9="",COUNTIF($ED$2:$EH$2,$W9)&gt;0)),$V9,"")</f>
        <v/>
      </c>
      <c r="JJ9" s="152">
        <f>IF(OR($AW9="",COUNTIF($ED$3:$EH$3,$AW9)&gt;0),$AV9,"")</f>
        <v/>
      </c>
      <c r="JK9" s="152">
        <f>IF(AND($AX9=1,OR($AW9="",COUNTIF($ED$3:$EH$3,$AW9)&gt;0)),$AV9,"")</f>
        <v/>
      </c>
      <c r="JM9" s="152">
        <f>IF(OR($W9="",COUNTIF($ED$3:$EH$3,$W9)&gt;0),$V9,"")</f>
        <v/>
      </c>
      <c r="JN9" s="152">
        <f>IF(AND($AF9=1,OR($W9="",COUNTIF($ED$3:$EH$3,$W9)&gt;0)),$V9,"")</f>
        <v/>
      </c>
      <c r="JP9" s="152">
        <f>IF(OR($AW9="",COUNTIF($ED$4:$EH$4,$AW9)&gt;0),$AV9,"")</f>
        <v/>
      </c>
      <c r="JQ9" s="152">
        <f>IF(AND($AX9=1,OR($AW9="",COUNTIF($ED$4:$EH$4,$AW9)&gt;0)),$AV9,"")</f>
        <v/>
      </c>
      <c r="JS9" s="152">
        <f>IF(OR($W9="",COUNTIF($ED$4:$EH$4,$W9)&gt;0),$V9,"")</f>
        <v/>
      </c>
      <c r="JT9" s="152">
        <f>IF(AND($AF9=1,OR($W9="",COUNTIF($ED$4:$EH$4,$W9)&gt;0)),$V9,"")</f>
        <v/>
      </c>
      <c r="JV9" s="152">
        <f>IF(OR($AW9="",COUNTIF($ED$5:$EH$5,$AW9)&gt;0),$AV9,"")</f>
        <v/>
      </c>
      <c r="JW9" s="152">
        <f>IF(AND($AX9=1,OR($AW9="",COUNTIF($ED$5:$EH$5,$AW9)&gt;0)),$AV9,"")</f>
        <v/>
      </c>
      <c r="JY9" s="152">
        <f>IF(OR($W9="",COUNTIF($ED$5:$EH$5,$W9)&gt;0),$V9,"")</f>
        <v/>
      </c>
      <c r="JZ9" s="152">
        <f>IF(AND($AF9=1,OR($W9="",COUNTIF($ED$5:$EH$5,$W9)&gt;0)),$V9,"")</f>
        <v/>
      </c>
      <c r="KB9" s="152">
        <f>IF(OR($AW9="",COUNTIF($ED$6:$EH$6,$AW9)&gt;0),$AV9,"")</f>
        <v/>
      </c>
      <c r="KC9" s="152">
        <f>IF(AND($AX9=1,OR($AW9="",COUNTIF($ED$6:$EH$6,$AW9)&gt;0)),$AV9,"")</f>
        <v/>
      </c>
      <c r="KE9" s="152">
        <f>IF(OR($W9="",COUNTIF($ED$6:$EH$6,$W9)&gt;0),$V9,"")</f>
        <v/>
      </c>
      <c r="KF9" s="152">
        <f>IF(AND($AF9=1,OR($W9="",COUNTIF($ED$6:$EH$6,$W9)&gt;0)),$V9,"")</f>
        <v/>
      </c>
      <c r="KH9" s="152">
        <f>IF(OR($AW9="",COUNTIF($ED$7:$EH$7,$AW9)&gt;0),$AV9,"")</f>
        <v/>
      </c>
      <c r="KI9" s="152">
        <f>IF(AND($AX9=1,OR($AW9="",COUNTIF($ED$7:$EH$7,$AW9)&gt;0)),$AV9,"")</f>
        <v/>
      </c>
      <c r="KK9" s="152">
        <f>IF(OR($W9="",COUNTIF($ED$7:$EH$7,$W9)&gt;0),$V9,"")</f>
        <v/>
      </c>
      <c r="KL9" s="152">
        <f>IF(AND($AF9=1,OR($W9="",COUNTIF($ED$7:$EH$7,$W9)&gt;0)),$V9,"")</f>
        <v/>
      </c>
      <c r="KN9" s="152">
        <f>IF(OR($AW9="",COUNTIF($ED$8:$EH$8,$AW9)&gt;0),$AV9,"")</f>
        <v/>
      </c>
      <c r="KO9" s="152">
        <f>IF(AND($AX9=1,OR($AW9="",COUNTIF($ED$8:$EH$8,$AW9)&gt;0)),$AV9,"")</f>
        <v/>
      </c>
      <c r="KQ9" s="152">
        <f>IF(OR($W9="",COUNTIF($ED$8:$EH$8,$W9)&gt;0),$V9,"")</f>
        <v/>
      </c>
      <c r="KR9" s="152">
        <f>IF(AND($AF9=1,OR($W9="",COUNTIF($ED$8:$EH$8,$W9)&gt;0)),$V9,"")</f>
        <v/>
      </c>
      <c r="KT9" s="152">
        <f>IF(OR($AW9="",COUNTIF($ED$9:$EH$9,$AW9)&gt;0),$AV9,"")</f>
        <v/>
      </c>
      <c r="KU9" s="152">
        <f>IF(AND($AX9=1,OR($AW9="",COUNTIF($ED$9:$EH$9,$AW9)&gt;0)),$AV9,"")</f>
        <v/>
      </c>
      <c r="KW9" s="152">
        <f>IF(OR($W9="",COUNTIF($ED$9:$EH$9,$W9)&gt;0),$V9,"")</f>
        <v/>
      </c>
      <c r="KX9" s="152">
        <f>IF(AND($AF9=1,OR($W9="",COUNTIF($ED$9:$EH$9,$W9)&gt;0)),$V9,"")</f>
        <v/>
      </c>
      <c r="KZ9" s="152">
        <f>IF(OR($AW9="",COUNTIF($ED$10:$EH$10,$AW9)&gt;0),$AV9,"")</f>
        <v/>
      </c>
      <c r="LA9" s="152">
        <f>IF(AND($AX9=1,OR($AW9="",COUNTIF($ED$10:$EH$10,$AW9)&gt;0)),$AV9,"")</f>
        <v/>
      </c>
      <c r="LC9" s="152">
        <f>IF(OR($W9="",COUNTIF($ED$10:$EH$10,$W9)&gt;0),$V9,"")</f>
        <v/>
      </c>
      <c r="LD9" s="152">
        <f>IF(AND($AF9=1,OR($W9="",COUNTIF($ED$10:$EH$10,$W9)&gt;0)),$V9,"")</f>
        <v/>
      </c>
      <c r="LF9" s="152">
        <f>IF(OR($AW9="",COUNTIF($ED$11:$EH$11,$AW9)&gt;0),$AV9,"")</f>
        <v/>
      </c>
      <c r="LG9" s="152">
        <f>IF(AND($AX9=1,OR($AW9="",COUNTIF($ED$11:$EH$11,$AW9)&gt;0)),$AV9,"")</f>
        <v/>
      </c>
      <c r="LI9" s="152">
        <f>IF(OR($W9="",COUNTIF($ED$11:$EH$11,$W9)&gt;0),$V9,"")</f>
        <v/>
      </c>
      <c r="LJ9" s="152">
        <f>IF(AND($AF9=1,OR($W9="",COUNTIF($ED$11:$EH$11,$W9)&gt;0)),$V9,"")</f>
        <v/>
      </c>
      <c r="LL9" s="152">
        <f>IF(OR($AW9="",COUNTIF($ED$12:$EH$12,$AW9)&gt;0),$AV9,"")</f>
        <v/>
      </c>
      <c r="LM9" s="152">
        <f>IF(AND($AX9=1,OR($AW9="",COUNTIF($ED$12:$EH$12,$AW9)&gt;0)),$AV9,"")</f>
        <v/>
      </c>
      <c r="LO9" s="152">
        <f>IF(OR($W9="",COUNTIF($ED$12:$EH$12,$W9)&gt;0),$V9,"")</f>
        <v/>
      </c>
      <c r="LP9" s="152">
        <f>IF(AND($AF9=1,OR($W9="",COUNTIF($ED$12:$EH$12,$W9)&gt;0)),$V9,"")</f>
        <v/>
      </c>
      <c r="LR9" s="152">
        <f>IF(OR($AW9="",COUNTIF($ED$13:$EH$13,$AW9)&gt;0),$AV9,"")</f>
        <v/>
      </c>
      <c r="LS9" s="152">
        <f>IF(AND($AX9=1,OR($AW9="",COUNTIF($ED$13:$EH$13,$AW9)&gt;0)),$AV9,"")</f>
        <v/>
      </c>
      <c r="LU9" s="152">
        <f>IF(OR($W9="",COUNTIF($ED$13:$EH$13,$W9)&gt;0),$V9,"")</f>
        <v/>
      </c>
      <c r="LV9" s="152">
        <f>IF(AND($AF9=1,OR($W9="",COUNTIF($ED$13:$EH$13,$W9)&gt;0)),$V9,"")</f>
        <v/>
      </c>
      <c r="LX9" s="150" t="inlineStr">
        <is>
          <t>Ficha 1 · Especial 6</t>
        </is>
      </c>
      <c r="LY9" s="152" t="n">
        <v>1</v>
      </c>
      <c r="LZ9" s="152" t="n">
        <v>1</v>
      </c>
      <c r="MA9" s="152" t="n">
        <v>20</v>
      </c>
      <c r="MB9" s="150" t="inlineStr">
        <is>
          <t>ESPECIAL 6</t>
        </is>
      </c>
      <c r="MC9" s="152">
        <f>MAX(1,MIN(7,N('INVOCAÇÕES'!$O$114)))</f>
        <v/>
      </c>
      <c r="MD9" s="152">
        <f>'INVOCAÇÕES'!$P$114&amp;""</f>
        <v/>
      </c>
      <c r="ME9" s="152">
        <f>'INVOCAÇÕES'!$O$119&amp;""</f>
        <v/>
      </c>
      <c r="MF9" s="152">
        <f>'INVOCAÇÕES'!$O$120&amp;""</f>
        <v/>
      </c>
      <c r="MG9" s="152">
        <f>'INVOCAÇÕES'!$Q$120&amp;""</f>
        <v/>
      </c>
      <c r="MH9" s="152">
        <f>'INVOCAÇÕES'!$P$123&amp;""</f>
        <v/>
      </c>
      <c r="MI9" s="152">
        <f>'INVOCAÇÕES'!$P$124&amp;""</f>
        <v/>
      </c>
      <c r="MJ9" s="152">
        <f>'INVOCAÇÕES'!$P$125&amp;""</f>
        <v/>
      </c>
      <c r="MK9" s="152">
        <f>'INVOCAÇÕES'!$P$126&amp;""</f>
        <v/>
      </c>
      <c r="ML9" s="152">
        <f>'INVOCAÇÕES'!$P$127&amp;""</f>
        <v/>
      </c>
      <c r="MM9" s="152">
        <f>'INVOCAÇÕES'!$P$128&amp;""</f>
        <v/>
      </c>
      <c r="MN9" s="152">
        <f>IF($MD9&lt;&gt;"",1,0)</f>
        <v/>
      </c>
      <c r="MO9" s="152">
        <f>INDEX($FG$2:$FG$13,$LY9)</f>
        <v/>
      </c>
      <c r="MP9" s="152">
        <f>INDEX($FH$2:$FH$13,$LY9)</f>
        <v/>
      </c>
      <c r="MQ9" s="152">
        <f>INDEX($FI$2:$FI$13,$LY9)</f>
        <v/>
      </c>
      <c r="MR9" s="152">
        <f>INDEX($FT$2:$FT$13,$LY9)</f>
        <v/>
      </c>
      <c r="MS9" s="152">
        <f>INDEX($FU$2:$FU$13,$LY9)</f>
        <v/>
      </c>
      <c r="MT9" s="152">
        <f>IFERROR(MATCH($ME9,$V$2:$V$11,0),0)</f>
        <v/>
      </c>
      <c r="MU9" s="152">
        <f>IFERROR(VLOOKUP($MH9,$AV$2:$AZ$84,2,FALSE),"")</f>
        <v/>
      </c>
      <c r="MV9" s="152">
        <f>IFERROR(VLOOKUP($MI9,$AV$2:$AZ$84,2,FALSE),"")</f>
        <v/>
      </c>
      <c r="MW9" s="152">
        <f>IFERROR(VLOOKUP($MJ9,$AV$2:$AZ$84,2,FALSE),"")</f>
        <v/>
      </c>
      <c r="MX9" s="152">
        <f>IFERROR(VLOOKUP($MK9,$AV$2:$AZ$84,2,FALSE),"")</f>
        <v/>
      </c>
      <c r="MY9" s="152">
        <f>IFERROR(VLOOKUP($MH9,$AV$2:$AZ$84,3,FALSE),0)</f>
        <v/>
      </c>
      <c r="MZ9" s="152">
        <f>IFERROR(VLOOKUP($MI9,$AV$2:$AZ$84,3,FALSE),0)</f>
        <v/>
      </c>
      <c r="NA9" s="152">
        <f>IFERROR(VLOOKUP($MJ9,$AV$2:$AZ$84,3,FALSE),0)</f>
        <v/>
      </c>
      <c r="NB9" s="152">
        <f>IFERROR(VLOOKUP($MK9,$AV$2:$AZ$84,3,FALSE),0)</f>
        <v/>
      </c>
      <c r="NC9" s="152">
        <f>IF($MC9=0,0,IF($MT9=0,0,INDEX($X$2:$X$11,$MT9)))</f>
        <v/>
      </c>
      <c r="ND9" s="152">
        <f>IF(OR($MY9=0,$MC9=0),0,$MY9+3*IF(AND($MU9&lt;&gt;"",OR($MU9=INDEX($ED$2:$ED$13,$LY9),$MU9=INDEX($EE$2:$EE$13,$LY9))),1,0))</f>
        <v/>
      </c>
      <c r="NE9" s="152">
        <f>IF(OR($MZ9=0,$MC9=0),0,$MZ9+3*IF(AND($MV9&lt;&gt;"",OR($MV9=INDEX($ED$2:$ED$13,$LY9),$MV9=INDEX($EE$2:$EE$13,$LY9))),1,0))</f>
        <v/>
      </c>
      <c r="NF9" s="152">
        <f>IF(OR($NA9=0,$MC9=0),0,$NA9+3*IF(AND($MW9&lt;&gt;"",OR($MW9=INDEX($ED$2:$ED$13,$LY9),$MW9=INDEX($EE$2:$EE$13,$LY9))),1,0))</f>
        <v/>
      </c>
      <c r="NG9" s="152">
        <f>IF(OR($NB9=0,$MC9=0),0,$NB9+3*IF(AND($MX9&lt;&gt;"",OR($MX9=INDEX($ED$2:$ED$13,$LY9),$MX9=INDEX($EE$2:$EE$13,$LY9))),1,0))</f>
        <v/>
      </c>
      <c r="NH9" s="152">
        <f>IF($MT9=0,0,IF(INDEX($W$2:$W$11,$MT9)="",0,IF(COUNTIF(INDEX($ED$2:$EH$13,$LY9,0),INDEX($W$2:$W$11,$MT9))=0,1,0)))</f>
        <v/>
      </c>
      <c r="NI9" s="152">
        <f>IF(OR($MY9=0,$MU9=""),0,IF(COUNTIF(INDEX($ED$2:$EH$13,$LY9,0),$MU9)=0,1,0))</f>
        <v/>
      </c>
      <c r="NJ9" s="152">
        <f>IF(OR($MZ9=0,$MV9=""),0,IF(COUNTIF(INDEX($ED$2:$EH$13,$LY9,0),$MV9)=0,1,0))</f>
        <v/>
      </c>
      <c r="NK9" s="152">
        <f>IF(OR($NA9=0,$MW9=""),0,IF(COUNTIF(INDEX($ED$2:$EH$13,$LY9,0),$MW9)=0,1,0))</f>
        <v/>
      </c>
      <c r="NL9" s="152">
        <f>IF(OR($NB9=0,$MX9=""),0,IF(COUNTIF(INDEX($ED$2:$EH$13,$LY9,0),$MX9)=0,1,0))</f>
        <v/>
      </c>
      <c r="NM9" s="152">
        <f>IFERROR(VLOOKUP($MH9,$AV$2:$AZ$84,4,FALSE),0)+IFERROR(VLOOKUP($MI9,$AV$2:$AZ$84,4,FALSE),0)+IFERROR(VLOOKUP($MJ9,$AV$2:$AZ$84,4,FALSE),0)+IFERROR(VLOOKUP($MK9,$AV$2:$AZ$84,4,FALSE),0)</f>
        <v/>
      </c>
      <c r="NN9" s="152">
        <f>TEXTJOIN(", ",TRUE,IF(IFERROR(VLOOKUP($MH9,$AV$2:$AZ$84,5,FALSE),0)=1,$MH9,""),IF(IFERROR(VLOOKUP($MI9,$AV$2:$AZ$84,5,FALSE),0)=1,$MI9,""),IF(IFERROR(VLOOKUP($MJ9,$AV$2:$AZ$84,5,FALSE),0)=1,$MJ9,""),IF(IFERROR(VLOOKUP($MK9,$AV$2:$AZ$84,5,FALSE),0)=1,$MK9,""))</f>
        <v/>
      </c>
      <c r="NO9" s="152">
        <f>IF($MT9=0,0,INDEX($Y$2:$Y$11,$MT9))</f>
        <v/>
      </c>
      <c r="NP9" s="152">
        <f>IF($MT9=0,0,INDEX($Z$2:$Z$11,$MT9))</f>
        <v/>
      </c>
      <c r="NQ9" s="152">
        <f>IF($MT9=0,0,INDEX($AB$2:$AB$11,$MT9))</f>
        <v/>
      </c>
      <c r="NR9" s="152">
        <f>IFERROR(VLOOKUP($ML9,$BB$2:$BF$24,3,FALSE),0)</f>
        <v/>
      </c>
      <c r="NS9" s="152">
        <f>IFERROR(VLOOKUP($MM9,$BB$2:$BF$24,3,FALSE),0)</f>
        <v/>
      </c>
      <c r="NT9" s="152">
        <f>IFERROR(VLOOKUP($ML9,$BB$2:$BF$24,2,FALSE),"")</f>
        <v/>
      </c>
      <c r="NU9" s="152">
        <f>IFERROR(VLOOKUP($MM9,$BB$2:$BF$24,2,FALSE),"")</f>
        <v/>
      </c>
      <c r="NV9" s="152">
        <f>COUNTIF($NC9:$NG9,1)</f>
        <v/>
      </c>
      <c r="NW9" s="152">
        <f>COUNTIF($NC9:$NG9,2)</f>
        <v/>
      </c>
      <c r="NX9" s="152">
        <f>COUNTIF($NC9:$NG9,3)</f>
        <v/>
      </c>
      <c r="NY9" s="152">
        <f>COUNTIF($NC9:$NG9,4)</f>
        <v/>
      </c>
      <c r="NZ9" s="152">
        <f>COUNTIF($NC9:$NG9,5)</f>
        <v/>
      </c>
      <c r="OA9" s="152">
        <f>COUNTIF($NC9:$NG9,6)</f>
        <v/>
      </c>
      <c r="OB9" s="152">
        <f>COUNTIF($NR9:$NS9,1)</f>
        <v/>
      </c>
      <c r="OC9" s="152">
        <f>COUNTIF($NR9:$NS9,2)+$NO9</f>
        <v/>
      </c>
      <c r="OD9" s="152">
        <f>COUNTIF($MH9:$MK9,"?*")</f>
        <v/>
      </c>
      <c r="OE9" s="152">
        <f>COUNTIF($ML9:$MM9,"?*")+$NO9</f>
        <v/>
      </c>
      <c r="OF9" s="152">
        <f>IF($MC9=0,0,SUMPRODUCT($NV9:$OA9,INDEX($I$2:$N$8,MAX(1,$MC9),0)))</f>
        <v/>
      </c>
      <c r="OG9" s="152">
        <f>IF($MC9=0,0,$OB9*CEILING($MC9/2,1)+$OC9*$MC9)</f>
        <v/>
      </c>
      <c r="OH9" s="152">
        <f>MIN(2*$MC9,$OG9)</f>
        <v/>
      </c>
      <c r="OI9" s="152">
        <f>MIN($OH9,$OF9)</f>
        <v/>
      </c>
      <c r="OJ9" s="152">
        <f>$OH9-$OI9</f>
        <v/>
      </c>
      <c r="OK9" s="152">
        <f>IF($MC9=0,0,INDEX($P$2:$P$8,MAX(1,$MC9)))</f>
        <v/>
      </c>
      <c r="OL9" s="152">
        <f>$OK9-$OF9+$OI9</f>
        <v/>
      </c>
      <c r="OM9" s="152">
        <f>IF($MC9=0,MAX(0,$MQ9-IF($OD9&gt;0,1,0)),MAX(0,$OL9))</f>
        <v/>
      </c>
      <c r="ON9" s="152">
        <f>IF($MC9=0,0,(IF(COUNTIF($MH9:$MK9,"Salto")&gt;0,1,0)+IF(COUNTIF($MH9:$MK9,"Queima")&gt;0,1,0)+IF(COUNTIF($MH9:$MK9,"Estilhaço")&gt;0,1,0))*FLOOR($OM9/2,1))</f>
        <v/>
      </c>
      <c r="OO9" s="152">
        <f>MAX(0,2-SUMPRODUCT($NV9:$OA9,$I$2:$N$2)+MIN(2,$OB9*1+$OC9*1,SUMPRODUCT($NV9:$OA9,$I$2:$N$2)))</f>
        <v/>
      </c>
      <c r="OP9" s="152">
        <f>MAX(0,4-SUMPRODUCT($NV9:$OA9,$I$3:$N$3)+MIN(4,$OB9*1+$OC9*2,SUMPRODUCT($NV9:$OA9,$I$3:$N$3)))</f>
        <v/>
      </c>
      <c r="OQ9" s="152">
        <f>MAX(0,6-SUMPRODUCT($NV9:$OA9,$I$4:$N$4)+MIN(6,$OB9*2+$OC9*3,SUMPRODUCT($NV9:$OA9,$I$4:$N$4)))</f>
        <v/>
      </c>
      <c r="OR9" s="152">
        <f>MAX(0,9-SUMPRODUCT($NV9:$OA9,$I$5:$N$5)+MIN(8,$OB9*2+$OC9*4,SUMPRODUCT($NV9:$OA9,$I$5:$N$5)))</f>
        <v/>
      </c>
      <c r="OS9" s="152">
        <f>MAX(0,11-SUMPRODUCT($NV9:$OA9,$I$6:$N$6)+MIN(10,$OB9*3+$OC9*5,SUMPRODUCT($NV9:$OA9,$I$6:$N$6)))</f>
        <v/>
      </c>
      <c r="OT9" s="152">
        <f>MAX(0,13-SUMPRODUCT($NV9:$OA9,$I$7:$N$7)+MIN(12,$OB9*3+$OC9*6,SUMPRODUCT($NV9:$OA9,$I$7:$N$7)))</f>
        <v/>
      </c>
      <c r="OU9" s="152">
        <f>MAX(0,16-SUMPRODUCT($NV9:$OA9,$I$8:$N$8)+MIN(14,$OB9*4+$OC9*7,SUMPRODUCT($NV9:$OA9,$I$8:$N$8)))</f>
        <v/>
      </c>
      <c r="OV9" s="152">
        <f>IF($NP9=2,3*$OO9&amp;" de vida temp.",IF($NP9=3,"sem dano",IF($OO9=0,IF($NP9=1,"sem cura","sem dano"),IF($NP9=1,"cura ","")&amp;$OO9&amp;"d8")))</f>
        <v/>
      </c>
      <c r="OW9" s="152">
        <f>IF($NP9=2,3*$OP9&amp;" de vida temp.",IF($NP9=3,"sem dano",IF($OP9=0,IF($NP9=1,"sem cura","sem dano"),IF($NP9=1,"cura ","")&amp;$OP9&amp;"d8")))</f>
        <v/>
      </c>
      <c r="OX9" s="152">
        <f>IF($NP9=2,3*$OQ9&amp;" de vida temp.",IF($NP9=3,"sem dano",IF($OQ9=0,IF($NP9=1,"sem cura","sem dano"),IF($NP9=1,"cura ","")&amp;$OQ9&amp;"d8")))</f>
        <v/>
      </c>
      <c r="OY9" s="152">
        <f>IF($NP9=2,3*$OR9&amp;" de vida temp.",IF($NP9=3,"sem dano",IF($OR9=0,IF($NP9=1,"sem cura","sem dano"),IF($NP9=1,"cura ","")&amp;$OR9&amp;"d8")))</f>
        <v/>
      </c>
      <c r="OZ9" s="152">
        <f>IF($NP9=2,3*$OS9&amp;" de vida temp.",IF($NP9=3,"sem dano",IF($OS9=0,IF($NP9=1,"sem cura","sem dano"),IF($NP9=1,"cura ","")&amp;$OS9&amp;"d8")))</f>
        <v/>
      </c>
      <c r="PA9" s="152">
        <f>IF($NP9=2,3*$OT9&amp;" de vida temp.",IF($NP9=3,"sem dano",IF($OT9=0,IF($NP9=1,"sem cura","sem dano"),IF($NP9=1,"cura ","")&amp;$OT9&amp;"d8")))</f>
        <v/>
      </c>
      <c r="PB9" s="152">
        <f>IF($NP9=2,3*$OU9&amp;" de vida temp.",IF($NP9=3,"sem dano",IF($OU9=0,IF($NP9=1,"sem cura","sem dano"),IF($NP9=1,"cura ","")&amp;$OU9&amp;"d8")))</f>
        <v/>
      </c>
      <c r="PC9" s="152">
        <f>IF($MN9=0,"",TEXTJOIN(" · ",TRUE,IF($MA9&gt;$MO9,"Este lugar abre no nível "&amp;$MA9,""),IF($MC9&gt;$MP9,"Classe "&amp;$MC9&amp;": o nível "&amp;$MO9&amp;" libera até a "&amp;$MP9,""),IF($NH9=1,"A Forma "&amp;$ME9&amp;" pede "&amp;INDEX($W$2:$W$11,$MT9)&amp;" aberta",""),IF(AND($MC9=0,$MT9&gt;0,IF($MT9=0,0,INDEX($AF$2:$AF$11,$MT9))=0),$ME9&amp;" não existe na Classe 0",""),IF($NI9=1,"Família Fechada: "&amp;$MH9,""),IF($NJ9=1,"Família Fechada: "&amp;$MI9,""),IF($NK9=1,"Família Fechada: "&amp;$MJ9,""),IF($NL9=1,"Família Fechada: "&amp;$MK9,""),IF(AND($MC9&gt;0,$OD9&gt;INDEX($O$2:$O$8,MAX(1,$MC9))),$OD9&amp;" Melhorias: a Classe "&amp;$MC9&amp;" aceita "&amp;INDEX($O$2:$O$8,MAX(1,$MC9)),""),IF(AND($MC9=0,$OD9&gt;1),"A básica aceita uma Melhoria",""),IF(AND($MC9=0,COUNTIF($MY9:$NB9,"&gt;1")&gt;0),"A básica só aceita Melhoria Leve",""),IF(AND($MC9&gt;0,$OE9&gt;2),$OE9&amp;" Restrições"&amp;IF($NO9=1,", contando a que a Forma "&amp;$ME9&amp;" já traz","")&amp;": o limite é 2",""),IF(AND($MC9=0,COUNTIF($ML9:$MM9,"?*")&gt;1),"A básica aceita uma Restrição Leve",""),IF(AND($MC9=0,COUNTIF($NR9:$NS9,2)&gt;0),"A básica só aceita Restrição Leve",""),IF(AND($MC9&gt;0,$OL9&lt;0),"Orçamento estourado: faltam "&amp;(-$OL9)&amp;IF($OL9&lt;-1," pontos"," ponto"),""),IF(IFERROR(VLOOKUP($ML9,$BB$2:$BF$24,4,FALSE),0)+IFERROR(VLOOKUP($MM9,$BB$2:$BF$24,4,FALSE),0)&gt;1,$NT9&amp;" e "&amp;$NU9&amp;" são as duas de frequência",""),IF(AND((COUNTIF($MH9:$MK9,"Rápido")+COUNTIF($NT9:$NU9,"Rápido"))&gt;0,(COUNTIF($MH9:$MK9,"Atrasar")+COUNTIF($NT9:$NU9,"Atrasar"))&gt;0),"Rápido não entra com Atrasar",""),IF(AND((COUNTIF($MH9:$MK9,"Reação")+COUNTIF($NT9:$NU9,"Reação"))&gt;0,(COUNTIF($MH9:$MK9,"Rápido")+COUNTIF($NT9:$NU9,"Rápido"))&gt;0),"Reação não entra com Rápido",""),IF(AND((COUNTIF($MH9:$MK9,"Reação")+COUNTIF($NT9:$NU9,"Reação"))&gt;0,(COUNTIF($MH9:$MK9,"Armado")+COUNTIF($NT9:$NU9,"Armado"))&gt;0),"Reação não entra com Armado",""),IF(AND((COUNTIF($MH9:$MK9,"Reação")+COUNTIF($NT9:$NU9,"Reação"))&gt;0,(COUNTIF($MH9:$MK9,"Atrasar")+COUNTIF($NT9:$NU9,"Atrasar"))&gt;0),"Reação não entra com Atrasar",""),IF(AND((COUNTIF($MH9:$MK9,"Reação")+COUNTIF($NT9:$NU9,"Reação"))&gt;0,(COUNTIF($MH9:$MK9,"Parado")+COUNTIF($NT9:$NU9,"Parado"))&gt;0),"Reação não entra com Parado",""),IF(AND((COUNTIF($MH9:$MK9,"Atrasar")+COUNTIF($NT9:$NU9,"Atrasar"))&gt;0,(COUNTIF($MH9:$MK9,"Parado")+COUNTIF($NT9:$NU9,"Parado"))&gt;0),"Atrasar não entra com Parado",""),IF(AND((COUNTIF($MH9:$MK9,"Armado")+COUNTIF($NT9:$NU9,"Armado"))&gt;0,(COUNTIF($MH9:$MK9,"Carregar")+COUNTIF($NT9:$NU9,"Carregar"))&gt;0),"Armado não entra com Carregar",""),IF(AND(COUNTIF($NT9:$NU9,"Corpo a Corpo")&gt;0,$NO9=0,OR($ME9="Cone",$ME9="Linha")),"Corpo a Corpo não entra em "&amp;$ME9,""),IF(AND(COUNTIF($NT9:$NU9,"Corpo a Corpo")&gt;0,$NO9=1),"A Forma "&amp;$ME9&amp;" já traz o Corpo a Corpo",""),IF(AND(COUNTIF($NT9:$NU9,"Tudo ou Nada")&gt;0,$NQ9=0),"Tudo ou Nada só entra em habilidade de Teste de Resistência",""),IF(AND(COUNTIF($MH9:$MK9,"Inescapável")&gt;0,OR($OD9&gt;1,$OE9&gt;0)),"Inescapável não aceita outra peça",""),IF(AND($MC9&gt;0,$OM9*IF(COUNTIF($MH9:$MK9,"Remate")&gt;0,1.25,1)+$ON9&gt;4*$MC9),($OM9*IF(COUNTIF($MH9:$MK9,"Remate")&gt;0,1.25,1)+$ON9)&amp;" dados somando repetições"&amp;IF(COUNTIF($MH9:$MK9,"Remate")&gt;0," e o Remate","")&amp;": o teto da Classe "&amp;$MC9&amp;" é "&amp;4*$MC9,"")))</f>
        <v/>
      </c>
      <c r="PD9" s="152">
        <f>IF($PC9="",0,(LEN($PC9)-LEN(SUBSTITUTE($PC9," · ","")))/3+1)</f>
        <v/>
      </c>
      <c r="PE9" s="152">
        <f>IF($MN9=0,"",TEXTJOIN(" · ",TRUE,IF($OG9&gt;2*$MC9,"A devolução parou no teto de "&amp;2*$MC9,""),IF($OJ9&gt;0,"Devolução perdida: "&amp;$OJ9&amp;IF($OJ9&gt;1," pontos"," ponto")&amp;" sem peça para pagar",""),IF(AND($NM9&gt;0,AND($MC9&gt;0,$NP9=0),$OM9=0),"Controle sem dano: uma rodada a mais e CD +2",""),IF(AND($NM9&gt;0,AND($MC9&gt;0,$NP9=0),$OM9&gt;0,$OM9&lt;=$MC9),"Controle com saldo até a Classe: uma rodada a mais",""),IF(AND($MC9&gt;0,$NN9&lt;&gt;""),"Efeito de "&amp;$NN9&amp;" pela Classe "&amp;MAX(1,$MC9-1),"")))</f>
        <v/>
      </c>
      <c r="PF9" s="152">
        <f>IF($PE9="",0,(LEN($PE9)-LEN(SUBSTITUTE($PE9," · ","")))/3+1)</f>
        <v/>
      </c>
      <c r="PG9" s="152">
        <f>IF($MN9=0,IF($OD9+COUNTIF($ML9:$MM9,"?*")&gt;0,"Dê um nome",""),IF($PD9&gt;0,"⚠ "&amp;$PD9&amp;IF($PD9&gt;1," erros"," erro"),IF($PF9&gt;0,"! "&amp;$PF9&amp;IF($PF9&gt;1," avisos"," aviso"),"Na regra")))</f>
        <v/>
      </c>
      <c r="PH9" s="152">
        <f>IF($MN9=0,"",IF($PD9+$PF9=0,"Dentro das regras que a ficha confere",$PC9&amp;IF(AND($PD9&gt;0,$PF9&gt;0)," · ","")&amp;$PE9))</f>
        <v/>
      </c>
      <c r="PI9" s="152">
        <f>IF($MA9&gt;$MO9,$MB9&amp;" · ABRE NO NÍVEL "&amp;$MA9,$MB9)</f>
        <v/>
      </c>
      <c r="PJ9" s="152">
        <f>IF($MN9=0,"",IF($MC9=0,"Sem PE",3*$MC9&amp;" PE"))</f>
        <v/>
      </c>
      <c r="PK9" s="152">
        <f>IF($MN9=0,"",IF($MC9=0,"A atuação básica dela",IF(COUNTIF($NT9:$NU9,"Atrasar")&gt;0,"Sua Ação Completa",IF(COUNTIF($MH9:$MK9,"Rápido")&gt;0,"Sua Bônus",IF(COUNTIF($MH9:$MK9,"Reação")&gt;0,"Sua Reação","Sua Padrão")))&amp;" + a básica dela"&amp;IF(COUNTIF($MH9:$MK9,"Reação")&gt;0," e a coletiva","")&amp;IF(COUNTIF($NT9:$NU9,"Carregar")&gt;0," · em dois turnos","")))</f>
        <v/>
      </c>
      <c r="PL9" s="152">
        <f>IF($MG9&lt;&gt;"",$MG9,IF($MT9=0,"",INDEX($AA$2:$AA$11,$MT9)))</f>
        <v/>
      </c>
      <c r="PM9" s="152">
        <f>IF(OR($MN9=0,$MT9=0),"",IF(COUNTIF($MH9:$MK9,"Inescapável")&gt;0,"Automático",IF($PL9="Ataque",IF($MR9="","Ataque","Ataque "&amp;IF(($MR9+2*IF(COUNTIF($MH9:$MK9,"Precisão")&gt;0,1,0))&gt;=0,"+","−")&amp;ABS(($MR9+2*IF(COUNTIF($MH9:$MK9,"Precisão")&gt;0,1,0)))),IF(LEFT($PL9,2)="TR",$PL9&amp;IF($MS9="",""," · CD "&amp;$MS9)&amp;IF(COUNTIF($MH9:$MK9,"Certeiro")&gt;0," · metade",""),"Sem rolagem"))))</f>
        <v/>
      </c>
      <c r="PN9" s="152">
        <f>IF(OR($MN9=0,$MT9=0),"",IF($MC9=0,IF(OR($NP9&gt;=1,$OM9=0),"Sem dano",$OM9&amp;"d6"&amp;IF($MF9="",""," "&amp;$MF9)),IF(OR($NP9&gt;=1,$OM9=0),UPPER(LEFT(INDEX($OV9:$PB9,1,MAX(1,$MC9)),1))&amp;MID(INDEX($OV9:$PB9,1,MAX(1,$MC9)),2,99),UPPER(LEFT(INDEX($OV9:$PB9,1,MAX(1,$MC9)),1))&amp;MID(INDEX($OV9:$PB9,1,MAX(1,$MC9)),2,99)&amp;IF($MF9="",""," "&amp;$MF9)&amp;IF($ON9&gt;0," · +"&amp;$ON9&amp;"d8",""))))</f>
        <v/>
      </c>
      <c r="PO9" s="152">
        <f>COUNTIF($MH9:$MK9,"Longe")+3*COUNTIF($MH9:$MK9,"Muito Longe")</f>
        <v/>
      </c>
      <c r="PP9" s="152">
        <f>COUNTIF($MH9:$MK9,"Maior")+3*COUNTIF($MH9:$MK9,"Muito Maior")</f>
        <v/>
      </c>
      <c r="PQ9" s="152">
        <f>IF($MT9=0,0,CHOOSE(1+INDEX($AC$2:$AC$11,$MT9),0,$PO9,$PP9,$PO9+$PP9))</f>
        <v/>
      </c>
      <c r="PR9" s="152">
        <f>IF($MT9=0,0,CHOOSE(1+INDEX($AD$2:$AD$11,$MT9),0,$PO9,$PP9,$PO9+$PP9))</f>
        <v/>
      </c>
      <c r="PS9" s="152">
        <f>IF(OR($MN9=0,$MT9=0),"",INDEX($AI$2:$AN$41,($MT9-1)*4+IF($MC9=0,1,IF($MC9&lt;=5,2,IF($MC9=6,3,4))),1+MIN(5,$PQ9))&amp;INDEX($AO$2:$AT$41,($MT9-1)*4+IF($MC9=0,1,IF($MC9&lt;=5,2,IF($MC9=6,3,4))),1+MIN(5,$PR9))&amp;IF(INDEX($AE$2:$AE$11,$MT9)=1,IF(COUNTIF($MH9:$MK9,"Mais Um")&gt;0," · +"&amp;COUNTIF($MH9:$MK9,"Mais Um")&amp;IF(COUNTIF($MH9:$MK9,"Mais Um")&gt;1," alvos"," alvo"),"")&amp;IF(COUNTIF($MH9:$MK9,"Rajada")&gt;0,IF($MC9=0," · 1 tiro"," · "&amp;(MAX(1,$MC9-1)+1)&amp;" tiros"),""),""))</f>
        <v/>
      </c>
      <c r="PT9" s="152">
        <f>IF($MN9=0,"",IF($MC9=0,$MQ9&amp;"d6"&amp;IF($OD9&gt;0," − 1 = "&amp;$OM9&amp;"d6"," da básica do nível "&amp;$MO9),$OK9&amp;" − "&amp;$OF9&amp;" + "&amp;$OI9&amp;" = "&amp;$OL9&amp;" · teto "&amp;4*$MC9&amp;"d8"&amp;IF($NO9=1," · a Forma devolve "&amp;$MC9,"")&amp;IF($OJ9&gt;0," · perde "&amp;$OJ9,"")))</f>
        <v/>
      </c>
      <c r="PU9" s="152">
        <f>IF($MN9=0,"",IF($MC9=0,"A básica não amplia: os dados dela sobem com o nível",IF($MC9&gt;=$MP9,"Já está na maior Classe que o nível liberou",TEXTJOIN(" · ",TRUE,IF(AND(2&gt;$MC9,2&lt;=$MP9),"2 → "&amp;$OW9&amp;", 6 PE",""),IF(AND(3&gt;$MC9,3&lt;=$MP9),"3 → "&amp;$OX9&amp;", 9 PE",""),IF(AND(4&gt;$MC9,4&lt;=$MP9),"4 → "&amp;$OY9&amp;", 12 PE",""),IF(AND(5&gt;$MC9,5&lt;=$MP9),"5 → "&amp;$OZ9&amp;", 15 PE",""),IF(AND(6&gt;$MC9,6&lt;=$MP9),"6 → "&amp;$PA9&amp;", 18 PE",""),IF(AND(7&gt;$MC9,7&lt;=$MP9),"7 → "&amp;$PB9&amp;", 21 PE","")))))</f>
        <v/>
      </c>
      <c r="PV9" s="152">
        <f>IF(OR($MN9=0,$MY9=0),"",IF($MC9=0,"−1 dado","−"&amp;INDEX($I$2:$N$8,MAX(1,$MC9),MAX(1,$ND9))&amp;" · "&amp;CHOOSE(MAX(1,$ND9),"Leve","Média","Pesada","Leve · Livre","Média · Livre","Pesada · Livre")))</f>
        <v/>
      </c>
      <c r="PW9" s="152">
        <f>IF(OR($MN9=0,$MZ9=0),"",IF($MC9=0,"−1 dado","−"&amp;INDEX($I$2:$N$8,MAX(1,$MC9),MAX(1,$NE9))&amp;" · "&amp;CHOOSE(MAX(1,$NE9),"Leve","Média","Pesada","Leve · Livre","Média · Livre","Pesada · Livre")))</f>
        <v/>
      </c>
      <c r="PX9" s="152">
        <f>IF(OR($MN9=0,$NA9=0),"",IF($MC9=0,"−1 dado","−"&amp;INDEX($I$2:$N$8,MAX(1,$MC9),MAX(1,$NF9))&amp;" · "&amp;CHOOSE(MAX(1,$NF9),"Leve","Média","Pesada","Leve · Livre","Média · Livre","Pesada · Livre")))</f>
        <v/>
      </c>
      <c r="PY9" s="152">
        <f>IF(OR($MN9=0,$NB9=0),"",IF($MC9=0,"−1 dado","−"&amp;INDEX($I$2:$N$8,MAX(1,$MC9),MAX(1,$NG9))&amp;" · "&amp;CHOOSE(MAX(1,$NG9),"Leve","Média","Pesada","Leve · Livre","Média · Livre","Pesada · Livre")))</f>
        <v/>
      </c>
      <c r="PZ9" s="152">
        <f>IF(OR($MN9=0,$ML9=""),"",IF($MC9=0,"não devolve","+"&amp;IF($NR9=1,CEILING($MC9/2,1),$MC9)))</f>
        <v/>
      </c>
      <c r="QA9" s="152">
        <f>IF(OR($MN9=0,$MM9=""),"",IF($MC9=0,"não devolve","+"&amp;IF($NS9=1,CEILING($MC9/2,1),$MC9)))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B10" s="150" t="inlineStr">
        <is>
          <t>Fraqueza (Leve)</t>
        </is>
      </c>
      <c r="BC10" s="150" t="inlineStr">
        <is>
          <t>Fraqueza</t>
        </is>
      </c>
      <c r="BD10" s="152" t="n">
        <v>1</v>
      </c>
      <c r="BE10" s="152" t="n">
        <v>0</v>
      </c>
      <c r="BF10" s="150" t="inlineStr">
        <is>
          <t>Fraqueza (Leve)</t>
        </is>
      </c>
      <c r="BH10" s="150" t="inlineStr">
        <is>
          <t>Costura</t>
        </is>
      </c>
      <c r="BI10" s="152" t="n">
        <v>2</v>
      </c>
      <c r="BJ10" s="150" t="inlineStr">
        <is>
          <t>Uma vez por cena, quando um aliado a até 9 m sofreria uma redução de seus pontos de vida a 0, você pode fazer com que ele permaneça com 1 ponto de vida. Não exige ação nem Reação.</t>
        </is>
      </c>
      <c r="BK10" s="150" t="inlineStr"/>
      <c r="BR10" s="150" t="inlineStr">
        <is>
          <t>Amparo</t>
        </is>
      </c>
      <c r="BZ10" s="150" t="inlineStr">
        <is>
          <t>Religião</t>
        </is>
      </c>
      <c r="CA10" s="150" t="inlineStr">
        <is>
          <t>Inteligência</t>
        </is>
      </c>
      <c r="CE10" s="150" t="inlineStr">
        <is>
          <t>Veneno</t>
        </is>
      </c>
      <c r="CV10" s="150" t="inlineStr">
        <is>
          <t>fichas com nome</t>
        </is>
      </c>
      <c r="CW10" s="152">
        <f>SUM($FE$2:$FE$13)</f>
        <v/>
      </c>
      <c r="CY10" s="152" t="n">
        <v>9</v>
      </c>
      <c r="CZ10" s="152">
        <f>'INVOCAÇÕES'!$AB$409&amp;""</f>
        <v/>
      </c>
      <c r="DA10" s="152">
        <f>'INVOCAÇÕES'!$AB$439&amp;""</f>
        <v/>
      </c>
      <c r="DB10" s="152">
        <f>'INVOCAÇÕES'!$AB$443&amp;""</f>
        <v/>
      </c>
      <c r="DC10" s="152">
        <f>N('INVOCAÇÕES'!$AD$443)</f>
        <v/>
      </c>
      <c r="DD10" s="152">
        <f>'INVOCAÇÕES'!$AE$443&amp;""</f>
        <v/>
      </c>
      <c r="DE10" s="152">
        <f>N('INVOCAÇÕES'!$AH$416)</f>
        <v/>
      </c>
      <c r="DF10" s="152">
        <f>N('INVOCAÇÕES'!$AI$416)</f>
        <v/>
      </c>
      <c r="DG10" s="152">
        <f>N('INVOCAÇÕES'!$AJ$416)</f>
        <v/>
      </c>
      <c r="DH10" s="152">
        <f>N('INVOCAÇÕES'!$AK$416)</f>
        <v/>
      </c>
      <c r="DI10" s="152">
        <f>N('INVOCAÇÕES'!$AL$416)</f>
        <v/>
      </c>
      <c r="DJ10" s="152">
        <f>N('INVOCAÇÕES'!$AH$417)</f>
        <v/>
      </c>
      <c r="DK10" s="152">
        <f>N('INVOCAÇÕES'!$AI$417)</f>
        <v/>
      </c>
      <c r="DL10" s="152">
        <f>N('INVOCAÇÕES'!$AJ$417)</f>
        <v/>
      </c>
      <c r="DM10" s="152">
        <f>N('INVOCAÇÕES'!$AK$417)</f>
        <v/>
      </c>
      <c r="DN10" s="152">
        <f>N('INVOCAÇÕES'!$AL$417)</f>
        <v/>
      </c>
      <c r="DO10" s="152">
        <f>'INVOCAÇÕES'!$AH$430&amp;""</f>
        <v/>
      </c>
      <c r="DP10" s="152">
        <f>'INVOCAÇÕES'!$AJ$430&amp;""</f>
        <v/>
      </c>
      <c r="DQ10" s="152">
        <f>'INVOCAÇÕES'!$AL$430&amp;""</f>
        <v/>
      </c>
      <c r="DR10" s="152">
        <f>N('INVOCAÇÕES'!$AH$422)</f>
        <v/>
      </c>
      <c r="DS10" s="152">
        <f>N('INVOCAÇÕES'!$AI$422)</f>
        <v/>
      </c>
      <c r="DT10" s="152">
        <f>N('INVOCAÇÕES'!$AJ$422)</f>
        <v/>
      </c>
      <c r="DU10" s="152">
        <f>N('INVOCAÇÕES'!$AK$422)</f>
        <v/>
      </c>
      <c r="DV10" s="152">
        <f>N('INVOCAÇÕES'!$AL$422)</f>
        <v/>
      </c>
      <c r="DW10" s="152">
        <f>N('INVOCAÇÕES'!$AH$427)</f>
        <v/>
      </c>
      <c r="DX10" s="152">
        <f>N('INVOCAÇÕES'!$AI$427)</f>
        <v/>
      </c>
      <c r="DY10" s="152">
        <f>N('INVOCAÇÕES'!$AJ$427)</f>
        <v/>
      </c>
      <c r="DZ10" s="152">
        <f>N('INVOCAÇÕES'!$AK$427)</f>
        <v/>
      </c>
      <c r="EA10" s="152">
        <f>'INVOCAÇÕES'!$AN$409&amp;""</f>
        <v/>
      </c>
      <c r="EB10" s="152">
        <f>N('INVOCAÇÕES'!$AP$409)</f>
        <v/>
      </c>
      <c r="EC10" s="152">
        <f>'INVOCAÇÕES'!$AR$409&amp;""</f>
        <v/>
      </c>
      <c r="ED10" s="152">
        <f>'INVOCAÇÕES'!$AH$444&amp;""</f>
        <v/>
      </c>
      <c r="EE10" s="152">
        <f>'INVOCAÇÕES'!$AI$444&amp;""</f>
        <v/>
      </c>
      <c r="EF10" s="152">
        <f>'INVOCAÇÕES'!$AJ$444&amp;""</f>
        <v/>
      </c>
      <c r="EG10" s="152">
        <f>'INVOCAÇÕES'!$AK$444&amp;""</f>
        <v/>
      </c>
      <c r="EH10" s="152">
        <f>'INVOCAÇÕES'!$AL$444&amp;""</f>
        <v/>
      </c>
      <c r="EI10" s="152">
        <f>'INVOCAÇÕES'!$AH$434&amp;""</f>
        <v/>
      </c>
      <c r="EJ10" s="152">
        <f>'INVOCAÇÕES'!$AH$435&amp;""</f>
        <v/>
      </c>
      <c r="EK10" s="152">
        <f>'INVOCAÇÕES'!$AH$436&amp;""</f>
        <v/>
      </c>
      <c r="EL10" s="152">
        <f>'INVOCAÇÕES'!$AH$437&amp;""</f>
        <v/>
      </c>
      <c r="EM10" s="152">
        <f>'INVOCAÇÕES'!$AH$438&amp;""</f>
        <v/>
      </c>
      <c r="EN10" s="152">
        <f>'INVOCAÇÕES'!$AH$439&amp;""</f>
        <v/>
      </c>
      <c r="EO10" s="152">
        <f>'INVOCAÇÕES'!$AH$440&amp;""</f>
        <v/>
      </c>
      <c r="EP10" s="152">
        <f>'INVOCAÇÕES'!$AC$476&amp;""</f>
        <v/>
      </c>
      <c r="EQ10" s="152">
        <f>'INVOCAÇÕES'!$AC$477&amp;""</f>
        <v/>
      </c>
      <c r="ER10" s="152">
        <f>'INVOCAÇÕES'!$AC$478&amp;""</f>
        <v/>
      </c>
      <c r="ES10" s="152">
        <f>'INVOCAÇÕES'!$AC$479&amp;""</f>
        <v/>
      </c>
      <c r="ET10" s="152">
        <f>'INVOCAÇÕES'!$AC$480&amp;""</f>
        <v/>
      </c>
      <c r="EU10" s="152">
        <f>'INVOCAÇÕES'!$AC$481&amp;""</f>
        <v/>
      </c>
      <c r="EV10" s="152">
        <f>'INVOCAÇÕES'!$AC$482&amp;""</f>
        <v/>
      </c>
      <c r="EW10" s="152">
        <f>'INVOCAÇÕES'!$AC$483&amp;""</f>
        <v/>
      </c>
      <c r="EX10" s="152">
        <f>'INVOCAÇÕES'!$AC$578&amp;""</f>
        <v/>
      </c>
      <c r="EY10" s="152">
        <f>'INVOCAÇÕES'!$AC$579&amp;""</f>
        <v/>
      </c>
      <c r="EZ10" s="152">
        <f>'INVOCAÇÕES'!$AC$580&amp;""</f>
        <v/>
      </c>
      <c r="FA10" s="152">
        <f>MAX(3,MIN(7,N('INVOCAÇÕES'!$AB$585)))</f>
        <v/>
      </c>
      <c r="FB10" s="152">
        <f>MAX(3,MIN(7,N('INVOCAÇÕES'!$AH$585)))</f>
        <v/>
      </c>
      <c r="FC10" s="152">
        <f>MAX(3,MIN(7,N('INVOCAÇÕES'!$AN$585)))</f>
        <v/>
      </c>
      <c r="FD10" s="152">
        <f>'INVOCAÇÕES'!$AH$599&amp;""</f>
        <v/>
      </c>
      <c r="FE10" s="152">
        <f>IF($CZ10&lt;&gt;"",1,0)</f>
        <v/>
      </c>
      <c r="FF10" s="152">
        <f>IFERROR(VLOOKUP($DB10,$BO$2:$BP$5,2,FALSE),1)</f>
        <v/>
      </c>
      <c r="FG10" s="152">
        <f>IF($FF10=1,$CW$2,MAX(1,MIN($CW$2,IF($DC10=0,$CW$2,$DC10))))</f>
        <v/>
      </c>
      <c r="FH10" s="152">
        <f>VLOOKUP(MAX(1,$FG10),$A$2:$D$8,2,TRUE)</f>
        <v/>
      </c>
      <c r="FI10" s="152">
        <f>VLOOKUP(MAX(1,$FG10),$A$2:$D$8,3,TRUE)</f>
        <v/>
      </c>
      <c r="FJ10" s="152">
        <f>$DE10+$DJ10</f>
        <v/>
      </c>
      <c r="FK10" s="152">
        <f>$DF10+$DK10</f>
        <v/>
      </c>
      <c r="FL10" s="152">
        <f>$DG10+$DL10</f>
        <v/>
      </c>
      <c r="FM10" s="152">
        <f>$DH10+$DM10</f>
        <v/>
      </c>
      <c r="FN10" s="152">
        <f>$DI10+$DN10</f>
        <v/>
      </c>
      <c r="FO10" s="152">
        <f>SUM($DE10:$DI10)</f>
        <v/>
      </c>
      <c r="FP10" s="152">
        <f>9+$FQ10</f>
        <v/>
      </c>
      <c r="FQ10" s="152">
        <f>COUNTIF($F$2:$F$8,"&lt;="&amp;$FG10)</f>
        <v/>
      </c>
      <c r="FR10" s="152">
        <f>MAX(0,$DE10-3)+MAX(0,$DF10-3)+MAX(0,$DG10-3)+MAX(0,$DH10-3)+MAX(0,$DI10-3)</f>
        <v/>
      </c>
      <c r="FS10" s="152">
        <f>IFERROR(INDEX($FJ10:$FN10,1,MATCH($DO10,$BT$2:$BT$6,0)),"")</f>
        <v/>
      </c>
      <c r="FT10" s="152">
        <f>IF($FS10="","",$FS10+$CW$3+$DR10)</f>
        <v/>
      </c>
      <c r="FU10" s="152">
        <f>IF($FS10="","",8+$FS10+$CW$3+$DS10)</f>
        <v/>
      </c>
      <c r="FV10" s="152">
        <f>10+$FK10+$CW$7+$DT10</f>
        <v/>
      </c>
      <c r="FW10" s="152">
        <f>IF($DA10="Corpo amaldiçoado de criação",1,0)</f>
        <v/>
      </c>
      <c r="FX10" s="152">
        <f>5+$FL10+(3+$FW10+$FL10)*($FG10-1)+$DU10</f>
        <v/>
      </c>
      <c r="FY10" s="152">
        <f>IF($EA10="",$FX10,MAX(0,MIN(IFERROR(VALUE($EA10),$FX10),$FX10)))</f>
        <v/>
      </c>
      <c r="FZ10" s="152">
        <f>9+$DV10</f>
        <v/>
      </c>
      <c r="GA10" s="152">
        <f>IF($DP10="Destreza",$FK10,$FJ10)</f>
        <v/>
      </c>
      <c r="GB10" s="152">
        <f>$GA10+IF($DQ10="Físico",$CW$3,0)+$DW10</f>
        <v/>
      </c>
      <c r="GC10" s="152">
        <f>$FL10+IF($DQ10="Vigor",$CW$3,0)+$DX10</f>
        <v/>
      </c>
      <c r="GD10" s="152">
        <f>$FM10+IF($DQ10="Intelecto",$CW$3,0)+$DY10</f>
        <v/>
      </c>
      <c r="GE10" s="152">
        <f>$FN10+IF($DQ10="Espírito",$CW$3,0)+$DZ10</f>
        <v/>
      </c>
      <c r="GF10" s="152">
        <f>4+INT($DH10/2)</f>
        <v/>
      </c>
      <c r="GG10" s="152">
        <f>COUNTIF($EI10:$EO10,"?*")</f>
        <v/>
      </c>
      <c r="GH10" s="152">
        <f>INT((2+$FG10/2)/2)</f>
        <v/>
      </c>
      <c r="GI10" s="152">
        <f>IF($FG10&gt;=11,2,1)</f>
        <v/>
      </c>
      <c r="GJ10" s="152">
        <f>1+$FQ10</f>
        <v/>
      </c>
      <c r="GK10" s="152">
        <f>COUNTIF($EP10:$EW10,"?*")</f>
        <v/>
      </c>
      <c r="GL10" s="152">
        <f>IF(AND($DA10="Shikigami de criação",$DD10="Com carga"),MAX(1,CEILING($FH10/2,1)),$FH10)</f>
        <v/>
      </c>
      <c r="GM10" s="152">
        <f>$FH10+$GL10</f>
        <v/>
      </c>
      <c r="GN10" s="152">
        <f>$FG10*(1+INT($DI10/3))</f>
        <v/>
      </c>
      <c r="GO10" s="152">
        <f>5+$FJ10</f>
        <v/>
      </c>
      <c r="GP10" s="152">
        <f>COUNTIF($ED10:$EH10,"?*")</f>
        <v/>
      </c>
      <c r="GQ10" s="152">
        <f>IF($ED10="",0,IF(COUNTIF($ED10:$EH10,$ED10)&gt;1,1,0))+IF($EE10="",0,IF(COUNTIF($ED10:$EH10,$EE10)&gt;1,1,0))+IF($EF10="",0,IF(COUNTIF($ED10:$EH10,$EF10)&gt;1,1,0))+IF($EG10="",0,IF(COUNTIF($ED10:$EH10,$EG10)&gt;1,1,0))+IF($EH10="",0,IF(COUNTIF($ED10:$EH10,$EH10)&gt;1,1,0))</f>
        <v/>
      </c>
      <c r="GR10" s="152">
        <f>$CW$11</f>
        <v/>
      </c>
      <c r="GS10" s="152">
        <f>IF($FE10=0,"INVOCAÇÃO 9 · lugar vazio",$CZ10&amp;" · "&amp;$DA10&amp;" · nível "&amp;$FG10&amp;" · vida "&amp;$FY10&amp;" de "&amp;$FX10)</f>
        <v/>
      </c>
      <c r="GT10" s="152">
        <f>IF($FE10=0,"VAZIA",UPPER($CZ10))</f>
        <v/>
      </c>
      <c r="GU10" s="152">
        <f>IF($CW$3&gt;=0,"+","−")&amp;ABS($CW$3)</f>
        <v/>
      </c>
      <c r="GV10" s="152">
        <f>$GL10&amp;" PE"</f>
        <v/>
      </c>
      <c r="GW10" s="152">
        <f>$GM10&amp;" PE"</f>
        <v/>
      </c>
      <c r="GX10" s="152">
        <f>IF(OR($FO10&gt;$FP10,$FR10&gt;$FQ10),"⚠ ",IF(AND($FE10=1,$FO10&lt;$FP10),"! ",""))&amp;"ATRIBUTOS · "&amp;$FO10&amp;" DE "&amp;$FP10&amp;" PONTOS"&amp;IF($FR10&gt;$FQ10," · ACIMA DE 3 SÓ COM MARCO","")</f>
        <v/>
      </c>
      <c r="GY10" s="152">
        <f>IF($FT10="","",IF($FT10&gt;=0,"+","−")&amp;ABS($FT10))</f>
        <v/>
      </c>
      <c r="GZ10" s="152">
        <f>IF($FU10="","",$FU10)</f>
        <v/>
      </c>
      <c r="HA10" s="152">
        <f>SUBSTITUTE($FZ10&amp;" m",".",",")</f>
        <v/>
      </c>
      <c r="HB10" s="152">
        <f>IF($GB10&gt;=0,"+","−")&amp;ABS($GB10)</f>
        <v/>
      </c>
      <c r="HC10" s="152">
        <f>IF($GC10&gt;=0,"+","−")&amp;ABS($GC10)</f>
        <v/>
      </c>
      <c r="HD10" s="152">
        <f>IF($GD10&gt;=0,"+","−")&amp;ABS($GD10)</f>
        <v/>
      </c>
      <c r="HE10" s="152">
        <f>IF($GE10&gt;=0,"+","−")&amp;ABS($GE10)</f>
        <v/>
      </c>
      <c r="HF10" s="152">
        <f>IF($GG10&gt;$GF10,"⚠ ","")&amp;"PERÍCIAS · "&amp;$GG10&amp;" DE "&amp;$GF10</f>
        <v/>
      </c>
      <c r="HG10" s="152">
        <f>IF($EI10="","",IFERROR(IF((INDEX($FJ10:$FN10,1,MATCH(VLOOKUP($EI10,$BZ$2:$CA$24,2,FALSE),$BT$2:$BT$6,0))+$CW$3)&gt;=0,"+","−")&amp;ABS((INDEX($FJ10:$FN10,1,MATCH(VLOOKUP($EI10,$BZ$2:$CA$24,2,FALSE),$BT$2:$BT$6,0))+$CW$3)),""))</f>
        <v/>
      </c>
      <c r="HH10" s="152">
        <f>IF($EJ10="","",IFERROR(IF((INDEX($FJ10:$FN10,1,MATCH(VLOOKUP($EJ10,$BZ$2:$CA$24,2,FALSE),$BT$2:$BT$6,0))+$CW$3)&gt;=0,"+","−")&amp;ABS((INDEX($FJ10:$FN10,1,MATCH(VLOOKUP($EJ10,$BZ$2:$CA$24,2,FALSE),$BT$2:$BT$6,0))+$CW$3)),""))</f>
        <v/>
      </c>
      <c r="HI10" s="152">
        <f>IF($EK10="","",IFERROR(IF((INDEX($FJ10:$FN10,1,MATCH(VLOOKUP($EK10,$BZ$2:$CA$24,2,FALSE),$BT$2:$BT$6,0))+$CW$3)&gt;=0,"+","−")&amp;ABS((INDEX($FJ10:$FN10,1,MATCH(VLOOKUP($EK10,$BZ$2:$CA$24,2,FALSE),$BT$2:$BT$6,0))+$CW$3)),""))</f>
        <v/>
      </c>
      <c r="HJ10" s="152">
        <f>IF($EL10="","",IFERROR(IF((INDEX($FJ10:$FN10,1,MATCH(VLOOKUP($EL10,$BZ$2:$CA$24,2,FALSE),$BT$2:$BT$6,0))+$CW$3)&gt;=0,"+","−")&amp;ABS((INDEX($FJ10:$FN10,1,MATCH(VLOOKUP($EL10,$BZ$2:$CA$24,2,FALSE),$BT$2:$BT$6,0))+$CW$3)),""))</f>
        <v/>
      </c>
      <c r="HK10" s="152">
        <f>IF($EM10="","",IFERROR(IF((INDEX($FJ10:$FN10,1,MATCH(VLOOKUP($EM10,$BZ$2:$CA$24,2,FALSE),$BT$2:$BT$6,0))+$CW$3)&gt;=0,"+","−")&amp;ABS((INDEX($FJ10:$FN10,1,MATCH(VLOOKUP($EM10,$BZ$2:$CA$24,2,FALSE),$BT$2:$BT$6,0))+$CW$3)),""))</f>
        <v/>
      </c>
      <c r="HL10" s="152">
        <f>IF($EN10="","",IFERROR(IF((INDEX($FJ10:$FN10,1,MATCH(VLOOKUP($EN10,$BZ$2:$CA$24,2,FALSE),$BT$2:$BT$6,0))+$CW$3)&gt;=0,"+","−")&amp;ABS((INDEX($FJ10:$FN10,1,MATCH(VLOOKUP($EN10,$BZ$2:$CA$24,2,FALSE),$BT$2:$BT$6,0))+$CW$3)),""))</f>
        <v/>
      </c>
      <c r="HM10" s="152">
        <f>IF($EO10="","",IFERROR(IF((INDEX($FJ10:$FN10,1,MATCH(VLOOKUP($EO10,$BZ$2:$CA$24,2,FALSE),$BT$2:$BT$6,0))+$CW$3)&gt;=0,"+","−")&amp;ABS((INDEX($FJ10:$FN10,1,MATCH(VLOOKUP($EO10,$BZ$2:$CA$24,2,FALSE),$BT$2:$BT$6,0))+$CW$3)),""))</f>
        <v/>
      </c>
      <c r="HN10" s="152">
        <f>IF($DA10="Maldição domada","RESERVA · MÁX. "&amp;$GN10,"RESERVA DE PE")</f>
        <v/>
      </c>
      <c r="HO10" s="152">
        <f>"EQUIPAMENTO · CARGA ATÉ "&amp;$GO10&amp;" DE VOLUME"</f>
        <v/>
      </c>
      <c r="HP10" s="152">
        <f>IF(OR($GQ10&gt;0,$GP10&gt;$GR10),"⚠ ","")&amp;"FAMÍLIAS · "&amp;$GP10&amp;" ABERTAS"&amp;IF($GQ10&gt;0," · REPETIDA","")&amp;IF($GP10&gt;$GR10," · O LIMITE É "&amp;$GR10,"")</f>
        <v/>
      </c>
      <c r="HQ10" s="152">
        <f>"HABILIDADES · básica de "&amp;$FI10&amp;"d6 · "&amp;$GH10&amp;IF($GH10&gt;1," espaços"," espaço")&amp;" de especial até a Classe "&amp;$FH10&amp;" · "&amp;$GJ10&amp;IF($GJ10&gt;1," talentos"," talento")</f>
        <v/>
      </c>
      <c r="HR10" s="152">
        <f>IF($GK10&gt;$GJ10,"⚠ ","")&amp;"TALENTOS · "&amp;$GK10&amp;" DE "&amp;$GJ10</f>
        <v/>
      </c>
      <c r="HS10" s="152">
        <f>IFERROR(VLOOKUP($EP10,$BH$2:$BK$15,2,FALSE),0)</f>
        <v/>
      </c>
      <c r="HT10" s="152">
        <f>IFERROR(VLOOKUP($EQ10,$BH$2:$BK$15,2,FALSE),0)</f>
        <v/>
      </c>
      <c r="HU10" s="152">
        <f>IFERROR(VLOOKUP($ER10,$BH$2:$BK$15,2,FALSE),0)</f>
        <v/>
      </c>
      <c r="HV10" s="152">
        <f>IFERROR(VLOOKUP($ES10,$BH$2:$BK$15,2,FALSE),0)</f>
        <v/>
      </c>
      <c r="HW10" s="152">
        <f>IFERROR(VLOOKUP($ET10,$BH$2:$BK$15,2,FALSE),0)</f>
        <v/>
      </c>
      <c r="HX10" s="152">
        <f>IFERROR(VLOOKUP($EU10,$BH$2:$BK$15,2,FALSE),0)</f>
        <v/>
      </c>
      <c r="HY10" s="152">
        <f>IFERROR(VLOOKUP($EV10,$BH$2:$BK$15,2,FALSE),0)</f>
        <v/>
      </c>
      <c r="HZ10" s="152">
        <f>IFERROR(VLOOKUP($EW10,$BH$2:$BK$15,2,FALSE),0)</f>
        <v/>
      </c>
      <c r="IA10" s="152">
        <f>IF($EP10="","",IF(1&gt;$FG10,"⚠ Este talento abre no nível 1",IF($HS10&gt;1,"⚠ Categoria "&amp;$HS10&amp;": este ganho vai até a 1 · ","")&amp;IFERROR(VLOOKUP($EP10,$BH$2:$BK$15,3,FALSE),"")))</f>
        <v/>
      </c>
      <c r="IB10" s="152">
        <f>IF($EQ10="","",IF(6&gt;$FG10,"⚠ Este talento abre no nível 6",IF($HT10&gt;1,"⚠ Categoria "&amp;$HT10&amp;": este ganho vai até a 1 · ","")&amp;IFERROR(VLOOKUP($EQ10,$BH$2:$BK$15,3,FALSE),"")))</f>
        <v/>
      </c>
      <c r="IC10" s="152">
        <f>IF($ER10="","",IF(10&gt;$FG10,"⚠ Este talento abre no nível 10",IF($HU10&gt;2,"⚠ Categoria "&amp;$HU10&amp;": este ganho vai até a 2 · ","")&amp;IFERROR(VLOOKUP($ER10,$BH$2:$BK$15,3,FALSE),"")))</f>
        <v/>
      </c>
      <c r="ID10" s="152">
        <f>IF($ES10="","",IF(14&gt;$FG10,"⚠ Este talento abre no nível 14",IF($HV10&gt;3,"⚠ Categoria "&amp;$HV10&amp;": este ganho vai até a 3 · ","")&amp;IFERROR(VLOOKUP($ES10,$BH$2:$BK$15,3,FALSE),"")))</f>
        <v/>
      </c>
      <c r="IE10" s="152">
        <f>IF($ET10="","",IF(18&gt;$FG10,"⚠ Este talento abre no nível 18",IF($HW10&gt;3,"⚠ Categoria "&amp;$HW10&amp;": este ganho vai até a 3 · ","")&amp;IFERROR(VLOOKUP($ET10,$BH$2:$BK$15,3,FALSE),"")))</f>
        <v/>
      </c>
      <c r="IF10" s="152">
        <f>IF($EU10="","",IF(22&gt;$FG10,"⚠ Este talento abre no nível 22",IF($HX10&gt;3,"⚠ Categoria "&amp;$HX10&amp;": este ganho vai até a 3 · ","")&amp;IFERROR(VLOOKUP($EU10,$BH$2:$BK$15,3,FALSE),"")))</f>
        <v/>
      </c>
      <c r="IG10" s="152">
        <f>IF($EV10="","",IF(26&gt;$FG10,"⚠ Este talento abre no nível 26",IF($HY10&gt;3,"⚠ Categoria "&amp;$HY10&amp;": este ganho vai até a 3 · ","")&amp;IFERROR(VLOOKUP($EV10,$BH$2:$BK$15,3,FALSE),"")))</f>
        <v/>
      </c>
      <c r="IH10" s="152">
        <f>IF($EW10="","",IF(30&gt;$FG10,"⚠ Este talento abre no nível 30",IF($HZ10&gt;3,"⚠ Categoria "&amp;$HZ10&amp;": este ganho vai até a 3 · ","")&amp;IFERROR(VLOOKUP($EW10,$BH$2:$BK$15,3,FALSE),"")))</f>
        <v/>
      </c>
      <c r="II10" s="152">
        <f>IF($EX10="","",IFERROR(VLOOKUP($EX10,$BH$2:$BK$15,3,FALSE),""))</f>
        <v/>
      </c>
      <c r="IJ10" s="152">
        <f>IF($EY10="","",IFERROR(VLOOKUP($EY10,$BH$2:$BK$15,3,FALSE),""))</f>
        <v/>
      </c>
      <c r="IK10" s="152">
        <f>IF($EZ10="","",IFERROR(VLOOKUP($EZ10,$BH$2:$BK$15,3,FALSE),""))</f>
        <v/>
      </c>
      <c r="IL10" s="152">
        <f>CEILING(4.5*$FA10,1)&amp;" PE"</f>
        <v/>
      </c>
      <c r="IM10" s="152">
        <f>CEILING(4.5*$FB10,1)&amp;" PE"</f>
        <v/>
      </c>
      <c r="IN10" s="152">
        <f>CEILING(4.5*$FC10,1)&amp;" PE"</f>
        <v/>
      </c>
      <c r="IO10" s="152">
        <f>INDEX($P$2:$P$8,$FA10)&amp;" pontos + "&amp;$FA10&amp;"d8"</f>
        <v/>
      </c>
      <c r="IP10" s="152">
        <f>INDEX($P$2:$P$8,$FB10)&amp;" pontos + "&amp;$FB10&amp;"d8"</f>
        <v/>
      </c>
      <c r="IQ10" s="152">
        <f>INDEX($P$2:$P$8,$FC10)&amp;" pontos + "&amp;$FC10&amp;"d8"</f>
        <v/>
      </c>
      <c r="IR10" s="152">
        <f>IF($FG10&lt;17,"—",VLOOKUP($FG10,$CK$2:$CN$4,4,TRUE)&amp;" PE")</f>
        <v/>
      </c>
      <c r="IS10" s="152">
        <f>IF($FG10&lt;17,"Abre no nível 17",VLOOKUP($FG10,$CK$2:$CN$4,2,TRUE)&amp;" fixos · "&amp;VLOOKUP($FG10,$CK$2:$CN$4,3,TRUE)&amp;" pontos")</f>
        <v/>
      </c>
      <c r="IT10" s="152">
        <f>IF($FD10="Sem Barreiras",7,6)*$FH10&amp;" PE"</f>
        <v/>
      </c>
      <c r="IU10" s="152">
        <f>"Acerto "&amp;$FH10&amp;"d8"</f>
        <v/>
      </c>
      <c r="IV10" s="152">
        <f>IFERROR(VLOOKUP($FD10,$CP$2:$CR$4,3,FALSE),"Escolha o degrau")</f>
        <v/>
      </c>
      <c r="IW10" s="152">
        <f>9&amp;" · "&amp;IF($FE10=0,"vazia",$CZ10&amp;" · nv "&amp;$FG10&amp;" · "&amp;$FY10&amp;"/"&amp;$FX10)</f>
        <v/>
      </c>
      <c r="IY10" s="150" t="inlineStr">
        <is>
          <t>Invocação 9</t>
        </is>
      </c>
      <c r="IZ10" s="152">
        <f>ADDRESS(ROW('INVOCAÇÕES'!D29),COLUMN('INVOCAÇÕES'!D29),4)</f>
        <v/>
      </c>
      <c r="JA10" s="152">
        <f>ADDRESS(ROW('INVOCAÇÕES'!AA405),COLUMN('INVOCAÇÕES'!AA405),4)</f>
        <v/>
      </c>
      <c r="JB10" s="150" t="inlineStr">
        <is>
          <t>DADOS_INVOC!$IW$10</t>
        </is>
      </c>
      <c r="JD10" s="152">
        <f>IF(OR($AW10="",COUNTIF($ED$2:$EH$2,$AW10)&gt;0),$AV10,"")</f>
        <v/>
      </c>
      <c r="JE10" s="152">
        <f>IF(AND($AX10=1,OR($AW10="",COUNTIF($ED$2:$EH$2,$AW10)&gt;0)),$AV10,"")</f>
        <v/>
      </c>
      <c r="JG10" s="152">
        <f>IF(OR($W10="",COUNTIF($ED$2:$EH$2,$W10)&gt;0),$V10,"")</f>
        <v/>
      </c>
      <c r="JH10" s="152">
        <f>IF(AND($AF10=1,OR($W10="",COUNTIF($ED$2:$EH$2,$W10)&gt;0)),$V10,"")</f>
        <v/>
      </c>
      <c r="JJ10" s="152">
        <f>IF(OR($AW10="",COUNTIF($ED$3:$EH$3,$AW10)&gt;0),$AV10,"")</f>
        <v/>
      </c>
      <c r="JK10" s="152">
        <f>IF(AND($AX10=1,OR($AW10="",COUNTIF($ED$3:$EH$3,$AW10)&gt;0)),$AV10,"")</f>
        <v/>
      </c>
      <c r="JM10" s="152">
        <f>IF(OR($W10="",COUNTIF($ED$3:$EH$3,$W10)&gt;0),$V10,"")</f>
        <v/>
      </c>
      <c r="JN10" s="152">
        <f>IF(AND($AF10=1,OR($W10="",COUNTIF($ED$3:$EH$3,$W10)&gt;0)),$V10,"")</f>
        <v/>
      </c>
      <c r="JP10" s="152">
        <f>IF(OR($AW10="",COUNTIF($ED$4:$EH$4,$AW10)&gt;0),$AV10,"")</f>
        <v/>
      </c>
      <c r="JQ10" s="152">
        <f>IF(AND($AX10=1,OR($AW10="",COUNTIF($ED$4:$EH$4,$AW10)&gt;0)),$AV10,"")</f>
        <v/>
      </c>
      <c r="JS10" s="152">
        <f>IF(OR($W10="",COUNTIF($ED$4:$EH$4,$W10)&gt;0),$V10,"")</f>
        <v/>
      </c>
      <c r="JT10" s="152">
        <f>IF(AND($AF10=1,OR($W10="",COUNTIF($ED$4:$EH$4,$W10)&gt;0)),$V10,"")</f>
        <v/>
      </c>
      <c r="JV10" s="152">
        <f>IF(OR($AW10="",COUNTIF($ED$5:$EH$5,$AW10)&gt;0),$AV10,"")</f>
        <v/>
      </c>
      <c r="JW10" s="152">
        <f>IF(AND($AX10=1,OR($AW10="",COUNTIF($ED$5:$EH$5,$AW10)&gt;0)),$AV10,"")</f>
        <v/>
      </c>
      <c r="JY10" s="152">
        <f>IF(OR($W10="",COUNTIF($ED$5:$EH$5,$W10)&gt;0),$V10,"")</f>
        <v/>
      </c>
      <c r="JZ10" s="152">
        <f>IF(AND($AF10=1,OR($W10="",COUNTIF($ED$5:$EH$5,$W10)&gt;0)),$V10,"")</f>
        <v/>
      </c>
      <c r="KB10" s="152">
        <f>IF(OR($AW10="",COUNTIF($ED$6:$EH$6,$AW10)&gt;0),$AV10,"")</f>
        <v/>
      </c>
      <c r="KC10" s="152">
        <f>IF(AND($AX10=1,OR($AW10="",COUNTIF($ED$6:$EH$6,$AW10)&gt;0)),$AV10,"")</f>
        <v/>
      </c>
      <c r="KE10" s="152">
        <f>IF(OR($W10="",COUNTIF($ED$6:$EH$6,$W10)&gt;0),$V10,"")</f>
        <v/>
      </c>
      <c r="KF10" s="152">
        <f>IF(AND($AF10=1,OR($W10="",COUNTIF($ED$6:$EH$6,$W10)&gt;0)),$V10,"")</f>
        <v/>
      </c>
      <c r="KH10" s="152">
        <f>IF(OR($AW10="",COUNTIF($ED$7:$EH$7,$AW10)&gt;0),$AV10,"")</f>
        <v/>
      </c>
      <c r="KI10" s="152">
        <f>IF(AND($AX10=1,OR($AW10="",COUNTIF($ED$7:$EH$7,$AW10)&gt;0)),$AV10,"")</f>
        <v/>
      </c>
      <c r="KK10" s="152">
        <f>IF(OR($W10="",COUNTIF($ED$7:$EH$7,$W10)&gt;0),$V10,"")</f>
        <v/>
      </c>
      <c r="KL10" s="152">
        <f>IF(AND($AF10=1,OR($W10="",COUNTIF($ED$7:$EH$7,$W10)&gt;0)),$V10,"")</f>
        <v/>
      </c>
      <c r="KN10" s="152">
        <f>IF(OR($AW10="",COUNTIF($ED$8:$EH$8,$AW10)&gt;0),$AV10,"")</f>
        <v/>
      </c>
      <c r="KO10" s="152">
        <f>IF(AND($AX10=1,OR($AW10="",COUNTIF($ED$8:$EH$8,$AW10)&gt;0)),$AV10,"")</f>
        <v/>
      </c>
      <c r="KQ10" s="152">
        <f>IF(OR($W10="",COUNTIF($ED$8:$EH$8,$W10)&gt;0),$V10,"")</f>
        <v/>
      </c>
      <c r="KR10" s="152">
        <f>IF(AND($AF10=1,OR($W10="",COUNTIF($ED$8:$EH$8,$W10)&gt;0)),$V10,"")</f>
        <v/>
      </c>
      <c r="KT10" s="152">
        <f>IF(OR($AW10="",COUNTIF($ED$9:$EH$9,$AW10)&gt;0),$AV10,"")</f>
        <v/>
      </c>
      <c r="KU10" s="152">
        <f>IF(AND($AX10=1,OR($AW10="",COUNTIF($ED$9:$EH$9,$AW10)&gt;0)),$AV10,"")</f>
        <v/>
      </c>
      <c r="KW10" s="152">
        <f>IF(OR($W10="",COUNTIF($ED$9:$EH$9,$W10)&gt;0),$V10,"")</f>
        <v/>
      </c>
      <c r="KX10" s="152">
        <f>IF(AND($AF10=1,OR($W10="",COUNTIF($ED$9:$EH$9,$W10)&gt;0)),$V10,"")</f>
        <v/>
      </c>
      <c r="KZ10" s="152">
        <f>IF(OR($AW10="",COUNTIF($ED$10:$EH$10,$AW10)&gt;0),$AV10,"")</f>
        <v/>
      </c>
      <c r="LA10" s="152">
        <f>IF(AND($AX10=1,OR($AW10="",COUNTIF($ED$10:$EH$10,$AW10)&gt;0)),$AV10,"")</f>
        <v/>
      </c>
      <c r="LC10" s="152">
        <f>IF(OR($W10="",COUNTIF($ED$10:$EH$10,$W10)&gt;0),$V10,"")</f>
        <v/>
      </c>
      <c r="LD10" s="152">
        <f>IF(AND($AF10=1,OR($W10="",COUNTIF($ED$10:$EH$10,$W10)&gt;0)),$V10,"")</f>
        <v/>
      </c>
      <c r="LF10" s="152">
        <f>IF(OR($AW10="",COUNTIF($ED$11:$EH$11,$AW10)&gt;0),$AV10,"")</f>
        <v/>
      </c>
      <c r="LG10" s="152">
        <f>IF(AND($AX10=1,OR($AW10="",COUNTIF($ED$11:$EH$11,$AW10)&gt;0)),$AV10,"")</f>
        <v/>
      </c>
      <c r="LI10" s="152">
        <f>IF(OR($W10="",COUNTIF($ED$11:$EH$11,$W10)&gt;0),$V10,"")</f>
        <v/>
      </c>
      <c r="LJ10" s="152">
        <f>IF(AND($AF10=1,OR($W10="",COUNTIF($ED$11:$EH$11,$W10)&gt;0)),$V10,"")</f>
        <v/>
      </c>
      <c r="LL10" s="152">
        <f>IF(OR($AW10="",COUNTIF($ED$12:$EH$12,$AW10)&gt;0),$AV10,"")</f>
        <v/>
      </c>
      <c r="LM10" s="152">
        <f>IF(AND($AX10=1,OR($AW10="",COUNTIF($ED$12:$EH$12,$AW10)&gt;0)),$AV10,"")</f>
        <v/>
      </c>
      <c r="LO10" s="152">
        <f>IF(OR($W10="",COUNTIF($ED$12:$EH$12,$W10)&gt;0),$V10,"")</f>
        <v/>
      </c>
      <c r="LP10" s="152">
        <f>IF(AND($AF10=1,OR($W10="",COUNTIF($ED$12:$EH$12,$W10)&gt;0)),$V10,"")</f>
        <v/>
      </c>
      <c r="LR10" s="152">
        <f>IF(OR($AW10="",COUNTIF($ED$13:$EH$13,$AW10)&gt;0),$AV10,"")</f>
        <v/>
      </c>
      <c r="LS10" s="152">
        <f>IF(AND($AX10=1,OR($AW10="",COUNTIF($ED$13:$EH$13,$AW10)&gt;0)),$AV10,"")</f>
        <v/>
      </c>
      <c r="LU10" s="152">
        <f>IF(OR($W10="",COUNTIF($ED$13:$EH$13,$W10)&gt;0),$V10,"")</f>
        <v/>
      </c>
      <c r="LV10" s="152">
        <f>IF(AND($AF10=1,OR($W10="",COUNTIF($ED$13:$EH$13,$W10)&gt;0)),$V10,"")</f>
        <v/>
      </c>
      <c r="LX10" s="150" t="inlineStr">
        <is>
          <t>Ficha 1 · Especial 7</t>
        </is>
      </c>
      <c r="LY10" s="152" t="n">
        <v>1</v>
      </c>
      <c r="LZ10" s="152" t="n">
        <v>1</v>
      </c>
      <c r="MA10" s="152" t="n">
        <v>24</v>
      </c>
      <c r="MB10" s="150" t="inlineStr">
        <is>
          <t>ESPECIAL 7</t>
        </is>
      </c>
      <c r="MC10" s="152">
        <f>MAX(1,MIN(7,N('INVOCAÇÕES'!$U$114)))</f>
        <v/>
      </c>
      <c r="MD10" s="152">
        <f>'INVOCAÇÕES'!$V$114&amp;""</f>
        <v/>
      </c>
      <c r="ME10" s="152">
        <f>'INVOCAÇÕES'!$U$119&amp;""</f>
        <v/>
      </c>
      <c r="MF10" s="152">
        <f>'INVOCAÇÕES'!$U$120&amp;""</f>
        <v/>
      </c>
      <c r="MG10" s="152">
        <f>'INVOCAÇÕES'!$W$120&amp;""</f>
        <v/>
      </c>
      <c r="MH10" s="152">
        <f>'INVOCAÇÕES'!$V$123&amp;""</f>
        <v/>
      </c>
      <c r="MI10" s="152">
        <f>'INVOCAÇÕES'!$V$124&amp;""</f>
        <v/>
      </c>
      <c r="MJ10" s="152">
        <f>'INVOCAÇÕES'!$V$125&amp;""</f>
        <v/>
      </c>
      <c r="MK10" s="152">
        <f>'INVOCAÇÕES'!$V$126&amp;""</f>
        <v/>
      </c>
      <c r="ML10" s="152">
        <f>'INVOCAÇÕES'!$V$127&amp;""</f>
        <v/>
      </c>
      <c r="MM10" s="152">
        <f>'INVOCAÇÕES'!$V$128&amp;""</f>
        <v/>
      </c>
      <c r="MN10" s="152">
        <f>IF($MD10&lt;&gt;"",1,0)</f>
        <v/>
      </c>
      <c r="MO10" s="152">
        <f>INDEX($FG$2:$FG$13,$LY10)</f>
        <v/>
      </c>
      <c r="MP10" s="152">
        <f>INDEX($FH$2:$FH$13,$LY10)</f>
        <v/>
      </c>
      <c r="MQ10" s="152">
        <f>INDEX($FI$2:$FI$13,$LY10)</f>
        <v/>
      </c>
      <c r="MR10" s="152">
        <f>INDEX($FT$2:$FT$13,$LY10)</f>
        <v/>
      </c>
      <c r="MS10" s="152">
        <f>INDEX($FU$2:$FU$13,$LY10)</f>
        <v/>
      </c>
      <c r="MT10" s="152">
        <f>IFERROR(MATCH($ME10,$V$2:$V$11,0),0)</f>
        <v/>
      </c>
      <c r="MU10" s="152">
        <f>IFERROR(VLOOKUP($MH10,$AV$2:$AZ$84,2,FALSE),"")</f>
        <v/>
      </c>
      <c r="MV10" s="152">
        <f>IFERROR(VLOOKUP($MI10,$AV$2:$AZ$84,2,FALSE),"")</f>
        <v/>
      </c>
      <c r="MW10" s="152">
        <f>IFERROR(VLOOKUP($MJ10,$AV$2:$AZ$84,2,FALSE),"")</f>
        <v/>
      </c>
      <c r="MX10" s="152">
        <f>IFERROR(VLOOKUP($MK10,$AV$2:$AZ$84,2,FALSE),"")</f>
        <v/>
      </c>
      <c r="MY10" s="152">
        <f>IFERROR(VLOOKUP($MH10,$AV$2:$AZ$84,3,FALSE),0)</f>
        <v/>
      </c>
      <c r="MZ10" s="152">
        <f>IFERROR(VLOOKUP($MI10,$AV$2:$AZ$84,3,FALSE),0)</f>
        <v/>
      </c>
      <c r="NA10" s="152">
        <f>IFERROR(VLOOKUP($MJ10,$AV$2:$AZ$84,3,FALSE),0)</f>
        <v/>
      </c>
      <c r="NB10" s="152">
        <f>IFERROR(VLOOKUP($MK10,$AV$2:$AZ$84,3,FALSE),0)</f>
        <v/>
      </c>
      <c r="NC10" s="152">
        <f>IF($MC10=0,0,IF($MT10=0,0,INDEX($X$2:$X$11,$MT10)))</f>
        <v/>
      </c>
      <c r="ND10" s="152">
        <f>IF(OR($MY10=0,$MC10=0),0,$MY10+3*IF(AND($MU10&lt;&gt;"",OR($MU10=INDEX($ED$2:$ED$13,$LY10),$MU10=INDEX($EE$2:$EE$13,$LY10))),1,0))</f>
        <v/>
      </c>
      <c r="NE10" s="152">
        <f>IF(OR($MZ10=0,$MC10=0),0,$MZ10+3*IF(AND($MV10&lt;&gt;"",OR($MV10=INDEX($ED$2:$ED$13,$LY10),$MV10=INDEX($EE$2:$EE$13,$LY10))),1,0))</f>
        <v/>
      </c>
      <c r="NF10" s="152">
        <f>IF(OR($NA10=0,$MC10=0),0,$NA10+3*IF(AND($MW10&lt;&gt;"",OR($MW10=INDEX($ED$2:$ED$13,$LY10),$MW10=INDEX($EE$2:$EE$13,$LY10))),1,0))</f>
        <v/>
      </c>
      <c r="NG10" s="152">
        <f>IF(OR($NB10=0,$MC10=0),0,$NB10+3*IF(AND($MX10&lt;&gt;"",OR($MX10=INDEX($ED$2:$ED$13,$LY10),$MX10=INDEX($EE$2:$EE$13,$LY10))),1,0))</f>
        <v/>
      </c>
      <c r="NH10" s="152">
        <f>IF($MT10=0,0,IF(INDEX($W$2:$W$11,$MT10)="",0,IF(COUNTIF(INDEX($ED$2:$EH$13,$LY10,0),INDEX($W$2:$W$11,$MT10))=0,1,0)))</f>
        <v/>
      </c>
      <c r="NI10" s="152">
        <f>IF(OR($MY10=0,$MU10=""),0,IF(COUNTIF(INDEX($ED$2:$EH$13,$LY10,0),$MU10)=0,1,0))</f>
        <v/>
      </c>
      <c r="NJ10" s="152">
        <f>IF(OR($MZ10=0,$MV10=""),0,IF(COUNTIF(INDEX($ED$2:$EH$13,$LY10,0),$MV10)=0,1,0))</f>
        <v/>
      </c>
      <c r="NK10" s="152">
        <f>IF(OR($NA10=0,$MW10=""),0,IF(COUNTIF(INDEX($ED$2:$EH$13,$LY10,0),$MW10)=0,1,0))</f>
        <v/>
      </c>
      <c r="NL10" s="152">
        <f>IF(OR($NB10=0,$MX10=""),0,IF(COUNTIF(INDEX($ED$2:$EH$13,$LY10,0),$MX10)=0,1,0))</f>
        <v/>
      </c>
      <c r="NM10" s="152">
        <f>IFERROR(VLOOKUP($MH10,$AV$2:$AZ$84,4,FALSE),0)+IFERROR(VLOOKUP($MI10,$AV$2:$AZ$84,4,FALSE),0)+IFERROR(VLOOKUP($MJ10,$AV$2:$AZ$84,4,FALSE),0)+IFERROR(VLOOKUP($MK10,$AV$2:$AZ$84,4,FALSE),0)</f>
        <v/>
      </c>
      <c r="NN10" s="152">
        <f>TEXTJOIN(", ",TRUE,IF(IFERROR(VLOOKUP($MH10,$AV$2:$AZ$84,5,FALSE),0)=1,$MH10,""),IF(IFERROR(VLOOKUP($MI10,$AV$2:$AZ$84,5,FALSE),0)=1,$MI10,""),IF(IFERROR(VLOOKUP($MJ10,$AV$2:$AZ$84,5,FALSE),0)=1,$MJ10,""),IF(IFERROR(VLOOKUP($MK10,$AV$2:$AZ$84,5,FALSE),0)=1,$MK10,""))</f>
        <v/>
      </c>
      <c r="NO10" s="152">
        <f>IF($MT10=0,0,INDEX($Y$2:$Y$11,$MT10))</f>
        <v/>
      </c>
      <c r="NP10" s="152">
        <f>IF($MT10=0,0,INDEX($Z$2:$Z$11,$MT10))</f>
        <v/>
      </c>
      <c r="NQ10" s="152">
        <f>IF($MT10=0,0,INDEX($AB$2:$AB$11,$MT10))</f>
        <v/>
      </c>
      <c r="NR10" s="152">
        <f>IFERROR(VLOOKUP($ML10,$BB$2:$BF$24,3,FALSE),0)</f>
        <v/>
      </c>
      <c r="NS10" s="152">
        <f>IFERROR(VLOOKUP($MM10,$BB$2:$BF$24,3,FALSE),0)</f>
        <v/>
      </c>
      <c r="NT10" s="152">
        <f>IFERROR(VLOOKUP($ML10,$BB$2:$BF$24,2,FALSE),"")</f>
        <v/>
      </c>
      <c r="NU10" s="152">
        <f>IFERROR(VLOOKUP($MM10,$BB$2:$BF$24,2,FALSE),"")</f>
        <v/>
      </c>
      <c r="NV10" s="152">
        <f>COUNTIF($NC10:$NG10,1)</f>
        <v/>
      </c>
      <c r="NW10" s="152">
        <f>COUNTIF($NC10:$NG10,2)</f>
        <v/>
      </c>
      <c r="NX10" s="152">
        <f>COUNTIF($NC10:$NG10,3)</f>
        <v/>
      </c>
      <c r="NY10" s="152">
        <f>COUNTIF($NC10:$NG10,4)</f>
        <v/>
      </c>
      <c r="NZ10" s="152">
        <f>COUNTIF($NC10:$NG10,5)</f>
        <v/>
      </c>
      <c r="OA10" s="152">
        <f>COUNTIF($NC10:$NG10,6)</f>
        <v/>
      </c>
      <c r="OB10" s="152">
        <f>COUNTIF($NR10:$NS10,1)</f>
        <v/>
      </c>
      <c r="OC10" s="152">
        <f>COUNTIF($NR10:$NS10,2)+$NO10</f>
        <v/>
      </c>
      <c r="OD10" s="152">
        <f>COUNTIF($MH10:$MK10,"?*")</f>
        <v/>
      </c>
      <c r="OE10" s="152">
        <f>COUNTIF($ML10:$MM10,"?*")+$NO10</f>
        <v/>
      </c>
      <c r="OF10" s="152">
        <f>IF($MC10=0,0,SUMPRODUCT($NV10:$OA10,INDEX($I$2:$N$8,MAX(1,$MC10),0)))</f>
        <v/>
      </c>
      <c r="OG10" s="152">
        <f>IF($MC10=0,0,$OB10*CEILING($MC10/2,1)+$OC10*$MC10)</f>
        <v/>
      </c>
      <c r="OH10" s="152">
        <f>MIN(2*$MC10,$OG10)</f>
        <v/>
      </c>
      <c r="OI10" s="152">
        <f>MIN($OH10,$OF10)</f>
        <v/>
      </c>
      <c r="OJ10" s="152">
        <f>$OH10-$OI10</f>
        <v/>
      </c>
      <c r="OK10" s="152">
        <f>IF($MC10=0,0,INDEX($P$2:$P$8,MAX(1,$MC10)))</f>
        <v/>
      </c>
      <c r="OL10" s="152">
        <f>$OK10-$OF10+$OI10</f>
        <v/>
      </c>
      <c r="OM10" s="152">
        <f>IF($MC10=0,MAX(0,$MQ10-IF($OD10&gt;0,1,0)),MAX(0,$OL10))</f>
        <v/>
      </c>
      <c r="ON10" s="152">
        <f>IF($MC10=0,0,(IF(COUNTIF($MH10:$MK10,"Salto")&gt;0,1,0)+IF(COUNTIF($MH10:$MK10,"Queima")&gt;0,1,0)+IF(COUNTIF($MH10:$MK10,"Estilhaço")&gt;0,1,0))*FLOOR($OM10/2,1))</f>
        <v/>
      </c>
      <c r="OO10" s="152">
        <f>MAX(0,2-SUMPRODUCT($NV10:$OA10,$I$2:$N$2)+MIN(2,$OB10*1+$OC10*1,SUMPRODUCT($NV10:$OA10,$I$2:$N$2)))</f>
        <v/>
      </c>
      <c r="OP10" s="152">
        <f>MAX(0,4-SUMPRODUCT($NV10:$OA10,$I$3:$N$3)+MIN(4,$OB10*1+$OC10*2,SUMPRODUCT($NV10:$OA10,$I$3:$N$3)))</f>
        <v/>
      </c>
      <c r="OQ10" s="152">
        <f>MAX(0,6-SUMPRODUCT($NV10:$OA10,$I$4:$N$4)+MIN(6,$OB10*2+$OC10*3,SUMPRODUCT($NV10:$OA10,$I$4:$N$4)))</f>
        <v/>
      </c>
      <c r="OR10" s="152">
        <f>MAX(0,9-SUMPRODUCT($NV10:$OA10,$I$5:$N$5)+MIN(8,$OB10*2+$OC10*4,SUMPRODUCT($NV10:$OA10,$I$5:$N$5)))</f>
        <v/>
      </c>
      <c r="OS10" s="152">
        <f>MAX(0,11-SUMPRODUCT($NV10:$OA10,$I$6:$N$6)+MIN(10,$OB10*3+$OC10*5,SUMPRODUCT($NV10:$OA10,$I$6:$N$6)))</f>
        <v/>
      </c>
      <c r="OT10" s="152">
        <f>MAX(0,13-SUMPRODUCT($NV10:$OA10,$I$7:$N$7)+MIN(12,$OB10*3+$OC10*6,SUMPRODUCT($NV10:$OA10,$I$7:$N$7)))</f>
        <v/>
      </c>
      <c r="OU10" s="152">
        <f>MAX(0,16-SUMPRODUCT($NV10:$OA10,$I$8:$N$8)+MIN(14,$OB10*4+$OC10*7,SUMPRODUCT($NV10:$OA10,$I$8:$N$8)))</f>
        <v/>
      </c>
      <c r="OV10" s="152">
        <f>IF($NP10=2,3*$OO10&amp;" de vida temp.",IF($NP10=3,"sem dano",IF($OO10=0,IF($NP10=1,"sem cura","sem dano"),IF($NP10=1,"cura ","")&amp;$OO10&amp;"d8")))</f>
        <v/>
      </c>
      <c r="OW10" s="152">
        <f>IF($NP10=2,3*$OP10&amp;" de vida temp.",IF($NP10=3,"sem dano",IF($OP10=0,IF($NP10=1,"sem cura","sem dano"),IF($NP10=1,"cura ","")&amp;$OP10&amp;"d8")))</f>
        <v/>
      </c>
      <c r="OX10" s="152">
        <f>IF($NP10=2,3*$OQ10&amp;" de vida temp.",IF($NP10=3,"sem dano",IF($OQ10=0,IF($NP10=1,"sem cura","sem dano"),IF($NP10=1,"cura ","")&amp;$OQ10&amp;"d8")))</f>
        <v/>
      </c>
      <c r="OY10" s="152">
        <f>IF($NP10=2,3*$OR10&amp;" de vida temp.",IF($NP10=3,"sem dano",IF($OR10=0,IF($NP10=1,"sem cura","sem dano"),IF($NP10=1,"cura ","")&amp;$OR10&amp;"d8")))</f>
        <v/>
      </c>
      <c r="OZ10" s="152">
        <f>IF($NP10=2,3*$OS10&amp;" de vida temp.",IF($NP10=3,"sem dano",IF($OS10=0,IF($NP10=1,"sem cura","sem dano"),IF($NP10=1,"cura ","")&amp;$OS10&amp;"d8")))</f>
        <v/>
      </c>
      <c r="PA10" s="152">
        <f>IF($NP10=2,3*$OT10&amp;" de vida temp.",IF($NP10=3,"sem dano",IF($OT10=0,IF($NP10=1,"sem cura","sem dano"),IF($NP10=1,"cura ","")&amp;$OT10&amp;"d8")))</f>
        <v/>
      </c>
      <c r="PB10" s="152">
        <f>IF($NP10=2,3*$OU10&amp;" de vida temp.",IF($NP10=3,"sem dano",IF($OU10=0,IF($NP10=1,"sem cura","sem dano"),IF($NP10=1,"cura ","")&amp;$OU10&amp;"d8")))</f>
        <v/>
      </c>
      <c r="PC10" s="152">
        <f>IF($MN10=0,"",TEXTJOIN(" · ",TRUE,IF($MA10&gt;$MO10,"Este lugar abre no nível "&amp;$MA10,""),IF($MC10&gt;$MP10,"Classe "&amp;$MC10&amp;": o nível "&amp;$MO10&amp;" libera até a "&amp;$MP10,""),IF($NH10=1,"A Forma "&amp;$ME10&amp;" pede "&amp;INDEX($W$2:$W$11,$MT10)&amp;" aberta",""),IF(AND($MC10=0,$MT10&gt;0,IF($MT10=0,0,INDEX($AF$2:$AF$11,$MT10))=0),$ME10&amp;" não existe na Classe 0",""),IF($NI10=1,"Família Fechada: "&amp;$MH10,""),IF($NJ10=1,"Família Fechada: "&amp;$MI10,""),IF($NK10=1,"Família Fechada: "&amp;$MJ10,""),IF($NL10=1,"Família Fechada: "&amp;$MK10,""),IF(AND($MC10&gt;0,$OD10&gt;INDEX($O$2:$O$8,MAX(1,$MC10))),$OD10&amp;" Melhorias: a Classe "&amp;$MC10&amp;" aceita "&amp;INDEX($O$2:$O$8,MAX(1,$MC10)),""),IF(AND($MC10=0,$OD10&gt;1),"A básica aceita uma Melhoria",""),IF(AND($MC10=0,COUNTIF($MY10:$NB10,"&gt;1")&gt;0),"A básica só aceita Melhoria Leve",""),IF(AND($MC10&gt;0,$OE10&gt;2),$OE10&amp;" Restrições"&amp;IF($NO10=1,", contando a que a Forma "&amp;$ME10&amp;" já traz","")&amp;": o limite é 2",""),IF(AND($MC10=0,COUNTIF($ML10:$MM10,"?*")&gt;1),"A básica aceita uma Restrição Leve",""),IF(AND($MC10=0,COUNTIF($NR10:$NS10,2)&gt;0),"A básica só aceita Restrição Leve",""),IF(AND($MC10&gt;0,$OL10&lt;0),"Orçamento estourado: faltam "&amp;(-$OL10)&amp;IF($OL10&lt;-1," pontos"," ponto"),""),IF(IFERROR(VLOOKUP($ML10,$BB$2:$BF$24,4,FALSE),0)+IFERROR(VLOOKUP($MM10,$BB$2:$BF$24,4,FALSE),0)&gt;1,$NT10&amp;" e "&amp;$NU10&amp;" são as duas de frequência",""),IF(AND((COUNTIF($MH10:$MK10,"Rápido")+COUNTIF($NT10:$NU10,"Rápido"))&gt;0,(COUNTIF($MH10:$MK10,"Atrasar")+COUNTIF($NT10:$NU10,"Atrasar"))&gt;0),"Rápido não entra com Atrasar",""),IF(AND((COUNTIF($MH10:$MK10,"Reação")+COUNTIF($NT10:$NU10,"Reação"))&gt;0,(COUNTIF($MH10:$MK10,"Rápido")+COUNTIF($NT10:$NU10,"Rápido"))&gt;0),"Reação não entra com Rápido",""),IF(AND((COUNTIF($MH10:$MK10,"Reação")+COUNTIF($NT10:$NU10,"Reação"))&gt;0,(COUNTIF($MH10:$MK10,"Armado")+COUNTIF($NT10:$NU10,"Armado"))&gt;0),"Reação não entra com Armado",""),IF(AND((COUNTIF($MH10:$MK10,"Reação")+COUNTIF($NT10:$NU10,"Reação"))&gt;0,(COUNTIF($MH10:$MK10,"Atrasar")+COUNTIF($NT10:$NU10,"Atrasar"))&gt;0),"Reação não entra com Atrasar",""),IF(AND((COUNTIF($MH10:$MK10,"Reação")+COUNTIF($NT10:$NU10,"Reação"))&gt;0,(COUNTIF($MH10:$MK10,"Parado")+COUNTIF($NT10:$NU10,"Parado"))&gt;0),"Reação não entra com Parado",""),IF(AND((COUNTIF($MH10:$MK10,"Atrasar")+COUNTIF($NT10:$NU10,"Atrasar"))&gt;0,(COUNTIF($MH10:$MK10,"Parado")+COUNTIF($NT10:$NU10,"Parado"))&gt;0),"Atrasar não entra com Parado",""),IF(AND((COUNTIF($MH10:$MK10,"Armado")+COUNTIF($NT10:$NU10,"Armado"))&gt;0,(COUNTIF($MH10:$MK10,"Carregar")+COUNTIF($NT10:$NU10,"Carregar"))&gt;0),"Armado não entra com Carregar",""),IF(AND(COUNTIF($NT10:$NU10,"Corpo a Corpo")&gt;0,$NO10=0,OR($ME10="Cone",$ME10="Linha")),"Corpo a Corpo não entra em "&amp;$ME10,""),IF(AND(COUNTIF($NT10:$NU10,"Corpo a Corpo")&gt;0,$NO10=1),"A Forma "&amp;$ME10&amp;" já traz o Corpo a Corpo",""),IF(AND(COUNTIF($NT10:$NU10,"Tudo ou Nada")&gt;0,$NQ10=0),"Tudo ou Nada só entra em habilidade de Teste de Resistência",""),IF(AND(COUNTIF($MH10:$MK10,"Inescapável")&gt;0,OR($OD10&gt;1,$OE10&gt;0)),"Inescapável não aceita outra peça",""),IF(AND($MC10&gt;0,$OM10*IF(COUNTIF($MH10:$MK10,"Remate")&gt;0,1.25,1)+$ON10&gt;4*$MC10),($OM10*IF(COUNTIF($MH10:$MK10,"Remate")&gt;0,1.25,1)+$ON10)&amp;" dados somando repetições"&amp;IF(COUNTIF($MH10:$MK10,"Remate")&gt;0," e o Remate","")&amp;": o teto da Classe "&amp;$MC10&amp;" é "&amp;4*$MC10,"")))</f>
        <v/>
      </c>
      <c r="PD10" s="152">
        <f>IF($PC10="",0,(LEN($PC10)-LEN(SUBSTITUTE($PC10," · ","")))/3+1)</f>
        <v/>
      </c>
      <c r="PE10" s="152">
        <f>IF($MN10=0,"",TEXTJOIN(" · ",TRUE,IF($OG10&gt;2*$MC10,"A devolução parou no teto de "&amp;2*$MC10,""),IF($OJ10&gt;0,"Devolução perdida: "&amp;$OJ10&amp;IF($OJ10&gt;1," pontos"," ponto")&amp;" sem peça para pagar",""),IF(AND($NM10&gt;0,AND($MC10&gt;0,$NP10=0),$OM10=0),"Controle sem dano: uma rodada a mais e CD +2",""),IF(AND($NM10&gt;0,AND($MC10&gt;0,$NP10=0),$OM10&gt;0,$OM10&lt;=$MC10),"Controle com saldo até a Classe: uma rodada a mais",""),IF(AND($MC10&gt;0,$NN10&lt;&gt;""),"Efeito de "&amp;$NN10&amp;" pela Classe "&amp;MAX(1,$MC10-1),"")))</f>
        <v/>
      </c>
      <c r="PF10" s="152">
        <f>IF($PE10="",0,(LEN($PE10)-LEN(SUBSTITUTE($PE10," · ","")))/3+1)</f>
        <v/>
      </c>
      <c r="PG10" s="152">
        <f>IF($MN10=0,IF($OD10+COUNTIF($ML10:$MM10,"?*")&gt;0,"Dê um nome",""),IF($PD10&gt;0,"⚠ "&amp;$PD10&amp;IF($PD10&gt;1," erros"," erro"),IF($PF10&gt;0,"! "&amp;$PF10&amp;IF($PF10&gt;1," avisos"," aviso"),"Na regra")))</f>
        <v/>
      </c>
      <c r="PH10" s="152">
        <f>IF($MN10=0,"",IF($PD10+$PF10=0,"Dentro das regras que a ficha confere",$PC10&amp;IF(AND($PD10&gt;0,$PF10&gt;0)," · ","")&amp;$PE10))</f>
        <v/>
      </c>
      <c r="PI10" s="152">
        <f>IF($MA10&gt;$MO10,$MB10&amp;" · ABRE NO NÍVEL "&amp;$MA10,$MB10)</f>
        <v/>
      </c>
      <c r="PJ10" s="152">
        <f>IF($MN10=0,"",IF($MC10=0,"Sem PE",3*$MC10&amp;" PE"))</f>
        <v/>
      </c>
      <c r="PK10" s="152">
        <f>IF($MN10=0,"",IF($MC10=0,"A atuação básica dela",IF(COUNTIF($NT10:$NU10,"Atrasar")&gt;0,"Sua Ação Completa",IF(COUNTIF($MH10:$MK10,"Rápido")&gt;0,"Sua Bônus",IF(COUNTIF($MH10:$MK10,"Reação")&gt;0,"Sua Reação","Sua Padrão")))&amp;" + a básica dela"&amp;IF(COUNTIF($MH10:$MK10,"Reação")&gt;0," e a coletiva","")&amp;IF(COUNTIF($NT10:$NU10,"Carregar")&gt;0," · em dois turnos","")))</f>
        <v/>
      </c>
      <c r="PL10" s="152">
        <f>IF($MG10&lt;&gt;"",$MG10,IF($MT10=0,"",INDEX($AA$2:$AA$11,$MT10)))</f>
        <v/>
      </c>
      <c r="PM10" s="152">
        <f>IF(OR($MN10=0,$MT10=0),"",IF(COUNTIF($MH10:$MK10,"Inescapável")&gt;0,"Automático",IF($PL10="Ataque",IF($MR10="","Ataque","Ataque "&amp;IF(($MR10+2*IF(COUNTIF($MH10:$MK10,"Precisão")&gt;0,1,0))&gt;=0,"+","−")&amp;ABS(($MR10+2*IF(COUNTIF($MH10:$MK10,"Precisão")&gt;0,1,0)))),IF(LEFT($PL10,2)="TR",$PL10&amp;IF($MS10="",""," · CD "&amp;$MS10)&amp;IF(COUNTIF($MH10:$MK10,"Certeiro")&gt;0," · metade",""),"Sem rolagem"))))</f>
        <v/>
      </c>
      <c r="PN10" s="152">
        <f>IF(OR($MN10=0,$MT10=0),"",IF($MC10=0,IF(OR($NP10&gt;=1,$OM10=0),"Sem dano",$OM10&amp;"d6"&amp;IF($MF10="",""," "&amp;$MF10)),IF(OR($NP10&gt;=1,$OM10=0),UPPER(LEFT(INDEX($OV10:$PB10,1,MAX(1,$MC10)),1))&amp;MID(INDEX($OV10:$PB10,1,MAX(1,$MC10)),2,99),UPPER(LEFT(INDEX($OV10:$PB10,1,MAX(1,$MC10)),1))&amp;MID(INDEX($OV10:$PB10,1,MAX(1,$MC10)),2,99)&amp;IF($MF10="",""," "&amp;$MF10)&amp;IF($ON10&gt;0," · +"&amp;$ON10&amp;"d8",""))))</f>
        <v/>
      </c>
      <c r="PO10" s="152">
        <f>COUNTIF($MH10:$MK10,"Longe")+3*COUNTIF($MH10:$MK10,"Muito Longe")</f>
        <v/>
      </c>
      <c r="PP10" s="152">
        <f>COUNTIF($MH10:$MK10,"Maior")+3*COUNTIF($MH10:$MK10,"Muito Maior")</f>
        <v/>
      </c>
      <c r="PQ10" s="152">
        <f>IF($MT10=0,0,CHOOSE(1+INDEX($AC$2:$AC$11,$MT10),0,$PO10,$PP10,$PO10+$PP10))</f>
        <v/>
      </c>
      <c r="PR10" s="152">
        <f>IF($MT10=0,0,CHOOSE(1+INDEX($AD$2:$AD$11,$MT10),0,$PO10,$PP10,$PO10+$PP10))</f>
        <v/>
      </c>
      <c r="PS10" s="152">
        <f>IF(OR($MN10=0,$MT10=0),"",INDEX($AI$2:$AN$41,($MT10-1)*4+IF($MC10=0,1,IF($MC10&lt;=5,2,IF($MC10=6,3,4))),1+MIN(5,$PQ10))&amp;INDEX($AO$2:$AT$41,($MT10-1)*4+IF($MC10=0,1,IF($MC10&lt;=5,2,IF($MC10=6,3,4))),1+MIN(5,$PR10))&amp;IF(INDEX($AE$2:$AE$11,$MT10)=1,IF(COUNTIF($MH10:$MK10,"Mais Um")&gt;0," · +"&amp;COUNTIF($MH10:$MK10,"Mais Um")&amp;IF(COUNTIF($MH10:$MK10,"Mais Um")&gt;1," alvos"," alvo"),"")&amp;IF(COUNTIF($MH10:$MK10,"Rajada")&gt;0,IF($MC10=0," · 1 tiro"," · "&amp;(MAX(1,$MC10-1)+1)&amp;" tiros"),""),""))</f>
        <v/>
      </c>
      <c r="PT10" s="152">
        <f>IF($MN10=0,"",IF($MC10=0,$MQ10&amp;"d6"&amp;IF($OD10&gt;0," − 1 = "&amp;$OM10&amp;"d6"," da básica do nível "&amp;$MO10),$OK10&amp;" − "&amp;$OF10&amp;" + "&amp;$OI10&amp;" = "&amp;$OL10&amp;" · teto "&amp;4*$MC10&amp;"d8"&amp;IF($NO10=1," · a Forma devolve "&amp;$MC10,"")&amp;IF($OJ10&gt;0," · perde "&amp;$OJ10,"")))</f>
        <v/>
      </c>
      <c r="PU10" s="152">
        <f>IF($MN10=0,"",IF($MC10=0,"A básica não amplia: os dados dela sobem com o nível",IF($MC10&gt;=$MP10,"Já está na maior Classe que o nível liberou",TEXTJOIN(" · ",TRUE,IF(AND(2&gt;$MC10,2&lt;=$MP10),"2 → "&amp;$OW10&amp;", 6 PE",""),IF(AND(3&gt;$MC10,3&lt;=$MP10),"3 → "&amp;$OX10&amp;", 9 PE",""),IF(AND(4&gt;$MC10,4&lt;=$MP10),"4 → "&amp;$OY10&amp;", 12 PE",""),IF(AND(5&gt;$MC10,5&lt;=$MP10),"5 → "&amp;$OZ10&amp;", 15 PE",""),IF(AND(6&gt;$MC10,6&lt;=$MP10),"6 → "&amp;$PA10&amp;", 18 PE",""),IF(AND(7&gt;$MC10,7&lt;=$MP10),"7 → "&amp;$PB10&amp;", 21 PE","")))))</f>
        <v/>
      </c>
      <c r="PV10" s="152">
        <f>IF(OR($MN10=0,$MY10=0),"",IF($MC10=0,"−1 dado","−"&amp;INDEX($I$2:$N$8,MAX(1,$MC10),MAX(1,$ND10))&amp;" · "&amp;CHOOSE(MAX(1,$ND10),"Leve","Média","Pesada","Leve · Livre","Média · Livre","Pesada · Livre")))</f>
        <v/>
      </c>
      <c r="PW10" s="152">
        <f>IF(OR($MN10=0,$MZ10=0),"",IF($MC10=0,"−1 dado","−"&amp;INDEX($I$2:$N$8,MAX(1,$MC10),MAX(1,$NE10))&amp;" · "&amp;CHOOSE(MAX(1,$NE10),"Leve","Média","Pesada","Leve · Livre","Média · Livre","Pesada · Livre")))</f>
        <v/>
      </c>
      <c r="PX10" s="152">
        <f>IF(OR($MN10=0,$NA10=0),"",IF($MC10=0,"−1 dado","−"&amp;INDEX($I$2:$N$8,MAX(1,$MC10),MAX(1,$NF10))&amp;" · "&amp;CHOOSE(MAX(1,$NF10),"Leve","Média","Pesada","Leve · Livre","Média · Livre","Pesada · Livre")))</f>
        <v/>
      </c>
      <c r="PY10" s="152">
        <f>IF(OR($MN10=0,$NB10=0),"",IF($MC10=0,"−1 dado","−"&amp;INDEX($I$2:$N$8,MAX(1,$MC10),MAX(1,$NG10))&amp;" · "&amp;CHOOSE(MAX(1,$NG10),"Leve","Média","Pesada","Leve · Livre","Média · Livre","Pesada · Livre")))</f>
        <v/>
      </c>
      <c r="PZ10" s="152">
        <f>IF(OR($MN10=0,$ML10=""),"",IF($MC10=0,"não devolve","+"&amp;IF($NR10=1,CEILING($MC10/2,1),$MC10)))</f>
        <v/>
      </c>
      <c r="QA10" s="152">
        <f>IF(OR($MN10=0,$MM10=""),"",IF($MC10=0,"não devolve","+"&amp;IF($NS10=1,CEILING($MC10/2,1),$MC10)))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B11" s="150" t="inlineStr">
        <is>
          <t>Fraqueza (Média)</t>
        </is>
      </c>
      <c r="BC11" s="150" t="inlineStr">
        <is>
          <t>Fraqueza</t>
        </is>
      </c>
      <c r="BD11" s="152" t="n">
        <v>2</v>
      </c>
      <c r="BE11" s="152" t="n">
        <v>0</v>
      </c>
      <c r="BF11" s="150" t="inlineStr"/>
      <c r="BH11" s="150" t="inlineStr">
        <is>
          <t>Contramedida</t>
        </is>
      </c>
      <c r="BI11" s="152" t="n">
        <v>2</v>
      </c>
      <c r="BJ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K11" s="150" t="inlineStr"/>
      <c r="BZ11" s="150" t="inlineStr">
        <is>
          <t>História</t>
        </is>
      </c>
      <c r="CA11" s="150" t="inlineStr">
        <is>
          <t>Inteligência</t>
        </is>
      </c>
      <c r="CE11" s="150" t="inlineStr">
        <is>
          <t>Radiante</t>
        </is>
      </c>
      <c r="CV11" s="150" t="inlineStr">
        <is>
          <t>famílias da trilha</t>
        </is>
      </c>
      <c r="CW11" s="152">
        <f>IF($CW$4="Invocação Principal",5,IF(OR($CW$4="Parceria",$CW$4="Múltiplas Invocações"),4,3))</f>
        <v/>
      </c>
      <c r="CY11" s="152" t="n">
        <v>10</v>
      </c>
      <c r="CZ11" s="152">
        <f>'INVOCAÇÕES'!$AB$607&amp;""</f>
        <v/>
      </c>
      <c r="DA11" s="152">
        <f>'INVOCAÇÕES'!$AB$637&amp;""</f>
        <v/>
      </c>
      <c r="DB11" s="152">
        <f>'INVOCAÇÕES'!$AB$641&amp;""</f>
        <v/>
      </c>
      <c r="DC11" s="152">
        <f>N('INVOCAÇÕES'!$AD$641)</f>
        <v/>
      </c>
      <c r="DD11" s="152">
        <f>'INVOCAÇÕES'!$AE$641&amp;""</f>
        <v/>
      </c>
      <c r="DE11" s="152">
        <f>N('INVOCAÇÕES'!$AH$614)</f>
        <v/>
      </c>
      <c r="DF11" s="152">
        <f>N('INVOCAÇÕES'!$AI$614)</f>
        <v/>
      </c>
      <c r="DG11" s="152">
        <f>N('INVOCAÇÕES'!$AJ$614)</f>
        <v/>
      </c>
      <c r="DH11" s="152">
        <f>N('INVOCAÇÕES'!$AK$614)</f>
        <v/>
      </c>
      <c r="DI11" s="152">
        <f>N('INVOCAÇÕES'!$AL$614)</f>
        <v/>
      </c>
      <c r="DJ11" s="152">
        <f>N('INVOCAÇÕES'!$AH$615)</f>
        <v/>
      </c>
      <c r="DK11" s="152">
        <f>N('INVOCAÇÕES'!$AI$615)</f>
        <v/>
      </c>
      <c r="DL11" s="152">
        <f>N('INVOCAÇÕES'!$AJ$615)</f>
        <v/>
      </c>
      <c r="DM11" s="152">
        <f>N('INVOCAÇÕES'!$AK$615)</f>
        <v/>
      </c>
      <c r="DN11" s="152">
        <f>N('INVOCAÇÕES'!$AL$615)</f>
        <v/>
      </c>
      <c r="DO11" s="152">
        <f>'INVOCAÇÕES'!$AH$628&amp;""</f>
        <v/>
      </c>
      <c r="DP11" s="152">
        <f>'INVOCAÇÕES'!$AJ$628&amp;""</f>
        <v/>
      </c>
      <c r="DQ11" s="152">
        <f>'INVOCAÇÕES'!$AL$628&amp;""</f>
        <v/>
      </c>
      <c r="DR11" s="152">
        <f>N('INVOCAÇÕES'!$AH$620)</f>
        <v/>
      </c>
      <c r="DS11" s="152">
        <f>N('INVOCAÇÕES'!$AI$620)</f>
        <v/>
      </c>
      <c r="DT11" s="152">
        <f>N('INVOCAÇÕES'!$AJ$620)</f>
        <v/>
      </c>
      <c r="DU11" s="152">
        <f>N('INVOCAÇÕES'!$AK$620)</f>
        <v/>
      </c>
      <c r="DV11" s="152">
        <f>N('INVOCAÇÕES'!$AL$620)</f>
        <v/>
      </c>
      <c r="DW11" s="152">
        <f>N('INVOCAÇÕES'!$AH$625)</f>
        <v/>
      </c>
      <c r="DX11" s="152">
        <f>N('INVOCAÇÕES'!$AI$625)</f>
        <v/>
      </c>
      <c r="DY11" s="152">
        <f>N('INVOCAÇÕES'!$AJ$625)</f>
        <v/>
      </c>
      <c r="DZ11" s="152">
        <f>N('INVOCAÇÕES'!$AK$625)</f>
        <v/>
      </c>
      <c r="EA11" s="152">
        <f>'INVOCAÇÕES'!$AN$607&amp;""</f>
        <v/>
      </c>
      <c r="EB11" s="152">
        <f>N('INVOCAÇÕES'!$AP$607)</f>
        <v/>
      </c>
      <c r="EC11" s="152">
        <f>'INVOCAÇÕES'!$AR$607&amp;""</f>
        <v/>
      </c>
      <c r="ED11" s="152">
        <f>'INVOCAÇÕES'!$AH$642&amp;""</f>
        <v/>
      </c>
      <c r="EE11" s="152">
        <f>'INVOCAÇÕES'!$AI$642&amp;""</f>
        <v/>
      </c>
      <c r="EF11" s="152">
        <f>'INVOCAÇÕES'!$AJ$642&amp;""</f>
        <v/>
      </c>
      <c r="EG11" s="152">
        <f>'INVOCAÇÕES'!$AK$642&amp;""</f>
        <v/>
      </c>
      <c r="EH11" s="152">
        <f>'INVOCAÇÕES'!$AL$642&amp;""</f>
        <v/>
      </c>
      <c r="EI11" s="152">
        <f>'INVOCAÇÕES'!$AH$632&amp;""</f>
        <v/>
      </c>
      <c r="EJ11" s="152">
        <f>'INVOCAÇÕES'!$AH$633&amp;""</f>
        <v/>
      </c>
      <c r="EK11" s="152">
        <f>'INVOCAÇÕES'!$AH$634&amp;""</f>
        <v/>
      </c>
      <c r="EL11" s="152">
        <f>'INVOCAÇÕES'!$AH$635&amp;""</f>
        <v/>
      </c>
      <c r="EM11" s="152">
        <f>'INVOCAÇÕES'!$AH$636&amp;""</f>
        <v/>
      </c>
      <c r="EN11" s="152">
        <f>'INVOCAÇÕES'!$AH$637&amp;""</f>
        <v/>
      </c>
      <c r="EO11" s="152">
        <f>'INVOCAÇÕES'!$AH$638&amp;""</f>
        <v/>
      </c>
      <c r="EP11" s="152">
        <f>'INVOCAÇÕES'!$AC$674&amp;""</f>
        <v/>
      </c>
      <c r="EQ11" s="152">
        <f>'INVOCAÇÕES'!$AC$675&amp;""</f>
        <v/>
      </c>
      <c r="ER11" s="152">
        <f>'INVOCAÇÕES'!$AC$676&amp;""</f>
        <v/>
      </c>
      <c r="ES11" s="152">
        <f>'INVOCAÇÕES'!$AC$677&amp;""</f>
        <v/>
      </c>
      <c r="ET11" s="152">
        <f>'INVOCAÇÕES'!$AC$678&amp;""</f>
        <v/>
      </c>
      <c r="EU11" s="152">
        <f>'INVOCAÇÕES'!$AC$679&amp;""</f>
        <v/>
      </c>
      <c r="EV11" s="152">
        <f>'INVOCAÇÕES'!$AC$680&amp;""</f>
        <v/>
      </c>
      <c r="EW11" s="152">
        <f>'INVOCAÇÕES'!$AC$681&amp;""</f>
        <v/>
      </c>
      <c r="EX11" s="152">
        <f>'INVOCAÇÕES'!$AC$776&amp;""</f>
        <v/>
      </c>
      <c r="EY11" s="152">
        <f>'INVOCAÇÕES'!$AC$777&amp;""</f>
        <v/>
      </c>
      <c r="EZ11" s="152">
        <f>'INVOCAÇÕES'!$AC$778&amp;""</f>
        <v/>
      </c>
      <c r="FA11" s="152">
        <f>MAX(3,MIN(7,N('INVOCAÇÕES'!$AB$783)))</f>
        <v/>
      </c>
      <c r="FB11" s="152">
        <f>MAX(3,MIN(7,N('INVOCAÇÕES'!$AH$783)))</f>
        <v/>
      </c>
      <c r="FC11" s="152">
        <f>MAX(3,MIN(7,N('INVOCAÇÕES'!$AN$783)))</f>
        <v/>
      </c>
      <c r="FD11" s="152">
        <f>'INVOCAÇÕES'!$AH$797&amp;""</f>
        <v/>
      </c>
      <c r="FE11" s="152">
        <f>IF($CZ11&lt;&gt;"",1,0)</f>
        <v/>
      </c>
      <c r="FF11" s="152">
        <f>IFERROR(VLOOKUP($DB11,$BO$2:$BP$5,2,FALSE),1)</f>
        <v/>
      </c>
      <c r="FG11" s="152">
        <f>IF($FF11=1,$CW$2,MAX(1,MIN($CW$2,IF($DC11=0,$CW$2,$DC11))))</f>
        <v/>
      </c>
      <c r="FH11" s="152">
        <f>VLOOKUP(MAX(1,$FG11),$A$2:$D$8,2,TRUE)</f>
        <v/>
      </c>
      <c r="FI11" s="152">
        <f>VLOOKUP(MAX(1,$FG11),$A$2:$D$8,3,TRUE)</f>
        <v/>
      </c>
      <c r="FJ11" s="152">
        <f>$DE11+$DJ11</f>
        <v/>
      </c>
      <c r="FK11" s="152">
        <f>$DF11+$DK11</f>
        <v/>
      </c>
      <c r="FL11" s="152">
        <f>$DG11+$DL11</f>
        <v/>
      </c>
      <c r="FM11" s="152">
        <f>$DH11+$DM11</f>
        <v/>
      </c>
      <c r="FN11" s="152">
        <f>$DI11+$DN11</f>
        <v/>
      </c>
      <c r="FO11" s="152">
        <f>SUM($DE11:$DI11)</f>
        <v/>
      </c>
      <c r="FP11" s="152">
        <f>9+$FQ11</f>
        <v/>
      </c>
      <c r="FQ11" s="152">
        <f>COUNTIF($F$2:$F$8,"&lt;="&amp;$FG11)</f>
        <v/>
      </c>
      <c r="FR11" s="152">
        <f>MAX(0,$DE11-3)+MAX(0,$DF11-3)+MAX(0,$DG11-3)+MAX(0,$DH11-3)+MAX(0,$DI11-3)</f>
        <v/>
      </c>
      <c r="FS11" s="152">
        <f>IFERROR(INDEX($FJ11:$FN11,1,MATCH($DO11,$BT$2:$BT$6,0)),"")</f>
        <v/>
      </c>
      <c r="FT11" s="152">
        <f>IF($FS11="","",$FS11+$CW$3+$DR11)</f>
        <v/>
      </c>
      <c r="FU11" s="152">
        <f>IF($FS11="","",8+$FS11+$CW$3+$DS11)</f>
        <v/>
      </c>
      <c r="FV11" s="152">
        <f>10+$FK11+$CW$7+$DT11</f>
        <v/>
      </c>
      <c r="FW11" s="152">
        <f>IF($DA11="Corpo amaldiçoado de criação",1,0)</f>
        <v/>
      </c>
      <c r="FX11" s="152">
        <f>5+$FL11+(3+$FW11+$FL11)*($FG11-1)+$DU11</f>
        <v/>
      </c>
      <c r="FY11" s="152">
        <f>IF($EA11="",$FX11,MAX(0,MIN(IFERROR(VALUE($EA11),$FX11),$FX11)))</f>
        <v/>
      </c>
      <c r="FZ11" s="152">
        <f>9+$DV11</f>
        <v/>
      </c>
      <c r="GA11" s="152">
        <f>IF($DP11="Destreza",$FK11,$FJ11)</f>
        <v/>
      </c>
      <c r="GB11" s="152">
        <f>$GA11+IF($DQ11="Físico",$CW$3,0)+$DW11</f>
        <v/>
      </c>
      <c r="GC11" s="152">
        <f>$FL11+IF($DQ11="Vigor",$CW$3,0)+$DX11</f>
        <v/>
      </c>
      <c r="GD11" s="152">
        <f>$FM11+IF($DQ11="Intelecto",$CW$3,0)+$DY11</f>
        <v/>
      </c>
      <c r="GE11" s="152">
        <f>$FN11+IF($DQ11="Espírito",$CW$3,0)+$DZ11</f>
        <v/>
      </c>
      <c r="GF11" s="152">
        <f>4+INT($DH11/2)</f>
        <v/>
      </c>
      <c r="GG11" s="152">
        <f>COUNTIF($EI11:$EO11,"?*")</f>
        <v/>
      </c>
      <c r="GH11" s="152">
        <f>INT((2+$FG11/2)/2)</f>
        <v/>
      </c>
      <c r="GI11" s="152">
        <f>IF($FG11&gt;=11,2,1)</f>
        <v/>
      </c>
      <c r="GJ11" s="152">
        <f>1+$FQ11</f>
        <v/>
      </c>
      <c r="GK11" s="152">
        <f>COUNTIF($EP11:$EW11,"?*")</f>
        <v/>
      </c>
      <c r="GL11" s="152">
        <f>IF(AND($DA11="Shikigami de criação",$DD11="Com carga"),MAX(1,CEILING($FH11/2,1)),$FH11)</f>
        <v/>
      </c>
      <c r="GM11" s="152">
        <f>$FH11+$GL11</f>
        <v/>
      </c>
      <c r="GN11" s="152">
        <f>$FG11*(1+INT($DI11/3))</f>
        <v/>
      </c>
      <c r="GO11" s="152">
        <f>5+$FJ11</f>
        <v/>
      </c>
      <c r="GP11" s="152">
        <f>COUNTIF($ED11:$EH11,"?*")</f>
        <v/>
      </c>
      <c r="GQ11" s="152">
        <f>IF($ED11="",0,IF(COUNTIF($ED11:$EH11,$ED11)&gt;1,1,0))+IF($EE11="",0,IF(COUNTIF($ED11:$EH11,$EE11)&gt;1,1,0))+IF($EF11="",0,IF(COUNTIF($ED11:$EH11,$EF11)&gt;1,1,0))+IF($EG11="",0,IF(COUNTIF($ED11:$EH11,$EG11)&gt;1,1,0))+IF($EH11="",0,IF(COUNTIF($ED11:$EH11,$EH11)&gt;1,1,0))</f>
        <v/>
      </c>
      <c r="GR11" s="152">
        <f>$CW$11</f>
        <v/>
      </c>
      <c r="GS11" s="152">
        <f>IF($FE11=0,"INVOCAÇÃO 10 · lugar vazio",$CZ11&amp;" · "&amp;$DA11&amp;" · nível "&amp;$FG11&amp;" · vida "&amp;$FY11&amp;" de "&amp;$FX11)</f>
        <v/>
      </c>
      <c r="GT11" s="152">
        <f>IF($FE11=0,"VAZIA",UPPER($CZ11))</f>
        <v/>
      </c>
      <c r="GU11" s="152">
        <f>IF($CW$3&gt;=0,"+","−")&amp;ABS($CW$3)</f>
        <v/>
      </c>
      <c r="GV11" s="152">
        <f>$GL11&amp;" PE"</f>
        <v/>
      </c>
      <c r="GW11" s="152">
        <f>$GM11&amp;" PE"</f>
        <v/>
      </c>
      <c r="GX11" s="152">
        <f>IF(OR($FO11&gt;$FP11,$FR11&gt;$FQ11),"⚠ ",IF(AND($FE11=1,$FO11&lt;$FP11),"! ",""))&amp;"ATRIBUTOS · "&amp;$FO11&amp;" DE "&amp;$FP11&amp;" PONTOS"&amp;IF($FR11&gt;$FQ11," · ACIMA DE 3 SÓ COM MARCO","")</f>
        <v/>
      </c>
      <c r="GY11" s="152">
        <f>IF($FT11="","",IF($FT11&gt;=0,"+","−")&amp;ABS($FT11))</f>
        <v/>
      </c>
      <c r="GZ11" s="152">
        <f>IF($FU11="","",$FU11)</f>
        <v/>
      </c>
      <c r="HA11" s="152">
        <f>SUBSTITUTE($FZ11&amp;" m",".",",")</f>
        <v/>
      </c>
      <c r="HB11" s="152">
        <f>IF($GB11&gt;=0,"+","−")&amp;ABS($GB11)</f>
        <v/>
      </c>
      <c r="HC11" s="152">
        <f>IF($GC11&gt;=0,"+","−")&amp;ABS($GC11)</f>
        <v/>
      </c>
      <c r="HD11" s="152">
        <f>IF($GD11&gt;=0,"+","−")&amp;ABS($GD11)</f>
        <v/>
      </c>
      <c r="HE11" s="152">
        <f>IF($GE11&gt;=0,"+","−")&amp;ABS($GE11)</f>
        <v/>
      </c>
      <c r="HF11" s="152">
        <f>IF($GG11&gt;$GF11,"⚠ ","")&amp;"PERÍCIAS · "&amp;$GG11&amp;" DE "&amp;$GF11</f>
        <v/>
      </c>
      <c r="HG11" s="152">
        <f>IF($EI11="","",IFERROR(IF((INDEX($FJ11:$FN11,1,MATCH(VLOOKUP($EI11,$BZ$2:$CA$24,2,FALSE),$BT$2:$BT$6,0))+$CW$3)&gt;=0,"+","−")&amp;ABS((INDEX($FJ11:$FN11,1,MATCH(VLOOKUP($EI11,$BZ$2:$CA$24,2,FALSE),$BT$2:$BT$6,0))+$CW$3)),""))</f>
        <v/>
      </c>
      <c r="HH11" s="152">
        <f>IF($EJ11="","",IFERROR(IF((INDEX($FJ11:$FN11,1,MATCH(VLOOKUP($EJ11,$BZ$2:$CA$24,2,FALSE),$BT$2:$BT$6,0))+$CW$3)&gt;=0,"+","−")&amp;ABS((INDEX($FJ11:$FN11,1,MATCH(VLOOKUP($EJ11,$BZ$2:$CA$24,2,FALSE),$BT$2:$BT$6,0))+$CW$3)),""))</f>
        <v/>
      </c>
      <c r="HI11" s="152">
        <f>IF($EK11="","",IFERROR(IF((INDEX($FJ11:$FN11,1,MATCH(VLOOKUP($EK11,$BZ$2:$CA$24,2,FALSE),$BT$2:$BT$6,0))+$CW$3)&gt;=0,"+","−")&amp;ABS((INDEX($FJ11:$FN11,1,MATCH(VLOOKUP($EK11,$BZ$2:$CA$24,2,FALSE),$BT$2:$BT$6,0))+$CW$3)),""))</f>
        <v/>
      </c>
      <c r="HJ11" s="152">
        <f>IF($EL11="","",IFERROR(IF((INDEX($FJ11:$FN11,1,MATCH(VLOOKUP($EL11,$BZ$2:$CA$24,2,FALSE),$BT$2:$BT$6,0))+$CW$3)&gt;=0,"+","−")&amp;ABS((INDEX($FJ11:$FN11,1,MATCH(VLOOKUP($EL11,$BZ$2:$CA$24,2,FALSE),$BT$2:$BT$6,0))+$CW$3)),""))</f>
        <v/>
      </c>
      <c r="HK11" s="152">
        <f>IF($EM11="","",IFERROR(IF((INDEX($FJ11:$FN11,1,MATCH(VLOOKUP($EM11,$BZ$2:$CA$24,2,FALSE),$BT$2:$BT$6,0))+$CW$3)&gt;=0,"+","−")&amp;ABS((INDEX($FJ11:$FN11,1,MATCH(VLOOKUP($EM11,$BZ$2:$CA$24,2,FALSE),$BT$2:$BT$6,0))+$CW$3)),""))</f>
        <v/>
      </c>
      <c r="HL11" s="152">
        <f>IF($EN11="","",IFERROR(IF((INDEX($FJ11:$FN11,1,MATCH(VLOOKUP($EN11,$BZ$2:$CA$24,2,FALSE),$BT$2:$BT$6,0))+$CW$3)&gt;=0,"+","−")&amp;ABS((INDEX($FJ11:$FN11,1,MATCH(VLOOKUP($EN11,$BZ$2:$CA$24,2,FALSE),$BT$2:$BT$6,0))+$CW$3)),""))</f>
        <v/>
      </c>
      <c r="HM11" s="152">
        <f>IF($EO11="","",IFERROR(IF((INDEX($FJ11:$FN11,1,MATCH(VLOOKUP($EO11,$BZ$2:$CA$24,2,FALSE),$BT$2:$BT$6,0))+$CW$3)&gt;=0,"+","−")&amp;ABS((INDEX($FJ11:$FN11,1,MATCH(VLOOKUP($EO11,$BZ$2:$CA$24,2,FALSE),$BT$2:$BT$6,0))+$CW$3)),""))</f>
        <v/>
      </c>
      <c r="HN11" s="152">
        <f>IF($DA11="Maldição domada","RESERVA · MÁX. "&amp;$GN11,"RESERVA DE PE")</f>
        <v/>
      </c>
      <c r="HO11" s="152">
        <f>"EQUIPAMENTO · CARGA ATÉ "&amp;$GO11&amp;" DE VOLUME"</f>
        <v/>
      </c>
      <c r="HP11" s="152">
        <f>IF(OR($GQ11&gt;0,$GP11&gt;$GR11),"⚠ ","")&amp;"FAMÍLIAS · "&amp;$GP11&amp;" ABERTAS"&amp;IF($GQ11&gt;0," · REPETIDA","")&amp;IF($GP11&gt;$GR11," · O LIMITE É "&amp;$GR11,"")</f>
        <v/>
      </c>
      <c r="HQ11" s="152">
        <f>"HABILIDADES · básica de "&amp;$FI11&amp;"d6 · "&amp;$GH11&amp;IF($GH11&gt;1," espaços"," espaço")&amp;" de especial até a Classe "&amp;$FH11&amp;" · "&amp;$GJ11&amp;IF($GJ11&gt;1," talentos"," talento")</f>
        <v/>
      </c>
      <c r="HR11" s="152">
        <f>IF($GK11&gt;$GJ11,"⚠ ","")&amp;"TALENTOS · "&amp;$GK11&amp;" DE "&amp;$GJ11</f>
        <v/>
      </c>
      <c r="HS11" s="152">
        <f>IFERROR(VLOOKUP($EP11,$BH$2:$BK$15,2,FALSE),0)</f>
        <v/>
      </c>
      <c r="HT11" s="152">
        <f>IFERROR(VLOOKUP($EQ11,$BH$2:$BK$15,2,FALSE),0)</f>
        <v/>
      </c>
      <c r="HU11" s="152">
        <f>IFERROR(VLOOKUP($ER11,$BH$2:$BK$15,2,FALSE),0)</f>
        <v/>
      </c>
      <c r="HV11" s="152">
        <f>IFERROR(VLOOKUP($ES11,$BH$2:$BK$15,2,FALSE),0)</f>
        <v/>
      </c>
      <c r="HW11" s="152">
        <f>IFERROR(VLOOKUP($ET11,$BH$2:$BK$15,2,FALSE),0)</f>
        <v/>
      </c>
      <c r="HX11" s="152">
        <f>IFERROR(VLOOKUP($EU11,$BH$2:$BK$15,2,FALSE),0)</f>
        <v/>
      </c>
      <c r="HY11" s="152">
        <f>IFERROR(VLOOKUP($EV11,$BH$2:$BK$15,2,FALSE),0)</f>
        <v/>
      </c>
      <c r="HZ11" s="152">
        <f>IFERROR(VLOOKUP($EW11,$BH$2:$BK$15,2,FALSE),0)</f>
        <v/>
      </c>
      <c r="IA11" s="152">
        <f>IF($EP11="","",IF(1&gt;$FG11,"⚠ Este talento abre no nível 1",IF($HS11&gt;1,"⚠ Categoria "&amp;$HS11&amp;": este ganho vai até a 1 · ","")&amp;IFERROR(VLOOKUP($EP11,$BH$2:$BK$15,3,FALSE),"")))</f>
        <v/>
      </c>
      <c r="IB11" s="152">
        <f>IF($EQ11="","",IF(6&gt;$FG11,"⚠ Este talento abre no nível 6",IF($HT11&gt;1,"⚠ Categoria "&amp;$HT11&amp;": este ganho vai até a 1 · ","")&amp;IFERROR(VLOOKUP($EQ11,$BH$2:$BK$15,3,FALSE),"")))</f>
        <v/>
      </c>
      <c r="IC11" s="152">
        <f>IF($ER11="","",IF(10&gt;$FG11,"⚠ Este talento abre no nível 10",IF($HU11&gt;2,"⚠ Categoria "&amp;$HU11&amp;": este ganho vai até a 2 · ","")&amp;IFERROR(VLOOKUP($ER11,$BH$2:$BK$15,3,FALSE),"")))</f>
        <v/>
      </c>
      <c r="ID11" s="152">
        <f>IF($ES11="","",IF(14&gt;$FG11,"⚠ Este talento abre no nível 14",IF($HV11&gt;3,"⚠ Categoria "&amp;$HV11&amp;": este ganho vai até a 3 · ","")&amp;IFERROR(VLOOKUP($ES11,$BH$2:$BK$15,3,FALSE),"")))</f>
        <v/>
      </c>
      <c r="IE11" s="152">
        <f>IF($ET11="","",IF(18&gt;$FG11,"⚠ Este talento abre no nível 18",IF($HW11&gt;3,"⚠ Categoria "&amp;$HW11&amp;": este ganho vai até a 3 · ","")&amp;IFERROR(VLOOKUP($ET11,$BH$2:$BK$15,3,FALSE),"")))</f>
        <v/>
      </c>
      <c r="IF11" s="152">
        <f>IF($EU11="","",IF(22&gt;$FG11,"⚠ Este talento abre no nível 22",IF($HX11&gt;3,"⚠ Categoria "&amp;$HX11&amp;": este ganho vai até a 3 · ","")&amp;IFERROR(VLOOKUP($EU11,$BH$2:$BK$15,3,FALSE),"")))</f>
        <v/>
      </c>
      <c r="IG11" s="152">
        <f>IF($EV11="","",IF(26&gt;$FG11,"⚠ Este talento abre no nível 26",IF($HY11&gt;3,"⚠ Categoria "&amp;$HY11&amp;": este ganho vai até a 3 · ","")&amp;IFERROR(VLOOKUP($EV11,$BH$2:$BK$15,3,FALSE),"")))</f>
        <v/>
      </c>
      <c r="IH11" s="152">
        <f>IF($EW11="","",IF(30&gt;$FG11,"⚠ Este talento abre no nível 30",IF($HZ11&gt;3,"⚠ Categoria "&amp;$HZ11&amp;": este ganho vai até a 3 · ","")&amp;IFERROR(VLOOKUP($EW11,$BH$2:$BK$15,3,FALSE),"")))</f>
        <v/>
      </c>
      <c r="II11" s="152">
        <f>IF($EX11="","",IFERROR(VLOOKUP($EX11,$BH$2:$BK$15,3,FALSE),""))</f>
        <v/>
      </c>
      <c r="IJ11" s="152">
        <f>IF($EY11="","",IFERROR(VLOOKUP($EY11,$BH$2:$BK$15,3,FALSE),""))</f>
        <v/>
      </c>
      <c r="IK11" s="152">
        <f>IF($EZ11="","",IFERROR(VLOOKUP($EZ11,$BH$2:$BK$15,3,FALSE),""))</f>
        <v/>
      </c>
      <c r="IL11" s="152">
        <f>CEILING(4.5*$FA11,1)&amp;" PE"</f>
        <v/>
      </c>
      <c r="IM11" s="152">
        <f>CEILING(4.5*$FB11,1)&amp;" PE"</f>
        <v/>
      </c>
      <c r="IN11" s="152">
        <f>CEILING(4.5*$FC11,1)&amp;" PE"</f>
        <v/>
      </c>
      <c r="IO11" s="152">
        <f>INDEX($P$2:$P$8,$FA11)&amp;" pontos + "&amp;$FA11&amp;"d8"</f>
        <v/>
      </c>
      <c r="IP11" s="152">
        <f>INDEX($P$2:$P$8,$FB11)&amp;" pontos + "&amp;$FB11&amp;"d8"</f>
        <v/>
      </c>
      <c r="IQ11" s="152">
        <f>INDEX($P$2:$P$8,$FC11)&amp;" pontos + "&amp;$FC11&amp;"d8"</f>
        <v/>
      </c>
      <c r="IR11" s="152">
        <f>IF($FG11&lt;17,"—",VLOOKUP($FG11,$CK$2:$CN$4,4,TRUE)&amp;" PE")</f>
        <v/>
      </c>
      <c r="IS11" s="152">
        <f>IF($FG11&lt;17,"Abre no nível 17",VLOOKUP($FG11,$CK$2:$CN$4,2,TRUE)&amp;" fixos · "&amp;VLOOKUP($FG11,$CK$2:$CN$4,3,TRUE)&amp;" pontos")</f>
        <v/>
      </c>
      <c r="IT11" s="152">
        <f>IF($FD11="Sem Barreiras",7,6)*$FH11&amp;" PE"</f>
        <v/>
      </c>
      <c r="IU11" s="152">
        <f>"Acerto "&amp;$FH11&amp;"d8"</f>
        <v/>
      </c>
      <c r="IV11" s="152">
        <f>IFERROR(VLOOKUP($FD11,$CP$2:$CR$4,3,FALSE),"Escolha o degrau")</f>
        <v/>
      </c>
      <c r="IW11" s="152">
        <f>10&amp;" · "&amp;IF($FE11=0,"vazia",$CZ11&amp;" · nv "&amp;$FG11&amp;" · "&amp;$FY11&amp;"/"&amp;$FX11)</f>
        <v/>
      </c>
      <c r="IY11" s="150" t="inlineStr">
        <is>
          <t>Invocação 10</t>
        </is>
      </c>
      <c r="IZ11" s="152">
        <f>ADDRESS(ROW('INVOCAÇÕES'!D30),COLUMN('INVOCAÇÕES'!D30),4)</f>
        <v/>
      </c>
      <c r="JA11" s="152">
        <f>ADDRESS(ROW('INVOCAÇÕES'!AA603),COLUMN('INVOCAÇÕES'!AA603),4)</f>
        <v/>
      </c>
      <c r="JB11" s="150" t="inlineStr">
        <is>
          <t>DADOS_INVOC!$IW$11</t>
        </is>
      </c>
      <c r="JD11" s="152">
        <f>IF(OR($AW11="",COUNTIF($ED$2:$EH$2,$AW11)&gt;0),$AV11,"")</f>
        <v/>
      </c>
      <c r="JE11" s="152">
        <f>IF(AND($AX11=1,OR($AW11="",COUNTIF($ED$2:$EH$2,$AW11)&gt;0)),$AV11,"")</f>
        <v/>
      </c>
      <c r="JG11" s="152">
        <f>IF(OR($W11="",COUNTIF($ED$2:$EH$2,$W11)&gt;0),$V11,"")</f>
        <v/>
      </c>
      <c r="JH11" s="152">
        <f>IF(AND($AF11=1,OR($W11="",COUNTIF($ED$2:$EH$2,$W11)&gt;0)),$V11,"")</f>
        <v/>
      </c>
      <c r="JJ11" s="152">
        <f>IF(OR($AW11="",COUNTIF($ED$3:$EH$3,$AW11)&gt;0),$AV11,"")</f>
        <v/>
      </c>
      <c r="JK11" s="152">
        <f>IF(AND($AX11=1,OR($AW11="",COUNTIF($ED$3:$EH$3,$AW11)&gt;0)),$AV11,"")</f>
        <v/>
      </c>
      <c r="JM11" s="152">
        <f>IF(OR($W11="",COUNTIF($ED$3:$EH$3,$W11)&gt;0),$V11,"")</f>
        <v/>
      </c>
      <c r="JN11" s="152">
        <f>IF(AND($AF11=1,OR($W11="",COUNTIF($ED$3:$EH$3,$W11)&gt;0)),$V11,"")</f>
        <v/>
      </c>
      <c r="JP11" s="152">
        <f>IF(OR($AW11="",COUNTIF($ED$4:$EH$4,$AW11)&gt;0),$AV11,"")</f>
        <v/>
      </c>
      <c r="JQ11" s="152">
        <f>IF(AND($AX11=1,OR($AW11="",COUNTIF($ED$4:$EH$4,$AW11)&gt;0)),$AV11,"")</f>
        <v/>
      </c>
      <c r="JS11" s="152">
        <f>IF(OR($W11="",COUNTIF($ED$4:$EH$4,$W11)&gt;0),$V11,"")</f>
        <v/>
      </c>
      <c r="JT11" s="152">
        <f>IF(AND($AF11=1,OR($W11="",COUNTIF($ED$4:$EH$4,$W11)&gt;0)),$V11,"")</f>
        <v/>
      </c>
      <c r="JV11" s="152">
        <f>IF(OR($AW11="",COUNTIF($ED$5:$EH$5,$AW11)&gt;0),$AV11,"")</f>
        <v/>
      </c>
      <c r="JW11" s="152">
        <f>IF(AND($AX11=1,OR($AW11="",COUNTIF($ED$5:$EH$5,$AW11)&gt;0)),$AV11,"")</f>
        <v/>
      </c>
      <c r="JY11" s="152">
        <f>IF(OR($W11="",COUNTIF($ED$5:$EH$5,$W11)&gt;0),$V11,"")</f>
        <v/>
      </c>
      <c r="JZ11" s="152">
        <f>IF(AND($AF11=1,OR($W11="",COUNTIF($ED$5:$EH$5,$W11)&gt;0)),$V11,"")</f>
        <v/>
      </c>
      <c r="KB11" s="152">
        <f>IF(OR($AW11="",COUNTIF($ED$6:$EH$6,$AW11)&gt;0),$AV11,"")</f>
        <v/>
      </c>
      <c r="KC11" s="152">
        <f>IF(AND($AX11=1,OR($AW11="",COUNTIF($ED$6:$EH$6,$AW11)&gt;0)),$AV11,"")</f>
        <v/>
      </c>
      <c r="KE11" s="152">
        <f>IF(OR($W11="",COUNTIF($ED$6:$EH$6,$W11)&gt;0),$V11,"")</f>
        <v/>
      </c>
      <c r="KF11" s="152">
        <f>IF(AND($AF11=1,OR($W11="",COUNTIF($ED$6:$EH$6,$W11)&gt;0)),$V11,"")</f>
        <v/>
      </c>
      <c r="KH11" s="152">
        <f>IF(OR($AW11="",COUNTIF($ED$7:$EH$7,$AW11)&gt;0),$AV11,"")</f>
        <v/>
      </c>
      <c r="KI11" s="152">
        <f>IF(AND($AX11=1,OR($AW11="",COUNTIF($ED$7:$EH$7,$AW11)&gt;0)),$AV11,"")</f>
        <v/>
      </c>
      <c r="KK11" s="152">
        <f>IF(OR($W11="",COUNTIF($ED$7:$EH$7,$W11)&gt;0),$V11,"")</f>
        <v/>
      </c>
      <c r="KL11" s="152">
        <f>IF(AND($AF11=1,OR($W11="",COUNTIF($ED$7:$EH$7,$W11)&gt;0)),$V11,"")</f>
        <v/>
      </c>
      <c r="KN11" s="152">
        <f>IF(OR($AW11="",COUNTIF($ED$8:$EH$8,$AW11)&gt;0),$AV11,"")</f>
        <v/>
      </c>
      <c r="KO11" s="152">
        <f>IF(AND($AX11=1,OR($AW11="",COUNTIF($ED$8:$EH$8,$AW11)&gt;0)),$AV11,"")</f>
        <v/>
      </c>
      <c r="KQ11" s="152">
        <f>IF(OR($W11="",COUNTIF($ED$8:$EH$8,$W11)&gt;0),$V11,"")</f>
        <v/>
      </c>
      <c r="KR11" s="152">
        <f>IF(AND($AF11=1,OR($W11="",COUNTIF($ED$8:$EH$8,$W11)&gt;0)),$V11,"")</f>
        <v/>
      </c>
      <c r="KT11" s="152">
        <f>IF(OR($AW11="",COUNTIF($ED$9:$EH$9,$AW11)&gt;0),$AV11,"")</f>
        <v/>
      </c>
      <c r="KU11" s="152">
        <f>IF(AND($AX11=1,OR($AW11="",COUNTIF($ED$9:$EH$9,$AW11)&gt;0)),$AV11,"")</f>
        <v/>
      </c>
      <c r="KW11" s="152">
        <f>IF(OR($W11="",COUNTIF($ED$9:$EH$9,$W11)&gt;0),$V11,"")</f>
        <v/>
      </c>
      <c r="KX11" s="152">
        <f>IF(AND($AF11=1,OR($W11="",COUNTIF($ED$9:$EH$9,$W11)&gt;0)),$V11,"")</f>
        <v/>
      </c>
      <c r="KZ11" s="152">
        <f>IF(OR($AW11="",COUNTIF($ED$10:$EH$10,$AW11)&gt;0),$AV11,"")</f>
        <v/>
      </c>
      <c r="LA11" s="152">
        <f>IF(AND($AX11=1,OR($AW11="",COUNTIF($ED$10:$EH$10,$AW11)&gt;0)),$AV11,"")</f>
        <v/>
      </c>
      <c r="LC11" s="152">
        <f>IF(OR($W11="",COUNTIF($ED$10:$EH$10,$W11)&gt;0),$V11,"")</f>
        <v/>
      </c>
      <c r="LD11" s="152">
        <f>IF(AND($AF11=1,OR($W11="",COUNTIF($ED$10:$EH$10,$W11)&gt;0)),$V11,"")</f>
        <v/>
      </c>
      <c r="LF11" s="152">
        <f>IF(OR($AW11="",COUNTIF($ED$11:$EH$11,$AW11)&gt;0),$AV11,"")</f>
        <v/>
      </c>
      <c r="LG11" s="152">
        <f>IF(AND($AX11=1,OR($AW11="",COUNTIF($ED$11:$EH$11,$AW11)&gt;0)),$AV11,"")</f>
        <v/>
      </c>
      <c r="LI11" s="152">
        <f>IF(OR($W11="",COUNTIF($ED$11:$EH$11,$W11)&gt;0),$V11,"")</f>
        <v/>
      </c>
      <c r="LJ11" s="152">
        <f>IF(AND($AF11=1,OR($W11="",COUNTIF($ED$11:$EH$11,$W11)&gt;0)),$V11,"")</f>
        <v/>
      </c>
      <c r="LL11" s="152">
        <f>IF(OR($AW11="",COUNTIF($ED$12:$EH$12,$AW11)&gt;0),$AV11,"")</f>
        <v/>
      </c>
      <c r="LM11" s="152">
        <f>IF(AND($AX11=1,OR($AW11="",COUNTIF($ED$12:$EH$12,$AW11)&gt;0)),$AV11,"")</f>
        <v/>
      </c>
      <c r="LO11" s="152">
        <f>IF(OR($W11="",COUNTIF($ED$12:$EH$12,$W11)&gt;0),$V11,"")</f>
        <v/>
      </c>
      <c r="LP11" s="152">
        <f>IF(AND($AF11=1,OR($W11="",COUNTIF($ED$12:$EH$12,$W11)&gt;0)),$V11,"")</f>
        <v/>
      </c>
      <c r="LR11" s="152">
        <f>IF(OR($AW11="",COUNTIF($ED$13:$EH$13,$AW11)&gt;0),$AV11,"")</f>
        <v/>
      </c>
      <c r="LS11" s="152">
        <f>IF(AND($AX11=1,OR($AW11="",COUNTIF($ED$13:$EH$13,$AW11)&gt;0)),$AV11,"")</f>
        <v/>
      </c>
      <c r="LU11" s="152">
        <f>IF(OR($W11="",COUNTIF($ED$13:$EH$13,$W11)&gt;0),$V11,"")</f>
        <v/>
      </c>
      <c r="LV11" s="152">
        <f>IF(AND($AF11=1,OR($W11="",COUNTIF($ED$13:$EH$13,$W11)&gt;0)),$V11,"")</f>
        <v/>
      </c>
      <c r="LX11" s="150" t="inlineStr">
        <is>
          <t>Ficha 1 · Especial 8</t>
        </is>
      </c>
      <c r="LY11" s="152" t="n">
        <v>1</v>
      </c>
      <c r="LZ11" s="152" t="n">
        <v>1</v>
      </c>
      <c r="MA11" s="152" t="n">
        <v>28</v>
      </c>
      <c r="MB11" s="150" t="inlineStr">
        <is>
          <t>ESPECIAL 8</t>
        </is>
      </c>
      <c r="MC11" s="152">
        <f>MAX(1,MIN(7,N('INVOCAÇÕES'!$I$136)))</f>
        <v/>
      </c>
      <c r="MD11" s="152">
        <f>'INVOCAÇÕES'!$J$136&amp;""</f>
        <v/>
      </c>
      <c r="ME11" s="152">
        <f>'INVOCAÇÕES'!$I$141&amp;""</f>
        <v/>
      </c>
      <c r="MF11" s="152">
        <f>'INVOCAÇÕES'!$I$142&amp;""</f>
        <v/>
      </c>
      <c r="MG11" s="152">
        <f>'INVOCAÇÕES'!$K$142&amp;""</f>
        <v/>
      </c>
      <c r="MH11" s="152">
        <f>'INVOCAÇÕES'!$J$145&amp;""</f>
        <v/>
      </c>
      <c r="MI11" s="152">
        <f>'INVOCAÇÕES'!$J$146&amp;""</f>
        <v/>
      </c>
      <c r="MJ11" s="152">
        <f>'INVOCAÇÕES'!$J$147&amp;""</f>
        <v/>
      </c>
      <c r="MK11" s="152">
        <f>'INVOCAÇÕES'!$J$148&amp;""</f>
        <v/>
      </c>
      <c r="ML11" s="152">
        <f>'INVOCAÇÕES'!$J$149&amp;""</f>
        <v/>
      </c>
      <c r="MM11" s="152">
        <f>'INVOCAÇÕES'!$J$150&amp;""</f>
        <v/>
      </c>
      <c r="MN11" s="152">
        <f>IF($MD11&lt;&gt;"",1,0)</f>
        <v/>
      </c>
      <c r="MO11" s="152">
        <f>INDEX($FG$2:$FG$13,$LY11)</f>
        <v/>
      </c>
      <c r="MP11" s="152">
        <f>INDEX($FH$2:$FH$13,$LY11)</f>
        <v/>
      </c>
      <c r="MQ11" s="152">
        <f>INDEX($FI$2:$FI$13,$LY11)</f>
        <v/>
      </c>
      <c r="MR11" s="152">
        <f>INDEX($FT$2:$FT$13,$LY11)</f>
        <v/>
      </c>
      <c r="MS11" s="152">
        <f>INDEX($FU$2:$FU$13,$LY11)</f>
        <v/>
      </c>
      <c r="MT11" s="152">
        <f>IFERROR(MATCH($ME11,$V$2:$V$11,0),0)</f>
        <v/>
      </c>
      <c r="MU11" s="152">
        <f>IFERROR(VLOOKUP($MH11,$AV$2:$AZ$84,2,FALSE),"")</f>
        <v/>
      </c>
      <c r="MV11" s="152">
        <f>IFERROR(VLOOKUP($MI11,$AV$2:$AZ$84,2,FALSE),"")</f>
        <v/>
      </c>
      <c r="MW11" s="152">
        <f>IFERROR(VLOOKUP($MJ11,$AV$2:$AZ$84,2,FALSE),"")</f>
        <v/>
      </c>
      <c r="MX11" s="152">
        <f>IFERROR(VLOOKUP($MK11,$AV$2:$AZ$84,2,FALSE),"")</f>
        <v/>
      </c>
      <c r="MY11" s="152">
        <f>IFERROR(VLOOKUP($MH11,$AV$2:$AZ$84,3,FALSE),0)</f>
        <v/>
      </c>
      <c r="MZ11" s="152">
        <f>IFERROR(VLOOKUP($MI11,$AV$2:$AZ$84,3,FALSE),0)</f>
        <v/>
      </c>
      <c r="NA11" s="152">
        <f>IFERROR(VLOOKUP($MJ11,$AV$2:$AZ$84,3,FALSE),0)</f>
        <v/>
      </c>
      <c r="NB11" s="152">
        <f>IFERROR(VLOOKUP($MK11,$AV$2:$AZ$84,3,FALSE),0)</f>
        <v/>
      </c>
      <c r="NC11" s="152">
        <f>IF($MC11=0,0,IF($MT11=0,0,INDEX($X$2:$X$11,$MT11)))</f>
        <v/>
      </c>
      <c r="ND11" s="152">
        <f>IF(OR($MY11=0,$MC11=0),0,$MY11+3*IF(AND($MU11&lt;&gt;"",OR($MU11=INDEX($ED$2:$ED$13,$LY11),$MU11=INDEX($EE$2:$EE$13,$LY11))),1,0))</f>
        <v/>
      </c>
      <c r="NE11" s="152">
        <f>IF(OR($MZ11=0,$MC11=0),0,$MZ11+3*IF(AND($MV11&lt;&gt;"",OR($MV11=INDEX($ED$2:$ED$13,$LY11),$MV11=INDEX($EE$2:$EE$13,$LY11))),1,0))</f>
        <v/>
      </c>
      <c r="NF11" s="152">
        <f>IF(OR($NA11=0,$MC11=0),0,$NA11+3*IF(AND($MW11&lt;&gt;"",OR($MW11=INDEX($ED$2:$ED$13,$LY11),$MW11=INDEX($EE$2:$EE$13,$LY11))),1,0))</f>
        <v/>
      </c>
      <c r="NG11" s="152">
        <f>IF(OR($NB11=0,$MC11=0),0,$NB11+3*IF(AND($MX11&lt;&gt;"",OR($MX11=INDEX($ED$2:$ED$13,$LY11),$MX11=INDEX($EE$2:$EE$13,$LY11))),1,0))</f>
        <v/>
      </c>
      <c r="NH11" s="152">
        <f>IF($MT11=0,0,IF(INDEX($W$2:$W$11,$MT11)="",0,IF(COUNTIF(INDEX($ED$2:$EH$13,$LY11,0),INDEX($W$2:$W$11,$MT11))=0,1,0)))</f>
        <v/>
      </c>
      <c r="NI11" s="152">
        <f>IF(OR($MY11=0,$MU11=""),0,IF(COUNTIF(INDEX($ED$2:$EH$13,$LY11,0),$MU11)=0,1,0))</f>
        <v/>
      </c>
      <c r="NJ11" s="152">
        <f>IF(OR($MZ11=0,$MV11=""),0,IF(COUNTIF(INDEX($ED$2:$EH$13,$LY11,0),$MV11)=0,1,0))</f>
        <v/>
      </c>
      <c r="NK11" s="152">
        <f>IF(OR($NA11=0,$MW11=""),0,IF(COUNTIF(INDEX($ED$2:$EH$13,$LY11,0),$MW11)=0,1,0))</f>
        <v/>
      </c>
      <c r="NL11" s="152">
        <f>IF(OR($NB11=0,$MX11=""),0,IF(COUNTIF(INDEX($ED$2:$EH$13,$LY11,0),$MX11)=0,1,0))</f>
        <v/>
      </c>
      <c r="NM11" s="152">
        <f>IFERROR(VLOOKUP($MH11,$AV$2:$AZ$84,4,FALSE),0)+IFERROR(VLOOKUP($MI11,$AV$2:$AZ$84,4,FALSE),0)+IFERROR(VLOOKUP($MJ11,$AV$2:$AZ$84,4,FALSE),0)+IFERROR(VLOOKUP($MK11,$AV$2:$AZ$84,4,FALSE),0)</f>
        <v/>
      </c>
      <c r="NN11" s="152">
        <f>TEXTJOIN(", ",TRUE,IF(IFERROR(VLOOKUP($MH11,$AV$2:$AZ$84,5,FALSE),0)=1,$MH11,""),IF(IFERROR(VLOOKUP($MI11,$AV$2:$AZ$84,5,FALSE),0)=1,$MI11,""),IF(IFERROR(VLOOKUP($MJ11,$AV$2:$AZ$84,5,FALSE),0)=1,$MJ11,""),IF(IFERROR(VLOOKUP($MK11,$AV$2:$AZ$84,5,FALSE),0)=1,$MK11,""))</f>
        <v/>
      </c>
      <c r="NO11" s="152">
        <f>IF($MT11=0,0,INDEX($Y$2:$Y$11,$MT11))</f>
        <v/>
      </c>
      <c r="NP11" s="152">
        <f>IF($MT11=0,0,INDEX($Z$2:$Z$11,$MT11))</f>
        <v/>
      </c>
      <c r="NQ11" s="152">
        <f>IF($MT11=0,0,INDEX($AB$2:$AB$11,$MT11))</f>
        <v/>
      </c>
      <c r="NR11" s="152">
        <f>IFERROR(VLOOKUP($ML11,$BB$2:$BF$24,3,FALSE),0)</f>
        <v/>
      </c>
      <c r="NS11" s="152">
        <f>IFERROR(VLOOKUP($MM11,$BB$2:$BF$24,3,FALSE),0)</f>
        <v/>
      </c>
      <c r="NT11" s="152">
        <f>IFERROR(VLOOKUP($ML11,$BB$2:$BF$24,2,FALSE),"")</f>
        <v/>
      </c>
      <c r="NU11" s="152">
        <f>IFERROR(VLOOKUP($MM11,$BB$2:$BF$24,2,FALSE),"")</f>
        <v/>
      </c>
      <c r="NV11" s="152">
        <f>COUNTIF($NC11:$NG11,1)</f>
        <v/>
      </c>
      <c r="NW11" s="152">
        <f>COUNTIF($NC11:$NG11,2)</f>
        <v/>
      </c>
      <c r="NX11" s="152">
        <f>COUNTIF($NC11:$NG11,3)</f>
        <v/>
      </c>
      <c r="NY11" s="152">
        <f>COUNTIF($NC11:$NG11,4)</f>
        <v/>
      </c>
      <c r="NZ11" s="152">
        <f>COUNTIF($NC11:$NG11,5)</f>
        <v/>
      </c>
      <c r="OA11" s="152">
        <f>COUNTIF($NC11:$NG11,6)</f>
        <v/>
      </c>
      <c r="OB11" s="152">
        <f>COUNTIF($NR11:$NS11,1)</f>
        <v/>
      </c>
      <c r="OC11" s="152">
        <f>COUNTIF($NR11:$NS11,2)+$NO11</f>
        <v/>
      </c>
      <c r="OD11" s="152">
        <f>COUNTIF($MH11:$MK11,"?*")</f>
        <v/>
      </c>
      <c r="OE11" s="152">
        <f>COUNTIF($ML11:$MM11,"?*")+$NO11</f>
        <v/>
      </c>
      <c r="OF11" s="152">
        <f>IF($MC11=0,0,SUMPRODUCT($NV11:$OA11,INDEX($I$2:$N$8,MAX(1,$MC11),0)))</f>
        <v/>
      </c>
      <c r="OG11" s="152">
        <f>IF($MC11=0,0,$OB11*CEILING($MC11/2,1)+$OC11*$MC11)</f>
        <v/>
      </c>
      <c r="OH11" s="152">
        <f>MIN(2*$MC11,$OG11)</f>
        <v/>
      </c>
      <c r="OI11" s="152">
        <f>MIN($OH11,$OF11)</f>
        <v/>
      </c>
      <c r="OJ11" s="152">
        <f>$OH11-$OI11</f>
        <v/>
      </c>
      <c r="OK11" s="152">
        <f>IF($MC11=0,0,INDEX($P$2:$P$8,MAX(1,$MC11)))</f>
        <v/>
      </c>
      <c r="OL11" s="152">
        <f>$OK11-$OF11+$OI11</f>
        <v/>
      </c>
      <c r="OM11" s="152">
        <f>IF($MC11=0,MAX(0,$MQ11-IF($OD11&gt;0,1,0)),MAX(0,$OL11))</f>
        <v/>
      </c>
      <c r="ON11" s="152">
        <f>IF($MC11=0,0,(IF(COUNTIF($MH11:$MK11,"Salto")&gt;0,1,0)+IF(COUNTIF($MH11:$MK11,"Queima")&gt;0,1,0)+IF(COUNTIF($MH11:$MK11,"Estilhaço")&gt;0,1,0))*FLOOR($OM11/2,1))</f>
        <v/>
      </c>
      <c r="OO11" s="152">
        <f>MAX(0,2-SUMPRODUCT($NV11:$OA11,$I$2:$N$2)+MIN(2,$OB11*1+$OC11*1,SUMPRODUCT($NV11:$OA11,$I$2:$N$2)))</f>
        <v/>
      </c>
      <c r="OP11" s="152">
        <f>MAX(0,4-SUMPRODUCT($NV11:$OA11,$I$3:$N$3)+MIN(4,$OB11*1+$OC11*2,SUMPRODUCT($NV11:$OA11,$I$3:$N$3)))</f>
        <v/>
      </c>
      <c r="OQ11" s="152">
        <f>MAX(0,6-SUMPRODUCT($NV11:$OA11,$I$4:$N$4)+MIN(6,$OB11*2+$OC11*3,SUMPRODUCT($NV11:$OA11,$I$4:$N$4)))</f>
        <v/>
      </c>
      <c r="OR11" s="152">
        <f>MAX(0,9-SUMPRODUCT($NV11:$OA11,$I$5:$N$5)+MIN(8,$OB11*2+$OC11*4,SUMPRODUCT($NV11:$OA11,$I$5:$N$5)))</f>
        <v/>
      </c>
      <c r="OS11" s="152">
        <f>MAX(0,11-SUMPRODUCT($NV11:$OA11,$I$6:$N$6)+MIN(10,$OB11*3+$OC11*5,SUMPRODUCT($NV11:$OA11,$I$6:$N$6)))</f>
        <v/>
      </c>
      <c r="OT11" s="152">
        <f>MAX(0,13-SUMPRODUCT($NV11:$OA11,$I$7:$N$7)+MIN(12,$OB11*3+$OC11*6,SUMPRODUCT($NV11:$OA11,$I$7:$N$7)))</f>
        <v/>
      </c>
      <c r="OU11" s="152">
        <f>MAX(0,16-SUMPRODUCT($NV11:$OA11,$I$8:$N$8)+MIN(14,$OB11*4+$OC11*7,SUMPRODUCT($NV11:$OA11,$I$8:$N$8)))</f>
        <v/>
      </c>
      <c r="OV11" s="152">
        <f>IF($NP11=2,3*$OO11&amp;" de vida temp.",IF($NP11=3,"sem dano",IF($OO11=0,IF($NP11=1,"sem cura","sem dano"),IF($NP11=1,"cura ","")&amp;$OO11&amp;"d8")))</f>
        <v/>
      </c>
      <c r="OW11" s="152">
        <f>IF($NP11=2,3*$OP11&amp;" de vida temp.",IF($NP11=3,"sem dano",IF($OP11=0,IF($NP11=1,"sem cura","sem dano"),IF($NP11=1,"cura ","")&amp;$OP11&amp;"d8")))</f>
        <v/>
      </c>
      <c r="OX11" s="152">
        <f>IF($NP11=2,3*$OQ11&amp;" de vida temp.",IF($NP11=3,"sem dano",IF($OQ11=0,IF($NP11=1,"sem cura","sem dano"),IF($NP11=1,"cura ","")&amp;$OQ11&amp;"d8")))</f>
        <v/>
      </c>
      <c r="OY11" s="152">
        <f>IF($NP11=2,3*$OR11&amp;" de vida temp.",IF($NP11=3,"sem dano",IF($OR11=0,IF($NP11=1,"sem cura","sem dano"),IF($NP11=1,"cura ","")&amp;$OR11&amp;"d8")))</f>
        <v/>
      </c>
      <c r="OZ11" s="152">
        <f>IF($NP11=2,3*$OS11&amp;" de vida temp.",IF($NP11=3,"sem dano",IF($OS11=0,IF($NP11=1,"sem cura","sem dano"),IF($NP11=1,"cura ","")&amp;$OS11&amp;"d8")))</f>
        <v/>
      </c>
      <c r="PA11" s="152">
        <f>IF($NP11=2,3*$OT11&amp;" de vida temp.",IF($NP11=3,"sem dano",IF($OT11=0,IF($NP11=1,"sem cura","sem dano"),IF($NP11=1,"cura ","")&amp;$OT11&amp;"d8")))</f>
        <v/>
      </c>
      <c r="PB11" s="152">
        <f>IF($NP11=2,3*$OU11&amp;" de vida temp.",IF($NP11=3,"sem dano",IF($OU11=0,IF($NP11=1,"sem cura","sem dano"),IF($NP11=1,"cura ","")&amp;$OU11&amp;"d8")))</f>
        <v/>
      </c>
      <c r="PC11" s="152">
        <f>IF($MN11=0,"",TEXTJOIN(" · ",TRUE,IF($MA11&gt;$MO11,"Este lugar abre no nível "&amp;$MA11,""),IF($MC11&gt;$MP11,"Classe "&amp;$MC11&amp;": o nível "&amp;$MO11&amp;" libera até a "&amp;$MP11,""),IF($NH11=1,"A Forma "&amp;$ME11&amp;" pede "&amp;INDEX($W$2:$W$11,$MT11)&amp;" aberta",""),IF(AND($MC11=0,$MT11&gt;0,IF($MT11=0,0,INDEX($AF$2:$AF$11,$MT11))=0),$ME11&amp;" não existe na Classe 0",""),IF($NI11=1,"Família Fechada: "&amp;$MH11,""),IF($NJ11=1,"Família Fechada: "&amp;$MI11,""),IF($NK11=1,"Família Fechada: "&amp;$MJ11,""),IF($NL11=1,"Família Fechada: "&amp;$MK11,""),IF(AND($MC11&gt;0,$OD11&gt;INDEX($O$2:$O$8,MAX(1,$MC11))),$OD11&amp;" Melhorias: a Classe "&amp;$MC11&amp;" aceita "&amp;INDEX($O$2:$O$8,MAX(1,$MC11)),""),IF(AND($MC11=0,$OD11&gt;1),"A básica aceita uma Melhoria",""),IF(AND($MC11=0,COUNTIF($MY11:$NB11,"&gt;1")&gt;0),"A básica só aceita Melhoria Leve",""),IF(AND($MC11&gt;0,$OE11&gt;2),$OE11&amp;" Restrições"&amp;IF($NO11=1,", contando a que a Forma "&amp;$ME11&amp;" já traz","")&amp;": o limite é 2",""),IF(AND($MC11=0,COUNTIF($ML11:$MM11,"?*")&gt;1),"A básica aceita uma Restrição Leve",""),IF(AND($MC11=0,COUNTIF($NR11:$NS11,2)&gt;0),"A básica só aceita Restrição Leve",""),IF(AND($MC11&gt;0,$OL11&lt;0),"Orçamento estourado: faltam "&amp;(-$OL11)&amp;IF($OL11&lt;-1," pontos"," ponto"),""),IF(IFERROR(VLOOKUP($ML11,$BB$2:$BF$24,4,FALSE),0)+IFERROR(VLOOKUP($MM11,$BB$2:$BF$24,4,FALSE),0)&gt;1,$NT11&amp;" e "&amp;$NU11&amp;" são as duas de frequência",""),IF(AND((COUNTIF($MH11:$MK11,"Rápido")+COUNTIF($NT11:$NU11,"Rápido"))&gt;0,(COUNTIF($MH11:$MK11,"Atrasar")+COUNTIF($NT11:$NU11,"Atrasar"))&gt;0),"Rápido não entra com Atrasar",""),IF(AND((COUNTIF($MH11:$MK11,"Reação")+COUNTIF($NT11:$NU11,"Reação"))&gt;0,(COUNTIF($MH11:$MK11,"Rápido")+COUNTIF($NT11:$NU11,"Rápido"))&gt;0),"Reação não entra com Rápido",""),IF(AND((COUNTIF($MH11:$MK11,"Reação")+COUNTIF($NT11:$NU11,"Reação"))&gt;0,(COUNTIF($MH11:$MK11,"Armado")+COUNTIF($NT11:$NU11,"Armado"))&gt;0),"Reação não entra com Armado",""),IF(AND((COUNTIF($MH11:$MK11,"Reação")+COUNTIF($NT11:$NU11,"Reação"))&gt;0,(COUNTIF($MH11:$MK11,"Atrasar")+COUNTIF($NT11:$NU11,"Atrasar"))&gt;0),"Reação não entra com Atrasar",""),IF(AND((COUNTIF($MH11:$MK11,"Reação")+COUNTIF($NT11:$NU11,"Reação"))&gt;0,(COUNTIF($MH11:$MK11,"Parado")+COUNTIF($NT11:$NU11,"Parado"))&gt;0),"Reação não entra com Parado",""),IF(AND((COUNTIF($MH11:$MK11,"Atrasar")+COUNTIF($NT11:$NU11,"Atrasar"))&gt;0,(COUNTIF($MH11:$MK11,"Parado")+COUNTIF($NT11:$NU11,"Parado"))&gt;0),"Atrasar não entra com Parado",""),IF(AND((COUNTIF($MH11:$MK11,"Armado")+COUNTIF($NT11:$NU11,"Armado"))&gt;0,(COUNTIF($MH11:$MK11,"Carregar")+COUNTIF($NT11:$NU11,"Carregar"))&gt;0),"Armado não entra com Carregar",""),IF(AND(COUNTIF($NT11:$NU11,"Corpo a Corpo")&gt;0,$NO11=0,OR($ME11="Cone",$ME11="Linha")),"Corpo a Corpo não entra em "&amp;$ME11,""),IF(AND(COUNTIF($NT11:$NU11,"Corpo a Corpo")&gt;0,$NO11=1),"A Forma "&amp;$ME11&amp;" já traz o Corpo a Corpo",""),IF(AND(COUNTIF($NT11:$NU11,"Tudo ou Nada")&gt;0,$NQ11=0),"Tudo ou Nada só entra em habilidade de Teste de Resistência",""),IF(AND(COUNTIF($MH11:$MK11,"Inescapável")&gt;0,OR($OD11&gt;1,$OE11&gt;0)),"Inescapável não aceita outra peça",""),IF(AND($MC11&gt;0,$OM11*IF(COUNTIF($MH11:$MK11,"Remate")&gt;0,1.25,1)+$ON11&gt;4*$MC11),($OM11*IF(COUNTIF($MH11:$MK11,"Remate")&gt;0,1.25,1)+$ON11)&amp;" dados somando repetições"&amp;IF(COUNTIF($MH11:$MK11,"Remate")&gt;0," e o Remate","")&amp;": o teto da Classe "&amp;$MC11&amp;" é "&amp;4*$MC11,"")))</f>
        <v/>
      </c>
      <c r="PD11" s="152">
        <f>IF($PC11="",0,(LEN($PC11)-LEN(SUBSTITUTE($PC11," · ","")))/3+1)</f>
        <v/>
      </c>
      <c r="PE11" s="152">
        <f>IF($MN11=0,"",TEXTJOIN(" · ",TRUE,IF($OG11&gt;2*$MC11,"A devolução parou no teto de "&amp;2*$MC11,""),IF($OJ11&gt;0,"Devolução perdida: "&amp;$OJ11&amp;IF($OJ11&gt;1," pontos"," ponto")&amp;" sem peça para pagar",""),IF(AND($NM11&gt;0,AND($MC11&gt;0,$NP11=0),$OM11=0),"Controle sem dano: uma rodada a mais e CD +2",""),IF(AND($NM11&gt;0,AND($MC11&gt;0,$NP11=0),$OM11&gt;0,$OM11&lt;=$MC11),"Controle com saldo até a Classe: uma rodada a mais",""),IF(AND($MC11&gt;0,$NN11&lt;&gt;""),"Efeito de "&amp;$NN11&amp;" pela Classe "&amp;MAX(1,$MC11-1),"")))</f>
        <v/>
      </c>
      <c r="PF11" s="152">
        <f>IF($PE11="",0,(LEN($PE11)-LEN(SUBSTITUTE($PE11," · ","")))/3+1)</f>
        <v/>
      </c>
      <c r="PG11" s="152">
        <f>IF($MN11=0,IF($OD11+COUNTIF($ML11:$MM11,"?*")&gt;0,"Dê um nome",""),IF($PD11&gt;0,"⚠ "&amp;$PD11&amp;IF($PD11&gt;1," erros"," erro"),IF($PF11&gt;0,"! "&amp;$PF11&amp;IF($PF11&gt;1," avisos"," aviso"),"Na regra")))</f>
        <v/>
      </c>
      <c r="PH11" s="152">
        <f>IF($MN11=0,"",IF($PD11+$PF11=0,"Dentro das regras que a ficha confere",$PC11&amp;IF(AND($PD11&gt;0,$PF11&gt;0)," · ","")&amp;$PE11))</f>
        <v/>
      </c>
      <c r="PI11" s="152">
        <f>IF($MA11&gt;$MO11,$MB11&amp;" · ABRE NO NÍVEL "&amp;$MA11,$MB11)</f>
        <v/>
      </c>
      <c r="PJ11" s="152">
        <f>IF($MN11=0,"",IF($MC11=0,"Sem PE",3*$MC11&amp;" PE"))</f>
        <v/>
      </c>
      <c r="PK11" s="152">
        <f>IF($MN11=0,"",IF($MC11=0,"A atuação básica dela",IF(COUNTIF($NT11:$NU11,"Atrasar")&gt;0,"Sua Ação Completa",IF(COUNTIF($MH11:$MK11,"Rápido")&gt;0,"Sua Bônus",IF(COUNTIF($MH11:$MK11,"Reação")&gt;0,"Sua Reação","Sua Padrão")))&amp;" + a básica dela"&amp;IF(COUNTIF($MH11:$MK11,"Reação")&gt;0," e a coletiva","")&amp;IF(COUNTIF($NT11:$NU11,"Carregar")&gt;0," · em dois turnos","")))</f>
        <v/>
      </c>
      <c r="PL11" s="152">
        <f>IF($MG11&lt;&gt;"",$MG11,IF($MT11=0,"",INDEX($AA$2:$AA$11,$MT11)))</f>
        <v/>
      </c>
      <c r="PM11" s="152">
        <f>IF(OR($MN11=0,$MT11=0),"",IF(COUNTIF($MH11:$MK11,"Inescapável")&gt;0,"Automático",IF($PL11="Ataque",IF($MR11="","Ataque","Ataque "&amp;IF(($MR11+2*IF(COUNTIF($MH11:$MK11,"Precisão")&gt;0,1,0))&gt;=0,"+","−")&amp;ABS(($MR11+2*IF(COUNTIF($MH11:$MK11,"Precisão")&gt;0,1,0)))),IF(LEFT($PL11,2)="TR",$PL11&amp;IF($MS11="",""," · CD "&amp;$MS11)&amp;IF(COUNTIF($MH11:$MK11,"Certeiro")&gt;0," · metade",""),"Sem rolagem"))))</f>
        <v/>
      </c>
      <c r="PN11" s="152">
        <f>IF(OR($MN11=0,$MT11=0),"",IF($MC11=0,IF(OR($NP11&gt;=1,$OM11=0),"Sem dano",$OM11&amp;"d6"&amp;IF($MF11="",""," "&amp;$MF11)),IF(OR($NP11&gt;=1,$OM11=0),UPPER(LEFT(INDEX($OV11:$PB11,1,MAX(1,$MC11)),1))&amp;MID(INDEX($OV11:$PB11,1,MAX(1,$MC11)),2,99),UPPER(LEFT(INDEX($OV11:$PB11,1,MAX(1,$MC11)),1))&amp;MID(INDEX($OV11:$PB11,1,MAX(1,$MC11)),2,99)&amp;IF($MF11="",""," "&amp;$MF11)&amp;IF($ON11&gt;0," · +"&amp;$ON11&amp;"d8",""))))</f>
        <v/>
      </c>
      <c r="PO11" s="152">
        <f>COUNTIF($MH11:$MK11,"Longe")+3*COUNTIF($MH11:$MK11,"Muito Longe")</f>
        <v/>
      </c>
      <c r="PP11" s="152">
        <f>COUNTIF($MH11:$MK11,"Maior")+3*COUNTIF($MH11:$MK11,"Muito Maior")</f>
        <v/>
      </c>
      <c r="PQ11" s="152">
        <f>IF($MT11=0,0,CHOOSE(1+INDEX($AC$2:$AC$11,$MT11),0,$PO11,$PP11,$PO11+$PP11))</f>
        <v/>
      </c>
      <c r="PR11" s="152">
        <f>IF($MT11=0,0,CHOOSE(1+INDEX($AD$2:$AD$11,$MT11),0,$PO11,$PP11,$PO11+$PP11))</f>
        <v/>
      </c>
      <c r="PS11" s="152">
        <f>IF(OR($MN11=0,$MT11=0),"",INDEX($AI$2:$AN$41,($MT11-1)*4+IF($MC11=0,1,IF($MC11&lt;=5,2,IF($MC11=6,3,4))),1+MIN(5,$PQ11))&amp;INDEX($AO$2:$AT$41,($MT11-1)*4+IF($MC11=0,1,IF($MC11&lt;=5,2,IF($MC11=6,3,4))),1+MIN(5,$PR11))&amp;IF(INDEX($AE$2:$AE$11,$MT11)=1,IF(COUNTIF($MH11:$MK11,"Mais Um")&gt;0," · +"&amp;COUNTIF($MH11:$MK11,"Mais Um")&amp;IF(COUNTIF($MH11:$MK11,"Mais Um")&gt;1," alvos"," alvo"),"")&amp;IF(COUNTIF($MH11:$MK11,"Rajada")&gt;0,IF($MC11=0," · 1 tiro"," · "&amp;(MAX(1,$MC11-1)+1)&amp;" tiros"),""),""))</f>
        <v/>
      </c>
      <c r="PT11" s="152">
        <f>IF($MN11=0,"",IF($MC11=0,$MQ11&amp;"d6"&amp;IF($OD11&gt;0," − 1 = "&amp;$OM11&amp;"d6"," da básica do nível "&amp;$MO11),$OK11&amp;" − "&amp;$OF11&amp;" + "&amp;$OI11&amp;" = "&amp;$OL11&amp;" · teto "&amp;4*$MC11&amp;"d8"&amp;IF($NO11=1," · a Forma devolve "&amp;$MC11,"")&amp;IF($OJ11&gt;0," · perde "&amp;$OJ11,"")))</f>
        <v/>
      </c>
      <c r="PU11" s="152">
        <f>IF($MN11=0,"",IF($MC11=0,"A básica não amplia: os dados dela sobem com o nível",IF($MC11&gt;=$MP11,"Já está na maior Classe que o nível liberou",TEXTJOIN(" · ",TRUE,IF(AND(2&gt;$MC11,2&lt;=$MP11),"2 → "&amp;$OW11&amp;", 6 PE",""),IF(AND(3&gt;$MC11,3&lt;=$MP11),"3 → "&amp;$OX11&amp;", 9 PE",""),IF(AND(4&gt;$MC11,4&lt;=$MP11),"4 → "&amp;$OY11&amp;", 12 PE",""),IF(AND(5&gt;$MC11,5&lt;=$MP11),"5 → "&amp;$OZ11&amp;", 15 PE",""),IF(AND(6&gt;$MC11,6&lt;=$MP11),"6 → "&amp;$PA11&amp;", 18 PE",""),IF(AND(7&gt;$MC11,7&lt;=$MP11),"7 → "&amp;$PB11&amp;", 21 PE","")))))</f>
        <v/>
      </c>
      <c r="PV11" s="152">
        <f>IF(OR($MN11=0,$MY11=0),"",IF($MC11=0,"−1 dado","−"&amp;INDEX($I$2:$N$8,MAX(1,$MC11),MAX(1,$ND11))&amp;" · "&amp;CHOOSE(MAX(1,$ND11),"Leve","Média","Pesada","Leve · Livre","Média · Livre","Pesada · Livre")))</f>
        <v/>
      </c>
      <c r="PW11" s="152">
        <f>IF(OR($MN11=0,$MZ11=0),"",IF($MC11=0,"−1 dado","−"&amp;INDEX($I$2:$N$8,MAX(1,$MC11),MAX(1,$NE11))&amp;" · "&amp;CHOOSE(MAX(1,$NE11),"Leve","Média","Pesada","Leve · Livre","Média · Livre","Pesada · Livre")))</f>
        <v/>
      </c>
      <c r="PX11" s="152">
        <f>IF(OR($MN11=0,$NA11=0),"",IF($MC11=0,"−1 dado","−"&amp;INDEX($I$2:$N$8,MAX(1,$MC11),MAX(1,$NF11))&amp;" · "&amp;CHOOSE(MAX(1,$NF11),"Leve","Média","Pesada","Leve · Livre","Média · Livre","Pesada · Livre")))</f>
        <v/>
      </c>
      <c r="PY11" s="152">
        <f>IF(OR($MN11=0,$NB11=0),"",IF($MC11=0,"−1 dado","−"&amp;INDEX($I$2:$N$8,MAX(1,$MC11),MAX(1,$NG11))&amp;" · "&amp;CHOOSE(MAX(1,$NG11),"Leve","Média","Pesada","Leve · Livre","Média · Livre","Pesada · Livre")))</f>
        <v/>
      </c>
      <c r="PZ11" s="152">
        <f>IF(OR($MN11=0,$ML11=""),"",IF($MC11=0,"não devolve","+"&amp;IF($NR11=1,CEILING($MC11/2,1),$MC11)))</f>
        <v/>
      </c>
      <c r="QA11" s="152">
        <f>IF(OR($MN11=0,$MM11=""),"",IF($MC11=0,"não devolve","+"&amp;IF($NS11=1,CEILING($MC11/2,1),$MC11)))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B12" s="150" t="inlineStr">
        <is>
          <t>Peso Morto</t>
        </is>
      </c>
      <c r="BC12" s="150" t="inlineStr">
        <is>
          <t>Peso Morto</t>
        </is>
      </c>
      <c r="BD12" s="152" t="n">
        <v>1</v>
      </c>
      <c r="BE12" s="152" t="n">
        <v>0</v>
      </c>
      <c r="BF12" s="150" t="inlineStr">
        <is>
          <t>Peso Morto</t>
        </is>
      </c>
      <c r="BH12" s="150" t="inlineStr">
        <is>
          <t>Escama</t>
        </is>
      </c>
      <c r="BI12" s="152" t="n">
        <v>3</v>
      </c>
      <c r="BJ12" s="150" t="inlineStr">
        <is>
          <t>Escolha um tipo de dano que a Regra da sua técnica justifique. Você tem resistência a esse tipo: sofre metade do dano, com o arredondamento das regras de dano.</t>
        </is>
      </c>
      <c r="BK12" s="150" t="inlineStr"/>
      <c r="BZ12" s="150" t="inlineStr">
        <is>
          <t>Hierarquia</t>
        </is>
      </c>
      <c r="CA12" s="150" t="inlineStr">
        <is>
          <t>Inteligência</t>
        </is>
      </c>
      <c r="CE12" s="150" t="inlineStr">
        <is>
          <t>Necrótico</t>
        </is>
      </c>
      <c r="CV12" s="150" t="inlineStr">
        <is>
          <t>cor da barra</t>
        </is>
      </c>
      <c r="CW12" s="152">
        <f>DADOS!$CZ$51</f>
        <v/>
      </c>
      <c r="CY12" s="152" t="n">
        <v>11</v>
      </c>
      <c r="CZ12" s="152">
        <f>'INVOCAÇÕES'!$AB$805&amp;""</f>
        <v/>
      </c>
      <c r="DA12" s="152">
        <f>'INVOCAÇÕES'!$AB$835&amp;""</f>
        <v/>
      </c>
      <c r="DB12" s="152">
        <f>'INVOCAÇÕES'!$AB$839&amp;""</f>
        <v/>
      </c>
      <c r="DC12" s="152">
        <f>N('INVOCAÇÕES'!$AD$839)</f>
        <v/>
      </c>
      <c r="DD12" s="152">
        <f>'INVOCAÇÕES'!$AE$839&amp;""</f>
        <v/>
      </c>
      <c r="DE12" s="152">
        <f>N('INVOCAÇÕES'!$AH$812)</f>
        <v/>
      </c>
      <c r="DF12" s="152">
        <f>N('INVOCAÇÕES'!$AI$812)</f>
        <v/>
      </c>
      <c r="DG12" s="152">
        <f>N('INVOCAÇÕES'!$AJ$812)</f>
        <v/>
      </c>
      <c r="DH12" s="152">
        <f>N('INVOCAÇÕES'!$AK$812)</f>
        <v/>
      </c>
      <c r="DI12" s="152">
        <f>N('INVOCAÇÕES'!$AL$812)</f>
        <v/>
      </c>
      <c r="DJ12" s="152">
        <f>N('INVOCAÇÕES'!$AH$813)</f>
        <v/>
      </c>
      <c r="DK12" s="152">
        <f>N('INVOCAÇÕES'!$AI$813)</f>
        <v/>
      </c>
      <c r="DL12" s="152">
        <f>N('INVOCAÇÕES'!$AJ$813)</f>
        <v/>
      </c>
      <c r="DM12" s="152">
        <f>N('INVOCAÇÕES'!$AK$813)</f>
        <v/>
      </c>
      <c r="DN12" s="152">
        <f>N('INVOCAÇÕES'!$AL$813)</f>
        <v/>
      </c>
      <c r="DO12" s="152">
        <f>'INVOCAÇÕES'!$AH$826&amp;""</f>
        <v/>
      </c>
      <c r="DP12" s="152">
        <f>'INVOCAÇÕES'!$AJ$826&amp;""</f>
        <v/>
      </c>
      <c r="DQ12" s="152">
        <f>'INVOCAÇÕES'!$AL$826&amp;""</f>
        <v/>
      </c>
      <c r="DR12" s="152">
        <f>N('INVOCAÇÕES'!$AH$818)</f>
        <v/>
      </c>
      <c r="DS12" s="152">
        <f>N('INVOCAÇÕES'!$AI$818)</f>
        <v/>
      </c>
      <c r="DT12" s="152">
        <f>N('INVOCAÇÕES'!$AJ$818)</f>
        <v/>
      </c>
      <c r="DU12" s="152">
        <f>N('INVOCAÇÕES'!$AK$818)</f>
        <v/>
      </c>
      <c r="DV12" s="152">
        <f>N('INVOCAÇÕES'!$AL$818)</f>
        <v/>
      </c>
      <c r="DW12" s="152">
        <f>N('INVOCAÇÕES'!$AH$823)</f>
        <v/>
      </c>
      <c r="DX12" s="152">
        <f>N('INVOCAÇÕES'!$AI$823)</f>
        <v/>
      </c>
      <c r="DY12" s="152">
        <f>N('INVOCAÇÕES'!$AJ$823)</f>
        <v/>
      </c>
      <c r="DZ12" s="152">
        <f>N('INVOCAÇÕES'!$AK$823)</f>
        <v/>
      </c>
      <c r="EA12" s="152">
        <f>'INVOCAÇÕES'!$AN$805&amp;""</f>
        <v/>
      </c>
      <c r="EB12" s="152">
        <f>N('INVOCAÇÕES'!$AP$805)</f>
        <v/>
      </c>
      <c r="EC12" s="152">
        <f>'INVOCAÇÕES'!$AR$805&amp;""</f>
        <v/>
      </c>
      <c r="ED12" s="152">
        <f>'INVOCAÇÕES'!$AH$840&amp;""</f>
        <v/>
      </c>
      <c r="EE12" s="152">
        <f>'INVOCAÇÕES'!$AI$840&amp;""</f>
        <v/>
      </c>
      <c r="EF12" s="152">
        <f>'INVOCAÇÕES'!$AJ$840&amp;""</f>
        <v/>
      </c>
      <c r="EG12" s="152">
        <f>'INVOCAÇÕES'!$AK$840&amp;""</f>
        <v/>
      </c>
      <c r="EH12" s="152">
        <f>'INVOCAÇÕES'!$AL$840&amp;""</f>
        <v/>
      </c>
      <c r="EI12" s="152">
        <f>'INVOCAÇÕES'!$AH$830&amp;""</f>
        <v/>
      </c>
      <c r="EJ12" s="152">
        <f>'INVOCAÇÕES'!$AH$831&amp;""</f>
        <v/>
      </c>
      <c r="EK12" s="152">
        <f>'INVOCAÇÕES'!$AH$832&amp;""</f>
        <v/>
      </c>
      <c r="EL12" s="152">
        <f>'INVOCAÇÕES'!$AH$833&amp;""</f>
        <v/>
      </c>
      <c r="EM12" s="152">
        <f>'INVOCAÇÕES'!$AH$834&amp;""</f>
        <v/>
      </c>
      <c r="EN12" s="152">
        <f>'INVOCAÇÕES'!$AH$835&amp;""</f>
        <v/>
      </c>
      <c r="EO12" s="152">
        <f>'INVOCAÇÕES'!$AH$836&amp;""</f>
        <v/>
      </c>
      <c r="EP12" s="152">
        <f>'INVOCAÇÕES'!$AC$872&amp;""</f>
        <v/>
      </c>
      <c r="EQ12" s="152">
        <f>'INVOCAÇÕES'!$AC$873&amp;""</f>
        <v/>
      </c>
      <c r="ER12" s="152">
        <f>'INVOCAÇÕES'!$AC$874&amp;""</f>
        <v/>
      </c>
      <c r="ES12" s="152">
        <f>'INVOCAÇÕES'!$AC$875&amp;""</f>
        <v/>
      </c>
      <c r="ET12" s="152">
        <f>'INVOCAÇÕES'!$AC$876&amp;""</f>
        <v/>
      </c>
      <c r="EU12" s="152">
        <f>'INVOCAÇÕES'!$AC$877&amp;""</f>
        <v/>
      </c>
      <c r="EV12" s="152">
        <f>'INVOCAÇÕES'!$AC$878&amp;""</f>
        <v/>
      </c>
      <c r="EW12" s="152">
        <f>'INVOCAÇÕES'!$AC$879&amp;""</f>
        <v/>
      </c>
      <c r="EX12" s="152">
        <f>'INVOCAÇÕES'!$AC$974&amp;""</f>
        <v/>
      </c>
      <c r="EY12" s="152">
        <f>'INVOCAÇÕES'!$AC$975&amp;""</f>
        <v/>
      </c>
      <c r="EZ12" s="152">
        <f>'INVOCAÇÕES'!$AC$976&amp;""</f>
        <v/>
      </c>
      <c r="FA12" s="152">
        <f>MAX(3,MIN(7,N('INVOCAÇÕES'!$AB$981)))</f>
        <v/>
      </c>
      <c r="FB12" s="152">
        <f>MAX(3,MIN(7,N('INVOCAÇÕES'!$AH$981)))</f>
        <v/>
      </c>
      <c r="FC12" s="152">
        <f>MAX(3,MIN(7,N('INVOCAÇÕES'!$AN$981)))</f>
        <v/>
      </c>
      <c r="FD12" s="152">
        <f>'INVOCAÇÕES'!$AH$995&amp;""</f>
        <v/>
      </c>
      <c r="FE12" s="152">
        <f>IF($CZ12&lt;&gt;"",1,0)</f>
        <v/>
      </c>
      <c r="FF12" s="152">
        <f>IFERROR(VLOOKUP($DB12,$BO$2:$BP$5,2,FALSE),1)</f>
        <v/>
      </c>
      <c r="FG12" s="152">
        <f>IF($FF12=1,$CW$2,MAX(1,MIN($CW$2,IF($DC12=0,$CW$2,$DC12))))</f>
        <v/>
      </c>
      <c r="FH12" s="152">
        <f>VLOOKUP(MAX(1,$FG12),$A$2:$D$8,2,TRUE)</f>
        <v/>
      </c>
      <c r="FI12" s="152">
        <f>VLOOKUP(MAX(1,$FG12),$A$2:$D$8,3,TRUE)</f>
        <v/>
      </c>
      <c r="FJ12" s="152">
        <f>$DE12+$DJ12</f>
        <v/>
      </c>
      <c r="FK12" s="152">
        <f>$DF12+$DK12</f>
        <v/>
      </c>
      <c r="FL12" s="152">
        <f>$DG12+$DL12</f>
        <v/>
      </c>
      <c r="FM12" s="152">
        <f>$DH12+$DM12</f>
        <v/>
      </c>
      <c r="FN12" s="152">
        <f>$DI12+$DN12</f>
        <v/>
      </c>
      <c r="FO12" s="152">
        <f>SUM($DE12:$DI12)</f>
        <v/>
      </c>
      <c r="FP12" s="152">
        <f>9+$FQ12</f>
        <v/>
      </c>
      <c r="FQ12" s="152">
        <f>COUNTIF($F$2:$F$8,"&lt;="&amp;$FG12)</f>
        <v/>
      </c>
      <c r="FR12" s="152">
        <f>MAX(0,$DE12-3)+MAX(0,$DF12-3)+MAX(0,$DG12-3)+MAX(0,$DH12-3)+MAX(0,$DI12-3)</f>
        <v/>
      </c>
      <c r="FS12" s="152">
        <f>IFERROR(INDEX($FJ12:$FN12,1,MATCH($DO12,$BT$2:$BT$6,0)),"")</f>
        <v/>
      </c>
      <c r="FT12" s="152">
        <f>IF($FS12="","",$FS12+$CW$3+$DR12)</f>
        <v/>
      </c>
      <c r="FU12" s="152">
        <f>IF($FS12="","",8+$FS12+$CW$3+$DS12)</f>
        <v/>
      </c>
      <c r="FV12" s="152">
        <f>10+$FK12+$CW$7+$DT12</f>
        <v/>
      </c>
      <c r="FW12" s="152">
        <f>IF($DA12="Corpo amaldiçoado de criação",1,0)</f>
        <v/>
      </c>
      <c r="FX12" s="152">
        <f>5+$FL12+(3+$FW12+$FL12)*($FG12-1)+$DU12</f>
        <v/>
      </c>
      <c r="FY12" s="152">
        <f>IF($EA12="",$FX12,MAX(0,MIN(IFERROR(VALUE($EA12),$FX12),$FX12)))</f>
        <v/>
      </c>
      <c r="FZ12" s="152">
        <f>9+$DV12</f>
        <v/>
      </c>
      <c r="GA12" s="152">
        <f>IF($DP12="Destreza",$FK12,$FJ12)</f>
        <v/>
      </c>
      <c r="GB12" s="152">
        <f>$GA12+IF($DQ12="Físico",$CW$3,0)+$DW12</f>
        <v/>
      </c>
      <c r="GC12" s="152">
        <f>$FL12+IF($DQ12="Vigor",$CW$3,0)+$DX12</f>
        <v/>
      </c>
      <c r="GD12" s="152">
        <f>$FM12+IF($DQ12="Intelecto",$CW$3,0)+$DY12</f>
        <v/>
      </c>
      <c r="GE12" s="152">
        <f>$FN12+IF($DQ12="Espírito",$CW$3,0)+$DZ12</f>
        <v/>
      </c>
      <c r="GF12" s="152">
        <f>4+INT($DH12/2)</f>
        <v/>
      </c>
      <c r="GG12" s="152">
        <f>COUNTIF($EI12:$EO12,"?*")</f>
        <v/>
      </c>
      <c r="GH12" s="152">
        <f>INT((2+$FG12/2)/2)</f>
        <v/>
      </c>
      <c r="GI12" s="152">
        <f>IF($FG12&gt;=11,2,1)</f>
        <v/>
      </c>
      <c r="GJ12" s="152">
        <f>1+$FQ12</f>
        <v/>
      </c>
      <c r="GK12" s="152">
        <f>COUNTIF($EP12:$EW12,"?*")</f>
        <v/>
      </c>
      <c r="GL12" s="152">
        <f>IF(AND($DA12="Shikigami de criação",$DD12="Com carga"),MAX(1,CEILING($FH12/2,1)),$FH12)</f>
        <v/>
      </c>
      <c r="GM12" s="152">
        <f>$FH12+$GL12</f>
        <v/>
      </c>
      <c r="GN12" s="152">
        <f>$FG12*(1+INT($DI12/3))</f>
        <v/>
      </c>
      <c r="GO12" s="152">
        <f>5+$FJ12</f>
        <v/>
      </c>
      <c r="GP12" s="152">
        <f>COUNTIF($ED12:$EH12,"?*")</f>
        <v/>
      </c>
      <c r="GQ12" s="152">
        <f>IF($ED12="",0,IF(COUNTIF($ED12:$EH12,$ED12)&gt;1,1,0))+IF($EE12="",0,IF(COUNTIF($ED12:$EH12,$EE12)&gt;1,1,0))+IF($EF12="",0,IF(COUNTIF($ED12:$EH12,$EF12)&gt;1,1,0))+IF($EG12="",0,IF(COUNTIF($ED12:$EH12,$EG12)&gt;1,1,0))+IF($EH12="",0,IF(COUNTIF($ED12:$EH12,$EH12)&gt;1,1,0))</f>
        <v/>
      </c>
      <c r="GR12" s="152">
        <f>$CW$11</f>
        <v/>
      </c>
      <c r="GS12" s="152">
        <f>IF($FE12=0,"INVOCAÇÃO 11 · lugar vazio",$CZ12&amp;" · "&amp;$DA12&amp;" · nível "&amp;$FG12&amp;" · vida "&amp;$FY12&amp;" de "&amp;$FX12)</f>
        <v/>
      </c>
      <c r="GT12" s="152">
        <f>IF($FE12=0,"VAZIA",UPPER($CZ12))</f>
        <v/>
      </c>
      <c r="GU12" s="152">
        <f>IF($CW$3&gt;=0,"+","−")&amp;ABS($CW$3)</f>
        <v/>
      </c>
      <c r="GV12" s="152">
        <f>$GL12&amp;" PE"</f>
        <v/>
      </c>
      <c r="GW12" s="152">
        <f>$GM12&amp;" PE"</f>
        <v/>
      </c>
      <c r="GX12" s="152">
        <f>IF(OR($FO12&gt;$FP12,$FR12&gt;$FQ12),"⚠ ",IF(AND($FE12=1,$FO12&lt;$FP12),"! ",""))&amp;"ATRIBUTOS · "&amp;$FO12&amp;" DE "&amp;$FP12&amp;" PONTOS"&amp;IF($FR12&gt;$FQ12," · ACIMA DE 3 SÓ COM MARCO","")</f>
        <v/>
      </c>
      <c r="GY12" s="152">
        <f>IF($FT12="","",IF($FT12&gt;=0,"+","−")&amp;ABS($FT12))</f>
        <v/>
      </c>
      <c r="GZ12" s="152">
        <f>IF($FU12="","",$FU12)</f>
        <v/>
      </c>
      <c r="HA12" s="152">
        <f>SUBSTITUTE($FZ12&amp;" m",".",",")</f>
        <v/>
      </c>
      <c r="HB12" s="152">
        <f>IF($GB12&gt;=0,"+","−")&amp;ABS($GB12)</f>
        <v/>
      </c>
      <c r="HC12" s="152">
        <f>IF($GC12&gt;=0,"+","−")&amp;ABS($GC12)</f>
        <v/>
      </c>
      <c r="HD12" s="152">
        <f>IF($GD12&gt;=0,"+","−")&amp;ABS($GD12)</f>
        <v/>
      </c>
      <c r="HE12" s="152">
        <f>IF($GE12&gt;=0,"+","−")&amp;ABS($GE12)</f>
        <v/>
      </c>
      <c r="HF12" s="152">
        <f>IF($GG12&gt;$GF12,"⚠ ","")&amp;"PERÍCIAS · "&amp;$GG12&amp;" DE "&amp;$GF12</f>
        <v/>
      </c>
      <c r="HG12" s="152">
        <f>IF($EI12="","",IFERROR(IF((INDEX($FJ12:$FN12,1,MATCH(VLOOKUP($EI12,$BZ$2:$CA$24,2,FALSE),$BT$2:$BT$6,0))+$CW$3)&gt;=0,"+","−")&amp;ABS((INDEX($FJ12:$FN12,1,MATCH(VLOOKUP($EI12,$BZ$2:$CA$24,2,FALSE),$BT$2:$BT$6,0))+$CW$3)),""))</f>
        <v/>
      </c>
      <c r="HH12" s="152">
        <f>IF($EJ12="","",IFERROR(IF((INDEX($FJ12:$FN12,1,MATCH(VLOOKUP($EJ12,$BZ$2:$CA$24,2,FALSE),$BT$2:$BT$6,0))+$CW$3)&gt;=0,"+","−")&amp;ABS((INDEX($FJ12:$FN12,1,MATCH(VLOOKUP($EJ12,$BZ$2:$CA$24,2,FALSE),$BT$2:$BT$6,0))+$CW$3)),""))</f>
        <v/>
      </c>
      <c r="HI12" s="152">
        <f>IF($EK12="","",IFERROR(IF((INDEX($FJ12:$FN12,1,MATCH(VLOOKUP($EK12,$BZ$2:$CA$24,2,FALSE),$BT$2:$BT$6,0))+$CW$3)&gt;=0,"+","−")&amp;ABS((INDEX($FJ12:$FN12,1,MATCH(VLOOKUP($EK12,$BZ$2:$CA$24,2,FALSE),$BT$2:$BT$6,0))+$CW$3)),""))</f>
        <v/>
      </c>
      <c r="HJ12" s="152">
        <f>IF($EL12="","",IFERROR(IF((INDEX($FJ12:$FN12,1,MATCH(VLOOKUP($EL12,$BZ$2:$CA$24,2,FALSE),$BT$2:$BT$6,0))+$CW$3)&gt;=0,"+","−")&amp;ABS((INDEX($FJ12:$FN12,1,MATCH(VLOOKUP($EL12,$BZ$2:$CA$24,2,FALSE),$BT$2:$BT$6,0))+$CW$3)),""))</f>
        <v/>
      </c>
      <c r="HK12" s="152">
        <f>IF($EM12="","",IFERROR(IF((INDEX($FJ12:$FN12,1,MATCH(VLOOKUP($EM12,$BZ$2:$CA$24,2,FALSE),$BT$2:$BT$6,0))+$CW$3)&gt;=0,"+","−")&amp;ABS((INDEX($FJ12:$FN12,1,MATCH(VLOOKUP($EM12,$BZ$2:$CA$24,2,FALSE),$BT$2:$BT$6,0))+$CW$3)),""))</f>
        <v/>
      </c>
      <c r="HL12" s="152">
        <f>IF($EN12="","",IFERROR(IF((INDEX($FJ12:$FN12,1,MATCH(VLOOKUP($EN12,$BZ$2:$CA$24,2,FALSE),$BT$2:$BT$6,0))+$CW$3)&gt;=0,"+","−")&amp;ABS((INDEX($FJ12:$FN12,1,MATCH(VLOOKUP($EN12,$BZ$2:$CA$24,2,FALSE),$BT$2:$BT$6,0))+$CW$3)),""))</f>
        <v/>
      </c>
      <c r="HM12" s="152">
        <f>IF($EO12="","",IFERROR(IF((INDEX($FJ12:$FN12,1,MATCH(VLOOKUP($EO12,$BZ$2:$CA$24,2,FALSE),$BT$2:$BT$6,0))+$CW$3)&gt;=0,"+","−")&amp;ABS((INDEX($FJ12:$FN12,1,MATCH(VLOOKUP($EO12,$BZ$2:$CA$24,2,FALSE),$BT$2:$BT$6,0))+$CW$3)),""))</f>
        <v/>
      </c>
      <c r="HN12" s="152">
        <f>IF($DA12="Maldição domada","RESERVA · MÁX. "&amp;$GN12,"RESERVA DE PE")</f>
        <v/>
      </c>
      <c r="HO12" s="152">
        <f>"EQUIPAMENTO · CARGA ATÉ "&amp;$GO12&amp;" DE VOLUME"</f>
        <v/>
      </c>
      <c r="HP12" s="152">
        <f>IF(OR($GQ12&gt;0,$GP12&gt;$GR12),"⚠ ","")&amp;"FAMÍLIAS · "&amp;$GP12&amp;" ABERTAS"&amp;IF($GQ12&gt;0," · REPETIDA","")&amp;IF($GP12&gt;$GR12," · O LIMITE É "&amp;$GR12,"")</f>
        <v/>
      </c>
      <c r="HQ12" s="152">
        <f>"HABILIDADES · básica de "&amp;$FI12&amp;"d6 · "&amp;$GH12&amp;IF($GH12&gt;1," espaços"," espaço")&amp;" de especial até a Classe "&amp;$FH12&amp;" · "&amp;$GJ12&amp;IF($GJ12&gt;1," talentos"," talento")</f>
        <v/>
      </c>
      <c r="HR12" s="152">
        <f>IF($GK12&gt;$GJ12,"⚠ ","")&amp;"TALENTOS · "&amp;$GK12&amp;" DE "&amp;$GJ12</f>
        <v/>
      </c>
      <c r="HS12" s="152">
        <f>IFERROR(VLOOKUP($EP12,$BH$2:$BK$15,2,FALSE),0)</f>
        <v/>
      </c>
      <c r="HT12" s="152">
        <f>IFERROR(VLOOKUP($EQ12,$BH$2:$BK$15,2,FALSE),0)</f>
        <v/>
      </c>
      <c r="HU12" s="152">
        <f>IFERROR(VLOOKUP($ER12,$BH$2:$BK$15,2,FALSE),0)</f>
        <v/>
      </c>
      <c r="HV12" s="152">
        <f>IFERROR(VLOOKUP($ES12,$BH$2:$BK$15,2,FALSE),0)</f>
        <v/>
      </c>
      <c r="HW12" s="152">
        <f>IFERROR(VLOOKUP($ET12,$BH$2:$BK$15,2,FALSE),0)</f>
        <v/>
      </c>
      <c r="HX12" s="152">
        <f>IFERROR(VLOOKUP($EU12,$BH$2:$BK$15,2,FALSE),0)</f>
        <v/>
      </c>
      <c r="HY12" s="152">
        <f>IFERROR(VLOOKUP($EV12,$BH$2:$BK$15,2,FALSE),0)</f>
        <v/>
      </c>
      <c r="HZ12" s="152">
        <f>IFERROR(VLOOKUP($EW12,$BH$2:$BK$15,2,FALSE),0)</f>
        <v/>
      </c>
      <c r="IA12" s="152">
        <f>IF($EP12="","",IF(1&gt;$FG12,"⚠ Este talento abre no nível 1",IF($HS12&gt;1,"⚠ Categoria "&amp;$HS12&amp;": este ganho vai até a 1 · ","")&amp;IFERROR(VLOOKUP($EP12,$BH$2:$BK$15,3,FALSE),"")))</f>
        <v/>
      </c>
      <c r="IB12" s="152">
        <f>IF($EQ12="","",IF(6&gt;$FG12,"⚠ Este talento abre no nível 6",IF($HT12&gt;1,"⚠ Categoria "&amp;$HT12&amp;": este ganho vai até a 1 · ","")&amp;IFERROR(VLOOKUP($EQ12,$BH$2:$BK$15,3,FALSE),"")))</f>
        <v/>
      </c>
      <c r="IC12" s="152">
        <f>IF($ER12="","",IF(10&gt;$FG12,"⚠ Este talento abre no nível 10",IF($HU12&gt;2,"⚠ Categoria "&amp;$HU12&amp;": este ganho vai até a 2 · ","")&amp;IFERROR(VLOOKUP($ER12,$BH$2:$BK$15,3,FALSE),"")))</f>
        <v/>
      </c>
      <c r="ID12" s="152">
        <f>IF($ES12="","",IF(14&gt;$FG12,"⚠ Este talento abre no nível 14",IF($HV12&gt;3,"⚠ Categoria "&amp;$HV12&amp;": este ganho vai até a 3 · ","")&amp;IFERROR(VLOOKUP($ES12,$BH$2:$BK$15,3,FALSE),"")))</f>
        <v/>
      </c>
      <c r="IE12" s="152">
        <f>IF($ET12="","",IF(18&gt;$FG12,"⚠ Este talento abre no nível 18",IF($HW12&gt;3,"⚠ Categoria "&amp;$HW12&amp;": este ganho vai até a 3 · ","")&amp;IFERROR(VLOOKUP($ET12,$BH$2:$BK$15,3,FALSE),"")))</f>
        <v/>
      </c>
      <c r="IF12" s="152">
        <f>IF($EU12="","",IF(22&gt;$FG12,"⚠ Este talento abre no nível 22",IF($HX12&gt;3,"⚠ Categoria "&amp;$HX12&amp;": este ganho vai até a 3 · ","")&amp;IFERROR(VLOOKUP($EU12,$BH$2:$BK$15,3,FALSE),"")))</f>
        <v/>
      </c>
      <c r="IG12" s="152">
        <f>IF($EV12="","",IF(26&gt;$FG12,"⚠ Este talento abre no nível 26",IF($HY12&gt;3,"⚠ Categoria "&amp;$HY12&amp;": este ganho vai até a 3 · ","")&amp;IFERROR(VLOOKUP($EV12,$BH$2:$BK$15,3,FALSE),"")))</f>
        <v/>
      </c>
      <c r="IH12" s="152">
        <f>IF($EW12="","",IF(30&gt;$FG12,"⚠ Este talento abre no nível 30",IF($HZ12&gt;3,"⚠ Categoria "&amp;$HZ12&amp;": este ganho vai até a 3 · ","")&amp;IFERROR(VLOOKUP($EW12,$BH$2:$BK$15,3,FALSE),"")))</f>
        <v/>
      </c>
      <c r="II12" s="152">
        <f>IF($EX12="","",IFERROR(VLOOKUP($EX12,$BH$2:$BK$15,3,FALSE),""))</f>
        <v/>
      </c>
      <c r="IJ12" s="152">
        <f>IF($EY12="","",IFERROR(VLOOKUP($EY12,$BH$2:$BK$15,3,FALSE),""))</f>
        <v/>
      </c>
      <c r="IK12" s="152">
        <f>IF($EZ12="","",IFERROR(VLOOKUP($EZ12,$BH$2:$BK$15,3,FALSE),""))</f>
        <v/>
      </c>
      <c r="IL12" s="152">
        <f>CEILING(4.5*$FA12,1)&amp;" PE"</f>
        <v/>
      </c>
      <c r="IM12" s="152">
        <f>CEILING(4.5*$FB12,1)&amp;" PE"</f>
        <v/>
      </c>
      <c r="IN12" s="152">
        <f>CEILING(4.5*$FC12,1)&amp;" PE"</f>
        <v/>
      </c>
      <c r="IO12" s="152">
        <f>INDEX($P$2:$P$8,$FA12)&amp;" pontos + "&amp;$FA12&amp;"d8"</f>
        <v/>
      </c>
      <c r="IP12" s="152">
        <f>INDEX($P$2:$P$8,$FB12)&amp;" pontos + "&amp;$FB12&amp;"d8"</f>
        <v/>
      </c>
      <c r="IQ12" s="152">
        <f>INDEX($P$2:$P$8,$FC12)&amp;" pontos + "&amp;$FC12&amp;"d8"</f>
        <v/>
      </c>
      <c r="IR12" s="152">
        <f>IF($FG12&lt;17,"—",VLOOKUP($FG12,$CK$2:$CN$4,4,TRUE)&amp;" PE")</f>
        <v/>
      </c>
      <c r="IS12" s="152">
        <f>IF($FG12&lt;17,"Abre no nível 17",VLOOKUP($FG12,$CK$2:$CN$4,2,TRUE)&amp;" fixos · "&amp;VLOOKUP($FG12,$CK$2:$CN$4,3,TRUE)&amp;" pontos")</f>
        <v/>
      </c>
      <c r="IT12" s="152">
        <f>IF($FD12="Sem Barreiras",7,6)*$FH12&amp;" PE"</f>
        <v/>
      </c>
      <c r="IU12" s="152">
        <f>"Acerto "&amp;$FH12&amp;"d8"</f>
        <v/>
      </c>
      <c r="IV12" s="152">
        <f>IFERROR(VLOOKUP($FD12,$CP$2:$CR$4,3,FALSE),"Escolha o degrau")</f>
        <v/>
      </c>
      <c r="IW12" s="152">
        <f>11&amp;" · "&amp;IF($FE12=0,"vazia",$CZ12&amp;" · nv "&amp;$FG12&amp;" · "&amp;$FY12&amp;"/"&amp;$FX12)</f>
        <v/>
      </c>
      <c r="IY12" s="150" t="inlineStr">
        <is>
          <t>Invocação 11</t>
        </is>
      </c>
      <c r="IZ12" s="152">
        <f>ADDRESS(ROW('INVOCAÇÕES'!D31),COLUMN('INVOCAÇÕES'!D31),4)</f>
        <v/>
      </c>
      <c r="JA12" s="152">
        <f>ADDRESS(ROW('INVOCAÇÕES'!AA801),COLUMN('INVOCAÇÕES'!AA801),4)</f>
        <v/>
      </c>
      <c r="JB12" s="150" t="inlineStr">
        <is>
          <t>DADOS_INVOC!$IW$12</t>
        </is>
      </c>
      <c r="JD12" s="152">
        <f>IF(OR($AW12="",COUNTIF($ED$2:$EH$2,$AW12)&gt;0),$AV12,"")</f>
        <v/>
      </c>
      <c r="JE12" s="152">
        <f>IF(AND($AX12=1,OR($AW12="",COUNTIF($ED$2:$EH$2,$AW12)&gt;0)),$AV12,"")</f>
        <v/>
      </c>
      <c r="JJ12" s="152">
        <f>IF(OR($AW12="",COUNTIF($ED$3:$EH$3,$AW12)&gt;0),$AV12,"")</f>
        <v/>
      </c>
      <c r="JK12" s="152">
        <f>IF(AND($AX12=1,OR($AW12="",COUNTIF($ED$3:$EH$3,$AW12)&gt;0)),$AV12,"")</f>
        <v/>
      </c>
      <c r="JP12" s="152">
        <f>IF(OR($AW12="",COUNTIF($ED$4:$EH$4,$AW12)&gt;0),$AV12,"")</f>
        <v/>
      </c>
      <c r="JQ12" s="152">
        <f>IF(AND($AX12=1,OR($AW12="",COUNTIF($ED$4:$EH$4,$AW12)&gt;0)),$AV12,"")</f>
        <v/>
      </c>
      <c r="JV12" s="152">
        <f>IF(OR($AW12="",COUNTIF($ED$5:$EH$5,$AW12)&gt;0),$AV12,"")</f>
        <v/>
      </c>
      <c r="JW12" s="152">
        <f>IF(AND($AX12=1,OR($AW12="",COUNTIF($ED$5:$EH$5,$AW12)&gt;0)),$AV12,"")</f>
        <v/>
      </c>
      <c r="KB12" s="152">
        <f>IF(OR($AW12="",COUNTIF($ED$6:$EH$6,$AW12)&gt;0),$AV12,"")</f>
        <v/>
      </c>
      <c r="KC12" s="152">
        <f>IF(AND($AX12=1,OR($AW12="",COUNTIF($ED$6:$EH$6,$AW12)&gt;0)),$AV12,"")</f>
        <v/>
      </c>
      <c r="KH12" s="152">
        <f>IF(OR($AW12="",COUNTIF($ED$7:$EH$7,$AW12)&gt;0),$AV12,"")</f>
        <v/>
      </c>
      <c r="KI12" s="152">
        <f>IF(AND($AX12=1,OR($AW12="",COUNTIF($ED$7:$EH$7,$AW12)&gt;0)),$AV12,"")</f>
        <v/>
      </c>
      <c r="KN12" s="152">
        <f>IF(OR($AW12="",COUNTIF($ED$8:$EH$8,$AW12)&gt;0),$AV12,"")</f>
        <v/>
      </c>
      <c r="KO12" s="152">
        <f>IF(AND($AX12=1,OR($AW12="",COUNTIF($ED$8:$EH$8,$AW12)&gt;0)),$AV12,"")</f>
        <v/>
      </c>
      <c r="KT12" s="152">
        <f>IF(OR($AW12="",COUNTIF($ED$9:$EH$9,$AW12)&gt;0),$AV12,"")</f>
        <v/>
      </c>
      <c r="KU12" s="152">
        <f>IF(AND($AX12=1,OR($AW12="",COUNTIF($ED$9:$EH$9,$AW12)&gt;0)),$AV12,"")</f>
        <v/>
      </c>
      <c r="KZ12" s="152">
        <f>IF(OR($AW12="",COUNTIF($ED$10:$EH$10,$AW12)&gt;0),$AV12,"")</f>
        <v/>
      </c>
      <c r="LA12" s="152">
        <f>IF(AND($AX12=1,OR($AW12="",COUNTIF($ED$10:$EH$10,$AW12)&gt;0)),$AV12,"")</f>
        <v/>
      </c>
      <c r="LF12" s="152">
        <f>IF(OR($AW12="",COUNTIF($ED$11:$EH$11,$AW12)&gt;0),$AV12,"")</f>
        <v/>
      </c>
      <c r="LG12" s="152">
        <f>IF(AND($AX12=1,OR($AW12="",COUNTIF($ED$11:$EH$11,$AW12)&gt;0)),$AV12,"")</f>
        <v/>
      </c>
      <c r="LL12" s="152">
        <f>IF(OR($AW12="",COUNTIF($ED$12:$EH$12,$AW12)&gt;0),$AV12,"")</f>
        <v/>
      </c>
      <c r="LM12" s="152">
        <f>IF(AND($AX12=1,OR($AW12="",COUNTIF($ED$12:$EH$12,$AW12)&gt;0)),$AV12,"")</f>
        <v/>
      </c>
      <c r="LR12" s="152">
        <f>IF(OR($AW12="",COUNTIF($ED$13:$EH$13,$AW12)&gt;0),$AV12,"")</f>
        <v/>
      </c>
      <c r="LS12" s="152">
        <f>IF(AND($AX12=1,OR($AW12="",COUNTIF($ED$13:$EH$13,$AW12)&gt;0)),$AV12,"")</f>
        <v/>
      </c>
      <c r="LX12" s="150" t="inlineStr">
        <is>
          <t>Ficha 1 · Escolha da trilha 1</t>
        </is>
      </c>
      <c r="LY12" s="152" t="n">
        <v>1</v>
      </c>
      <c r="LZ12" s="152" t="n">
        <v>2</v>
      </c>
      <c r="MA12" s="152" t="n">
        <v>0</v>
      </c>
      <c r="MB12" s="150" t="inlineStr">
        <is>
          <t>ESCOLHA DA TRILHA 1</t>
        </is>
      </c>
      <c r="MC12" s="152">
        <f>MAX(0,MIN(7,N('INVOCAÇÕES'!$I$160)))</f>
        <v/>
      </c>
      <c r="MD12" s="152">
        <f>'INVOCAÇÕES'!$J$160&amp;""</f>
        <v/>
      </c>
      <c r="ME12" s="152">
        <f>'INVOCAÇÕES'!$I$165&amp;""</f>
        <v/>
      </c>
      <c r="MF12" s="152">
        <f>'INVOCAÇÕES'!$I$166&amp;""</f>
        <v/>
      </c>
      <c r="MG12" s="152">
        <f>'INVOCAÇÕES'!$K$166&amp;""</f>
        <v/>
      </c>
      <c r="MH12" s="152">
        <f>'INVOCAÇÕES'!$J$169&amp;""</f>
        <v/>
      </c>
      <c r="MI12" s="152">
        <f>'INVOCAÇÕES'!$J$170&amp;""</f>
        <v/>
      </c>
      <c r="MJ12" s="152">
        <f>'INVOCAÇÕES'!$J$171&amp;""</f>
        <v/>
      </c>
      <c r="MK12" s="152">
        <f>'INVOCAÇÕES'!$J$172&amp;""</f>
        <v/>
      </c>
      <c r="ML12" s="152">
        <f>'INVOCAÇÕES'!$J$173&amp;""</f>
        <v/>
      </c>
      <c r="MM12" s="152">
        <f>'INVOCAÇÕES'!$J$174&amp;""</f>
        <v/>
      </c>
      <c r="MN12" s="152">
        <f>IF($MD12&lt;&gt;"",1,0)</f>
        <v/>
      </c>
      <c r="MO12" s="152">
        <f>INDEX($FG$2:$FG$13,$LY12)</f>
        <v/>
      </c>
      <c r="MP12" s="152">
        <f>INDEX($FH$2:$FH$13,$LY12)</f>
        <v/>
      </c>
      <c r="MQ12" s="152">
        <f>INDEX($FI$2:$FI$13,$LY12)</f>
        <v/>
      </c>
      <c r="MR12" s="152">
        <f>INDEX($FT$2:$FT$13,$LY12)</f>
        <v/>
      </c>
      <c r="MS12" s="152">
        <f>INDEX($FU$2:$FU$13,$LY12)</f>
        <v/>
      </c>
      <c r="MT12" s="152">
        <f>IFERROR(MATCH($ME12,$V$2:$V$11,0),0)</f>
        <v/>
      </c>
      <c r="MU12" s="152">
        <f>IFERROR(VLOOKUP($MH12,$AV$2:$AZ$84,2,FALSE),"")</f>
        <v/>
      </c>
      <c r="MV12" s="152">
        <f>IFERROR(VLOOKUP($MI12,$AV$2:$AZ$84,2,FALSE),"")</f>
        <v/>
      </c>
      <c r="MW12" s="152">
        <f>IFERROR(VLOOKUP($MJ12,$AV$2:$AZ$84,2,FALSE),"")</f>
        <v/>
      </c>
      <c r="MX12" s="152">
        <f>IFERROR(VLOOKUP($MK12,$AV$2:$AZ$84,2,FALSE),"")</f>
        <v/>
      </c>
      <c r="MY12" s="152">
        <f>IFERROR(VLOOKUP($MH12,$AV$2:$AZ$84,3,FALSE),0)</f>
        <v/>
      </c>
      <c r="MZ12" s="152">
        <f>IFERROR(VLOOKUP($MI12,$AV$2:$AZ$84,3,FALSE),0)</f>
        <v/>
      </c>
      <c r="NA12" s="152">
        <f>IFERROR(VLOOKUP($MJ12,$AV$2:$AZ$84,3,FALSE),0)</f>
        <v/>
      </c>
      <c r="NB12" s="152">
        <f>IFERROR(VLOOKUP($MK12,$AV$2:$AZ$84,3,FALSE),0)</f>
        <v/>
      </c>
      <c r="NC12" s="152">
        <f>IF($MC12=0,0,IF($MT12=0,0,INDEX($X$2:$X$11,$MT12)))</f>
        <v/>
      </c>
      <c r="ND12" s="152">
        <f>IF(OR($MY12=0,$MC12=0),0,$MY12+3*IF(AND($MU12&lt;&gt;"",OR($MU12=INDEX($ED$2:$ED$13,$LY12),$MU12=INDEX($EE$2:$EE$13,$LY12))),1,0))</f>
        <v/>
      </c>
      <c r="NE12" s="152">
        <f>IF(OR($MZ12=0,$MC12=0),0,$MZ12+3*IF(AND($MV12&lt;&gt;"",OR($MV12=INDEX($ED$2:$ED$13,$LY12),$MV12=INDEX($EE$2:$EE$13,$LY12))),1,0))</f>
        <v/>
      </c>
      <c r="NF12" s="152">
        <f>IF(OR($NA12=0,$MC12=0),0,$NA12+3*IF(AND($MW12&lt;&gt;"",OR($MW12=INDEX($ED$2:$ED$13,$LY12),$MW12=INDEX($EE$2:$EE$13,$LY12))),1,0))</f>
        <v/>
      </c>
      <c r="NG12" s="152">
        <f>IF(OR($NB12=0,$MC12=0),0,$NB12+3*IF(AND($MX12&lt;&gt;"",OR($MX12=INDEX($ED$2:$ED$13,$LY12),$MX12=INDEX($EE$2:$EE$13,$LY12))),1,0))</f>
        <v/>
      </c>
      <c r="NH12" s="152">
        <f>IF($MT12=0,0,IF(INDEX($W$2:$W$11,$MT12)="",0,IF(COUNTIF(INDEX($ED$2:$EH$13,$LY12,0),INDEX($W$2:$W$11,$MT12))=0,1,0)))</f>
        <v/>
      </c>
      <c r="NI12" s="152">
        <f>IF(OR($MY12=0,$MU12=""),0,IF(COUNTIF(INDEX($ED$2:$EH$13,$LY12,0),$MU12)=0,1,0))</f>
        <v/>
      </c>
      <c r="NJ12" s="152">
        <f>IF(OR($MZ12=0,$MV12=""),0,IF(COUNTIF(INDEX($ED$2:$EH$13,$LY12,0),$MV12)=0,1,0))</f>
        <v/>
      </c>
      <c r="NK12" s="152">
        <f>IF(OR($NA12=0,$MW12=""),0,IF(COUNTIF(INDEX($ED$2:$EH$13,$LY12,0),$MW12)=0,1,0))</f>
        <v/>
      </c>
      <c r="NL12" s="152">
        <f>IF(OR($NB12=0,$MX12=""),0,IF(COUNTIF(INDEX($ED$2:$EH$13,$LY12,0),$MX12)=0,1,0))</f>
        <v/>
      </c>
      <c r="NM12" s="152">
        <f>IFERROR(VLOOKUP($MH12,$AV$2:$AZ$84,4,FALSE),0)+IFERROR(VLOOKUP($MI12,$AV$2:$AZ$84,4,FALSE),0)+IFERROR(VLOOKUP($MJ12,$AV$2:$AZ$84,4,FALSE),0)+IFERROR(VLOOKUP($MK12,$AV$2:$AZ$84,4,FALSE),0)</f>
        <v/>
      </c>
      <c r="NN12" s="152">
        <f>TEXTJOIN(", ",TRUE,IF(IFERROR(VLOOKUP($MH12,$AV$2:$AZ$84,5,FALSE),0)=1,$MH12,""),IF(IFERROR(VLOOKUP($MI12,$AV$2:$AZ$84,5,FALSE),0)=1,$MI12,""),IF(IFERROR(VLOOKUP($MJ12,$AV$2:$AZ$84,5,FALSE),0)=1,$MJ12,""),IF(IFERROR(VLOOKUP($MK12,$AV$2:$AZ$84,5,FALSE),0)=1,$MK12,""))</f>
        <v/>
      </c>
      <c r="NO12" s="152">
        <f>IF($MT12=0,0,INDEX($Y$2:$Y$11,$MT12))</f>
        <v/>
      </c>
      <c r="NP12" s="152">
        <f>IF($MT12=0,0,INDEX($Z$2:$Z$11,$MT12))</f>
        <v/>
      </c>
      <c r="NQ12" s="152">
        <f>IF($MT12=0,0,INDEX($AB$2:$AB$11,$MT12))</f>
        <v/>
      </c>
      <c r="NR12" s="152">
        <f>IFERROR(VLOOKUP($ML12,$BB$2:$BF$24,3,FALSE),0)</f>
        <v/>
      </c>
      <c r="NS12" s="152">
        <f>IFERROR(VLOOKUP($MM12,$BB$2:$BF$24,3,FALSE),0)</f>
        <v/>
      </c>
      <c r="NT12" s="152">
        <f>IFERROR(VLOOKUP($ML12,$BB$2:$BF$24,2,FALSE),"")</f>
        <v/>
      </c>
      <c r="NU12" s="152">
        <f>IFERROR(VLOOKUP($MM12,$BB$2:$BF$24,2,FALSE),"")</f>
        <v/>
      </c>
      <c r="NV12" s="152">
        <f>COUNTIF($NC12:$NG12,1)</f>
        <v/>
      </c>
      <c r="NW12" s="152">
        <f>COUNTIF($NC12:$NG12,2)</f>
        <v/>
      </c>
      <c r="NX12" s="152">
        <f>COUNTIF($NC12:$NG12,3)</f>
        <v/>
      </c>
      <c r="NY12" s="152">
        <f>COUNTIF($NC12:$NG12,4)</f>
        <v/>
      </c>
      <c r="NZ12" s="152">
        <f>COUNTIF($NC12:$NG12,5)</f>
        <v/>
      </c>
      <c r="OA12" s="152">
        <f>COUNTIF($NC12:$NG12,6)</f>
        <v/>
      </c>
      <c r="OB12" s="152">
        <f>COUNTIF($NR12:$NS12,1)</f>
        <v/>
      </c>
      <c r="OC12" s="152">
        <f>COUNTIF($NR12:$NS12,2)+$NO12</f>
        <v/>
      </c>
      <c r="OD12" s="152">
        <f>COUNTIF($MH12:$MK12,"?*")</f>
        <v/>
      </c>
      <c r="OE12" s="152">
        <f>COUNTIF($ML12:$MM12,"?*")+$NO12</f>
        <v/>
      </c>
      <c r="OF12" s="152">
        <f>IF($MC12=0,0,SUMPRODUCT($NV12:$OA12,INDEX($I$2:$N$8,MAX(1,$MC12),0)))</f>
        <v/>
      </c>
      <c r="OG12" s="152">
        <f>IF($MC12=0,0,$OB12*CEILING($MC12/2,1)+$OC12*$MC12)</f>
        <v/>
      </c>
      <c r="OH12" s="152">
        <f>MIN(2*$MC12,$OG12)</f>
        <v/>
      </c>
      <c r="OI12" s="152">
        <f>MIN($OH12,$OF12)</f>
        <v/>
      </c>
      <c r="OJ12" s="152">
        <f>$OH12-$OI12</f>
        <v/>
      </c>
      <c r="OK12" s="152">
        <f>IF($MC12=0,0,INDEX($P$2:$P$8,MAX(1,$MC12)))</f>
        <v/>
      </c>
      <c r="OL12" s="152">
        <f>$OK12-$OF12+$OI12</f>
        <v/>
      </c>
      <c r="OM12" s="152">
        <f>IF($MC12=0,MAX(0,$MQ12-IF($OD12&gt;0,1,0)),MAX(0,$OL12))</f>
        <v/>
      </c>
      <c r="ON12" s="152">
        <f>IF($MC12=0,0,(IF(COUNTIF($MH12:$MK12,"Salto")&gt;0,1,0)+IF(COUNTIF($MH12:$MK12,"Queima")&gt;0,1,0)+IF(COUNTIF($MH12:$MK12,"Estilhaço")&gt;0,1,0))*FLOOR($OM12/2,1))</f>
        <v/>
      </c>
      <c r="OO12" s="152">
        <f>MAX(0,2-SUMPRODUCT($NV12:$OA12,$I$2:$N$2)+MIN(2,$OB12*1+$OC12*1,SUMPRODUCT($NV12:$OA12,$I$2:$N$2)))</f>
        <v/>
      </c>
      <c r="OP12" s="152">
        <f>MAX(0,4-SUMPRODUCT($NV12:$OA12,$I$3:$N$3)+MIN(4,$OB12*1+$OC12*2,SUMPRODUCT($NV12:$OA12,$I$3:$N$3)))</f>
        <v/>
      </c>
      <c r="OQ12" s="152">
        <f>MAX(0,6-SUMPRODUCT($NV12:$OA12,$I$4:$N$4)+MIN(6,$OB12*2+$OC12*3,SUMPRODUCT($NV12:$OA12,$I$4:$N$4)))</f>
        <v/>
      </c>
      <c r="OR12" s="152">
        <f>MAX(0,9-SUMPRODUCT($NV12:$OA12,$I$5:$N$5)+MIN(8,$OB12*2+$OC12*4,SUMPRODUCT($NV12:$OA12,$I$5:$N$5)))</f>
        <v/>
      </c>
      <c r="OS12" s="152">
        <f>MAX(0,11-SUMPRODUCT($NV12:$OA12,$I$6:$N$6)+MIN(10,$OB12*3+$OC12*5,SUMPRODUCT($NV12:$OA12,$I$6:$N$6)))</f>
        <v/>
      </c>
      <c r="OT12" s="152">
        <f>MAX(0,13-SUMPRODUCT($NV12:$OA12,$I$7:$N$7)+MIN(12,$OB12*3+$OC12*6,SUMPRODUCT($NV12:$OA12,$I$7:$N$7)))</f>
        <v/>
      </c>
      <c r="OU12" s="152">
        <f>MAX(0,16-SUMPRODUCT($NV12:$OA12,$I$8:$N$8)+MIN(14,$OB12*4+$OC12*7,SUMPRODUCT($NV12:$OA12,$I$8:$N$8)))</f>
        <v/>
      </c>
      <c r="OV12" s="152">
        <f>IF($NP12=2,3*$OO12&amp;" de vida temp.",IF($NP12=3,"sem dano",IF($OO12=0,IF($NP12=1,"sem cura","sem dano"),IF($NP12=1,"cura ","")&amp;$OO12&amp;"d8")))</f>
        <v/>
      </c>
      <c r="OW12" s="152">
        <f>IF($NP12=2,3*$OP12&amp;" de vida temp.",IF($NP12=3,"sem dano",IF($OP12=0,IF($NP12=1,"sem cura","sem dano"),IF($NP12=1,"cura ","")&amp;$OP12&amp;"d8")))</f>
        <v/>
      </c>
      <c r="OX12" s="152">
        <f>IF($NP12=2,3*$OQ12&amp;" de vida temp.",IF($NP12=3,"sem dano",IF($OQ12=0,IF($NP12=1,"sem cura","sem dano"),IF($NP12=1,"cura ","")&amp;$OQ12&amp;"d8")))</f>
        <v/>
      </c>
      <c r="OY12" s="152">
        <f>IF($NP12=2,3*$OR12&amp;" de vida temp.",IF($NP12=3,"sem dano",IF($OR12=0,IF($NP12=1,"sem cura","sem dano"),IF($NP12=1,"cura ","")&amp;$OR12&amp;"d8")))</f>
        <v/>
      </c>
      <c r="OZ12" s="152">
        <f>IF($NP12=2,3*$OS12&amp;" de vida temp.",IF($NP12=3,"sem dano",IF($OS12=0,IF($NP12=1,"sem cura","sem dano"),IF($NP12=1,"cura ","")&amp;$OS12&amp;"d8")))</f>
        <v/>
      </c>
      <c r="PA12" s="152">
        <f>IF($NP12=2,3*$OT12&amp;" de vida temp.",IF($NP12=3,"sem dano",IF($OT12=0,IF($NP12=1,"sem cura","sem dano"),IF($NP12=1,"cura ","")&amp;$OT12&amp;"d8")))</f>
        <v/>
      </c>
      <c r="PB12" s="152">
        <f>IF($NP12=2,3*$OU12&amp;" de vida temp.",IF($NP12=3,"sem dano",IF($OU12=0,IF($NP12=1,"sem cura","sem dano"),IF($NP12=1,"cura ","")&amp;$OU12&amp;"d8")))</f>
        <v/>
      </c>
      <c r="PC12" s="152">
        <f>IF($MN12=0,"",TEXTJOIN(" · ",TRUE,IF($MA12&gt;$MO12,"Este lugar abre no nível "&amp;$MA12,""),IF($MC12&gt;$MP12,"Classe "&amp;$MC12&amp;": o nível "&amp;$MO12&amp;" libera até a "&amp;$MP12,""),IF($NH12=1,"A Forma "&amp;$ME12&amp;" pede "&amp;INDEX($W$2:$W$11,$MT12)&amp;" aberta",""),IF(AND($MC12=0,$MT12&gt;0,IF($MT12=0,0,INDEX($AF$2:$AF$11,$MT12))=0),$ME12&amp;" não existe na Classe 0",""),IF($NI12=1,"Família Fechada: "&amp;$MH12,""),IF($NJ12=1,"Família Fechada: "&amp;$MI12,""),IF($NK12=1,"Família Fechada: "&amp;$MJ12,""),IF($NL12=1,"Família Fechada: "&amp;$MK12,""),IF(AND($MC12&gt;0,$OD12&gt;INDEX($O$2:$O$8,MAX(1,$MC12))),$OD12&amp;" Melhorias: a Classe "&amp;$MC12&amp;" aceita "&amp;INDEX($O$2:$O$8,MAX(1,$MC12)),""),IF(AND($MC12=0,$OD12&gt;1),"A básica aceita uma Melhoria",""),IF(AND($MC12=0,COUNTIF($MY12:$NB12,"&gt;1")&gt;0),"A básica só aceita Melhoria Leve",""),IF(AND($MC12&gt;0,$OE12&gt;2),$OE12&amp;" Restrições"&amp;IF($NO12=1,", contando a que a Forma "&amp;$ME12&amp;" já traz","")&amp;": o limite é 2",""),IF(AND($MC12=0,COUNTIF($ML12:$MM12,"?*")&gt;1),"A básica aceita uma Restrição Leve",""),IF(AND($MC12=0,COUNTIF($NR12:$NS12,2)&gt;0),"A básica só aceita Restrição Leve",""),IF(AND($MC12&gt;0,$OL12&lt;0),"Orçamento estourado: faltam "&amp;(-$OL12)&amp;IF($OL12&lt;-1," pontos"," ponto"),""),IF(IFERROR(VLOOKUP($ML12,$BB$2:$BF$24,4,FALSE),0)+IFERROR(VLOOKUP($MM12,$BB$2:$BF$24,4,FALSE),0)&gt;1,$NT12&amp;" e "&amp;$NU12&amp;" são as duas de frequência",""),IF(AND((COUNTIF($MH12:$MK12,"Rápido")+COUNTIF($NT12:$NU12,"Rápido"))&gt;0,(COUNTIF($MH12:$MK12,"Atrasar")+COUNTIF($NT12:$NU12,"Atrasar"))&gt;0),"Rápido não entra com Atrasar",""),IF(AND((COUNTIF($MH12:$MK12,"Reação")+COUNTIF($NT12:$NU12,"Reação"))&gt;0,(COUNTIF($MH12:$MK12,"Rápido")+COUNTIF($NT12:$NU12,"Rápido"))&gt;0),"Reação não entra com Rápido",""),IF(AND((COUNTIF($MH12:$MK12,"Reação")+COUNTIF($NT12:$NU12,"Reação"))&gt;0,(COUNTIF($MH12:$MK12,"Armado")+COUNTIF($NT12:$NU12,"Armado"))&gt;0),"Reação não entra com Armado",""),IF(AND((COUNTIF($MH12:$MK12,"Reação")+COUNTIF($NT12:$NU12,"Reação"))&gt;0,(COUNTIF($MH12:$MK12,"Atrasar")+COUNTIF($NT12:$NU12,"Atrasar"))&gt;0),"Reação não entra com Atrasar",""),IF(AND((COUNTIF($MH12:$MK12,"Reação")+COUNTIF($NT12:$NU12,"Reação"))&gt;0,(COUNTIF($MH12:$MK12,"Parado")+COUNTIF($NT12:$NU12,"Parado"))&gt;0),"Reação não entra com Parado",""),IF(AND((COUNTIF($MH12:$MK12,"Atrasar")+COUNTIF($NT12:$NU12,"Atrasar"))&gt;0,(COUNTIF($MH12:$MK12,"Parado")+COUNTIF($NT12:$NU12,"Parado"))&gt;0),"Atrasar não entra com Parado",""),IF(AND((COUNTIF($MH12:$MK12,"Armado")+COUNTIF($NT12:$NU12,"Armado"))&gt;0,(COUNTIF($MH12:$MK12,"Carregar")+COUNTIF($NT12:$NU12,"Carregar"))&gt;0),"Armado não entra com Carregar",""),IF(AND(COUNTIF($NT12:$NU12,"Corpo a Corpo")&gt;0,$NO12=0,OR($ME12="Cone",$ME12="Linha")),"Corpo a Corpo não entra em "&amp;$ME12,""),IF(AND(COUNTIF($NT12:$NU12,"Corpo a Corpo")&gt;0,$NO12=1),"A Forma "&amp;$ME12&amp;" já traz o Corpo a Corpo",""),IF(AND(COUNTIF($NT12:$NU12,"Tudo ou Nada")&gt;0,$NQ12=0),"Tudo ou Nada só entra em habilidade de Teste de Resistência",""),IF(AND(COUNTIF($MH12:$MK12,"Inescapável")&gt;0,OR($OD12&gt;1,$OE12&gt;0)),"Inescapável não aceita outra peça",""),IF(AND($MC12&gt;0,$OM12*IF(COUNTIF($MH12:$MK12,"Remate")&gt;0,1.25,1)+$ON12&gt;4*$MC12),($OM12*IF(COUNTIF($MH12:$MK12,"Remate")&gt;0,1.25,1)+$ON12)&amp;" dados somando repetições"&amp;IF(COUNTIF($MH12:$MK12,"Remate")&gt;0," e o Remate","")&amp;": o teto da Classe "&amp;$MC12&amp;" é "&amp;4*$MC12,"")))</f>
        <v/>
      </c>
      <c r="PD12" s="152">
        <f>IF($PC12="",0,(LEN($PC12)-LEN(SUBSTITUTE($PC12," · ","")))/3+1)</f>
        <v/>
      </c>
      <c r="PE12" s="152">
        <f>IF($MN12=0,"",TEXTJOIN(" · ",TRUE,IF($OG12&gt;2*$MC12,"A devolução parou no teto de "&amp;2*$MC12,""),IF($OJ12&gt;0,"Devolução perdida: "&amp;$OJ12&amp;IF($OJ12&gt;1," pontos"," ponto")&amp;" sem peça para pagar",""),IF(AND($NM12&gt;0,AND($MC12&gt;0,$NP12=0),$OM12=0),"Controle sem dano: uma rodada a mais e CD +2",""),IF(AND($NM12&gt;0,AND($MC12&gt;0,$NP12=0),$OM12&gt;0,$OM12&lt;=$MC12),"Controle com saldo até a Classe: uma rodada a mais",""),IF(AND($MC12&gt;0,$NN12&lt;&gt;""),"Efeito de "&amp;$NN12&amp;" pela Classe "&amp;MAX(1,$MC12-1),"")))</f>
        <v/>
      </c>
      <c r="PF12" s="152">
        <f>IF($PE12="",0,(LEN($PE12)-LEN(SUBSTITUTE($PE12," · ","")))/3+1)</f>
        <v/>
      </c>
      <c r="PG12" s="152">
        <f>IF($MN12=0,IF($OD12+COUNTIF($ML12:$MM12,"?*")&gt;0,"Dê um nome",""),IF($PD12&gt;0,"⚠ "&amp;$PD12&amp;IF($PD12&gt;1," erros"," erro"),IF($PF12&gt;0,"! "&amp;$PF12&amp;IF($PF12&gt;1," avisos"," aviso"),"Na regra")))</f>
        <v/>
      </c>
      <c r="PH12" s="152">
        <f>IF($MN12=0,"",IF($PD12+$PF12=0,"Dentro das regras que a ficha confere",$PC12&amp;IF(AND($PD12&gt;0,$PF12&gt;0)," · ","")&amp;$PE12))</f>
        <v/>
      </c>
      <c r="PI12" s="152">
        <f>IF($MA12&gt;$MO12,$MB12&amp;" · ABRE NO NÍVEL "&amp;$MA12,$MB12)</f>
        <v/>
      </c>
      <c r="PJ12" s="152">
        <f>IF($MN12=0,"",IF($MC12=0,"Sem PE",3*$MC12&amp;" PE"))</f>
        <v/>
      </c>
      <c r="PK12" s="152">
        <f>IF($MN12=0,"",IF($MC12=0,"A atuação básica dela",IF(COUNTIF($NT12:$NU12,"Atrasar")&gt;0,"Sua Ação Completa",IF(COUNTIF($MH12:$MK12,"Rápido")&gt;0,"Sua Bônus",IF(COUNTIF($MH12:$MK12,"Reação")&gt;0,"Sua Reação","Sua Padrão")))&amp;" + a básica dela"&amp;IF(COUNTIF($MH12:$MK12,"Reação")&gt;0," e a coletiva","")&amp;IF(COUNTIF($NT12:$NU12,"Carregar")&gt;0," · em dois turnos","")))</f>
        <v/>
      </c>
      <c r="PL12" s="152">
        <f>IF($MG12&lt;&gt;"",$MG12,IF($MT12=0,"",INDEX($AA$2:$AA$11,$MT12)))</f>
        <v/>
      </c>
      <c r="PM12" s="152">
        <f>IF(OR($MN12=0,$MT12=0),"",IF(COUNTIF($MH12:$MK12,"Inescapável")&gt;0,"Automático",IF($PL12="Ataque",IF($MR12="","Ataque","Ataque "&amp;IF(($MR12+2*IF(COUNTIF($MH12:$MK12,"Precisão")&gt;0,1,0))&gt;=0,"+","−")&amp;ABS(($MR12+2*IF(COUNTIF($MH12:$MK12,"Precisão")&gt;0,1,0)))),IF(LEFT($PL12,2)="TR",$PL12&amp;IF($MS12="",""," · CD "&amp;$MS12)&amp;IF(COUNTIF($MH12:$MK12,"Certeiro")&gt;0," · metade",""),"Sem rolagem"))))</f>
        <v/>
      </c>
      <c r="PN12" s="152">
        <f>IF(OR($MN12=0,$MT12=0),"",IF($MC12=0,IF(OR($NP12&gt;=1,$OM12=0),"Sem dano",$OM12&amp;"d6"&amp;IF($MF12="",""," "&amp;$MF12)),IF(OR($NP12&gt;=1,$OM12=0),UPPER(LEFT(INDEX($OV12:$PB12,1,MAX(1,$MC12)),1))&amp;MID(INDEX($OV12:$PB12,1,MAX(1,$MC12)),2,99),UPPER(LEFT(INDEX($OV12:$PB12,1,MAX(1,$MC12)),1))&amp;MID(INDEX($OV12:$PB12,1,MAX(1,$MC12)),2,99)&amp;IF($MF12="",""," "&amp;$MF12)&amp;IF($ON12&gt;0," · +"&amp;$ON12&amp;"d8",""))))</f>
        <v/>
      </c>
      <c r="PO12" s="152">
        <f>COUNTIF($MH12:$MK12,"Longe")+3*COUNTIF($MH12:$MK12,"Muito Longe")</f>
        <v/>
      </c>
      <c r="PP12" s="152">
        <f>COUNTIF($MH12:$MK12,"Maior")+3*COUNTIF($MH12:$MK12,"Muito Maior")</f>
        <v/>
      </c>
      <c r="PQ12" s="152">
        <f>IF($MT12=0,0,CHOOSE(1+INDEX($AC$2:$AC$11,$MT12),0,$PO12,$PP12,$PO12+$PP12))</f>
        <v/>
      </c>
      <c r="PR12" s="152">
        <f>IF($MT12=0,0,CHOOSE(1+INDEX($AD$2:$AD$11,$MT12),0,$PO12,$PP12,$PO12+$PP12))</f>
        <v/>
      </c>
      <c r="PS12" s="152">
        <f>IF(OR($MN12=0,$MT12=0),"",INDEX($AI$2:$AN$41,($MT12-1)*4+IF($MC12=0,1,IF($MC12&lt;=5,2,IF($MC12=6,3,4))),1+MIN(5,$PQ12))&amp;INDEX($AO$2:$AT$41,($MT12-1)*4+IF($MC12=0,1,IF($MC12&lt;=5,2,IF($MC12=6,3,4))),1+MIN(5,$PR12))&amp;IF(INDEX($AE$2:$AE$11,$MT12)=1,IF(COUNTIF($MH12:$MK12,"Mais Um")&gt;0," · +"&amp;COUNTIF($MH12:$MK12,"Mais Um")&amp;IF(COUNTIF($MH12:$MK12,"Mais Um")&gt;1," alvos"," alvo"),"")&amp;IF(COUNTIF($MH12:$MK12,"Rajada")&gt;0,IF($MC12=0," · 1 tiro"," · "&amp;(MAX(1,$MC12-1)+1)&amp;" tiros"),""),""))</f>
        <v/>
      </c>
      <c r="PT12" s="152">
        <f>IF($MN12=0,"",IF($MC12=0,$MQ12&amp;"d6"&amp;IF($OD12&gt;0," − 1 = "&amp;$OM12&amp;"d6"," da básica do nível "&amp;$MO12),$OK12&amp;" − "&amp;$OF12&amp;" + "&amp;$OI12&amp;" = "&amp;$OL12&amp;" · teto "&amp;4*$MC12&amp;"d8"&amp;IF($NO12=1," · a Forma devolve "&amp;$MC12,"")&amp;IF($OJ12&gt;0," · perde "&amp;$OJ12,"")))</f>
        <v/>
      </c>
      <c r="PU12" s="152">
        <f>IF($MN12=0,"",IF($MC12=0,"A básica não amplia: os dados dela sobem com o nível",IF($MC12&gt;=$MP12,"Já está na maior Classe que o nível liberou",TEXTJOIN(" · ",TRUE,IF(AND(2&gt;$MC12,2&lt;=$MP12),"2 → "&amp;$OW12&amp;", 6 PE",""),IF(AND(3&gt;$MC12,3&lt;=$MP12),"3 → "&amp;$OX12&amp;", 9 PE",""),IF(AND(4&gt;$MC12,4&lt;=$MP12),"4 → "&amp;$OY12&amp;", 12 PE",""),IF(AND(5&gt;$MC12,5&lt;=$MP12),"5 → "&amp;$OZ12&amp;", 15 PE",""),IF(AND(6&gt;$MC12,6&lt;=$MP12),"6 → "&amp;$PA12&amp;", 18 PE",""),IF(AND(7&gt;$MC12,7&lt;=$MP12),"7 → "&amp;$PB12&amp;", 21 PE","")))))</f>
        <v/>
      </c>
      <c r="PV12" s="152">
        <f>IF(OR($MN12=0,$MY12=0),"",IF($MC12=0,"−1 dado","−"&amp;INDEX($I$2:$N$8,MAX(1,$MC12),MAX(1,$ND12))&amp;" · "&amp;CHOOSE(MAX(1,$ND12),"Leve","Média","Pesada","Leve · Livre","Média · Livre","Pesada · Livre")))</f>
        <v/>
      </c>
      <c r="PW12" s="152">
        <f>IF(OR($MN12=0,$MZ12=0),"",IF($MC12=0,"−1 dado","−"&amp;INDEX($I$2:$N$8,MAX(1,$MC12),MAX(1,$NE12))&amp;" · "&amp;CHOOSE(MAX(1,$NE12),"Leve","Média","Pesada","Leve · Livre","Média · Livre","Pesada · Livre")))</f>
        <v/>
      </c>
      <c r="PX12" s="152">
        <f>IF(OR($MN12=0,$NA12=0),"",IF($MC12=0,"−1 dado","−"&amp;INDEX($I$2:$N$8,MAX(1,$MC12),MAX(1,$NF12))&amp;" · "&amp;CHOOSE(MAX(1,$NF12),"Leve","Média","Pesada","Leve · Livre","Média · Livre","Pesada · Livre")))</f>
        <v/>
      </c>
      <c r="PY12" s="152">
        <f>IF(OR($MN12=0,$NB12=0),"",IF($MC12=0,"−1 dado","−"&amp;INDEX($I$2:$N$8,MAX(1,$MC12),MAX(1,$NG12))&amp;" · "&amp;CHOOSE(MAX(1,$NG12),"Leve","Média","Pesada","Leve · Livre","Média · Livre","Pesada · Livre")))</f>
        <v/>
      </c>
      <c r="PZ12" s="152">
        <f>IF(OR($MN12=0,$ML12=""),"",IF($MC12=0,"não devolve","+"&amp;IF($NR12=1,CEILING($MC12/2,1),$MC12)))</f>
        <v/>
      </c>
      <c r="QA12" s="152">
        <f>IF(OR($MN12=0,$MM12=""),"",IF($MC12=0,"não devolve","+"&amp;IF($NS12=1,CEILING($MC12/2,1),$MC12)))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B13" s="150" t="inlineStr">
        <is>
          <t>Frágil</t>
        </is>
      </c>
      <c r="BC13" s="150" t="inlineStr">
        <is>
          <t>Frágil</t>
        </is>
      </c>
      <c r="BD13" s="152" t="n">
        <v>1</v>
      </c>
      <c r="BE13" s="152" t="n">
        <v>0</v>
      </c>
      <c r="BF13" s="150" t="inlineStr">
        <is>
          <t>Frágil</t>
        </is>
      </c>
      <c r="BH13" s="150" t="inlineStr">
        <is>
          <t>Afinidade</t>
        </is>
      </c>
      <c r="BI13" s="152" t="n">
        <v>3</v>
      </c>
      <c r="BJ13" s="150" t="inlineStr">
        <is>
          <t>Escolha um tema presente na Regra da sua técnica. Seus feitiços desse tema ignoram cobertura Parcial e resistência ao tipo de dano que causam.</t>
        </is>
      </c>
      <c r="BK13" s="150" t="inlineStr"/>
      <c r="BZ13" s="150" t="inlineStr">
        <is>
          <t>Medicina</t>
        </is>
      </c>
      <c r="CA13" s="150" t="inlineStr">
        <is>
          <t>Inteligência</t>
        </is>
      </c>
      <c r="CE13" s="150" t="inlineStr">
        <is>
          <t>Psíquico</t>
        </is>
      </c>
      <c r="CY13" s="152" t="n">
        <v>12</v>
      </c>
      <c r="CZ13" s="152">
        <f>'INVOCAÇÕES'!$AB$1003&amp;""</f>
        <v/>
      </c>
      <c r="DA13" s="152">
        <f>'INVOCAÇÕES'!$AB$1033&amp;""</f>
        <v/>
      </c>
      <c r="DB13" s="152">
        <f>'INVOCAÇÕES'!$AB$1037&amp;""</f>
        <v/>
      </c>
      <c r="DC13" s="152">
        <f>N('INVOCAÇÕES'!$AD$1037)</f>
        <v/>
      </c>
      <c r="DD13" s="152">
        <f>'INVOCAÇÕES'!$AE$1037&amp;""</f>
        <v/>
      </c>
      <c r="DE13" s="152">
        <f>N('INVOCAÇÕES'!$AH$1010)</f>
        <v/>
      </c>
      <c r="DF13" s="152">
        <f>N('INVOCAÇÕES'!$AI$1010)</f>
        <v/>
      </c>
      <c r="DG13" s="152">
        <f>N('INVOCAÇÕES'!$AJ$1010)</f>
        <v/>
      </c>
      <c r="DH13" s="152">
        <f>N('INVOCAÇÕES'!$AK$1010)</f>
        <v/>
      </c>
      <c r="DI13" s="152">
        <f>N('INVOCAÇÕES'!$AL$1010)</f>
        <v/>
      </c>
      <c r="DJ13" s="152">
        <f>N('INVOCAÇÕES'!$AH$1011)</f>
        <v/>
      </c>
      <c r="DK13" s="152">
        <f>N('INVOCAÇÕES'!$AI$1011)</f>
        <v/>
      </c>
      <c r="DL13" s="152">
        <f>N('INVOCAÇÕES'!$AJ$1011)</f>
        <v/>
      </c>
      <c r="DM13" s="152">
        <f>N('INVOCAÇÕES'!$AK$1011)</f>
        <v/>
      </c>
      <c r="DN13" s="152">
        <f>N('INVOCAÇÕES'!$AL$1011)</f>
        <v/>
      </c>
      <c r="DO13" s="152">
        <f>'INVOCAÇÕES'!$AH$1024&amp;""</f>
        <v/>
      </c>
      <c r="DP13" s="152">
        <f>'INVOCAÇÕES'!$AJ$1024&amp;""</f>
        <v/>
      </c>
      <c r="DQ13" s="152">
        <f>'INVOCAÇÕES'!$AL$1024&amp;""</f>
        <v/>
      </c>
      <c r="DR13" s="152">
        <f>N('INVOCAÇÕES'!$AH$1016)</f>
        <v/>
      </c>
      <c r="DS13" s="152">
        <f>N('INVOCAÇÕES'!$AI$1016)</f>
        <v/>
      </c>
      <c r="DT13" s="152">
        <f>N('INVOCAÇÕES'!$AJ$1016)</f>
        <v/>
      </c>
      <c r="DU13" s="152">
        <f>N('INVOCAÇÕES'!$AK$1016)</f>
        <v/>
      </c>
      <c r="DV13" s="152">
        <f>N('INVOCAÇÕES'!$AL$1016)</f>
        <v/>
      </c>
      <c r="DW13" s="152">
        <f>N('INVOCAÇÕES'!$AH$1021)</f>
        <v/>
      </c>
      <c r="DX13" s="152">
        <f>N('INVOCAÇÕES'!$AI$1021)</f>
        <v/>
      </c>
      <c r="DY13" s="152">
        <f>N('INVOCAÇÕES'!$AJ$1021)</f>
        <v/>
      </c>
      <c r="DZ13" s="152">
        <f>N('INVOCAÇÕES'!$AK$1021)</f>
        <v/>
      </c>
      <c r="EA13" s="152">
        <f>'INVOCAÇÕES'!$AN$1003&amp;""</f>
        <v/>
      </c>
      <c r="EB13" s="152">
        <f>N('INVOCAÇÕES'!$AP$1003)</f>
        <v/>
      </c>
      <c r="EC13" s="152">
        <f>'INVOCAÇÕES'!$AR$1003&amp;""</f>
        <v/>
      </c>
      <c r="ED13" s="152">
        <f>'INVOCAÇÕES'!$AH$1038&amp;""</f>
        <v/>
      </c>
      <c r="EE13" s="152">
        <f>'INVOCAÇÕES'!$AI$1038&amp;""</f>
        <v/>
      </c>
      <c r="EF13" s="152">
        <f>'INVOCAÇÕES'!$AJ$1038&amp;""</f>
        <v/>
      </c>
      <c r="EG13" s="152">
        <f>'INVOCAÇÕES'!$AK$1038&amp;""</f>
        <v/>
      </c>
      <c r="EH13" s="152">
        <f>'INVOCAÇÕES'!$AL$1038&amp;""</f>
        <v/>
      </c>
      <c r="EI13" s="152">
        <f>'INVOCAÇÕES'!$AH$1028&amp;""</f>
        <v/>
      </c>
      <c r="EJ13" s="152">
        <f>'INVOCAÇÕES'!$AH$1029&amp;""</f>
        <v/>
      </c>
      <c r="EK13" s="152">
        <f>'INVOCAÇÕES'!$AH$1030&amp;""</f>
        <v/>
      </c>
      <c r="EL13" s="152">
        <f>'INVOCAÇÕES'!$AH$1031&amp;""</f>
        <v/>
      </c>
      <c r="EM13" s="152">
        <f>'INVOCAÇÕES'!$AH$1032&amp;""</f>
        <v/>
      </c>
      <c r="EN13" s="152">
        <f>'INVOCAÇÕES'!$AH$1033&amp;""</f>
        <v/>
      </c>
      <c r="EO13" s="152">
        <f>'INVOCAÇÕES'!$AH$1034&amp;""</f>
        <v/>
      </c>
      <c r="EP13" s="152">
        <f>'INVOCAÇÕES'!$AC$1070&amp;""</f>
        <v/>
      </c>
      <c r="EQ13" s="152">
        <f>'INVOCAÇÕES'!$AC$1071&amp;""</f>
        <v/>
      </c>
      <c r="ER13" s="152">
        <f>'INVOCAÇÕES'!$AC$1072&amp;""</f>
        <v/>
      </c>
      <c r="ES13" s="152">
        <f>'INVOCAÇÕES'!$AC$1073&amp;""</f>
        <v/>
      </c>
      <c r="ET13" s="152">
        <f>'INVOCAÇÕES'!$AC$1074&amp;""</f>
        <v/>
      </c>
      <c r="EU13" s="152">
        <f>'INVOCAÇÕES'!$AC$1075&amp;""</f>
        <v/>
      </c>
      <c r="EV13" s="152">
        <f>'INVOCAÇÕES'!$AC$1076&amp;""</f>
        <v/>
      </c>
      <c r="EW13" s="152">
        <f>'INVOCAÇÕES'!$AC$1077&amp;""</f>
        <v/>
      </c>
      <c r="EX13" s="152">
        <f>'INVOCAÇÕES'!$AC$1172&amp;""</f>
        <v/>
      </c>
      <c r="EY13" s="152">
        <f>'INVOCAÇÕES'!$AC$1173&amp;""</f>
        <v/>
      </c>
      <c r="EZ13" s="152">
        <f>'INVOCAÇÕES'!$AC$1174&amp;""</f>
        <v/>
      </c>
      <c r="FA13" s="152">
        <f>MAX(3,MIN(7,N('INVOCAÇÕES'!$AB$1179)))</f>
        <v/>
      </c>
      <c r="FB13" s="152">
        <f>MAX(3,MIN(7,N('INVOCAÇÕES'!$AH$1179)))</f>
        <v/>
      </c>
      <c r="FC13" s="152">
        <f>MAX(3,MIN(7,N('INVOCAÇÕES'!$AN$1179)))</f>
        <v/>
      </c>
      <c r="FD13" s="152">
        <f>'INVOCAÇÕES'!$AH$1193&amp;""</f>
        <v/>
      </c>
      <c r="FE13" s="152">
        <f>IF($CZ13&lt;&gt;"",1,0)</f>
        <v/>
      </c>
      <c r="FF13" s="152">
        <f>IFERROR(VLOOKUP($DB13,$BO$2:$BP$5,2,FALSE),1)</f>
        <v/>
      </c>
      <c r="FG13" s="152">
        <f>IF($FF13=1,$CW$2,MAX(1,MIN($CW$2,IF($DC13=0,$CW$2,$DC13))))</f>
        <v/>
      </c>
      <c r="FH13" s="152">
        <f>VLOOKUP(MAX(1,$FG13),$A$2:$D$8,2,TRUE)</f>
        <v/>
      </c>
      <c r="FI13" s="152">
        <f>VLOOKUP(MAX(1,$FG13),$A$2:$D$8,3,TRUE)</f>
        <v/>
      </c>
      <c r="FJ13" s="152">
        <f>$DE13+$DJ13</f>
        <v/>
      </c>
      <c r="FK13" s="152">
        <f>$DF13+$DK13</f>
        <v/>
      </c>
      <c r="FL13" s="152">
        <f>$DG13+$DL13</f>
        <v/>
      </c>
      <c r="FM13" s="152">
        <f>$DH13+$DM13</f>
        <v/>
      </c>
      <c r="FN13" s="152">
        <f>$DI13+$DN13</f>
        <v/>
      </c>
      <c r="FO13" s="152">
        <f>SUM($DE13:$DI13)</f>
        <v/>
      </c>
      <c r="FP13" s="152">
        <f>9+$FQ13</f>
        <v/>
      </c>
      <c r="FQ13" s="152">
        <f>COUNTIF($F$2:$F$8,"&lt;="&amp;$FG13)</f>
        <v/>
      </c>
      <c r="FR13" s="152">
        <f>MAX(0,$DE13-3)+MAX(0,$DF13-3)+MAX(0,$DG13-3)+MAX(0,$DH13-3)+MAX(0,$DI13-3)</f>
        <v/>
      </c>
      <c r="FS13" s="152">
        <f>IFERROR(INDEX($FJ13:$FN13,1,MATCH($DO13,$BT$2:$BT$6,0)),"")</f>
        <v/>
      </c>
      <c r="FT13" s="152">
        <f>IF($FS13="","",$FS13+$CW$3+$DR13)</f>
        <v/>
      </c>
      <c r="FU13" s="152">
        <f>IF($FS13="","",8+$FS13+$CW$3+$DS13)</f>
        <v/>
      </c>
      <c r="FV13" s="152">
        <f>10+$FK13+$CW$7+$DT13</f>
        <v/>
      </c>
      <c r="FW13" s="152">
        <f>IF($DA13="Corpo amaldiçoado de criação",1,0)</f>
        <v/>
      </c>
      <c r="FX13" s="152">
        <f>5+$FL13+(3+$FW13+$FL13)*($FG13-1)+$DU13</f>
        <v/>
      </c>
      <c r="FY13" s="152">
        <f>IF($EA13="",$FX13,MAX(0,MIN(IFERROR(VALUE($EA13),$FX13),$FX13)))</f>
        <v/>
      </c>
      <c r="FZ13" s="152">
        <f>9+$DV13</f>
        <v/>
      </c>
      <c r="GA13" s="152">
        <f>IF($DP13="Destreza",$FK13,$FJ13)</f>
        <v/>
      </c>
      <c r="GB13" s="152">
        <f>$GA13+IF($DQ13="Físico",$CW$3,0)+$DW13</f>
        <v/>
      </c>
      <c r="GC13" s="152">
        <f>$FL13+IF($DQ13="Vigor",$CW$3,0)+$DX13</f>
        <v/>
      </c>
      <c r="GD13" s="152">
        <f>$FM13+IF($DQ13="Intelecto",$CW$3,0)+$DY13</f>
        <v/>
      </c>
      <c r="GE13" s="152">
        <f>$FN13+IF($DQ13="Espírito",$CW$3,0)+$DZ13</f>
        <v/>
      </c>
      <c r="GF13" s="152">
        <f>4+INT($DH13/2)</f>
        <v/>
      </c>
      <c r="GG13" s="152">
        <f>COUNTIF($EI13:$EO13,"?*")</f>
        <v/>
      </c>
      <c r="GH13" s="152">
        <f>INT((2+$FG13/2)/2)</f>
        <v/>
      </c>
      <c r="GI13" s="152">
        <f>IF($FG13&gt;=11,2,1)</f>
        <v/>
      </c>
      <c r="GJ13" s="152">
        <f>1+$FQ13</f>
        <v/>
      </c>
      <c r="GK13" s="152">
        <f>COUNTIF($EP13:$EW13,"?*")</f>
        <v/>
      </c>
      <c r="GL13" s="152">
        <f>IF(AND($DA13="Shikigami de criação",$DD13="Com carga"),MAX(1,CEILING($FH13/2,1)),$FH13)</f>
        <v/>
      </c>
      <c r="GM13" s="152">
        <f>$FH13+$GL13</f>
        <v/>
      </c>
      <c r="GN13" s="152">
        <f>$FG13*(1+INT($DI13/3))</f>
        <v/>
      </c>
      <c r="GO13" s="152">
        <f>5+$FJ13</f>
        <v/>
      </c>
      <c r="GP13" s="152">
        <f>COUNTIF($ED13:$EH13,"?*")</f>
        <v/>
      </c>
      <c r="GQ13" s="152">
        <f>IF($ED13="",0,IF(COUNTIF($ED13:$EH13,$ED13)&gt;1,1,0))+IF($EE13="",0,IF(COUNTIF($ED13:$EH13,$EE13)&gt;1,1,0))+IF($EF13="",0,IF(COUNTIF($ED13:$EH13,$EF13)&gt;1,1,0))+IF($EG13="",0,IF(COUNTIF($ED13:$EH13,$EG13)&gt;1,1,0))+IF($EH13="",0,IF(COUNTIF($ED13:$EH13,$EH13)&gt;1,1,0))</f>
        <v/>
      </c>
      <c r="GR13" s="152">
        <f>$CW$11</f>
        <v/>
      </c>
      <c r="GS13" s="152">
        <f>IF($FE13=0,"INVOCAÇÃO 12 · lugar vazio",$CZ13&amp;" · "&amp;$DA13&amp;" · nível "&amp;$FG13&amp;" · vida "&amp;$FY13&amp;" de "&amp;$FX13)</f>
        <v/>
      </c>
      <c r="GT13" s="152">
        <f>IF($FE13=0,"VAZIA",UPPER($CZ13))</f>
        <v/>
      </c>
      <c r="GU13" s="152">
        <f>IF($CW$3&gt;=0,"+","−")&amp;ABS($CW$3)</f>
        <v/>
      </c>
      <c r="GV13" s="152">
        <f>$GL13&amp;" PE"</f>
        <v/>
      </c>
      <c r="GW13" s="152">
        <f>$GM13&amp;" PE"</f>
        <v/>
      </c>
      <c r="GX13" s="152">
        <f>IF(OR($FO13&gt;$FP13,$FR13&gt;$FQ13),"⚠ ",IF(AND($FE13=1,$FO13&lt;$FP13),"! ",""))&amp;"ATRIBUTOS · "&amp;$FO13&amp;" DE "&amp;$FP13&amp;" PONTOS"&amp;IF($FR13&gt;$FQ13," · ACIMA DE 3 SÓ COM MARCO","")</f>
        <v/>
      </c>
      <c r="GY13" s="152">
        <f>IF($FT13="","",IF($FT13&gt;=0,"+","−")&amp;ABS($FT13))</f>
        <v/>
      </c>
      <c r="GZ13" s="152">
        <f>IF($FU13="","",$FU13)</f>
        <v/>
      </c>
      <c r="HA13" s="152">
        <f>SUBSTITUTE($FZ13&amp;" m",".",",")</f>
        <v/>
      </c>
      <c r="HB13" s="152">
        <f>IF($GB13&gt;=0,"+","−")&amp;ABS($GB13)</f>
        <v/>
      </c>
      <c r="HC13" s="152">
        <f>IF($GC13&gt;=0,"+","−")&amp;ABS($GC13)</f>
        <v/>
      </c>
      <c r="HD13" s="152">
        <f>IF($GD13&gt;=0,"+","−")&amp;ABS($GD13)</f>
        <v/>
      </c>
      <c r="HE13" s="152">
        <f>IF($GE13&gt;=0,"+","−")&amp;ABS($GE13)</f>
        <v/>
      </c>
      <c r="HF13" s="152">
        <f>IF($GG13&gt;$GF13,"⚠ ","")&amp;"PERÍCIAS · "&amp;$GG13&amp;" DE "&amp;$GF13</f>
        <v/>
      </c>
      <c r="HG13" s="152">
        <f>IF($EI13="","",IFERROR(IF((INDEX($FJ13:$FN13,1,MATCH(VLOOKUP($EI13,$BZ$2:$CA$24,2,FALSE),$BT$2:$BT$6,0))+$CW$3)&gt;=0,"+","−")&amp;ABS((INDEX($FJ13:$FN13,1,MATCH(VLOOKUP($EI13,$BZ$2:$CA$24,2,FALSE),$BT$2:$BT$6,0))+$CW$3)),""))</f>
        <v/>
      </c>
      <c r="HH13" s="152">
        <f>IF($EJ13="","",IFERROR(IF((INDEX($FJ13:$FN13,1,MATCH(VLOOKUP($EJ13,$BZ$2:$CA$24,2,FALSE),$BT$2:$BT$6,0))+$CW$3)&gt;=0,"+","−")&amp;ABS((INDEX($FJ13:$FN13,1,MATCH(VLOOKUP($EJ13,$BZ$2:$CA$24,2,FALSE),$BT$2:$BT$6,0))+$CW$3)),""))</f>
        <v/>
      </c>
      <c r="HI13" s="152">
        <f>IF($EK13="","",IFERROR(IF((INDEX($FJ13:$FN13,1,MATCH(VLOOKUP($EK13,$BZ$2:$CA$24,2,FALSE),$BT$2:$BT$6,0))+$CW$3)&gt;=0,"+","−")&amp;ABS((INDEX($FJ13:$FN13,1,MATCH(VLOOKUP($EK13,$BZ$2:$CA$24,2,FALSE),$BT$2:$BT$6,0))+$CW$3)),""))</f>
        <v/>
      </c>
      <c r="HJ13" s="152">
        <f>IF($EL13="","",IFERROR(IF((INDEX($FJ13:$FN13,1,MATCH(VLOOKUP($EL13,$BZ$2:$CA$24,2,FALSE),$BT$2:$BT$6,0))+$CW$3)&gt;=0,"+","−")&amp;ABS((INDEX($FJ13:$FN13,1,MATCH(VLOOKUP($EL13,$BZ$2:$CA$24,2,FALSE),$BT$2:$BT$6,0))+$CW$3)),""))</f>
        <v/>
      </c>
      <c r="HK13" s="152">
        <f>IF($EM13="","",IFERROR(IF((INDEX($FJ13:$FN13,1,MATCH(VLOOKUP($EM13,$BZ$2:$CA$24,2,FALSE),$BT$2:$BT$6,0))+$CW$3)&gt;=0,"+","−")&amp;ABS((INDEX($FJ13:$FN13,1,MATCH(VLOOKUP($EM13,$BZ$2:$CA$24,2,FALSE),$BT$2:$BT$6,0))+$CW$3)),""))</f>
        <v/>
      </c>
      <c r="HL13" s="152">
        <f>IF($EN13="","",IFERROR(IF((INDEX($FJ13:$FN13,1,MATCH(VLOOKUP($EN13,$BZ$2:$CA$24,2,FALSE),$BT$2:$BT$6,0))+$CW$3)&gt;=0,"+","−")&amp;ABS((INDEX($FJ13:$FN13,1,MATCH(VLOOKUP($EN13,$BZ$2:$CA$24,2,FALSE),$BT$2:$BT$6,0))+$CW$3)),""))</f>
        <v/>
      </c>
      <c r="HM13" s="152">
        <f>IF($EO13="","",IFERROR(IF((INDEX($FJ13:$FN13,1,MATCH(VLOOKUP($EO13,$BZ$2:$CA$24,2,FALSE),$BT$2:$BT$6,0))+$CW$3)&gt;=0,"+","−")&amp;ABS((INDEX($FJ13:$FN13,1,MATCH(VLOOKUP($EO13,$BZ$2:$CA$24,2,FALSE),$BT$2:$BT$6,0))+$CW$3)),""))</f>
        <v/>
      </c>
      <c r="HN13" s="152">
        <f>IF($DA13="Maldição domada","RESERVA · MÁX. "&amp;$GN13,"RESERVA DE PE")</f>
        <v/>
      </c>
      <c r="HO13" s="152">
        <f>"EQUIPAMENTO · CARGA ATÉ "&amp;$GO13&amp;" DE VOLUME"</f>
        <v/>
      </c>
      <c r="HP13" s="152">
        <f>IF(OR($GQ13&gt;0,$GP13&gt;$GR13),"⚠ ","")&amp;"FAMÍLIAS · "&amp;$GP13&amp;" ABERTAS"&amp;IF($GQ13&gt;0," · REPETIDA","")&amp;IF($GP13&gt;$GR13," · O LIMITE É "&amp;$GR13,"")</f>
        <v/>
      </c>
      <c r="HQ13" s="152">
        <f>"HABILIDADES · básica de "&amp;$FI13&amp;"d6 · "&amp;$GH13&amp;IF($GH13&gt;1," espaços"," espaço")&amp;" de especial até a Classe "&amp;$FH13&amp;" · "&amp;$GJ13&amp;IF($GJ13&gt;1," talentos"," talento")</f>
        <v/>
      </c>
      <c r="HR13" s="152">
        <f>IF($GK13&gt;$GJ13,"⚠ ","")&amp;"TALENTOS · "&amp;$GK13&amp;" DE "&amp;$GJ13</f>
        <v/>
      </c>
      <c r="HS13" s="152">
        <f>IFERROR(VLOOKUP($EP13,$BH$2:$BK$15,2,FALSE),0)</f>
        <v/>
      </c>
      <c r="HT13" s="152">
        <f>IFERROR(VLOOKUP($EQ13,$BH$2:$BK$15,2,FALSE),0)</f>
        <v/>
      </c>
      <c r="HU13" s="152">
        <f>IFERROR(VLOOKUP($ER13,$BH$2:$BK$15,2,FALSE),0)</f>
        <v/>
      </c>
      <c r="HV13" s="152">
        <f>IFERROR(VLOOKUP($ES13,$BH$2:$BK$15,2,FALSE),0)</f>
        <v/>
      </c>
      <c r="HW13" s="152">
        <f>IFERROR(VLOOKUP($ET13,$BH$2:$BK$15,2,FALSE),0)</f>
        <v/>
      </c>
      <c r="HX13" s="152">
        <f>IFERROR(VLOOKUP($EU13,$BH$2:$BK$15,2,FALSE),0)</f>
        <v/>
      </c>
      <c r="HY13" s="152">
        <f>IFERROR(VLOOKUP($EV13,$BH$2:$BK$15,2,FALSE),0)</f>
        <v/>
      </c>
      <c r="HZ13" s="152">
        <f>IFERROR(VLOOKUP($EW13,$BH$2:$BK$15,2,FALSE),0)</f>
        <v/>
      </c>
      <c r="IA13" s="152">
        <f>IF($EP13="","",IF(1&gt;$FG13,"⚠ Este talento abre no nível 1",IF($HS13&gt;1,"⚠ Categoria "&amp;$HS13&amp;": este ganho vai até a 1 · ","")&amp;IFERROR(VLOOKUP($EP13,$BH$2:$BK$15,3,FALSE),"")))</f>
        <v/>
      </c>
      <c r="IB13" s="152">
        <f>IF($EQ13="","",IF(6&gt;$FG13,"⚠ Este talento abre no nível 6",IF($HT13&gt;1,"⚠ Categoria "&amp;$HT13&amp;": este ganho vai até a 1 · ","")&amp;IFERROR(VLOOKUP($EQ13,$BH$2:$BK$15,3,FALSE),"")))</f>
        <v/>
      </c>
      <c r="IC13" s="152">
        <f>IF($ER13="","",IF(10&gt;$FG13,"⚠ Este talento abre no nível 10",IF($HU13&gt;2,"⚠ Categoria "&amp;$HU13&amp;": este ganho vai até a 2 · ","")&amp;IFERROR(VLOOKUP($ER13,$BH$2:$BK$15,3,FALSE),"")))</f>
        <v/>
      </c>
      <c r="ID13" s="152">
        <f>IF($ES13="","",IF(14&gt;$FG13,"⚠ Este talento abre no nível 14",IF($HV13&gt;3,"⚠ Categoria "&amp;$HV13&amp;": este ganho vai até a 3 · ","")&amp;IFERROR(VLOOKUP($ES13,$BH$2:$BK$15,3,FALSE),"")))</f>
        <v/>
      </c>
      <c r="IE13" s="152">
        <f>IF($ET13="","",IF(18&gt;$FG13,"⚠ Este talento abre no nível 18",IF($HW13&gt;3,"⚠ Categoria "&amp;$HW13&amp;": este ganho vai até a 3 · ","")&amp;IFERROR(VLOOKUP($ET13,$BH$2:$BK$15,3,FALSE),"")))</f>
        <v/>
      </c>
      <c r="IF13" s="152">
        <f>IF($EU13="","",IF(22&gt;$FG13,"⚠ Este talento abre no nível 22",IF($HX13&gt;3,"⚠ Categoria "&amp;$HX13&amp;": este ganho vai até a 3 · ","")&amp;IFERROR(VLOOKUP($EU13,$BH$2:$BK$15,3,FALSE),"")))</f>
        <v/>
      </c>
      <c r="IG13" s="152">
        <f>IF($EV13="","",IF(26&gt;$FG13,"⚠ Este talento abre no nível 26",IF($HY13&gt;3,"⚠ Categoria "&amp;$HY13&amp;": este ganho vai até a 3 · ","")&amp;IFERROR(VLOOKUP($EV13,$BH$2:$BK$15,3,FALSE),"")))</f>
        <v/>
      </c>
      <c r="IH13" s="152">
        <f>IF($EW13="","",IF(30&gt;$FG13,"⚠ Este talento abre no nível 30",IF($HZ13&gt;3,"⚠ Categoria "&amp;$HZ13&amp;": este ganho vai até a 3 · ","")&amp;IFERROR(VLOOKUP($EW13,$BH$2:$BK$15,3,FALSE),"")))</f>
        <v/>
      </c>
      <c r="II13" s="152">
        <f>IF($EX13="","",IFERROR(VLOOKUP($EX13,$BH$2:$BK$15,3,FALSE),""))</f>
        <v/>
      </c>
      <c r="IJ13" s="152">
        <f>IF($EY13="","",IFERROR(VLOOKUP($EY13,$BH$2:$BK$15,3,FALSE),""))</f>
        <v/>
      </c>
      <c r="IK13" s="152">
        <f>IF($EZ13="","",IFERROR(VLOOKUP($EZ13,$BH$2:$BK$15,3,FALSE),""))</f>
        <v/>
      </c>
      <c r="IL13" s="152">
        <f>CEILING(4.5*$FA13,1)&amp;" PE"</f>
        <v/>
      </c>
      <c r="IM13" s="152">
        <f>CEILING(4.5*$FB13,1)&amp;" PE"</f>
        <v/>
      </c>
      <c r="IN13" s="152">
        <f>CEILING(4.5*$FC13,1)&amp;" PE"</f>
        <v/>
      </c>
      <c r="IO13" s="152">
        <f>INDEX($P$2:$P$8,$FA13)&amp;" pontos + "&amp;$FA13&amp;"d8"</f>
        <v/>
      </c>
      <c r="IP13" s="152">
        <f>INDEX($P$2:$P$8,$FB13)&amp;" pontos + "&amp;$FB13&amp;"d8"</f>
        <v/>
      </c>
      <c r="IQ13" s="152">
        <f>INDEX($P$2:$P$8,$FC13)&amp;" pontos + "&amp;$FC13&amp;"d8"</f>
        <v/>
      </c>
      <c r="IR13" s="152">
        <f>IF($FG13&lt;17,"—",VLOOKUP($FG13,$CK$2:$CN$4,4,TRUE)&amp;" PE")</f>
        <v/>
      </c>
      <c r="IS13" s="152">
        <f>IF($FG13&lt;17,"Abre no nível 17",VLOOKUP($FG13,$CK$2:$CN$4,2,TRUE)&amp;" fixos · "&amp;VLOOKUP($FG13,$CK$2:$CN$4,3,TRUE)&amp;" pontos")</f>
        <v/>
      </c>
      <c r="IT13" s="152">
        <f>IF($FD13="Sem Barreiras",7,6)*$FH13&amp;" PE"</f>
        <v/>
      </c>
      <c r="IU13" s="152">
        <f>"Acerto "&amp;$FH13&amp;"d8"</f>
        <v/>
      </c>
      <c r="IV13" s="152">
        <f>IFERROR(VLOOKUP($FD13,$CP$2:$CR$4,3,FALSE),"Escolha o degrau")</f>
        <v/>
      </c>
      <c r="IW13" s="152">
        <f>12&amp;" · "&amp;IF($FE13=0,"vazia",$CZ13&amp;" · nv "&amp;$FG13&amp;" · "&amp;$FY13&amp;"/"&amp;$FX13)</f>
        <v/>
      </c>
      <c r="IY13" s="150" t="inlineStr">
        <is>
          <t>Invocação 12</t>
        </is>
      </c>
      <c r="IZ13" s="152">
        <f>ADDRESS(ROW('INVOCAÇÕES'!D32),COLUMN('INVOCAÇÕES'!D32),4)</f>
        <v/>
      </c>
      <c r="JA13" s="152">
        <f>ADDRESS(ROW('INVOCAÇÕES'!AA999),COLUMN('INVOCAÇÕES'!AA999),4)</f>
        <v/>
      </c>
      <c r="JB13" s="150" t="inlineStr">
        <is>
          <t>DADOS_INVOC!$IW$13</t>
        </is>
      </c>
      <c r="JD13" s="152">
        <f>IF(OR($AW13="",COUNTIF($ED$2:$EH$2,$AW13)&gt;0),$AV13,"")</f>
        <v/>
      </c>
      <c r="JE13" s="152">
        <f>IF(AND($AX13=1,OR($AW13="",COUNTIF($ED$2:$EH$2,$AW13)&gt;0)),$AV13,"")</f>
        <v/>
      </c>
      <c r="JJ13" s="152">
        <f>IF(OR($AW13="",COUNTIF($ED$3:$EH$3,$AW13)&gt;0),$AV13,"")</f>
        <v/>
      </c>
      <c r="JK13" s="152">
        <f>IF(AND($AX13=1,OR($AW13="",COUNTIF($ED$3:$EH$3,$AW13)&gt;0)),$AV13,"")</f>
        <v/>
      </c>
      <c r="JP13" s="152">
        <f>IF(OR($AW13="",COUNTIF($ED$4:$EH$4,$AW13)&gt;0),$AV13,"")</f>
        <v/>
      </c>
      <c r="JQ13" s="152">
        <f>IF(AND($AX13=1,OR($AW13="",COUNTIF($ED$4:$EH$4,$AW13)&gt;0)),$AV13,"")</f>
        <v/>
      </c>
      <c r="JV13" s="152">
        <f>IF(OR($AW13="",COUNTIF($ED$5:$EH$5,$AW13)&gt;0),$AV13,"")</f>
        <v/>
      </c>
      <c r="JW13" s="152">
        <f>IF(AND($AX13=1,OR($AW13="",COUNTIF($ED$5:$EH$5,$AW13)&gt;0)),$AV13,"")</f>
        <v/>
      </c>
      <c r="KB13" s="152">
        <f>IF(OR($AW13="",COUNTIF($ED$6:$EH$6,$AW13)&gt;0),$AV13,"")</f>
        <v/>
      </c>
      <c r="KC13" s="152">
        <f>IF(AND($AX13=1,OR($AW13="",COUNTIF($ED$6:$EH$6,$AW13)&gt;0)),$AV13,"")</f>
        <v/>
      </c>
      <c r="KH13" s="152">
        <f>IF(OR($AW13="",COUNTIF($ED$7:$EH$7,$AW13)&gt;0),$AV13,"")</f>
        <v/>
      </c>
      <c r="KI13" s="152">
        <f>IF(AND($AX13=1,OR($AW13="",COUNTIF($ED$7:$EH$7,$AW13)&gt;0)),$AV13,"")</f>
        <v/>
      </c>
      <c r="KN13" s="152">
        <f>IF(OR($AW13="",COUNTIF($ED$8:$EH$8,$AW13)&gt;0),$AV13,"")</f>
        <v/>
      </c>
      <c r="KO13" s="152">
        <f>IF(AND($AX13=1,OR($AW13="",COUNTIF($ED$8:$EH$8,$AW13)&gt;0)),$AV13,"")</f>
        <v/>
      </c>
      <c r="KT13" s="152">
        <f>IF(OR($AW13="",COUNTIF($ED$9:$EH$9,$AW13)&gt;0),$AV13,"")</f>
        <v/>
      </c>
      <c r="KU13" s="152">
        <f>IF(AND($AX13=1,OR($AW13="",COUNTIF($ED$9:$EH$9,$AW13)&gt;0)),$AV13,"")</f>
        <v/>
      </c>
      <c r="KZ13" s="152">
        <f>IF(OR($AW13="",COUNTIF($ED$10:$EH$10,$AW13)&gt;0),$AV13,"")</f>
        <v/>
      </c>
      <c r="LA13" s="152">
        <f>IF(AND($AX13=1,OR($AW13="",COUNTIF($ED$10:$EH$10,$AW13)&gt;0)),$AV13,"")</f>
        <v/>
      </c>
      <c r="LF13" s="152">
        <f>IF(OR($AW13="",COUNTIF($ED$11:$EH$11,$AW13)&gt;0),$AV13,"")</f>
        <v/>
      </c>
      <c r="LG13" s="152">
        <f>IF(AND($AX13=1,OR($AW13="",COUNTIF($ED$11:$EH$11,$AW13)&gt;0)),$AV13,"")</f>
        <v/>
      </c>
      <c r="LL13" s="152">
        <f>IF(OR($AW13="",COUNTIF($ED$12:$EH$12,$AW13)&gt;0),$AV13,"")</f>
        <v/>
      </c>
      <c r="LM13" s="152">
        <f>IF(AND($AX13=1,OR($AW13="",COUNTIF($ED$12:$EH$12,$AW13)&gt;0)),$AV13,"")</f>
        <v/>
      </c>
      <c r="LR13" s="152">
        <f>IF(OR($AW13="",COUNTIF($ED$13:$EH$13,$AW13)&gt;0),$AV13,"")</f>
        <v/>
      </c>
      <c r="LS13" s="152">
        <f>IF(AND($AX13=1,OR($AW13="",COUNTIF($ED$13:$EH$13,$AW13)&gt;0)),$AV13,"")</f>
        <v/>
      </c>
      <c r="LX13" s="150" t="inlineStr">
        <is>
          <t>Ficha 1 · Escolha da trilha 2</t>
        </is>
      </c>
      <c r="LY13" s="152" t="n">
        <v>1</v>
      </c>
      <c r="LZ13" s="152" t="n">
        <v>2</v>
      </c>
      <c r="MA13" s="152" t="n">
        <v>0</v>
      </c>
      <c r="MB13" s="150" t="inlineStr">
        <is>
          <t>ESCOLHA DA TRILHA 2</t>
        </is>
      </c>
      <c r="MC13" s="152">
        <f>MAX(0,MIN(7,N('INVOCAÇÕES'!$O$160)))</f>
        <v/>
      </c>
      <c r="MD13" s="152">
        <f>'INVOCAÇÕES'!$P$160&amp;""</f>
        <v/>
      </c>
      <c r="ME13" s="152">
        <f>'INVOCAÇÕES'!$O$165&amp;""</f>
        <v/>
      </c>
      <c r="MF13" s="152">
        <f>'INVOCAÇÕES'!$O$166&amp;""</f>
        <v/>
      </c>
      <c r="MG13" s="152">
        <f>'INVOCAÇÕES'!$Q$166&amp;""</f>
        <v/>
      </c>
      <c r="MH13" s="152">
        <f>'INVOCAÇÕES'!$P$169&amp;""</f>
        <v/>
      </c>
      <c r="MI13" s="152">
        <f>'INVOCAÇÕES'!$P$170&amp;""</f>
        <v/>
      </c>
      <c r="MJ13" s="152">
        <f>'INVOCAÇÕES'!$P$171&amp;""</f>
        <v/>
      </c>
      <c r="MK13" s="152">
        <f>'INVOCAÇÕES'!$P$172&amp;""</f>
        <v/>
      </c>
      <c r="ML13" s="152">
        <f>'INVOCAÇÕES'!$P$173&amp;""</f>
        <v/>
      </c>
      <c r="MM13" s="152">
        <f>'INVOCAÇÕES'!$P$174&amp;""</f>
        <v/>
      </c>
      <c r="MN13" s="152">
        <f>IF($MD13&lt;&gt;"",1,0)</f>
        <v/>
      </c>
      <c r="MO13" s="152">
        <f>INDEX($FG$2:$FG$13,$LY13)</f>
        <v/>
      </c>
      <c r="MP13" s="152">
        <f>INDEX($FH$2:$FH$13,$LY13)</f>
        <v/>
      </c>
      <c r="MQ13" s="152">
        <f>INDEX($FI$2:$FI$13,$LY13)</f>
        <v/>
      </c>
      <c r="MR13" s="152">
        <f>INDEX($FT$2:$FT$13,$LY13)</f>
        <v/>
      </c>
      <c r="MS13" s="152">
        <f>INDEX($FU$2:$FU$13,$LY13)</f>
        <v/>
      </c>
      <c r="MT13" s="152">
        <f>IFERROR(MATCH($ME13,$V$2:$V$11,0),0)</f>
        <v/>
      </c>
      <c r="MU13" s="152">
        <f>IFERROR(VLOOKUP($MH13,$AV$2:$AZ$84,2,FALSE),"")</f>
        <v/>
      </c>
      <c r="MV13" s="152">
        <f>IFERROR(VLOOKUP($MI13,$AV$2:$AZ$84,2,FALSE),"")</f>
        <v/>
      </c>
      <c r="MW13" s="152">
        <f>IFERROR(VLOOKUP($MJ13,$AV$2:$AZ$84,2,FALSE),"")</f>
        <v/>
      </c>
      <c r="MX13" s="152">
        <f>IFERROR(VLOOKUP($MK13,$AV$2:$AZ$84,2,FALSE),"")</f>
        <v/>
      </c>
      <c r="MY13" s="152">
        <f>IFERROR(VLOOKUP($MH13,$AV$2:$AZ$84,3,FALSE),0)</f>
        <v/>
      </c>
      <c r="MZ13" s="152">
        <f>IFERROR(VLOOKUP($MI13,$AV$2:$AZ$84,3,FALSE),0)</f>
        <v/>
      </c>
      <c r="NA13" s="152">
        <f>IFERROR(VLOOKUP($MJ13,$AV$2:$AZ$84,3,FALSE),0)</f>
        <v/>
      </c>
      <c r="NB13" s="152">
        <f>IFERROR(VLOOKUP($MK13,$AV$2:$AZ$84,3,FALSE),0)</f>
        <v/>
      </c>
      <c r="NC13" s="152">
        <f>IF($MC13=0,0,IF($MT13=0,0,INDEX($X$2:$X$11,$MT13)))</f>
        <v/>
      </c>
      <c r="ND13" s="152">
        <f>IF(OR($MY13=0,$MC13=0),0,$MY13+3*IF(AND($MU13&lt;&gt;"",OR($MU13=INDEX($ED$2:$ED$13,$LY13),$MU13=INDEX($EE$2:$EE$13,$LY13))),1,0))</f>
        <v/>
      </c>
      <c r="NE13" s="152">
        <f>IF(OR($MZ13=0,$MC13=0),0,$MZ13+3*IF(AND($MV13&lt;&gt;"",OR($MV13=INDEX($ED$2:$ED$13,$LY13),$MV13=INDEX($EE$2:$EE$13,$LY13))),1,0))</f>
        <v/>
      </c>
      <c r="NF13" s="152">
        <f>IF(OR($NA13=0,$MC13=0),0,$NA13+3*IF(AND($MW13&lt;&gt;"",OR($MW13=INDEX($ED$2:$ED$13,$LY13),$MW13=INDEX($EE$2:$EE$13,$LY13))),1,0))</f>
        <v/>
      </c>
      <c r="NG13" s="152">
        <f>IF(OR($NB13=0,$MC13=0),0,$NB13+3*IF(AND($MX13&lt;&gt;"",OR($MX13=INDEX($ED$2:$ED$13,$LY13),$MX13=INDEX($EE$2:$EE$13,$LY13))),1,0))</f>
        <v/>
      </c>
      <c r="NH13" s="152">
        <f>IF($MT13=0,0,IF(INDEX($W$2:$W$11,$MT13)="",0,IF(COUNTIF(INDEX($ED$2:$EH$13,$LY13,0),INDEX($W$2:$W$11,$MT13))=0,1,0)))</f>
        <v/>
      </c>
      <c r="NI13" s="152">
        <f>IF(OR($MY13=0,$MU13=""),0,IF(COUNTIF(INDEX($ED$2:$EH$13,$LY13,0),$MU13)=0,1,0))</f>
        <v/>
      </c>
      <c r="NJ13" s="152">
        <f>IF(OR($MZ13=0,$MV13=""),0,IF(COUNTIF(INDEX($ED$2:$EH$13,$LY13,0),$MV13)=0,1,0))</f>
        <v/>
      </c>
      <c r="NK13" s="152">
        <f>IF(OR($NA13=0,$MW13=""),0,IF(COUNTIF(INDEX($ED$2:$EH$13,$LY13,0),$MW13)=0,1,0))</f>
        <v/>
      </c>
      <c r="NL13" s="152">
        <f>IF(OR($NB13=0,$MX13=""),0,IF(COUNTIF(INDEX($ED$2:$EH$13,$LY13,0),$MX13)=0,1,0))</f>
        <v/>
      </c>
      <c r="NM13" s="152">
        <f>IFERROR(VLOOKUP($MH13,$AV$2:$AZ$84,4,FALSE),0)+IFERROR(VLOOKUP($MI13,$AV$2:$AZ$84,4,FALSE),0)+IFERROR(VLOOKUP($MJ13,$AV$2:$AZ$84,4,FALSE),0)+IFERROR(VLOOKUP($MK13,$AV$2:$AZ$84,4,FALSE),0)</f>
        <v/>
      </c>
      <c r="NN13" s="152">
        <f>TEXTJOIN(", ",TRUE,IF(IFERROR(VLOOKUP($MH13,$AV$2:$AZ$84,5,FALSE),0)=1,$MH13,""),IF(IFERROR(VLOOKUP($MI13,$AV$2:$AZ$84,5,FALSE),0)=1,$MI13,""),IF(IFERROR(VLOOKUP($MJ13,$AV$2:$AZ$84,5,FALSE),0)=1,$MJ13,""),IF(IFERROR(VLOOKUP($MK13,$AV$2:$AZ$84,5,FALSE),0)=1,$MK13,""))</f>
        <v/>
      </c>
      <c r="NO13" s="152">
        <f>IF($MT13=0,0,INDEX($Y$2:$Y$11,$MT13))</f>
        <v/>
      </c>
      <c r="NP13" s="152">
        <f>IF($MT13=0,0,INDEX($Z$2:$Z$11,$MT13))</f>
        <v/>
      </c>
      <c r="NQ13" s="152">
        <f>IF($MT13=0,0,INDEX($AB$2:$AB$11,$MT13))</f>
        <v/>
      </c>
      <c r="NR13" s="152">
        <f>IFERROR(VLOOKUP($ML13,$BB$2:$BF$24,3,FALSE),0)</f>
        <v/>
      </c>
      <c r="NS13" s="152">
        <f>IFERROR(VLOOKUP($MM13,$BB$2:$BF$24,3,FALSE),0)</f>
        <v/>
      </c>
      <c r="NT13" s="152">
        <f>IFERROR(VLOOKUP($ML13,$BB$2:$BF$24,2,FALSE),"")</f>
        <v/>
      </c>
      <c r="NU13" s="152">
        <f>IFERROR(VLOOKUP($MM13,$BB$2:$BF$24,2,FALSE),"")</f>
        <v/>
      </c>
      <c r="NV13" s="152">
        <f>COUNTIF($NC13:$NG13,1)</f>
        <v/>
      </c>
      <c r="NW13" s="152">
        <f>COUNTIF($NC13:$NG13,2)</f>
        <v/>
      </c>
      <c r="NX13" s="152">
        <f>COUNTIF($NC13:$NG13,3)</f>
        <v/>
      </c>
      <c r="NY13" s="152">
        <f>COUNTIF($NC13:$NG13,4)</f>
        <v/>
      </c>
      <c r="NZ13" s="152">
        <f>COUNTIF($NC13:$NG13,5)</f>
        <v/>
      </c>
      <c r="OA13" s="152">
        <f>COUNTIF($NC13:$NG13,6)</f>
        <v/>
      </c>
      <c r="OB13" s="152">
        <f>COUNTIF($NR13:$NS13,1)</f>
        <v/>
      </c>
      <c r="OC13" s="152">
        <f>COUNTIF($NR13:$NS13,2)+$NO13</f>
        <v/>
      </c>
      <c r="OD13" s="152">
        <f>COUNTIF($MH13:$MK13,"?*")</f>
        <v/>
      </c>
      <c r="OE13" s="152">
        <f>COUNTIF($ML13:$MM13,"?*")+$NO13</f>
        <v/>
      </c>
      <c r="OF13" s="152">
        <f>IF($MC13=0,0,SUMPRODUCT($NV13:$OA13,INDEX($I$2:$N$8,MAX(1,$MC13),0)))</f>
        <v/>
      </c>
      <c r="OG13" s="152">
        <f>IF($MC13=0,0,$OB13*CEILING($MC13/2,1)+$OC13*$MC13)</f>
        <v/>
      </c>
      <c r="OH13" s="152">
        <f>MIN(2*$MC13,$OG13)</f>
        <v/>
      </c>
      <c r="OI13" s="152">
        <f>MIN($OH13,$OF13)</f>
        <v/>
      </c>
      <c r="OJ13" s="152">
        <f>$OH13-$OI13</f>
        <v/>
      </c>
      <c r="OK13" s="152">
        <f>IF($MC13=0,0,INDEX($P$2:$P$8,MAX(1,$MC13)))</f>
        <v/>
      </c>
      <c r="OL13" s="152">
        <f>$OK13-$OF13+$OI13</f>
        <v/>
      </c>
      <c r="OM13" s="152">
        <f>IF($MC13=0,MAX(0,$MQ13-IF($OD13&gt;0,1,0)),MAX(0,$OL13))</f>
        <v/>
      </c>
      <c r="ON13" s="152">
        <f>IF($MC13=0,0,(IF(COUNTIF($MH13:$MK13,"Salto")&gt;0,1,0)+IF(COUNTIF($MH13:$MK13,"Queima")&gt;0,1,0)+IF(COUNTIF($MH13:$MK13,"Estilhaço")&gt;0,1,0))*FLOOR($OM13/2,1))</f>
        <v/>
      </c>
      <c r="OO13" s="152">
        <f>MAX(0,2-SUMPRODUCT($NV13:$OA13,$I$2:$N$2)+MIN(2,$OB13*1+$OC13*1,SUMPRODUCT($NV13:$OA13,$I$2:$N$2)))</f>
        <v/>
      </c>
      <c r="OP13" s="152">
        <f>MAX(0,4-SUMPRODUCT($NV13:$OA13,$I$3:$N$3)+MIN(4,$OB13*1+$OC13*2,SUMPRODUCT($NV13:$OA13,$I$3:$N$3)))</f>
        <v/>
      </c>
      <c r="OQ13" s="152">
        <f>MAX(0,6-SUMPRODUCT($NV13:$OA13,$I$4:$N$4)+MIN(6,$OB13*2+$OC13*3,SUMPRODUCT($NV13:$OA13,$I$4:$N$4)))</f>
        <v/>
      </c>
      <c r="OR13" s="152">
        <f>MAX(0,9-SUMPRODUCT($NV13:$OA13,$I$5:$N$5)+MIN(8,$OB13*2+$OC13*4,SUMPRODUCT($NV13:$OA13,$I$5:$N$5)))</f>
        <v/>
      </c>
      <c r="OS13" s="152">
        <f>MAX(0,11-SUMPRODUCT($NV13:$OA13,$I$6:$N$6)+MIN(10,$OB13*3+$OC13*5,SUMPRODUCT($NV13:$OA13,$I$6:$N$6)))</f>
        <v/>
      </c>
      <c r="OT13" s="152">
        <f>MAX(0,13-SUMPRODUCT($NV13:$OA13,$I$7:$N$7)+MIN(12,$OB13*3+$OC13*6,SUMPRODUCT($NV13:$OA13,$I$7:$N$7)))</f>
        <v/>
      </c>
      <c r="OU13" s="152">
        <f>MAX(0,16-SUMPRODUCT($NV13:$OA13,$I$8:$N$8)+MIN(14,$OB13*4+$OC13*7,SUMPRODUCT($NV13:$OA13,$I$8:$N$8)))</f>
        <v/>
      </c>
      <c r="OV13" s="152">
        <f>IF($NP13=2,3*$OO13&amp;" de vida temp.",IF($NP13=3,"sem dano",IF($OO13=0,IF($NP13=1,"sem cura","sem dano"),IF($NP13=1,"cura ","")&amp;$OO13&amp;"d8")))</f>
        <v/>
      </c>
      <c r="OW13" s="152">
        <f>IF($NP13=2,3*$OP13&amp;" de vida temp.",IF($NP13=3,"sem dano",IF($OP13=0,IF($NP13=1,"sem cura","sem dano"),IF($NP13=1,"cura ","")&amp;$OP13&amp;"d8")))</f>
        <v/>
      </c>
      <c r="OX13" s="152">
        <f>IF($NP13=2,3*$OQ13&amp;" de vida temp.",IF($NP13=3,"sem dano",IF($OQ13=0,IF($NP13=1,"sem cura","sem dano"),IF($NP13=1,"cura ","")&amp;$OQ13&amp;"d8")))</f>
        <v/>
      </c>
      <c r="OY13" s="152">
        <f>IF($NP13=2,3*$OR13&amp;" de vida temp.",IF($NP13=3,"sem dano",IF($OR13=0,IF($NP13=1,"sem cura","sem dano"),IF($NP13=1,"cura ","")&amp;$OR13&amp;"d8")))</f>
        <v/>
      </c>
      <c r="OZ13" s="152">
        <f>IF($NP13=2,3*$OS13&amp;" de vida temp.",IF($NP13=3,"sem dano",IF($OS13=0,IF($NP13=1,"sem cura","sem dano"),IF($NP13=1,"cura ","")&amp;$OS13&amp;"d8")))</f>
        <v/>
      </c>
      <c r="PA13" s="152">
        <f>IF($NP13=2,3*$OT13&amp;" de vida temp.",IF($NP13=3,"sem dano",IF($OT13=0,IF($NP13=1,"sem cura","sem dano"),IF($NP13=1,"cura ","")&amp;$OT13&amp;"d8")))</f>
        <v/>
      </c>
      <c r="PB13" s="152">
        <f>IF($NP13=2,3*$OU13&amp;" de vida temp.",IF($NP13=3,"sem dano",IF($OU13=0,IF($NP13=1,"sem cura","sem dano"),IF($NP13=1,"cura ","")&amp;$OU13&amp;"d8")))</f>
        <v/>
      </c>
      <c r="PC13" s="152">
        <f>IF($MN13=0,"",TEXTJOIN(" · ",TRUE,IF($MA13&gt;$MO13,"Este lugar abre no nível "&amp;$MA13,""),IF($MC13&gt;$MP13,"Classe "&amp;$MC13&amp;": o nível "&amp;$MO13&amp;" libera até a "&amp;$MP13,""),IF($NH13=1,"A Forma "&amp;$ME13&amp;" pede "&amp;INDEX($W$2:$W$11,$MT13)&amp;" aberta",""),IF(AND($MC13=0,$MT13&gt;0,IF($MT13=0,0,INDEX($AF$2:$AF$11,$MT13))=0),$ME13&amp;" não existe na Classe 0",""),IF($NI13=1,"Família Fechada: "&amp;$MH13,""),IF($NJ13=1,"Família Fechada: "&amp;$MI13,""),IF($NK13=1,"Família Fechada: "&amp;$MJ13,""),IF($NL13=1,"Família Fechada: "&amp;$MK13,""),IF(AND($MC13&gt;0,$OD13&gt;INDEX($O$2:$O$8,MAX(1,$MC13))),$OD13&amp;" Melhorias: a Classe "&amp;$MC13&amp;" aceita "&amp;INDEX($O$2:$O$8,MAX(1,$MC13)),""),IF(AND($MC13=0,$OD13&gt;1),"A básica aceita uma Melhoria",""),IF(AND($MC13=0,COUNTIF($MY13:$NB13,"&gt;1")&gt;0),"A básica só aceita Melhoria Leve",""),IF(AND($MC13&gt;0,$OE13&gt;2),$OE13&amp;" Restrições"&amp;IF($NO13=1,", contando a que a Forma "&amp;$ME13&amp;" já traz","")&amp;": o limite é 2",""),IF(AND($MC13=0,COUNTIF($ML13:$MM13,"?*")&gt;1),"A básica aceita uma Restrição Leve",""),IF(AND($MC13=0,COUNTIF($NR13:$NS13,2)&gt;0),"A básica só aceita Restrição Leve",""),IF(AND($MC13&gt;0,$OL13&lt;0),"Orçamento estourado: faltam "&amp;(-$OL13)&amp;IF($OL13&lt;-1," pontos"," ponto"),""),IF(IFERROR(VLOOKUP($ML13,$BB$2:$BF$24,4,FALSE),0)+IFERROR(VLOOKUP($MM13,$BB$2:$BF$24,4,FALSE),0)&gt;1,$NT13&amp;" e "&amp;$NU13&amp;" são as duas de frequência",""),IF(AND((COUNTIF($MH13:$MK13,"Rápido")+COUNTIF($NT13:$NU13,"Rápido"))&gt;0,(COUNTIF($MH13:$MK13,"Atrasar")+COUNTIF($NT13:$NU13,"Atrasar"))&gt;0),"Rápido não entra com Atrasar",""),IF(AND((COUNTIF($MH13:$MK13,"Reação")+COUNTIF($NT13:$NU13,"Reação"))&gt;0,(COUNTIF($MH13:$MK13,"Rápido")+COUNTIF($NT13:$NU13,"Rápido"))&gt;0),"Reação não entra com Rápido",""),IF(AND((COUNTIF($MH13:$MK13,"Reação")+COUNTIF($NT13:$NU13,"Reação"))&gt;0,(COUNTIF($MH13:$MK13,"Armado")+COUNTIF($NT13:$NU13,"Armado"))&gt;0),"Reação não entra com Armado",""),IF(AND((COUNTIF($MH13:$MK13,"Reação")+COUNTIF($NT13:$NU13,"Reação"))&gt;0,(COUNTIF($MH13:$MK13,"Atrasar")+COUNTIF($NT13:$NU13,"Atrasar"))&gt;0),"Reação não entra com Atrasar",""),IF(AND((COUNTIF($MH13:$MK13,"Reação")+COUNTIF($NT13:$NU13,"Reação"))&gt;0,(COUNTIF($MH13:$MK13,"Parado")+COUNTIF($NT13:$NU13,"Parado"))&gt;0),"Reação não entra com Parado",""),IF(AND((COUNTIF($MH13:$MK13,"Atrasar")+COUNTIF($NT13:$NU13,"Atrasar"))&gt;0,(COUNTIF($MH13:$MK13,"Parado")+COUNTIF($NT13:$NU13,"Parado"))&gt;0),"Atrasar não entra com Parado",""),IF(AND((COUNTIF($MH13:$MK13,"Armado")+COUNTIF($NT13:$NU13,"Armado"))&gt;0,(COUNTIF($MH13:$MK13,"Carregar")+COUNTIF($NT13:$NU13,"Carregar"))&gt;0),"Armado não entra com Carregar",""),IF(AND(COUNTIF($NT13:$NU13,"Corpo a Corpo")&gt;0,$NO13=0,OR($ME13="Cone",$ME13="Linha")),"Corpo a Corpo não entra em "&amp;$ME13,""),IF(AND(COUNTIF($NT13:$NU13,"Corpo a Corpo")&gt;0,$NO13=1),"A Forma "&amp;$ME13&amp;" já traz o Corpo a Corpo",""),IF(AND(COUNTIF($NT13:$NU13,"Tudo ou Nada")&gt;0,$NQ13=0),"Tudo ou Nada só entra em habilidade de Teste de Resistência",""),IF(AND(COUNTIF($MH13:$MK13,"Inescapável")&gt;0,OR($OD13&gt;1,$OE13&gt;0)),"Inescapável não aceita outra peça",""),IF(AND($MC13&gt;0,$OM13*IF(COUNTIF($MH13:$MK13,"Remate")&gt;0,1.25,1)+$ON13&gt;4*$MC13),($OM13*IF(COUNTIF($MH13:$MK13,"Remate")&gt;0,1.25,1)+$ON13)&amp;" dados somando repetições"&amp;IF(COUNTIF($MH13:$MK13,"Remate")&gt;0," e o Remate","")&amp;": o teto da Classe "&amp;$MC13&amp;" é "&amp;4*$MC13,"")))</f>
        <v/>
      </c>
      <c r="PD13" s="152">
        <f>IF($PC13="",0,(LEN($PC13)-LEN(SUBSTITUTE($PC13," · ","")))/3+1)</f>
        <v/>
      </c>
      <c r="PE13" s="152">
        <f>IF($MN13=0,"",TEXTJOIN(" · ",TRUE,IF($OG13&gt;2*$MC13,"A devolução parou no teto de "&amp;2*$MC13,""),IF($OJ13&gt;0,"Devolução perdida: "&amp;$OJ13&amp;IF($OJ13&gt;1," pontos"," ponto")&amp;" sem peça para pagar",""),IF(AND($NM13&gt;0,AND($MC13&gt;0,$NP13=0),$OM13=0),"Controle sem dano: uma rodada a mais e CD +2",""),IF(AND($NM13&gt;0,AND($MC13&gt;0,$NP13=0),$OM13&gt;0,$OM13&lt;=$MC13),"Controle com saldo até a Classe: uma rodada a mais",""),IF(AND($MC13&gt;0,$NN13&lt;&gt;""),"Efeito de "&amp;$NN13&amp;" pela Classe "&amp;MAX(1,$MC13-1),"")))</f>
        <v/>
      </c>
      <c r="PF13" s="152">
        <f>IF($PE13="",0,(LEN($PE13)-LEN(SUBSTITUTE($PE13," · ","")))/3+1)</f>
        <v/>
      </c>
      <c r="PG13" s="152">
        <f>IF($MN13=0,IF($OD13+COUNTIF($ML13:$MM13,"?*")&gt;0,"Dê um nome",""),IF($PD13&gt;0,"⚠ "&amp;$PD13&amp;IF($PD13&gt;1," erros"," erro"),IF($PF13&gt;0,"! "&amp;$PF13&amp;IF($PF13&gt;1," avisos"," aviso"),"Na regra")))</f>
        <v/>
      </c>
      <c r="PH13" s="152">
        <f>IF($MN13=0,"",IF($PD13+$PF13=0,"Dentro das regras que a ficha confere",$PC13&amp;IF(AND($PD13&gt;0,$PF13&gt;0)," · ","")&amp;$PE13))</f>
        <v/>
      </c>
      <c r="PI13" s="152">
        <f>IF($MA13&gt;$MO13,$MB13&amp;" · ABRE NO NÍVEL "&amp;$MA13,$MB13)</f>
        <v/>
      </c>
      <c r="PJ13" s="152">
        <f>IF($MN13=0,"",IF($MC13=0,"Sem PE",3*$MC13&amp;" PE"))</f>
        <v/>
      </c>
      <c r="PK13" s="152">
        <f>IF($MN13=0,"",IF($MC13=0,"A atuação básica dela",IF(COUNTIF($NT13:$NU13,"Atrasar")&gt;0,"Sua Ação Completa",IF(COUNTIF($MH13:$MK13,"Rápido")&gt;0,"Sua Bônus",IF(COUNTIF($MH13:$MK13,"Reação")&gt;0,"Sua Reação","Sua Padrão")))&amp;" + a básica dela"&amp;IF(COUNTIF($MH13:$MK13,"Reação")&gt;0," e a coletiva","")&amp;IF(COUNTIF($NT13:$NU13,"Carregar")&gt;0," · em dois turnos","")))</f>
        <v/>
      </c>
      <c r="PL13" s="152">
        <f>IF($MG13&lt;&gt;"",$MG13,IF($MT13=0,"",INDEX($AA$2:$AA$11,$MT13)))</f>
        <v/>
      </c>
      <c r="PM13" s="152">
        <f>IF(OR($MN13=0,$MT13=0),"",IF(COUNTIF($MH13:$MK13,"Inescapável")&gt;0,"Automático",IF($PL13="Ataque",IF($MR13="","Ataque","Ataque "&amp;IF(($MR13+2*IF(COUNTIF($MH13:$MK13,"Precisão")&gt;0,1,0))&gt;=0,"+","−")&amp;ABS(($MR13+2*IF(COUNTIF($MH13:$MK13,"Precisão")&gt;0,1,0)))),IF(LEFT($PL13,2)="TR",$PL13&amp;IF($MS13="",""," · CD "&amp;$MS13)&amp;IF(COUNTIF($MH13:$MK13,"Certeiro")&gt;0," · metade",""),"Sem rolagem"))))</f>
        <v/>
      </c>
      <c r="PN13" s="152">
        <f>IF(OR($MN13=0,$MT13=0),"",IF($MC13=0,IF(OR($NP13&gt;=1,$OM13=0),"Sem dano",$OM13&amp;"d6"&amp;IF($MF13="",""," "&amp;$MF13)),IF(OR($NP13&gt;=1,$OM13=0),UPPER(LEFT(INDEX($OV13:$PB13,1,MAX(1,$MC13)),1))&amp;MID(INDEX($OV13:$PB13,1,MAX(1,$MC13)),2,99),UPPER(LEFT(INDEX($OV13:$PB13,1,MAX(1,$MC13)),1))&amp;MID(INDEX($OV13:$PB13,1,MAX(1,$MC13)),2,99)&amp;IF($MF13="",""," "&amp;$MF13)&amp;IF($ON13&gt;0," · +"&amp;$ON13&amp;"d8",""))))</f>
        <v/>
      </c>
      <c r="PO13" s="152">
        <f>COUNTIF($MH13:$MK13,"Longe")+3*COUNTIF($MH13:$MK13,"Muito Longe")</f>
        <v/>
      </c>
      <c r="PP13" s="152">
        <f>COUNTIF($MH13:$MK13,"Maior")+3*COUNTIF($MH13:$MK13,"Muito Maior")</f>
        <v/>
      </c>
      <c r="PQ13" s="152">
        <f>IF($MT13=0,0,CHOOSE(1+INDEX($AC$2:$AC$11,$MT13),0,$PO13,$PP13,$PO13+$PP13))</f>
        <v/>
      </c>
      <c r="PR13" s="152">
        <f>IF($MT13=0,0,CHOOSE(1+INDEX($AD$2:$AD$11,$MT13),0,$PO13,$PP13,$PO13+$PP13))</f>
        <v/>
      </c>
      <c r="PS13" s="152">
        <f>IF(OR($MN13=0,$MT13=0),"",INDEX($AI$2:$AN$41,($MT13-1)*4+IF($MC13=0,1,IF($MC13&lt;=5,2,IF($MC13=6,3,4))),1+MIN(5,$PQ13))&amp;INDEX($AO$2:$AT$41,($MT13-1)*4+IF($MC13=0,1,IF($MC13&lt;=5,2,IF($MC13=6,3,4))),1+MIN(5,$PR13))&amp;IF(INDEX($AE$2:$AE$11,$MT13)=1,IF(COUNTIF($MH13:$MK13,"Mais Um")&gt;0," · +"&amp;COUNTIF($MH13:$MK13,"Mais Um")&amp;IF(COUNTIF($MH13:$MK13,"Mais Um")&gt;1," alvos"," alvo"),"")&amp;IF(COUNTIF($MH13:$MK13,"Rajada")&gt;0,IF($MC13=0," · 1 tiro"," · "&amp;(MAX(1,$MC13-1)+1)&amp;" tiros"),""),""))</f>
        <v/>
      </c>
      <c r="PT13" s="152">
        <f>IF($MN13=0,"",IF($MC13=0,$MQ13&amp;"d6"&amp;IF($OD13&gt;0," − 1 = "&amp;$OM13&amp;"d6"," da básica do nível "&amp;$MO13),$OK13&amp;" − "&amp;$OF13&amp;" + "&amp;$OI13&amp;" = "&amp;$OL13&amp;" · teto "&amp;4*$MC13&amp;"d8"&amp;IF($NO13=1," · a Forma devolve "&amp;$MC13,"")&amp;IF($OJ13&gt;0," · perde "&amp;$OJ13,"")))</f>
        <v/>
      </c>
      <c r="PU13" s="152">
        <f>IF($MN13=0,"",IF($MC13=0,"A básica não amplia: os dados dela sobem com o nível",IF($MC13&gt;=$MP13,"Já está na maior Classe que o nível liberou",TEXTJOIN(" · ",TRUE,IF(AND(2&gt;$MC13,2&lt;=$MP13),"2 → "&amp;$OW13&amp;", 6 PE",""),IF(AND(3&gt;$MC13,3&lt;=$MP13),"3 → "&amp;$OX13&amp;", 9 PE",""),IF(AND(4&gt;$MC13,4&lt;=$MP13),"4 → "&amp;$OY13&amp;", 12 PE",""),IF(AND(5&gt;$MC13,5&lt;=$MP13),"5 → "&amp;$OZ13&amp;", 15 PE",""),IF(AND(6&gt;$MC13,6&lt;=$MP13),"6 → "&amp;$PA13&amp;", 18 PE",""),IF(AND(7&gt;$MC13,7&lt;=$MP13),"7 → "&amp;$PB13&amp;", 21 PE","")))))</f>
        <v/>
      </c>
      <c r="PV13" s="152">
        <f>IF(OR($MN13=0,$MY13=0),"",IF($MC13=0,"−1 dado","−"&amp;INDEX($I$2:$N$8,MAX(1,$MC13),MAX(1,$ND13))&amp;" · "&amp;CHOOSE(MAX(1,$ND13),"Leve","Média","Pesada","Leve · Livre","Média · Livre","Pesada · Livre")))</f>
        <v/>
      </c>
      <c r="PW13" s="152">
        <f>IF(OR($MN13=0,$MZ13=0),"",IF($MC13=0,"−1 dado","−"&amp;INDEX($I$2:$N$8,MAX(1,$MC13),MAX(1,$NE13))&amp;" · "&amp;CHOOSE(MAX(1,$NE13),"Leve","Média","Pesada","Leve · Livre","Média · Livre","Pesada · Livre")))</f>
        <v/>
      </c>
      <c r="PX13" s="152">
        <f>IF(OR($MN13=0,$NA13=0),"",IF($MC13=0,"−1 dado","−"&amp;INDEX($I$2:$N$8,MAX(1,$MC13),MAX(1,$NF13))&amp;" · "&amp;CHOOSE(MAX(1,$NF13),"Leve","Média","Pesada","Leve · Livre","Média · Livre","Pesada · Livre")))</f>
        <v/>
      </c>
      <c r="PY13" s="152">
        <f>IF(OR($MN13=0,$NB13=0),"",IF($MC13=0,"−1 dado","−"&amp;INDEX($I$2:$N$8,MAX(1,$MC13),MAX(1,$NG13))&amp;" · "&amp;CHOOSE(MAX(1,$NG13),"Leve","Média","Pesada","Leve · Livre","Média · Livre","Pesada · Livre")))</f>
        <v/>
      </c>
      <c r="PZ13" s="152">
        <f>IF(OR($MN13=0,$ML13=""),"",IF($MC13=0,"não devolve","+"&amp;IF($NR13=1,CEILING($MC13/2,1),$MC13)))</f>
        <v/>
      </c>
      <c r="QA13" s="152">
        <f>IF(OR($MN13=0,$MM13=""),"",IF($MC13=0,"não devolve","+"&amp;IF($NS13=1,CEILING($MC13/2,1),$MC13)))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B14" s="150" t="inlineStr">
        <is>
          <t>Sem Volta</t>
        </is>
      </c>
      <c r="BC14" s="150" t="inlineStr">
        <is>
          <t>Sem Volta</t>
        </is>
      </c>
      <c r="BD14" s="152" t="n">
        <v>2</v>
      </c>
      <c r="BE14" s="152" t="n">
        <v>0</v>
      </c>
      <c r="BF14" s="150" t="inlineStr"/>
      <c r="BH14" s="150" t="inlineStr">
        <is>
          <t>Talento Próprio (CE 1)</t>
        </is>
      </c>
      <c r="BI14" s="152" t="n">
        <v>1</v>
      </c>
      <c r="BJ14" s="150" t="inlineStr">
        <is>
          <t>Escreva nas Anotações o benefício, o gatilho, o alcance, os usos, o custo e se ele pode ser desligado, fechados com o mestre.</t>
        </is>
      </c>
      <c r="BK14" s="150" t="inlineStr">
        <is>
          <t>Talento Próprio (CE 1)</t>
        </is>
      </c>
      <c r="BZ14" s="150" t="inlineStr">
        <is>
          <t>Sobrevivência</t>
        </is>
      </c>
      <c r="CA14" s="150" t="inlineStr">
        <is>
          <t>Inteligência</t>
        </is>
      </c>
      <c r="CE14" s="150" t="inlineStr">
        <is>
          <t>Energia Reversa</t>
        </is>
      </c>
      <c r="JD14" s="152">
        <f>IF(OR($AW14="",COUNTIF($ED$2:$EH$2,$AW14)&gt;0),$AV14,"")</f>
        <v/>
      </c>
      <c r="JE14" s="152">
        <f>IF(AND($AX14=1,OR($AW14="",COUNTIF($ED$2:$EH$2,$AW14)&gt;0)),$AV14,"")</f>
        <v/>
      </c>
      <c r="JJ14" s="152">
        <f>IF(OR($AW14="",COUNTIF($ED$3:$EH$3,$AW14)&gt;0),$AV14,"")</f>
        <v/>
      </c>
      <c r="JK14" s="152">
        <f>IF(AND($AX14=1,OR($AW14="",COUNTIF($ED$3:$EH$3,$AW14)&gt;0)),$AV14,"")</f>
        <v/>
      </c>
      <c r="JP14" s="152">
        <f>IF(OR($AW14="",COUNTIF($ED$4:$EH$4,$AW14)&gt;0),$AV14,"")</f>
        <v/>
      </c>
      <c r="JQ14" s="152">
        <f>IF(AND($AX14=1,OR($AW14="",COUNTIF($ED$4:$EH$4,$AW14)&gt;0)),$AV14,"")</f>
        <v/>
      </c>
      <c r="JV14" s="152">
        <f>IF(OR($AW14="",COUNTIF($ED$5:$EH$5,$AW14)&gt;0),$AV14,"")</f>
        <v/>
      </c>
      <c r="JW14" s="152">
        <f>IF(AND($AX14=1,OR($AW14="",COUNTIF($ED$5:$EH$5,$AW14)&gt;0)),$AV14,"")</f>
        <v/>
      </c>
      <c r="KB14" s="152">
        <f>IF(OR($AW14="",COUNTIF($ED$6:$EH$6,$AW14)&gt;0),$AV14,"")</f>
        <v/>
      </c>
      <c r="KC14" s="152">
        <f>IF(AND($AX14=1,OR($AW14="",COUNTIF($ED$6:$EH$6,$AW14)&gt;0)),$AV14,"")</f>
        <v/>
      </c>
      <c r="KH14" s="152">
        <f>IF(OR($AW14="",COUNTIF($ED$7:$EH$7,$AW14)&gt;0),$AV14,"")</f>
        <v/>
      </c>
      <c r="KI14" s="152">
        <f>IF(AND($AX14=1,OR($AW14="",COUNTIF($ED$7:$EH$7,$AW14)&gt;0)),$AV14,"")</f>
        <v/>
      </c>
      <c r="KN14" s="152">
        <f>IF(OR($AW14="",COUNTIF($ED$8:$EH$8,$AW14)&gt;0),$AV14,"")</f>
        <v/>
      </c>
      <c r="KO14" s="152">
        <f>IF(AND($AX14=1,OR($AW14="",COUNTIF($ED$8:$EH$8,$AW14)&gt;0)),$AV14,"")</f>
        <v/>
      </c>
      <c r="KT14" s="152">
        <f>IF(OR($AW14="",COUNTIF($ED$9:$EH$9,$AW14)&gt;0),$AV14,"")</f>
        <v/>
      </c>
      <c r="KU14" s="152">
        <f>IF(AND($AX14=1,OR($AW14="",COUNTIF($ED$9:$EH$9,$AW14)&gt;0)),$AV14,"")</f>
        <v/>
      </c>
      <c r="KZ14" s="152">
        <f>IF(OR($AW14="",COUNTIF($ED$10:$EH$10,$AW14)&gt;0),$AV14,"")</f>
        <v/>
      </c>
      <c r="LA14" s="152">
        <f>IF(AND($AX14=1,OR($AW14="",COUNTIF($ED$10:$EH$10,$AW14)&gt;0)),$AV14,"")</f>
        <v/>
      </c>
      <c r="LF14" s="152">
        <f>IF(OR($AW14="",COUNTIF($ED$11:$EH$11,$AW14)&gt;0),$AV14,"")</f>
        <v/>
      </c>
      <c r="LG14" s="152">
        <f>IF(AND($AX14=1,OR($AW14="",COUNTIF($ED$11:$EH$11,$AW14)&gt;0)),$AV14,"")</f>
        <v/>
      </c>
      <c r="LL14" s="152">
        <f>IF(OR($AW14="",COUNTIF($ED$12:$EH$12,$AW14)&gt;0),$AV14,"")</f>
        <v/>
      </c>
      <c r="LM14" s="152">
        <f>IF(AND($AX14=1,OR($AW14="",COUNTIF($ED$12:$EH$12,$AW14)&gt;0)),$AV14,"")</f>
        <v/>
      </c>
      <c r="LR14" s="152">
        <f>IF(OR($AW14="",COUNTIF($ED$13:$EH$13,$AW14)&gt;0),$AV14,"")</f>
        <v/>
      </c>
      <c r="LS14" s="152">
        <f>IF(AND($AX14=1,OR($AW14="",COUNTIF($ED$13:$EH$13,$AW14)&gt;0)),$AV14,"")</f>
        <v/>
      </c>
      <c r="LX14" s="150" t="inlineStr">
        <is>
          <t>Ficha 1 · Escolha da trilha 3</t>
        </is>
      </c>
      <c r="LY14" s="152" t="n">
        <v>1</v>
      </c>
      <c r="LZ14" s="152" t="n">
        <v>2</v>
      </c>
      <c r="MA14" s="152" t="n">
        <v>0</v>
      </c>
      <c r="MB14" s="150" t="inlineStr">
        <is>
          <t>ESCOLHA DA TRILHA 3</t>
        </is>
      </c>
      <c r="MC14" s="152">
        <f>MAX(0,MIN(7,N('INVOCAÇÕES'!$U$160)))</f>
        <v/>
      </c>
      <c r="MD14" s="152">
        <f>'INVOCAÇÕES'!$V$160&amp;""</f>
        <v/>
      </c>
      <c r="ME14" s="152">
        <f>'INVOCAÇÕES'!$U$165&amp;""</f>
        <v/>
      </c>
      <c r="MF14" s="152">
        <f>'INVOCAÇÕES'!$U$166&amp;""</f>
        <v/>
      </c>
      <c r="MG14" s="152">
        <f>'INVOCAÇÕES'!$W$166&amp;""</f>
        <v/>
      </c>
      <c r="MH14" s="152">
        <f>'INVOCAÇÕES'!$V$169&amp;""</f>
        <v/>
      </c>
      <c r="MI14" s="152">
        <f>'INVOCAÇÕES'!$V$170&amp;""</f>
        <v/>
      </c>
      <c r="MJ14" s="152">
        <f>'INVOCAÇÕES'!$V$171&amp;""</f>
        <v/>
      </c>
      <c r="MK14" s="152">
        <f>'INVOCAÇÕES'!$V$172&amp;""</f>
        <v/>
      </c>
      <c r="ML14" s="152">
        <f>'INVOCAÇÕES'!$V$173&amp;""</f>
        <v/>
      </c>
      <c r="MM14" s="152">
        <f>'INVOCAÇÕES'!$V$174&amp;""</f>
        <v/>
      </c>
      <c r="MN14" s="152">
        <f>IF($MD14&lt;&gt;"",1,0)</f>
        <v/>
      </c>
      <c r="MO14" s="152">
        <f>INDEX($FG$2:$FG$13,$LY14)</f>
        <v/>
      </c>
      <c r="MP14" s="152">
        <f>INDEX($FH$2:$FH$13,$LY14)</f>
        <v/>
      </c>
      <c r="MQ14" s="152">
        <f>INDEX($FI$2:$FI$13,$LY14)</f>
        <v/>
      </c>
      <c r="MR14" s="152">
        <f>INDEX($FT$2:$FT$13,$LY14)</f>
        <v/>
      </c>
      <c r="MS14" s="152">
        <f>INDEX($FU$2:$FU$13,$LY14)</f>
        <v/>
      </c>
      <c r="MT14" s="152">
        <f>IFERROR(MATCH($ME14,$V$2:$V$11,0),0)</f>
        <v/>
      </c>
      <c r="MU14" s="152">
        <f>IFERROR(VLOOKUP($MH14,$AV$2:$AZ$84,2,FALSE),"")</f>
        <v/>
      </c>
      <c r="MV14" s="152">
        <f>IFERROR(VLOOKUP($MI14,$AV$2:$AZ$84,2,FALSE),"")</f>
        <v/>
      </c>
      <c r="MW14" s="152">
        <f>IFERROR(VLOOKUP($MJ14,$AV$2:$AZ$84,2,FALSE),"")</f>
        <v/>
      </c>
      <c r="MX14" s="152">
        <f>IFERROR(VLOOKUP($MK14,$AV$2:$AZ$84,2,FALSE),"")</f>
        <v/>
      </c>
      <c r="MY14" s="152">
        <f>IFERROR(VLOOKUP($MH14,$AV$2:$AZ$84,3,FALSE),0)</f>
        <v/>
      </c>
      <c r="MZ14" s="152">
        <f>IFERROR(VLOOKUP($MI14,$AV$2:$AZ$84,3,FALSE),0)</f>
        <v/>
      </c>
      <c r="NA14" s="152">
        <f>IFERROR(VLOOKUP($MJ14,$AV$2:$AZ$84,3,FALSE),0)</f>
        <v/>
      </c>
      <c r="NB14" s="152">
        <f>IFERROR(VLOOKUP($MK14,$AV$2:$AZ$84,3,FALSE),0)</f>
        <v/>
      </c>
      <c r="NC14" s="152">
        <f>IF($MC14=0,0,IF($MT14=0,0,INDEX($X$2:$X$11,$MT14)))</f>
        <v/>
      </c>
      <c r="ND14" s="152">
        <f>IF(OR($MY14=0,$MC14=0),0,$MY14+3*IF(AND($MU14&lt;&gt;"",OR($MU14=INDEX($ED$2:$ED$13,$LY14),$MU14=INDEX($EE$2:$EE$13,$LY14))),1,0))</f>
        <v/>
      </c>
      <c r="NE14" s="152">
        <f>IF(OR($MZ14=0,$MC14=0),0,$MZ14+3*IF(AND($MV14&lt;&gt;"",OR($MV14=INDEX($ED$2:$ED$13,$LY14),$MV14=INDEX($EE$2:$EE$13,$LY14))),1,0))</f>
        <v/>
      </c>
      <c r="NF14" s="152">
        <f>IF(OR($NA14=0,$MC14=0),0,$NA14+3*IF(AND($MW14&lt;&gt;"",OR($MW14=INDEX($ED$2:$ED$13,$LY14),$MW14=INDEX($EE$2:$EE$13,$LY14))),1,0))</f>
        <v/>
      </c>
      <c r="NG14" s="152">
        <f>IF(OR($NB14=0,$MC14=0),0,$NB14+3*IF(AND($MX14&lt;&gt;"",OR($MX14=INDEX($ED$2:$ED$13,$LY14),$MX14=INDEX($EE$2:$EE$13,$LY14))),1,0))</f>
        <v/>
      </c>
      <c r="NH14" s="152">
        <f>IF($MT14=0,0,IF(INDEX($W$2:$W$11,$MT14)="",0,IF(COUNTIF(INDEX($ED$2:$EH$13,$LY14,0),INDEX($W$2:$W$11,$MT14))=0,1,0)))</f>
        <v/>
      </c>
      <c r="NI14" s="152">
        <f>IF(OR($MY14=0,$MU14=""),0,IF(COUNTIF(INDEX($ED$2:$EH$13,$LY14,0),$MU14)=0,1,0))</f>
        <v/>
      </c>
      <c r="NJ14" s="152">
        <f>IF(OR($MZ14=0,$MV14=""),0,IF(COUNTIF(INDEX($ED$2:$EH$13,$LY14,0),$MV14)=0,1,0))</f>
        <v/>
      </c>
      <c r="NK14" s="152">
        <f>IF(OR($NA14=0,$MW14=""),0,IF(COUNTIF(INDEX($ED$2:$EH$13,$LY14,0),$MW14)=0,1,0))</f>
        <v/>
      </c>
      <c r="NL14" s="152">
        <f>IF(OR($NB14=0,$MX14=""),0,IF(COUNTIF(INDEX($ED$2:$EH$13,$LY14,0),$MX14)=0,1,0))</f>
        <v/>
      </c>
      <c r="NM14" s="152">
        <f>IFERROR(VLOOKUP($MH14,$AV$2:$AZ$84,4,FALSE),0)+IFERROR(VLOOKUP($MI14,$AV$2:$AZ$84,4,FALSE),0)+IFERROR(VLOOKUP($MJ14,$AV$2:$AZ$84,4,FALSE),0)+IFERROR(VLOOKUP($MK14,$AV$2:$AZ$84,4,FALSE),0)</f>
        <v/>
      </c>
      <c r="NN14" s="152">
        <f>TEXTJOIN(", ",TRUE,IF(IFERROR(VLOOKUP($MH14,$AV$2:$AZ$84,5,FALSE),0)=1,$MH14,""),IF(IFERROR(VLOOKUP($MI14,$AV$2:$AZ$84,5,FALSE),0)=1,$MI14,""),IF(IFERROR(VLOOKUP($MJ14,$AV$2:$AZ$84,5,FALSE),0)=1,$MJ14,""),IF(IFERROR(VLOOKUP($MK14,$AV$2:$AZ$84,5,FALSE),0)=1,$MK14,""))</f>
        <v/>
      </c>
      <c r="NO14" s="152">
        <f>IF($MT14=0,0,INDEX($Y$2:$Y$11,$MT14))</f>
        <v/>
      </c>
      <c r="NP14" s="152">
        <f>IF($MT14=0,0,INDEX($Z$2:$Z$11,$MT14))</f>
        <v/>
      </c>
      <c r="NQ14" s="152">
        <f>IF($MT14=0,0,INDEX($AB$2:$AB$11,$MT14))</f>
        <v/>
      </c>
      <c r="NR14" s="152">
        <f>IFERROR(VLOOKUP($ML14,$BB$2:$BF$24,3,FALSE),0)</f>
        <v/>
      </c>
      <c r="NS14" s="152">
        <f>IFERROR(VLOOKUP($MM14,$BB$2:$BF$24,3,FALSE),0)</f>
        <v/>
      </c>
      <c r="NT14" s="152">
        <f>IFERROR(VLOOKUP($ML14,$BB$2:$BF$24,2,FALSE),"")</f>
        <v/>
      </c>
      <c r="NU14" s="152">
        <f>IFERROR(VLOOKUP($MM14,$BB$2:$BF$24,2,FALSE),"")</f>
        <v/>
      </c>
      <c r="NV14" s="152">
        <f>COUNTIF($NC14:$NG14,1)</f>
        <v/>
      </c>
      <c r="NW14" s="152">
        <f>COUNTIF($NC14:$NG14,2)</f>
        <v/>
      </c>
      <c r="NX14" s="152">
        <f>COUNTIF($NC14:$NG14,3)</f>
        <v/>
      </c>
      <c r="NY14" s="152">
        <f>COUNTIF($NC14:$NG14,4)</f>
        <v/>
      </c>
      <c r="NZ14" s="152">
        <f>COUNTIF($NC14:$NG14,5)</f>
        <v/>
      </c>
      <c r="OA14" s="152">
        <f>COUNTIF($NC14:$NG14,6)</f>
        <v/>
      </c>
      <c r="OB14" s="152">
        <f>COUNTIF($NR14:$NS14,1)</f>
        <v/>
      </c>
      <c r="OC14" s="152">
        <f>COUNTIF($NR14:$NS14,2)+$NO14</f>
        <v/>
      </c>
      <c r="OD14" s="152">
        <f>COUNTIF($MH14:$MK14,"?*")</f>
        <v/>
      </c>
      <c r="OE14" s="152">
        <f>COUNTIF($ML14:$MM14,"?*")+$NO14</f>
        <v/>
      </c>
      <c r="OF14" s="152">
        <f>IF($MC14=0,0,SUMPRODUCT($NV14:$OA14,INDEX($I$2:$N$8,MAX(1,$MC14),0)))</f>
        <v/>
      </c>
      <c r="OG14" s="152">
        <f>IF($MC14=0,0,$OB14*CEILING($MC14/2,1)+$OC14*$MC14)</f>
        <v/>
      </c>
      <c r="OH14" s="152">
        <f>MIN(2*$MC14,$OG14)</f>
        <v/>
      </c>
      <c r="OI14" s="152">
        <f>MIN($OH14,$OF14)</f>
        <v/>
      </c>
      <c r="OJ14" s="152">
        <f>$OH14-$OI14</f>
        <v/>
      </c>
      <c r="OK14" s="152">
        <f>IF($MC14=0,0,INDEX($P$2:$P$8,MAX(1,$MC14)))</f>
        <v/>
      </c>
      <c r="OL14" s="152">
        <f>$OK14-$OF14+$OI14</f>
        <v/>
      </c>
      <c r="OM14" s="152">
        <f>IF($MC14=0,MAX(0,$MQ14-IF($OD14&gt;0,1,0)),MAX(0,$OL14))</f>
        <v/>
      </c>
      <c r="ON14" s="152">
        <f>IF($MC14=0,0,(IF(COUNTIF($MH14:$MK14,"Salto")&gt;0,1,0)+IF(COUNTIF($MH14:$MK14,"Queima")&gt;0,1,0)+IF(COUNTIF($MH14:$MK14,"Estilhaço")&gt;0,1,0))*FLOOR($OM14/2,1))</f>
        <v/>
      </c>
      <c r="OO14" s="152">
        <f>MAX(0,2-SUMPRODUCT($NV14:$OA14,$I$2:$N$2)+MIN(2,$OB14*1+$OC14*1,SUMPRODUCT($NV14:$OA14,$I$2:$N$2)))</f>
        <v/>
      </c>
      <c r="OP14" s="152">
        <f>MAX(0,4-SUMPRODUCT($NV14:$OA14,$I$3:$N$3)+MIN(4,$OB14*1+$OC14*2,SUMPRODUCT($NV14:$OA14,$I$3:$N$3)))</f>
        <v/>
      </c>
      <c r="OQ14" s="152">
        <f>MAX(0,6-SUMPRODUCT($NV14:$OA14,$I$4:$N$4)+MIN(6,$OB14*2+$OC14*3,SUMPRODUCT($NV14:$OA14,$I$4:$N$4)))</f>
        <v/>
      </c>
      <c r="OR14" s="152">
        <f>MAX(0,9-SUMPRODUCT($NV14:$OA14,$I$5:$N$5)+MIN(8,$OB14*2+$OC14*4,SUMPRODUCT($NV14:$OA14,$I$5:$N$5)))</f>
        <v/>
      </c>
      <c r="OS14" s="152">
        <f>MAX(0,11-SUMPRODUCT($NV14:$OA14,$I$6:$N$6)+MIN(10,$OB14*3+$OC14*5,SUMPRODUCT($NV14:$OA14,$I$6:$N$6)))</f>
        <v/>
      </c>
      <c r="OT14" s="152">
        <f>MAX(0,13-SUMPRODUCT($NV14:$OA14,$I$7:$N$7)+MIN(12,$OB14*3+$OC14*6,SUMPRODUCT($NV14:$OA14,$I$7:$N$7)))</f>
        <v/>
      </c>
      <c r="OU14" s="152">
        <f>MAX(0,16-SUMPRODUCT($NV14:$OA14,$I$8:$N$8)+MIN(14,$OB14*4+$OC14*7,SUMPRODUCT($NV14:$OA14,$I$8:$N$8)))</f>
        <v/>
      </c>
      <c r="OV14" s="152">
        <f>IF($NP14=2,3*$OO14&amp;" de vida temp.",IF($NP14=3,"sem dano",IF($OO14=0,IF($NP14=1,"sem cura","sem dano"),IF($NP14=1,"cura ","")&amp;$OO14&amp;"d8")))</f>
        <v/>
      </c>
      <c r="OW14" s="152">
        <f>IF($NP14=2,3*$OP14&amp;" de vida temp.",IF($NP14=3,"sem dano",IF($OP14=0,IF($NP14=1,"sem cura","sem dano"),IF($NP14=1,"cura ","")&amp;$OP14&amp;"d8")))</f>
        <v/>
      </c>
      <c r="OX14" s="152">
        <f>IF($NP14=2,3*$OQ14&amp;" de vida temp.",IF($NP14=3,"sem dano",IF($OQ14=0,IF($NP14=1,"sem cura","sem dano"),IF($NP14=1,"cura ","")&amp;$OQ14&amp;"d8")))</f>
        <v/>
      </c>
      <c r="OY14" s="152">
        <f>IF($NP14=2,3*$OR14&amp;" de vida temp.",IF($NP14=3,"sem dano",IF($OR14=0,IF($NP14=1,"sem cura","sem dano"),IF($NP14=1,"cura ","")&amp;$OR14&amp;"d8")))</f>
        <v/>
      </c>
      <c r="OZ14" s="152">
        <f>IF($NP14=2,3*$OS14&amp;" de vida temp.",IF($NP14=3,"sem dano",IF($OS14=0,IF($NP14=1,"sem cura","sem dano"),IF($NP14=1,"cura ","")&amp;$OS14&amp;"d8")))</f>
        <v/>
      </c>
      <c r="PA14" s="152">
        <f>IF($NP14=2,3*$OT14&amp;" de vida temp.",IF($NP14=3,"sem dano",IF($OT14=0,IF($NP14=1,"sem cura","sem dano"),IF($NP14=1,"cura ","")&amp;$OT14&amp;"d8")))</f>
        <v/>
      </c>
      <c r="PB14" s="152">
        <f>IF($NP14=2,3*$OU14&amp;" de vida temp.",IF($NP14=3,"sem dano",IF($OU14=0,IF($NP14=1,"sem cura","sem dano"),IF($NP14=1,"cura ","")&amp;$OU14&amp;"d8")))</f>
        <v/>
      </c>
      <c r="PC14" s="152">
        <f>IF($MN14=0,"",TEXTJOIN(" · ",TRUE,IF($MA14&gt;$MO14,"Este lugar abre no nível "&amp;$MA14,""),IF($MC14&gt;$MP14,"Classe "&amp;$MC14&amp;": o nível "&amp;$MO14&amp;" libera até a "&amp;$MP14,""),IF($NH14=1,"A Forma "&amp;$ME14&amp;" pede "&amp;INDEX($W$2:$W$11,$MT14)&amp;" aberta",""),IF(AND($MC14=0,$MT14&gt;0,IF($MT14=0,0,INDEX($AF$2:$AF$11,$MT14))=0),$ME14&amp;" não existe na Classe 0",""),IF($NI14=1,"Família Fechada: "&amp;$MH14,""),IF($NJ14=1,"Família Fechada: "&amp;$MI14,""),IF($NK14=1,"Família Fechada: "&amp;$MJ14,""),IF($NL14=1,"Família Fechada: "&amp;$MK14,""),IF(AND($MC14&gt;0,$OD14&gt;INDEX($O$2:$O$8,MAX(1,$MC14))),$OD14&amp;" Melhorias: a Classe "&amp;$MC14&amp;" aceita "&amp;INDEX($O$2:$O$8,MAX(1,$MC14)),""),IF(AND($MC14=0,$OD14&gt;1),"A básica aceita uma Melhoria",""),IF(AND($MC14=0,COUNTIF($MY14:$NB14,"&gt;1")&gt;0),"A básica só aceita Melhoria Leve",""),IF(AND($MC14&gt;0,$OE14&gt;2),$OE14&amp;" Restrições"&amp;IF($NO14=1,", contando a que a Forma "&amp;$ME14&amp;" já traz","")&amp;": o limite é 2",""),IF(AND($MC14=0,COUNTIF($ML14:$MM14,"?*")&gt;1),"A básica aceita uma Restrição Leve",""),IF(AND($MC14=0,COUNTIF($NR14:$NS14,2)&gt;0),"A básica só aceita Restrição Leve",""),IF(AND($MC14&gt;0,$OL14&lt;0),"Orçamento estourado: faltam "&amp;(-$OL14)&amp;IF($OL14&lt;-1," pontos"," ponto"),""),IF(IFERROR(VLOOKUP($ML14,$BB$2:$BF$24,4,FALSE),0)+IFERROR(VLOOKUP($MM14,$BB$2:$BF$24,4,FALSE),0)&gt;1,$NT14&amp;" e "&amp;$NU14&amp;" são as duas de frequência",""),IF(AND((COUNTIF($MH14:$MK14,"Rápido")+COUNTIF($NT14:$NU14,"Rápido"))&gt;0,(COUNTIF($MH14:$MK14,"Atrasar")+COUNTIF($NT14:$NU14,"Atrasar"))&gt;0),"Rápido não entra com Atrasar",""),IF(AND((COUNTIF($MH14:$MK14,"Reação")+COUNTIF($NT14:$NU14,"Reação"))&gt;0,(COUNTIF($MH14:$MK14,"Rápido")+COUNTIF($NT14:$NU14,"Rápido"))&gt;0),"Reação não entra com Rápido",""),IF(AND((COUNTIF($MH14:$MK14,"Reação")+COUNTIF($NT14:$NU14,"Reação"))&gt;0,(COUNTIF($MH14:$MK14,"Armado")+COUNTIF($NT14:$NU14,"Armado"))&gt;0),"Reação não entra com Armado",""),IF(AND((COUNTIF($MH14:$MK14,"Reação")+COUNTIF($NT14:$NU14,"Reação"))&gt;0,(COUNTIF($MH14:$MK14,"Atrasar")+COUNTIF($NT14:$NU14,"Atrasar"))&gt;0),"Reação não entra com Atrasar",""),IF(AND((COUNTIF($MH14:$MK14,"Reação")+COUNTIF($NT14:$NU14,"Reação"))&gt;0,(COUNTIF($MH14:$MK14,"Parado")+COUNTIF($NT14:$NU14,"Parado"))&gt;0),"Reação não entra com Parado",""),IF(AND((COUNTIF($MH14:$MK14,"Atrasar")+COUNTIF($NT14:$NU14,"Atrasar"))&gt;0,(COUNTIF($MH14:$MK14,"Parado")+COUNTIF($NT14:$NU14,"Parado"))&gt;0),"Atrasar não entra com Parado",""),IF(AND((COUNTIF($MH14:$MK14,"Armado")+COUNTIF($NT14:$NU14,"Armado"))&gt;0,(COUNTIF($MH14:$MK14,"Carregar")+COUNTIF($NT14:$NU14,"Carregar"))&gt;0),"Armado não entra com Carregar",""),IF(AND(COUNTIF($NT14:$NU14,"Corpo a Corpo")&gt;0,$NO14=0,OR($ME14="Cone",$ME14="Linha")),"Corpo a Corpo não entra em "&amp;$ME14,""),IF(AND(COUNTIF($NT14:$NU14,"Corpo a Corpo")&gt;0,$NO14=1),"A Forma "&amp;$ME14&amp;" já traz o Corpo a Corpo",""),IF(AND(COUNTIF($NT14:$NU14,"Tudo ou Nada")&gt;0,$NQ14=0),"Tudo ou Nada só entra em habilidade de Teste de Resistência",""),IF(AND(COUNTIF($MH14:$MK14,"Inescapável")&gt;0,OR($OD14&gt;1,$OE14&gt;0)),"Inescapável não aceita outra peça",""),IF(AND($MC14&gt;0,$OM14*IF(COUNTIF($MH14:$MK14,"Remate")&gt;0,1.25,1)+$ON14&gt;4*$MC14),($OM14*IF(COUNTIF($MH14:$MK14,"Remate")&gt;0,1.25,1)+$ON14)&amp;" dados somando repetições"&amp;IF(COUNTIF($MH14:$MK14,"Remate")&gt;0," e o Remate","")&amp;": o teto da Classe "&amp;$MC14&amp;" é "&amp;4*$MC14,"")))</f>
        <v/>
      </c>
      <c r="PD14" s="152">
        <f>IF($PC14="",0,(LEN($PC14)-LEN(SUBSTITUTE($PC14," · ","")))/3+1)</f>
        <v/>
      </c>
      <c r="PE14" s="152">
        <f>IF($MN14=0,"",TEXTJOIN(" · ",TRUE,IF($OG14&gt;2*$MC14,"A devolução parou no teto de "&amp;2*$MC14,""),IF($OJ14&gt;0,"Devolução perdida: "&amp;$OJ14&amp;IF($OJ14&gt;1," pontos"," ponto")&amp;" sem peça para pagar",""),IF(AND($NM14&gt;0,AND($MC14&gt;0,$NP14=0),$OM14=0),"Controle sem dano: uma rodada a mais e CD +2",""),IF(AND($NM14&gt;0,AND($MC14&gt;0,$NP14=0),$OM14&gt;0,$OM14&lt;=$MC14),"Controle com saldo até a Classe: uma rodada a mais",""),IF(AND($MC14&gt;0,$NN14&lt;&gt;""),"Efeito de "&amp;$NN14&amp;" pela Classe "&amp;MAX(1,$MC14-1),"")))</f>
        <v/>
      </c>
      <c r="PF14" s="152">
        <f>IF($PE14="",0,(LEN($PE14)-LEN(SUBSTITUTE($PE14," · ","")))/3+1)</f>
        <v/>
      </c>
      <c r="PG14" s="152">
        <f>IF($MN14=0,IF($OD14+COUNTIF($ML14:$MM14,"?*")&gt;0,"Dê um nome",""),IF($PD14&gt;0,"⚠ "&amp;$PD14&amp;IF($PD14&gt;1," erros"," erro"),IF($PF14&gt;0,"! "&amp;$PF14&amp;IF($PF14&gt;1," avisos"," aviso"),"Na regra")))</f>
        <v/>
      </c>
      <c r="PH14" s="152">
        <f>IF($MN14=0,"",IF($PD14+$PF14=0,"Dentro das regras que a ficha confere",$PC14&amp;IF(AND($PD14&gt;0,$PF14&gt;0)," · ","")&amp;$PE14))</f>
        <v/>
      </c>
      <c r="PI14" s="152">
        <f>IF($MA14&gt;$MO14,$MB14&amp;" · ABRE NO NÍVEL "&amp;$MA14,$MB14)</f>
        <v/>
      </c>
      <c r="PJ14" s="152">
        <f>IF($MN14=0,"",IF($MC14=0,"Sem PE",3*$MC14&amp;" PE"))</f>
        <v/>
      </c>
      <c r="PK14" s="152">
        <f>IF($MN14=0,"",IF($MC14=0,"A atuação básica dela",IF(COUNTIF($NT14:$NU14,"Atrasar")&gt;0,"Sua Ação Completa",IF(COUNTIF($MH14:$MK14,"Rápido")&gt;0,"Sua Bônus",IF(COUNTIF($MH14:$MK14,"Reação")&gt;0,"Sua Reação","Sua Padrão")))&amp;" + a básica dela"&amp;IF(COUNTIF($MH14:$MK14,"Reação")&gt;0," e a coletiva","")&amp;IF(COUNTIF($NT14:$NU14,"Carregar")&gt;0," · em dois turnos","")))</f>
        <v/>
      </c>
      <c r="PL14" s="152">
        <f>IF($MG14&lt;&gt;"",$MG14,IF($MT14=0,"",INDEX($AA$2:$AA$11,$MT14)))</f>
        <v/>
      </c>
      <c r="PM14" s="152">
        <f>IF(OR($MN14=0,$MT14=0),"",IF(COUNTIF($MH14:$MK14,"Inescapável")&gt;0,"Automático",IF($PL14="Ataque",IF($MR14="","Ataque","Ataque "&amp;IF(($MR14+2*IF(COUNTIF($MH14:$MK14,"Precisão")&gt;0,1,0))&gt;=0,"+","−")&amp;ABS(($MR14+2*IF(COUNTIF($MH14:$MK14,"Precisão")&gt;0,1,0)))),IF(LEFT($PL14,2)="TR",$PL14&amp;IF($MS14="",""," · CD "&amp;$MS14)&amp;IF(COUNTIF($MH14:$MK14,"Certeiro")&gt;0," · metade",""),"Sem rolagem"))))</f>
        <v/>
      </c>
      <c r="PN14" s="152">
        <f>IF(OR($MN14=0,$MT14=0),"",IF($MC14=0,IF(OR($NP14&gt;=1,$OM14=0),"Sem dano",$OM14&amp;"d6"&amp;IF($MF14="",""," "&amp;$MF14)),IF(OR($NP14&gt;=1,$OM14=0),UPPER(LEFT(INDEX($OV14:$PB14,1,MAX(1,$MC14)),1))&amp;MID(INDEX($OV14:$PB14,1,MAX(1,$MC14)),2,99),UPPER(LEFT(INDEX($OV14:$PB14,1,MAX(1,$MC14)),1))&amp;MID(INDEX($OV14:$PB14,1,MAX(1,$MC14)),2,99)&amp;IF($MF14="",""," "&amp;$MF14)&amp;IF($ON14&gt;0," · +"&amp;$ON14&amp;"d8",""))))</f>
        <v/>
      </c>
      <c r="PO14" s="152">
        <f>COUNTIF($MH14:$MK14,"Longe")+3*COUNTIF($MH14:$MK14,"Muito Longe")</f>
        <v/>
      </c>
      <c r="PP14" s="152">
        <f>COUNTIF($MH14:$MK14,"Maior")+3*COUNTIF($MH14:$MK14,"Muito Maior")</f>
        <v/>
      </c>
      <c r="PQ14" s="152">
        <f>IF($MT14=0,0,CHOOSE(1+INDEX($AC$2:$AC$11,$MT14),0,$PO14,$PP14,$PO14+$PP14))</f>
        <v/>
      </c>
      <c r="PR14" s="152">
        <f>IF($MT14=0,0,CHOOSE(1+INDEX($AD$2:$AD$11,$MT14),0,$PO14,$PP14,$PO14+$PP14))</f>
        <v/>
      </c>
      <c r="PS14" s="152">
        <f>IF(OR($MN14=0,$MT14=0),"",INDEX($AI$2:$AN$41,($MT14-1)*4+IF($MC14=0,1,IF($MC14&lt;=5,2,IF($MC14=6,3,4))),1+MIN(5,$PQ14))&amp;INDEX($AO$2:$AT$41,($MT14-1)*4+IF($MC14=0,1,IF($MC14&lt;=5,2,IF($MC14=6,3,4))),1+MIN(5,$PR14))&amp;IF(INDEX($AE$2:$AE$11,$MT14)=1,IF(COUNTIF($MH14:$MK14,"Mais Um")&gt;0," · +"&amp;COUNTIF($MH14:$MK14,"Mais Um")&amp;IF(COUNTIF($MH14:$MK14,"Mais Um")&gt;1," alvos"," alvo"),"")&amp;IF(COUNTIF($MH14:$MK14,"Rajada")&gt;0,IF($MC14=0," · 1 tiro"," · "&amp;(MAX(1,$MC14-1)+1)&amp;" tiros"),""),""))</f>
        <v/>
      </c>
      <c r="PT14" s="152">
        <f>IF($MN14=0,"",IF($MC14=0,$MQ14&amp;"d6"&amp;IF($OD14&gt;0," − 1 = "&amp;$OM14&amp;"d6"," da básica do nível "&amp;$MO14),$OK14&amp;" − "&amp;$OF14&amp;" + "&amp;$OI14&amp;" = "&amp;$OL14&amp;" · teto "&amp;4*$MC14&amp;"d8"&amp;IF($NO14=1," · a Forma devolve "&amp;$MC14,"")&amp;IF($OJ14&gt;0," · perde "&amp;$OJ14,"")))</f>
        <v/>
      </c>
      <c r="PU14" s="152">
        <f>IF($MN14=0,"",IF($MC14=0,"A básica não amplia: os dados dela sobem com o nível",IF($MC14&gt;=$MP14,"Já está na maior Classe que o nível liberou",TEXTJOIN(" · ",TRUE,IF(AND(2&gt;$MC14,2&lt;=$MP14),"2 → "&amp;$OW14&amp;", 6 PE",""),IF(AND(3&gt;$MC14,3&lt;=$MP14),"3 → "&amp;$OX14&amp;", 9 PE",""),IF(AND(4&gt;$MC14,4&lt;=$MP14),"4 → "&amp;$OY14&amp;", 12 PE",""),IF(AND(5&gt;$MC14,5&lt;=$MP14),"5 → "&amp;$OZ14&amp;", 15 PE",""),IF(AND(6&gt;$MC14,6&lt;=$MP14),"6 → "&amp;$PA14&amp;", 18 PE",""),IF(AND(7&gt;$MC14,7&lt;=$MP14),"7 → "&amp;$PB14&amp;", 21 PE","")))))</f>
        <v/>
      </c>
      <c r="PV14" s="152">
        <f>IF(OR($MN14=0,$MY14=0),"",IF($MC14=0,"−1 dado","−"&amp;INDEX($I$2:$N$8,MAX(1,$MC14),MAX(1,$ND14))&amp;" · "&amp;CHOOSE(MAX(1,$ND14),"Leve","Média","Pesada","Leve · Livre","Média · Livre","Pesada · Livre")))</f>
        <v/>
      </c>
      <c r="PW14" s="152">
        <f>IF(OR($MN14=0,$MZ14=0),"",IF($MC14=0,"−1 dado","−"&amp;INDEX($I$2:$N$8,MAX(1,$MC14),MAX(1,$NE14))&amp;" · "&amp;CHOOSE(MAX(1,$NE14),"Leve","Média","Pesada","Leve · Livre","Média · Livre","Pesada · Livre")))</f>
        <v/>
      </c>
      <c r="PX14" s="152">
        <f>IF(OR($MN14=0,$NA14=0),"",IF($MC14=0,"−1 dado","−"&amp;INDEX($I$2:$N$8,MAX(1,$MC14),MAX(1,$NF14))&amp;" · "&amp;CHOOSE(MAX(1,$NF14),"Leve","Média","Pesada","Leve · Livre","Média · Livre","Pesada · Livre")))</f>
        <v/>
      </c>
      <c r="PY14" s="152">
        <f>IF(OR($MN14=0,$NB14=0),"",IF($MC14=0,"−1 dado","−"&amp;INDEX($I$2:$N$8,MAX(1,$MC14),MAX(1,$NG14))&amp;" · "&amp;CHOOSE(MAX(1,$NG14),"Leve","Média","Pesada","Leve · Livre","Média · Livre","Pesada · Livre")))</f>
        <v/>
      </c>
      <c r="PZ14" s="152">
        <f>IF(OR($MN14=0,$ML14=""),"",IF($MC14=0,"não devolve","+"&amp;IF($NR14=1,CEILING($MC14/2,1),$MC14)))</f>
        <v/>
      </c>
      <c r="QA14" s="152">
        <f>IF(OR($MN14=0,$MM14=""),"",IF($MC14=0,"não devolve","+"&amp;IF($NS14=1,CEILING($MC14/2,1),$MC14)))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B15" s="150" t="inlineStr">
        <is>
          <t>Uma Vez</t>
        </is>
      </c>
      <c r="BC15" s="150" t="inlineStr">
        <is>
          <t>Uma Vez</t>
        </is>
      </c>
      <c r="BD15" s="152" t="n">
        <v>1</v>
      </c>
      <c r="BE15" s="152" t="n">
        <v>1</v>
      </c>
      <c r="BF15" s="150" t="inlineStr">
        <is>
          <t>Uma Vez</t>
        </is>
      </c>
      <c r="BH15" s="150" t="inlineStr">
        <is>
          <t>Talento Próprio (CE 3)</t>
        </is>
      </c>
      <c r="BI15" s="152" t="n">
        <v>3</v>
      </c>
      <c r="BJ15" s="150" t="inlineStr">
        <is>
          <t>Escreva nas Anotações o benefício, o gatilho, o alcance, os usos, o custo e se ele pode ser desligado, fechados com o mestre.</t>
        </is>
      </c>
      <c r="BK15" s="150" t="inlineStr"/>
      <c r="BZ15" s="150" t="inlineStr">
        <is>
          <t>Natureza</t>
        </is>
      </c>
      <c r="CA15" s="150" t="inlineStr">
        <is>
          <t>Inteligência</t>
        </is>
      </c>
      <c r="CE15" s="150" t="inlineStr">
        <is>
          <t>Força</t>
        </is>
      </c>
      <c r="JD15" s="152">
        <f>IF(OR($AW15="",COUNTIF($ED$2:$EH$2,$AW15)&gt;0),$AV15,"")</f>
        <v/>
      </c>
      <c r="JE15" s="152">
        <f>IF(AND($AX15=1,OR($AW15="",COUNTIF($ED$2:$EH$2,$AW15)&gt;0)),$AV15,"")</f>
        <v/>
      </c>
      <c r="JJ15" s="152">
        <f>IF(OR($AW15="",COUNTIF($ED$3:$EH$3,$AW15)&gt;0),$AV15,"")</f>
        <v/>
      </c>
      <c r="JK15" s="152">
        <f>IF(AND($AX15=1,OR($AW15="",COUNTIF($ED$3:$EH$3,$AW15)&gt;0)),$AV15,"")</f>
        <v/>
      </c>
      <c r="JP15" s="152">
        <f>IF(OR($AW15="",COUNTIF($ED$4:$EH$4,$AW15)&gt;0),$AV15,"")</f>
        <v/>
      </c>
      <c r="JQ15" s="152">
        <f>IF(AND($AX15=1,OR($AW15="",COUNTIF($ED$4:$EH$4,$AW15)&gt;0)),$AV15,"")</f>
        <v/>
      </c>
      <c r="JV15" s="152">
        <f>IF(OR($AW15="",COUNTIF($ED$5:$EH$5,$AW15)&gt;0),$AV15,"")</f>
        <v/>
      </c>
      <c r="JW15" s="152">
        <f>IF(AND($AX15=1,OR($AW15="",COUNTIF($ED$5:$EH$5,$AW15)&gt;0)),$AV15,"")</f>
        <v/>
      </c>
      <c r="KB15" s="152">
        <f>IF(OR($AW15="",COUNTIF($ED$6:$EH$6,$AW15)&gt;0),$AV15,"")</f>
        <v/>
      </c>
      <c r="KC15" s="152">
        <f>IF(AND($AX15=1,OR($AW15="",COUNTIF($ED$6:$EH$6,$AW15)&gt;0)),$AV15,"")</f>
        <v/>
      </c>
      <c r="KH15" s="152">
        <f>IF(OR($AW15="",COUNTIF($ED$7:$EH$7,$AW15)&gt;0),$AV15,"")</f>
        <v/>
      </c>
      <c r="KI15" s="152">
        <f>IF(AND($AX15=1,OR($AW15="",COUNTIF($ED$7:$EH$7,$AW15)&gt;0)),$AV15,"")</f>
        <v/>
      </c>
      <c r="KN15" s="152">
        <f>IF(OR($AW15="",COUNTIF($ED$8:$EH$8,$AW15)&gt;0),$AV15,"")</f>
        <v/>
      </c>
      <c r="KO15" s="152">
        <f>IF(AND($AX15=1,OR($AW15="",COUNTIF($ED$8:$EH$8,$AW15)&gt;0)),$AV15,"")</f>
        <v/>
      </c>
      <c r="KT15" s="152">
        <f>IF(OR($AW15="",COUNTIF($ED$9:$EH$9,$AW15)&gt;0),$AV15,"")</f>
        <v/>
      </c>
      <c r="KU15" s="152">
        <f>IF(AND($AX15=1,OR($AW15="",COUNTIF($ED$9:$EH$9,$AW15)&gt;0)),$AV15,"")</f>
        <v/>
      </c>
      <c r="KZ15" s="152">
        <f>IF(OR($AW15="",COUNTIF($ED$10:$EH$10,$AW15)&gt;0),$AV15,"")</f>
        <v/>
      </c>
      <c r="LA15" s="152">
        <f>IF(AND($AX15=1,OR($AW15="",COUNTIF($ED$10:$EH$10,$AW15)&gt;0)),$AV15,"")</f>
        <v/>
      </c>
      <c r="LF15" s="152">
        <f>IF(OR($AW15="",COUNTIF($ED$11:$EH$11,$AW15)&gt;0),$AV15,"")</f>
        <v/>
      </c>
      <c r="LG15" s="152">
        <f>IF(AND($AX15=1,OR($AW15="",COUNTIF($ED$11:$EH$11,$AW15)&gt;0)),$AV15,"")</f>
        <v/>
      </c>
      <c r="LL15" s="152">
        <f>IF(OR($AW15="",COUNTIF($ED$12:$EH$12,$AW15)&gt;0),$AV15,"")</f>
        <v/>
      </c>
      <c r="LM15" s="152">
        <f>IF(AND($AX15=1,OR($AW15="",COUNTIF($ED$12:$EH$12,$AW15)&gt;0)),$AV15,"")</f>
        <v/>
      </c>
      <c r="LR15" s="152">
        <f>IF(OR($AW15="",COUNTIF($ED$13:$EH$13,$AW15)&gt;0),$AV15,"")</f>
        <v/>
      </c>
      <c r="LS15" s="152">
        <f>IF(AND($AX15=1,OR($AW15="",COUNTIF($ED$13:$EH$13,$AW15)&gt;0)),$AV15,"")</f>
        <v/>
      </c>
      <c r="LX15" s="150" t="inlineStr">
        <is>
          <t>Ficha 2 · Básica 1</t>
        </is>
      </c>
      <c r="LY15" s="152" t="n">
        <v>2</v>
      </c>
      <c r="LZ15" s="152" t="n">
        <v>0</v>
      </c>
      <c r="MA15" s="152" t="n">
        <v>1</v>
      </c>
      <c r="MB15" s="150" t="inlineStr">
        <is>
          <t>BÁSICA 1</t>
        </is>
      </c>
      <c r="MC15" s="152" t="n">
        <v>0</v>
      </c>
      <c r="MD15" s="152">
        <f>'INVOCAÇÕES'!$J$256&amp;""</f>
        <v/>
      </c>
      <c r="ME15" s="152">
        <f>'INVOCAÇÕES'!$I$261&amp;""</f>
        <v/>
      </c>
      <c r="MF15" s="152">
        <f>'INVOCAÇÕES'!$I$262&amp;""</f>
        <v/>
      </c>
      <c r="MG15" s="152">
        <f>'INVOCAÇÕES'!$K$262&amp;""</f>
        <v/>
      </c>
      <c r="MH15" s="152">
        <f>'INVOCAÇÕES'!$J$265&amp;""</f>
        <v/>
      </c>
      <c r="MI15" s="152">
        <f>'INVOCAÇÕES'!$J$266&amp;""</f>
        <v/>
      </c>
      <c r="MJ15" s="152">
        <f>'INVOCAÇÕES'!$J$267&amp;""</f>
        <v/>
      </c>
      <c r="MK15" s="152">
        <f>'INVOCAÇÕES'!$J$268&amp;""</f>
        <v/>
      </c>
      <c r="ML15" s="152">
        <f>'INVOCAÇÕES'!$J$269&amp;""</f>
        <v/>
      </c>
      <c r="MM15" s="152">
        <f>'INVOCAÇÕES'!$J$270&amp;""</f>
        <v/>
      </c>
      <c r="MN15" s="152">
        <f>IF($MD15&lt;&gt;"",1,0)</f>
        <v/>
      </c>
      <c r="MO15" s="152">
        <f>INDEX($FG$2:$FG$13,$LY15)</f>
        <v/>
      </c>
      <c r="MP15" s="152">
        <f>INDEX($FH$2:$FH$13,$LY15)</f>
        <v/>
      </c>
      <c r="MQ15" s="152">
        <f>INDEX($FI$2:$FI$13,$LY15)</f>
        <v/>
      </c>
      <c r="MR15" s="152">
        <f>INDEX($FT$2:$FT$13,$LY15)</f>
        <v/>
      </c>
      <c r="MS15" s="152">
        <f>INDEX($FU$2:$FU$13,$LY15)</f>
        <v/>
      </c>
      <c r="MT15" s="152">
        <f>IFERROR(MATCH($ME15,$V$2:$V$11,0),0)</f>
        <v/>
      </c>
      <c r="MU15" s="152">
        <f>IFERROR(VLOOKUP($MH15,$AV$2:$AZ$84,2,FALSE),"")</f>
        <v/>
      </c>
      <c r="MV15" s="152">
        <f>IFERROR(VLOOKUP($MI15,$AV$2:$AZ$84,2,FALSE),"")</f>
        <v/>
      </c>
      <c r="MW15" s="152">
        <f>IFERROR(VLOOKUP($MJ15,$AV$2:$AZ$84,2,FALSE),"")</f>
        <v/>
      </c>
      <c r="MX15" s="152">
        <f>IFERROR(VLOOKUP($MK15,$AV$2:$AZ$84,2,FALSE),"")</f>
        <v/>
      </c>
      <c r="MY15" s="152">
        <f>IFERROR(VLOOKUP($MH15,$AV$2:$AZ$84,3,FALSE),0)</f>
        <v/>
      </c>
      <c r="MZ15" s="152">
        <f>IFERROR(VLOOKUP($MI15,$AV$2:$AZ$84,3,FALSE),0)</f>
        <v/>
      </c>
      <c r="NA15" s="152">
        <f>IFERROR(VLOOKUP($MJ15,$AV$2:$AZ$84,3,FALSE),0)</f>
        <v/>
      </c>
      <c r="NB15" s="152">
        <f>IFERROR(VLOOKUP($MK15,$AV$2:$AZ$84,3,FALSE),0)</f>
        <v/>
      </c>
      <c r="NC15" s="152">
        <f>IF($MC15=0,0,IF($MT15=0,0,INDEX($X$2:$X$11,$MT15)))</f>
        <v/>
      </c>
      <c r="ND15" s="152">
        <f>IF(OR($MY15=0,$MC15=0),0,$MY15+3*IF(AND($MU15&lt;&gt;"",OR($MU15=INDEX($ED$2:$ED$13,$LY15),$MU15=INDEX($EE$2:$EE$13,$LY15))),1,0))</f>
        <v/>
      </c>
      <c r="NE15" s="152">
        <f>IF(OR($MZ15=0,$MC15=0),0,$MZ15+3*IF(AND($MV15&lt;&gt;"",OR($MV15=INDEX($ED$2:$ED$13,$LY15),$MV15=INDEX($EE$2:$EE$13,$LY15))),1,0))</f>
        <v/>
      </c>
      <c r="NF15" s="152">
        <f>IF(OR($NA15=0,$MC15=0),0,$NA15+3*IF(AND($MW15&lt;&gt;"",OR($MW15=INDEX($ED$2:$ED$13,$LY15),$MW15=INDEX($EE$2:$EE$13,$LY15))),1,0))</f>
        <v/>
      </c>
      <c r="NG15" s="152">
        <f>IF(OR($NB15=0,$MC15=0),0,$NB15+3*IF(AND($MX15&lt;&gt;"",OR($MX15=INDEX($ED$2:$ED$13,$LY15),$MX15=INDEX($EE$2:$EE$13,$LY15))),1,0))</f>
        <v/>
      </c>
      <c r="NH15" s="152">
        <f>IF($MT15=0,0,IF(INDEX($W$2:$W$11,$MT15)="",0,IF(COUNTIF(INDEX($ED$2:$EH$13,$LY15,0),INDEX($W$2:$W$11,$MT15))=0,1,0)))</f>
        <v/>
      </c>
      <c r="NI15" s="152">
        <f>IF(OR($MY15=0,$MU15=""),0,IF(COUNTIF(INDEX($ED$2:$EH$13,$LY15,0),$MU15)=0,1,0))</f>
        <v/>
      </c>
      <c r="NJ15" s="152">
        <f>IF(OR($MZ15=0,$MV15=""),0,IF(COUNTIF(INDEX($ED$2:$EH$13,$LY15,0),$MV15)=0,1,0))</f>
        <v/>
      </c>
      <c r="NK15" s="152">
        <f>IF(OR($NA15=0,$MW15=""),0,IF(COUNTIF(INDEX($ED$2:$EH$13,$LY15,0),$MW15)=0,1,0))</f>
        <v/>
      </c>
      <c r="NL15" s="152">
        <f>IF(OR($NB15=0,$MX15=""),0,IF(COUNTIF(INDEX($ED$2:$EH$13,$LY15,0),$MX15)=0,1,0))</f>
        <v/>
      </c>
      <c r="NM15" s="152">
        <f>IFERROR(VLOOKUP($MH15,$AV$2:$AZ$84,4,FALSE),0)+IFERROR(VLOOKUP($MI15,$AV$2:$AZ$84,4,FALSE),0)+IFERROR(VLOOKUP($MJ15,$AV$2:$AZ$84,4,FALSE),0)+IFERROR(VLOOKUP($MK15,$AV$2:$AZ$84,4,FALSE),0)</f>
        <v/>
      </c>
      <c r="NN15" s="152">
        <f>TEXTJOIN(", ",TRUE,IF(IFERROR(VLOOKUP($MH15,$AV$2:$AZ$84,5,FALSE),0)=1,$MH15,""),IF(IFERROR(VLOOKUP($MI15,$AV$2:$AZ$84,5,FALSE),0)=1,$MI15,""),IF(IFERROR(VLOOKUP($MJ15,$AV$2:$AZ$84,5,FALSE),0)=1,$MJ15,""),IF(IFERROR(VLOOKUP($MK15,$AV$2:$AZ$84,5,FALSE),0)=1,$MK15,""))</f>
        <v/>
      </c>
      <c r="NO15" s="152">
        <f>IF($MT15=0,0,INDEX($Y$2:$Y$11,$MT15))</f>
        <v/>
      </c>
      <c r="NP15" s="152">
        <f>IF($MT15=0,0,INDEX($Z$2:$Z$11,$MT15))</f>
        <v/>
      </c>
      <c r="NQ15" s="152">
        <f>IF($MT15=0,0,INDEX($AB$2:$AB$11,$MT15))</f>
        <v/>
      </c>
      <c r="NR15" s="152">
        <f>IFERROR(VLOOKUP($ML15,$BB$2:$BF$24,3,FALSE),0)</f>
        <v/>
      </c>
      <c r="NS15" s="152">
        <f>IFERROR(VLOOKUP($MM15,$BB$2:$BF$24,3,FALSE),0)</f>
        <v/>
      </c>
      <c r="NT15" s="152">
        <f>IFERROR(VLOOKUP($ML15,$BB$2:$BF$24,2,FALSE),"")</f>
        <v/>
      </c>
      <c r="NU15" s="152">
        <f>IFERROR(VLOOKUP($MM15,$BB$2:$BF$24,2,FALSE),"")</f>
        <v/>
      </c>
      <c r="NV15" s="152">
        <f>COUNTIF($NC15:$NG15,1)</f>
        <v/>
      </c>
      <c r="NW15" s="152">
        <f>COUNTIF($NC15:$NG15,2)</f>
        <v/>
      </c>
      <c r="NX15" s="152">
        <f>COUNTIF($NC15:$NG15,3)</f>
        <v/>
      </c>
      <c r="NY15" s="152">
        <f>COUNTIF($NC15:$NG15,4)</f>
        <v/>
      </c>
      <c r="NZ15" s="152">
        <f>COUNTIF($NC15:$NG15,5)</f>
        <v/>
      </c>
      <c r="OA15" s="152">
        <f>COUNTIF($NC15:$NG15,6)</f>
        <v/>
      </c>
      <c r="OB15" s="152">
        <f>COUNTIF($NR15:$NS15,1)</f>
        <v/>
      </c>
      <c r="OC15" s="152">
        <f>COUNTIF($NR15:$NS15,2)+$NO15</f>
        <v/>
      </c>
      <c r="OD15" s="152">
        <f>COUNTIF($MH15:$MK15,"?*")</f>
        <v/>
      </c>
      <c r="OE15" s="152">
        <f>COUNTIF($ML15:$MM15,"?*")+$NO15</f>
        <v/>
      </c>
      <c r="OF15" s="152">
        <f>IF($MC15=0,0,SUMPRODUCT($NV15:$OA15,INDEX($I$2:$N$8,MAX(1,$MC15),0)))</f>
        <v/>
      </c>
      <c r="OG15" s="152">
        <f>IF($MC15=0,0,$OB15*CEILING($MC15/2,1)+$OC15*$MC15)</f>
        <v/>
      </c>
      <c r="OH15" s="152">
        <f>MIN(2*$MC15,$OG15)</f>
        <v/>
      </c>
      <c r="OI15" s="152">
        <f>MIN($OH15,$OF15)</f>
        <v/>
      </c>
      <c r="OJ15" s="152">
        <f>$OH15-$OI15</f>
        <v/>
      </c>
      <c r="OK15" s="152">
        <f>IF($MC15=0,0,INDEX($P$2:$P$8,MAX(1,$MC15)))</f>
        <v/>
      </c>
      <c r="OL15" s="152">
        <f>$OK15-$OF15+$OI15</f>
        <v/>
      </c>
      <c r="OM15" s="152">
        <f>IF($MC15=0,MAX(0,$MQ15-IF($OD15&gt;0,1,0)),MAX(0,$OL15))</f>
        <v/>
      </c>
      <c r="ON15" s="152">
        <f>IF($MC15=0,0,(IF(COUNTIF($MH15:$MK15,"Salto")&gt;0,1,0)+IF(COUNTIF($MH15:$MK15,"Queima")&gt;0,1,0)+IF(COUNTIF($MH15:$MK15,"Estilhaço")&gt;0,1,0))*FLOOR($OM15/2,1))</f>
        <v/>
      </c>
      <c r="OO15" s="152">
        <f>MAX(0,2-SUMPRODUCT($NV15:$OA15,$I$2:$N$2)+MIN(2,$OB15*1+$OC15*1,SUMPRODUCT($NV15:$OA15,$I$2:$N$2)))</f>
        <v/>
      </c>
      <c r="OP15" s="152">
        <f>MAX(0,4-SUMPRODUCT($NV15:$OA15,$I$3:$N$3)+MIN(4,$OB15*1+$OC15*2,SUMPRODUCT($NV15:$OA15,$I$3:$N$3)))</f>
        <v/>
      </c>
      <c r="OQ15" s="152">
        <f>MAX(0,6-SUMPRODUCT($NV15:$OA15,$I$4:$N$4)+MIN(6,$OB15*2+$OC15*3,SUMPRODUCT($NV15:$OA15,$I$4:$N$4)))</f>
        <v/>
      </c>
      <c r="OR15" s="152">
        <f>MAX(0,9-SUMPRODUCT($NV15:$OA15,$I$5:$N$5)+MIN(8,$OB15*2+$OC15*4,SUMPRODUCT($NV15:$OA15,$I$5:$N$5)))</f>
        <v/>
      </c>
      <c r="OS15" s="152">
        <f>MAX(0,11-SUMPRODUCT($NV15:$OA15,$I$6:$N$6)+MIN(10,$OB15*3+$OC15*5,SUMPRODUCT($NV15:$OA15,$I$6:$N$6)))</f>
        <v/>
      </c>
      <c r="OT15" s="152">
        <f>MAX(0,13-SUMPRODUCT($NV15:$OA15,$I$7:$N$7)+MIN(12,$OB15*3+$OC15*6,SUMPRODUCT($NV15:$OA15,$I$7:$N$7)))</f>
        <v/>
      </c>
      <c r="OU15" s="152">
        <f>MAX(0,16-SUMPRODUCT($NV15:$OA15,$I$8:$N$8)+MIN(14,$OB15*4+$OC15*7,SUMPRODUCT($NV15:$OA15,$I$8:$N$8)))</f>
        <v/>
      </c>
      <c r="OV15" s="152">
        <f>IF($NP15=2,3*$OO15&amp;" de vida temp.",IF($NP15=3,"sem dano",IF($OO15=0,IF($NP15=1,"sem cura","sem dano"),IF($NP15=1,"cura ","")&amp;$OO15&amp;"d8")))</f>
        <v/>
      </c>
      <c r="OW15" s="152">
        <f>IF($NP15=2,3*$OP15&amp;" de vida temp.",IF($NP15=3,"sem dano",IF($OP15=0,IF($NP15=1,"sem cura","sem dano"),IF($NP15=1,"cura ","")&amp;$OP15&amp;"d8")))</f>
        <v/>
      </c>
      <c r="OX15" s="152">
        <f>IF($NP15=2,3*$OQ15&amp;" de vida temp.",IF($NP15=3,"sem dano",IF($OQ15=0,IF($NP15=1,"sem cura","sem dano"),IF($NP15=1,"cura ","")&amp;$OQ15&amp;"d8")))</f>
        <v/>
      </c>
      <c r="OY15" s="152">
        <f>IF($NP15=2,3*$OR15&amp;" de vida temp.",IF($NP15=3,"sem dano",IF($OR15=0,IF($NP15=1,"sem cura","sem dano"),IF($NP15=1,"cura ","")&amp;$OR15&amp;"d8")))</f>
        <v/>
      </c>
      <c r="OZ15" s="152">
        <f>IF($NP15=2,3*$OS15&amp;" de vida temp.",IF($NP15=3,"sem dano",IF($OS15=0,IF($NP15=1,"sem cura","sem dano"),IF($NP15=1,"cura ","")&amp;$OS15&amp;"d8")))</f>
        <v/>
      </c>
      <c r="PA15" s="152">
        <f>IF($NP15=2,3*$OT15&amp;" de vida temp.",IF($NP15=3,"sem dano",IF($OT15=0,IF($NP15=1,"sem cura","sem dano"),IF($NP15=1,"cura ","")&amp;$OT15&amp;"d8")))</f>
        <v/>
      </c>
      <c r="PB15" s="152">
        <f>IF($NP15=2,3*$OU15&amp;" de vida temp.",IF($NP15=3,"sem dano",IF($OU15=0,IF($NP15=1,"sem cura","sem dano"),IF($NP15=1,"cura ","")&amp;$OU15&amp;"d8")))</f>
        <v/>
      </c>
      <c r="PC15" s="152">
        <f>IF($MN15=0,"",TEXTJOIN(" · ",TRUE,IF($MA15&gt;$MO15,"Este lugar abre no nível "&amp;$MA15,""),IF($MC15&gt;$MP15,"Classe "&amp;$MC15&amp;": o nível "&amp;$MO15&amp;" libera até a "&amp;$MP15,""),IF($NH15=1,"A Forma "&amp;$ME15&amp;" pede "&amp;INDEX($W$2:$W$11,$MT15)&amp;" aberta",""),IF(AND($MC15=0,$MT15&gt;0,IF($MT15=0,0,INDEX($AF$2:$AF$11,$MT15))=0),$ME15&amp;" não existe na Classe 0",""),IF($NI15=1,"Família Fechada: "&amp;$MH15,""),IF($NJ15=1,"Família Fechada: "&amp;$MI15,""),IF($NK15=1,"Família Fechada: "&amp;$MJ15,""),IF($NL15=1,"Família Fechada: "&amp;$MK15,""),IF(AND($MC15&gt;0,$OD15&gt;INDEX($O$2:$O$8,MAX(1,$MC15))),$OD15&amp;" Melhorias: a Classe "&amp;$MC15&amp;" aceita "&amp;INDEX($O$2:$O$8,MAX(1,$MC15)),""),IF(AND($MC15=0,$OD15&gt;1),"A básica aceita uma Melhoria",""),IF(AND($MC15=0,COUNTIF($MY15:$NB15,"&gt;1")&gt;0),"A básica só aceita Melhoria Leve",""),IF(AND($MC15&gt;0,$OE15&gt;2),$OE15&amp;" Restrições"&amp;IF($NO15=1,", contando a que a Forma "&amp;$ME15&amp;" já traz","")&amp;": o limite é 2",""),IF(AND($MC15=0,COUNTIF($ML15:$MM15,"?*")&gt;1),"A básica aceita uma Restrição Leve",""),IF(AND($MC15=0,COUNTIF($NR15:$NS15,2)&gt;0),"A básica só aceita Restrição Leve",""),IF(AND($MC15&gt;0,$OL15&lt;0),"Orçamento estourado: faltam "&amp;(-$OL15)&amp;IF($OL15&lt;-1," pontos"," ponto"),""),IF(IFERROR(VLOOKUP($ML15,$BB$2:$BF$24,4,FALSE),0)+IFERROR(VLOOKUP($MM15,$BB$2:$BF$24,4,FALSE),0)&gt;1,$NT15&amp;" e "&amp;$NU15&amp;" são as duas de frequência",""),IF(AND((COUNTIF($MH15:$MK15,"Rápido")+COUNTIF($NT15:$NU15,"Rápido"))&gt;0,(COUNTIF($MH15:$MK15,"Atrasar")+COUNTIF($NT15:$NU15,"Atrasar"))&gt;0),"Rápido não entra com Atrasar",""),IF(AND((COUNTIF($MH15:$MK15,"Reação")+COUNTIF($NT15:$NU15,"Reação"))&gt;0,(COUNTIF($MH15:$MK15,"Rápido")+COUNTIF($NT15:$NU15,"Rápido"))&gt;0),"Reação não entra com Rápido",""),IF(AND((COUNTIF($MH15:$MK15,"Reação")+COUNTIF($NT15:$NU15,"Reação"))&gt;0,(COUNTIF($MH15:$MK15,"Armado")+COUNTIF($NT15:$NU15,"Armado"))&gt;0),"Reação não entra com Armado",""),IF(AND((COUNTIF($MH15:$MK15,"Reação")+COUNTIF($NT15:$NU15,"Reação"))&gt;0,(COUNTIF($MH15:$MK15,"Atrasar")+COUNTIF($NT15:$NU15,"Atrasar"))&gt;0),"Reação não entra com Atrasar",""),IF(AND((COUNTIF($MH15:$MK15,"Reação")+COUNTIF($NT15:$NU15,"Reação"))&gt;0,(COUNTIF($MH15:$MK15,"Parado")+COUNTIF($NT15:$NU15,"Parado"))&gt;0),"Reação não entra com Parado",""),IF(AND((COUNTIF($MH15:$MK15,"Atrasar")+COUNTIF($NT15:$NU15,"Atrasar"))&gt;0,(COUNTIF($MH15:$MK15,"Parado")+COUNTIF($NT15:$NU15,"Parado"))&gt;0),"Atrasar não entra com Parado",""),IF(AND((COUNTIF($MH15:$MK15,"Armado")+COUNTIF($NT15:$NU15,"Armado"))&gt;0,(COUNTIF($MH15:$MK15,"Carregar")+COUNTIF($NT15:$NU15,"Carregar"))&gt;0),"Armado não entra com Carregar",""),IF(AND(COUNTIF($NT15:$NU15,"Corpo a Corpo")&gt;0,$NO15=0,OR($ME15="Cone",$ME15="Linha")),"Corpo a Corpo não entra em "&amp;$ME15,""),IF(AND(COUNTIF($NT15:$NU15,"Corpo a Corpo")&gt;0,$NO15=1),"A Forma "&amp;$ME15&amp;" já traz o Corpo a Corpo",""),IF(AND(COUNTIF($NT15:$NU15,"Tudo ou Nada")&gt;0,$NQ15=0),"Tudo ou Nada só entra em habilidade de Teste de Resistência",""),IF(AND(COUNTIF($MH15:$MK15,"Inescapável")&gt;0,OR($OD15&gt;1,$OE15&gt;0)),"Inescapável não aceita outra peça",""),IF(AND($MC15&gt;0,$OM15*IF(COUNTIF($MH15:$MK15,"Remate")&gt;0,1.25,1)+$ON15&gt;4*$MC15),($OM15*IF(COUNTIF($MH15:$MK15,"Remate")&gt;0,1.25,1)+$ON15)&amp;" dados somando repetições"&amp;IF(COUNTIF($MH15:$MK15,"Remate")&gt;0," e o Remate","")&amp;": o teto da Classe "&amp;$MC15&amp;" é "&amp;4*$MC15,"")))</f>
        <v/>
      </c>
      <c r="PD15" s="152">
        <f>IF($PC15="",0,(LEN($PC15)-LEN(SUBSTITUTE($PC15," · ","")))/3+1)</f>
        <v/>
      </c>
      <c r="PE15" s="152">
        <f>IF($MN15=0,"",TEXTJOIN(" · ",TRUE,IF($OG15&gt;2*$MC15,"A devolução parou no teto de "&amp;2*$MC15,""),IF($OJ15&gt;0,"Devolução perdida: "&amp;$OJ15&amp;IF($OJ15&gt;1," pontos"," ponto")&amp;" sem peça para pagar",""),IF(AND($NM15&gt;0,AND($MC15&gt;0,$NP15=0),$OM15=0),"Controle sem dano: uma rodada a mais e CD +2",""),IF(AND($NM15&gt;0,AND($MC15&gt;0,$NP15=0),$OM15&gt;0,$OM15&lt;=$MC15),"Controle com saldo até a Classe: uma rodada a mais",""),IF(AND($MC15&gt;0,$NN15&lt;&gt;""),"Efeito de "&amp;$NN15&amp;" pela Classe "&amp;MAX(1,$MC15-1),"")))</f>
        <v/>
      </c>
      <c r="PF15" s="152">
        <f>IF($PE15="",0,(LEN($PE15)-LEN(SUBSTITUTE($PE15," · ","")))/3+1)</f>
        <v/>
      </c>
      <c r="PG15" s="152">
        <f>IF($MN15=0,IF($OD15+COUNTIF($ML15:$MM15,"?*")&gt;0,"Dê um nome",""),IF($PD15&gt;0,"⚠ "&amp;$PD15&amp;IF($PD15&gt;1," erros"," erro"),IF($PF15&gt;0,"! "&amp;$PF15&amp;IF($PF15&gt;1," avisos"," aviso"),"Na regra")))</f>
        <v/>
      </c>
      <c r="PH15" s="152">
        <f>IF($MN15=0,"",IF($PD15+$PF15=0,"Dentro das regras que a ficha confere",$PC15&amp;IF(AND($PD15&gt;0,$PF15&gt;0)," · ","")&amp;$PE15))</f>
        <v/>
      </c>
      <c r="PI15" s="152">
        <f>IF($MA15&gt;$MO15,$MB15&amp;" · ABRE NO NÍVEL "&amp;$MA15,$MB15)</f>
        <v/>
      </c>
      <c r="PJ15" s="152">
        <f>IF($MN15=0,"",IF($MC15=0,"Sem PE",3*$MC15&amp;" PE"))</f>
        <v/>
      </c>
      <c r="PK15" s="152">
        <f>IF($MN15=0,"",IF($MC15=0,"A atuação básica dela",IF(COUNTIF($NT15:$NU15,"Atrasar")&gt;0,"Sua Ação Completa",IF(COUNTIF($MH15:$MK15,"Rápido")&gt;0,"Sua Bônus",IF(COUNTIF($MH15:$MK15,"Reação")&gt;0,"Sua Reação","Sua Padrão")))&amp;" + a básica dela"&amp;IF(COUNTIF($MH15:$MK15,"Reação")&gt;0," e a coletiva","")&amp;IF(COUNTIF($NT15:$NU15,"Carregar")&gt;0," · em dois turnos","")))</f>
        <v/>
      </c>
      <c r="PL15" s="152">
        <f>IF($MG15&lt;&gt;"",$MG15,IF($MT15=0,"",INDEX($AA$2:$AA$11,$MT15)))</f>
        <v/>
      </c>
      <c r="PM15" s="152">
        <f>IF(OR($MN15=0,$MT15=0),"",IF(COUNTIF($MH15:$MK15,"Inescapável")&gt;0,"Automático",IF($PL15="Ataque",IF($MR15="","Ataque","Ataque "&amp;IF(($MR15+2*IF(COUNTIF($MH15:$MK15,"Precisão")&gt;0,1,0))&gt;=0,"+","−")&amp;ABS(($MR15+2*IF(COUNTIF($MH15:$MK15,"Precisão")&gt;0,1,0)))),IF(LEFT($PL15,2)="TR",$PL15&amp;IF($MS15="",""," · CD "&amp;$MS15)&amp;IF(COUNTIF($MH15:$MK15,"Certeiro")&gt;0," · metade",""),"Sem rolagem"))))</f>
        <v/>
      </c>
      <c r="PN15" s="152">
        <f>IF(OR($MN15=0,$MT15=0),"",IF($MC15=0,IF(OR($NP15&gt;=1,$OM15=0),"Sem dano",$OM15&amp;"d6"&amp;IF($MF15="",""," "&amp;$MF15)),IF(OR($NP15&gt;=1,$OM15=0),UPPER(LEFT(INDEX($OV15:$PB15,1,MAX(1,$MC15)),1))&amp;MID(INDEX($OV15:$PB15,1,MAX(1,$MC15)),2,99),UPPER(LEFT(INDEX($OV15:$PB15,1,MAX(1,$MC15)),1))&amp;MID(INDEX($OV15:$PB15,1,MAX(1,$MC15)),2,99)&amp;IF($MF15="",""," "&amp;$MF15)&amp;IF($ON15&gt;0," · +"&amp;$ON15&amp;"d8",""))))</f>
        <v/>
      </c>
      <c r="PO15" s="152">
        <f>COUNTIF($MH15:$MK15,"Longe")+3*COUNTIF($MH15:$MK15,"Muito Longe")</f>
        <v/>
      </c>
      <c r="PP15" s="152">
        <f>COUNTIF($MH15:$MK15,"Maior")+3*COUNTIF($MH15:$MK15,"Muito Maior")</f>
        <v/>
      </c>
      <c r="PQ15" s="152">
        <f>IF($MT15=0,0,CHOOSE(1+INDEX($AC$2:$AC$11,$MT15),0,$PO15,$PP15,$PO15+$PP15))</f>
        <v/>
      </c>
      <c r="PR15" s="152">
        <f>IF($MT15=0,0,CHOOSE(1+INDEX($AD$2:$AD$11,$MT15),0,$PO15,$PP15,$PO15+$PP15))</f>
        <v/>
      </c>
      <c r="PS15" s="152">
        <f>IF(OR($MN15=0,$MT15=0),"",INDEX($AI$2:$AN$41,($MT15-1)*4+IF($MC15=0,1,IF($MC15&lt;=5,2,IF($MC15=6,3,4))),1+MIN(5,$PQ15))&amp;INDEX($AO$2:$AT$41,($MT15-1)*4+IF($MC15=0,1,IF($MC15&lt;=5,2,IF($MC15=6,3,4))),1+MIN(5,$PR15))&amp;IF(INDEX($AE$2:$AE$11,$MT15)=1,IF(COUNTIF($MH15:$MK15,"Mais Um")&gt;0," · +"&amp;COUNTIF($MH15:$MK15,"Mais Um")&amp;IF(COUNTIF($MH15:$MK15,"Mais Um")&gt;1," alvos"," alvo"),"")&amp;IF(COUNTIF($MH15:$MK15,"Rajada")&gt;0,IF($MC15=0," · 1 tiro"," · "&amp;(MAX(1,$MC15-1)+1)&amp;" tiros"),""),""))</f>
        <v/>
      </c>
      <c r="PT15" s="152">
        <f>IF($MN15=0,"",IF($MC15=0,$MQ15&amp;"d6"&amp;IF($OD15&gt;0," − 1 = "&amp;$OM15&amp;"d6"," da básica do nível "&amp;$MO15),$OK15&amp;" − "&amp;$OF15&amp;" + "&amp;$OI15&amp;" = "&amp;$OL15&amp;" · teto "&amp;4*$MC15&amp;"d8"&amp;IF($NO15=1," · a Forma devolve "&amp;$MC15,"")&amp;IF($OJ15&gt;0," · perde "&amp;$OJ15,"")))</f>
        <v/>
      </c>
      <c r="PU15" s="152">
        <f>IF($MN15=0,"",IF($MC15=0,"A básica não amplia: os dados dela sobem com o nível",IF($MC15&gt;=$MP15,"Já está na maior Classe que o nível liberou",TEXTJOIN(" · ",TRUE,IF(AND(2&gt;$MC15,2&lt;=$MP15),"2 → "&amp;$OW15&amp;", 6 PE",""),IF(AND(3&gt;$MC15,3&lt;=$MP15),"3 → "&amp;$OX15&amp;", 9 PE",""),IF(AND(4&gt;$MC15,4&lt;=$MP15),"4 → "&amp;$OY15&amp;", 12 PE",""),IF(AND(5&gt;$MC15,5&lt;=$MP15),"5 → "&amp;$OZ15&amp;", 15 PE",""),IF(AND(6&gt;$MC15,6&lt;=$MP15),"6 → "&amp;$PA15&amp;", 18 PE",""),IF(AND(7&gt;$MC15,7&lt;=$MP15),"7 → "&amp;$PB15&amp;", 21 PE","")))))</f>
        <v/>
      </c>
      <c r="PV15" s="152">
        <f>IF(OR($MN15=0,$MY15=0),"",IF($MC15=0,"−1 dado","−"&amp;INDEX($I$2:$N$8,MAX(1,$MC15),MAX(1,$ND15))&amp;" · "&amp;CHOOSE(MAX(1,$ND15),"Leve","Média","Pesada","Leve · Livre","Média · Livre","Pesada · Livre")))</f>
        <v/>
      </c>
      <c r="PW15" s="152">
        <f>IF(OR($MN15=0,$MZ15=0),"",IF($MC15=0,"−1 dado","−"&amp;INDEX($I$2:$N$8,MAX(1,$MC15),MAX(1,$NE15))&amp;" · "&amp;CHOOSE(MAX(1,$NE15),"Leve","Média","Pesada","Leve · Livre","Média · Livre","Pesada · Livre")))</f>
        <v/>
      </c>
      <c r="PX15" s="152">
        <f>IF(OR($MN15=0,$NA15=0),"",IF($MC15=0,"−1 dado","−"&amp;INDEX($I$2:$N$8,MAX(1,$MC15),MAX(1,$NF15))&amp;" · "&amp;CHOOSE(MAX(1,$NF15),"Leve","Média","Pesada","Leve · Livre","Média · Livre","Pesada · Livre")))</f>
        <v/>
      </c>
      <c r="PY15" s="152">
        <f>IF(OR($MN15=0,$NB15=0),"",IF($MC15=0,"−1 dado","−"&amp;INDEX($I$2:$N$8,MAX(1,$MC15),MAX(1,$NG15))&amp;" · "&amp;CHOOSE(MAX(1,$NG15),"Leve","Média","Pesada","Leve · Livre","Média · Livre","Pesada · Livre")))</f>
        <v/>
      </c>
      <c r="PZ15" s="152">
        <f>IF(OR($MN15=0,$ML15=""),"",IF($MC15=0,"não devolve","+"&amp;IF($NR15=1,CEILING($MC15/2,1),$MC15)))</f>
        <v/>
      </c>
      <c r="QA15" s="152">
        <f>IF(OR($MN15=0,$MM15=""),"",IF($MC15=0,"não devolve","+"&amp;IF($NS15=1,CEILING($MC15/2,1),$MC15)))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B16" s="150" t="inlineStr">
        <is>
          <t>Condicional (Leve)</t>
        </is>
      </c>
      <c r="BC16" s="150" t="inlineStr">
        <is>
          <t>Condicional</t>
        </is>
      </c>
      <c r="BD16" s="152" t="n">
        <v>1</v>
      </c>
      <c r="BE16" s="152" t="n">
        <v>1</v>
      </c>
      <c r="BF16" s="150" t="inlineStr">
        <is>
          <t>Condicional (Leve)</t>
        </is>
      </c>
      <c r="BZ16" s="150" t="inlineStr">
        <is>
          <t>Lidar com Animais</t>
        </is>
      </c>
      <c r="CA16" s="150" t="inlineStr">
        <is>
          <t>Inteligência</t>
        </is>
      </c>
      <c r="CE16" s="150" t="inlineStr">
        <is>
          <t>Alma</t>
        </is>
      </c>
      <c r="JD16" s="152">
        <f>IF(OR($AW16="",COUNTIF($ED$2:$EH$2,$AW16)&gt;0),$AV16,"")</f>
        <v/>
      </c>
      <c r="JE16" s="152">
        <f>IF(AND($AX16=1,OR($AW16="",COUNTIF($ED$2:$EH$2,$AW16)&gt;0)),$AV16,"")</f>
        <v/>
      </c>
      <c r="JJ16" s="152">
        <f>IF(OR($AW16="",COUNTIF($ED$3:$EH$3,$AW16)&gt;0),$AV16,"")</f>
        <v/>
      </c>
      <c r="JK16" s="152">
        <f>IF(AND($AX16=1,OR($AW16="",COUNTIF($ED$3:$EH$3,$AW16)&gt;0)),$AV16,"")</f>
        <v/>
      </c>
      <c r="JP16" s="152">
        <f>IF(OR($AW16="",COUNTIF($ED$4:$EH$4,$AW16)&gt;0),$AV16,"")</f>
        <v/>
      </c>
      <c r="JQ16" s="152">
        <f>IF(AND($AX16=1,OR($AW16="",COUNTIF($ED$4:$EH$4,$AW16)&gt;0)),$AV16,"")</f>
        <v/>
      </c>
      <c r="JV16" s="152">
        <f>IF(OR($AW16="",COUNTIF($ED$5:$EH$5,$AW16)&gt;0),$AV16,"")</f>
        <v/>
      </c>
      <c r="JW16" s="152">
        <f>IF(AND($AX16=1,OR($AW16="",COUNTIF($ED$5:$EH$5,$AW16)&gt;0)),$AV16,"")</f>
        <v/>
      </c>
      <c r="KB16" s="152">
        <f>IF(OR($AW16="",COUNTIF($ED$6:$EH$6,$AW16)&gt;0),$AV16,"")</f>
        <v/>
      </c>
      <c r="KC16" s="152">
        <f>IF(AND($AX16=1,OR($AW16="",COUNTIF($ED$6:$EH$6,$AW16)&gt;0)),$AV16,"")</f>
        <v/>
      </c>
      <c r="KH16" s="152">
        <f>IF(OR($AW16="",COUNTIF($ED$7:$EH$7,$AW16)&gt;0),$AV16,"")</f>
        <v/>
      </c>
      <c r="KI16" s="152">
        <f>IF(AND($AX16=1,OR($AW16="",COUNTIF($ED$7:$EH$7,$AW16)&gt;0)),$AV16,"")</f>
        <v/>
      </c>
      <c r="KN16" s="152">
        <f>IF(OR($AW16="",COUNTIF($ED$8:$EH$8,$AW16)&gt;0),$AV16,"")</f>
        <v/>
      </c>
      <c r="KO16" s="152">
        <f>IF(AND($AX16=1,OR($AW16="",COUNTIF($ED$8:$EH$8,$AW16)&gt;0)),$AV16,"")</f>
        <v/>
      </c>
      <c r="KT16" s="152">
        <f>IF(OR($AW16="",COUNTIF($ED$9:$EH$9,$AW16)&gt;0),$AV16,"")</f>
        <v/>
      </c>
      <c r="KU16" s="152">
        <f>IF(AND($AX16=1,OR($AW16="",COUNTIF($ED$9:$EH$9,$AW16)&gt;0)),$AV16,"")</f>
        <v/>
      </c>
      <c r="KZ16" s="152">
        <f>IF(OR($AW16="",COUNTIF($ED$10:$EH$10,$AW16)&gt;0),$AV16,"")</f>
        <v/>
      </c>
      <c r="LA16" s="152">
        <f>IF(AND($AX16=1,OR($AW16="",COUNTIF($ED$10:$EH$10,$AW16)&gt;0)),$AV16,"")</f>
        <v/>
      </c>
      <c r="LF16" s="152">
        <f>IF(OR($AW16="",COUNTIF($ED$11:$EH$11,$AW16)&gt;0),$AV16,"")</f>
        <v/>
      </c>
      <c r="LG16" s="152">
        <f>IF(AND($AX16=1,OR($AW16="",COUNTIF($ED$11:$EH$11,$AW16)&gt;0)),$AV16,"")</f>
        <v/>
      </c>
      <c r="LL16" s="152">
        <f>IF(OR($AW16="",COUNTIF($ED$12:$EH$12,$AW16)&gt;0),$AV16,"")</f>
        <v/>
      </c>
      <c r="LM16" s="152">
        <f>IF(AND($AX16=1,OR($AW16="",COUNTIF($ED$12:$EH$12,$AW16)&gt;0)),$AV16,"")</f>
        <v/>
      </c>
      <c r="LR16" s="152">
        <f>IF(OR($AW16="",COUNTIF($ED$13:$EH$13,$AW16)&gt;0),$AV16,"")</f>
        <v/>
      </c>
      <c r="LS16" s="152">
        <f>IF(AND($AX16=1,OR($AW16="",COUNTIF($ED$13:$EH$13,$AW16)&gt;0)),$AV16,"")</f>
        <v/>
      </c>
      <c r="LX16" s="150" t="inlineStr">
        <is>
          <t>Ficha 2 · Especial 1</t>
        </is>
      </c>
      <c r="LY16" s="152" t="n">
        <v>2</v>
      </c>
      <c r="LZ16" s="152" t="n">
        <v>1</v>
      </c>
      <c r="MA16" s="152" t="n">
        <v>1</v>
      </c>
      <c r="MB16" s="150" t="inlineStr">
        <is>
          <t>ESPECIAL 1</t>
        </is>
      </c>
      <c r="MC16" s="152">
        <f>MAX(1,MIN(7,N('INVOCAÇÕES'!$O$256)))</f>
        <v/>
      </c>
      <c r="MD16" s="152">
        <f>'INVOCAÇÕES'!$P$256&amp;""</f>
        <v/>
      </c>
      <c r="ME16" s="152">
        <f>'INVOCAÇÕES'!$O$261&amp;""</f>
        <v/>
      </c>
      <c r="MF16" s="152">
        <f>'INVOCAÇÕES'!$O$262&amp;""</f>
        <v/>
      </c>
      <c r="MG16" s="152">
        <f>'INVOCAÇÕES'!$Q$262&amp;""</f>
        <v/>
      </c>
      <c r="MH16" s="152">
        <f>'INVOCAÇÕES'!$P$265&amp;""</f>
        <v/>
      </c>
      <c r="MI16" s="152">
        <f>'INVOCAÇÕES'!$P$266&amp;""</f>
        <v/>
      </c>
      <c r="MJ16" s="152">
        <f>'INVOCAÇÕES'!$P$267&amp;""</f>
        <v/>
      </c>
      <c r="MK16" s="152">
        <f>'INVOCAÇÕES'!$P$268&amp;""</f>
        <v/>
      </c>
      <c r="ML16" s="152">
        <f>'INVOCAÇÕES'!$P$269&amp;""</f>
        <v/>
      </c>
      <c r="MM16" s="152">
        <f>'INVOCAÇÕES'!$P$270&amp;""</f>
        <v/>
      </c>
      <c r="MN16" s="152">
        <f>IF($MD16&lt;&gt;"",1,0)</f>
        <v/>
      </c>
      <c r="MO16" s="152">
        <f>INDEX($FG$2:$FG$13,$LY16)</f>
        <v/>
      </c>
      <c r="MP16" s="152">
        <f>INDEX($FH$2:$FH$13,$LY16)</f>
        <v/>
      </c>
      <c r="MQ16" s="152">
        <f>INDEX($FI$2:$FI$13,$LY16)</f>
        <v/>
      </c>
      <c r="MR16" s="152">
        <f>INDEX($FT$2:$FT$13,$LY16)</f>
        <v/>
      </c>
      <c r="MS16" s="152">
        <f>INDEX($FU$2:$FU$13,$LY16)</f>
        <v/>
      </c>
      <c r="MT16" s="152">
        <f>IFERROR(MATCH($ME16,$V$2:$V$11,0),0)</f>
        <v/>
      </c>
      <c r="MU16" s="152">
        <f>IFERROR(VLOOKUP($MH16,$AV$2:$AZ$84,2,FALSE),"")</f>
        <v/>
      </c>
      <c r="MV16" s="152">
        <f>IFERROR(VLOOKUP($MI16,$AV$2:$AZ$84,2,FALSE),"")</f>
        <v/>
      </c>
      <c r="MW16" s="152">
        <f>IFERROR(VLOOKUP($MJ16,$AV$2:$AZ$84,2,FALSE),"")</f>
        <v/>
      </c>
      <c r="MX16" s="152">
        <f>IFERROR(VLOOKUP($MK16,$AV$2:$AZ$84,2,FALSE),"")</f>
        <v/>
      </c>
      <c r="MY16" s="152">
        <f>IFERROR(VLOOKUP($MH16,$AV$2:$AZ$84,3,FALSE),0)</f>
        <v/>
      </c>
      <c r="MZ16" s="152">
        <f>IFERROR(VLOOKUP($MI16,$AV$2:$AZ$84,3,FALSE),0)</f>
        <v/>
      </c>
      <c r="NA16" s="152">
        <f>IFERROR(VLOOKUP($MJ16,$AV$2:$AZ$84,3,FALSE),0)</f>
        <v/>
      </c>
      <c r="NB16" s="152">
        <f>IFERROR(VLOOKUP($MK16,$AV$2:$AZ$84,3,FALSE),0)</f>
        <v/>
      </c>
      <c r="NC16" s="152">
        <f>IF($MC16=0,0,IF($MT16=0,0,INDEX($X$2:$X$11,$MT16)))</f>
        <v/>
      </c>
      <c r="ND16" s="152">
        <f>IF(OR($MY16=0,$MC16=0),0,$MY16+3*IF(AND($MU16&lt;&gt;"",OR($MU16=INDEX($ED$2:$ED$13,$LY16),$MU16=INDEX($EE$2:$EE$13,$LY16))),1,0))</f>
        <v/>
      </c>
      <c r="NE16" s="152">
        <f>IF(OR($MZ16=0,$MC16=0),0,$MZ16+3*IF(AND($MV16&lt;&gt;"",OR($MV16=INDEX($ED$2:$ED$13,$LY16),$MV16=INDEX($EE$2:$EE$13,$LY16))),1,0))</f>
        <v/>
      </c>
      <c r="NF16" s="152">
        <f>IF(OR($NA16=0,$MC16=0),0,$NA16+3*IF(AND($MW16&lt;&gt;"",OR($MW16=INDEX($ED$2:$ED$13,$LY16),$MW16=INDEX($EE$2:$EE$13,$LY16))),1,0))</f>
        <v/>
      </c>
      <c r="NG16" s="152">
        <f>IF(OR($NB16=0,$MC16=0),0,$NB16+3*IF(AND($MX16&lt;&gt;"",OR($MX16=INDEX($ED$2:$ED$13,$LY16),$MX16=INDEX($EE$2:$EE$13,$LY16))),1,0))</f>
        <v/>
      </c>
      <c r="NH16" s="152">
        <f>IF($MT16=0,0,IF(INDEX($W$2:$W$11,$MT16)="",0,IF(COUNTIF(INDEX($ED$2:$EH$13,$LY16,0),INDEX($W$2:$W$11,$MT16))=0,1,0)))</f>
        <v/>
      </c>
      <c r="NI16" s="152">
        <f>IF(OR($MY16=0,$MU16=""),0,IF(COUNTIF(INDEX($ED$2:$EH$13,$LY16,0),$MU16)=0,1,0))</f>
        <v/>
      </c>
      <c r="NJ16" s="152">
        <f>IF(OR($MZ16=0,$MV16=""),0,IF(COUNTIF(INDEX($ED$2:$EH$13,$LY16,0),$MV16)=0,1,0))</f>
        <v/>
      </c>
      <c r="NK16" s="152">
        <f>IF(OR($NA16=0,$MW16=""),0,IF(COUNTIF(INDEX($ED$2:$EH$13,$LY16,0),$MW16)=0,1,0))</f>
        <v/>
      </c>
      <c r="NL16" s="152">
        <f>IF(OR($NB16=0,$MX16=""),0,IF(COUNTIF(INDEX($ED$2:$EH$13,$LY16,0),$MX16)=0,1,0))</f>
        <v/>
      </c>
      <c r="NM16" s="152">
        <f>IFERROR(VLOOKUP($MH16,$AV$2:$AZ$84,4,FALSE),0)+IFERROR(VLOOKUP($MI16,$AV$2:$AZ$84,4,FALSE),0)+IFERROR(VLOOKUP($MJ16,$AV$2:$AZ$84,4,FALSE),0)+IFERROR(VLOOKUP($MK16,$AV$2:$AZ$84,4,FALSE),0)</f>
        <v/>
      </c>
      <c r="NN16" s="152">
        <f>TEXTJOIN(", ",TRUE,IF(IFERROR(VLOOKUP($MH16,$AV$2:$AZ$84,5,FALSE),0)=1,$MH16,""),IF(IFERROR(VLOOKUP($MI16,$AV$2:$AZ$84,5,FALSE),0)=1,$MI16,""),IF(IFERROR(VLOOKUP($MJ16,$AV$2:$AZ$84,5,FALSE),0)=1,$MJ16,""),IF(IFERROR(VLOOKUP($MK16,$AV$2:$AZ$84,5,FALSE),0)=1,$MK16,""))</f>
        <v/>
      </c>
      <c r="NO16" s="152">
        <f>IF($MT16=0,0,INDEX($Y$2:$Y$11,$MT16))</f>
        <v/>
      </c>
      <c r="NP16" s="152">
        <f>IF($MT16=0,0,INDEX($Z$2:$Z$11,$MT16))</f>
        <v/>
      </c>
      <c r="NQ16" s="152">
        <f>IF($MT16=0,0,INDEX($AB$2:$AB$11,$MT16))</f>
        <v/>
      </c>
      <c r="NR16" s="152">
        <f>IFERROR(VLOOKUP($ML16,$BB$2:$BF$24,3,FALSE),0)</f>
        <v/>
      </c>
      <c r="NS16" s="152">
        <f>IFERROR(VLOOKUP($MM16,$BB$2:$BF$24,3,FALSE),0)</f>
        <v/>
      </c>
      <c r="NT16" s="152">
        <f>IFERROR(VLOOKUP($ML16,$BB$2:$BF$24,2,FALSE),"")</f>
        <v/>
      </c>
      <c r="NU16" s="152">
        <f>IFERROR(VLOOKUP($MM16,$BB$2:$BF$24,2,FALSE),"")</f>
        <v/>
      </c>
      <c r="NV16" s="152">
        <f>COUNTIF($NC16:$NG16,1)</f>
        <v/>
      </c>
      <c r="NW16" s="152">
        <f>COUNTIF($NC16:$NG16,2)</f>
        <v/>
      </c>
      <c r="NX16" s="152">
        <f>COUNTIF($NC16:$NG16,3)</f>
        <v/>
      </c>
      <c r="NY16" s="152">
        <f>COUNTIF($NC16:$NG16,4)</f>
        <v/>
      </c>
      <c r="NZ16" s="152">
        <f>COUNTIF($NC16:$NG16,5)</f>
        <v/>
      </c>
      <c r="OA16" s="152">
        <f>COUNTIF($NC16:$NG16,6)</f>
        <v/>
      </c>
      <c r="OB16" s="152">
        <f>COUNTIF($NR16:$NS16,1)</f>
        <v/>
      </c>
      <c r="OC16" s="152">
        <f>COUNTIF($NR16:$NS16,2)+$NO16</f>
        <v/>
      </c>
      <c r="OD16" s="152">
        <f>COUNTIF($MH16:$MK16,"?*")</f>
        <v/>
      </c>
      <c r="OE16" s="152">
        <f>COUNTIF($ML16:$MM16,"?*")+$NO16</f>
        <v/>
      </c>
      <c r="OF16" s="152">
        <f>IF($MC16=0,0,SUMPRODUCT($NV16:$OA16,INDEX($I$2:$N$8,MAX(1,$MC16),0)))</f>
        <v/>
      </c>
      <c r="OG16" s="152">
        <f>IF($MC16=0,0,$OB16*CEILING($MC16/2,1)+$OC16*$MC16)</f>
        <v/>
      </c>
      <c r="OH16" s="152">
        <f>MIN(2*$MC16,$OG16)</f>
        <v/>
      </c>
      <c r="OI16" s="152">
        <f>MIN($OH16,$OF16)</f>
        <v/>
      </c>
      <c r="OJ16" s="152">
        <f>$OH16-$OI16</f>
        <v/>
      </c>
      <c r="OK16" s="152">
        <f>IF($MC16=0,0,INDEX($P$2:$P$8,MAX(1,$MC16)))</f>
        <v/>
      </c>
      <c r="OL16" s="152">
        <f>$OK16-$OF16+$OI16</f>
        <v/>
      </c>
      <c r="OM16" s="152">
        <f>IF($MC16=0,MAX(0,$MQ16-IF($OD16&gt;0,1,0)),MAX(0,$OL16))</f>
        <v/>
      </c>
      <c r="ON16" s="152">
        <f>IF($MC16=0,0,(IF(COUNTIF($MH16:$MK16,"Salto")&gt;0,1,0)+IF(COUNTIF($MH16:$MK16,"Queima")&gt;0,1,0)+IF(COUNTIF($MH16:$MK16,"Estilhaço")&gt;0,1,0))*FLOOR($OM16/2,1))</f>
        <v/>
      </c>
      <c r="OO16" s="152">
        <f>MAX(0,2-SUMPRODUCT($NV16:$OA16,$I$2:$N$2)+MIN(2,$OB16*1+$OC16*1,SUMPRODUCT($NV16:$OA16,$I$2:$N$2)))</f>
        <v/>
      </c>
      <c r="OP16" s="152">
        <f>MAX(0,4-SUMPRODUCT($NV16:$OA16,$I$3:$N$3)+MIN(4,$OB16*1+$OC16*2,SUMPRODUCT($NV16:$OA16,$I$3:$N$3)))</f>
        <v/>
      </c>
      <c r="OQ16" s="152">
        <f>MAX(0,6-SUMPRODUCT($NV16:$OA16,$I$4:$N$4)+MIN(6,$OB16*2+$OC16*3,SUMPRODUCT($NV16:$OA16,$I$4:$N$4)))</f>
        <v/>
      </c>
      <c r="OR16" s="152">
        <f>MAX(0,9-SUMPRODUCT($NV16:$OA16,$I$5:$N$5)+MIN(8,$OB16*2+$OC16*4,SUMPRODUCT($NV16:$OA16,$I$5:$N$5)))</f>
        <v/>
      </c>
      <c r="OS16" s="152">
        <f>MAX(0,11-SUMPRODUCT($NV16:$OA16,$I$6:$N$6)+MIN(10,$OB16*3+$OC16*5,SUMPRODUCT($NV16:$OA16,$I$6:$N$6)))</f>
        <v/>
      </c>
      <c r="OT16" s="152">
        <f>MAX(0,13-SUMPRODUCT($NV16:$OA16,$I$7:$N$7)+MIN(12,$OB16*3+$OC16*6,SUMPRODUCT($NV16:$OA16,$I$7:$N$7)))</f>
        <v/>
      </c>
      <c r="OU16" s="152">
        <f>MAX(0,16-SUMPRODUCT($NV16:$OA16,$I$8:$N$8)+MIN(14,$OB16*4+$OC16*7,SUMPRODUCT($NV16:$OA16,$I$8:$N$8)))</f>
        <v/>
      </c>
      <c r="OV16" s="152">
        <f>IF($NP16=2,3*$OO16&amp;" de vida temp.",IF($NP16=3,"sem dano",IF($OO16=0,IF($NP16=1,"sem cura","sem dano"),IF($NP16=1,"cura ","")&amp;$OO16&amp;"d8")))</f>
        <v/>
      </c>
      <c r="OW16" s="152">
        <f>IF($NP16=2,3*$OP16&amp;" de vida temp.",IF($NP16=3,"sem dano",IF($OP16=0,IF($NP16=1,"sem cura","sem dano"),IF($NP16=1,"cura ","")&amp;$OP16&amp;"d8")))</f>
        <v/>
      </c>
      <c r="OX16" s="152">
        <f>IF($NP16=2,3*$OQ16&amp;" de vida temp.",IF($NP16=3,"sem dano",IF($OQ16=0,IF($NP16=1,"sem cura","sem dano"),IF($NP16=1,"cura ","")&amp;$OQ16&amp;"d8")))</f>
        <v/>
      </c>
      <c r="OY16" s="152">
        <f>IF($NP16=2,3*$OR16&amp;" de vida temp.",IF($NP16=3,"sem dano",IF($OR16=0,IF($NP16=1,"sem cura","sem dano"),IF($NP16=1,"cura ","")&amp;$OR16&amp;"d8")))</f>
        <v/>
      </c>
      <c r="OZ16" s="152">
        <f>IF($NP16=2,3*$OS16&amp;" de vida temp.",IF($NP16=3,"sem dano",IF($OS16=0,IF($NP16=1,"sem cura","sem dano"),IF($NP16=1,"cura ","")&amp;$OS16&amp;"d8")))</f>
        <v/>
      </c>
      <c r="PA16" s="152">
        <f>IF($NP16=2,3*$OT16&amp;" de vida temp.",IF($NP16=3,"sem dano",IF($OT16=0,IF($NP16=1,"sem cura","sem dano"),IF($NP16=1,"cura ","")&amp;$OT16&amp;"d8")))</f>
        <v/>
      </c>
      <c r="PB16" s="152">
        <f>IF($NP16=2,3*$OU16&amp;" de vida temp.",IF($NP16=3,"sem dano",IF($OU16=0,IF($NP16=1,"sem cura","sem dano"),IF($NP16=1,"cura ","")&amp;$OU16&amp;"d8")))</f>
        <v/>
      </c>
      <c r="PC16" s="152">
        <f>IF($MN16=0,"",TEXTJOIN(" · ",TRUE,IF($MA16&gt;$MO16,"Este lugar abre no nível "&amp;$MA16,""),IF($MC16&gt;$MP16,"Classe "&amp;$MC16&amp;": o nível "&amp;$MO16&amp;" libera até a "&amp;$MP16,""),IF($NH16=1,"A Forma "&amp;$ME16&amp;" pede "&amp;INDEX($W$2:$W$11,$MT16)&amp;" aberta",""),IF(AND($MC16=0,$MT16&gt;0,IF($MT16=0,0,INDEX($AF$2:$AF$11,$MT16))=0),$ME16&amp;" não existe na Classe 0",""),IF($NI16=1,"Família Fechada: "&amp;$MH16,""),IF($NJ16=1,"Família Fechada: "&amp;$MI16,""),IF($NK16=1,"Família Fechada: "&amp;$MJ16,""),IF($NL16=1,"Família Fechada: "&amp;$MK16,""),IF(AND($MC16&gt;0,$OD16&gt;INDEX($O$2:$O$8,MAX(1,$MC16))),$OD16&amp;" Melhorias: a Classe "&amp;$MC16&amp;" aceita "&amp;INDEX($O$2:$O$8,MAX(1,$MC16)),""),IF(AND($MC16=0,$OD16&gt;1),"A básica aceita uma Melhoria",""),IF(AND($MC16=0,COUNTIF($MY16:$NB16,"&gt;1")&gt;0),"A básica só aceita Melhoria Leve",""),IF(AND($MC16&gt;0,$OE16&gt;2),$OE16&amp;" Restrições"&amp;IF($NO16=1,", contando a que a Forma "&amp;$ME16&amp;" já traz","")&amp;": o limite é 2",""),IF(AND($MC16=0,COUNTIF($ML16:$MM16,"?*")&gt;1),"A básica aceita uma Restrição Leve",""),IF(AND($MC16=0,COUNTIF($NR16:$NS16,2)&gt;0),"A básica só aceita Restrição Leve",""),IF(AND($MC16&gt;0,$OL16&lt;0),"Orçamento estourado: faltam "&amp;(-$OL16)&amp;IF($OL16&lt;-1," pontos"," ponto"),""),IF(IFERROR(VLOOKUP($ML16,$BB$2:$BF$24,4,FALSE),0)+IFERROR(VLOOKUP($MM16,$BB$2:$BF$24,4,FALSE),0)&gt;1,$NT16&amp;" e "&amp;$NU16&amp;" são as duas de frequência",""),IF(AND((COUNTIF($MH16:$MK16,"Rápido")+COUNTIF($NT16:$NU16,"Rápido"))&gt;0,(COUNTIF($MH16:$MK16,"Atrasar")+COUNTIF($NT16:$NU16,"Atrasar"))&gt;0),"Rápido não entra com Atrasar",""),IF(AND((COUNTIF($MH16:$MK16,"Reação")+COUNTIF($NT16:$NU16,"Reação"))&gt;0,(COUNTIF($MH16:$MK16,"Rápido")+COUNTIF($NT16:$NU16,"Rápido"))&gt;0),"Reação não entra com Rápido",""),IF(AND((COUNTIF($MH16:$MK16,"Reação")+COUNTIF($NT16:$NU16,"Reação"))&gt;0,(COUNTIF($MH16:$MK16,"Armado")+COUNTIF($NT16:$NU16,"Armado"))&gt;0),"Reação não entra com Armado",""),IF(AND((COUNTIF($MH16:$MK16,"Reação")+COUNTIF($NT16:$NU16,"Reação"))&gt;0,(COUNTIF($MH16:$MK16,"Atrasar")+COUNTIF($NT16:$NU16,"Atrasar"))&gt;0),"Reação não entra com Atrasar",""),IF(AND((COUNTIF($MH16:$MK16,"Reação")+COUNTIF($NT16:$NU16,"Reação"))&gt;0,(COUNTIF($MH16:$MK16,"Parado")+COUNTIF($NT16:$NU16,"Parado"))&gt;0),"Reação não entra com Parado",""),IF(AND((COUNTIF($MH16:$MK16,"Atrasar")+COUNTIF($NT16:$NU16,"Atrasar"))&gt;0,(COUNTIF($MH16:$MK16,"Parado")+COUNTIF($NT16:$NU16,"Parado"))&gt;0),"Atrasar não entra com Parado",""),IF(AND((COUNTIF($MH16:$MK16,"Armado")+COUNTIF($NT16:$NU16,"Armado"))&gt;0,(COUNTIF($MH16:$MK16,"Carregar")+COUNTIF($NT16:$NU16,"Carregar"))&gt;0),"Armado não entra com Carregar",""),IF(AND(COUNTIF($NT16:$NU16,"Corpo a Corpo")&gt;0,$NO16=0,OR($ME16="Cone",$ME16="Linha")),"Corpo a Corpo não entra em "&amp;$ME16,""),IF(AND(COUNTIF($NT16:$NU16,"Corpo a Corpo")&gt;0,$NO16=1),"A Forma "&amp;$ME16&amp;" já traz o Corpo a Corpo",""),IF(AND(COUNTIF($NT16:$NU16,"Tudo ou Nada")&gt;0,$NQ16=0),"Tudo ou Nada só entra em habilidade de Teste de Resistência",""),IF(AND(COUNTIF($MH16:$MK16,"Inescapável")&gt;0,OR($OD16&gt;1,$OE16&gt;0)),"Inescapável não aceita outra peça",""),IF(AND($MC16&gt;0,$OM16*IF(COUNTIF($MH16:$MK16,"Remate")&gt;0,1.25,1)+$ON16&gt;4*$MC16),($OM16*IF(COUNTIF($MH16:$MK16,"Remate")&gt;0,1.25,1)+$ON16)&amp;" dados somando repetições"&amp;IF(COUNTIF($MH16:$MK16,"Remate")&gt;0," e o Remate","")&amp;": o teto da Classe "&amp;$MC16&amp;" é "&amp;4*$MC16,"")))</f>
        <v/>
      </c>
      <c r="PD16" s="152">
        <f>IF($PC16="",0,(LEN($PC16)-LEN(SUBSTITUTE($PC16," · ","")))/3+1)</f>
        <v/>
      </c>
      <c r="PE16" s="152">
        <f>IF($MN16=0,"",TEXTJOIN(" · ",TRUE,IF($OG16&gt;2*$MC16,"A devolução parou no teto de "&amp;2*$MC16,""),IF($OJ16&gt;0,"Devolução perdida: "&amp;$OJ16&amp;IF($OJ16&gt;1," pontos"," ponto")&amp;" sem peça para pagar",""),IF(AND($NM16&gt;0,AND($MC16&gt;0,$NP16=0),$OM16=0),"Controle sem dano: uma rodada a mais e CD +2",""),IF(AND($NM16&gt;0,AND($MC16&gt;0,$NP16=0),$OM16&gt;0,$OM16&lt;=$MC16),"Controle com saldo até a Classe: uma rodada a mais",""),IF(AND($MC16&gt;0,$NN16&lt;&gt;""),"Efeito de "&amp;$NN16&amp;" pela Classe "&amp;MAX(1,$MC16-1),"")))</f>
        <v/>
      </c>
      <c r="PF16" s="152">
        <f>IF($PE16="",0,(LEN($PE16)-LEN(SUBSTITUTE($PE16," · ","")))/3+1)</f>
        <v/>
      </c>
      <c r="PG16" s="152">
        <f>IF($MN16=0,IF($OD16+COUNTIF($ML16:$MM16,"?*")&gt;0,"Dê um nome",""),IF($PD16&gt;0,"⚠ "&amp;$PD16&amp;IF($PD16&gt;1," erros"," erro"),IF($PF16&gt;0,"! "&amp;$PF16&amp;IF($PF16&gt;1," avisos"," aviso"),"Na regra")))</f>
        <v/>
      </c>
      <c r="PH16" s="152">
        <f>IF($MN16=0,"",IF($PD16+$PF16=0,"Dentro das regras que a ficha confere",$PC16&amp;IF(AND($PD16&gt;0,$PF16&gt;0)," · ","")&amp;$PE16))</f>
        <v/>
      </c>
      <c r="PI16" s="152">
        <f>IF($MA16&gt;$MO16,$MB16&amp;" · ABRE NO NÍVEL "&amp;$MA16,$MB16)</f>
        <v/>
      </c>
      <c r="PJ16" s="152">
        <f>IF($MN16=0,"",IF($MC16=0,"Sem PE",3*$MC16&amp;" PE"))</f>
        <v/>
      </c>
      <c r="PK16" s="152">
        <f>IF($MN16=0,"",IF($MC16=0,"A atuação básica dela",IF(COUNTIF($NT16:$NU16,"Atrasar")&gt;0,"Sua Ação Completa",IF(COUNTIF($MH16:$MK16,"Rápido")&gt;0,"Sua Bônus",IF(COUNTIF($MH16:$MK16,"Reação")&gt;0,"Sua Reação","Sua Padrão")))&amp;" + a básica dela"&amp;IF(COUNTIF($MH16:$MK16,"Reação")&gt;0," e a coletiva","")&amp;IF(COUNTIF($NT16:$NU16,"Carregar")&gt;0," · em dois turnos","")))</f>
        <v/>
      </c>
      <c r="PL16" s="152">
        <f>IF($MG16&lt;&gt;"",$MG16,IF($MT16=0,"",INDEX($AA$2:$AA$11,$MT16)))</f>
        <v/>
      </c>
      <c r="PM16" s="152">
        <f>IF(OR($MN16=0,$MT16=0),"",IF(COUNTIF($MH16:$MK16,"Inescapável")&gt;0,"Automático",IF($PL16="Ataque",IF($MR16="","Ataque","Ataque "&amp;IF(($MR16+2*IF(COUNTIF($MH16:$MK16,"Precisão")&gt;0,1,0))&gt;=0,"+","−")&amp;ABS(($MR16+2*IF(COUNTIF($MH16:$MK16,"Precisão")&gt;0,1,0)))),IF(LEFT($PL16,2)="TR",$PL16&amp;IF($MS16="",""," · CD "&amp;$MS16)&amp;IF(COUNTIF($MH16:$MK16,"Certeiro")&gt;0," · metade",""),"Sem rolagem"))))</f>
        <v/>
      </c>
      <c r="PN16" s="152">
        <f>IF(OR($MN16=0,$MT16=0),"",IF($MC16=0,IF(OR($NP16&gt;=1,$OM16=0),"Sem dano",$OM16&amp;"d6"&amp;IF($MF16="",""," "&amp;$MF16)),IF(OR($NP16&gt;=1,$OM16=0),UPPER(LEFT(INDEX($OV16:$PB16,1,MAX(1,$MC16)),1))&amp;MID(INDEX($OV16:$PB16,1,MAX(1,$MC16)),2,99),UPPER(LEFT(INDEX($OV16:$PB16,1,MAX(1,$MC16)),1))&amp;MID(INDEX($OV16:$PB16,1,MAX(1,$MC16)),2,99)&amp;IF($MF16="",""," "&amp;$MF16)&amp;IF($ON16&gt;0," · +"&amp;$ON16&amp;"d8",""))))</f>
        <v/>
      </c>
      <c r="PO16" s="152">
        <f>COUNTIF($MH16:$MK16,"Longe")+3*COUNTIF($MH16:$MK16,"Muito Longe")</f>
        <v/>
      </c>
      <c r="PP16" s="152">
        <f>COUNTIF($MH16:$MK16,"Maior")+3*COUNTIF($MH16:$MK16,"Muito Maior")</f>
        <v/>
      </c>
      <c r="PQ16" s="152">
        <f>IF($MT16=0,0,CHOOSE(1+INDEX($AC$2:$AC$11,$MT16),0,$PO16,$PP16,$PO16+$PP16))</f>
        <v/>
      </c>
      <c r="PR16" s="152">
        <f>IF($MT16=0,0,CHOOSE(1+INDEX($AD$2:$AD$11,$MT16),0,$PO16,$PP16,$PO16+$PP16))</f>
        <v/>
      </c>
      <c r="PS16" s="152">
        <f>IF(OR($MN16=0,$MT16=0),"",INDEX($AI$2:$AN$41,($MT16-1)*4+IF($MC16=0,1,IF($MC16&lt;=5,2,IF($MC16=6,3,4))),1+MIN(5,$PQ16))&amp;INDEX($AO$2:$AT$41,($MT16-1)*4+IF($MC16=0,1,IF($MC16&lt;=5,2,IF($MC16=6,3,4))),1+MIN(5,$PR16))&amp;IF(INDEX($AE$2:$AE$11,$MT16)=1,IF(COUNTIF($MH16:$MK16,"Mais Um")&gt;0," · +"&amp;COUNTIF($MH16:$MK16,"Mais Um")&amp;IF(COUNTIF($MH16:$MK16,"Mais Um")&gt;1," alvos"," alvo"),"")&amp;IF(COUNTIF($MH16:$MK16,"Rajada")&gt;0,IF($MC16=0," · 1 tiro"," · "&amp;(MAX(1,$MC16-1)+1)&amp;" tiros"),""),""))</f>
        <v/>
      </c>
      <c r="PT16" s="152">
        <f>IF($MN16=0,"",IF($MC16=0,$MQ16&amp;"d6"&amp;IF($OD16&gt;0," − 1 = "&amp;$OM16&amp;"d6"," da básica do nível "&amp;$MO16),$OK16&amp;" − "&amp;$OF16&amp;" + "&amp;$OI16&amp;" = "&amp;$OL16&amp;" · teto "&amp;4*$MC16&amp;"d8"&amp;IF($NO16=1," · a Forma devolve "&amp;$MC16,"")&amp;IF($OJ16&gt;0," · perde "&amp;$OJ16,"")))</f>
        <v/>
      </c>
      <c r="PU16" s="152">
        <f>IF($MN16=0,"",IF($MC16=0,"A básica não amplia: os dados dela sobem com o nível",IF($MC16&gt;=$MP16,"Já está na maior Classe que o nível liberou",TEXTJOIN(" · ",TRUE,IF(AND(2&gt;$MC16,2&lt;=$MP16),"2 → "&amp;$OW16&amp;", 6 PE",""),IF(AND(3&gt;$MC16,3&lt;=$MP16),"3 → "&amp;$OX16&amp;", 9 PE",""),IF(AND(4&gt;$MC16,4&lt;=$MP16),"4 → "&amp;$OY16&amp;", 12 PE",""),IF(AND(5&gt;$MC16,5&lt;=$MP16),"5 → "&amp;$OZ16&amp;", 15 PE",""),IF(AND(6&gt;$MC16,6&lt;=$MP16),"6 → "&amp;$PA16&amp;", 18 PE",""),IF(AND(7&gt;$MC16,7&lt;=$MP16),"7 → "&amp;$PB16&amp;", 21 PE","")))))</f>
        <v/>
      </c>
      <c r="PV16" s="152">
        <f>IF(OR($MN16=0,$MY16=0),"",IF($MC16=0,"−1 dado","−"&amp;INDEX($I$2:$N$8,MAX(1,$MC16),MAX(1,$ND16))&amp;" · "&amp;CHOOSE(MAX(1,$ND16),"Leve","Média","Pesada","Leve · Livre","Média · Livre","Pesada · Livre")))</f>
        <v/>
      </c>
      <c r="PW16" s="152">
        <f>IF(OR($MN16=0,$MZ16=0),"",IF($MC16=0,"−1 dado","−"&amp;INDEX($I$2:$N$8,MAX(1,$MC16),MAX(1,$NE16))&amp;" · "&amp;CHOOSE(MAX(1,$NE16),"Leve","Média","Pesada","Leve · Livre","Média · Livre","Pesada · Livre")))</f>
        <v/>
      </c>
      <c r="PX16" s="152">
        <f>IF(OR($MN16=0,$NA16=0),"",IF($MC16=0,"−1 dado","−"&amp;INDEX($I$2:$N$8,MAX(1,$MC16),MAX(1,$NF16))&amp;" · "&amp;CHOOSE(MAX(1,$NF16),"Leve","Média","Pesada","Leve · Livre","Média · Livre","Pesada · Livre")))</f>
        <v/>
      </c>
      <c r="PY16" s="152">
        <f>IF(OR($MN16=0,$NB16=0),"",IF($MC16=0,"−1 dado","−"&amp;INDEX($I$2:$N$8,MAX(1,$MC16),MAX(1,$NG16))&amp;" · "&amp;CHOOSE(MAX(1,$NG16),"Leve","Média","Pesada","Leve · Livre","Média · Livre","Pesada · Livre")))</f>
        <v/>
      </c>
      <c r="PZ16" s="152">
        <f>IF(OR($MN16=0,$ML16=""),"",IF($MC16=0,"não devolve","+"&amp;IF($NR16=1,CEILING($MC16/2,1),$MC16)))</f>
        <v/>
      </c>
      <c r="QA16" s="152">
        <f>IF(OR($MN16=0,$MM16=""),"",IF($MC16=0,"não devolve","+"&amp;IF($NS16=1,CEILING($MC16/2,1),$MC16)))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B17" s="150" t="inlineStr">
        <is>
          <t>Condicional (Média)</t>
        </is>
      </c>
      <c r="BC17" s="150" t="inlineStr">
        <is>
          <t>Condicional</t>
        </is>
      </c>
      <c r="BD17" s="152" t="n">
        <v>2</v>
      </c>
      <c r="BE17" s="152" t="n">
        <v>1</v>
      </c>
      <c r="BF17" s="150" t="inlineStr"/>
      <c r="BZ17" s="150" t="inlineStr">
        <is>
          <t>Tecnologia</t>
        </is>
      </c>
      <c r="CA17" s="150" t="inlineStr">
        <is>
          <t>Inteligência</t>
        </is>
      </c>
      <c r="JD17" s="152">
        <f>IF(OR($AW17="",COUNTIF($ED$2:$EH$2,$AW17)&gt;0),$AV17,"")</f>
        <v/>
      </c>
      <c r="JE17" s="152">
        <f>IF(AND($AX17=1,OR($AW17="",COUNTIF($ED$2:$EH$2,$AW17)&gt;0)),$AV17,"")</f>
        <v/>
      </c>
      <c r="JJ17" s="152">
        <f>IF(OR($AW17="",COUNTIF($ED$3:$EH$3,$AW17)&gt;0),$AV17,"")</f>
        <v/>
      </c>
      <c r="JK17" s="152">
        <f>IF(AND($AX17=1,OR($AW17="",COUNTIF($ED$3:$EH$3,$AW17)&gt;0)),$AV17,"")</f>
        <v/>
      </c>
      <c r="JP17" s="152">
        <f>IF(OR($AW17="",COUNTIF($ED$4:$EH$4,$AW17)&gt;0),$AV17,"")</f>
        <v/>
      </c>
      <c r="JQ17" s="152">
        <f>IF(AND($AX17=1,OR($AW17="",COUNTIF($ED$4:$EH$4,$AW17)&gt;0)),$AV17,"")</f>
        <v/>
      </c>
      <c r="JV17" s="152">
        <f>IF(OR($AW17="",COUNTIF($ED$5:$EH$5,$AW17)&gt;0),$AV17,"")</f>
        <v/>
      </c>
      <c r="JW17" s="152">
        <f>IF(AND($AX17=1,OR($AW17="",COUNTIF($ED$5:$EH$5,$AW17)&gt;0)),$AV17,"")</f>
        <v/>
      </c>
      <c r="KB17" s="152">
        <f>IF(OR($AW17="",COUNTIF($ED$6:$EH$6,$AW17)&gt;0),$AV17,"")</f>
        <v/>
      </c>
      <c r="KC17" s="152">
        <f>IF(AND($AX17=1,OR($AW17="",COUNTIF($ED$6:$EH$6,$AW17)&gt;0)),$AV17,"")</f>
        <v/>
      </c>
      <c r="KH17" s="152">
        <f>IF(OR($AW17="",COUNTIF($ED$7:$EH$7,$AW17)&gt;0),$AV17,"")</f>
        <v/>
      </c>
      <c r="KI17" s="152">
        <f>IF(AND($AX17=1,OR($AW17="",COUNTIF($ED$7:$EH$7,$AW17)&gt;0)),$AV17,"")</f>
        <v/>
      </c>
      <c r="KN17" s="152">
        <f>IF(OR($AW17="",COUNTIF($ED$8:$EH$8,$AW17)&gt;0),$AV17,"")</f>
        <v/>
      </c>
      <c r="KO17" s="152">
        <f>IF(AND($AX17=1,OR($AW17="",COUNTIF($ED$8:$EH$8,$AW17)&gt;0)),$AV17,"")</f>
        <v/>
      </c>
      <c r="KT17" s="152">
        <f>IF(OR($AW17="",COUNTIF($ED$9:$EH$9,$AW17)&gt;0),$AV17,"")</f>
        <v/>
      </c>
      <c r="KU17" s="152">
        <f>IF(AND($AX17=1,OR($AW17="",COUNTIF($ED$9:$EH$9,$AW17)&gt;0)),$AV17,"")</f>
        <v/>
      </c>
      <c r="KZ17" s="152">
        <f>IF(OR($AW17="",COUNTIF($ED$10:$EH$10,$AW17)&gt;0),$AV17,"")</f>
        <v/>
      </c>
      <c r="LA17" s="152">
        <f>IF(AND($AX17=1,OR($AW17="",COUNTIF($ED$10:$EH$10,$AW17)&gt;0)),$AV17,"")</f>
        <v/>
      </c>
      <c r="LF17" s="152">
        <f>IF(OR($AW17="",COUNTIF($ED$11:$EH$11,$AW17)&gt;0),$AV17,"")</f>
        <v/>
      </c>
      <c r="LG17" s="152">
        <f>IF(AND($AX17=1,OR($AW17="",COUNTIF($ED$11:$EH$11,$AW17)&gt;0)),$AV17,"")</f>
        <v/>
      </c>
      <c r="LL17" s="152">
        <f>IF(OR($AW17="",COUNTIF($ED$12:$EH$12,$AW17)&gt;0),$AV17,"")</f>
        <v/>
      </c>
      <c r="LM17" s="152">
        <f>IF(AND($AX17=1,OR($AW17="",COUNTIF($ED$12:$EH$12,$AW17)&gt;0)),$AV17,"")</f>
        <v/>
      </c>
      <c r="LR17" s="152">
        <f>IF(OR($AW17="",COUNTIF($ED$13:$EH$13,$AW17)&gt;0),$AV17,"")</f>
        <v/>
      </c>
      <c r="LS17" s="152">
        <f>IF(AND($AX17=1,OR($AW17="",COUNTIF($ED$13:$EH$13,$AW17)&gt;0)),$AV17,"")</f>
        <v/>
      </c>
      <c r="LX17" s="150" t="inlineStr">
        <is>
          <t>Ficha 2 · Especial 2</t>
        </is>
      </c>
      <c r="LY17" s="152" t="n">
        <v>2</v>
      </c>
      <c r="LZ17" s="152" t="n">
        <v>1</v>
      </c>
      <c r="MA17" s="152" t="n">
        <v>4</v>
      </c>
      <c r="MB17" s="150" t="inlineStr">
        <is>
          <t>ESPECIAL 2</t>
        </is>
      </c>
      <c r="MC17" s="152">
        <f>MAX(1,MIN(7,N('INVOCAÇÕES'!$U$256)))</f>
        <v/>
      </c>
      <c r="MD17" s="152">
        <f>'INVOCAÇÕES'!$V$256&amp;""</f>
        <v/>
      </c>
      <c r="ME17" s="152">
        <f>'INVOCAÇÕES'!$U$261&amp;""</f>
        <v/>
      </c>
      <c r="MF17" s="152">
        <f>'INVOCAÇÕES'!$U$262&amp;""</f>
        <v/>
      </c>
      <c r="MG17" s="152">
        <f>'INVOCAÇÕES'!$W$262&amp;""</f>
        <v/>
      </c>
      <c r="MH17" s="152">
        <f>'INVOCAÇÕES'!$V$265&amp;""</f>
        <v/>
      </c>
      <c r="MI17" s="152">
        <f>'INVOCAÇÕES'!$V$266&amp;""</f>
        <v/>
      </c>
      <c r="MJ17" s="152">
        <f>'INVOCAÇÕES'!$V$267&amp;""</f>
        <v/>
      </c>
      <c r="MK17" s="152">
        <f>'INVOCAÇÕES'!$V$268&amp;""</f>
        <v/>
      </c>
      <c r="ML17" s="152">
        <f>'INVOCAÇÕES'!$V$269&amp;""</f>
        <v/>
      </c>
      <c r="MM17" s="152">
        <f>'INVOCAÇÕES'!$V$270&amp;""</f>
        <v/>
      </c>
      <c r="MN17" s="152">
        <f>IF($MD17&lt;&gt;"",1,0)</f>
        <v/>
      </c>
      <c r="MO17" s="152">
        <f>INDEX($FG$2:$FG$13,$LY17)</f>
        <v/>
      </c>
      <c r="MP17" s="152">
        <f>INDEX($FH$2:$FH$13,$LY17)</f>
        <v/>
      </c>
      <c r="MQ17" s="152">
        <f>INDEX($FI$2:$FI$13,$LY17)</f>
        <v/>
      </c>
      <c r="MR17" s="152">
        <f>INDEX($FT$2:$FT$13,$LY17)</f>
        <v/>
      </c>
      <c r="MS17" s="152">
        <f>INDEX($FU$2:$FU$13,$LY17)</f>
        <v/>
      </c>
      <c r="MT17" s="152">
        <f>IFERROR(MATCH($ME17,$V$2:$V$11,0),0)</f>
        <v/>
      </c>
      <c r="MU17" s="152">
        <f>IFERROR(VLOOKUP($MH17,$AV$2:$AZ$84,2,FALSE),"")</f>
        <v/>
      </c>
      <c r="MV17" s="152">
        <f>IFERROR(VLOOKUP($MI17,$AV$2:$AZ$84,2,FALSE),"")</f>
        <v/>
      </c>
      <c r="MW17" s="152">
        <f>IFERROR(VLOOKUP($MJ17,$AV$2:$AZ$84,2,FALSE),"")</f>
        <v/>
      </c>
      <c r="MX17" s="152">
        <f>IFERROR(VLOOKUP($MK17,$AV$2:$AZ$84,2,FALSE),"")</f>
        <v/>
      </c>
      <c r="MY17" s="152">
        <f>IFERROR(VLOOKUP($MH17,$AV$2:$AZ$84,3,FALSE),0)</f>
        <v/>
      </c>
      <c r="MZ17" s="152">
        <f>IFERROR(VLOOKUP($MI17,$AV$2:$AZ$84,3,FALSE),0)</f>
        <v/>
      </c>
      <c r="NA17" s="152">
        <f>IFERROR(VLOOKUP($MJ17,$AV$2:$AZ$84,3,FALSE),0)</f>
        <v/>
      </c>
      <c r="NB17" s="152">
        <f>IFERROR(VLOOKUP($MK17,$AV$2:$AZ$84,3,FALSE),0)</f>
        <v/>
      </c>
      <c r="NC17" s="152">
        <f>IF($MC17=0,0,IF($MT17=0,0,INDEX($X$2:$X$11,$MT17)))</f>
        <v/>
      </c>
      <c r="ND17" s="152">
        <f>IF(OR($MY17=0,$MC17=0),0,$MY17+3*IF(AND($MU17&lt;&gt;"",OR($MU17=INDEX($ED$2:$ED$13,$LY17),$MU17=INDEX($EE$2:$EE$13,$LY17))),1,0))</f>
        <v/>
      </c>
      <c r="NE17" s="152">
        <f>IF(OR($MZ17=0,$MC17=0),0,$MZ17+3*IF(AND($MV17&lt;&gt;"",OR($MV17=INDEX($ED$2:$ED$13,$LY17),$MV17=INDEX($EE$2:$EE$13,$LY17))),1,0))</f>
        <v/>
      </c>
      <c r="NF17" s="152">
        <f>IF(OR($NA17=0,$MC17=0),0,$NA17+3*IF(AND($MW17&lt;&gt;"",OR($MW17=INDEX($ED$2:$ED$13,$LY17),$MW17=INDEX($EE$2:$EE$13,$LY17))),1,0))</f>
        <v/>
      </c>
      <c r="NG17" s="152">
        <f>IF(OR($NB17=0,$MC17=0),0,$NB17+3*IF(AND($MX17&lt;&gt;"",OR($MX17=INDEX($ED$2:$ED$13,$LY17),$MX17=INDEX($EE$2:$EE$13,$LY17))),1,0))</f>
        <v/>
      </c>
      <c r="NH17" s="152">
        <f>IF($MT17=0,0,IF(INDEX($W$2:$W$11,$MT17)="",0,IF(COUNTIF(INDEX($ED$2:$EH$13,$LY17,0),INDEX($W$2:$W$11,$MT17))=0,1,0)))</f>
        <v/>
      </c>
      <c r="NI17" s="152">
        <f>IF(OR($MY17=0,$MU17=""),0,IF(COUNTIF(INDEX($ED$2:$EH$13,$LY17,0),$MU17)=0,1,0))</f>
        <v/>
      </c>
      <c r="NJ17" s="152">
        <f>IF(OR($MZ17=0,$MV17=""),0,IF(COUNTIF(INDEX($ED$2:$EH$13,$LY17,0),$MV17)=0,1,0))</f>
        <v/>
      </c>
      <c r="NK17" s="152">
        <f>IF(OR($NA17=0,$MW17=""),0,IF(COUNTIF(INDEX($ED$2:$EH$13,$LY17,0),$MW17)=0,1,0))</f>
        <v/>
      </c>
      <c r="NL17" s="152">
        <f>IF(OR($NB17=0,$MX17=""),0,IF(COUNTIF(INDEX($ED$2:$EH$13,$LY17,0),$MX17)=0,1,0))</f>
        <v/>
      </c>
      <c r="NM17" s="152">
        <f>IFERROR(VLOOKUP($MH17,$AV$2:$AZ$84,4,FALSE),0)+IFERROR(VLOOKUP($MI17,$AV$2:$AZ$84,4,FALSE),0)+IFERROR(VLOOKUP($MJ17,$AV$2:$AZ$84,4,FALSE),0)+IFERROR(VLOOKUP($MK17,$AV$2:$AZ$84,4,FALSE),0)</f>
        <v/>
      </c>
      <c r="NN17" s="152">
        <f>TEXTJOIN(", ",TRUE,IF(IFERROR(VLOOKUP($MH17,$AV$2:$AZ$84,5,FALSE),0)=1,$MH17,""),IF(IFERROR(VLOOKUP($MI17,$AV$2:$AZ$84,5,FALSE),0)=1,$MI17,""),IF(IFERROR(VLOOKUP($MJ17,$AV$2:$AZ$84,5,FALSE),0)=1,$MJ17,""),IF(IFERROR(VLOOKUP($MK17,$AV$2:$AZ$84,5,FALSE),0)=1,$MK17,""))</f>
        <v/>
      </c>
      <c r="NO17" s="152">
        <f>IF($MT17=0,0,INDEX($Y$2:$Y$11,$MT17))</f>
        <v/>
      </c>
      <c r="NP17" s="152">
        <f>IF($MT17=0,0,INDEX($Z$2:$Z$11,$MT17))</f>
        <v/>
      </c>
      <c r="NQ17" s="152">
        <f>IF($MT17=0,0,INDEX($AB$2:$AB$11,$MT17))</f>
        <v/>
      </c>
      <c r="NR17" s="152">
        <f>IFERROR(VLOOKUP($ML17,$BB$2:$BF$24,3,FALSE),0)</f>
        <v/>
      </c>
      <c r="NS17" s="152">
        <f>IFERROR(VLOOKUP($MM17,$BB$2:$BF$24,3,FALSE),0)</f>
        <v/>
      </c>
      <c r="NT17" s="152">
        <f>IFERROR(VLOOKUP($ML17,$BB$2:$BF$24,2,FALSE),"")</f>
        <v/>
      </c>
      <c r="NU17" s="152">
        <f>IFERROR(VLOOKUP($MM17,$BB$2:$BF$24,2,FALSE),"")</f>
        <v/>
      </c>
      <c r="NV17" s="152">
        <f>COUNTIF($NC17:$NG17,1)</f>
        <v/>
      </c>
      <c r="NW17" s="152">
        <f>COUNTIF($NC17:$NG17,2)</f>
        <v/>
      </c>
      <c r="NX17" s="152">
        <f>COUNTIF($NC17:$NG17,3)</f>
        <v/>
      </c>
      <c r="NY17" s="152">
        <f>COUNTIF($NC17:$NG17,4)</f>
        <v/>
      </c>
      <c r="NZ17" s="152">
        <f>COUNTIF($NC17:$NG17,5)</f>
        <v/>
      </c>
      <c r="OA17" s="152">
        <f>COUNTIF($NC17:$NG17,6)</f>
        <v/>
      </c>
      <c r="OB17" s="152">
        <f>COUNTIF($NR17:$NS17,1)</f>
        <v/>
      </c>
      <c r="OC17" s="152">
        <f>COUNTIF($NR17:$NS17,2)+$NO17</f>
        <v/>
      </c>
      <c r="OD17" s="152">
        <f>COUNTIF($MH17:$MK17,"?*")</f>
        <v/>
      </c>
      <c r="OE17" s="152">
        <f>COUNTIF($ML17:$MM17,"?*")+$NO17</f>
        <v/>
      </c>
      <c r="OF17" s="152">
        <f>IF($MC17=0,0,SUMPRODUCT($NV17:$OA17,INDEX($I$2:$N$8,MAX(1,$MC17),0)))</f>
        <v/>
      </c>
      <c r="OG17" s="152">
        <f>IF($MC17=0,0,$OB17*CEILING($MC17/2,1)+$OC17*$MC17)</f>
        <v/>
      </c>
      <c r="OH17" s="152">
        <f>MIN(2*$MC17,$OG17)</f>
        <v/>
      </c>
      <c r="OI17" s="152">
        <f>MIN($OH17,$OF17)</f>
        <v/>
      </c>
      <c r="OJ17" s="152">
        <f>$OH17-$OI17</f>
        <v/>
      </c>
      <c r="OK17" s="152">
        <f>IF($MC17=0,0,INDEX($P$2:$P$8,MAX(1,$MC17)))</f>
        <v/>
      </c>
      <c r="OL17" s="152">
        <f>$OK17-$OF17+$OI17</f>
        <v/>
      </c>
      <c r="OM17" s="152">
        <f>IF($MC17=0,MAX(0,$MQ17-IF($OD17&gt;0,1,0)),MAX(0,$OL17))</f>
        <v/>
      </c>
      <c r="ON17" s="152">
        <f>IF($MC17=0,0,(IF(COUNTIF($MH17:$MK17,"Salto")&gt;0,1,0)+IF(COUNTIF($MH17:$MK17,"Queima")&gt;0,1,0)+IF(COUNTIF($MH17:$MK17,"Estilhaço")&gt;0,1,0))*FLOOR($OM17/2,1))</f>
        <v/>
      </c>
      <c r="OO17" s="152">
        <f>MAX(0,2-SUMPRODUCT($NV17:$OA17,$I$2:$N$2)+MIN(2,$OB17*1+$OC17*1,SUMPRODUCT($NV17:$OA17,$I$2:$N$2)))</f>
        <v/>
      </c>
      <c r="OP17" s="152">
        <f>MAX(0,4-SUMPRODUCT($NV17:$OA17,$I$3:$N$3)+MIN(4,$OB17*1+$OC17*2,SUMPRODUCT($NV17:$OA17,$I$3:$N$3)))</f>
        <v/>
      </c>
      <c r="OQ17" s="152">
        <f>MAX(0,6-SUMPRODUCT($NV17:$OA17,$I$4:$N$4)+MIN(6,$OB17*2+$OC17*3,SUMPRODUCT($NV17:$OA17,$I$4:$N$4)))</f>
        <v/>
      </c>
      <c r="OR17" s="152">
        <f>MAX(0,9-SUMPRODUCT($NV17:$OA17,$I$5:$N$5)+MIN(8,$OB17*2+$OC17*4,SUMPRODUCT($NV17:$OA17,$I$5:$N$5)))</f>
        <v/>
      </c>
      <c r="OS17" s="152">
        <f>MAX(0,11-SUMPRODUCT($NV17:$OA17,$I$6:$N$6)+MIN(10,$OB17*3+$OC17*5,SUMPRODUCT($NV17:$OA17,$I$6:$N$6)))</f>
        <v/>
      </c>
      <c r="OT17" s="152">
        <f>MAX(0,13-SUMPRODUCT($NV17:$OA17,$I$7:$N$7)+MIN(12,$OB17*3+$OC17*6,SUMPRODUCT($NV17:$OA17,$I$7:$N$7)))</f>
        <v/>
      </c>
      <c r="OU17" s="152">
        <f>MAX(0,16-SUMPRODUCT($NV17:$OA17,$I$8:$N$8)+MIN(14,$OB17*4+$OC17*7,SUMPRODUCT($NV17:$OA17,$I$8:$N$8)))</f>
        <v/>
      </c>
      <c r="OV17" s="152">
        <f>IF($NP17=2,3*$OO17&amp;" de vida temp.",IF($NP17=3,"sem dano",IF($OO17=0,IF($NP17=1,"sem cura","sem dano"),IF($NP17=1,"cura ","")&amp;$OO17&amp;"d8")))</f>
        <v/>
      </c>
      <c r="OW17" s="152">
        <f>IF($NP17=2,3*$OP17&amp;" de vida temp.",IF($NP17=3,"sem dano",IF($OP17=0,IF($NP17=1,"sem cura","sem dano"),IF($NP17=1,"cura ","")&amp;$OP17&amp;"d8")))</f>
        <v/>
      </c>
      <c r="OX17" s="152">
        <f>IF($NP17=2,3*$OQ17&amp;" de vida temp.",IF($NP17=3,"sem dano",IF($OQ17=0,IF($NP17=1,"sem cura","sem dano"),IF($NP17=1,"cura ","")&amp;$OQ17&amp;"d8")))</f>
        <v/>
      </c>
      <c r="OY17" s="152">
        <f>IF($NP17=2,3*$OR17&amp;" de vida temp.",IF($NP17=3,"sem dano",IF($OR17=0,IF($NP17=1,"sem cura","sem dano"),IF($NP17=1,"cura ","")&amp;$OR17&amp;"d8")))</f>
        <v/>
      </c>
      <c r="OZ17" s="152">
        <f>IF($NP17=2,3*$OS17&amp;" de vida temp.",IF($NP17=3,"sem dano",IF($OS17=0,IF($NP17=1,"sem cura","sem dano"),IF($NP17=1,"cura ","")&amp;$OS17&amp;"d8")))</f>
        <v/>
      </c>
      <c r="PA17" s="152">
        <f>IF($NP17=2,3*$OT17&amp;" de vida temp.",IF($NP17=3,"sem dano",IF($OT17=0,IF($NP17=1,"sem cura","sem dano"),IF($NP17=1,"cura ","")&amp;$OT17&amp;"d8")))</f>
        <v/>
      </c>
      <c r="PB17" s="152">
        <f>IF($NP17=2,3*$OU17&amp;" de vida temp.",IF($NP17=3,"sem dano",IF($OU17=0,IF($NP17=1,"sem cura","sem dano"),IF($NP17=1,"cura ","")&amp;$OU17&amp;"d8")))</f>
        <v/>
      </c>
      <c r="PC17" s="152">
        <f>IF($MN17=0,"",TEXTJOIN(" · ",TRUE,IF($MA17&gt;$MO17,"Este lugar abre no nível "&amp;$MA17,""),IF($MC17&gt;$MP17,"Classe "&amp;$MC17&amp;": o nível "&amp;$MO17&amp;" libera até a "&amp;$MP17,""),IF($NH17=1,"A Forma "&amp;$ME17&amp;" pede "&amp;INDEX($W$2:$W$11,$MT17)&amp;" aberta",""),IF(AND($MC17=0,$MT17&gt;0,IF($MT17=0,0,INDEX($AF$2:$AF$11,$MT17))=0),$ME17&amp;" não existe na Classe 0",""),IF($NI17=1,"Família Fechada: "&amp;$MH17,""),IF($NJ17=1,"Família Fechada: "&amp;$MI17,""),IF($NK17=1,"Família Fechada: "&amp;$MJ17,""),IF($NL17=1,"Família Fechada: "&amp;$MK17,""),IF(AND($MC17&gt;0,$OD17&gt;INDEX($O$2:$O$8,MAX(1,$MC17))),$OD17&amp;" Melhorias: a Classe "&amp;$MC17&amp;" aceita "&amp;INDEX($O$2:$O$8,MAX(1,$MC17)),""),IF(AND($MC17=0,$OD17&gt;1),"A básica aceita uma Melhoria",""),IF(AND($MC17=0,COUNTIF($MY17:$NB17,"&gt;1")&gt;0),"A básica só aceita Melhoria Leve",""),IF(AND($MC17&gt;0,$OE17&gt;2),$OE17&amp;" Restrições"&amp;IF($NO17=1,", contando a que a Forma "&amp;$ME17&amp;" já traz","")&amp;": o limite é 2",""),IF(AND($MC17=0,COUNTIF($ML17:$MM17,"?*")&gt;1),"A básica aceita uma Restrição Leve",""),IF(AND($MC17=0,COUNTIF($NR17:$NS17,2)&gt;0),"A básica só aceita Restrição Leve",""),IF(AND($MC17&gt;0,$OL17&lt;0),"Orçamento estourado: faltam "&amp;(-$OL17)&amp;IF($OL17&lt;-1," pontos"," ponto"),""),IF(IFERROR(VLOOKUP($ML17,$BB$2:$BF$24,4,FALSE),0)+IFERROR(VLOOKUP($MM17,$BB$2:$BF$24,4,FALSE),0)&gt;1,$NT17&amp;" e "&amp;$NU17&amp;" são as duas de frequência",""),IF(AND((COUNTIF($MH17:$MK17,"Rápido")+COUNTIF($NT17:$NU17,"Rápido"))&gt;0,(COUNTIF($MH17:$MK17,"Atrasar")+COUNTIF($NT17:$NU17,"Atrasar"))&gt;0),"Rápido não entra com Atrasar",""),IF(AND((COUNTIF($MH17:$MK17,"Reação")+COUNTIF($NT17:$NU17,"Reação"))&gt;0,(COUNTIF($MH17:$MK17,"Rápido")+COUNTIF($NT17:$NU17,"Rápido"))&gt;0),"Reação não entra com Rápido",""),IF(AND((COUNTIF($MH17:$MK17,"Reação")+COUNTIF($NT17:$NU17,"Reação"))&gt;0,(COUNTIF($MH17:$MK17,"Armado")+COUNTIF($NT17:$NU17,"Armado"))&gt;0),"Reação não entra com Armado",""),IF(AND((COUNTIF($MH17:$MK17,"Reação")+COUNTIF($NT17:$NU17,"Reação"))&gt;0,(COUNTIF($MH17:$MK17,"Atrasar")+COUNTIF($NT17:$NU17,"Atrasar"))&gt;0),"Reação não entra com Atrasar",""),IF(AND((COUNTIF($MH17:$MK17,"Reação")+COUNTIF($NT17:$NU17,"Reação"))&gt;0,(COUNTIF($MH17:$MK17,"Parado")+COUNTIF($NT17:$NU17,"Parado"))&gt;0),"Reação não entra com Parado",""),IF(AND((COUNTIF($MH17:$MK17,"Atrasar")+COUNTIF($NT17:$NU17,"Atrasar"))&gt;0,(COUNTIF($MH17:$MK17,"Parado")+COUNTIF($NT17:$NU17,"Parado"))&gt;0),"Atrasar não entra com Parado",""),IF(AND((COUNTIF($MH17:$MK17,"Armado")+COUNTIF($NT17:$NU17,"Armado"))&gt;0,(COUNTIF($MH17:$MK17,"Carregar")+COUNTIF($NT17:$NU17,"Carregar"))&gt;0),"Armado não entra com Carregar",""),IF(AND(COUNTIF($NT17:$NU17,"Corpo a Corpo")&gt;0,$NO17=0,OR($ME17="Cone",$ME17="Linha")),"Corpo a Corpo não entra em "&amp;$ME17,""),IF(AND(COUNTIF($NT17:$NU17,"Corpo a Corpo")&gt;0,$NO17=1),"A Forma "&amp;$ME17&amp;" já traz o Corpo a Corpo",""),IF(AND(COUNTIF($NT17:$NU17,"Tudo ou Nada")&gt;0,$NQ17=0),"Tudo ou Nada só entra em habilidade de Teste de Resistência",""),IF(AND(COUNTIF($MH17:$MK17,"Inescapável")&gt;0,OR($OD17&gt;1,$OE17&gt;0)),"Inescapável não aceita outra peça",""),IF(AND($MC17&gt;0,$OM17*IF(COUNTIF($MH17:$MK17,"Remate")&gt;0,1.25,1)+$ON17&gt;4*$MC17),($OM17*IF(COUNTIF($MH17:$MK17,"Remate")&gt;0,1.25,1)+$ON17)&amp;" dados somando repetições"&amp;IF(COUNTIF($MH17:$MK17,"Remate")&gt;0," e o Remate","")&amp;": o teto da Classe "&amp;$MC17&amp;" é "&amp;4*$MC17,"")))</f>
        <v/>
      </c>
      <c r="PD17" s="152">
        <f>IF($PC17="",0,(LEN($PC17)-LEN(SUBSTITUTE($PC17," · ","")))/3+1)</f>
        <v/>
      </c>
      <c r="PE17" s="152">
        <f>IF($MN17=0,"",TEXTJOIN(" · ",TRUE,IF($OG17&gt;2*$MC17,"A devolução parou no teto de "&amp;2*$MC17,""),IF($OJ17&gt;0,"Devolução perdida: "&amp;$OJ17&amp;IF($OJ17&gt;1," pontos"," ponto")&amp;" sem peça para pagar",""),IF(AND($NM17&gt;0,AND($MC17&gt;0,$NP17=0),$OM17=0),"Controle sem dano: uma rodada a mais e CD +2",""),IF(AND($NM17&gt;0,AND($MC17&gt;0,$NP17=0),$OM17&gt;0,$OM17&lt;=$MC17),"Controle com saldo até a Classe: uma rodada a mais",""),IF(AND($MC17&gt;0,$NN17&lt;&gt;""),"Efeito de "&amp;$NN17&amp;" pela Classe "&amp;MAX(1,$MC17-1),"")))</f>
        <v/>
      </c>
      <c r="PF17" s="152">
        <f>IF($PE17="",0,(LEN($PE17)-LEN(SUBSTITUTE($PE17," · ","")))/3+1)</f>
        <v/>
      </c>
      <c r="PG17" s="152">
        <f>IF($MN17=0,IF($OD17+COUNTIF($ML17:$MM17,"?*")&gt;0,"Dê um nome",""),IF($PD17&gt;0,"⚠ "&amp;$PD17&amp;IF($PD17&gt;1," erros"," erro"),IF($PF17&gt;0,"! "&amp;$PF17&amp;IF($PF17&gt;1," avisos"," aviso"),"Na regra")))</f>
        <v/>
      </c>
      <c r="PH17" s="152">
        <f>IF($MN17=0,"",IF($PD17+$PF17=0,"Dentro das regras que a ficha confere",$PC17&amp;IF(AND($PD17&gt;0,$PF17&gt;0)," · ","")&amp;$PE17))</f>
        <v/>
      </c>
      <c r="PI17" s="152">
        <f>IF($MA17&gt;$MO17,$MB17&amp;" · ABRE NO NÍVEL "&amp;$MA17,$MB17)</f>
        <v/>
      </c>
      <c r="PJ17" s="152">
        <f>IF($MN17=0,"",IF($MC17=0,"Sem PE",3*$MC17&amp;" PE"))</f>
        <v/>
      </c>
      <c r="PK17" s="152">
        <f>IF($MN17=0,"",IF($MC17=0,"A atuação básica dela",IF(COUNTIF($NT17:$NU17,"Atrasar")&gt;0,"Sua Ação Completa",IF(COUNTIF($MH17:$MK17,"Rápido")&gt;0,"Sua Bônus",IF(COUNTIF($MH17:$MK17,"Reação")&gt;0,"Sua Reação","Sua Padrão")))&amp;" + a básica dela"&amp;IF(COUNTIF($MH17:$MK17,"Reação")&gt;0," e a coletiva","")&amp;IF(COUNTIF($NT17:$NU17,"Carregar")&gt;0," · em dois turnos","")))</f>
        <v/>
      </c>
      <c r="PL17" s="152">
        <f>IF($MG17&lt;&gt;"",$MG17,IF($MT17=0,"",INDEX($AA$2:$AA$11,$MT17)))</f>
        <v/>
      </c>
      <c r="PM17" s="152">
        <f>IF(OR($MN17=0,$MT17=0),"",IF(COUNTIF($MH17:$MK17,"Inescapável")&gt;0,"Automático",IF($PL17="Ataque",IF($MR17="","Ataque","Ataque "&amp;IF(($MR17+2*IF(COUNTIF($MH17:$MK17,"Precisão")&gt;0,1,0))&gt;=0,"+","−")&amp;ABS(($MR17+2*IF(COUNTIF($MH17:$MK17,"Precisão")&gt;0,1,0)))),IF(LEFT($PL17,2)="TR",$PL17&amp;IF($MS17="",""," · CD "&amp;$MS17)&amp;IF(COUNTIF($MH17:$MK17,"Certeiro")&gt;0," · metade",""),"Sem rolagem"))))</f>
        <v/>
      </c>
      <c r="PN17" s="152">
        <f>IF(OR($MN17=0,$MT17=0),"",IF($MC17=0,IF(OR($NP17&gt;=1,$OM17=0),"Sem dano",$OM17&amp;"d6"&amp;IF($MF17="",""," "&amp;$MF17)),IF(OR($NP17&gt;=1,$OM17=0),UPPER(LEFT(INDEX($OV17:$PB17,1,MAX(1,$MC17)),1))&amp;MID(INDEX($OV17:$PB17,1,MAX(1,$MC17)),2,99),UPPER(LEFT(INDEX($OV17:$PB17,1,MAX(1,$MC17)),1))&amp;MID(INDEX($OV17:$PB17,1,MAX(1,$MC17)),2,99)&amp;IF($MF17="",""," "&amp;$MF17)&amp;IF($ON17&gt;0," · +"&amp;$ON17&amp;"d8",""))))</f>
        <v/>
      </c>
      <c r="PO17" s="152">
        <f>COUNTIF($MH17:$MK17,"Longe")+3*COUNTIF($MH17:$MK17,"Muito Longe")</f>
        <v/>
      </c>
      <c r="PP17" s="152">
        <f>COUNTIF($MH17:$MK17,"Maior")+3*COUNTIF($MH17:$MK17,"Muito Maior")</f>
        <v/>
      </c>
      <c r="PQ17" s="152">
        <f>IF($MT17=0,0,CHOOSE(1+INDEX($AC$2:$AC$11,$MT17),0,$PO17,$PP17,$PO17+$PP17))</f>
        <v/>
      </c>
      <c r="PR17" s="152">
        <f>IF($MT17=0,0,CHOOSE(1+INDEX($AD$2:$AD$11,$MT17),0,$PO17,$PP17,$PO17+$PP17))</f>
        <v/>
      </c>
      <c r="PS17" s="152">
        <f>IF(OR($MN17=0,$MT17=0),"",INDEX($AI$2:$AN$41,($MT17-1)*4+IF($MC17=0,1,IF($MC17&lt;=5,2,IF($MC17=6,3,4))),1+MIN(5,$PQ17))&amp;INDEX($AO$2:$AT$41,($MT17-1)*4+IF($MC17=0,1,IF($MC17&lt;=5,2,IF($MC17=6,3,4))),1+MIN(5,$PR17))&amp;IF(INDEX($AE$2:$AE$11,$MT17)=1,IF(COUNTIF($MH17:$MK17,"Mais Um")&gt;0," · +"&amp;COUNTIF($MH17:$MK17,"Mais Um")&amp;IF(COUNTIF($MH17:$MK17,"Mais Um")&gt;1," alvos"," alvo"),"")&amp;IF(COUNTIF($MH17:$MK17,"Rajada")&gt;0,IF($MC17=0," · 1 tiro"," · "&amp;(MAX(1,$MC17-1)+1)&amp;" tiros"),""),""))</f>
        <v/>
      </c>
      <c r="PT17" s="152">
        <f>IF($MN17=0,"",IF($MC17=0,$MQ17&amp;"d6"&amp;IF($OD17&gt;0," − 1 = "&amp;$OM17&amp;"d6"," da básica do nível "&amp;$MO17),$OK17&amp;" − "&amp;$OF17&amp;" + "&amp;$OI17&amp;" = "&amp;$OL17&amp;" · teto "&amp;4*$MC17&amp;"d8"&amp;IF($NO17=1," · a Forma devolve "&amp;$MC17,"")&amp;IF($OJ17&gt;0," · perde "&amp;$OJ17,"")))</f>
        <v/>
      </c>
      <c r="PU17" s="152">
        <f>IF($MN17=0,"",IF($MC17=0,"A básica não amplia: os dados dela sobem com o nível",IF($MC17&gt;=$MP17,"Já está na maior Classe que o nível liberou",TEXTJOIN(" · ",TRUE,IF(AND(2&gt;$MC17,2&lt;=$MP17),"2 → "&amp;$OW17&amp;", 6 PE",""),IF(AND(3&gt;$MC17,3&lt;=$MP17),"3 → "&amp;$OX17&amp;", 9 PE",""),IF(AND(4&gt;$MC17,4&lt;=$MP17),"4 → "&amp;$OY17&amp;", 12 PE",""),IF(AND(5&gt;$MC17,5&lt;=$MP17),"5 → "&amp;$OZ17&amp;", 15 PE",""),IF(AND(6&gt;$MC17,6&lt;=$MP17),"6 → "&amp;$PA17&amp;", 18 PE",""),IF(AND(7&gt;$MC17,7&lt;=$MP17),"7 → "&amp;$PB17&amp;", 21 PE","")))))</f>
        <v/>
      </c>
      <c r="PV17" s="152">
        <f>IF(OR($MN17=0,$MY17=0),"",IF($MC17=0,"−1 dado","−"&amp;INDEX($I$2:$N$8,MAX(1,$MC17),MAX(1,$ND17))&amp;" · "&amp;CHOOSE(MAX(1,$ND17),"Leve","Média","Pesada","Leve · Livre","Média · Livre","Pesada · Livre")))</f>
        <v/>
      </c>
      <c r="PW17" s="152">
        <f>IF(OR($MN17=0,$MZ17=0),"",IF($MC17=0,"−1 dado","−"&amp;INDEX($I$2:$N$8,MAX(1,$MC17),MAX(1,$NE17))&amp;" · "&amp;CHOOSE(MAX(1,$NE17),"Leve","Média","Pesada","Leve · Livre","Média · Livre","Pesada · Livre")))</f>
        <v/>
      </c>
      <c r="PX17" s="152">
        <f>IF(OR($MN17=0,$NA17=0),"",IF($MC17=0,"−1 dado","−"&amp;INDEX($I$2:$N$8,MAX(1,$MC17),MAX(1,$NF17))&amp;" · "&amp;CHOOSE(MAX(1,$NF17),"Leve","Média","Pesada","Leve · Livre","Média · Livre","Pesada · Livre")))</f>
        <v/>
      </c>
      <c r="PY17" s="152">
        <f>IF(OR($MN17=0,$NB17=0),"",IF($MC17=0,"−1 dado","−"&amp;INDEX($I$2:$N$8,MAX(1,$MC17),MAX(1,$NG17))&amp;" · "&amp;CHOOSE(MAX(1,$NG17),"Leve","Média","Pesada","Leve · Livre","Média · Livre","Pesada · Livre")))</f>
        <v/>
      </c>
      <c r="PZ17" s="152">
        <f>IF(OR($MN17=0,$ML17=""),"",IF($MC17=0,"não devolve","+"&amp;IF($NR17=1,CEILING($MC17/2,1),$MC17)))</f>
        <v/>
      </c>
      <c r="QA17" s="152">
        <f>IF(OR($MN17=0,$MM17=""),"",IF($MC17=0,"não devolve","+"&amp;IF($NS17=1,CEILING($MC17/2,1),$MC17)))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B18" s="150" t="inlineStr">
        <is>
          <t>Aquecer</t>
        </is>
      </c>
      <c r="BC18" s="150" t="inlineStr">
        <is>
          <t>Aquecer</t>
        </is>
      </c>
      <c r="BD18" s="152" t="n">
        <v>1</v>
      </c>
      <c r="BE18" s="152" t="n">
        <v>1</v>
      </c>
      <c r="BF18" s="150" t="inlineStr">
        <is>
          <t>Aquecer</t>
        </is>
      </c>
      <c r="BZ18" s="150" t="inlineStr">
        <is>
          <t>Sentir Energia</t>
        </is>
      </c>
      <c r="CA18" s="150" t="inlineStr">
        <is>
          <t>Essência</t>
        </is>
      </c>
      <c r="JD18" s="152">
        <f>IF(OR($AW18="",COUNTIF($ED$2:$EH$2,$AW18)&gt;0),$AV18,"")</f>
        <v/>
      </c>
      <c r="JE18" s="152">
        <f>IF(AND($AX18=1,OR($AW18="",COUNTIF($ED$2:$EH$2,$AW18)&gt;0)),$AV18,"")</f>
        <v/>
      </c>
      <c r="JJ18" s="152">
        <f>IF(OR($AW18="",COUNTIF($ED$3:$EH$3,$AW18)&gt;0),$AV18,"")</f>
        <v/>
      </c>
      <c r="JK18" s="152">
        <f>IF(AND($AX18=1,OR($AW18="",COUNTIF($ED$3:$EH$3,$AW18)&gt;0)),$AV18,"")</f>
        <v/>
      </c>
      <c r="JP18" s="152">
        <f>IF(OR($AW18="",COUNTIF($ED$4:$EH$4,$AW18)&gt;0),$AV18,"")</f>
        <v/>
      </c>
      <c r="JQ18" s="152">
        <f>IF(AND($AX18=1,OR($AW18="",COUNTIF($ED$4:$EH$4,$AW18)&gt;0)),$AV18,"")</f>
        <v/>
      </c>
      <c r="JV18" s="152">
        <f>IF(OR($AW18="",COUNTIF($ED$5:$EH$5,$AW18)&gt;0),$AV18,"")</f>
        <v/>
      </c>
      <c r="JW18" s="152">
        <f>IF(AND($AX18=1,OR($AW18="",COUNTIF($ED$5:$EH$5,$AW18)&gt;0)),$AV18,"")</f>
        <v/>
      </c>
      <c r="KB18" s="152">
        <f>IF(OR($AW18="",COUNTIF($ED$6:$EH$6,$AW18)&gt;0),$AV18,"")</f>
        <v/>
      </c>
      <c r="KC18" s="152">
        <f>IF(AND($AX18=1,OR($AW18="",COUNTIF($ED$6:$EH$6,$AW18)&gt;0)),$AV18,"")</f>
        <v/>
      </c>
      <c r="KH18" s="152">
        <f>IF(OR($AW18="",COUNTIF($ED$7:$EH$7,$AW18)&gt;0),$AV18,"")</f>
        <v/>
      </c>
      <c r="KI18" s="152">
        <f>IF(AND($AX18=1,OR($AW18="",COUNTIF($ED$7:$EH$7,$AW18)&gt;0)),$AV18,"")</f>
        <v/>
      </c>
      <c r="KN18" s="152">
        <f>IF(OR($AW18="",COUNTIF($ED$8:$EH$8,$AW18)&gt;0),$AV18,"")</f>
        <v/>
      </c>
      <c r="KO18" s="152">
        <f>IF(AND($AX18=1,OR($AW18="",COUNTIF($ED$8:$EH$8,$AW18)&gt;0)),$AV18,"")</f>
        <v/>
      </c>
      <c r="KT18" s="152">
        <f>IF(OR($AW18="",COUNTIF($ED$9:$EH$9,$AW18)&gt;0),$AV18,"")</f>
        <v/>
      </c>
      <c r="KU18" s="152">
        <f>IF(AND($AX18=1,OR($AW18="",COUNTIF($ED$9:$EH$9,$AW18)&gt;0)),$AV18,"")</f>
        <v/>
      </c>
      <c r="KZ18" s="152">
        <f>IF(OR($AW18="",COUNTIF($ED$10:$EH$10,$AW18)&gt;0),$AV18,"")</f>
        <v/>
      </c>
      <c r="LA18" s="152">
        <f>IF(AND($AX18=1,OR($AW18="",COUNTIF($ED$10:$EH$10,$AW18)&gt;0)),$AV18,"")</f>
        <v/>
      </c>
      <c r="LF18" s="152">
        <f>IF(OR($AW18="",COUNTIF($ED$11:$EH$11,$AW18)&gt;0),$AV18,"")</f>
        <v/>
      </c>
      <c r="LG18" s="152">
        <f>IF(AND($AX18=1,OR($AW18="",COUNTIF($ED$11:$EH$11,$AW18)&gt;0)),$AV18,"")</f>
        <v/>
      </c>
      <c r="LL18" s="152">
        <f>IF(OR($AW18="",COUNTIF($ED$12:$EH$12,$AW18)&gt;0),$AV18,"")</f>
        <v/>
      </c>
      <c r="LM18" s="152">
        <f>IF(AND($AX18=1,OR($AW18="",COUNTIF($ED$12:$EH$12,$AW18)&gt;0)),$AV18,"")</f>
        <v/>
      </c>
      <c r="LR18" s="152">
        <f>IF(OR($AW18="",COUNTIF($ED$13:$EH$13,$AW18)&gt;0),$AV18,"")</f>
        <v/>
      </c>
      <c r="LS18" s="152">
        <f>IF(AND($AX18=1,OR($AW18="",COUNTIF($ED$13:$EH$13,$AW18)&gt;0)),$AV18,"")</f>
        <v/>
      </c>
      <c r="LX18" s="150" t="inlineStr">
        <is>
          <t>Ficha 2 · Básica 2</t>
        </is>
      </c>
      <c r="LY18" s="152" t="n">
        <v>2</v>
      </c>
      <c r="LZ18" s="152" t="n">
        <v>0</v>
      </c>
      <c r="MA18" s="152" t="n">
        <v>11</v>
      </c>
      <c r="MB18" s="150" t="inlineStr">
        <is>
          <t>BÁSICA 2</t>
        </is>
      </c>
      <c r="MC18" s="152" t="n">
        <v>0</v>
      </c>
      <c r="MD18" s="152">
        <f>'INVOCAÇÕES'!$J$290&amp;""</f>
        <v/>
      </c>
      <c r="ME18" s="152">
        <f>'INVOCAÇÕES'!$I$295&amp;""</f>
        <v/>
      </c>
      <c r="MF18" s="152">
        <f>'INVOCAÇÕES'!$I$296&amp;""</f>
        <v/>
      </c>
      <c r="MG18" s="152">
        <f>'INVOCAÇÕES'!$K$296&amp;""</f>
        <v/>
      </c>
      <c r="MH18" s="152">
        <f>'INVOCAÇÕES'!$J$299&amp;""</f>
        <v/>
      </c>
      <c r="MI18" s="152">
        <f>'INVOCAÇÕES'!$J$300&amp;""</f>
        <v/>
      </c>
      <c r="MJ18" s="152">
        <f>'INVOCAÇÕES'!$J$301&amp;""</f>
        <v/>
      </c>
      <c r="MK18" s="152">
        <f>'INVOCAÇÕES'!$J$302&amp;""</f>
        <v/>
      </c>
      <c r="ML18" s="152">
        <f>'INVOCAÇÕES'!$J$303&amp;""</f>
        <v/>
      </c>
      <c r="MM18" s="152">
        <f>'INVOCAÇÕES'!$J$304&amp;""</f>
        <v/>
      </c>
      <c r="MN18" s="152">
        <f>IF($MD18&lt;&gt;"",1,0)</f>
        <v/>
      </c>
      <c r="MO18" s="152">
        <f>INDEX($FG$2:$FG$13,$LY18)</f>
        <v/>
      </c>
      <c r="MP18" s="152">
        <f>INDEX($FH$2:$FH$13,$LY18)</f>
        <v/>
      </c>
      <c r="MQ18" s="152">
        <f>INDEX($FI$2:$FI$13,$LY18)</f>
        <v/>
      </c>
      <c r="MR18" s="152">
        <f>INDEX($FT$2:$FT$13,$LY18)</f>
        <v/>
      </c>
      <c r="MS18" s="152">
        <f>INDEX($FU$2:$FU$13,$LY18)</f>
        <v/>
      </c>
      <c r="MT18" s="152">
        <f>IFERROR(MATCH($ME18,$V$2:$V$11,0),0)</f>
        <v/>
      </c>
      <c r="MU18" s="152">
        <f>IFERROR(VLOOKUP($MH18,$AV$2:$AZ$84,2,FALSE),"")</f>
        <v/>
      </c>
      <c r="MV18" s="152">
        <f>IFERROR(VLOOKUP($MI18,$AV$2:$AZ$84,2,FALSE),"")</f>
        <v/>
      </c>
      <c r="MW18" s="152">
        <f>IFERROR(VLOOKUP($MJ18,$AV$2:$AZ$84,2,FALSE),"")</f>
        <v/>
      </c>
      <c r="MX18" s="152">
        <f>IFERROR(VLOOKUP($MK18,$AV$2:$AZ$84,2,FALSE),"")</f>
        <v/>
      </c>
      <c r="MY18" s="152">
        <f>IFERROR(VLOOKUP($MH18,$AV$2:$AZ$84,3,FALSE),0)</f>
        <v/>
      </c>
      <c r="MZ18" s="152">
        <f>IFERROR(VLOOKUP($MI18,$AV$2:$AZ$84,3,FALSE),0)</f>
        <v/>
      </c>
      <c r="NA18" s="152">
        <f>IFERROR(VLOOKUP($MJ18,$AV$2:$AZ$84,3,FALSE),0)</f>
        <v/>
      </c>
      <c r="NB18" s="152">
        <f>IFERROR(VLOOKUP($MK18,$AV$2:$AZ$84,3,FALSE),0)</f>
        <v/>
      </c>
      <c r="NC18" s="152">
        <f>IF($MC18=0,0,IF($MT18=0,0,INDEX($X$2:$X$11,$MT18)))</f>
        <v/>
      </c>
      <c r="ND18" s="152">
        <f>IF(OR($MY18=0,$MC18=0),0,$MY18+3*IF(AND($MU18&lt;&gt;"",OR($MU18=INDEX($ED$2:$ED$13,$LY18),$MU18=INDEX($EE$2:$EE$13,$LY18))),1,0))</f>
        <v/>
      </c>
      <c r="NE18" s="152">
        <f>IF(OR($MZ18=0,$MC18=0),0,$MZ18+3*IF(AND($MV18&lt;&gt;"",OR($MV18=INDEX($ED$2:$ED$13,$LY18),$MV18=INDEX($EE$2:$EE$13,$LY18))),1,0))</f>
        <v/>
      </c>
      <c r="NF18" s="152">
        <f>IF(OR($NA18=0,$MC18=0),0,$NA18+3*IF(AND($MW18&lt;&gt;"",OR($MW18=INDEX($ED$2:$ED$13,$LY18),$MW18=INDEX($EE$2:$EE$13,$LY18))),1,0))</f>
        <v/>
      </c>
      <c r="NG18" s="152">
        <f>IF(OR($NB18=0,$MC18=0),0,$NB18+3*IF(AND($MX18&lt;&gt;"",OR($MX18=INDEX($ED$2:$ED$13,$LY18),$MX18=INDEX($EE$2:$EE$13,$LY18))),1,0))</f>
        <v/>
      </c>
      <c r="NH18" s="152">
        <f>IF($MT18=0,0,IF(INDEX($W$2:$W$11,$MT18)="",0,IF(COUNTIF(INDEX($ED$2:$EH$13,$LY18,0),INDEX($W$2:$W$11,$MT18))=0,1,0)))</f>
        <v/>
      </c>
      <c r="NI18" s="152">
        <f>IF(OR($MY18=0,$MU18=""),0,IF(COUNTIF(INDEX($ED$2:$EH$13,$LY18,0),$MU18)=0,1,0))</f>
        <v/>
      </c>
      <c r="NJ18" s="152">
        <f>IF(OR($MZ18=0,$MV18=""),0,IF(COUNTIF(INDEX($ED$2:$EH$13,$LY18,0),$MV18)=0,1,0))</f>
        <v/>
      </c>
      <c r="NK18" s="152">
        <f>IF(OR($NA18=0,$MW18=""),0,IF(COUNTIF(INDEX($ED$2:$EH$13,$LY18,0),$MW18)=0,1,0))</f>
        <v/>
      </c>
      <c r="NL18" s="152">
        <f>IF(OR($NB18=0,$MX18=""),0,IF(COUNTIF(INDEX($ED$2:$EH$13,$LY18,0),$MX18)=0,1,0))</f>
        <v/>
      </c>
      <c r="NM18" s="152">
        <f>IFERROR(VLOOKUP($MH18,$AV$2:$AZ$84,4,FALSE),0)+IFERROR(VLOOKUP($MI18,$AV$2:$AZ$84,4,FALSE),0)+IFERROR(VLOOKUP($MJ18,$AV$2:$AZ$84,4,FALSE),0)+IFERROR(VLOOKUP($MK18,$AV$2:$AZ$84,4,FALSE),0)</f>
        <v/>
      </c>
      <c r="NN18" s="152">
        <f>TEXTJOIN(", ",TRUE,IF(IFERROR(VLOOKUP($MH18,$AV$2:$AZ$84,5,FALSE),0)=1,$MH18,""),IF(IFERROR(VLOOKUP($MI18,$AV$2:$AZ$84,5,FALSE),0)=1,$MI18,""),IF(IFERROR(VLOOKUP($MJ18,$AV$2:$AZ$84,5,FALSE),0)=1,$MJ18,""),IF(IFERROR(VLOOKUP($MK18,$AV$2:$AZ$84,5,FALSE),0)=1,$MK18,""))</f>
        <v/>
      </c>
      <c r="NO18" s="152">
        <f>IF($MT18=0,0,INDEX($Y$2:$Y$11,$MT18))</f>
        <v/>
      </c>
      <c r="NP18" s="152">
        <f>IF($MT18=0,0,INDEX($Z$2:$Z$11,$MT18))</f>
        <v/>
      </c>
      <c r="NQ18" s="152">
        <f>IF($MT18=0,0,INDEX($AB$2:$AB$11,$MT18))</f>
        <v/>
      </c>
      <c r="NR18" s="152">
        <f>IFERROR(VLOOKUP($ML18,$BB$2:$BF$24,3,FALSE),0)</f>
        <v/>
      </c>
      <c r="NS18" s="152">
        <f>IFERROR(VLOOKUP($MM18,$BB$2:$BF$24,3,FALSE),0)</f>
        <v/>
      </c>
      <c r="NT18" s="152">
        <f>IFERROR(VLOOKUP($ML18,$BB$2:$BF$24,2,FALSE),"")</f>
        <v/>
      </c>
      <c r="NU18" s="152">
        <f>IFERROR(VLOOKUP($MM18,$BB$2:$BF$24,2,FALSE),"")</f>
        <v/>
      </c>
      <c r="NV18" s="152">
        <f>COUNTIF($NC18:$NG18,1)</f>
        <v/>
      </c>
      <c r="NW18" s="152">
        <f>COUNTIF($NC18:$NG18,2)</f>
        <v/>
      </c>
      <c r="NX18" s="152">
        <f>COUNTIF($NC18:$NG18,3)</f>
        <v/>
      </c>
      <c r="NY18" s="152">
        <f>COUNTIF($NC18:$NG18,4)</f>
        <v/>
      </c>
      <c r="NZ18" s="152">
        <f>COUNTIF($NC18:$NG18,5)</f>
        <v/>
      </c>
      <c r="OA18" s="152">
        <f>COUNTIF($NC18:$NG18,6)</f>
        <v/>
      </c>
      <c r="OB18" s="152">
        <f>COUNTIF($NR18:$NS18,1)</f>
        <v/>
      </c>
      <c r="OC18" s="152">
        <f>COUNTIF($NR18:$NS18,2)+$NO18</f>
        <v/>
      </c>
      <c r="OD18" s="152">
        <f>COUNTIF($MH18:$MK18,"?*")</f>
        <v/>
      </c>
      <c r="OE18" s="152">
        <f>COUNTIF($ML18:$MM18,"?*")+$NO18</f>
        <v/>
      </c>
      <c r="OF18" s="152">
        <f>IF($MC18=0,0,SUMPRODUCT($NV18:$OA18,INDEX($I$2:$N$8,MAX(1,$MC18),0)))</f>
        <v/>
      </c>
      <c r="OG18" s="152">
        <f>IF($MC18=0,0,$OB18*CEILING($MC18/2,1)+$OC18*$MC18)</f>
        <v/>
      </c>
      <c r="OH18" s="152">
        <f>MIN(2*$MC18,$OG18)</f>
        <v/>
      </c>
      <c r="OI18" s="152">
        <f>MIN($OH18,$OF18)</f>
        <v/>
      </c>
      <c r="OJ18" s="152">
        <f>$OH18-$OI18</f>
        <v/>
      </c>
      <c r="OK18" s="152">
        <f>IF($MC18=0,0,INDEX($P$2:$P$8,MAX(1,$MC18)))</f>
        <v/>
      </c>
      <c r="OL18" s="152">
        <f>$OK18-$OF18+$OI18</f>
        <v/>
      </c>
      <c r="OM18" s="152">
        <f>IF($MC18=0,MAX(0,$MQ18-IF($OD18&gt;0,1,0)),MAX(0,$OL18))</f>
        <v/>
      </c>
      <c r="ON18" s="152">
        <f>IF($MC18=0,0,(IF(COUNTIF($MH18:$MK18,"Salto")&gt;0,1,0)+IF(COUNTIF($MH18:$MK18,"Queima")&gt;0,1,0)+IF(COUNTIF($MH18:$MK18,"Estilhaço")&gt;0,1,0))*FLOOR($OM18/2,1))</f>
        <v/>
      </c>
      <c r="OO18" s="152">
        <f>MAX(0,2-SUMPRODUCT($NV18:$OA18,$I$2:$N$2)+MIN(2,$OB18*1+$OC18*1,SUMPRODUCT($NV18:$OA18,$I$2:$N$2)))</f>
        <v/>
      </c>
      <c r="OP18" s="152">
        <f>MAX(0,4-SUMPRODUCT($NV18:$OA18,$I$3:$N$3)+MIN(4,$OB18*1+$OC18*2,SUMPRODUCT($NV18:$OA18,$I$3:$N$3)))</f>
        <v/>
      </c>
      <c r="OQ18" s="152">
        <f>MAX(0,6-SUMPRODUCT($NV18:$OA18,$I$4:$N$4)+MIN(6,$OB18*2+$OC18*3,SUMPRODUCT($NV18:$OA18,$I$4:$N$4)))</f>
        <v/>
      </c>
      <c r="OR18" s="152">
        <f>MAX(0,9-SUMPRODUCT($NV18:$OA18,$I$5:$N$5)+MIN(8,$OB18*2+$OC18*4,SUMPRODUCT($NV18:$OA18,$I$5:$N$5)))</f>
        <v/>
      </c>
      <c r="OS18" s="152">
        <f>MAX(0,11-SUMPRODUCT($NV18:$OA18,$I$6:$N$6)+MIN(10,$OB18*3+$OC18*5,SUMPRODUCT($NV18:$OA18,$I$6:$N$6)))</f>
        <v/>
      </c>
      <c r="OT18" s="152">
        <f>MAX(0,13-SUMPRODUCT($NV18:$OA18,$I$7:$N$7)+MIN(12,$OB18*3+$OC18*6,SUMPRODUCT($NV18:$OA18,$I$7:$N$7)))</f>
        <v/>
      </c>
      <c r="OU18" s="152">
        <f>MAX(0,16-SUMPRODUCT($NV18:$OA18,$I$8:$N$8)+MIN(14,$OB18*4+$OC18*7,SUMPRODUCT($NV18:$OA18,$I$8:$N$8)))</f>
        <v/>
      </c>
      <c r="OV18" s="152">
        <f>IF($NP18=2,3*$OO18&amp;" de vida temp.",IF($NP18=3,"sem dano",IF($OO18=0,IF($NP18=1,"sem cura","sem dano"),IF($NP18=1,"cura ","")&amp;$OO18&amp;"d8")))</f>
        <v/>
      </c>
      <c r="OW18" s="152">
        <f>IF($NP18=2,3*$OP18&amp;" de vida temp.",IF($NP18=3,"sem dano",IF($OP18=0,IF($NP18=1,"sem cura","sem dano"),IF($NP18=1,"cura ","")&amp;$OP18&amp;"d8")))</f>
        <v/>
      </c>
      <c r="OX18" s="152">
        <f>IF($NP18=2,3*$OQ18&amp;" de vida temp.",IF($NP18=3,"sem dano",IF($OQ18=0,IF($NP18=1,"sem cura","sem dano"),IF($NP18=1,"cura ","")&amp;$OQ18&amp;"d8")))</f>
        <v/>
      </c>
      <c r="OY18" s="152">
        <f>IF($NP18=2,3*$OR18&amp;" de vida temp.",IF($NP18=3,"sem dano",IF($OR18=0,IF($NP18=1,"sem cura","sem dano"),IF($NP18=1,"cura ","")&amp;$OR18&amp;"d8")))</f>
        <v/>
      </c>
      <c r="OZ18" s="152">
        <f>IF($NP18=2,3*$OS18&amp;" de vida temp.",IF($NP18=3,"sem dano",IF($OS18=0,IF($NP18=1,"sem cura","sem dano"),IF($NP18=1,"cura ","")&amp;$OS18&amp;"d8")))</f>
        <v/>
      </c>
      <c r="PA18" s="152">
        <f>IF($NP18=2,3*$OT18&amp;" de vida temp.",IF($NP18=3,"sem dano",IF($OT18=0,IF($NP18=1,"sem cura","sem dano"),IF($NP18=1,"cura ","")&amp;$OT18&amp;"d8")))</f>
        <v/>
      </c>
      <c r="PB18" s="152">
        <f>IF($NP18=2,3*$OU18&amp;" de vida temp.",IF($NP18=3,"sem dano",IF($OU18=0,IF($NP18=1,"sem cura","sem dano"),IF($NP18=1,"cura ","")&amp;$OU18&amp;"d8")))</f>
        <v/>
      </c>
      <c r="PC18" s="152">
        <f>IF($MN18=0,"",TEXTJOIN(" · ",TRUE,IF($MA18&gt;$MO18,"Este lugar abre no nível "&amp;$MA18,""),IF($MC18&gt;$MP18,"Classe "&amp;$MC18&amp;": o nível "&amp;$MO18&amp;" libera até a "&amp;$MP18,""),IF($NH18=1,"A Forma "&amp;$ME18&amp;" pede "&amp;INDEX($W$2:$W$11,$MT18)&amp;" aberta",""),IF(AND($MC18=0,$MT18&gt;0,IF($MT18=0,0,INDEX($AF$2:$AF$11,$MT18))=0),$ME18&amp;" não existe na Classe 0",""),IF($NI18=1,"Família Fechada: "&amp;$MH18,""),IF($NJ18=1,"Família Fechada: "&amp;$MI18,""),IF($NK18=1,"Família Fechada: "&amp;$MJ18,""),IF($NL18=1,"Família Fechada: "&amp;$MK18,""),IF(AND($MC18&gt;0,$OD18&gt;INDEX($O$2:$O$8,MAX(1,$MC18))),$OD18&amp;" Melhorias: a Classe "&amp;$MC18&amp;" aceita "&amp;INDEX($O$2:$O$8,MAX(1,$MC18)),""),IF(AND($MC18=0,$OD18&gt;1),"A básica aceita uma Melhoria",""),IF(AND($MC18=0,COUNTIF($MY18:$NB18,"&gt;1")&gt;0),"A básica só aceita Melhoria Leve",""),IF(AND($MC18&gt;0,$OE18&gt;2),$OE18&amp;" Restrições"&amp;IF($NO18=1,", contando a que a Forma "&amp;$ME18&amp;" já traz","")&amp;": o limite é 2",""),IF(AND($MC18=0,COUNTIF($ML18:$MM18,"?*")&gt;1),"A básica aceita uma Restrição Leve",""),IF(AND($MC18=0,COUNTIF($NR18:$NS18,2)&gt;0),"A básica só aceita Restrição Leve",""),IF(AND($MC18&gt;0,$OL18&lt;0),"Orçamento estourado: faltam "&amp;(-$OL18)&amp;IF($OL18&lt;-1," pontos"," ponto"),""),IF(IFERROR(VLOOKUP($ML18,$BB$2:$BF$24,4,FALSE),0)+IFERROR(VLOOKUP($MM18,$BB$2:$BF$24,4,FALSE),0)&gt;1,$NT18&amp;" e "&amp;$NU18&amp;" são as duas de frequência",""),IF(AND((COUNTIF($MH18:$MK18,"Rápido")+COUNTIF($NT18:$NU18,"Rápido"))&gt;0,(COUNTIF($MH18:$MK18,"Atrasar")+COUNTIF($NT18:$NU18,"Atrasar"))&gt;0),"Rápido não entra com Atrasar",""),IF(AND((COUNTIF($MH18:$MK18,"Reação")+COUNTIF($NT18:$NU18,"Reação"))&gt;0,(COUNTIF($MH18:$MK18,"Rápido")+COUNTIF($NT18:$NU18,"Rápido"))&gt;0),"Reação não entra com Rápido",""),IF(AND((COUNTIF($MH18:$MK18,"Reação")+COUNTIF($NT18:$NU18,"Reação"))&gt;0,(COUNTIF($MH18:$MK18,"Armado")+COUNTIF($NT18:$NU18,"Armado"))&gt;0),"Reação não entra com Armado",""),IF(AND((COUNTIF($MH18:$MK18,"Reação")+COUNTIF($NT18:$NU18,"Reação"))&gt;0,(COUNTIF($MH18:$MK18,"Atrasar")+COUNTIF($NT18:$NU18,"Atrasar"))&gt;0),"Reação não entra com Atrasar",""),IF(AND((COUNTIF($MH18:$MK18,"Reação")+COUNTIF($NT18:$NU18,"Reação"))&gt;0,(COUNTIF($MH18:$MK18,"Parado")+COUNTIF($NT18:$NU18,"Parado"))&gt;0),"Reação não entra com Parado",""),IF(AND((COUNTIF($MH18:$MK18,"Atrasar")+COUNTIF($NT18:$NU18,"Atrasar"))&gt;0,(COUNTIF($MH18:$MK18,"Parado")+COUNTIF($NT18:$NU18,"Parado"))&gt;0),"Atrasar não entra com Parado",""),IF(AND((COUNTIF($MH18:$MK18,"Armado")+COUNTIF($NT18:$NU18,"Armado"))&gt;0,(COUNTIF($MH18:$MK18,"Carregar")+COUNTIF($NT18:$NU18,"Carregar"))&gt;0),"Armado não entra com Carregar",""),IF(AND(COUNTIF($NT18:$NU18,"Corpo a Corpo")&gt;0,$NO18=0,OR($ME18="Cone",$ME18="Linha")),"Corpo a Corpo não entra em "&amp;$ME18,""),IF(AND(COUNTIF($NT18:$NU18,"Corpo a Corpo")&gt;0,$NO18=1),"A Forma "&amp;$ME18&amp;" já traz o Corpo a Corpo",""),IF(AND(COUNTIF($NT18:$NU18,"Tudo ou Nada")&gt;0,$NQ18=0),"Tudo ou Nada só entra em habilidade de Teste de Resistência",""),IF(AND(COUNTIF($MH18:$MK18,"Inescapável")&gt;0,OR($OD18&gt;1,$OE18&gt;0)),"Inescapável não aceita outra peça",""),IF(AND($MC18&gt;0,$OM18*IF(COUNTIF($MH18:$MK18,"Remate")&gt;0,1.25,1)+$ON18&gt;4*$MC18),($OM18*IF(COUNTIF($MH18:$MK18,"Remate")&gt;0,1.25,1)+$ON18)&amp;" dados somando repetições"&amp;IF(COUNTIF($MH18:$MK18,"Remate")&gt;0," e o Remate","")&amp;": o teto da Classe "&amp;$MC18&amp;" é "&amp;4*$MC18,"")))</f>
        <v/>
      </c>
      <c r="PD18" s="152">
        <f>IF($PC18="",0,(LEN($PC18)-LEN(SUBSTITUTE($PC18," · ","")))/3+1)</f>
        <v/>
      </c>
      <c r="PE18" s="152">
        <f>IF($MN18=0,"",TEXTJOIN(" · ",TRUE,IF($OG18&gt;2*$MC18,"A devolução parou no teto de "&amp;2*$MC18,""),IF($OJ18&gt;0,"Devolução perdida: "&amp;$OJ18&amp;IF($OJ18&gt;1," pontos"," ponto")&amp;" sem peça para pagar",""),IF(AND($NM18&gt;0,AND($MC18&gt;0,$NP18=0),$OM18=0),"Controle sem dano: uma rodada a mais e CD +2",""),IF(AND($NM18&gt;0,AND($MC18&gt;0,$NP18=0),$OM18&gt;0,$OM18&lt;=$MC18),"Controle com saldo até a Classe: uma rodada a mais",""),IF(AND($MC18&gt;0,$NN18&lt;&gt;""),"Efeito de "&amp;$NN18&amp;" pela Classe "&amp;MAX(1,$MC18-1),"")))</f>
        <v/>
      </c>
      <c r="PF18" s="152">
        <f>IF($PE18="",0,(LEN($PE18)-LEN(SUBSTITUTE($PE18," · ","")))/3+1)</f>
        <v/>
      </c>
      <c r="PG18" s="152">
        <f>IF($MN18=0,IF($OD18+COUNTIF($ML18:$MM18,"?*")&gt;0,"Dê um nome",""),IF($PD18&gt;0,"⚠ "&amp;$PD18&amp;IF($PD18&gt;1," erros"," erro"),IF($PF18&gt;0,"! "&amp;$PF18&amp;IF($PF18&gt;1," avisos"," aviso"),"Na regra")))</f>
        <v/>
      </c>
      <c r="PH18" s="152">
        <f>IF($MN18=0,"",IF($PD18+$PF18=0,"Dentro das regras que a ficha confere",$PC18&amp;IF(AND($PD18&gt;0,$PF18&gt;0)," · ","")&amp;$PE18))</f>
        <v/>
      </c>
      <c r="PI18" s="152">
        <f>IF($MA18&gt;$MO18,$MB18&amp;" · ABRE NO NÍVEL "&amp;$MA18,$MB18)</f>
        <v/>
      </c>
      <c r="PJ18" s="152">
        <f>IF($MN18=0,"",IF($MC18=0,"Sem PE",3*$MC18&amp;" PE"))</f>
        <v/>
      </c>
      <c r="PK18" s="152">
        <f>IF($MN18=0,"",IF($MC18=0,"A atuação básica dela",IF(COUNTIF($NT18:$NU18,"Atrasar")&gt;0,"Sua Ação Completa",IF(COUNTIF($MH18:$MK18,"Rápido")&gt;0,"Sua Bônus",IF(COUNTIF($MH18:$MK18,"Reação")&gt;0,"Sua Reação","Sua Padrão")))&amp;" + a básica dela"&amp;IF(COUNTIF($MH18:$MK18,"Reação")&gt;0," e a coletiva","")&amp;IF(COUNTIF($NT18:$NU18,"Carregar")&gt;0," · em dois turnos","")))</f>
        <v/>
      </c>
      <c r="PL18" s="152">
        <f>IF($MG18&lt;&gt;"",$MG18,IF($MT18=0,"",INDEX($AA$2:$AA$11,$MT18)))</f>
        <v/>
      </c>
      <c r="PM18" s="152">
        <f>IF(OR($MN18=0,$MT18=0),"",IF(COUNTIF($MH18:$MK18,"Inescapável")&gt;0,"Automático",IF($PL18="Ataque",IF($MR18="","Ataque","Ataque "&amp;IF(($MR18+2*IF(COUNTIF($MH18:$MK18,"Precisão")&gt;0,1,0))&gt;=0,"+","−")&amp;ABS(($MR18+2*IF(COUNTIF($MH18:$MK18,"Precisão")&gt;0,1,0)))),IF(LEFT($PL18,2)="TR",$PL18&amp;IF($MS18="",""," · CD "&amp;$MS18)&amp;IF(COUNTIF($MH18:$MK18,"Certeiro")&gt;0," · metade",""),"Sem rolagem"))))</f>
        <v/>
      </c>
      <c r="PN18" s="152">
        <f>IF(OR($MN18=0,$MT18=0),"",IF($MC18=0,IF(OR($NP18&gt;=1,$OM18=0),"Sem dano",$OM18&amp;"d6"&amp;IF($MF18="",""," "&amp;$MF18)),IF(OR($NP18&gt;=1,$OM18=0),UPPER(LEFT(INDEX($OV18:$PB18,1,MAX(1,$MC18)),1))&amp;MID(INDEX($OV18:$PB18,1,MAX(1,$MC18)),2,99),UPPER(LEFT(INDEX($OV18:$PB18,1,MAX(1,$MC18)),1))&amp;MID(INDEX($OV18:$PB18,1,MAX(1,$MC18)),2,99)&amp;IF($MF18="",""," "&amp;$MF18)&amp;IF($ON18&gt;0," · +"&amp;$ON18&amp;"d8",""))))</f>
        <v/>
      </c>
      <c r="PO18" s="152">
        <f>COUNTIF($MH18:$MK18,"Longe")+3*COUNTIF($MH18:$MK18,"Muito Longe")</f>
        <v/>
      </c>
      <c r="PP18" s="152">
        <f>COUNTIF($MH18:$MK18,"Maior")+3*COUNTIF($MH18:$MK18,"Muito Maior")</f>
        <v/>
      </c>
      <c r="PQ18" s="152">
        <f>IF($MT18=0,0,CHOOSE(1+INDEX($AC$2:$AC$11,$MT18),0,$PO18,$PP18,$PO18+$PP18))</f>
        <v/>
      </c>
      <c r="PR18" s="152">
        <f>IF($MT18=0,0,CHOOSE(1+INDEX($AD$2:$AD$11,$MT18),0,$PO18,$PP18,$PO18+$PP18))</f>
        <v/>
      </c>
      <c r="PS18" s="152">
        <f>IF(OR($MN18=0,$MT18=0),"",INDEX($AI$2:$AN$41,($MT18-1)*4+IF($MC18=0,1,IF($MC18&lt;=5,2,IF($MC18=6,3,4))),1+MIN(5,$PQ18))&amp;INDEX($AO$2:$AT$41,($MT18-1)*4+IF($MC18=0,1,IF($MC18&lt;=5,2,IF($MC18=6,3,4))),1+MIN(5,$PR18))&amp;IF(INDEX($AE$2:$AE$11,$MT18)=1,IF(COUNTIF($MH18:$MK18,"Mais Um")&gt;0," · +"&amp;COUNTIF($MH18:$MK18,"Mais Um")&amp;IF(COUNTIF($MH18:$MK18,"Mais Um")&gt;1," alvos"," alvo"),"")&amp;IF(COUNTIF($MH18:$MK18,"Rajada")&gt;0,IF($MC18=0," · 1 tiro"," · "&amp;(MAX(1,$MC18-1)+1)&amp;" tiros"),""),""))</f>
        <v/>
      </c>
      <c r="PT18" s="152">
        <f>IF($MN18=0,"",IF($MC18=0,$MQ18&amp;"d6"&amp;IF($OD18&gt;0," − 1 = "&amp;$OM18&amp;"d6"," da básica do nível "&amp;$MO18),$OK18&amp;" − "&amp;$OF18&amp;" + "&amp;$OI18&amp;" = "&amp;$OL18&amp;" · teto "&amp;4*$MC18&amp;"d8"&amp;IF($NO18=1," · a Forma devolve "&amp;$MC18,"")&amp;IF($OJ18&gt;0," · perde "&amp;$OJ18,"")))</f>
        <v/>
      </c>
      <c r="PU18" s="152">
        <f>IF($MN18=0,"",IF($MC18=0,"A básica não amplia: os dados dela sobem com o nível",IF($MC18&gt;=$MP18,"Já está na maior Classe que o nível liberou",TEXTJOIN(" · ",TRUE,IF(AND(2&gt;$MC18,2&lt;=$MP18),"2 → "&amp;$OW18&amp;", 6 PE",""),IF(AND(3&gt;$MC18,3&lt;=$MP18),"3 → "&amp;$OX18&amp;", 9 PE",""),IF(AND(4&gt;$MC18,4&lt;=$MP18),"4 → "&amp;$OY18&amp;", 12 PE",""),IF(AND(5&gt;$MC18,5&lt;=$MP18),"5 → "&amp;$OZ18&amp;", 15 PE",""),IF(AND(6&gt;$MC18,6&lt;=$MP18),"6 → "&amp;$PA18&amp;", 18 PE",""),IF(AND(7&gt;$MC18,7&lt;=$MP18),"7 → "&amp;$PB18&amp;", 21 PE","")))))</f>
        <v/>
      </c>
      <c r="PV18" s="152">
        <f>IF(OR($MN18=0,$MY18=0),"",IF($MC18=0,"−1 dado","−"&amp;INDEX($I$2:$N$8,MAX(1,$MC18),MAX(1,$ND18))&amp;" · "&amp;CHOOSE(MAX(1,$ND18),"Leve","Média","Pesada","Leve · Livre","Média · Livre","Pesada · Livre")))</f>
        <v/>
      </c>
      <c r="PW18" s="152">
        <f>IF(OR($MN18=0,$MZ18=0),"",IF($MC18=0,"−1 dado","−"&amp;INDEX($I$2:$N$8,MAX(1,$MC18),MAX(1,$NE18))&amp;" · "&amp;CHOOSE(MAX(1,$NE18),"Leve","Média","Pesada","Leve · Livre","Média · Livre","Pesada · Livre")))</f>
        <v/>
      </c>
      <c r="PX18" s="152">
        <f>IF(OR($MN18=0,$NA18=0),"",IF($MC18=0,"−1 dado","−"&amp;INDEX($I$2:$N$8,MAX(1,$MC18),MAX(1,$NF18))&amp;" · "&amp;CHOOSE(MAX(1,$NF18),"Leve","Média","Pesada","Leve · Livre","Média · Livre","Pesada · Livre")))</f>
        <v/>
      </c>
      <c r="PY18" s="152">
        <f>IF(OR($MN18=0,$NB18=0),"",IF($MC18=0,"−1 dado","−"&amp;INDEX($I$2:$N$8,MAX(1,$MC18),MAX(1,$NG18))&amp;" · "&amp;CHOOSE(MAX(1,$NG18),"Leve","Média","Pesada","Leve · Livre","Média · Livre","Pesada · Livre")))</f>
        <v/>
      </c>
      <c r="PZ18" s="152">
        <f>IF(OR($MN18=0,$ML18=""),"",IF($MC18=0,"não devolve","+"&amp;IF($NR18=1,CEILING($MC18/2,1),$MC18)))</f>
        <v/>
      </c>
      <c r="QA18" s="152">
        <f>IF(OR($MN18=0,$MM18=""),"",IF($MC18=0,"não devolve","+"&amp;IF($NS18=1,CEILING($MC18/2,1),$MC18)))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B19" s="150" t="inlineStr">
        <is>
          <t>Dívida</t>
        </is>
      </c>
      <c r="BC19" s="150" t="inlineStr">
        <is>
          <t>Dívida</t>
        </is>
      </c>
      <c r="BD19" s="152" t="n">
        <v>2</v>
      </c>
      <c r="BE19" s="152" t="n">
        <v>1</v>
      </c>
      <c r="BF19" s="150" t="inlineStr"/>
      <c r="BZ19" s="150" t="inlineStr">
        <is>
          <t>Percepção</t>
        </is>
      </c>
      <c r="CA19" s="150" t="inlineStr">
        <is>
          <t>Essência</t>
        </is>
      </c>
      <c r="JD19" s="152">
        <f>IF(OR($AW19="",COUNTIF($ED$2:$EH$2,$AW19)&gt;0),$AV19,"")</f>
        <v/>
      </c>
      <c r="JE19" s="152">
        <f>IF(AND($AX19=1,OR($AW19="",COUNTIF($ED$2:$EH$2,$AW19)&gt;0)),$AV19,"")</f>
        <v/>
      </c>
      <c r="JJ19" s="152">
        <f>IF(OR($AW19="",COUNTIF($ED$3:$EH$3,$AW19)&gt;0),$AV19,"")</f>
        <v/>
      </c>
      <c r="JK19" s="152">
        <f>IF(AND($AX19=1,OR($AW19="",COUNTIF($ED$3:$EH$3,$AW19)&gt;0)),$AV19,"")</f>
        <v/>
      </c>
      <c r="JP19" s="152">
        <f>IF(OR($AW19="",COUNTIF($ED$4:$EH$4,$AW19)&gt;0),$AV19,"")</f>
        <v/>
      </c>
      <c r="JQ19" s="152">
        <f>IF(AND($AX19=1,OR($AW19="",COUNTIF($ED$4:$EH$4,$AW19)&gt;0)),$AV19,"")</f>
        <v/>
      </c>
      <c r="JV19" s="152">
        <f>IF(OR($AW19="",COUNTIF($ED$5:$EH$5,$AW19)&gt;0),$AV19,"")</f>
        <v/>
      </c>
      <c r="JW19" s="152">
        <f>IF(AND($AX19=1,OR($AW19="",COUNTIF($ED$5:$EH$5,$AW19)&gt;0)),$AV19,"")</f>
        <v/>
      </c>
      <c r="KB19" s="152">
        <f>IF(OR($AW19="",COUNTIF($ED$6:$EH$6,$AW19)&gt;0),$AV19,"")</f>
        <v/>
      </c>
      <c r="KC19" s="152">
        <f>IF(AND($AX19=1,OR($AW19="",COUNTIF($ED$6:$EH$6,$AW19)&gt;0)),$AV19,"")</f>
        <v/>
      </c>
      <c r="KH19" s="152">
        <f>IF(OR($AW19="",COUNTIF($ED$7:$EH$7,$AW19)&gt;0),$AV19,"")</f>
        <v/>
      </c>
      <c r="KI19" s="152">
        <f>IF(AND($AX19=1,OR($AW19="",COUNTIF($ED$7:$EH$7,$AW19)&gt;0)),$AV19,"")</f>
        <v/>
      </c>
      <c r="KN19" s="152">
        <f>IF(OR($AW19="",COUNTIF($ED$8:$EH$8,$AW19)&gt;0),$AV19,"")</f>
        <v/>
      </c>
      <c r="KO19" s="152">
        <f>IF(AND($AX19=1,OR($AW19="",COUNTIF($ED$8:$EH$8,$AW19)&gt;0)),$AV19,"")</f>
        <v/>
      </c>
      <c r="KT19" s="152">
        <f>IF(OR($AW19="",COUNTIF($ED$9:$EH$9,$AW19)&gt;0),$AV19,"")</f>
        <v/>
      </c>
      <c r="KU19" s="152">
        <f>IF(AND($AX19=1,OR($AW19="",COUNTIF($ED$9:$EH$9,$AW19)&gt;0)),$AV19,"")</f>
        <v/>
      </c>
      <c r="KZ19" s="152">
        <f>IF(OR($AW19="",COUNTIF($ED$10:$EH$10,$AW19)&gt;0),$AV19,"")</f>
        <v/>
      </c>
      <c r="LA19" s="152">
        <f>IF(AND($AX19=1,OR($AW19="",COUNTIF($ED$10:$EH$10,$AW19)&gt;0)),$AV19,"")</f>
        <v/>
      </c>
      <c r="LF19" s="152">
        <f>IF(OR($AW19="",COUNTIF($ED$11:$EH$11,$AW19)&gt;0),$AV19,"")</f>
        <v/>
      </c>
      <c r="LG19" s="152">
        <f>IF(AND($AX19=1,OR($AW19="",COUNTIF($ED$11:$EH$11,$AW19)&gt;0)),$AV19,"")</f>
        <v/>
      </c>
      <c r="LL19" s="152">
        <f>IF(OR($AW19="",COUNTIF($ED$12:$EH$12,$AW19)&gt;0),$AV19,"")</f>
        <v/>
      </c>
      <c r="LM19" s="152">
        <f>IF(AND($AX19=1,OR($AW19="",COUNTIF($ED$12:$EH$12,$AW19)&gt;0)),$AV19,"")</f>
        <v/>
      </c>
      <c r="LR19" s="152">
        <f>IF(OR($AW19="",COUNTIF($ED$13:$EH$13,$AW19)&gt;0),$AV19,"")</f>
        <v/>
      </c>
      <c r="LS19" s="152">
        <f>IF(AND($AX19=1,OR($AW19="",COUNTIF($ED$13:$EH$13,$AW19)&gt;0)),$AV19,"")</f>
        <v/>
      </c>
      <c r="LX19" s="150" t="inlineStr">
        <is>
          <t>Ficha 2 · Especial 3</t>
        </is>
      </c>
      <c r="LY19" s="152" t="n">
        <v>2</v>
      </c>
      <c r="LZ19" s="152" t="n">
        <v>1</v>
      </c>
      <c r="MA19" s="152" t="n">
        <v>8</v>
      </c>
      <c r="MB19" s="150" t="inlineStr">
        <is>
          <t>ESPECIAL 3</t>
        </is>
      </c>
      <c r="MC19" s="152">
        <f>MAX(1,MIN(7,N('INVOCAÇÕES'!$O$290)))</f>
        <v/>
      </c>
      <c r="MD19" s="152">
        <f>'INVOCAÇÕES'!$P$290&amp;""</f>
        <v/>
      </c>
      <c r="ME19" s="152">
        <f>'INVOCAÇÕES'!$O$295&amp;""</f>
        <v/>
      </c>
      <c r="MF19" s="152">
        <f>'INVOCAÇÕES'!$O$296&amp;""</f>
        <v/>
      </c>
      <c r="MG19" s="152">
        <f>'INVOCAÇÕES'!$Q$296&amp;""</f>
        <v/>
      </c>
      <c r="MH19" s="152">
        <f>'INVOCAÇÕES'!$P$299&amp;""</f>
        <v/>
      </c>
      <c r="MI19" s="152">
        <f>'INVOCAÇÕES'!$P$300&amp;""</f>
        <v/>
      </c>
      <c r="MJ19" s="152">
        <f>'INVOCAÇÕES'!$P$301&amp;""</f>
        <v/>
      </c>
      <c r="MK19" s="152">
        <f>'INVOCAÇÕES'!$P$302&amp;""</f>
        <v/>
      </c>
      <c r="ML19" s="152">
        <f>'INVOCAÇÕES'!$P$303&amp;""</f>
        <v/>
      </c>
      <c r="MM19" s="152">
        <f>'INVOCAÇÕES'!$P$304&amp;""</f>
        <v/>
      </c>
      <c r="MN19" s="152">
        <f>IF($MD19&lt;&gt;"",1,0)</f>
        <v/>
      </c>
      <c r="MO19" s="152">
        <f>INDEX($FG$2:$FG$13,$LY19)</f>
        <v/>
      </c>
      <c r="MP19" s="152">
        <f>INDEX($FH$2:$FH$13,$LY19)</f>
        <v/>
      </c>
      <c r="MQ19" s="152">
        <f>INDEX($FI$2:$FI$13,$LY19)</f>
        <v/>
      </c>
      <c r="MR19" s="152">
        <f>INDEX($FT$2:$FT$13,$LY19)</f>
        <v/>
      </c>
      <c r="MS19" s="152">
        <f>INDEX($FU$2:$FU$13,$LY19)</f>
        <v/>
      </c>
      <c r="MT19" s="152">
        <f>IFERROR(MATCH($ME19,$V$2:$V$11,0),0)</f>
        <v/>
      </c>
      <c r="MU19" s="152">
        <f>IFERROR(VLOOKUP($MH19,$AV$2:$AZ$84,2,FALSE),"")</f>
        <v/>
      </c>
      <c r="MV19" s="152">
        <f>IFERROR(VLOOKUP($MI19,$AV$2:$AZ$84,2,FALSE),"")</f>
        <v/>
      </c>
      <c r="MW19" s="152">
        <f>IFERROR(VLOOKUP($MJ19,$AV$2:$AZ$84,2,FALSE),"")</f>
        <v/>
      </c>
      <c r="MX19" s="152">
        <f>IFERROR(VLOOKUP($MK19,$AV$2:$AZ$84,2,FALSE),"")</f>
        <v/>
      </c>
      <c r="MY19" s="152">
        <f>IFERROR(VLOOKUP($MH19,$AV$2:$AZ$84,3,FALSE),0)</f>
        <v/>
      </c>
      <c r="MZ19" s="152">
        <f>IFERROR(VLOOKUP($MI19,$AV$2:$AZ$84,3,FALSE),0)</f>
        <v/>
      </c>
      <c r="NA19" s="152">
        <f>IFERROR(VLOOKUP($MJ19,$AV$2:$AZ$84,3,FALSE),0)</f>
        <v/>
      </c>
      <c r="NB19" s="152">
        <f>IFERROR(VLOOKUP($MK19,$AV$2:$AZ$84,3,FALSE),0)</f>
        <v/>
      </c>
      <c r="NC19" s="152">
        <f>IF($MC19=0,0,IF($MT19=0,0,INDEX($X$2:$X$11,$MT19)))</f>
        <v/>
      </c>
      <c r="ND19" s="152">
        <f>IF(OR($MY19=0,$MC19=0),0,$MY19+3*IF(AND($MU19&lt;&gt;"",OR($MU19=INDEX($ED$2:$ED$13,$LY19),$MU19=INDEX($EE$2:$EE$13,$LY19))),1,0))</f>
        <v/>
      </c>
      <c r="NE19" s="152">
        <f>IF(OR($MZ19=0,$MC19=0),0,$MZ19+3*IF(AND($MV19&lt;&gt;"",OR($MV19=INDEX($ED$2:$ED$13,$LY19),$MV19=INDEX($EE$2:$EE$13,$LY19))),1,0))</f>
        <v/>
      </c>
      <c r="NF19" s="152">
        <f>IF(OR($NA19=0,$MC19=0),0,$NA19+3*IF(AND($MW19&lt;&gt;"",OR($MW19=INDEX($ED$2:$ED$13,$LY19),$MW19=INDEX($EE$2:$EE$13,$LY19))),1,0))</f>
        <v/>
      </c>
      <c r="NG19" s="152">
        <f>IF(OR($NB19=0,$MC19=0),0,$NB19+3*IF(AND($MX19&lt;&gt;"",OR($MX19=INDEX($ED$2:$ED$13,$LY19),$MX19=INDEX($EE$2:$EE$13,$LY19))),1,0))</f>
        <v/>
      </c>
      <c r="NH19" s="152">
        <f>IF($MT19=0,0,IF(INDEX($W$2:$W$11,$MT19)="",0,IF(COUNTIF(INDEX($ED$2:$EH$13,$LY19,0),INDEX($W$2:$W$11,$MT19))=0,1,0)))</f>
        <v/>
      </c>
      <c r="NI19" s="152">
        <f>IF(OR($MY19=0,$MU19=""),0,IF(COUNTIF(INDEX($ED$2:$EH$13,$LY19,0),$MU19)=0,1,0))</f>
        <v/>
      </c>
      <c r="NJ19" s="152">
        <f>IF(OR($MZ19=0,$MV19=""),0,IF(COUNTIF(INDEX($ED$2:$EH$13,$LY19,0),$MV19)=0,1,0))</f>
        <v/>
      </c>
      <c r="NK19" s="152">
        <f>IF(OR($NA19=0,$MW19=""),0,IF(COUNTIF(INDEX($ED$2:$EH$13,$LY19,0),$MW19)=0,1,0))</f>
        <v/>
      </c>
      <c r="NL19" s="152">
        <f>IF(OR($NB19=0,$MX19=""),0,IF(COUNTIF(INDEX($ED$2:$EH$13,$LY19,0),$MX19)=0,1,0))</f>
        <v/>
      </c>
      <c r="NM19" s="152">
        <f>IFERROR(VLOOKUP($MH19,$AV$2:$AZ$84,4,FALSE),0)+IFERROR(VLOOKUP($MI19,$AV$2:$AZ$84,4,FALSE),0)+IFERROR(VLOOKUP($MJ19,$AV$2:$AZ$84,4,FALSE),0)+IFERROR(VLOOKUP($MK19,$AV$2:$AZ$84,4,FALSE),0)</f>
        <v/>
      </c>
      <c r="NN19" s="152">
        <f>TEXTJOIN(", ",TRUE,IF(IFERROR(VLOOKUP($MH19,$AV$2:$AZ$84,5,FALSE),0)=1,$MH19,""),IF(IFERROR(VLOOKUP($MI19,$AV$2:$AZ$84,5,FALSE),0)=1,$MI19,""),IF(IFERROR(VLOOKUP($MJ19,$AV$2:$AZ$84,5,FALSE),0)=1,$MJ19,""),IF(IFERROR(VLOOKUP($MK19,$AV$2:$AZ$84,5,FALSE),0)=1,$MK19,""))</f>
        <v/>
      </c>
      <c r="NO19" s="152">
        <f>IF($MT19=0,0,INDEX($Y$2:$Y$11,$MT19))</f>
        <v/>
      </c>
      <c r="NP19" s="152">
        <f>IF($MT19=0,0,INDEX($Z$2:$Z$11,$MT19))</f>
        <v/>
      </c>
      <c r="NQ19" s="152">
        <f>IF($MT19=0,0,INDEX($AB$2:$AB$11,$MT19))</f>
        <v/>
      </c>
      <c r="NR19" s="152">
        <f>IFERROR(VLOOKUP($ML19,$BB$2:$BF$24,3,FALSE),0)</f>
        <v/>
      </c>
      <c r="NS19" s="152">
        <f>IFERROR(VLOOKUP($MM19,$BB$2:$BF$24,3,FALSE),0)</f>
        <v/>
      </c>
      <c r="NT19" s="152">
        <f>IFERROR(VLOOKUP($ML19,$BB$2:$BF$24,2,FALSE),"")</f>
        <v/>
      </c>
      <c r="NU19" s="152">
        <f>IFERROR(VLOOKUP($MM19,$BB$2:$BF$24,2,FALSE),"")</f>
        <v/>
      </c>
      <c r="NV19" s="152">
        <f>COUNTIF($NC19:$NG19,1)</f>
        <v/>
      </c>
      <c r="NW19" s="152">
        <f>COUNTIF($NC19:$NG19,2)</f>
        <v/>
      </c>
      <c r="NX19" s="152">
        <f>COUNTIF($NC19:$NG19,3)</f>
        <v/>
      </c>
      <c r="NY19" s="152">
        <f>COUNTIF($NC19:$NG19,4)</f>
        <v/>
      </c>
      <c r="NZ19" s="152">
        <f>COUNTIF($NC19:$NG19,5)</f>
        <v/>
      </c>
      <c r="OA19" s="152">
        <f>COUNTIF($NC19:$NG19,6)</f>
        <v/>
      </c>
      <c r="OB19" s="152">
        <f>COUNTIF($NR19:$NS19,1)</f>
        <v/>
      </c>
      <c r="OC19" s="152">
        <f>COUNTIF($NR19:$NS19,2)+$NO19</f>
        <v/>
      </c>
      <c r="OD19" s="152">
        <f>COUNTIF($MH19:$MK19,"?*")</f>
        <v/>
      </c>
      <c r="OE19" s="152">
        <f>COUNTIF($ML19:$MM19,"?*")+$NO19</f>
        <v/>
      </c>
      <c r="OF19" s="152">
        <f>IF($MC19=0,0,SUMPRODUCT($NV19:$OA19,INDEX($I$2:$N$8,MAX(1,$MC19),0)))</f>
        <v/>
      </c>
      <c r="OG19" s="152">
        <f>IF($MC19=0,0,$OB19*CEILING($MC19/2,1)+$OC19*$MC19)</f>
        <v/>
      </c>
      <c r="OH19" s="152">
        <f>MIN(2*$MC19,$OG19)</f>
        <v/>
      </c>
      <c r="OI19" s="152">
        <f>MIN($OH19,$OF19)</f>
        <v/>
      </c>
      <c r="OJ19" s="152">
        <f>$OH19-$OI19</f>
        <v/>
      </c>
      <c r="OK19" s="152">
        <f>IF($MC19=0,0,INDEX($P$2:$P$8,MAX(1,$MC19)))</f>
        <v/>
      </c>
      <c r="OL19" s="152">
        <f>$OK19-$OF19+$OI19</f>
        <v/>
      </c>
      <c r="OM19" s="152">
        <f>IF($MC19=0,MAX(0,$MQ19-IF($OD19&gt;0,1,0)),MAX(0,$OL19))</f>
        <v/>
      </c>
      <c r="ON19" s="152">
        <f>IF($MC19=0,0,(IF(COUNTIF($MH19:$MK19,"Salto")&gt;0,1,0)+IF(COUNTIF($MH19:$MK19,"Queima")&gt;0,1,0)+IF(COUNTIF($MH19:$MK19,"Estilhaço")&gt;0,1,0))*FLOOR($OM19/2,1))</f>
        <v/>
      </c>
      <c r="OO19" s="152">
        <f>MAX(0,2-SUMPRODUCT($NV19:$OA19,$I$2:$N$2)+MIN(2,$OB19*1+$OC19*1,SUMPRODUCT($NV19:$OA19,$I$2:$N$2)))</f>
        <v/>
      </c>
      <c r="OP19" s="152">
        <f>MAX(0,4-SUMPRODUCT($NV19:$OA19,$I$3:$N$3)+MIN(4,$OB19*1+$OC19*2,SUMPRODUCT($NV19:$OA19,$I$3:$N$3)))</f>
        <v/>
      </c>
      <c r="OQ19" s="152">
        <f>MAX(0,6-SUMPRODUCT($NV19:$OA19,$I$4:$N$4)+MIN(6,$OB19*2+$OC19*3,SUMPRODUCT($NV19:$OA19,$I$4:$N$4)))</f>
        <v/>
      </c>
      <c r="OR19" s="152">
        <f>MAX(0,9-SUMPRODUCT($NV19:$OA19,$I$5:$N$5)+MIN(8,$OB19*2+$OC19*4,SUMPRODUCT($NV19:$OA19,$I$5:$N$5)))</f>
        <v/>
      </c>
      <c r="OS19" s="152">
        <f>MAX(0,11-SUMPRODUCT($NV19:$OA19,$I$6:$N$6)+MIN(10,$OB19*3+$OC19*5,SUMPRODUCT($NV19:$OA19,$I$6:$N$6)))</f>
        <v/>
      </c>
      <c r="OT19" s="152">
        <f>MAX(0,13-SUMPRODUCT($NV19:$OA19,$I$7:$N$7)+MIN(12,$OB19*3+$OC19*6,SUMPRODUCT($NV19:$OA19,$I$7:$N$7)))</f>
        <v/>
      </c>
      <c r="OU19" s="152">
        <f>MAX(0,16-SUMPRODUCT($NV19:$OA19,$I$8:$N$8)+MIN(14,$OB19*4+$OC19*7,SUMPRODUCT($NV19:$OA19,$I$8:$N$8)))</f>
        <v/>
      </c>
      <c r="OV19" s="152">
        <f>IF($NP19=2,3*$OO19&amp;" de vida temp.",IF($NP19=3,"sem dano",IF($OO19=0,IF($NP19=1,"sem cura","sem dano"),IF($NP19=1,"cura ","")&amp;$OO19&amp;"d8")))</f>
        <v/>
      </c>
      <c r="OW19" s="152">
        <f>IF($NP19=2,3*$OP19&amp;" de vida temp.",IF($NP19=3,"sem dano",IF($OP19=0,IF($NP19=1,"sem cura","sem dano"),IF($NP19=1,"cura ","")&amp;$OP19&amp;"d8")))</f>
        <v/>
      </c>
      <c r="OX19" s="152">
        <f>IF($NP19=2,3*$OQ19&amp;" de vida temp.",IF($NP19=3,"sem dano",IF($OQ19=0,IF($NP19=1,"sem cura","sem dano"),IF($NP19=1,"cura ","")&amp;$OQ19&amp;"d8")))</f>
        <v/>
      </c>
      <c r="OY19" s="152">
        <f>IF($NP19=2,3*$OR19&amp;" de vida temp.",IF($NP19=3,"sem dano",IF($OR19=0,IF($NP19=1,"sem cura","sem dano"),IF($NP19=1,"cura ","")&amp;$OR19&amp;"d8")))</f>
        <v/>
      </c>
      <c r="OZ19" s="152">
        <f>IF($NP19=2,3*$OS19&amp;" de vida temp.",IF($NP19=3,"sem dano",IF($OS19=0,IF($NP19=1,"sem cura","sem dano"),IF($NP19=1,"cura ","")&amp;$OS19&amp;"d8")))</f>
        <v/>
      </c>
      <c r="PA19" s="152">
        <f>IF($NP19=2,3*$OT19&amp;" de vida temp.",IF($NP19=3,"sem dano",IF($OT19=0,IF($NP19=1,"sem cura","sem dano"),IF($NP19=1,"cura ","")&amp;$OT19&amp;"d8")))</f>
        <v/>
      </c>
      <c r="PB19" s="152">
        <f>IF($NP19=2,3*$OU19&amp;" de vida temp.",IF($NP19=3,"sem dano",IF($OU19=0,IF($NP19=1,"sem cura","sem dano"),IF($NP19=1,"cura ","")&amp;$OU19&amp;"d8")))</f>
        <v/>
      </c>
      <c r="PC19" s="152">
        <f>IF($MN19=0,"",TEXTJOIN(" · ",TRUE,IF($MA19&gt;$MO19,"Este lugar abre no nível "&amp;$MA19,""),IF($MC19&gt;$MP19,"Classe "&amp;$MC19&amp;": o nível "&amp;$MO19&amp;" libera até a "&amp;$MP19,""),IF($NH19=1,"A Forma "&amp;$ME19&amp;" pede "&amp;INDEX($W$2:$W$11,$MT19)&amp;" aberta",""),IF(AND($MC19=0,$MT19&gt;0,IF($MT19=0,0,INDEX($AF$2:$AF$11,$MT19))=0),$ME19&amp;" não existe na Classe 0",""),IF($NI19=1,"Família Fechada: "&amp;$MH19,""),IF($NJ19=1,"Família Fechada: "&amp;$MI19,""),IF($NK19=1,"Família Fechada: "&amp;$MJ19,""),IF($NL19=1,"Família Fechada: "&amp;$MK19,""),IF(AND($MC19&gt;0,$OD19&gt;INDEX($O$2:$O$8,MAX(1,$MC19))),$OD19&amp;" Melhorias: a Classe "&amp;$MC19&amp;" aceita "&amp;INDEX($O$2:$O$8,MAX(1,$MC19)),""),IF(AND($MC19=0,$OD19&gt;1),"A básica aceita uma Melhoria",""),IF(AND($MC19=0,COUNTIF($MY19:$NB19,"&gt;1")&gt;0),"A básica só aceita Melhoria Leve",""),IF(AND($MC19&gt;0,$OE19&gt;2),$OE19&amp;" Restrições"&amp;IF($NO19=1,", contando a que a Forma "&amp;$ME19&amp;" já traz","")&amp;": o limite é 2",""),IF(AND($MC19=0,COUNTIF($ML19:$MM19,"?*")&gt;1),"A básica aceita uma Restrição Leve",""),IF(AND($MC19=0,COUNTIF($NR19:$NS19,2)&gt;0),"A básica só aceita Restrição Leve",""),IF(AND($MC19&gt;0,$OL19&lt;0),"Orçamento estourado: faltam "&amp;(-$OL19)&amp;IF($OL19&lt;-1," pontos"," ponto"),""),IF(IFERROR(VLOOKUP($ML19,$BB$2:$BF$24,4,FALSE),0)+IFERROR(VLOOKUP($MM19,$BB$2:$BF$24,4,FALSE),0)&gt;1,$NT19&amp;" e "&amp;$NU19&amp;" são as duas de frequência",""),IF(AND((COUNTIF($MH19:$MK19,"Rápido")+COUNTIF($NT19:$NU19,"Rápido"))&gt;0,(COUNTIF($MH19:$MK19,"Atrasar")+COUNTIF($NT19:$NU19,"Atrasar"))&gt;0),"Rápido não entra com Atrasar",""),IF(AND((COUNTIF($MH19:$MK19,"Reação")+COUNTIF($NT19:$NU19,"Reação"))&gt;0,(COUNTIF($MH19:$MK19,"Rápido")+COUNTIF($NT19:$NU19,"Rápido"))&gt;0),"Reação não entra com Rápido",""),IF(AND((COUNTIF($MH19:$MK19,"Reação")+COUNTIF($NT19:$NU19,"Reação"))&gt;0,(COUNTIF($MH19:$MK19,"Armado")+COUNTIF($NT19:$NU19,"Armado"))&gt;0),"Reação não entra com Armado",""),IF(AND((COUNTIF($MH19:$MK19,"Reação")+COUNTIF($NT19:$NU19,"Reação"))&gt;0,(COUNTIF($MH19:$MK19,"Atrasar")+COUNTIF($NT19:$NU19,"Atrasar"))&gt;0),"Reação não entra com Atrasar",""),IF(AND((COUNTIF($MH19:$MK19,"Reação")+COUNTIF($NT19:$NU19,"Reação"))&gt;0,(COUNTIF($MH19:$MK19,"Parado")+COUNTIF($NT19:$NU19,"Parado"))&gt;0),"Reação não entra com Parado",""),IF(AND((COUNTIF($MH19:$MK19,"Atrasar")+COUNTIF($NT19:$NU19,"Atrasar"))&gt;0,(COUNTIF($MH19:$MK19,"Parado")+COUNTIF($NT19:$NU19,"Parado"))&gt;0),"Atrasar não entra com Parado",""),IF(AND((COUNTIF($MH19:$MK19,"Armado")+COUNTIF($NT19:$NU19,"Armado"))&gt;0,(COUNTIF($MH19:$MK19,"Carregar")+COUNTIF($NT19:$NU19,"Carregar"))&gt;0),"Armado não entra com Carregar",""),IF(AND(COUNTIF($NT19:$NU19,"Corpo a Corpo")&gt;0,$NO19=0,OR($ME19="Cone",$ME19="Linha")),"Corpo a Corpo não entra em "&amp;$ME19,""),IF(AND(COUNTIF($NT19:$NU19,"Corpo a Corpo")&gt;0,$NO19=1),"A Forma "&amp;$ME19&amp;" já traz o Corpo a Corpo",""),IF(AND(COUNTIF($NT19:$NU19,"Tudo ou Nada")&gt;0,$NQ19=0),"Tudo ou Nada só entra em habilidade de Teste de Resistência",""),IF(AND(COUNTIF($MH19:$MK19,"Inescapável")&gt;0,OR($OD19&gt;1,$OE19&gt;0)),"Inescapável não aceita outra peça",""),IF(AND($MC19&gt;0,$OM19*IF(COUNTIF($MH19:$MK19,"Remate")&gt;0,1.25,1)+$ON19&gt;4*$MC19),($OM19*IF(COUNTIF($MH19:$MK19,"Remate")&gt;0,1.25,1)+$ON19)&amp;" dados somando repetições"&amp;IF(COUNTIF($MH19:$MK19,"Remate")&gt;0," e o Remate","")&amp;": o teto da Classe "&amp;$MC19&amp;" é "&amp;4*$MC19,"")))</f>
        <v/>
      </c>
      <c r="PD19" s="152">
        <f>IF($PC19="",0,(LEN($PC19)-LEN(SUBSTITUTE($PC19," · ","")))/3+1)</f>
        <v/>
      </c>
      <c r="PE19" s="152">
        <f>IF($MN19=0,"",TEXTJOIN(" · ",TRUE,IF($OG19&gt;2*$MC19,"A devolução parou no teto de "&amp;2*$MC19,""),IF($OJ19&gt;0,"Devolução perdida: "&amp;$OJ19&amp;IF($OJ19&gt;1," pontos"," ponto")&amp;" sem peça para pagar",""),IF(AND($NM19&gt;0,AND($MC19&gt;0,$NP19=0),$OM19=0),"Controle sem dano: uma rodada a mais e CD +2",""),IF(AND($NM19&gt;0,AND($MC19&gt;0,$NP19=0),$OM19&gt;0,$OM19&lt;=$MC19),"Controle com saldo até a Classe: uma rodada a mais",""),IF(AND($MC19&gt;0,$NN19&lt;&gt;""),"Efeito de "&amp;$NN19&amp;" pela Classe "&amp;MAX(1,$MC19-1),"")))</f>
        <v/>
      </c>
      <c r="PF19" s="152">
        <f>IF($PE19="",0,(LEN($PE19)-LEN(SUBSTITUTE($PE19," · ","")))/3+1)</f>
        <v/>
      </c>
      <c r="PG19" s="152">
        <f>IF($MN19=0,IF($OD19+COUNTIF($ML19:$MM19,"?*")&gt;0,"Dê um nome",""),IF($PD19&gt;0,"⚠ "&amp;$PD19&amp;IF($PD19&gt;1," erros"," erro"),IF($PF19&gt;0,"! "&amp;$PF19&amp;IF($PF19&gt;1," avisos"," aviso"),"Na regra")))</f>
        <v/>
      </c>
      <c r="PH19" s="152">
        <f>IF($MN19=0,"",IF($PD19+$PF19=0,"Dentro das regras que a ficha confere",$PC19&amp;IF(AND($PD19&gt;0,$PF19&gt;0)," · ","")&amp;$PE19))</f>
        <v/>
      </c>
      <c r="PI19" s="152">
        <f>IF($MA19&gt;$MO19,$MB19&amp;" · ABRE NO NÍVEL "&amp;$MA19,$MB19)</f>
        <v/>
      </c>
      <c r="PJ19" s="152">
        <f>IF($MN19=0,"",IF($MC19=0,"Sem PE",3*$MC19&amp;" PE"))</f>
        <v/>
      </c>
      <c r="PK19" s="152">
        <f>IF($MN19=0,"",IF($MC19=0,"A atuação básica dela",IF(COUNTIF($NT19:$NU19,"Atrasar")&gt;0,"Sua Ação Completa",IF(COUNTIF($MH19:$MK19,"Rápido")&gt;0,"Sua Bônus",IF(COUNTIF($MH19:$MK19,"Reação")&gt;0,"Sua Reação","Sua Padrão")))&amp;" + a básica dela"&amp;IF(COUNTIF($MH19:$MK19,"Reação")&gt;0," e a coletiva","")&amp;IF(COUNTIF($NT19:$NU19,"Carregar")&gt;0," · em dois turnos","")))</f>
        <v/>
      </c>
      <c r="PL19" s="152">
        <f>IF($MG19&lt;&gt;"",$MG19,IF($MT19=0,"",INDEX($AA$2:$AA$11,$MT19)))</f>
        <v/>
      </c>
      <c r="PM19" s="152">
        <f>IF(OR($MN19=0,$MT19=0),"",IF(COUNTIF($MH19:$MK19,"Inescapável")&gt;0,"Automático",IF($PL19="Ataque",IF($MR19="","Ataque","Ataque "&amp;IF(($MR19+2*IF(COUNTIF($MH19:$MK19,"Precisão")&gt;0,1,0))&gt;=0,"+","−")&amp;ABS(($MR19+2*IF(COUNTIF($MH19:$MK19,"Precisão")&gt;0,1,0)))),IF(LEFT($PL19,2)="TR",$PL19&amp;IF($MS19="",""," · CD "&amp;$MS19)&amp;IF(COUNTIF($MH19:$MK19,"Certeiro")&gt;0," · metade",""),"Sem rolagem"))))</f>
        <v/>
      </c>
      <c r="PN19" s="152">
        <f>IF(OR($MN19=0,$MT19=0),"",IF($MC19=0,IF(OR($NP19&gt;=1,$OM19=0),"Sem dano",$OM19&amp;"d6"&amp;IF($MF19="",""," "&amp;$MF19)),IF(OR($NP19&gt;=1,$OM19=0),UPPER(LEFT(INDEX($OV19:$PB19,1,MAX(1,$MC19)),1))&amp;MID(INDEX($OV19:$PB19,1,MAX(1,$MC19)),2,99),UPPER(LEFT(INDEX($OV19:$PB19,1,MAX(1,$MC19)),1))&amp;MID(INDEX($OV19:$PB19,1,MAX(1,$MC19)),2,99)&amp;IF($MF19="",""," "&amp;$MF19)&amp;IF($ON19&gt;0," · +"&amp;$ON19&amp;"d8",""))))</f>
        <v/>
      </c>
      <c r="PO19" s="152">
        <f>COUNTIF($MH19:$MK19,"Longe")+3*COUNTIF($MH19:$MK19,"Muito Longe")</f>
        <v/>
      </c>
      <c r="PP19" s="152">
        <f>COUNTIF($MH19:$MK19,"Maior")+3*COUNTIF($MH19:$MK19,"Muito Maior")</f>
        <v/>
      </c>
      <c r="PQ19" s="152">
        <f>IF($MT19=0,0,CHOOSE(1+INDEX($AC$2:$AC$11,$MT19),0,$PO19,$PP19,$PO19+$PP19))</f>
        <v/>
      </c>
      <c r="PR19" s="152">
        <f>IF($MT19=0,0,CHOOSE(1+INDEX($AD$2:$AD$11,$MT19),0,$PO19,$PP19,$PO19+$PP19))</f>
        <v/>
      </c>
      <c r="PS19" s="152">
        <f>IF(OR($MN19=0,$MT19=0),"",INDEX($AI$2:$AN$41,($MT19-1)*4+IF($MC19=0,1,IF($MC19&lt;=5,2,IF($MC19=6,3,4))),1+MIN(5,$PQ19))&amp;INDEX($AO$2:$AT$41,($MT19-1)*4+IF($MC19=0,1,IF($MC19&lt;=5,2,IF($MC19=6,3,4))),1+MIN(5,$PR19))&amp;IF(INDEX($AE$2:$AE$11,$MT19)=1,IF(COUNTIF($MH19:$MK19,"Mais Um")&gt;0," · +"&amp;COUNTIF($MH19:$MK19,"Mais Um")&amp;IF(COUNTIF($MH19:$MK19,"Mais Um")&gt;1," alvos"," alvo"),"")&amp;IF(COUNTIF($MH19:$MK19,"Rajada")&gt;0,IF($MC19=0," · 1 tiro"," · "&amp;(MAX(1,$MC19-1)+1)&amp;" tiros"),""),""))</f>
        <v/>
      </c>
      <c r="PT19" s="152">
        <f>IF($MN19=0,"",IF($MC19=0,$MQ19&amp;"d6"&amp;IF($OD19&gt;0," − 1 = "&amp;$OM19&amp;"d6"," da básica do nível "&amp;$MO19),$OK19&amp;" − "&amp;$OF19&amp;" + "&amp;$OI19&amp;" = "&amp;$OL19&amp;" · teto "&amp;4*$MC19&amp;"d8"&amp;IF($NO19=1," · a Forma devolve "&amp;$MC19,"")&amp;IF($OJ19&gt;0," · perde "&amp;$OJ19,"")))</f>
        <v/>
      </c>
      <c r="PU19" s="152">
        <f>IF($MN19=0,"",IF($MC19=0,"A básica não amplia: os dados dela sobem com o nível",IF($MC19&gt;=$MP19,"Já está na maior Classe que o nível liberou",TEXTJOIN(" · ",TRUE,IF(AND(2&gt;$MC19,2&lt;=$MP19),"2 → "&amp;$OW19&amp;", 6 PE",""),IF(AND(3&gt;$MC19,3&lt;=$MP19),"3 → "&amp;$OX19&amp;", 9 PE",""),IF(AND(4&gt;$MC19,4&lt;=$MP19),"4 → "&amp;$OY19&amp;", 12 PE",""),IF(AND(5&gt;$MC19,5&lt;=$MP19),"5 → "&amp;$OZ19&amp;", 15 PE",""),IF(AND(6&gt;$MC19,6&lt;=$MP19),"6 → "&amp;$PA19&amp;", 18 PE",""),IF(AND(7&gt;$MC19,7&lt;=$MP19),"7 → "&amp;$PB19&amp;", 21 PE","")))))</f>
        <v/>
      </c>
      <c r="PV19" s="152">
        <f>IF(OR($MN19=0,$MY19=0),"",IF($MC19=0,"−1 dado","−"&amp;INDEX($I$2:$N$8,MAX(1,$MC19),MAX(1,$ND19))&amp;" · "&amp;CHOOSE(MAX(1,$ND19),"Leve","Média","Pesada","Leve · Livre","Média · Livre","Pesada · Livre")))</f>
        <v/>
      </c>
      <c r="PW19" s="152">
        <f>IF(OR($MN19=0,$MZ19=0),"",IF($MC19=0,"−1 dado","−"&amp;INDEX($I$2:$N$8,MAX(1,$MC19),MAX(1,$NE19))&amp;" · "&amp;CHOOSE(MAX(1,$NE19),"Leve","Média","Pesada","Leve · Livre","Média · Livre","Pesada · Livre")))</f>
        <v/>
      </c>
      <c r="PX19" s="152">
        <f>IF(OR($MN19=0,$NA19=0),"",IF($MC19=0,"−1 dado","−"&amp;INDEX($I$2:$N$8,MAX(1,$MC19),MAX(1,$NF19))&amp;" · "&amp;CHOOSE(MAX(1,$NF19),"Leve","Média","Pesada","Leve · Livre","Média · Livre","Pesada · Livre")))</f>
        <v/>
      </c>
      <c r="PY19" s="152">
        <f>IF(OR($MN19=0,$NB19=0),"",IF($MC19=0,"−1 dado","−"&amp;INDEX($I$2:$N$8,MAX(1,$MC19),MAX(1,$NG19))&amp;" · "&amp;CHOOSE(MAX(1,$NG19),"Leve","Média","Pesada","Leve · Livre","Média · Livre","Pesada · Livre")))</f>
        <v/>
      </c>
      <c r="PZ19" s="152">
        <f>IF(OR($MN19=0,$ML19=""),"",IF($MC19=0,"não devolve","+"&amp;IF($NR19=1,CEILING($MC19/2,1),$MC19)))</f>
        <v/>
      </c>
      <c r="QA19" s="152">
        <f>IF(OR($MN19=0,$MM19=""),"",IF($MC19=0,"não devolve","+"&amp;IF($NS19=1,CEILING($MC19/2,1),$MC19)))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B20" s="150" t="inlineStr">
        <is>
          <t>Tudo ou Nada</t>
        </is>
      </c>
      <c r="BC20" s="150" t="inlineStr">
        <is>
          <t>Tudo ou Nada</t>
        </is>
      </c>
      <c r="BD20" s="152" t="n">
        <v>1</v>
      </c>
      <c r="BE20" s="152" t="n">
        <v>0</v>
      </c>
      <c r="BF20" s="150" t="inlineStr">
        <is>
          <t>Tudo ou Nada</t>
        </is>
      </c>
      <c r="BZ20" s="150" t="inlineStr">
        <is>
          <t>Persuasão</t>
        </is>
      </c>
      <c r="CA20" s="150" t="inlineStr">
        <is>
          <t>Essência</t>
        </is>
      </c>
      <c r="JD20" s="152">
        <f>IF(OR($AW20="",COUNTIF($ED$2:$EH$2,$AW20)&gt;0),$AV20,"")</f>
        <v/>
      </c>
      <c r="JE20" s="152">
        <f>IF(AND($AX20=1,OR($AW20="",COUNTIF($ED$2:$EH$2,$AW20)&gt;0)),$AV20,"")</f>
        <v/>
      </c>
      <c r="JJ20" s="152">
        <f>IF(OR($AW20="",COUNTIF($ED$3:$EH$3,$AW20)&gt;0),$AV20,"")</f>
        <v/>
      </c>
      <c r="JK20" s="152">
        <f>IF(AND($AX20=1,OR($AW20="",COUNTIF($ED$3:$EH$3,$AW20)&gt;0)),$AV20,"")</f>
        <v/>
      </c>
      <c r="JP20" s="152">
        <f>IF(OR($AW20="",COUNTIF($ED$4:$EH$4,$AW20)&gt;0),$AV20,"")</f>
        <v/>
      </c>
      <c r="JQ20" s="152">
        <f>IF(AND($AX20=1,OR($AW20="",COUNTIF($ED$4:$EH$4,$AW20)&gt;0)),$AV20,"")</f>
        <v/>
      </c>
      <c r="JV20" s="152">
        <f>IF(OR($AW20="",COUNTIF($ED$5:$EH$5,$AW20)&gt;0),$AV20,"")</f>
        <v/>
      </c>
      <c r="JW20" s="152">
        <f>IF(AND($AX20=1,OR($AW20="",COUNTIF($ED$5:$EH$5,$AW20)&gt;0)),$AV20,"")</f>
        <v/>
      </c>
      <c r="KB20" s="152">
        <f>IF(OR($AW20="",COUNTIF($ED$6:$EH$6,$AW20)&gt;0),$AV20,"")</f>
        <v/>
      </c>
      <c r="KC20" s="152">
        <f>IF(AND($AX20=1,OR($AW20="",COUNTIF($ED$6:$EH$6,$AW20)&gt;0)),$AV20,"")</f>
        <v/>
      </c>
      <c r="KH20" s="152">
        <f>IF(OR($AW20="",COUNTIF($ED$7:$EH$7,$AW20)&gt;0),$AV20,"")</f>
        <v/>
      </c>
      <c r="KI20" s="152">
        <f>IF(AND($AX20=1,OR($AW20="",COUNTIF($ED$7:$EH$7,$AW20)&gt;0)),$AV20,"")</f>
        <v/>
      </c>
      <c r="KN20" s="152">
        <f>IF(OR($AW20="",COUNTIF($ED$8:$EH$8,$AW20)&gt;0),$AV20,"")</f>
        <v/>
      </c>
      <c r="KO20" s="152">
        <f>IF(AND($AX20=1,OR($AW20="",COUNTIF($ED$8:$EH$8,$AW20)&gt;0)),$AV20,"")</f>
        <v/>
      </c>
      <c r="KT20" s="152">
        <f>IF(OR($AW20="",COUNTIF($ED$9:$EH$9,$AW20)&gt;0),$AV20,"")</f>
        <v/>
      </c>
      <c r="KU20" s="152">
        <f>IF(AND($AX20=1,OR($AW20="",COUNTIF($ED$9:$EH$9,$AW20)&gt;0)),$AV20,"")</f>
        <v/>
      </c>
      <c r="KZ20" s="152">
        <f>IF(OR($AW20="",COUNTIF($ED$10:$EH$10,$AW20)&gt;0),$AV20,"")</f>
        <v/>
      </c>
      <c r="LA20" s="152">
        <f>IF(AND($AX20=1,OR($AW20="",COUNTIF($ED$10:$EH$10,$AW20)&gt;0)),$AV20,"")</f>
        <v/>
      </c>
      <c r="LF20" s="152">
        <f>IF(OR($AW20="",COUNTIF($ED$11:$EH$11,$AW20)&gt;0),$AV20,"")</f>
        <v/>
      </c>
      <c r="LG20" s="152">
        <f>IF(AND($AX20=1,OR($AW20="",COUNTIF($ED$11:$EH$11,$AW20)&gt;0)),$AV20,"")</f>
        <v/>
      </c>
      <c r="LL20" s="152">
        <f>IF(OR($AW20="",COUNTIF($ED$12:$EH$12,$AW20)&gt;0),$AV20,"")</f>
        <v/>
      </c>
      <c r="LM20" s="152">
        <f>IF(AND($AX20=1,OR($AW20="",COUNTIF($ED$12:$EH$12,$AW20)&gt;0)),$AV20,"")</f>
        <v/>
      </c>
      <c r="LR20" s="152">
        <f>IF(OR($AW20="",COUNTIF($ED$13:$EH$13,$AW20)&gt;0),$AV20,"")</f>
        <v/>
      </c>
      <c r="LS20" s="152">
        <f>IF(AND($AX20=1,OR($AW20="",COUNTIF($ED$13:$EH$13,$AW20)&gt;0)),$AV20,"")</f>
        <v/>
      </c>
      <c r="LX20" s="150" t="inlineStr">
        <is>
          <t>Ficha 2 · Especial 4</t>
        </is>
      </c>
      <c r="LY20" s="152" t="n">
        <v>2</v>
      </c>
      <c r="LZ20" s="152" t="n">
        <v>1</v>
      </c>
      <c r="MA20" s="152" t="n">
        <v>12</v>
      </c>
      <c r="MB20" s="150" t="inlineStr">
        <is>
          <t>ESPECIAL 4</t>
        </is>
      </c>
      <c r="MC20" s="152">
        <f>MAX(1,MIN(7,N('INVOCAÇÕES'!$U$290)))</f>
        <v/>
      </c>
      <c r="MD20" s="152">
        <f>'INVOCAÇÕES'!$V$290&amp;""</f>
        <v/>
      </c>
      <c r="ME20" s="152">
        <f>'INVOCAÇÕES'!$U$295&amp;""</f>
        <v/>
      </c>
      <c r="MF20" s="152">
        <f>'INVOCAÇÕES'!$U$296&amp;""</f>
        <v/>
      </c>
      <c r="MG20" s="152">
        <f>'INVOCAÇÕES'!$W$296&amp;""</f>
        <v/>
      </c>
      <c r="MH20" s="152">
        <f>'INVOCAÇÕES'!$V$299&amp;""</f>
        <v/>
      </c>
      <c r="MI20" s="152">
        <f>'INVOCAÇÕES'!$V$300&amp;""</f>
        <v/>
      </c>
      <c r="MJ20" s="152">
        <f>'INVOCAÇÕES'!$V$301&amp;""</f>
        <v/>
      </c>
      <c r="MK20" s="152">
        <f>'INVOCAÇÕES'!$V$302&amp;""</f>
        <v/>
      </c>
      <c r="ML20" s="152">
        <f>'INVOCAÇÕES'!$V$303&amp;""</f>
        <v/>
      </c>
      <c r="MM20" s="152">
        <f>'INVOCAÇÕES'!$V$304&amp;""</f>
        <v/>
      </c>
      <c r="MN20" s="152">
        <f>IF($MD20&lt;&gt;"",1,0)</f>
        <v/>
      </c>
      <c r="MO20" s="152">
        <f>INDEX($FG$2:$FG$13,$LY20)</f>
        <v/>
      </c>
      <c r="MP20" s="152">
        <f>INDEX($FH$2:$FH$13,$LY20)</f>
        <v/>
      </c>
      <c r="MQ20" s="152">
        <f>INDEX($FI$2:$FI$13,$LY20)</f>
        <v/>
      </c>
      <c r="MR20" s="152">
        <f>INDEX($FT$2:$FT$13,$LY20)</f>
        <v/>
      </c>
      <c r="MS20" s="152">
        <f>INDEX($FU$2:$FU$13,$LY20)</f>
        <v/>
      </c>
      <c r="MT20" s="152">
        <f>IFERROR(MATCH($ME20,$V$2:$V$11,0),0)</f>
        <v/>
      </c>
      <c r="MU20" s="152">
        <f>IFERROR(VLOOKUP($MH20,$AV$2:$AZ$84,2,FALSE),"")</f>
        <v/>
      </c>
      <c r="MV20" s="152">
        <f>IFERROR(VLOOKUP($MI20,$AV$2:$AZ$84,2,FALSE),"")</f>
        <v/>
      </c>
      <c r="MW20" s="152">
        <f>IFERROR(VLOOKUP($MJ20,$AV$2:$AZ$84,2,FALSE),"")</f>
        <v/>
      </c>
      <c r="MX20" s="152">
        <f>IFERROR(VLOOKUP($MK20,$AV$2:$AZ$84,2,FALSE),"")</f>
        <v/>
      </c>
      <c r="MY20" s="152">
        <f>IFERROR(VLOOKUP($MH20,$AV$2:$AZ$84,3,FALSE),0)</f>
        <v/>
      </c>
      <c r="MZ20" s="152">
        <f>IFERROR(VLOOKUP($MI20,$AV$2:$AZ$84,3,FALSE),0)</f>
        <v/>
      </c>
      <c r="NA20" s="152">
        <f>IFERROR(VLOOKUP($MJ20,$AV$2:$AZ$84,3,FALSE),0)</f>
        <v/>
      </c>
      <c r="NB20" s="152">
        <f>IFERROR(VLOOKUP($MK20,$AV$2:$AZ$84,3,FALSE),0)</f>
        <v/>
      </c>
      <c r="NC20" s="152">
        <f>IF($MC20=0,0,IF($MT20=0,0,INDEX($X$2:$X$11,$MT20)))</f>
        <v/>
      </c>
      <c r="ND20" s="152">
        <f>IF(OR($MY20=0,$MC20=0),0,$MY20+3*IF(AND($MU20&lt;&gt;"",OR($MU20=INDEX($ED$2:$ED$13,$LY20),$MU20=INDEX($EE$2:$EE$13,$LY20))),1,0))</f>
        <v/>
      </c>
      <c r="NE20" s="152">
        <f>IF(OR($MZ20=0,$MC20=0),0,$MZ20+3*IF(AND($MV20&lt;&gt;"",OR($MV20=INDEX($ED$2:$ED$13,$LY20),$MV20=INDEX($EE$2:$EE$13,$LY20))),1,0))</f>
        <v/>
      </c>
      <c r="NF20" s="152">
        <f>IF(OR($NA20=0,$MC20=0),0,$NA20+3*IF(AND($MW20&lt;&gt;"",OR($MW20=INDEX($ED$2:$ED$13,$LY20),$MW20=INDEX($EE$2:$EE$13,$LY20))),1,0))</f>
        <v/>
      </c>
      <c r="NG20" s="152">
        <f>IF(OR($NB20=0,$MC20=0),0,$NB20+3*IF(AND($MX20&lt;&gt;"",OR($MX20=INDEX($ED$2:$ED$13,$LY20),$MX20=INDEX($EE$2:$EE$13,$LY20))),1,0))</f>
        <v/>
      </c>
      <c r="NH20" s="152">
        <f>IF($MT20=0,0,IF(INDEX($W$2:$W$11,$MT20)="",0,IF(COUNTIF(INDEX($ED$2:$EH$13,$LY20,0),INDEX($W$2:$W$11,$MT20))=0,1,0)))</f>
        <v/>
      </c>
      <c r="NI20" s="152">
        <f>IF(OR($MY20=0,$MU20=""),0,IF(COUNTIF(INDEX($ED$2:$EH$13,$LY20,0),$MU20)=0,1,0))</f>
        <v/>
      </c>
      <c r="NJ20" s="152">
        <f>IF(OR($MZ20=0,$MV20=""),0,IF(COUNTIF(INDEX($ED$2:$EH$13,$LY20,0),$MV20)=0,1,0))</f>
        <v/>
      </c>
      <c r="NK20" s="152">
        <f>IF(OR($NA20=0,$MW20=""),0,IF(COUNTIF(INDEX($ED$2:$EH$13,$LY20,0),$MW20)=0,1,0))</f>
        <v/>
      </c>
      <c r="NL20" s="152">
        <f>IF(OR($NB20=0,$MX20=""),0,IF(COUNTIF(INDEX($ED$2:$EH$13,$LY20,0),$MX20)=0,1,0))</f>
        <v/>
      </c>
      <c r="NM20" s="152">
        <f>IFERROR(VLOOKUP($MH20,$AV$2:$AZ$84,4,FALSE),0)+IFERROR(VLOOKUP($MI20,$AV$2:$AZ$84,4,FALSE),0)+IFERROR(VLOOKUP($MJ20,$AV$2:$AZ$84,4,FALSE),0)+IFERROR(VLOOKUP($MK20,$AV$2:$AZ$84,4,FALSE),0)</f>
        <v/>
      </c>
      <c r="NN20" s="152">
        <f>TEXTJOIN(", ",TRUE,IF(IFERROR(VLOOKUP($MH20,$AV$2:$AZ$84,5,FALSE),0)=1,$MH20,""),IF(IFERROR(VLOOKUP($MI20,$AV$2:$AZ$84,5,FALSE),0)=1,$MI20,""),IF(IFERROR(VLOOKUP($MJ20,$AV$2:$AZ$84,5,FALSE),0)=1,$MJ20,""),IF(IFERROR(VLOOKUP($MK20,$AV$2:$AZ$84,5,FALSE),0)=1,$MK20,""))</f>
        <v/>
      </c>
      <c r="NO20" s="152">
        <f>IF($MT20=0,0,INDEX($Y$2:$Y$11,$MT20))</f>
        <v/>
      </c>
      <c r="NP20" s="152">
        <f>IF($MT20=0,0,INDEX($Z$2:$Z$11,$MT20))</f>
        <v/>
      </c>
      <c r="NQ20" s="152">
        <f>IF($MT20=0,0,INDEX($AB$2:$AB$11,$MT20))</f>
        <v/>
      </c>
      <c r="NR20" s="152">
        <f>IFERROR(VLOOKUP($ML20,$BB$2:$BF$24,3,FALSE),0)</f>
        <v/>
      </c>
      <c r="NS20" s="152">
        <f>IFERROR(VLOOKUP($MM20,$BB$2:$BF$24,3,FALSE),0)</f>
        <v/>
      </c>
      <c r="NT20" s="152">
        <f>IFERROR(VLOOKUP($ML20,$BB$2:$BF$24,2,FALSE),"")</f>
        <v/>
      </c>
      <c r="NU20" s="152">
        <f>IFERROR(VLOOKUP($MM20,$BB$2:$BF$24,2,FALSE),"")</f>
        <v/>
      </c>
      <c r="NV20" s="152">
        <f>COUNTIF($NC20:$NG20,1)</f>
        <v/>
      </c>
      <c r="NW20" s="152">
        <f>COUNTIF($NC20:$NG20,2)</f>
        <v/>
      </c>
      <c r="NX20" s="152">
        <f>COUNTIF($NC20:$NG20,3)</f>
        <v/>
      </c>
      <c r="NY20" s="152">
        <f>COUNTIF($NC20:$NG20,4)</f>
        <v/>
      </c>
      <c r="NZ20" s="152">
        <f>COUNTIF($NC20:$NG20,5)</f>
        <v/>
      </c>
      <c r="OA20" s="152">
        <f>COUNTIF($NC20:$NG20,6)</f>
        <v/>
      </c>
      <c r="OB20" s="152">
        <f>COUNTIF($NR20:$NS20,1)</f>
        <v/>
      </c>
      <c r="OC20" s="152">
        <f>COUNTIF($NR20:$NS20,2)+$NO20</f>
        <v/>
      </c>
      <c r="OD20" s="152">
        <f>COUNTIF($MH20:$MK20,"?*")</f>
        <v/>
      </c>
      <c r="OE20" s="152">
        <f>COUNTIF($ML20:$MM20,"?*")+$NO20</f>
        <v/>
      </c>
      <c r="OF20" s="152">
        <f>IF($MC20=0,0,SUMPRODUCT($NV20:$OA20,INDEX($I$2:$N$8,MAX(1,$MC20),0)))</f>
        <v/>
      </c>
      <c r="OG20" s="152">
        <f>IF($MC20=0,0,$OB20*CEILING($MC20/2,1)+$OC20*$MC20)</f>
        <v/>
      </c>
      <c r="OH20" s="152">
        <f>MIN(2*$MC20,$OG20)</f>
        <v/>
      </c>
      <c r="OI20" s="152">
        <f>MIN($OH20,$OF20)</f>
        <v/>
      </c>
      <c r="OJ20" s="152">
        <f>$OH20-$OI20</f>
        <v/>
      </c>
      <c r="OK20" s="152">
        <f>IF($MC20=0,0,INDEX($P$2:$P$8,MAX(1,$MC20)))</f>
        <v/>
      </c>
      <c r="OL20" s="152">
        <f>$OK20-$OF20+$OI20</f>
        <v/>
      </c>
      <c r="OM20" s="152">
        <f>IF($MC20=0,MAX(0,$MQ20-IF($OD20&gt;0,1,0)),MAX(0,$OL20))</f>
        <v/>
      </c>
      <c r="ON20" s="152">
        <f>IF($MC20=0,0,(IF(COUNTIF($MH20:$MK20,"Salto")&gt;0,1,0)+IF(COUNTIF($MH20:$MK20,"Queima")&gt;0,1,0)+IF(COUNTIF($MH20:$MK20,"Estilhaço")&gt;0,1,0))*FLOOR($OM20/2,1))</f>
        <v/>
      </c>
      <c r="OO20" s="152">
        <f>MAX(0,2-SUMPRODUCT($NV20:$OA20,$I$2:$N$2)+MIN(2,$OB20*1+$OC20*1,SUMPRODUCT($NV20:$OA20,$I$2:$N$2)))</f>
        <v/>
      </c>
      <c r="OP20" s="152">
        <f>MAX(0,4-SUMPRODUCT($NV20:$OA20,$I$3:$N$3)+MIN(4,$OB20*1+$OC20*2,SUMPRODUCT($NV20:$OA20,$I$3:$N$3)))</f>
        <v/>
      </c>
      <c r="OQ20" s="152">
        <f>MAX(0,6-SUMPRODUCT($NV20:$OA20,$I$4:$N$4)+MIN(6,$OB20*2+$OC20*3,SUMPRODUCT($NV20:$OA20,$I$4:$N$4)))</f>
        <v/>
      </c>
      <c r="OR20" s="152">
        <f>MAX(0,9-SUMPRODUCT($NV20:$OA20,$I$5:$N$5)+MIN(8,$OB20*2+$OC20*4,SUMPRODUCT($NV20:$OA20,$I$5:$N$5)))</f>
        <v/>
      </c>
      <c r="OS20" s="152">
        <f>MAX(0,11-SUMPRODUCT($NV20:$OA20,$I$6:$N$6)+MIN(10,$OB20*3+$OC20*5,SUMPRODUCT($NV20:$OA20,$I$6:$N$6)))</f>
        <v/>
      </c>
      <c r="OT20" s="152">
        <f>MAX(0,13-SUMPRODUCT($NV20:$OA20,$I$7:$N$7)+MIN(12,$OB20*3+$OC20*6,SUMPRODUCT($NV20:$OA20,$I$7:$N$7)))</f>
        <v/>
      </c>
      <c r="OU20" s="152">
        <f>MAX(0,16-SUMPRODUCT($NV20:$OA20,$I$8:$N$8)+MIN(14,$OB20*4+$OC20*7,SUMPRODUCT($NV20:$OA20,$I$8:$N$8)))</f>
        <v/>
      </c>
      <c r="OV20" s="152">
        <f>IF($NP20=2,3*$OO20&amp;" de vida temp.",IF($NP20=3,"sem dano",IF($OO20=0,IF($NP20=1,"sem cura","sem dano"),IF($NP20=1,"cura ","")&amp;$OO20&amp;"d8")))</f>
        <v/>
      </c>
      <c r="OW20" s="152">
        <f>IF($NP20=2,3*$OP20&amp;" de vida temp.",IF($NP20=3,"sem dano",IF($OP20=0,IF($NP20=1,"sem cura","sem dano"),IF($NP20=1,"cura ","")&amp;$OP20&amp;"d8")))</f>
        <v/>
      </c>
      <c r="OX20" s="152">
        <f>IF($NP20=2,3*$OQ20&amp;" de vida temp.",IF($NP20=3,"sem dano",IF($OQ20=0,IF($NP20=1,"sem cura","sem dano"),IF($NP20=1,"cura ","")&amp;$OQ20&amp;"d8")))</f>
        <v/>
      </c>
      <c r="OY20" s="152">
        <f>IF($NP20=2,3*$OR20&amp;" de vida temp.",IF($NP20=3,"sem dano",IF($OR20=0,IF($NP20=1,"sem cura","sem dano"),IF($NP20=1,"cura ","")&amp;$OR20&amp;"d8")))</f>
        <v/>
      </c>
      <c r="OZ20" s="152">
        <f>IF($NP20=2,3*$OS20&amp;" de vida temp.",IF($NP20=3,"sem dano",IF($OS20=0,IF($NP20=1,"sem cura","sem dano"),IF($NP20=1,"cura ","")&amp;$OS20&amp;"d8")))</f>
        <v/>
      </c>
      <c r="PA20" s="152">
        <f>IF($NP20=2,3*$OT20&amp;" de vida temp.",IF($NP20=3,"sem dano",IF($OT20=0,IF($NP20=1,"sem cura","sem dano"),IF($NP20=1,"cura ","")&amp;$OT20&amp;"d8")))</f>
        <v/>
      </c>
      <c r="PB20" s="152">
        <f>IF($NP20=2,3*$OU20&amp;" de vida temp.",IF($NP20=3,"sem dano",IF($OU20=0,IF($NP20=1,"sem cura","sem dano"),IF($NP20=1,"cura ","")&amp;$OU20&amp;"d8")))</f>
        <v/>
      </c>
      <c r="PC20" s="152">
        <f>IF($MN20=0,"",TEXTJOIN(" · ",TRUE,IF($MA20&gt;$MO20,"Este lugar abre no nível "&amp;$MA20,""),IF($MC20&gt;$MP20,"Classe "&amp;$MC20&amp;": o nível "&amp;$MO20&amp;" libera até a "&amp;$MP20,""),IF($NH20=1,"A Forma "&amp;$ME20&amp;" pede "&amp;INDEX($W$2:$W$11,$MT20)&amp;" aberta",""),IF(AND($MC20=0,$MT20&gt;0,IF($MT20=0,0,INDEX($AF$2:$AF$11,$MT20))=0),$ME20&amp;" não existe na Classe 0",""),IF($NI20=1,"Família Fechada: "&amp;$MH20,""),IF($NJ20=1,"Família Fechada: "&amp;$MI20,""),IF($NK20=1,"Família Fechada: "&amp;$MJ20,""),IF($NL20=1,"Família Fechada: "&amp;$MK20,""),IF(AND($MC20&gt;0,$OD20&gt;INDEX($O$2:$O$8,MAX(1,$MC20))),$OD20&amp;" Melhorias: a Classe "&amp;$MC20&amp;" aceita "&amp;INDEX($O$2:$O$8,MAX(1,$MC20)),""),IF(AND($MC20=0,$OD20&gt;1),"A básica aceita uma Melhoria",""),IF(AND($MC20=0,COUNTIF($MY20:$NB20,"&gt;1")&gt;0),"A básica só aceita Melhoria Leve",""),IF(AND($MC20&gt;0,$OE20&gt;2),$OE20&amp;" Restrições"&amp;IF($NO20=1,", contando a que a Forma "&amp;$ME20&amp;" já traz","")&amp;": o limite é 2",""),IF(AND($MC20=0,COUNTIF($ML20:$MM20,"?*")&gt;1),"A básica aceita uma Restrição Leve",""),IF(AND($MC20=0,COUNTIF($NR20:$NS20,2)&gt;0),"A básica só aceita Restrição Leve",""),IF(AND($MC20&gt;0,$OL20&lt;0),"Orçamento estourado: faltam "&amp;(-$OL20)&amp;IF($OL20&lt;-1," pontos"," ponto"),""),IF(IFERROR(VLOOKUP($ML20,$BB$2:$BF$24,4,FALSE),0)+IFERROR(VLOOKUP($MM20,$BB$2:$BF$24,4,FALSE),0)&gt;1,$NT20&amp;" e "&amp;$NU20&amp;" são as duas de frequência",""),IF(AND((COUNTIF($MH20:$MK20,"Rápido")+COUNTIF($NT20:$NU20,"Rápido"))&gt;0,(COUNTIF($MH20:$MK20,"Atrasar")+COUNTIF($NT20:$NU20,"Atrasar"))&gt;0),"Rápido não entra com Atrasar",""),IF(AND((COUNTIF($MH20:$MK20,"Reação")+COUNTIF($NT20:$NU20,"Reação"))&gt;0,(COUNTIF($MH20:$MK20,"Rápido")+COUNTIF($NT20:$NU20,"Rápido"))&gt;0),"Reação não entra com Rápido",""),IF(AND((COUNTIF($MH20:$MK20,"Reação")+COUNTIF($NT20:$NU20,"Reação"))&gt;0,(COUNTIF($MH20:$MK20,"Armado")+COUNTIF($NT20:$NU20,"Armado"))&gt;0),"Reação não entra com Armado",""),IF(AND((COUNTIF($MH20:$MK20,"Reação")+COUNTIF($NT20:$NU20,"Reação"))&gt;0,(COUNTIF($MH20:$MK20,"Atrasar")+COUNTIF($NT20:$NU20,"Atrasar"))&gt;0),"Reação não entra com Atrasar",""),IF(AND((COUNTIF($MH20:$MK20,"Reação")+COUNTIF($NT20:$NU20,"Reação"))&gt;0,(COUNTIF($MH20:$MK20,"Parado")+COUNTIF($NT20:$NU20,"Parado"))&gt;0),"Reação não entra com Parado",""),IF(AND((COUNTIF($MH20:$MK20,"Atrasar")+COUNTIF($NT20:$NU20,"Atrasar"))&gt;0,(COUNTIF($MH20:$MK20,"Parado")+COUNTIF($NT20:$NU20,"Parado"))&gt;0),"Atrasar não entra com Parado",""),IF(AND((COUNTIF($MH20:$MK20,"Armado")+COUNTIF($NT20:$NU20,"Armado"))&gt;0,(COUNTIF($MH20:$MK20,"Carregar")+COUNTIF($NT20:$NU20,"Carregar"))&gt;0),"Armado não entra com Carregar",""),IF(AND(COUNTIF($NT20:$NU20,"Corpo a Corpo")&gt;0,$NO20=0,OR($ME20="Cone",$ME20="Linha")),"Corpo a Corpo não entra em "&amp;$ME20,""),IF(AND(COUNTIF($NT20:$NU20,"Corpo a Corpo")&gt;0,$NO20=1),"A Forma "&amp;$ME20&amp;" já traz o Corpo a Corpo",""),IF(AND(COUNTIF($NT20:$NU20,"Tudo ou Nada")&gt;0,$NQ20=0),"Tudo ou Nada só entra em habilidade de Teste de Resistência",""),IF(AND(COUNTIF($MH20:$MK20,"Inescapável")&gt;0,OR($OD20&gt;1,$OE20&gt;0)),"Inescapável não aceita outra peça",""),IF(AND($MC20&gt;0,$OM20*IF(COUNTIF($MH20:$MK20,"Remate")&gt;0,1.25,1)+$ON20&gt;4*$MC20),($OM20*IF(COUNTIF($MH20:$MK20,"Remate")&gt;0,1.25,1)+$ON20)&amp;" dados somando repetições"&amp;IF(COUNTIF($MH20:$MK20,"Remate")&gt;0," e o Remate","")&amp;": o teto da Classe "&amp;$MC20&amp;" é "&amp;4*$MC20,"")))</f>
        <v/>
      </c>
      <c r="PD20" s="152">
        <f>IF($PC20="",0,(LEN($PC20)-LEN(SUBSTITUTE($PC20," · ","")))/3+1)</f>
        <v/>
      </c>
      <c r="PE20" s="152">
        <f>IF($MN20=0,"",TEXTJOIN(" · ",TRUE,IF($OG20&gt;2*$MC20,"A devolução parou no teto de "&amp;2*$MC20,""),IF($OJ20&gt;0,"Devolução perdida: "&amp;$OJ20&amp;IF($OJ20&gt;1," pontos"," ponto")&amp;" sem peça para pagar",""),IF(AND($NM20&gt;0,AND($MC20&gt;0,$NP20=0),$OM20=0),"Controle sem dano: uma rodada a mais e CD +2",""),IF(AND($NM20&gt;0,AND($MC20&gt;0,$NP20=0),$OM20&gt;0,$OM20&lt;=$MC20),"Controle com saldo até a Classe: uma rodada a mais",""),IF(AND($MC20&gt;0,$NN20&lt;&gt;""),"Efeito de "&amp;$NN20&amp;" pela Classe "&amp;MAX(1,$MC20-1),"")))</f>
        <v/>
      </c>
      <c r="PF20" s="152">
        <f>IF($PE20="",0,(LEN($PE20)-LEN(SUBSTITUTE($PE20," · ","")))/3+1)</f>
        <v/>
      </c>
      <c r="PG20" s="152">
        <f>IF($MN20=0,IF($OD20+COUNTIF($ML20:$MM20,"?*")&gt;0,"Dê um nome",""),IF($PD20&gt;0,"⚠ "&amp;$PD20&amp;IF($PD20&gt;1," erros"," erro"),IF($PF20&gt;0,"! "&amp;$PF20&amp;IF($PF20&gt;1," avisos"," aviso"),"Na regra")))</f>
        <v/>
      </c>
      <c r="PH20" s="152">
        <f>IF($MN20=0,"",IF($PD20+$PF20=0,"Dentro das regras que a ficha confere",$PC20&amp;IF(AND($PD20&gt;0,$PF20&gt;0)," · ","")&amp;$PE20))</f>
        <v/>
      </c>
      <c r="PI20" s="152">
        <f>IF($MA20&gt;$MO20,$MB20&amp;" · ABRE NO NÍVEL "&amp;$MA20,$MB20)</f>
        <v/>
      </c>
      <c r="PJ20" s="152">
        <f>IF($MN20=0,"",IF($MC20=0,"Sem PE",3*$MC20&amp;" PE"))</f>
        <v/>
      </c>
      <c r="PK20" s="152">
        <f>IF($MN20=0,"",IF($MC20=0,"A atuação básica dela",IF(COUNTIF($NT20:$NU20,"Atrasar")&gt;0,"Sua Ação Completa",IF(COUNTIF($MH20:$MK20,"Rápido")&gt;0,"Sua Bônus",IF(COUNTIF($MH20:$MK20,"Reação")&gt;0,"Sua Reação","Sua Padrão")))&amp;" + a básica dela"&amp;IF(COUNTIF($MH20:$MK20,"Reação")&gt;0," e a coletiva","")&amp;IF(COUNTIF($NT20:$NU20,"Carregar")&gt;0," · em dois turnos","")))</f>
        <v/>
      </c>
      <c r="PL20" s="152">
        <f>IF($MG20&lt;&gt;"",$MG20,IF($MT20=0,"",INDEX($AA$2:$AA$11,$MT20)))</f>
        <v/>
      </c>
      <c r="PM20" s="152">
        <f>IF(OR($MN20=0,$MT20=0),"",IF(COUNTIF($MH20:$MK20,"Inescapável")&gt;0,"Automático",IF($PL20="Ataque",IF($MR20="","Ataque","Ataque "&amp;IF(($MR20+2*IF(COUNTIF($MH20:$MK20,"Precisão")&gt;0,1,0))&gt;=0,"+","−")&amp;ABS(($MR20+2*IF(COUNTIF($MH20:$MK20,"Precisão")&gt;0,1,0)))),IF(LEFT($PL20,2)="TR",$PL20&amp;IF($MS20="",""," · CD "&amp;$MS20)&amp;IF(COUNTIF($MH20:$MK20,"Certeiro")&gt;0," · metade",""),"Sem rolagem"))))</f>
        <v/>
      </c>
      <c r="PN20" s="152">
        <f>IF(OR($MN20=0,$MT20=0),"",IF($MC20=0,IF(OR($NP20&gt;=1,$OM20=0),"Sem dano",$OM20&amp;"d6"&amp;IF($MF20="",""," "&amp;$MF20)),IF(OR($NP20&gt;=1,$OM20=0),UPPER(LEFT(INDEX($OV20:$PB20,1,MAX(1,$MC20)),1))&amp;MID(INDEX($OV20:$PB20,1,MAX(1,$MC20)),2,99),UPPER(LEFT(INDEX($OV20:$PB20,1,MAX(1,$MC20)),1))&amp;MID(INDEX($OV20:$PB20,1,MAX(1,$MC20)),2,99)&amp;IF($MF20="",""," "&amp;$MF20)&amp;IF($ON20&gt;0," · +"&amp;$ON20&amp;"d8",""))))</f>
        <v/>
      </c>
      <c r="PO20" s="152">
        <f>COUNTIF($MH20:$MK20,"Longe")+3*COUNTIF($MH20:$MK20,"Muito Longe")</f>
        <v/>
      </c>
      <c r="PP20" s="152">
        <f>COUNTIF($MH20:$MK20,"Maior")+3*COUNTIF($MH20:$MK20,"Muito Maior")</f>
        <v/>
      </c>
      <c r="PQ20" s="152">
        <f>IF($MT20=0,0,CHOOSE(1+INDEX($AC$2:$AC$11,$MT20),0,$PO20,$PP20,$PO20+$PP20))</f>
        <v/>
      </c>
      <c r="PR20" s="152">
        <f>IF($MT20=0,0,CHOOSE(1+INDEX($AD$2:$AD$11,$MT20),0,$PO20,$PP20,$PO20+$PP20))</f>
        <v/>
      </c>
      <c r="PS20" s="152">
        <f>IF(OR($MN20=0,$MT20=0),"",INDEX($AI$2:$AN$41,($MT20-1)*4+IF($MC20=0,1,IF($MC20&lt;=5,2,IF($MC20=6,3,4))),1+MIN(5,$PQ20))&amp;INDEX($AO$2:$AT$41,($MT20-1)*4+IF($MC20=0,1,IF($MC20&lt;=5,2,IF($MC20=6,3,4))),1+MIN(5,$PR20))&amp;IF(INDEX($AE$2:$AE$11,$MT20)=1,IF(COUNTIF($MH20:$MK20,"Mais Um")&gt;0," · +"&amp;COUNTIF($MH20:$MK20,"Mais Um")&amp;IF(COUNTIF($MH20:$MK20,"Mais Um")&gt;1," alvos"," alvo"),"")&amp;IF(COUNTIF($MH20:$MK20,"Rajada")&gt;0,IF($MC20=0," · 1 tiro"," · "&amp;(MAX(1,$MC20-1)+1)&amp;" tiros"),""),""))</f>
        <v/>
      </c>
      <c r="PT20" s="152">
        <f>IF($MN20=0,"",IF($MC20=0,$MQ20&amp;"d6"&amp;IF($OD20&gt;0," − 1 = "&amp;$OM20&amp;"d6"," da básica do nível "&amp;$MO20),$OK20&amp;" − "&amp;$OF20&amp;" + "&amp;$OI20&amp;" = "&amp;$OL20&amp;" · teto "&amp;4*$MC20&amp;"d8"&amp;IF($NO20=1," · a Forma devolve "&amp;$MC20,"")&amp;IF($OJ20&gt;0," · perde "&amp;$OJ20,"")))</f>
        <v/>
      </c>
      <c r="PU20" s="152">
        <f>IF($MN20=0,"",IF($MC20=0,"A básica não amplia: os dados dela sobem com o nível",IF($MC20&gt;=$MP20,"Já está na maior Classe que o nível liberou",TEXTJOIN(" · ",TRUE,IF(AND(2&gt;$MC20,2&lt;=$MP20),"2 → "&amp;$OW20&amp;", 6 PE",""),IF(AND(3&gt;$MC20,3&lt;=$MP20),"3 → "&amp;$OX20&amp;", 9 PE",""),IF(AND(4&gt;$MC20,4&lt;=$MP20),"4 → "&amp;$OY20&amp;", 12 PE",""),IF(AND(5&gt;$MC20,5&lt;=$MP20),"5 → "&amp;$OZ20&amp;", 15 PE",""),IF(AND(6&gt;$MC20,6&lt;=$MP20),"6 → "&amp;$PA20&amp;", 18 PE",""),IF(AND(7&gt;$MC20,7&lt;=$MP20),"7 → "&amp;$PB20&amp;", 21 PE","")))))</f>
        <v/>
      </c>
      <c r="PV20" s="152">
        <f>IF(OR($MN20=0,$MY20=0),"",IF($MC20=0,"−1 dado","−"&amp;INDEX($I$2:$N$8,MAX(1,$MC20),MAX(1,$ND20))&amp;" · "&amp;CHOOSE(MAX(1,$ND20),"Leve","Média","Pesada","Leve · Livre","Média · Livre","Pesada · Livre")))</f>
        <v/>
      </c>
      <c r="PW20" s="152">
        <f>IF(OR($MN20=0,$MZ20=0),"",IF($MC20=0,"−1 dado","−"&amp;INDEX($I$2:$N$8,MAX(1,$MC20),MAX(1,$NE20))&amp;" · "&amp;CHOOSE(MAX(1,$NE20),"Leve","Média","Pesada","Leve · Livre","Média · Livre","Pesada · Livre")))</f>
        <v/>
      </c>
      <c r="PX20" s="152">
        <f>IF(OR($MN20=0,$NA20=0),"",IF($MC20=0,"−1 dado","−"&amp;INDEX($I$2:$N$8,MAX(1,$MC20),MAX(1,$NF20))&amp;" · "&amp;CHOOSE(MAX(1,$NF20),"Leve","Média","Pesada","Leve · Livre","Média · Livre","Pesada · Livre")))</f>
        <v/>
      </c>
      <c r="PY20" s="152">
        <f>IF(OR($MN20=0,$NB20=0),"",IF($MC20=0,"−1 dado","−"&amp;INDEX($I$2:$N$8,MAX(1,$MC20),MAX(1,$NG20))&amp;" · "&amp;CHOOSE(MAX(1,$NG20),"Leve","Média","Pesada","Leve · Livre","Média · Livre","Pesada · Livre")))</f>
        <v/>
      </c>
      <c r="PZ20" s="152">
        <f>IF(OR($MN20=0,$ML20=""),"",IF($MC20=0,"não devolve","+"&amp;IF($NR20=1,CEILING($MC20/2,1),$MC20)))</f>
        <v/>
      </c>
      <c r="QA20" s="152">
        <f>IF(OR($MN20=0,$MM20=""),"",IF($MC20=0,"não devolve","+"&amp;IF($NS20=1,CEILING($MC20/2,1),$MC20)))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B21" s="150" t="inlineStr">
        <is>
          <t>Barulho</t>
        </is>
      </c>
      <c r="BC21" s="150" t="inlineStr">
        <is>
          <t>Barulho</t>
        </is>
      </c>
      <c r="BD21" s="152" t="n">
        <v>1</v>
      </c>
      <c r="BE21" s="152" t="n">
        <v>0</v>
      </c>
      <c r="BF21" s="150" t="inlineStr">
        <is>
          <t>Barulho</t>
        </is>
      </c>
      <c r="BZ21" s="150" t="inlineStr">
        <is>
          <t>Enganação</t>
        </is>
      </c>
      <c r="CA21" s="150" t="inlineStr">
        <is>
          <t>Essência</t>
        </is>
      </c>
      <c r="JD21" s="152">
        <f>IF(OR($AW21="",COUNTIF($ED$2:$EH$2,$AW21)&gt;0),$AV21,"")</f>
        <v/>
      </c>
      <c r="JE21" s="152">
        <f>IF(AND($AX21=1,OR($AW21="",COUNTIF($ED$2:$EH$2,$AW21)&gt;0)),$AV21,"")</f>
        <v/>
      </c>
      <c r="JJ21" s="152">
        <f>IF(OR($AW21="",COUNTIF($ED$3:$EH$3,$AW21)&gt;0),$AV21,"")</f>
        <v/>
      </c>
      <c r="JK21" s="152">
        <f>IF(AND($AX21=1,OR($AW21="",COUNTIF($ED$3:$EH$3,$AW21)&gt;0)),$AV21,"")</f>
        <v/>
      </c>
      <c r="JP21" s="152">
        <f>IF(OR($AW21="",COUNTIF($ED$4:$EH$4,$AW21)&gt;0),$AV21,"")</f>
        <v/>
      </c>
      <c r="JQ21" s="152">
        <f>IF(AND($AX21=1,OR($AW21="",COUNTIF($ED$4:$EH$4,$AW21)&gt;0)),$AV21,"")</f>
        <v/>
      </c>
      <c r="JV21" s="152">
        <f>IF(OR($AW21="",COUNTIF($ED$5:$EH$5,$AW21)&gt;0),$AV21,"")</f>
        <v/>
      </c>
      <c r="JW21" s="152">
        <f>IF(AND($AX21=1,OR($AW21="",COUNTIF($ED$5:$EH$5,$AW21)&gt;0)),$AV21,"")</f>
        <v/>
      </c>
      <c r="KB21" s="152">
        <f>IF(OR($AW21="",COUNTIF($ED$6:$EH$6,$AW21)&gt;0),$AV21,"")</f>
        <v/>
      </c>
      <c r="KC21" s="152">
        <f>IF(AND($AX21=1,OR($AW21="",COUNTIF($ED$6:$EH$6,$AW21)&gt;0)),$AV21,"")</f>
        <v/>
      </c>
      <c r="KH21" s="152">
        <f>IF(OR($AW21="",COUNTIF($ED$7:$EH$7,$AW21)&gt;0),$AV21,"")</f>
        <v/>
      </c>
      <c r="KI21" s="152">
        <f>IF(AND($AX21=1,OR($AW21="",COUNTIF($ED$7:$EH$7,$AW21)&gt;0)),$AV21,"")</f>
        <v/>
      </c>
      <c r="KN21" s="152">
        <f>IF(OR($AW21="",COUNTIF($ED$8:$EH$8,$AW21)&gt;0),$AV21,"")</f>
        <v/>
      </c>
      <c r="KO21" s="152">
        <f>IF(AND($AX21=1,OR($AW21="",COUNTIF($ED$8:$EH$8,$AW21)&gt;0)),$AV21,"")</f>
        <v/>
      </c>
      <c r="KT21" s="152">
        <f>IF(OR($AW21="",COUNTIF($ED$9:$EH$9,$AW21)&gt;0),$AV21,"")</f>
        <v/>
      </c>
      <c r="KU21" s="152">
        <f>IF(AND($AX21=1,OR($AW21="",COUNTIF($ED$9:$EH$9,$AW21)&gt;0)),$AV21,"")</f>
        <v/>
      </c>
      <c r="KZ21" s="152">
        <f>IF(OR($AW21="",COUNTIF($ED$10:$EH$10,$AW21)&gt;0),$AV21,"")</f>
        <v/>
      </c>
      <c r="LA21" s="152">
        <f>IF(AND($AX21=1,OR($AW21="",COUNTIF($ED$10:$EH$10,$AW21)&gt;0)),$AV21,"")</f>
        <v/>
      </c>
      <c r="LF21" s="152">
        <f>IF(OR($AW21="",COUNTIF($ED$11:$EH$11,$AW21)&gt;0),$AV21,"")</f>
        <v/>
      </c>
      <c r="LG21" s="152">
        <f>IF(AND($AX21=1,OR($AW21="",COUNTIF($ED$11:$EH$11,$AW21)&gt;0)),$AV21,"")</f>
        <v/>
      </c>
      <c r="LL21" s="152">
        <f>IF(OR($AW21="",COUNTIF($ED$12:$EH$12,$AW21)&gt;0),$AV21,"")</f>
        <v/>
      </c>
      <c r="LM21" s="152">
        <f>IF(AND($AX21=1,OR($AW21="",COUNTIF($ED$12:$EH$12,$AW21)&gt;0)),$AV21,"")</f>
        <v/>
      </c>
      <c r="LR21" s="152">
        <f>IF(OR($AW21="",COUNTIF($ED$13:$EH$13,$AW21)&gt;0),$AV21,"")</f>
        <v/>
      </c>
      <c r="LS21" s="152">
        <f>IF(AND($AX21=1,OR($AW21="",COUNTIF($ED$13:$EH$13,$AW21)&gt;0)),$AV21,"")</f>
        <v/>
      </c>
      <c r="LX21" s="150" t="inlineStr">
        <is>
          <t>Ficha 2 · Especial 5</t>
        </is>
      </c>
      <c r="LY21" s="152" t="n">
        <v>2</v>
      </c>
      <c r="LZ21" s="152" t="n">
        <v>1</v>
      </c>
      <c r="MA21" s="152" t="n">
        <v>16</v>
      </c>
      <c r="MB21" s="150" t="inlineStr">
        <is>
          <t>ESPECIAL 5</t>
        </is>
      </c>
      <c r="MC21" s="152">
        <f>MAX(1,MIN(7,N('INVOCAÇÕES'!$I$312)))</f>
        <v/>
      </c>
      <c r="MD21" s="152">
        <f>'INVOCAÇÕES'!$J$312&amp;""</f>
        <v/>
      </c>
      <c r="ME21" s="152">
        <f>'INVOCAÇÕES'!$I$317&amp;""</f>
        <v/>
      </c>
      <c r="MF21" s="152">
        <f>'INVOCAÇÕES'!$I$318&amp;""</f>
        <v/>
      </c>
      <c r="MG21" s="152">
        <f>'INVOCAÇÕES'!$K$318&amp;""</f>
        <v/>
      </c>
      <c r="MH21" s="152">
        <f>'INVOCAÇÕES'!$J$321&amp;""</f>
        <v/>
      </c>
      <c r="MI21" s="152">
        <f>'INVOCAÇÕES'!$J$322&amp;""</f>
        <v/>
      </c>
      <c r="MJ21" s="152">
        <f>'INVOCAÇÕES'!$J$323&amp;""</f>
        <v/>
      </c>
      <c r="MK21" s="152">
        <f>'INVOCAÇÕES'!$J$324&amp;""</f>
        <v/>
      </c>
      <c r="ML21" s="152">
        <f>'INVOCAÇÕES'!$J$325&amp;""</f>
        <v/>
      </c>
      <c r="MM21" s="152">
        <f>'INVOCAÇÕES'!$J$326&amp;""</f>
        <v/>
      </c>
      <c r="MN21" s="152">
        <f>IF($MD21&lt;&gt;"",1,0)</f>
        <v/>
      </c>
      <c r="MO21" s="152">
        <f>INDEX($FG$2:$FG$13,$LY21)</f>
        <v/>
      </c>
      <c r="MP21" s="152">
        <f>INDEX($FH$2:$FH$13,$LY21)</f>
        <v/>
      </c>
      <c r="MQ21" s="152">
        <f>INDEX($FI$2:$FI$13,$LY21)</f>
        <v/>
      </c>
      <c r="MR21" s="152">
        <f>INDEX($FT$2:$FT$13,$LY21)</f>
        <v/>
      </c>
      <c r="MS21" s="152">
        <f>INDEX($FU$2:$FU$13,$LY21)</f>
        <v/>
      </c>
      <c r="MT21" s="152">
        <f>IFERROR(MATCH($ME21,$V$2:$V$11,0),0)</f>
        <v/>
      </c>
      <c r="MU21" s="152">
        <f>IFERROR(VLOOKUP($MH21,$AV$2:$AZ$84,2,FALSE),"")</f>
        <v/>
      </c>
      <c r="MV21" s="152">
        <f>IFERROR(VLOOKUP($MI21,$AV$2:$AZ$84,2,FALSE),"")</f>
        <v/>
      </c>
      <c r="MW21" s="152">
        <f>IFERROR(VLOOKUP($MJ21,$AV$2:$AZ$84,2,FALSE),"")</f>
        <v/>
      </c>
      <c r="MX21" s="152">
        <f>IFERROR(VLOOKUP($MK21,$AV$2:$AZ$84,2,FALSE),"")</f>
        <v/>
      </c>
      <c r="MY21" s="152">
        <f>IFERROR(VLOOKUP($MH21,$AV$2:$AZ$84,3,FALSE),0)</f>
        <v/>
      </c>
      <c r="MZ21" s="152">
        <f>IFERROR(VLOOKUP($MI21,$AV$2:$AZ$84,3,FALSE),0)</f>
        <v/>
      </c>
      <c r="NA21" s="152">
        <f>IFERROR(VLOOKUP($MJ21,$AV$2:$AZ$84,3,FALSE),0)</f>
        <v/>
      </c>
      <c r="NB21" s="152">
        <f>IFERROR(VLOOKUP($MK21,$AV$2:$AZ$84,3,FALSE),0)</f>
        <v/>
      </c>
      <c r="NC21" s="152">
        <f>IF($MC21=0,0,IF($MT21=0,0,INDEX($X$2:$X$11,$MT21)))</f>
        <v/>
      </c>
      <c r="ND21" s="152">
        <f>IF(OR($MY21=0,$MC21=0),0,$MY21+3*IF(AND($MU21&lt;&gt;"",OR($MU21=INDEX($ED$2:$ED$13,$LY21),$MU21=INDEX($EE$2:$EE$13,$LY21))),1,0))</f>
        <v/>
      </c>
      <c r="NE21" s="152">
        <f>IF(OR($MZ21=0,$MC21=0),0,$MZ21+3*IF(AND($MV21&lt;&gt;"",OR($MV21=INDEX($ED$2:$ED$13,$LY21),$MV21=INDEX($EE$2:$EE$13,$LY21))),1,0))</f>
        <v/>
      </c>
      <c r="NF21" s="152">
        <f>IF(OR($NA21=0,$MC21=0),0,$NA21+3*IF(AND($MW21&lt;&gt;"",OR($MW21=INDEX($ED$2:$ED$13,$LY21),$MW21=INDEX($EE$2:$EE$13,$LY21))),1,0))</f>
        <v/>
      </c>
      <c r="NG21" s="152">
        <f>IF(OR($NB21=0,$MC21=0),0,$NB21+3*IF(AND($MX21&lt;&gt;"",OR($MX21=INDEX($ED$2:$ED$13,$LY21),$MX21=INDEX($EE$2:$EE$13,$LY21))),1,0))</f>
        <v/>
      </c>
      <c r="NH21" s="152">
        <f>IF($MT21=0,0,IF(INDEX($W$2:$W$11,$MT21)="",0,IF(COUNTIF(INDEX($ED$2:$EH$13,$LY21,0),INDEX($W$2:$W$11,$MT21))=0,1,0)))</f>
        <v/>
      </c>
      <c r="NI21" s="152">
        <f>IF(OR($MY21=0,$MU21=""),0,IF(COUNTIF(INDEX($ED$2:$EH$13,$LY21,0),$MU21)=0,1,0))</f>
        <v/>
      </c>
      <c r="NJ21" s="152">
        <f>IF(OR($MZ21=0,$MV21=""),0,IF(COUNTIF(INDEX($ED$2:$EH$13,$LY21,0),$MV21)=0,1,0))</f>
        <v/>
      </c>
      <c r="NK21" s="152">
        <f>IF(OR($NA21=0,$MW21=""),0,IF(COUNTIF(INDEX($ED$2:$EH$13,$LY21,0),$MW21)=0,1,0))</f>
        <v/>
      </c>
      <c r="NL21" s="152">
        <f>IF(OR($NB21=0,$MX21=""),0,IF(COUNTIF(INDEX($ED$2:$EH$13,$LY21,0),$MX21)=0,1,0))</f>
        <v/>
      </c>
      <c r="NM21" s="152">
        <f>IFERROR(VLOOKUP($MH21,$AV$2:$AZ$84,4,FALSE),0)+IFERROR(VLOOKUP($MI21,$AV$2:$AZ$84,4,FALSE),0)+IFERROR(VLOOKUP($MJ21,$AV$2:$AZ$84,4,FALSE),0)+IFERROR(VLOOKUP($MK21,$AV$2:$AZ$84,4,FALSE),0)</f>
        <v/>
      </c>
      <c r="NN21" s="152">
        <f>TEXTJOIN(", ",TRUE,IF(IFERROR(VLOOKUP($MH21,$AV$2:$AZ$84,5,FALSE),0)=1,$MH21,""),IF(IFERROR(VLOOKUP($MI21,$AV$2:$AZ$84,5,FALSE),0)=1,$MI21,""),IF(IFERROR(VLOOKUP($MJ21,$AV$2:$AZ$84,5,FALSE),0)=1,$MJ21,""),IF(IFERROR(VLOOKUP($MK21,$AV$2:$AZ$84,5,FALSE),0)=1,$MK21,""))</f>
        <v/>
      </c>
      <c r="NO21" s="152">
        <f>IF($MT21=0,0,INDEX($Y$2:$Y$11,$MT21))</f>
        <v/>
      </c>
      <c r="NP21" s="152">
        <f>IF($MT21=0,0,INDEX($Z$2:$Z$11,$MT21))</f>
        <v/>
      </c>
      <c r="NQ21" s="152">
        <f>IF($MT21=0,0,INDEX($AB$2:$AB$11,$MT21))</f>
        <v/>
      </c>
      <c r="NR21" s="152">
        <f>IFERROR(VLOOKUP($ML21,$BB$2:$BF$24,3,FALSE),0)</f>
        <v/>
      </c>
      <c r="NS21" s="152">
        <f>IFERROR(VLOOKUP($MM21,$BB$2:$BF$24,3,FALSE),0)</f>
        <v/>
      </c>
      <c r="NT21" s="152">
        <f>IFERROR(VLOOKUP($ML21,$BB$2:$BF$24,2,FALSE),"")</f>
        <v/>
      </c>
      <c r="NU21" s="152">
        <f>IFERROR(VLOOKUP($MM21,$BB$2:$BF$24,2,FALSE),"")</f>
        <v/>
      </c>
      <c r="NV21" s="152">
        <f>COUNTIF($NC21:$NG21,1)</f>
        <v/>
      </c>
      <c r="NW21" s="152">
        <f>COUNTIF($NC21:$NG21,2)</f>
        <v/>
      </c>
      <c r="NX21" s="152">
        <f>COUNTIF($NC21:$NG21,3)</f>
        <v/>
      </c>
      <c r="NY21" s="152">
        <f>COUNTIF($NC21:$NG21,4)</f>
        <v/>
      </c>
      <c r="NZ21" s="152">
        <f>COUNTIF($NC21:$NG21,5)</f>
        <v/>
      </c>
      <c r="OA21" s="152">
        <f>COUNTIF($NC21:$NG21,6)</f>
        <v/>
      </c>
      <c r="OB21" s="152">
        <f>COUNTIF($NR21:$NS21,1)</f>
        <v/>
      </c>
      <c r="OC21" s="152">
        <f>COUNTIF($NR21:$NS21,2)+$NO21</f>
        <v/>
      </c>
      <c r="OD21" s="152">
        <f>COUNTIF($MH21:$MK21,"?*")</f>
        <v/>
      </c>
      <c r="OE21" s="152">
        <f>COUNTIF($ML21:$MM21,"?*")+$NO21</f>
        <v/>
      </c>
      <c r="OF21" s="152">
        <f>IF($MC21=0,0,SUMPRODUCT($NV21:$OA21,INDEX($I$2:$N$8,MAX(1,$MC21),0)))</f>
        <v/>
      </c>
      <c r="OG21" s="152">
        <f>IF($MC21=0,0,$OB21*CEILING($MC21/2,1)+$OC21*$MC21)</f>
        <v/>
      </c>
      <c r="OH21" s="152">
        <f>MIN(2*$MC21,$OG21)</f>
        <v/>
      </c>
      <c r="OI21" s="152">
        <f>MIN($OH21,$OF21)</f>
        <v/>
      </c>
      <c r="OJ21" s="152">
        <f>$OH21-$OI21</f>
        <v/>
      </c>
      <c r="OK21" s="152">
        <f>IF($MC21=0,0,INDEX($P$2:$P$8,MAX(1,$MC21)))</f>
        <v/>
      </c>
      <c r="OL21" s="152">
        <f>$OK21-$OF21+$OI21</f>
        <v/>
      </c>
      <c r="OM21" s="152">
        <f>IF($MC21=0,MAX(0,$MQ21-IF($OD21&gt;0,1,0)),MAX(0,$OL21))</f>
        <v/>
      </c>
      <c r="ON21" s="152">
        <f>IF($MC21=0,0,(IF(COUNTIF($MH21:$MK21,"Salto")&gt;0,1,0)+IF(COUNTIF($MH21:$MK21,"Queima")&gt;0,1,0)+IF(COUNTIF($MH21:$MK21,"Estilhaço")&gt;0,1,0))*FLOOR($OM21/2,1))</f>
        <v/>
      </c>
      <c r="OO21" s="152">
        <f>MAX(0,2-SUMPRODUCT($NV21:$OA21,$I$2:$N$2)+MIN(2,$OB21*1+$OC21*1,SUMPRODUCT($NV21:$OA21,$I$2:$N$2)))</f>
        <v/>
      </c>
      <c r="OP21" s="152">
        <f>MAX(0,4-SUMPRODUCT($NV21:$OA21,$I$3:$N$3)+MIN(4,$OB21*1+$OC21*2,SUMPRODUCT($NV21:$OA21,$I$3:$N$3)))</f>
        <v/>
      </c>
      <c r="OQ21" s="152">
        <f>MAX(0,6-SUMPRODUCT($NV21:$OA21,$I$4:$N$4)+MIN(6,$OB21*2+$OC21*3,SUMPRODUCT($NV21:$OA21,$I$4:$N$4)))</f>
        <v/>
      </c>
      <c r="OR21" s="152">
        <f>MAX(0,9-SUMPRODUCT($NV21:$OA21,$I$5:$N$5)+MIN(8,$OB21*2+$OC21*4,SUMPRODUCT($NV21:$OA21,$I$5:$N$5)))</f>
        <v/>
      </c>
      <c r="OS21" s="152">
        <f>MAX(0,11-SUMPRODUCT($NV21:$OA21,$I$6:$N$6)+MIN(10,$OB21*3+$OC21*5,SUMPRODUCT($NV21:$OA21,$I$6:$N$6)))</f>
        <v/>
      </c>
      <c r="OT21" s="152">
        <f>MAX(0,13-SUMPRODUCT($NV21:$OA21,$I$7:$N$7)+MIN(12,$OB21*3+$OC21*6,SUMPRODUCT($NV21:$OA21,$I$7:$N$7)))</f>
        <v/>
      </c>
      <c r="OU21" s="152">
        <f>MAX(0,16-SUMPRODUCT($NV21:$OA21,$I$8:$N$8)+MIN(14,$OB21*4+$OC21*7,SUMPRODUCT($NV21:$OA21,$I$8:$N$8)))</f>
        <v/>
      </c>
      <c r="OV21" s="152">
        <f>IF($NP21=2,3*$OO21&amp;" de vida temp.",IF($NP21=3,"sem dano",IF($OO21=0,IF($NP21=1,"sem cura","sem dano"),IF($NP21=1,"cura ","")&amp;$OO21&amp;"d8")))</f>
        <v/>
      </c>
      <c r="OW21" s="152">
        <f>IF($NP21=2,3*$OP21&amp;" de vida temp.",IF($NP21=3,"sem dano",IF($OP21=0,IF($NP21=1,"sem cura","sem dano"),IF($NP21=1,"cura ","")&amp;$OP21&amp;"d8")))</f>
        <v/>
      </c>
      <c r="OX21" s="152">
        <f>IF($NP21=2,3*$OQ21&amp;" de vida temp.",IF($NP21=3,"sem dano",IF($OQ21=0,IF($NP21=1,"sem cura","sem dano"),IF($NP21=1,"cura ","")&amp;$OQ21&amp;"d8")))</f>
        <v/>
      </c>
      <c r="OY21" s="152">
        <f>IF($NP21=2,3*$OR21&amp;" de vida temp.",IF($NP21=3,"sem dano",IF($OR21=0,IF($NP21=1,"sem cura","sem dano"),IF($NP21=1,"cura ","")&amp;$OR21&amp;"d8")))</f>
        <v/>
      </c>
      <c r="OZ21" s="152">
        <f>IF($NP21=2,3*$OS21&amp;" de vida temp.",IF($NP21=3,"sem dano",IF($OS21=0,IF($NP21=1,"sem cura","sem dano"),IF($NP21=1,"cura ","")&amp;$OS21&amp;"d8")))</f>
        <v/>
      </c>
      <c r="PA21" s="152">
        <f>IF($NP21=2,3*$OT21&amp;" de vida temp.",IF($NP21=3,"sem dano",IF($OT21=0,IF($NP21=1,"sem cura","sem dano"),IF($NP21=1,"cura ","")&amp;$OT21&amp;"d8")))</f>
        <v/>
      </c>
      <c r="PB21" s="152">
        <f>IF($NP21=2,3*$OU21&amp;" de vida temp.",IF($NP21=3,"sem dano",IF($OU21=0,IF($NP21=1,"sem cura","sem dano"),IF($NP21=1,"cura ","")&amp;$OU21&amp;"d8")))</f>
        <v/>
      </c>
      <c r="PC21" s="152">
        <f>IF($MN21=0,"",TEXTJOIN(" · ",TRUE,IF($MA21&gt;$MO21,"Este lugar abre no nível "&amp;$MA21,""),IF($MC21&gt;$MP21,"Classe "&amp;$MC21&amp;": o nível "&amp;$MO21&amp;" libera até a "&amp;$MP21,""),IF($NH21=1,"A Forma "&amp;$ME21&amp;" pede "&amp;INDEX($W$2:$W$11,$MT21)&amp;" aberta",""),IF(AND($MC21=0,$MT21&gt;0,IF($MT21=0,0,INDEX($AF$2:$AF$11,$MT21))=0),$ME21&amp;" não existe na Classe 0",""),IF($NI21=1,"Família Fechada: "&amp;$MH21,""),IF($NJ21=1,"Família Fechada: "&amp;$MI21,""),IF($NK21=1,"Família Fechada: "&amp;$MJ21,""),IF($NL21=1,"Família Fechada: "&amp;$MK21,""),IF(AND($MC21&gt;0,$OD21&gt;INDEX($O$2:$O$8,MAX(1,$MC21))),$OD21&amp;" Melhorias: a Classe "&amp;$MC21&amp;" aceita "&amp;INDEX($O$2:$O$8,MAX(1,$MC21)),""),IF(AND($MC21=0,$OD21&gt;1),"A básica aceita uma Melhoria",""),IF(AND($MC21=0,COUNTIF($MY21:$NB21,"&gt;1")&gt;0),"A básica só aceita Melhoria Leve",""),IF(AND($MC21&gt;0,$OE21&gt;2),$OE21&amp;" Restrições"&amp;IF($NO21=1,", contando a que a Forma "&amp;$ME21&amp;" já traz","")&amp;": o limite é 2",""),IF(AND($MC21=0,COUNTIF($ML21:$MM21,"?*")&gt;1),"A básica aceita uma Restrição Leve",""),IF(AND($MC21=0,COUNTIF($NR21:$NS21,2)&gt;0),"A básica só aceita Restrição Leve",""),IF(AND($MC21&gt;0,$OL21&lt;0),"Orçamento estourado: faltam "&amp;(-$OL21)&amp;IF($OL21&lt;-1," pontos"," ponto"),""),IF(IFERROR(VLOOKUP($ML21,$BB$2:$BF$24,4,FALSE),0)+IFERROR(VLOOKUP($MM21,$BB$2:$BF$24,4,FALSE),0)&gt;1,$NT21&amp;" e "&amp;$NU21&amp;" são as duas de frequência",""),IF(AND((COUNTIF($MH21:$MK21,"Rápido")+COUNTIF($NT21:$NU21,"Rápido"))&gt;0,(COUNTIF($MH21:$MK21,"Atrasar")+COUNTIF($NT21:$NU21,"Atrasar"))&gt;0),"Rápido não entra com Atrasar",""),IF(AND((COUNTIF($MH21:$MK21,"Reação")+COUNTIF($NT21:$NU21,"Reação"))&gt;0,(COUNTIF($MH21:$MK21,"Rápido")+COUNTIF($NT21:$NU21,"Rápido"))&gt;0),"Reação não entra com Rápido",""),IF(AND((COUNTIF($MH21:$MK21,"Reação")+COUNTIF($NT21:$NU21,"Reação"))&gt;0,(COUNTIF($MH21:$MK21,"Armado")+COUNTIF($NT21:$NU21,"Armado"))&gt;0),"Reação não entra com Armado",""),IF(AND((COUNTIF($MH21:$MK21,"Reação")+COUNTIF($NT21:$NU21,"Reação"))&gt;0,(COUNTIF($MH21:$MK21,"Atrasar")+COUNTIF($NT21:$NU21,"Atrasar"))&gt;0),"Reação não entra com Atrasar",""),IF(AND((COUNTIF($MH21:$MK21,"Reação")+COUNTIF($NT21:$NU21,"Reação"))&gt;0,(COUNTIF($MH21:$MK21,"Parado")+COUNTIF($NT21:$NU21,"Parado"))&gt;0),"Reação não entra com Parado",""),IF(AND((COUNTIF($MH21:$MK21,"Atrasar")+COUNTIF($NT21:$NU21,"Atrasar"))&gt;0,(COUNTIF($MH21:$MK21,"Parado")+COUNTIF($NT21:$NU21,"Parado"))&gt;0),"Atrasar não entra com Parado",""),IF(AND((COUNTIF($MH21:$MK21,"Armado")+COUNTIF($NT21:$NU21,"Armado"))&gt;0,(COUNTIF($MH21:$MK21,"Carregar")+COUNTIF($NT21:$NU21,"Carregar"))&gt;0),"Armado não entra com Carregar",""),IF(AND(COUNTIF($NT21:$NU21,"Corpo a Corpo")&gt;0,$NO21=0,OR($ME21="Cone",$ME21="Linha")),"Corpo a Corpo não entra em "&amp;$ME21,""),IF(AND(COUNTIF($NT21:$NU21,"Corpo a Corpo")&gt;0,$NO21=1),"A Forma "&amp;$ME21&amp;" já traz o Corpo a Corpo",""),IF(AND(COUNTIF($NT21:$NU21,"Tudo ou Nada")&gt;0,$NQ21=0),"Tudo ou Nada só entra em habilidade de Teste de Resistência",""),IF(AND(COUNTIF($MH21:$MK21,"Inescapável")&gt;0,OR($OD21&gt;1,$OE21&gt;0)),"Inescapável não aceita outra peça",""),IF(AND($MC21&gt;0,$OM21*IF(COUNTIF($MH21:$MK21,"Remate")&gt;0,1.25,1)+$ON21&gt;4*$MC21),($OM21*IF(COUNTIF($MH21:$MK21,"Remate")&gt;0,1.25,1)+$ON21)&amp;" dados somando repetições"&amp;IF(COUNTIF($MH21:$MK21,"Remate")&gt;0," e o Remate","")&amp;": o teto da Classe "&amp;$MC21&amp;" é "&amp;4*$MC21,"")))</f>
        <v/>
      </c>
      <c r="PD21" s="152">
        <f>IF($PC21="",0,(LEN($PC21)-LEN(SUBSTITUTE($PC21," · ","")))/3+1)</f>
        <v/>
      </c>
      <c r="PE21" s="152">
        <f>IF($MN21=0,"",TEXTJOIN(" · ",TRUE,IF($OG21&gt;2*$MC21,"A devolução parou no teto de "&amp;2*$MC21,""),IF($OJ21&gt;0,"Devolução perdida: "&amp;$OJ21&amp;IF($OJ21&gt;1," pontos"," ponto")&amp;" sem peça para pagar",""),IF(AND($NM21&gt;0,AND($MC21&gt;0,$NP21=0),$OM21=0),"Controle sem dano: uma rodada a mais e CD +2",""),IF(AND($NM21&gt;0,AND($MC21&gt;0,$NP21=0),$OM21&gt;0,$OM21&lt;=$MC21),"Controle com saldo até a Classe: uma rodada a mais",""),IF(AND($MC21&gt;0,$NN21&lt;&gt;""),"Efeito de "&amp;$NN21&amp;" pela Classe "&amp;MAX(1,$MC21-1),"")))</f>
        <v/>
      </c>
      <c r="PF21" s="152">
        <f>IF($PE21="",0,(LEN($PE21)-LEN(SUBSTITUTE($PE21," · ","")))/3+1)</f>
        <v/>
      </c>
      <c r="PG21" s="152">
        <f>IF($MN21=0,IF($OD21+COUNTIF($ML21:$MM21,"?*")&gt;0,"Dê um nome",""),IF($PD21&gt;0,"⚠ "&amp;$PD21&amp;IF($PD21&gt;1," erros"," erro"),IF($PF21&gt;0,"! "&amp;$PF21&amp;IF($PF21&gt;1," avisos"," aviso"),"Na regra")))</f>
        <v/>
      </c>
      <c r="PH21" s="152">
        <f>IF($MN21=0,"",IF($PD21+$PF21=0,"Dentro das regras que a ficha confere",$PC21&amp;IF(AND($PD21&gt;0,$PF21&gt;0)," · ","")&amp;$PE21))</f>
        <v/>
      </c>
      <c r="PI21" s="152">
        <f>IF($MA21&gt;$MO21,$MB21&amp;" · ABRE NO NÍVEL "&amp;$MA21,$MB21)</f>
        <v/>
      </c>
      <c r="PJ21" s="152">
        <f>IF($MN21=0,"",IF($MC21=0,"Sem PE",3*$MC21&amp;" PE"))</f>
        <v/>
      </c>
      <c r="PK21" s="152">
        <f>IF($MN21=0,"",IF($MC21=0,"A atuação básica dela",IF(COUNTIF($NT21:$NU21,"Atrasar")&gt;0,"Sua Ação Completa",IF(COUNTIF($MH21:$MK21,"Rápido")&gt;0,"Sua Bônus",IF(COUNTIF($MH21:$MK21,"Reação")&gt;0,"Sua Reação","Sua Padrão")))&amp;" + a básica dela"&amp;IF(COUNTIF($MH21:$MK21,"Reação")&gt;0," e a coletiva","")&amp;IF(COUNTIF($NT21:$NU21,"Carregar")&gt;0," · em dois turnos","")))</f>
        <v/>
      </c>
      <c r="PL21" s="152">
        <f>IF($MG21&lt;&gt;"",$MG21,IF($MT21=0,"",INDEX($AA$2:$AA$11,$MT21)))</f>
        <v/>
      </c>
      <c r="PM21" s="152">
        <f>IF(OR($MN21=0,$MT21=0),"",IF(COUNTIF($MH21:$MK21,"Inescapável")&gt;0,"Automático",IF($PL21="Ataque",IF($MR21="","Ataque","Ataque "&amp;IF(($MR21+2*IF(COUNTIF($MH21:$MK21,"Precisão")&gt;0,1,0))&gt;=0,"+","−")&amp;ABS(($MR21+2*IF(COUNTIF($MH21:$MK21,"Precisão")&gt;0,1,0)))),IF(LEFT($PL21,2)="TR",$PL21&amp;IF($MS21="",""," · CD "&amp;$MS21)&amp;IF(COUNTIF($MH21:$MK21,"Certeiro")&gt;0," · metade",""),"Sem rolagem"))))</f>
        <v/>
      </c>
      <c r="PN21" s="152">
        <f>IF(OR($MN21=0,$MT21=0),"",IF($MC21=0,IF(OR($NP21&gt;=1,$OM21=0),"Sem dano",$OM21&amp;"d6"&amp;IF($MF21="",""," "&amp;$MF21)),IF(OR($NP21&gt;=1,$OM21=0),UPPER(LEFT(INDEX($OV21:$PB21,1,MAX(1,$MC21)),1))&amp;MID(INDEX($OV21:$PB21,1,MAX(1,$MC21)),2,99),UPPER(LEFT(INDEX($OV21:$PB21,1,MAX(1,$MC21)),1))&amp;MID(INDEX($OV21:$PB21,1,MAX(1,$MC21)),2,99)&amp;IF($MF21="",""," "&amp;$MF21)&amp;IF($ON21&gt;0," · +"&amp;$ON21&amp;"d8",""))))</f>
        <v/>
      </c>
      <c r="PO21" s="152">
        <f>COUNTIF($MH21:$MK21,"Longe")+3*COUNTIF($MH21:$MK21,"Muito Longe")</f>
        <v/>
      </c>
      <c r="PP21" s="152">
        <f>COUNTIF($MH21:$MK21,"Maior")+3*COUNTIF($MH21:$MK21,"Muito Maior")</f>
        <v/>
      </c>
      <c r="PQ21" s="152">
        <f>IF($MT21=0,0,CHOOSE(1+INDEX($AC$2:$AC$11,$MT21),0,$PO21,$PP21,$PO21+$PP21))</f>
        <v/>
      </c>
      <c r="PR21" s="152">
        <f>IF($MT21=0,0,CHOOSE(1+INDEX($AD$2:$AD$11,$MT21),0,$PO21,$PP21,$PO21+$PP21))</f>
        <v/>
      </c>
      <c r="PS21" s="152">
        <f>IF(OR($MN21=0,$MT21=0),"",INDEX($AI$2:$AN$41,($MT21-1)*4+IF($MC21=0,1,IF($MC21&lt;=5,2,IF($MC21=6,3,4))),1+MIN(5,$PQ21))&amp;INDEX($AO$2:$AT$41,($MT21-1)*4+IF($MC21=0,1,IF($MC21&lt;=5,2,IF($MC21=6,3,4))),1+MIN(5,$PR21))&amp;IF(INDEX($AE$2:$AE$11,$MT21)=1,IF(COUNTIF($MH21:$MK21,"Mais Um")&gt;0," · +"&amp;COUNTIF($MH21:$MK21,"Mais Um")&amp;IF(COUNTIF($MH21:$MK21,"Mais Um")&gt;1," alvos"," alvo"),"")&amp;IF(COUNTIF($MH21:$MK21,"Rajada")&gt;0,IF($MC21=0," · 1 tiro"," · "&amp;(MAX(1,$MC21-1)+1)&amp;" tiros"),""),""))</f>
        <v/>
      </c>
      <c r="PT21" s="152">
        <f>IF($MN21=0,"",IF($MC21=0,$MQ21&amp;"d6"&amp;IF($OD21&gt;0," − 1 = "&amp;$OM21&amp;"d6"," da básica do nível "&amp;$MO21),$OK21&amp;" − "&amp;$OF21&amp;" + "&amp;$OI21&amp;" = "&amp;$OL21&amp;" · teto "&amp;4*$MC21&amp;"d8"&amp;IF($NO21=1," · a Forma devolve "&amp;$MC21,"")&amp;IF($OJ21&gt;0," · perde "&amp;$OJ21,"")))</f>
        <v/>
      </c>
      <c r="PU21" s="152">
        <f>IF($MN21=0,"",IF($MC21=0,"A básica não amplia: os dados dela sobem com o nível",IF($MC21&gt;=$MP21,"Já está na maior Classe que o nível liberou",TEXTJOIN(" · ",TRUE,IF(AND(2&gt;$MC21,2&lt;=$MP21),"2 → "&amp;$OW21&amp;", 6 PE",""),IF(AND(3&gt;$MC21,3&lt;=$MP21),"3 → "&amp;$OX21&amp;", 9 PE",""),IF(AND(4&gt;$MC21,4&lt;=$MP21),"4 → "&amp;$OY21&amp;", 12 PE",""),IF(AND(5&gt;$MC21,5&lt;=$MP21),"5 → "&amp;$OZ21&amp;", 15 PE",""),IF(AND(6&gt;$MC21,6&lt;=$MP21),"6 → "&amp;$PA21&amp;", 18 PE",""),IF(AND(7&gt;$MC21,7&lt;=$MP21),"7 → "&amp;$PB21&amp;", 21 PE","")))))</f>
        <v/>
      </c>
      <c r="PV21" s="152">
        <f>IF(OR($MN21=0,$MY21=0),"",IF($MC21=0,"−1 dado","−"&amp;INDEX($I$2:$N$8,MAX(1,$MC21),MAX(1,$ND21))&amp;" · "&amp;CHOOSE(MAX(1,$ND21),"Leve","Média","Pesada","Leve · Livre","Média · Livre","Pesada · Livre")))</f>
        <v/>
      </c>
      <c r="PW21" s="152">
        <f>IF(OR($MN21=0,$MZ21=0),"",IF($MC21=0,"−1 dado","−"&amp;INDEX($I$2:$N$8,MAX(1,$MC21),MAX(1,$NE21))&amp;" · "&amp;CHOOSE(MAX(1,$NE21),"Leve","Média","Pesada","Leve · Livre","Média · Livre","Pesada · Livre")))</f>
        <v/>
      </c>
      <c r="PX21" s="152">
        <f>IF(OR($MN21=0,$NA21=0),"",IF($MC21=0,"−1 dado","−"&amp;INDEX($I$2:$N$8,MAX(1,$MC21),MAX(1,$NF21))&amp;" · "&amp;CHOOSE(MAX(1,$NF21),"Leve","Média","Pesada","Leve · Livre","Média · Livre","Pesada · Livre")))</f>
        <v/>
      </c>
      <c r="PY21" s="152">
        <f>IF(OR($MN21=0,$NB21=0),"",IF($MC21=0,"−1 dado","−"&amp;INDEX($I$2:$N$8,MAX(1,$MC21),MAX(1,$NG21))&amp;" · "&amp;CHOOSE(MAX(1,$NG21),"Leve","Média","Pesada","Leve · Livre","Média · Livre","Pesada · Livre")))</f>
        <v/>
      </c>
      <c r="PZ21" s="152">
        <f>IF(OR($MN21=0,$ML21=""),"",IF($MC21=0,"não devolve","+"&amp;IF($NR21=1,CEILING($MC21/2,1),$MC21)))</f>
        <v/>
      </c>
      <c r="QA21" s="152">
        <f>IF(OR($MN21=0,$MM21=""),"",IF($MC21=0,"não devolve","+"&amp;IF($NS21=1,CEILING($MC21/2,1),$MC21)))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B22" s="150" t="inlineStr">
        <is>
          <t>Assinatura</t>
        </is>
      </c>
      <c r="BC22" s="150" t="inlineStr">
        <is>
          <t>Assinatura</t>
        </is>
      </c>
      <c r="BD22" s="152" t="n">
        <v>1</v>
      </c>
      <c r="BE22" s="152" t="n">
        <v>0</v>
      </c>
      <c r="BF22" s="150" t="inlineStr">
        <is>
          <t>Assinatura</t>
        </is>
      </c>
      <c r="BZ22" s="150" t="inlineStr">
        <is>
          <t>Intimidação</t>
        </is>
      </c>
      <c r="CA22" s="150" t="inlineStr">
        <is>
          <t>Essência</t>
        </is>
      </c>
      <c r="JD22" s="152">
        <f>IF(OR($AW22="",COUNTIF($ED$2:$EH$2,$AW22)&gt;0),$AV22,"")</f>
        <v/>
      </c>
      <c r="JE22" s="152">
        <f>IF(AND($AX22=1,OR($AW22="",COUNTIF($ED$2:$EH$2,$AW22)&gt;0)),$AV22,"")</f>
        <v/>
      </c>
      <c r="JJ22" s="152">
        <f>IF(OR($AW22="",COUNTIF($ED$3:$EH$3,$AW22)&gt;0),$AV22,"")</f>
        <v/>
      </c>
      <c r="JK22" s="152">
        <f>IF(AND($AX22=1,OR($AW22="",COUNTIF($ED$3:$EH$3,$AW22)&gt;0)),$AV22,"")</f>
        <v/>
      </c>
      <c r="JP22" s="152">
        <f>IF(OR($AW22="",COUNTIF($ED$4:$EH$4,$AW22)&gt;0),$AV22,"")</f>
        <v/>
      </c>
      <c r="JQ22" s="152">
        <f>IF(AND($AX22=1,OR($AW22="",COUNTIF($ED$4:$EH$4,$AW22)&gt;0)),$AV22,"")</f>
        <v/>
      </c>
      <c r="JV22" s="152">
        <f>IF(OR($AW22="",COUNTIF($ED$5:$EH$5,$AW22)&gt;0),$AV22,"")</f>
        <v/>
      </c>
      <c r="JW22" s="152">
        <f>IF(AND($AX22=1,OR($AW22="",COUNTIF($ED$5:$EH$5,$AW22)&gt;0)),$AV22,"")</f>
        <v/>
      </c>
      <c r="KB22" s="152">
        <f>IF(OR($AW22="",COUNTIF($ED$6:$EH$6,$AW22)&gt;0),$AV22,"")</f>
        <v/>
      </c>
      <c r="KC22" s="152">
        <f>IF(AND($AX22=1,OR($AW22="",COUNTIF($ED$6:$EH$6,$AW22)&gt;0)),$AV22,"")</f>
        <v/>
      </c>
      <c r="KH22" s="152">
        <f>IF(OR($AW22="",COUNTIF($ED$7:$EH$7,$AW22)&gt;0),$AV22,"")</f>
        <v/>
      </c>
      <c r="KI22" s="152">
        <f>IF(AND($AX22=1,OR($AW22="",COUNTIF($ED$7:$EH$7,$AW22)&gt;0)),$AV22,"")</f>
        <v/>
      </c>
      <c r="KN22" s="152">
        <f>IF(OR($AW22="",COUNTIF($ED$8:$EH$8,$AW22)&gt;0),$AV22,"")</f>
        <v/>
      </c>
      <c r="KO22" s="152">
        <f>IF(AND($AX22=1,OR($AW22="",COUNTIF($ED$8:$EH$8,$AW22)&gt;0)),$AV22,"")</f>
        <v/>
      </c>
      <c r="KT22" s="152">
        <f>IF(OR($AW22="",COUNTIF($ED$9:$EH$9,$AW22)&gt;0),$AV22,"")</f>
        <v/>
      </c>
      <c r="KU22" s="152">
        <f>IF(AND($AX22=1,OR($AW22="",COUNTIF($ED$9:$EH$9,$AW22)&gt;0)),$AV22,"")</f>
        <v/>
      </c>
      <c r="KZ22" s="152">
        <f>IF(OR($AW22="",COUNTIF($ED$10:$EH$10,$AW22)&gt;0),$AV22,"")</f>
        <v/>
      </c>
      <c r="LA22" s="152">
        <f>IF(AND($AX22=1,OR($AW22="",COUNTIF($ED$10:$EH$10,$AW22)&gt;0)),$AV22,"")</f>
        <v/>
      </c>
      <c r="LF22" s="152">
        <f>IF(OR($AW22="",COUNTIF($ED$11:$EH$11,$AW22)&gt;0),$AV22,"")</f>
        <v/>
      </c>
      <c r="LG22" s="152">
        <f>IF(AND($AX22=1,OR($AW22="",COUNTIF($ED$11:$EH$11,$AW22)&gt;0)),$AV22,"")</f>
        <v/>
      </c>
      <c r="LL22" s="152">
        <f>IF(OR($AW22="",COUNTIF($ED$12:$EH$12,$AW22)&gt;0),$AV22,"")</f>
        <v/>
      </c>
      <c r="LM22" s="152">
        <f>IF(AND($AX22=1,OR($AW22="",COUNTIF($ED$12:$EH$12,$AW22)&gt;0)),$AV22,"")</f>
        <v/>
      </c>
      <c r="LR22" s="152">
        <f>IF(OR($AW22="",COUNTIF($ED$13:$EH$13,$AW22)&gt;0),$AV22,"")</f>
        <v/>
      </c>
      <c r="LS22" s="152">
        <f>IF(AND($AX22=1,OR($AW22="",COUNTIF($ED$13:$EH$13,$AW22)&gt;0)),$AV22,"")</f>
        <v/>
      </c>
      <c r="LX22" s="150" t="inlineStr">
        <is>
          <t>Ficha 2 · Especial 6</t>
        </is>
      </c>
      <c r="LY22" s="152" t="n">
        <v>2</v>
      </c>
      <c r="LZ22" s="152" t="n">
        <v>1</v>
      </c>
      <c r="MA22" s="152" t="n">
        <v>20</v>
      </c>
      <c r="MB22" s="150" t="inlineStr">
        <is>
          <t>ESPECIAL 6</t>
        </is>
      </c>
      <c r="MC22" s="152">
        <f>MAX(1,MIN(7,N('INVOCAÇÕES'!$O$312)))</f>
        <v/>
      </c>
      <c r="MD22" s="152">
        <f>'INVOCAÇÕES'!$P$312&amp;""</f>
        <v/>
      </c>
      <c r="ME22" s="152">
        <f>'INVOCAÇÕES'!$O$317&amp;""</f>
        <v/>
      </c>
      <c r="MF22" s="152">
        <f>'INVOCAÇÕES'!$O$318&amp;""</f>
        <v/>
      </c>
      <c r="MG22" s="152">
        <f>'INVOCAÇÕES'!$Q$318&amp;""</f>
        <v/>
      </c>
      <c r="MH22" s="152">
        <f>'INVOCAÇÕES'!$P$321&amp;""</f>
        <v/>
      </c>
      <c r="MI22" s="152">
        <f>'INVOCAÇÕES'!$P$322&amp;""</f>
        <v/>
      </c>
      <c r="MJ22" s="152">
        <f>'INVOCAÇÕES'!$P$323&amp;""</f>
        <v/>
      </c>
      <c r="MK22" s="152">
        <f>'INVOCAÇÕES'!$P$324&amp;""</f>
        <v/>
      </c>
      <c r="ML22" s="152">
        <f>'INVOCAÇÕES'!$P$325&amp;""</f>
        <v/>
      </c>
      <c r="MM22" s="152">
        <f>'INVOCAÇÕES'!$P$326&amp;""</f>
        <v/>
      </c>
      <c r="MN22" s="152">
        <f>IF($MD22&lt;&gt;"",1,0)</f>
        <v/>
      </c>
      <c r="MO22" s="152">
        <f>INDEX($FG$2:$FG$13,$LY22)</f>
        <v/>
      </c>
      <c r="MP22" s="152">
        <f>INDEX($FH$2:$FH$13,$LY22)</f>
        <v/>
      </c>
      <c r="MQ22" s="152">
        <f>INDEX($FI$2:$FI$13,$LY22)</f>
        <v/>
      </c>
      <c r="MR22" s="152">
        <f>INDEX($FT$2:$FT$13,$LY22)</f>
        <v/>
      </c>
      <c r="MS22" s="152">
        <f>INDEX($FU$2:$FU$13,$LY22)</f>
        <v/>
      </c>
      <c r="MT22" s="152">
        <f>IFERROR(MATCH($ME22,$V$2:$V$11,0),0)</f>
        <v/>
      </c>
      <c r="MU22" s="152">
        <f>IFERROR(VLOOKUP($MH22,$AV$2:$AZ$84,2,FALSE),"")</f>
        <v/>
      </c>
      <c r="MV22" s="152">
        <f>IFERROR(VLOOKUP($MI22,$AV$2:$AZ$84,2,FALSE),"")</f>
        <v/>
      </c>
      <c r="MW22" s="152">
        <f>IFERROR(VLOOKUP($MJ22,$AV$2:$AZ$84,2,FALSE),"")</f>
        <v/>
      </c>
      <c r="MX22" s="152">
        <f>IFERROR(VLOOKUP($MK22,$AV$2:$AZ$84,2,FALSE),"")</f>
        <v/>
      </c>
      <c r="MY22" s="152">
        <f>IFERROR(VLOOKUP($MH22,$AV$2:$AZ$84,3,FALSE),0)</f>
        <v/>
      </c>
      <c r="MZ22" s="152">
        <f>IFERROR(VLOOKUP($MI22,$AV$2:$AZ$84,3,FALSE),0)</f>
        <v/>
      </c>
      <c r="NA22" s="152">
        <f>IFERROR(VLOOKUP($MJ22,$AV$2:$AZ$84,3,FALSE),0)</f>
        <v/>
      </c>
      <c r="NB22" s="152">
        <f>IFERROR(VLOOKUP($MK22,$AV$2:$AZ$84,3,FALSE),0)</f>
        <v/>
      </c>
      <c r="NC22" s="152">
        <f>IF($MC22=0,0,IF($MT22=0,0,INDEX($X$2:$X$11,$MT22)))</f>
        <v/>
      </c>
      <c r="ND22" s="152">
        <f>IF(OR($MY22=0,$MC22=0),0,$MY22+3*IF(AND($MU22&lt;&gt;"",OR($MU22=INDEX($ED$2:$ED$13,$LY22),$MU22=INDEX($EE$2:$EE$13,$LY22))),1,0))</f>
        <v/>
      </c>
      <c r="NE22" s="152">
        <f>IF(OR($MZ22=0,$MC22=0),0,$MZ22+3*IF(AND($MV22&lt;&gt;"",OR($MV22=INDEX($ED$2:$ED$13,$LY22),$MV22=INDEX($EE$2:$EE$13,$LY22))),1,0))</f>
        <v/>
      </c>
      <c r="NF22" s="152">
        <f>IF(OR($NA22=0,$MC22=0),0,$NA22+3*IF(AND($MW22&lt;&gt;"",OR($MW22=INDEX($ED$2:$ED$13,$LY22),$MW22=INDEX($EE$2:$EE$13,$LY22))),1,0))</f>
        <v/>
      </c>
      <c r="NG22" s="152">
        <f>IF(OR($NB22=0,$MC22=0),0,$NB22+3*IF(AND($MX22&lt;&gt;"",OR($MX22=INDEX($ED$2:$ED$13,$LY22),$MX22=INDEX($EE$2:$EE$13,$LY22))),1,0))</f>
        <v/>
      </c>
      <c r="NH22" s="152">
        <f>IF($MT22=0,0,IF(INDEX($W$2:$W$11,$MT22)="",0,IF(COUNTIF(INDEX($ED$2:$EH$13,$LY22,0),INDEX($W$2:$W$11,$MT22))=0,1,0)))</f>
        <v/>
      </c>
      <c r="NI22" s="152">
        <f>IF(OR($MY22=0,$MU22=""),0,IF(COUNTIF(INDEX($ED$2:$EH$13,$LY22,0),$MU22)=0,1,0))</f>
        <v/>
      </c>
      <c r="NJ22" s="152">
        <f>IF(OR($MZ22=0,$MV22=""),0,IF(COUNTIF(INDEX($ED$2:$EH$13,$LY22,0),$MV22)=0,1,0))</f>
        <v/>
      </c>
      <c r="NK22" s="152">
        <f>IF(OR($NA22=0,$MW22=""),0,IF(COUNTIF(INDEX($ED$2:$EH$13,$LY22,0),$MW22)=0,1,0))</f>
        <v/>
      </c>
      <c r="NL22" s="152">
        <f>IF(OR($NB22=0,$MX22=""),0,IF(COUNTIF(INDEX($ED$2:$EH$13,$LY22,0),$MX22)=0,1,0))</f>
        <v/>
      </c>
      <c r="NM22" s="152">
        <f>IFERROR(VLOOKUP($MH22,$AV$2:$AZ$84,4,FALSE),0)+IFERROR(VLOOKUP($MI22,$AV$2:$AZ$84,4,FALSE),0)+IFERROR(VLOOKUP($MJ22,$AV$2:$AZ$84,4,FALSE),0)+IFERROR(VLOOKUP($MK22,$AV$2:$AZ$84,4,FALSE),0)</f>
        <v/>
      </c>
      <c r="NN22" s="152">
        <f>TEXTJOIN(", ",TRUE,IF(IFERROR(VLOOKUP($MH22,$AV$2:$AZ$84,5,FALSE),0)=1,$MH22,""),IF(IFERROR(VLOOKUP($MI22,$AV$2:$AZ$84,5,FALSE),0)=1,$MI22,""),IF(IFERROR(VLOOKUP($MJ22,$AV$2:$AZ$84,5,FALSE),0)=1,$MJ22,""),IF(IFERROR(VLOOKUP($MK22,$AV$2:$AZ$84,5,FALSE),0)=1,$MK22,""))</f>
        <v/>
      </c>
      <c r="NO22" s="152">
        <f>IF($MT22=0,0,INDEX($Y$2:$Y$11,$MT22))</f>
        <v/>
      </c>
      <c r="NP22" s="152">
        <f>IF($MT22=0,0,INDEX($Z$2:$Z$11,$MT22))</f>
        <v/>
      </c>
      <c r="NQ22" s="152">
        <f>IF($MT22=0,0,INDEX($AB$2:$AB$11,$MT22))</f>
        <v/>
      </c>
      <c r="NR22" s="152">
        <f>IFERROR(VLOOKUP($ML22,$BB$2:$BF$24,3,FALSE),0)</f>
        <v/>
      </c>
      <c r="NS22" s="152">
        <f>IFERROR(VLOOKUP($MM22,$BB$2:$BF$24,3,FALSE),0)</f>
        <v/>
      </c>
      <c r="NT22" s="152">
        <f>IFERROR(VLOOKUP($ML22,$BB$2:$BF$24,2,FALSE),"")</f>
        <v/>
      </c>
      <c r="NU22" s="152">
        <f>IFERROR(VLOOKUP($MM22,$BB$2:$BF$24,2,FALSE),"")</f>
        <v/>
      </c>
      <c r="NV22" s="152">
        <f>COUNTIF($NC22:$NG22,1)</f>
        <v/>
      </c>
      <c r="NW22" s="152">
        <f>COUNTIF($NC22:$NG22,2)</f>
        <v/>
      </c>
      <c r="NX22" s="152">
        <f>COUNTIF($NC22:$NG22,3)</f>
        <v/>
      </c>
      <c r="NY22" s="152">
        <f>COUNTIF($NC22:$NG22,4)</f>
        <v/>
      </c>
      <c r="NZ22" s="152">
        <f>COUNTIF($NC22:$NG22,5)</f>
        <v/>
      </c>
      <c r="OA22" s="152">
        <f>COUNTIF($NC22:$NG22,6)</f>
        <v/>
      </c>
      <c r="OB22" s="152">
        <f>COUNTIF($NR22:$NS22,1)</f>
        <v/>
      </c>
      <c r="OC22" s="152">
        <f>COUNTIF($NR22:$NS22,2)+$NO22</f>
        <v/>
      </c>
      <c r="OD22" s="152">
        <f>COUNTIF($MH22:$MK22,"?*")</f>
        <v/>
      </c>
      <c r="OE22" s="152">
        <f>COUNTIF($ML22:$MM22,"?*")+$NO22</f>
        <v/>
      </c>
      <c r="OF22" s="152">
        <f>IF($MC22=0,0,SUMPRODUCT($NV22:$OA22,INDEX($I$2:$N$8,MAX(1,$MC22),0)))</f>
        <v/>
      </c>
      <c r="OG22" s="152">
        <f>IF($MC22=0,0,$OB22*CEILING($MC22/2,1)+$OC22*$MC22)</f>
        <v/>
      </c>
      <c r="OH22" s="152">
        <f>MIN(2*$MC22,$OG22)</f>
        <v/>
      </c>
      <c r="OI22" s="152">
        <f>MIN($OH22,$OF22)</f>
        <v/>
      </c>
      <c r="OJ22" s="152">
        <f>$OH22-$OI22</f>
        <v/>
      </c>
      <c r="OK22" s="152">
        <f>IF($MC22=0,0,INDEX($P$2:$P$8,MAX(1,$MC22)))</f>
        <v/>
      </c>
      <c r="OL22" s="152">
        <f>$OK22-$OF22+$OI22</f>
        <v/>
      </c>
      <c r="OM22" s="152">
        <f>IF($MC22=0,MAX(0,$MQ22-IF($OD22&gt;0,1,0)),MAX(0,$OL22))</f>
        <v/>
      </c>
      <c r="ON22" s="152">
        <f>IF($MC22=0,0,(IF(COUNTIF($MH22:$MK22,"Salto")&gt;0,1,0)+IF(COUNTIF($MH22:$MK22,"Queima")&gt;0,1,0)+IF(COUNTIF($MH22:$MK22,"Estilhaço")&gt;0,1,0))*FLOOR($OM22/2,1))</f>
        <v/>
      </c>
      <c r="OO22" s="152">
        <f>MAX(0,2-SUMPRODUCT($NV22:$OA22,$I$2:$N$2)+MIN(2,$OB22*1+$OC22*1,SUMPRODUCT($NV22:$OA22,$I$2:$N$2)))</f>
        <v/>
      </c>
      <c r="OP22" s="152">
        <f>MAX(0,4-SUMPRODUCT($NV22:$OA22,$I$3:$N$3)+MIN(4,$OB22*1+$OC22*2,SUMPRODUCT($NV22:$OA22,$I$3:$N$3)))</f>
        <v/>
      </c>
      <c r="OQ22" s="152">
        <f>MAX(0,6-SUMPRODUCT($NV22:$OA22,$I$4:$N$4)+MIN(6,$OB22*2+$OC22*3,SUMPRODUCT($NV22:$OA22,$I$4:$N$4)))</f>
        <v/>
      </c>
      <c r="OR22" s="152">
        <f>MAX(0,9-SUMPRODUCT($NV22:$OA22,$I$5:$N$5)+MIN(8,$OB22*2+$OC22*4,SUMPRODUCT($NV22:$OA22,$I$5:$N$5)))</f>
        <v/>
      </c>
      <c r="OS22" s="152">
        <f>MAX(0,11-SUMPRODUCT($NV22:$OA22,$I$6:$N$6)+MIN(10,$OB22*3+$OC22*5,SUMPRODUCT($NV22:$OA22,$I$6:$N$6)))</f>
        <v/>
      </c>
      <c r="OT22" s="152">
        <f>MAX(0,13-SUMPRODUCT($NV22:$OA22,$I$7:$N$7)+MIN(12,$OB22*3+$OC22*6,SUMPRODUCT($NV22:$OA22,$I$7:$N$7)))</f>
        <v/>
      </c>
      <c r="OU22" s="152">
        <f>MAX(0,16-SUMPRODUCT($NV22:$OA22,$I$8:$N$8)+MIN(14,$OB22*4+$OC22*7,SUMPRODUCT($NV22:$OA22,$I$8:$N$8)))</f>
        <v/>
      </c>
      <c r="OV22" s="152">
        <f>IF($NP22=2,3*$OO22&amp;" de vida temp.",IF($NP22=3,"sem dano",IF($OO22=0,IF($NP22=1,"sem cura","sem dano"),IF($NP22=1,"cura ","")&amp;$OO22&amp;"d8")))</f>
        <v/>
      </c>
      <c r="OW22" s="152">
        <f>IF($NP22=2,3*$OP22&amp;" de vida temp.",IF($NP22=3,"sem dano",IF($OP22=0,IF($NP22=1,"sem cura","sem dano"),IF($NP22=1,"cura ","")&amp;$OP22&amp;"d8")))</f>
        <v/>
      </c>
      <c r="OX22" s="152">
        <f>IF($NP22=2,3*$OQ22&amp;" de vida temp.",IF($NP22=3,"sem dano",IF($OQ22=0,IF($NP22=1,"sem cura","sem dano"),IF($NP22=1,"cura ","")&amp;$OQ22&amp;"d8")))</f>
        <v/>
      </c>
      <c r="OY22" s="152">
        <f>IF($NP22=2,3*$OR22&amp;" de vida temp.",IF($NP22=3,"sem dano",IF($OR22=0,IF($NP22=1,"sem cura","sem dano"),IF($NP22=1,"cura ","")&amp;$OR22&amp;"d8")))</f>
        <v/>
      </c>
      <c r="OZ22" s="152">
        <f>IF($NP22=2,3*$OS22&amp;" de vida temp.",IF($NP22=3,"sem dano",IF($OS22=0,IF($NP22=1,"sem cura","sem dano"),IF($NP22=1,"cura ","")&amp;$OS22&amp;"d8")))</f>
        <v/>
      </c>
      <c r="PA22" s="152">
        <f>IF($NP22=2,3*$OT22&amp;" de vida temp.",IF($NP22=3,"sem dano",IF($OT22=0,IF($NP22=1,"sem cura","sem dano"),IF($NP22=1,"cura ","")&amp;$OT22&amp;"d8")))</f>
        <v/>
      </c>
      <c r="PB22" s="152">
        <f>IF($NP22=2,3*$OU22&amp;" de vida temp.",IF($NP22=3,"sem dano",IF($OU22=0,IF($NP22=1,"sem cura","sem dano"),IF($NP22=1,"cura ","")&amp;$OU22&amp;"d8")))</f>
        <v/>
      </c>
      <c r="PC22" s="152">
        <f>IF($MN22=0,"",TEXTJOIN(" · ",TRUE,IF($MA22&gt;$MO22,"Este lugar abre no nível "&amp;$MA22,""),IF($MC22&gt;$MP22,"Classe "&amp;$MC22&amp;": o nível "&amp;$MO22&amp;" libera até a "&amp;$MP22,""),IF($NH22=1,"A Forma "&amp;$ME22&amp;" pede "&amp;INDEX($W$2:$W$11,$MT22)&amp;" aberta",""),IF(AND($MC22=0,$MT22&gt;0,IF($MT22=0,0,INDEX($AF$2:$AF$11,$MT22))=0),$ME22&amp;" não existe na Classe 0",""),IF($NI22=1,"Família Fechada: "&amp;$MH22,""),IF($NJ22=1,"Família Fechada: "&amp;$MI22,""),IF($NK22=1,"Família Fechada: "&amp;$MJ22,""),IF($NL22=1,"Família Fechada: "&amp;$MK22,""),IF(AND($MC22&gt;0,$OD22&gt;INDEX($O$2:$O$8,MAX(1,$MC22))),$OD22&amp;" Melhorias: a Classe "&amp;$MC22&amp;" aceita "&amp;INDEX($O$2:$O$8,MAX(1,$MC22)),""),IF(AND($MC22=0,$OD22&gt;1),"A básica aceita uma Melhoria",""),IF(AND($MC22=0,COUNTIF($MY22:$NB22,"&gt;1")&gt;0),"A básica só aceita Melhoria Leve",""),IF(AND($MC22&gt;0,$OE22&gt;2),$OE22&amp;" Restrições"&amp;IF($NO22=1,", contando a que a Forma "&amp;$ME22&amp;" já traz","")&amp;": o limite é 2",""),IF(AND($MC22=0,COUNTIF($ML22:$MM22,"?*")&gt;1),"A básica aceita uma Restrição Leve",""),IF(AND($MC22=0,COUNTIF($NR22:$NS22,2)&gt;0),"A básica só aceita Restrição Leve",""),IF(AND($MC22&gt;0,$OL22&lt;0),"Orçamento estourado: faltam "&amp;(-$OL22)&amp;IF($OL22&lt;-1," pontos"," ponto"),""),IF(IFERROR(VLOOKUP($ML22,$BB$2:$BF$24,4,FALSE),0)+IFERROR(VLOOKUP($MM22,$BB$2:$BF$24,4,FALSE),0)&gt;1,$NT22&amp;" e "&amp;$NU22&amp;" são as duas de frequência",""),IF(AND((COUNTIF($MH22:$MK22,"Rápido")+COUNTIF($NT22:$NU22,"Rápido"))&gt;0,(COUNTIF($MH22:$MK22,"Atrasar")+COUNTIF($NT22:$NU22,"Atrasar"))&gt;0),"Rápido não entra com Atrasar",""),IF(AND((COUNTIF($MH22:$MK22,"Reação")+COUNTIF($NT22:$NU22,"Reação"))&gt;0,(COUNTIF($MH22:$MK22,"Rápido")+COUNTIF($NT22:$NU22,"Rápido"))&gt;0),"Reação não entra com Rápido",""),IF(AND((COUNTIF($MH22:$MK22,"Reação")+COUNTIF($NT22:$NU22,"Reação"))&gt;0,(COUNTIF($MH22:$MK22,"Armado")+COUNTIF($NT22:$NU22,"Armado"))&gt;0),"Reação não entra com Armado",""),IF(AND((COUNTIF($MH22:$MK22,"Reação")+COUNTIF($NT22:$NU22,"Reação"))&gt;0,(COUNTIF($MH22:$MK22,"Atrasar")+COUNTIF($NT22:$NU22,"Atrasar"))&gt;0),"Reação não entra com Atrasar",""),IF(AND((COUNTIF($MH22:$MK22,"Reação")+COUNTIF($NT22:$NU22,"Reação"))&gt;0,(COUNTIF($MH22:$MK22,"Parado")+COUNTIF($NT22:$NU22,"Parado"))&gt;0),"Reação não entra com Parado",""),IF(AND((COUNTIF($MH22:$MK22,"Atrasar")+COUNTIF($NT22:$NU22,"Atrasar"))&gt;0,(COUNTIF($MH22:$MK22,"Parado")+COUNTIF($NT22:$NU22,"Parado"))&gt;0),"Atrasar não entra com Parado",""),IF(AND((COUNTIF($MH22:$MK22,"Armado")+COUNTIF($NT22:$NU22,"Armado"))&gt;0,(COUNTIF($MH22:$MK22,"Carregar")+COUNTIF($NT22:$NU22,"Carregar"))&gt;0),"Armado não entra com Carregar",""),IF(AND(COUNTIF($NT22:$NU22,"Corpo a Corpo")&gt;0,$NO22=0,OR($ME22="Cone",$ME22="Linha")),"Corpo a Corpo não entra em "&amp;$ME22,""),IF(AND(COUNTIF($NT22:$NU22,"Corpo a Corpo")&gt;0,$NO22=1),"A Forma "&amp;$ME22&amp;" já traz o Corpo a Corpo",""),IF(AND(COUNTIF($NT22:$NU22,"Tudo ou Nada")&gt;0,$NQ22=0),"Tudo ou Nada só entra em habilidade de Teste de Resistência",""),IF(AND(COUNTIF($MH22:$MK22,"Inescapável")&gt;0,OR($OD22&gt;1,$OE22&gt;0)),"Inescapável não aceita outra peça",""),IF(AND($MC22&gt;0,$OM22*IF(COUNTIF($MH22:$MK22,"Remate")&gt;0,1.25,1)+$ON22&gt;4*$MC22),($OM22*IF(COUNTIF($MH22:$MK22,"Remate")&gt;0,1.25,1)+$ON22)&amp;" dados somando repetições"&amp;IF(COUNTIF($MH22:$MK22,"Remate")&gt;0," e o Remate","")&amp;": o teto da Classe "&amp;$MC22&amp;" é "&amp;4*$MC22,"")))</f>
        <v/>
      </c>
      <c r="PD22" s="152">
        <f>IF($PC22="",0,(LEN($PC22)-LEN(SUBSTITUTE($PC22," · ","")))/3+1)</f>
        <v/>
      </c>
      <c r="PE22" s="152">
        <f>IF($MN22=0,"",TEXTJOIN(" · ",TRUE,IF($OG22&gt;2*$MC22,"A devolução parou no teto de "&amp;2*$MC22,""),IF($OJ22&gt;0,"Devolução perdida: "&amp;$OJ22&amp;IF($OJ22&gt;1," pontos"," ponto")&amp;" sem peça para pagar",""),IF(AND($NM22&gt;0,AND($MC22&gt;0,$NP22=0),$OM22=0),"Controle sem dano: uma rodada a mais e CD +2",""),IF(AND($NM22&gt;0,AND($MC22&gt;0,$NP22=0),$OM22&gt;0,$OM22&lt;=$MC22),"Controle com saldo até a Classe: uma rodada a mais",""),IF(AND($MC22&gt;0,$NN22&lt;&gt;""),"Efeito de "&amp;$NN22&amp;" pela Classe "&amp;MAX(1,$MC22-1),"")))</f>
        <v/>
      </c>
      <c r="PF22" s="152">
        <f>IF($PE22="",0,(LEN($PE22)-LEN(SUBSTITUTE($PE22," · ","")))/3+1)</f>
        <v/>
      </c>
      <c r="PG22" s="152">
        <f>IF($MN22=0,IF($OD22+COUNTIF($ML22:$MM22,"?*")&gt;0,"Dê um nome",""),IF($PD22&gt;0,"⚠ "&amp;$PD22&amp;IF($PD22&gt;1," erros"," erro"),IF($PF22&gt;0,"! "&amp;$PF22&amp;IF($PF22&gt;1," avisos"," aviso"),"Na regra")))</f>
        <v/>
      </c>
      <c r="PH22" s="152">
        <f>IF($MN22=0,"",IF($PD22+$PF22=0,"Dentro das regras que a ficha confere",$PC22&amp;IF(AND($PD22&gt;0,$PF22&gt;0)," · ","")&amp;$PE22))</f>
        <v/>
      </c>
      <c r="PI22" s="152">
        <f>IF($MA22&gt;$MO22,$MB22&amp;" · ABRE NO NÍVEL "&amp;$MA22,$MB22)</f>
        <v/>
      </c>
      <c r="PJ22" s="152">
        <f>IF($MN22=0,"",IF($MC22=0,"Sem PE",3*$MC22&amp;" PE"))</f>
        <v/>
      </c>
      <c r="PK22" s="152">
        <f>IF($MN22=0,"",IF($MC22=0,"A atuação básica dela",IF(COUNTIF($NT22:$NU22,"Atrasar")&gt;0,"Sua Ação Completa",IF(COUNTIF($MH22:$MK22,"Rápido")&gt;0,"Sua Bônus",IF(COUNTIF($MH22:$MK22,"Reação")&gt;0,"Sua Reação","Sua Padrão")))&amp;" + a básica dela"&amp;IF(COUNTIF($MH22:$MK22,"Reação")&gt;0," e a coletiva","")&amp;IF(COUNTIF($NT22:$NU22,"Carregar")&gt;0," · em dois turnos","")))</f>
        <v/>
      </c>
      <c r="PL22" s="152">
        <f>IF($MG22&lt;&gt;"",$MG22,IF($MT22=0,"",INDEX($AA$2:$AA$11,$MT22)))</f>
        <v/>
      </c>
      <c r="PM22" s="152">
        <f>IF(OR($MN22=0,$MT22=0),"",IF(COUNTIF($MH22:$MK22,"Inescapável")&gt;0,"Automático",IF($PL22="Ataque",IF($MR22="","Ataque","Ataque "&amp;IF(($MR22+2*IF(COUNTIF($MH22:$MK22,"Precisão")&gt;0,1,0))&gt;=0,"+","−")&amp;ABS(($MR22+2*IF(COUNTIF($MH22:$MK22,"Precisão")&gt;0,1,0)))),IF(LEFT($PL22,2)="TR",$PL22&amp;IF($MS22="",""," · CD "&amp;$MS22)&amp;IF(COUNTIF($MH22:$MK22,"Certeiro")&gt;0," · metade",""),"Sem rolagem"))))</f>
        <v/>
      </c>
      <c r="PN22" s="152">
        <f>IF(OR($MN22=0,$MT22=0),"",IF($MC22=0,IF(OR($NP22&gt;=1,$OM22=0),"Sem dano",$OM22&amp;"d6"&amp;IF($MF22="",""," "&amp;$MF22)),IF(OR($NP22&gt;=1,$OM22=0),UPPER(LEFT(INDEX($OV22:$PB22,1,MAX(1,$MC22)),1))&amp;MID(INDEX($OV22:$PB22,1,MAX(1,$MC22)),2,99),UPPER(LEFT(INDEX($OV22:$PB22,1,MAX(1,$MC22)),1))&amp;MID(INDEX($OV22:$PB22,1,MAX(1,$MC22)),2,99)&amp;IF($MF22="",""," "&amp;$MF22)&amp;IF($ON22&gt;0," · +"&amp;$ON22&amp;"d8",""))))</f>
        <v/>
      </c>
      <c r="PO22" s="152">
        <f>COUNTIF($MH22:$MK22,"Longe")+3*COUNTIF($MH22:$MK22,"Muito Longe")</f>
        <v/>
      </c>
      <c r="PP22" s="152">
        <f>COUNTIF($MH22:$MK22,"Maior")+3*COUNTIF($MH22:$MK22,"Muito Maior")</f>
        <v/>
      </c>
      <c r="PQ22" s="152">
        <f>IF($MT22=0,0,CHOOSE(1+INDEX($AC$2:$AC$11,$MT22),0,$PO22,$PP22,$PO22+$PP22))</f>
        <v/>
      </c>
      <c r="PR22" s="152">
        <f>IF($MT22=0,0,CHOOSE(1+INDEX($AD$2:$AD$11,$MT22),0,$PO22,$PP22,$PO22+$PP22))</f>
        <v/>
      </c>
      <c r="PS22" s="152">
        <f>IF(OR($MN22=0,$MT22=0),"",INDEX($AI$2:$AN$41,($MT22-1)*4+IF($MC22=0,1,IF($MC22&lt;=5,2,IF($MC22=6,3,4))),1+MIN(5,$PQ22))&amp;INDEX($AO$2:$AT$41,($MT22-1)*4+IF($MC22=0,1,IF($MC22&lt;=5,2,IF($MC22=6,3,4))),1+MIN(5,$PR22))&amp;IF(INDEX($AE$2:$AE$11,$MT22)=1,IF(COUNTIF($MH22:$MK22,"Mais Um")&gt;0," · +"&amp;COUNTIF($MH22:$MK22,"Mais Um")&amp;IF(COUNTIF($MH22:$MK22,"Mais Um")&gt;1," alvos"," alvo"),"")&amp;IF(COUNTIF($MH22:$MK22,"Rajada")&gt;0,IF($MC22=0," · 1 tiro"," · "&amp;(MAX(1,$MC22-1)+1)&amp;" tiros"),""),""))</f>
        <v/>
      </c>
      <c r="PT22" s="152">
        <f>IF($MN22=0,"",IF($MC22=0,$MQ22&amp;"d6"&amp;IF($OD22&gt;0," − 1 = "&amp;$OM22&amp;"d6"," da básica do nível "&amp;$MO22),$OK22&amp;" − "&amp;$OF22&amp;" + "&amp;$OI22&amp;" = "&amp;$OL22&amp;" · teto "&amp;4*$MC22&amp;"d8"&amp;IF($NO22=1," · a Forma devolve "&amp;$MC22,"")&amp;IF($OJ22&gt;0," · perde "&amp;$OJ22,"")))</f>
        <v/>
      </c>
      <c r="PU22" s="152">
        <f>IF($MN22=0,"",IF($MC22=0,"A básica não amplia: os dados dela sobem com o nível",IF($MC22&gt;=$MP22,"Já está na maior Classe que o nível liberou",TEXTJOIN(" · ",TRUE,IF(AND(2&gt;$MC22,2&lt;=$MP22),"2 → "&amp;$OW22&amp;", 6 PE",""),IF(AND(3&gt;$MC22,3&lt;=$MP22),"3 → "&amp;$OX22&amp;", 9 PE",""),IF(AND(4&gt;$MC22,4&lt;=$MP22),"4 → "&amp;$OY22&amp;", 12 PE",""),IF(AND(5&gt;$MC22,5&lt;=$MP22),"5 → "&amp;$OZ22&amp;", 15 PE",""),IF(AND(6&gt;$MC22,6&lt;=$MP22),"6 → "&amp;$PA22&amp;", 18 PE",""),IF(AND(7&gt;$MC22,7&lt;=$MP22),"7 → "&amp;$PB22&amp;", 21 PE","")))))</f>
        <v/>
      </c>
      <c r="PV22" s="152">
        <f>IF(OR($MN22=0,$MY22=0),"",IF($MC22=0,"−1 dado","−"&amp;INDEX($I$2:$N$8,MAX(1,$MC22),MAX(1,$ND22))&amp;" · "&amp;CHOOSE(MAX(1,$ND22),"Leve","Média","Pesada","Leve · Livre","Média · Livre","Pesada · Livre")))</f>
        <v/>
      </c>
      <c r="PW22" s="152">
        <f>IF(OR($MN22=0,$MZ22=0),"",IF($MC22=0,"−1 dado","−"&amp;INDEX($I$2:$N$8,MAX(1,$MC22),MAX(1,$NE22))&amp;" · "&amp;CHOOSE(MAX(1,$NE22),"Leve","Média","Pesada","Leve · Livre","Média · Livre","Pesada · Livre")))</f>
        <v/>
      </c>
      <c r="PX22" s="152">
        <f>IF(OR($MN22=0,$NA22=0),"",IF($MC22=0,"−1 dado","−"&amp;INDEX($I$2:$N$8,MAX(1,$MC22),MAX(1,$NF22))&amp;" · "&amp;CHOOSE(MAX(1,$NF22),"Leve","Média","Pesada","Leve · Livre","Média · Livre","Pesada · Livre")))</f>
        <v/>
      </c>
      <c r="PY22" s="152">
        <f>IF(OR($MN22=0,$NB22=0),"",IF($MC22=0,"−1 dado","−"&amp;INDEX($I$2:$N$8,MAX(1,$MC22),MAX(1,$NG22))&amp;" · "&amp;CHOOSE(MAX(1,$NG22),"Leve","Média","Pesada","Leve · Livre","Média · Livre","Pesada · Livre")))</f>
        <v/>
      </c>
      <c r="PZ22" s="152">
        <f>IF(OR($MN22=0,$ML22=""),"",IF($MC22=0,"não devolve","+"&amp;IF($NR22=1,CEILING($MC22/2,1),$MC22)))</f>
        <v/>
      </c>
      <c r="QA22" s="152">
        <f>IF(OR($MN22=0,$MM22=""),"",IF($MC22=0,"não devolve","+"&amp;IF($NS22=1,CEILING($MC22/2,1),$MC22)))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B23" s="150" t="inlineStr">
        <is>
          <t>Restrição Própria (Leve)</t>
        </is>
      </c>
      <c r="BC23" s="150" t="inlineStr">
        <is>
          <t>Restrição Própria</t>
        </is>
      </c>
      <c r="BD23" s="152" t="n">
        <v>1</v>
      </c>
      <c r="BE23" s="152" t="n">
        <v>0</v>
      </c>
      <c r="BF23" s="150" t="inlineStr">
        <is>
          <t>Restrição Própria (Leve)</t>
        </is>
      </c>
      <c r="BZ23" s="150" t="inlineStr">
        <is>
          <t>Atuação</t>
        </is>
      </c>
      <c r="CA23" s="150" t="inlineStr">
        <is>
          <t>Essência</t>
        </is>
      </c>
      <c r="JD23" s="152">
        <f>IF(OR($AW23="",COUNTIF($ED$2:$EH$2,$AW23)&gt;0),$AV23,"")</f>
        <v/>
      </c>
      <c r="JE23" s="152">
        <f>IF(AND($AX23=1,OR($AW23="",COUNTIF($ED$2:$EH$2,$AW23)&gt;0)),$AV23,"")</f>
        <v/>
      </c>
      <c r="JJ23" s="152">
        <f>IF(OR($AW23="",COUNTIF($ED$3:$EH$3,$AW23)&gt;0),$AV23,"")</f>
        <v/>
      </c>
      <c r="JK23" s="152">
        <f>IF(AND($AX23=1,OR($AW23="",COUNTIF($ED$3:$EH$3,$AW23)&gt;0)),$AV23,"")</f>
        <v/>
      </c>
      <c r="JP23" s="152">
        <f>IF(OR($AW23="",COUNTIF($ED$4:$EH$4,$AW23)&gt;0),$AV23,"")</f>
        <v/>
      </c>
      <c r="JQ23" s="152">
        <f>IF(AND($AX23=1,OR($AW23="",COUNTIF($ED$4:$EH$4,$AW23)&gt;0)),$AV23,"")</f>
        <v/>
      </c>
      <c r="JV23" s="152">
        <f>IF(OR($AW23="",COUNTIF($ED$5:$EH$5,$AW23)&gt;0),$AV23,"")</f>
        <v/>
      </c>
      <c r="JW23" s="152">
        <f>IF(AND($AX23=1,OR($AW23="",COUNTIF($ED$5:$EH$5,$AW23)&gt;0)),$AV23,"")</f>
        <v/>
      </c>
      <c r="KB23" s="152">
        <f>IF(OR($AW23="",COUNTIF($ED$6:$EH$6,$AW23)&gt;0),$AV23,"")</f>
        <v/>
      </c>
      <c r="KC23" s="152">
        <f>IF(AND($AX23=1,OR($AW23="",COUNTIF($ED$6:$EH$6,$AW23)&gt;0)),$AV23,"")</f>
        <v/>
      </c>
      <c r="KH23" s="152">
        <f>IF(OR($AW23="",COUNTIF($ED$7:$EH$7,$AW23)&gt;0),$AV23,"")</f>
        <v/>
      </c>
      <c r="KI23" s="152">
        <f>IF(AND($AX23=1,OR($AW23="",COUNTIF($ED$7:$EH$7,$AW23)&gt;0)),$AV23,"")</f>
        <v/>
      </c>
      <c r="KN23" s="152">
        <f>IF(OR($AW23="",COUNTIF($ED$8:$EH$8,$AW23)&gt;0),$AV23,"")</f>
        <v/>
      </c>
      <c r="KO23" s="152">
        <f>IF(AND($AX23=1,OR($AW23="",COUNTIF($ED$8:$EH$8,$AW23)&gt;0)),$AV23,"")</f>
        <v/>
      </c>
      <c r="KT23" s="152">
        <f>IF(OR($AW23="",COUNTIF($ED$9:$EH$9,$AW23)&gt;0),$AV23,"")</f>
        <v/>
      </c>
      <c r="KU23" s="152">
        <f>IF(AND($AX23=1,OR($AW23="",COUNTIF($ED$9:$EH$9,$AW23)&gt;0)),$AV23,"")</f>
        <v/>
      </c>
      <c r="KZ23" s="152">
        <f>IF(OR($AW23="",COUNTIF($ED$10:$EH$10,$AW23)&gt;0),$AV23,"")</f>
        <v/>
      </c>
      <c r="LA23" s="152">
        <f>IF(AND($AX23=1,OR($AW23="",COUNTIF($ED$10:$EH$10,$AW23)&gt;0)),$AV23,"")</f>
        <v/>
      </c>
      <c r="LF23" s="152">
        <f>IF(OR($AW23="",COUNTIF($ED$11:$EH$11,$AW23)&gt;0),$AV23,"")</f>
        <v/>
      </c>
      <c r="LG23" s="152">
        <f>IF(AND($AX23=1,OR($AW23="",COUNTIF($ED$11:$EH$11,$AW23)&gt;0)),$AV23,"")</f>
        <v/>
      </c>
      <c r="LL23" s="152">
        <f>IF(OR($AW23="",COUNTIF($ED$12:$EH$12,$AW23)&gt;0),$AV23,"")</f>
        <v/>
      </c>
      <c r="LM23" s="152">
        <f>IF(AND($AX23=1,OR($AW23="",COUNTIF($ED$12:$EH$12,$AW23)&gt;0)),$AV23,"")</f>
        <v/>
      </c>
      <c r="LR23" s="152">
        <f>IF(OR($AW23="",COUNTIF($ED$13:$EH$13,$AW23)&gt;0),$AV23,"")</f>
        <v/>
      </c>
      <c r="LS23" s="152">
        <f>IF(AND($AX23=1,OR($AW23="",COUNTIF($ED$13:$EH$13,$AW23)&gt;0)),$AV23,"")</f>
        <v/>
      </c>
      <c r="LX23" s="150" t="inlineStr">
        <is>
          <t>Ficha 2 · Especial 7</t>
        </is>
      </c>
      <c r="LY23" s="152" t="n">
        <v>2</v>
      </c>
      <c r="LZ23" s="152" t="n">
        <v>1</v>
      </c>
      <c r="MA23" s="152" t="n">
        <v>24</v>
      </c>
      <c r="MB23" s="150" t="inlineStr">
        <is>
          <t>ESPECIAL 7</t>
        </is>
      </c>
      <c r="MC23" s="152">
        <f>MAX(1,MIN(7,N('INVOCAÇÕES'!$U$312)))</f>
        <v/>
      </c>
      <c r="MD23" s="152">
        <f>'INVOCAÇÕES'!$V$312&amp;""</f>
        <v/>
      </c>
      <c r="ME23" s="152">
        <f>'INVOCAÇÕES'!$U$317&amp;""</f>
        <v/>
      </c>
      <c r="MF23" s="152">
        <f>'INVOCAÇÕES'!$U$318&amp;""</f>
        <v/>
      </c>
      <c r="MG23" s="152">
        <f>'INVOCAÇÕES'!$W$318&amp;""</f>
        <v/>
      </c>
      <c r="MH23" s="152">
        <f>'INVOCAÇÕES'!$V$321&amp;""</f>
        <v/>
      </c>
      <c r="MI23" s="152">
        <f>'INVOCAÇÕES'!$V$322&amp;""</f>
        <v/>
      </c>
      <c r="MJ23" s="152">
        <f>'INVOCAÇÕES'!$V$323&amp;""</f>
        <v/>
      </c>
      <c r="MK23" s="152">
        <f>'INVOCAÇÕES'!$V$324&amp;""</f>
        <v/>
      </c>
      <c r="ML23" s="152">
        <f>'INVOCAÇÕES'!$V$325&amp;""</f>
        <v/>
      </c>
      <c r="MM23" s="152">
        <f>'INVOCAÇÕES'!$V$326&amp;""</f>
        <v/>
      </c>
      <c r="MN23" s="152">
        <f>IF($MD23&lt;&gt;"",1,0)</f>
        <v/>
      </c>
      <c r="MO23" s="152">
        <f>INDEX($FG$2:$FG$13,$LY23)</f>
        <v/>
      </c>
      <c r="MP23" s="152">
        <f>INDEX($FH$2:$FH$13,$LY23)</f>
        <v/>
      </c>
      <c r="MQ23" s="152">
        <f>INDEX($FI$2:$FI$13,$LY23)</f>
        <v/>
      </c>
      <c r="MR23" s="152">
        <f>INDEX($FT$2:$FT$13,$LY23)</f>
        <v/>
      </c>
      <c r="MS23" s="152">
        <f>INDEX($FU$2:$FU$13,$LY23)</f>
        <v/>
      </c>
      <c r="MT23" s="152">
        <f>IFERROR(MATCH($ME23,$V$2:$V$11,0),0)</f>
        <v/>
      </c>
      <c r="MU23" s="152">
        <f>IFERROR(VLOOKUP($MH23,$AV$2:$AZ$84,2,FALSE),"")</f>
        <v/>
      </c>
      <c r="MV23" s="152">
        <f>IFERROR(VLOOKUP($MI23,$AV$2:$AZ$84,2,FALSE),"")</f>
        <v/>
      </c>
      <c r="MW23" s="152">
        <f>IFERROR(VLOOKUP($MJ23,$AV$2:$AZ$84,2,FALSE),"")</f>
        <v/>
      </c>
      <c r="MX23" s="152">
        <f>IFERROR(VLOOKUP($MK23,$AV$2:$AZ$84,2,FALSE),"")</f>
        <v/>
      </c>
      <c r="MY23" s="152">
        <f>IFERROR(VLOOKUP($MH23,$AV$2:$AZ$84,3,FALSE),0)</f>
        <v/>
      </c>
      <c r="MZ23" s="152">
        <f>IFERROR(VLOOKUP($MI23,$AV$2:$AZ$84,3,FALSE),0)</f>
        <v/>
      </c>
      <c r="NA23" s="152">
        <f>IFERROR(VLOOKUP($MJ23,$AV$2:$AZ$84,3,FALSE),0)</f>
        <v/>
      </c>
      <c r="NB23" s="152">
        <f>IFERROR(VLOOKUP($MK23,$AV$2:$AZ$84,3,FALSE),0)</f>
        <v/>
      </c>
      <c r="NC23" s="152">
        <f>IF($MC23=0,0,IF($MT23=0,0,INDEX($X$2:$X$11,$MT23)))</f>
        <v/>
      </c>
      <c r="ND23" s="152">
        <f>IF(OR($MY23=0,$MC23=0),0,$MY23+3*IF(AND($MU23&lt;&gt;"",OR($MU23=INDEX($ED$2:$ED$13,$LY23),$MU23=INDEX($EE$2:$EE$13,$LY23))),1,0))</f>
        <v/>
      </c>
      <c r="NE23" s="152">
        <f>IF(OR($MZ23=0,$MC23=0),0,$MZ23+3*IF(AND($MV23&lt;&gt;"",OR($MV23=INDEX($ED$2:$ED$13,$LY23),$MV23=INDEX($EE$2:$EE$13,$LY23))),1,0))</f>
        <v/>
      </c>
      <c r="NF23" s="152">
        <f>IF(OR($NA23=0,$MC23=0),0,$NA23+3*IF(AND($MW23&lt;&gt;"",OR($MW23=INDEX($ED$2:$ED$13,$LY23),$MW23=INDEX($EE$2:$EE$13,$LY23))),1,0))</f>
        <v/>
      </c>
      <c r="NG23" s="152">
        <f>IF(OR($NB23=0,$MC23=0),0,$NB23+3*IF(AND($MX23&lt;&gt;"",OR($MX23=INDEX($ED$2:$ED$13,$LY23),$MX23=INDEX($EE$2:$EE$13,$LY23))),1,0))</f>
        <v/>
      </c>
      <c r="NH23" s="152">
        <f>IF($MT23=0,0,IF(INDEX($W$2:$W$11,$MT23)="",0,IF(COUNTIF(INDEX($ED$2:$EH$13,$LY23,0),INDEX($W$2:$W$11,$MT23))=0,1,0)))</f>
        <v/>
      </c>
      <c r="NI23" s="152">
        <f>IF(OR($MY23=0,$MU23=""),0,IF(COUNTIF(INDEX($ED$2:$EH$13,$LY23,0),$MU23)=0,1,0))</f>
        <v/>
      </c>
      <c r="NJ23" s="152">
        <f>IF(OR($MZ23=0,$MV23=""),0,IF(COUNTIF(INDEX($ED$2:$EH$13,$LY23,0),$MV23)=0,1,0))</f>
        <v/>
      </c>
      <c r="NK23" s="152">
        <f>IF(OR($NA23=0,$MW23=""),0,IF(COUNTIF(INDEX($ED$2:$EH$13,$LY23,0),$MW23)=0,1,0))</f>
        <v/>
      </c>
      <c r="NL23" s="152">
        <f>IF(OR($NB23=0,$MX23=""),0,IF(COUNTIF(INDEX($ED$2:$EH$13,$LY23,0),$MX23)=0,1,0))</f>
        <v/>
      </c>
      <c r="NM23" s="152">
        <f>IFERROR(VLOOKUP($MH23,$AV$2:$AZ$84,4,FALSE),0)+IFERROR(VLOOKUP($MI23,$AV$2:$AZ$84,4,FALSE),0)+IFERROR(VLOOKUP($MJ23,$AV$2:$AZ$84,4,FALSE),0)+IFERROR(VLOOKUP($MK23,$AV$2:$AZ$84,4,FALSE),0)</f>
        <v/>
      </c>
      <c r="NN23" s="152">
        <f>TEXTJOIN(", ",TRUE,IF(IFERROR(VLOOKUP($MH23,$AV$2:$AZ$84,5,FALSE),0)=1,$MH23,""),IF(IFERROR(VLOOKUP($MI23,$AV$2:$AZ$84,5,FALSE),0)=1,$MI23,""),IF(IFERROR(VLOOKUP($MJ23,$AV$2:$AZ$84,5,FALSE),0)=1,$MJ23,""),IF(IFERROR(VLOOKUP($MK23,$AV$2:$AZ$84,5,FALSE),0)=1,$MK23,""))</f>
        <v/>
      </c>
      <c r="NO23" s="152">
        <f>IF($MT23=0,0,INDEX($Y$2:$Y$11,$MT23))</f>
        <v/>
      </c>
      <c r="NP23" s="152">
        <f>IF($MT23=0,0,INDEX($Z$2:$Z$11,$MT23))</f>
        <v/>
      </c>
      <c r="NQ23" s="152">
        <f>IF($MT23=0,0,INDEX($AB$2:$AB$11,$MT23))</f>
        <v/>
      </c>
      <c r="NR23" s="152">
        <f>IFERROR(VLOOKUP($ML23,$BB$2:$BF$24,3,FALSE),0)</f>
        <v/>
      </c>
      <c r="NS23" s="152">
        <f>IFERROR(VLOOKUP($MM23,$BB$2:$BF$24,3,FALSE),0)</f>
        <v/>
      </c>
      <c r="NT23" s="152">
        <f>IFERROR(VLOOKUP($ML23,$BB$2:$BF$24,2,FALSE),"")</f>
        <v/>
      </c>
      <c r="NU23" s="152">
        <f>IFERROR(VLOOKUP($MM23,$BB$2:$BF$24,2,FALSE),"")</f>
        <v/>
      </c>
      <c r="NV23" s="152">
        <f>COUNTIF($NC23:$NG23,1)</f>
        <v/>
      </c>
      <c r="NW23" s="152">
        <f>COUNTIF($NC23:$NG23,2)</f>
        <v/>
      </c>
      <c r="NX23" s="152">
        <f>COUNTIF($NC23:$NG23,3)</f>
        <v/>
      </c>
      <c r="NY23" s="152">
        <f>COUNTIF($NC23:$NG23,4)</f>
        <v/>
      </c>
      <c r="NZ23" s="152">
        <f>COUNTIF($NC23:$NG23,5)</f>
        <v/>
      </c>
      <c r="OA23" s="152">
        <f>COUNTIF($NC23:$NG23,6)</f>
        <v/>
      </c>
      <c r="OB23" s="152">
        <f>COUNTIF($NR23:$NS23,1)</f>
        <v/>
      </c>
      <c r="OC23" s="152">
        <f>COUNTIF($NR23:$NS23,2)+$NO23</f>
        <v/>
      </c>
      <c r="OD23" s="152">
        <f>COUNTIF($MH23:$MK23,"?*")</f>
        <v/>
      </c>
      <c r="OE23" s="152">
        <f>COUNTIF($ML23:$MM23,"?*")+$NO23</f>
        <v/>
      </c>
      <c r="OF23" s="152">
        <f>IF($MC23=0,0,SUMPRODUCT($NV23:$OA23,INDEX($I$2:$N$8,MAX(1,$MC23),0)))</f>
        <v/>
      </c>
      <c r="OG23" s="152">
        <f>IF($MC23=0,0,$OB23*CEILING($MC23/2,1)+$OC23*$MC23)</f>
        <v/>
      </c>
      <c r="OH23" s="152">
        <f>MIN(2*$MC23,$OG23)</f>
        <v/>
      </c>
      <c r="OI23" s="152">
        <f>MIN($OH23,$OF23)</f>
        <v/>
      </c>
      <c r="OJ23" s="152">
        <f>$OH23-$OI23</f>
        <v/>
      </c>
      <c r="OK23" s="152">
        <f>IF($MC23=0,0,INDEX($P$2:$P$8,MAX(1,$MC23)))</f>
        <v/>
      </c>
      <c r="OL23" s="152">
        <f>$OK23-$OF23+$OI23</f>
        <v/>
      </c>
      <c r="OM23" s="152">
        <f>IF($MC23=0,MAX(0,$MQ23-IF($OD23&gt;0,1,0)),MAX(0,$OL23))</f>
        <v/>
      </c>
      <c r="ON23" s="152">
        <f>IF($MC23=0,0,(IF(COUNTIF($MH23:$MK23,"Salto")&gt;0,1,0)+IF(COUNTIF($MH23:$MK23,"Queima")&gt;0,1,0)+IF(COUNTIF($MH23:$MK23,"Estilhaço")&gt;0,1,0))*FLOOR($OM23/2,1))</f>
        <v/>
      </c>
      <c r="OO23" s="152">
        <f>MAX(0,2-SUMPRODUCT($NV23:$OA23,$I$2:$N$2)+MIN(2,$OB23*1+$OC23*1,SUMPRODUCT($NV23:$OA23,$I$2:$N$2)))</f>
        <v/>
      </c>
      <c r="OP23" s="152">
        <f>MAX(0,4-SUMPRODUCT($NV23:$OA23,$I$3:$N$3)+MIN(4,$OB23*1+$OC23*2,SUMPRODUCT($NV23:$OA23,$I$3:$N$3)))</f>
        <v/>
      </c>
      <c r="OQ23" s="152">
        <f>MAX(0,6-SUMPRODUCT($NV23:$OA23,$I$4:$N$4)+MIN(6,$OB23*2+$OC23*3,SUMPRODUCT($NV23:$OA23,$I$4:$N$4)))</f>
        <v/>
      </c>
      <c r="OR23" s="152">
        <f>MAX(0,9-SUMPRODUCT($NV23:$OA23,$I$5:$N$5)+MIN(8,$OB23*2+$OC23*4,SUMPRODUCT($NV23:$OA23,$I$5:$N$5)))</f>
        <v/>
      </c>
      <c r="OS23" s="152">
        <f>MAX(0,11-SUMPRODUCT($NV23:$OA23,$I$6:$N$6)+MIN(10,$OB23*3+$OC23*5,SUMPRODUCT($NV23:$OA23,$I$6:$N$6)))</f>
        <v/>
      </c>
      <c r="OT23" s="152">
        <f>MAX(0,13-SUMPRODUCT($NV23:$OA23,$I$7:$N$7)+MIN(12,$OB23*3+$OC23*6,SUMPRODUCT($NV23:$OA23,$I$7:$N$7)))</f>
        <v/>
      </c>
      <c r="OU23" s="152">
        <f>MAX(0,16-SUMPRODUCT($NV23:$OA23,$I$8:$N$8)+MIN(14,$OB23*4+$OC23*7,SUMPRODUCT($NV23:$OA23,$I$8:$N$8)))</f>
        <v/>
      </c>
      <c r="OV23" s="152">
        <f>IF($NP23=2,3*$OO23&amp;" de vida temp.",IF($NP23=3,"sem dano",IF($OO23=0,IF($NP23=1,"sem cura","sem dano"),IF($NP23=1,"cura ","")&amp;$OO23&amp;"d8")))</f>
        <v/>
      </c>
      <c r="OW23" s="152">
        <f>IF($NP23=2,3*$OP23&amp;" de vida temp.",IF($NP23=3,"sem dano",IF($OP23=0,IF($NP23=1,"sem cura","sem dano"),IF($NP23=1,"cura ","")&amp;$OP23&amp;"d8")))</f>
        <v/>
      </c>
      <c r="OX23" s="152">
        <f>IF($NP23=2,3*$OQ23&amp;" de vida temp.",IF($NP23=3,"sem dano",IF($OQ23=0,IF($NP23=1,"sem cura","sem dano"),IF($NP23=1,"cura ","")&amp;$OQ23&amp;"d8")))</f>
        <v/>
      </c>
      <c r="OY23" s="152">
        <f>IF($NP23=2,3*$OR23&amp;" de vida temp.",IF($NP23=3,"sem dano",IF($OR23=0,IF($NP23=1,"sem cura","sem dano"),IF($NP23=1,"cura ","")&amp;$OR23&amp;"d8")))</f>
        <v/>
      </c>
      <c r="OZ23" s="152">
        <f>IF($NP23=2,3*$OS23&amp;" de vida temp.",IF($NP23=3,"sem dano",IF($OS23=0,IF($NP23=1,"sem cura","sem dano"),IF($NP23=1,"cura ","")&amp;$OS23&amp;"d8")))</f>
        <v/>
      </c>
      <c r="PA23" s="152">
        <f>IF($NP23=2,3*$OT23&amp;" de vida temp.",IF($NP23=3,"sem dano",IF($OT23=0,IF($NP23=1,"sem cura","sem dano"),IF($NP23=1,"cura ","")&amp;$OT23&amp;"d8")))</f>
        <v/>
      </c>
      <c r="PB23" s="152">
        <f>IF($NP23=2,3*$OU23&amp;" de vida temp.",IF($NP23=3,"sem dano",IF($OU23=0,IF($NP23=1,"sem cura","sem dano"),IF($NP23=1,"cura ","")&amp;$OU23&amp;"d8")))</f>
        <v/>
      </c>
      <c r="PC23" s="152">
        <f>IF($MN23=0,"",TEXTJOIN(" · ",TRUE,IF($MA23&gt;$MO23,"Este lugar abre no nível "&amp;$MA23,""),IF($MC23&gt;$MP23,"Classe "&amp;$MC23&amp;": o nível "&amp;$MO23&amp;" libera até a "&amp;$MP23,""),IF($NH23=1,"A Forma "&amp;$ME23&amp;" pede "&amp;INDEX($W$2:$W$11,$MT23)&amp;" aberta",""),IF(AND($MC23=0,$MT23&gt;0,IF($MT23=0,0,INDEX($AF$2:$AF$11,$MT23))=0),$ME23&amp;" não existe na Classe 0",""),IF($NI23=1,"Família Fechada: "&amp;$MH23,""),IF($NJ23=1,"Família Fechada: "&amp;$MI23,""),IF($NK23=1,"Família Fechada: "&amp;$MJ23,""),IF($NL23=1,"Família Fechada: "&amp;$MK23,""),IF(AND($MC23&gt;0,$OD23&gt;INDEX($O$2:$O$8,MAX(1,$MC23))),$OD23&amp;" Melhorias: a Classe "&amp;$MC23&amp;" aceita "&amp;INDEX($O$2:$O$8,MAX(1,$MC23)),""),IF(AND($MC23=0,$OD23&gt;1),"A básica aceita uma Melhoria",""),IF(AND($MC23=0,COUNTIF($MY23:$NB23,"&gt;1")&gt;0),"A básica só aceita Melhoria Leve",""),IF(AND($MC23&gt;0,$OE23&gt;2),$OE23&amp;" Restrições"&amp;IF($NO23=1,", contando a que a Forma "&amp;$ME23&amp;" já traz","")&amp;": o limite é 2",""),IF(AND($MC23=0,COUNTIF($ML23:$MM23,"?*")&gt;1),"A básica aceita uma Restrição Leve",""),IF(AND($MC23=0,COUNTIF($NR23:$NS23,2)&gt;0),"A básica só aceita Restrição Leve",""),IF(AND($MC23&gt;0,$OL23&lt;0),"Orçamento estourado: faltam "&amp;(-$OL23)&amp;IF($OL23&lt;-1," pontos"," ponto"),""),IF(IFERROR(VLOOKUP($ML23,$BB$2:$BF$24,4,FALSE),0)+IFERROR(VLOOKUP($MM23,$BB$2:$BF$24,4,FALSE),0)&gt;1,$NT23&amp;" e "&amp;$NU23&amp;" são as duas de frequência",""),IF(AND((COUNTIF($MH23:$MK23,"Rápido")+COUNTIF($NT23:$NU23,"Rápido"))&gt;0,(COUNTIF($MH23:$MK23,"Atrasar")+COUNTIF($NT23:$NU23,"Atrasar"))&gt;0),"Rápido não entra com Atrasar",""),IF(AND((COUNTIF($MH23:$MK23,"Reação")+COUNTIF($NT23:$NU23,"Reação"))&gt;0,(COUNTIF($MH23:$MK23,"Rápido")+COUNTIF($NT23:$NU23,"Rápido"))&gt;0),"Reação não entra com Rápido",""),IF(AND((COUNTIF($MH23:$MK23,"Reação")+COUNTIF($NT23:$NU23,"Reação"))&gt;0,(COUNTIF($MH23:$MK23,"Armado")+COUNTIF($NT23:$NU23,"Armado"))&gt;0),"Reação não entra com Armado",""),IF(AND((COUNTIF($MH23:$MK23,"Reação")+COUNTIF($NT23:$NU23,"Reação"))&gt;0,(COUNTIF($MH23:$MK23,"Atrasar")+COUNTIF($NT23:$NU23,"Atrasar"))&gt;0),"Reação não entra com Atrasar",""),IF(AND((COUNTIF($MH23:$MK23,"Reação")+COUNTIF($NT23:$NU23,"Reação"))&gt;0,(COUNTIF($MH23:$MK23,"Parado")+COUNTIF($NT23:$NU23,"Parado"))&gt;0),"Reação não entra com Parado",""),IF(AND((COUNTIF($MH23:$MK23,"Atrasar")+COUNTIF($NT23:$NU23,"Atrasar"))&gt;0,(COUNTIF($MH23:$MK23,"Parado")+COUNTIF($NT23:$NU23,"Parado"))&gt;0),"Atrasar não entra com Parado",""),IF(AND((COUNTIF($MH23:$MK23,"Armado")+COUNTIF($NT23:$NU23,"Armado"))&gt;0,(COUNTIF($MH23:$MK23,"Carregar")+COUNTIF($NT23:$NU23,"Carregar"))&gt;0),"Armado não entra com Carregar",""),IF(AND(COUNTIF($NT23:$NU23,"Corpo a Corpo")&gt;0,$NO23=0,OR($ME23="Cone",$ME23="Linha")),"Corpo a Corpo não entra em "&amp;$ME23,""),IF(AND(COUNTIF($NT23:$NU23,"Corpo a Corpo")&gt;0,$NO23=1),"A Forma "&amp;$ME23&amp;" já traz o Corpo a Corpo",""),IF(AND(COUNTIF($NT23:$NU23,"Tudo ou Nada")&gt;0,$NQ23=0),"Tudo ou Nada só entra em habilidade de Teste de Resistência",""),IF(AND(COUNTIF($MH23:$MK23,"Inescapável")&gt;0,OR($OD23&gt;1,$OE23&gt;0)),"Inescapável não aceita outra peça",""),IF(AND($MC23&gt;0,$OM23*IF(COUNTIF($MH23:$MK23,"Remate")&gt;0,1.25,1)+$ON23&gt;4*$MC23),($OM23*IF(COUNTIF($MH23:$MK23,"Remate")&gt;0,1.25,1)+$ON23)&amp;" dados somando repetições"&amp;IF(COUNTIF($MH23:$MK23,"Remate")&gt;0," e o Remate","")&amp;": o teto da Classe "&amp;$MC23&amp;" é "&amp;4*$MC23,"")))</f>
        <v/>
      </c>
      <c r="PD23" s="152">
        <f>IF($PC23="",0,(LEN($PC23)-LEN(SUBSTITUTE($PC23," · ","")))/3+1)</f>
        <v/>
      </c>
      <c r="PE23" s="152">
        <f>IF($MN23=0,"",TEXTJOIN(" · ",TRUE,IF($OG23&gt;2*$MC23,"A devolução parou no teto de "&amp;2*$MC23,""),IF($OJ23&gt;0,"Devolução perdida: "&amp;$OJ23&amp;IF($OJ23&gt;1," pontos"," ponto")&amp;" sem peça para pagar",""),IF(AND($NM23&gt;0,AND($MC23&gt;0,$NP23=0),$OM23=0),"Controle sem dano: uma rodada a mais e CD +2",""),IF(AND($NM23&gt;0,AND($MC23&gt;0,$NP23=0),$OM23&gt;0,$OM23&lt;=$MC23),"Controle com saldo até a Classe: uma rodada a mais",""),IF(AND($MC23&gt;0,$NN23&lt;&gt;""),"Efeito de "&amp;$NN23&amp;" pela Classe "&amp;MAX(1,$MC23-1),"")))</f>
        <v/>
      </c>
      <c r="PF23" s="152">
        <f>IF($PE23="",0,(LEN($PE23)-LEN(SUBSTITUTE($PE23," · ","")))/3+1)</f>
        <v/>
      </c>
      <c r="PG23" s="152">
        <f>IF($MN23=0,IF($OD23+COUNTIF($ML23:$MM23,"?*")&gt;0,"Dê um nome",""),IF($PD23&gt;0,"⚠ "&amp;$PD23&amp;IF($PD23&gt;1," erros"," erro"),IF($PF23&gt;0,"! "&amp;$PF23&amp;IF($PF23&gt;1," avisos"," aviso"),"Na regra")))</f>
        <v/>
      </c>
      <c r="PH23" s="152">
        <f>IF($MN23=0,"",IF($PD23+$PF23=0,"Dentro das regras que a ficha confere",$PC23&amp;IF(AND($PD23&gt;0,$PF23&gt;0)," · ","")&amp;$PE23))</f>
        <v/>
      </c>
      <c r="PI23" s="152">
        <f>IF($MA23&gt;$MO23,$MB23&amp;" · ABRE NO NÍVEL "&amp;$MA23,$MB23)</f>
        <v/>
      </c>
      <c r="PJ23" s="152">
        <f>IF($MN23=0,"",IF($MC23=0,"Sem PE",3*$MC23&amp;" PE"))</f>
        <v/>
      </c>
      <c r="PK23" s="152">
        <f>IF($MN23=0,"",IF($MC23=0,"A atuação básica dela",IF(COUNTIF($NT23:$NU23,"Atrasar")&gt;0,"Sua Ação Completa",IF(COUNTIF($MH23:$MK23,"Rápido")&gt;0,"Sua Bônus",IF(COUNTIF($MH23:$MK23,"Reação")&gt;0,"Sua Reação","Sua Padrão")))&amp;" + a básica dela"&amp;IF(COUNTIF($MH23:$MK23,"Reação")&gt;0," e a coletiva","")&amp;IF(COUNTIF($NT23:$NU23,"Carregar")&gt;0," · em dois turnos","")))</f>
        <v/>
      </c>
      <c r="PL23" s="152">
        <f>IF($MG23&lt;&gt;"",$MG23,IF($MT23=0,"",INDEX($AA$2:$AA$11,$MT23)))</f>
        <v/>
      </c>
      <c r="PM23" s="152">
        <f>IF(OR($MN23=0,$MT23=0),"",IF(COUNTIF($MH23:$MK23,"Inescapável")&gt;0,"Automático",IF($PL23="Ataque",IF($MR23="","Ataque","Ataque "&amp;IF(($MR23+2*IF(COUNTIF($MH23:$MK23,"Precisão")&gt;0,1,0))&gt;=0,"+","−")&amp;ABS(($MR23+2*IF(COUNTIF($MH23:$MK23,"Precisão")&gt;0,1,0)))),IF(LEFT($PL23,2)="TR",$PL23&amp;IF($MS23="",""," · CD "&amp;$MS23)&amp;IF(COUNTIF($MH23:$MK23,"Certeiro")&gt;0," · metade",""),"Sem rolagem"))))</f>
        <v/>
      </c>
      <c r="PN23" s="152">
        <f>IF(OR($MN23=0,$MT23=0),"",IF($MC23=0,IF(OR($NP23&gt;=1,$OM23=0),"Sem dano",$OM23&amp;"d6"&amp;IF($MF23="",""," "&amp;$MF23)),IF(OR($NP23&gt;=1,$OM23=0),UPPER(LEFT(INDEX($OV23:$PB23,1,MAX(1,$MC23)),1))&amp;MID(INDEX($OV23:$PB23,1,MAX(1,$MC23)),2,99),UPPER(LEFT(INDEX($OV23:$PB23,1,MAX(1,$MC23)),1))&amp;MID(INDEX($OV23:$PB23,1,MAX(1,$MC23)),2,99)&amp;IF($MF23="",""," "&amp;$MF23)&amp;IF($ON23&gt;0," · +"&amp;$ON23&amp;"d8",""))))</f>
        <v/>
      </c>
      <c r="PO23" s="152">
        <f>COUNTIF($MH23:$MK23,"Longe")+3*COUNTIF($MH23:$MK23,"Muito Longe")</f>
        <v/>
      </c>
      <c r="PP23" s="152">
        <f>COUNTIF($MH23:$MK23,"Maior")+3*COUNTIF($MH23:$MK23,"Muito Maior")</f>
        <v/>
      </c>
      <c r="PQ23" s="152">
        <f>IF($MT23=0,0,CHOOSE(1+INDEX($AC$2:$AC$11,$MT23),0,$PO23,$PP23,$PO23+$PP23))</f>
        <v/>
      </c>
      <c r="PR23" s="152">
        <f>IF($MT23=0,0,CHOOSE(1+INDEX($AD$2:$AD$11,$MT23),0,$PO23,$PP23,$PO23+$PP23))</f>
        <v/>
      </c>
      <c r="PS23" s="152">
        <f>IF(OR($MN23=0,$MT23=0),"",INDEX($AI$2:$AN$41,($MT23-1)*4+IF($MC23=0,1,IF($MC23&lt;=5,2,IF($MC23=6,3,4))),1+MIN(5,$PQ23))&amp;INDEX($AO$2:$AT$41,($MT23-1)*4+IF($MC23=0,1,IF($MC23&lt;=5,2,IF($MC23=6,3,4))),1+MIN(5,$PR23))&amp;IF(INDEX($AE$2:$AE$11,$MT23)=1,IF(COUNTIF($MH23:$MK23,"Mais Um")&gt;0," · +"&amp;COUNTIF($MH23:$MK23,"Mais Um")&amp;IF(COUNTIF($MH23:$MK23,"Mais Um")&gt;1," alvos"," alvo"),"")&amp;IF(COUNTIF($MH23:$MK23,"Rajada")&gt;0,IF($MC23=0," · 1 tiro"," · "&amp;(MAX(1,$MC23-1)+1)&amp;" tiros"),""),""))</f>
        <v/>
      </c>
      <c r="PT23" s="152">
        <f>IF($MN23=0,"",IF($MC23=0,$MQ23&amp;"d6"&amp;IF($OD23&gt;0," − 1 = "&amp;$OM23&amp;"d6"," da básica do nível "&amp;$MO23),$OK23&amp;" − "&amp;$OF23&amp;" + "&amp;$OI23&amp;" = "&amp;$OL23&amp;" · teto "&amp;4*$MC23&amp;"d8"&amp;IF($NO23=1," · a Forma devolve "&amp;$MC23,"")&amp;IF($OJ23&gt;0," · perde "&amp;$OJ23,"")))</f>
        <v/>
      </c>
      <c r="PU23" s="152">
        <f>IF($MN23=0,"",IF($MC23=0,"A básica não amplia: os dados dela sobem com o nível",IF($MC23&gt;=$MP23,"Já está na maior Classe que o nível liberou",TEXTJOIN(" · ",TRUE,IF(AND(2&gt;$MC23,2&lt;=$MP23),"2 → "&amp;$OW23&amp;", 6 PE",""),IF(AND(3&gt;$MC23,3&lt;=$MP23),"3 → "&amp;$OX23&amp;", 9 PE",""),IF(AND(4&gt;$MC23,4&lt;=$MP23),"4 → "&amp;$OY23&amp;", 12 PE",""),IF(AND(5&gt;$MC23,5&lt;=$MP23),"5 → "&amp;$OZ23&amp;", 15 PE",""),IF(AND(6&gt;$MC23,6&lt;=$MP23),"6 → "&amp;$PA23&amp;", 18 PE",""),IF(AND(7&gt;$MC23,7&lt;=$MP23),"7 → "&amp;$PB23&amp;", 21 PE","")))))</f>
        <v/>
      </c>
      <c r="PV23" s="152">
        <f>IF(OR($MN23=0,$MY23=0),"",IF($MC23=0,"−1 dado","−"&amp;INDEX($I$2:$N$8,MAX(1,$MC23),MAX(1,$ND23))&amp;" · "&amp;CHOOSE(MAX(1,$ND23),"Leve","Média","Pesada","Leve · Livre","Média · Livre","Pesada · Livre")))</f>
        <v/>
      </c>
      <c r="PW23" s="152">
        <f>IF(OR($MN23=0,$MZ23=0),"",IF($MC23=0,"−1 dado","−"&amp;INDEX($I$2:$N$8,MAX(1,$MC23),MAX(1,$NE23))&amp;" · "&amp;CHOOSE(MAX(1,$NE23),"Leve","Média","Pesada","Leve · Livre","Média · Livre","Pesada · Livre")))</f>
        <v/>
      </c>
      <c r="PX23" s="152">
        <f>IF(OR($MN23=0,$NA23=0),"",IF($MC23=0,"−1 dado","−"&amp;INDEX($I$2:$N$8,MAX(1,$MC23),MAX(1,$NF23))&amp;" · "&amp;CHOOSE(MAX(1,$NF23),"Leve","Média","Pesada","Leve · Livre","Média · Livre","Pesada · Livre")))</f>
        <v/>
      </c>
      <c r="PY23" s="152">
        <f>IF(OR($MN23=0,$NB23=0),"",IF($MC23=0,"−1 dado","−"&amp;INDEX($I$2:$N$8,MAX(1,$MC23),MAX(1,$NG23))&amp;" · "&amp;CHOOSE(MAX(1,$NG23),"Leve","Média","Pesada","Leve · Livre","Média · Livre","Pesada · Livre")))</f>
        <v/>
      </c>
      <c r="PZ23" s="152">
        <f>IF(OR($MN23=0,$ML23=""),"",IF($MC23=0,"não devolve","+"&amp;IF($NR23=1,CEILING($MC23/2,1),$MC23)))</f>
        <v/>
      </c>
      <c r="QA23" s="152">
        <f>IF(OR($MN23=0,$MM23=""),"",IF($MC23=0,"não devolve","+"&amp;IF($NS23=1,CEILING($MC23/2,1),$MC23)))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B24" s="150" t="inlineStr">
        <is>
          <t>Restrição Própria (Média)</t>
        </is>
      </c>
      <c r="BC24" s="150" t="inlineStr">
        <is>
          <t>Restrição Própria</t>
        </is>
      </c>
      <c r="BD24" s="152" t="n">
        <v>2</v>
      </c>
      <c r="BE24" s="152" t="n">
        <v>0</v>
      </c>
      <c r="BF24" s="150" t="inlineStr"/>
      <c r="BZ24" s="150" t="inlineStr">
        <is>
          <t>Provocar</t>
        </is>
      </c>
      <c r="CA24" s="150" t="inlineStr">
        <is>
          <t>Essência</t>
        </is>
      </c>
      <c r="JD24" s="152">
        <f>IF(OR($AW24="",COUNTIF($ED$2:$EH$2,$AW24)&gt;0),$AV24,"")</f>
        <v/>
      </c>
      <c r="JE24" s="152">
        <f>IF(AND($AX24=1,OR($AW24="",COUNTIF($ED$2:$EH$2,$AW24)&gt;0)),$AV24,"")</f>
        <v/>
      </c>
      <c r="JJ24" s="152">
        <f>IF(OR($AW24="",COUNTIF($ED$3:$EH$3,$AW24)&gt;0),$AV24,"")</f>
        <v/>
      </c>
      <c r="JK24" s="152">
        <f>IF(AND($AX24=1,OR($AW24="",COUNTIF($ED$3:$EH$3,$AW24)&gt;0)),$AV24,"")</f>
        <v/>
      </c>
      <c r="JP24" s="152">
        <f>IF(OR($AW24="",COUNTIF($ED$4:$EH$4,$AW24)&gt;0),$AV24,"")</f>
        <v/>
      </c>
      <c r="JQ24" s="152">
        <f>IF(AND($AX24=1,OR($AW24="",COUNTIF($ED$4:$EH$4,$AW24)&gt;0)),$AV24,"")</f>
        <v/>
      </c>
      <c r="JV24" s="152">
        <f>IF(OR($AW24="",COUNTIF($ED$5:$EH$5,$AW24)&gt;0),$AV24,"")</f>
        <v/>
      </c>
      <c r="JW24" s="152">
        <f>IF(AND($AX24=1,OR($AW24="",COUNTIF($ED$5:$EH$5,$AW24)&gt;0)),$AV24,"")</f>
        <v/>
      </c>
      <c r="KB24" s="152">
        <f>IF(OR($AW24="",COUNTIF($ED$6:$EH$6,$AW24)&gt;0),$AV24,"")</f>
        <v/>
      </c>
      <c r="KC24" s="152">
        <f>IF(AND($AX24=1,OR($AW24="",COUNTIF($ED$6:$EH$6,$AW24)&gt;0)),$AV24,"")</f>
        <v/>
      </c>
      <c r="KH24" s="152">
        <f>IF(OR($AW24="",COUNTIF($ED$7:$EH$7,$AW24)&gt;0),$AV24,"")</f>
        <v/>
      </c>
      <c r="KI24" s="152">
        <f>IF(AND($AX24=1,OR($AW24="",COUNTIF($ED$7:$EH$7,$AW24)&gt;0)),$AV24,"")</f>
        <v/>
      </c>
      <c r="KN24" s="152">
        <f>IF(OR($AW24="",COUNTIF($ED$8:$EH$8,$AW24)&gt;0),$AV24,"")</f>
        <v/>
      </c>
      <c r="KO24" s="152">
        <f>IF(AND($AX24=1,OR($AW24="",COUNTIF($ED$8:$EH$8,$AW24)&gt;0)),$AV24,"")</f>
        <v/>
      </c>
      <c r="KT24" s="152">
        <f>IF(OR($AW24="",COUNTIF($ED$9:$EH$9,$AW24)&gt;0),$AV24,"")</f>
        <v/>
      </c>
      <c r="KU24" s="152">
        <f>IF(AND($AX24=1,OR($AW24="",COUNTIF($ED$9:$EH$9,$AW24)&gt;0)),$AV24,"")</f>
        <v/>
      </c>
      <c r="KZ24" s="152">
        <f>IF(OR($AW24="",COUNTIF($ED$10:$EH$10,$AW24)&gt;0),$AV24,"")</f>
        <v/>
      </c>
      <c r="LA24" s="152">
        <f>IF(AND($AX24=1,OR($AW24="",COUNTIF($ED$10:$EH$10,$AW24)&gt;0)),$AV24,"")</f>
        <v/>
      </c>
      <c r="LF24" s="152">
        <f>IF(OR($AW24="",COUNTIF($ED$11:$EH$11,$AW24)&gt;0),$AV24,"")</f>
        <v/>
      </c>
      <c r="LG24" s="152">
        <f>IF(AND($AX24=1,OR($AW24="",COUNTIF($ED$11:$EH$11,$AW24)&gt;0)),$AV24,"")</f>
        <v/>
      </c>
      <c r="LL24" s="152">
        <f>IF(OR($AW24="",COUNTIF($ED$12:$EH$12,$AW24)&gt;0),$AV24,"")</f>
        <v/>
      </c>
      <c r="LM24" s="152">
        <f>IF(AND($AX24=1,OR($AW24="",COUNTIF($ED$12:$EH$12,$AW24)&gt;0)),$AV24,"")</f>
        <v/>
      </c>
      <c r="LR24" s="152">
        <f>IF(OR($AW24="",COUNTIF($ED$13:$EH$13,$AW24)&gt;0),$AV24,"")</f>
        <v/>
      </c>
      <c r="LS24" s="152">
        <f>IF(AND($AX24=1,OR($AW24="",COUNTIF($ED$13:$EH$13,$AW24)&gt;0)),$AV24,"")</f>
        <v/>
      </c>
      <c r="LX24" s="150" t="inlineStr">
        <is>
          <t>Ficha 2 · Especial 8</t>
        </is>
      </c>
      <c r="LY24" s="152" t="n">
        <v>2</v>
      </c>
      <c r="LZ24" s="152" t="n">
        <v>1</v>
      </c>
      <c r="MA24" s="152" t="n">
        <v>28</v>
      </c>
      <c r="MB24" s="150" t="inlineStr">
        <is>
          <t>ESPECIAL 8</t>
        </is>
      </c>
      <c r="MC24" s="152">
        <f>MAX(1,MIN(7,N('INVOCAÇÕES'!$I$334)))</f>
        <v/>
      </c>
      <c r="MD24" s="152">
        <f>'INVOCAÇÕES'!$J$334&amp;""</f>
        <v/>
      </c>
      <c r="ME24" s="152">
        <f>'INVOCAÇÕES'!$I$339&amp;""</f>
        <v/>
      </c>
      <c r="MF24" s="152">
        <f>'INVOCAÇÕES'!$I$340&amp;""</f>
        <v/>
      </c>
      <c r="MG24" s="152">
        <f>'INVOCAÇÕES'!$K$340&amp;""</f>
        <v/>
      </c>
      <c r="MH24" s="152">
        <f>'INVOCAÇÕES'!$J$343&amp;""</f>
        <v/>
      </c>
      <c r="MI24" s="152">
        <f>'INVOCAÇÕES'!$J$344&amp;""</f>
        <v/>
      </c>
      <c r="MJ24" s="152">
        <f>'INVOCAÇÕES'!$J$345&amp;""</f>
        <v/>
      </c>
      <c r="MK24" s="152">
        <f>'INVOCAÇÕES'!$J$346&amp;""</f>
        <v/>
      </c>
      <c r="ML24" s="152">
        <f>'INVOCAÇÕES'!$J$347&amp;""</f>
        <v/>
      </c>
      <c r="MM24" s="152">
        <f>'INVOCAÇÕES'!$J$348&amp;""</f>
        <v/>
      </c>
      <c r="MN24" s="152">
        <f>IF($MD24&lt;&gt;"",1,0)</f>
        <v/>
      </c>
      <c r="MO24" s="152">
        <f>INDEX($FG$2:$FG$13,$LY24)</f>
        <v/>
      </c>
      <c r="MP24" s="152">
        <f>INDEX($FH$2:$FH$13,$LY24)</f>
        <v/>
      </c>
      <c r="MQ24" s="152">
        <f>INDEX($FI$2:$FI$13,$LY24)</f>
        <v/>
      </c>
      <c r="MR24" s="152">
        <f>INDEX($FT$2:$FT$13,$LY24)</f>
        <v/>
      </c>
      <c r="MS24" s="152">
        <f>INDEX($FU$2:$FU$13,$LY24)</f>
        <v/>
      </c>
      <c r="MT24" s="152">
        <f>IFERROR(MATCH($ME24,$V$2:$V$11,0),0)</f>
        <v/>
      </c>
      <c r="MU24" s="152">
        <f>IFERROR(VLOOKUP($MH24,$AV$2:$AZ$84,2,FALSE),"")</f>
        <v/>
      </c>
      <c r="MV24" s="152">
        <f>IFERROR(VLOOKUP($MI24,$AV$2:$AZ$84,2,FALSE),"")</f>
        <v/>
      </c>
      <c r="MW24" s="152">
        <f>IFERROR(VLOOKUP($MJ24,$AV$2:$AZ$84,2,FALSE),"")</f>
        <v/>
      </c>
      <c r="MX24" s="152">
        <f>IFERROR(VLOOKUP($MK24,$AV$2:$AZ$84,2,FALSE),"")</f>
        <v/>
      </c>
      <c r="MY24" s="152">
        <f>IFERROR(VLOOKUP($MH24,$AV$2:$AZ$84,3,FALSE),0)</f>
        <v/>
      </c>
      <c r="MZ24" s="152">
        <f>IFERROR(VLOOKUP($MI24,$AV$2:$AZ$84,3,FALSE),0)</f>
        <v/>
      </c>
      <c r="NA24" s="152">
        <f>IFERROR(VLOOKUP($MJ24,$AV$2:$AZ$84,3,FALSE),0)</f>
        <v/>
      </c>
      <c r="NB24" s="152">
        <f>IFERROR(VLOOKUP($MK24,$AV$2:$AZ$84,3,FALSE),0)</f>
        <v/>
      </c>
      <c r="NC24" s="152">
        <f>IF($MC24=0,0,IF($MT24=0,0,INDEX($X$2:$X$11,$MT24)))</f>
        <v/>
      </c>
      <c r="ND24" s="152">
        <f>IF(OR($MY24=0,$MC24=0),0,$MY24+3*IF(AND($MU24&lt;&gt;"",OR($MU24=INDEX($ED$2:$ED$13,$LY24),$MU24=INDEX($EE$2:$EE$13,$LY24))),1,0))</f>
        <v/>
      </c>
      <c r="NE24" s="152">
        <f>IF(OR($MZ24=0,$MC24=0),0,$MZ24+3*IF(AND($MV24&lt;&gt;"",OR($MV24=INDEX($ED$2:$ED$13,$LY24),$MV24=INDEX($EE$2:$EE$13,$LY24))),1,0))</f>
        <v/>
      </c>
      <c r="NF24" s="152">
        <f>IF(OR($NA24=0,$MC24=0),0,$NA24+3*IF(AND($MW24&lt;&gt;"",OR($MW24=INDEX($ED$2:$ED$13,$LY24),$MW24=INDEX($EE$2:$EE$13,$LY24))),1,0))</f>
        <v/>
      </c>
      <c r="NG24" s="152">
        <f>IF(OR($NB24=0,$MC24=0),0,$NB24+3*IF(AND($MX24&lt;&gt;"",OR($MX24=INDEX($ED$2:$ED$13,$LY24),$MX24=INDEX($EE$2:$EE$13,$LY24))),1,0))</f>
        <v/>
      </c>
      <c r="NH24" s="152">
        <f>IF($MT24=0,0,IF(INDEX($W$2:$W$11,$MT24)="",0,IF(COUNTIF(INDEX($ED$2:$EH$13,$LY24,0),INDEX($W$2:$W$11,$MT24))=0,1,0)))</f>
        <v/>
      </c>
      <c r="NI24" s="152">
        <f>IF(OR($MY24=0,$MU24=""),0,IF(COUNTIF(INDEX($ED$2:$EH$13,$LY24,0),$MU24)=0,1,0))</f>
        <v/>
      </c>
      <c r="NJ24" s="152">
        <f>IF(OR($MZ24=0,$MV24=""),0,IF(COUNTIF(INDEX($ED$2:$EH$13,$LY24,0),$MV24)=0,1,0))</f>
        <v/>
      </c>
      <c r="NK24" s="152">
        <f>IF(OR($NA24=0,$MW24=""),0,IF(COUNTIF(INDEX($ED$2:$EH$13,$LY24,0),$MW24)=0,1,0))</f>
        <v/>
      </c>
      <c r="NL24" s="152">
        <f>IF(OR($NB24=0,$MX24=""),0,IF(COUNTIF(INDEX($ED$2:$EH$13,$LY24,0),$MX24)=0,1,0))</f>
        <v/>
      </c>
      <c r="NM24" s="152">
        <f>IFERROR(VLOOKUP($MH24,$AV$2:$AZ$84,4,FALSE),0)+IFERROR(VLOOKUP($MI24,$AV$2:$AZ$84,4,FALSE),0)+IFERROR(VLOOKUP($MJ24,$AV$2:$AZ$84,4,FALSE),0)+IFERROR(VLOOKUP($MK24,$AV$2:$AZ$84,4,FALSE),0)</f>
        <v/>
      </c>
      <c r="NN24" s="152">
        <f>TEXTJOIN(", ",TRUE,IF(IFERROR(VLOOKUP($MH24,$AV$2:$AZ$84,5,FALSE),0)=1,$MH24,""),IF(IFERROR(VLOOKUP($MI24,$AV$2:$AZ$84,5,FALSE),0)=1,$MI24,""),IF(IFERROR(VLOOKUP($MJ24,$AV$2:$AZ$84,5,FALSE),0)=1,$MJ24,""),IF(IFERROR(VLOOKUP($MK24,$AV$2:$AZ$84,5,FALSE),0)=1,$MK24,""))</f>
        <v/>
      </c>
      <c r="NO24" s="152">
        <f>IF($MT24=0,0,INDEX($Y$2:$Y$11,$MT24))</f>
        <v/>
      </c>
      <c r="NP24" s="152">
        <f>IF($MT24=0,0,INDEX($Z$2:$Z$11,$MT24))</f>
        <v/>
      </c>
      <c r="NQ24" s="152">
        <f>IF($MT24=0,0,INDEX($AB$2:$AB$11,$MT24))</f>
        <v/>
      </c>
      <c r="NR24" s="152">
        <f>IFERROR(VLOOKUP($ML24,$BB$2:$BF$24,3,FALSE),0)</f>
        <v/>
      </c>
      <c r="NS24" s="152">
        <f>IFERROR(VLOOKUP($MM24,$BB$2:$BF$24,3,FALSE),0)</f>
        <v/>
      </c>
      <c r="NT24" s="152">
        <f>IFERROR(VLOOKUP($ML24,$BB$2:$BF$24,2,FALSE),"")</f>
        <v/>
      </c>
      <c r="NU24" s="152">
        <f>IFERROR(VLOOKUP($MM24,$BB$2:$BF$24,2,FALSE),"")</f>
        <v/>
      </c>
      <c r="NV24" s="152">
        <f>COUNTIF($NC24:$NG24,1)</f>
        <v/>
      </c>
      <c r="NW24" s="152">
        <f>COUNTIF($NC24:$NG24,2)</f>
        <v/>
      </c>
      <c r="NX24" s="152">
        <f>COUNTIF($NC24:$NG24,3)</f>
        <v/>
      </c>
      <c r="NY24" s="152">
        <f>COUNTIF($NC24:$NG24,4)</f>
        <v/>
      </c>
      <c r="NZ24" s="152">
        <f>COUNTIF($NC24:$NG24,5)</f>
        <v/>
      </c>
      <c r="OA24" s="152">
        <f>COUNTIF($NC24:$NG24,6)</f>
        <v/>
      </c>
      <c r="OB24" s="152">
        <f>COUNTIF($NR24:$NS24,1)</f>
        <v/>
      </c>
      <c r="OC24" s="152">
        <f>COUNTIF($NR24:$NS24,2)+$NO24</f>
        <v/>
      </c>
      <c r="OD24" s="152">
        <f>COUNTIF($MH24:$MK24,"?*")</f>
        <v/>
      </c>
      <c r="OE24" s="152">
        <f>COUNTIF($ML24:$MM24,"?*")+$NO24</f>
        <v/>
      </c>
      <c r="OF24" s="152">
        <f>IF($MC24=0,0,SUMPRODUCT($NV24:$OA24,INDEX($I$2:$N$8,MAX(1,$MC24),0)))</f>
        <v/>
      </c>
      <c r="OG24" s="152">
        <f>IF($MC24=0,0,$OB24*CEILING($MC24/2,1)+$OC24*$MC24)</f>
        <v/>
      </c>
      <c r="OH24" s="152">
        <f>MIN(2*$MC24,$OG24)</f>
        <v/>
      </c>
      <c r="OI24" s="152">
        <f>MIN($OH24,$OF24)</f>
        <v/>
      </c>
      <c r="OJ24" s="152">
        <f>$OH24-$OI24</f>
        <v/>
      </c>
      <c r="OK24" s="152">
        <f>IF($MC24=0,0,INDEX($P$2:$P$8,MAX(1,$MC24)))</f>
        <v/>
      </c>
      <c r="OL24" s="152">
        <f>$OK24-$OF24+$OI24</f>
        <v/>
      </c>
      <c r="OM24" s="152">
        <f>IF($MC24=0,MAX(0,$MQ24-IF($OD24&gt;0,1,0)),MAX(0,$OL24))</f>
        <v/>
      </c>
      <c r="ON24" s="152">
        <f>IF($MC24=0,0,(IF(COUNTIF($MH24:$MK24,"Salto")&gt;0,1,0)+IF(COUNTIF($MH24:$MK24,"Queima")&gt;0,1,0)+IF(COUNTIF($MH24:$MK24,"Estilhaço")&gt;0,1,0))*FLOOR($OM24/2,1))</f>
        <v/>
      </c>
      <c r="OO24" s="152">
        <f>MAX(0,2-SUMPRODUCT($NV24:$OA24,$I$2:$N$2)+MIN(2,$OB24*1+$OC24*1,SUMPRODUCT($NV24:$OA24,$I$2:$N$2)))</f>
        <v/>
      </c>
      <c r="OP24" s="152">
        <f>MAX(0,4-SUMPRODUCT($NV24:$OA24,$I$3:$N$3)+MIN(4,$OB24*1+$OC24*2,SUMPRODUCT($NV24:$OA24,$I$3:$N$3)))</f>
        <v/>
      </c>
      <c r="OQ24" s="152">
        <f>MAX(0,6-SUMPRODUCT($NV24:$OA24,$I$4:$N$4)+MIN(6,$OB24*2+$OC24*3,SUMPRODUCT($NV24:$OA24,$I$4:$N$4)))</f>
        <v/>
      </c>
      <c r="OR24" s="152">
        <f>MAX(0,9-SUMPRODUCT($NV24:$OA24,$I$5:$N$5)+MIN(8,$OB24*2+$OC24*4,SUMPRODUCT($NV24:$OA24,$I$5:$N$5)))</f>
        <v/>
      </c>
      <c r="OS24" s="152">
        <f>MAX(0,11-SUMPRODUCT($NV24:$OA24,$I$6:$N$6)+MIN(10,$OB24*3+$OC24*5,SUMPRODUCT($NV24:$OA24,$I$6:$N$6)))</f>
        <v/>
      </c>
      <c r="OT24" s="152">
        <f>MAX(0,13-SUMPRODUCT($NV24:$OA24,$I$7:$N$7)+MIN(12,$OB24*3+$OC24*6,SUMPRODUCT($NV24:$OA24,$I$7:$N$7)))</f>
        <v/>
      </c>
      <c r="OU24" s="152">
        <f>MAX(0,16-SUMPRODUCT($NV24:$OA24,$I$8:$N$8)+MIN(14,$OB24*4+$OC24*7,SUMPRODUCT($NV24:$OA24,$I$8:$N$8)))</f>
        <v/>
      </c>
      <c r="OV24" s="152">
        <f>IF($NP24=2,3*$OO24&amp;" de vida temp.",IF($NP24=3,"sem dano",IF($OO24=0,IF($NP24=1,"sem cura","sem dano"),IF($NP24=1,"cura ","")&amp;$OO24&amp;"d8")))</f>
        <v/>
      </c>
      <c r="OW24" s="152">
        <f>IF($NP24=2,3*$OP24&amp;" de vida temp.",IF($NP24=3,"sem dano",IF($OP24=0,IF($NP24=1,"sem cura","sem dano"),IF($NP24=1,"cura ","")&amp;$OP24&amp;"d8")))</f>
        <v/>
      </c>
      <c r="OX24" s="152">
        <f>IF($NP24=2,3*$OQ24&amp;" de vida temp.",IF($NP24=3,"sem dano",IF($OQ24=0,IF($NP24=1,"sem cura","sem dano"),IF($NP24=1,"cura ","")&amp;$OQ24&amp;"d8")))</f>
        <v/>
      </c>
      <c r="OY24" s="152">
        <f>IF($NP24=2,3*$OR24&amp;" de vida temp.",IF($NP24=3,"sem dano",IF($OR24=0,IF($NP24=1,"sem cura","sem dano"),IF($NP24=1,"cura ","")&amp;$OR24&amp;"d8")))</f>
        <v/>
      </c>
      <c r="OZ24" s="152">
        <f>IF($NP24=2,3*$OS24&amp;" de vida temp.",IF($NP24=3,"sem dano",IF($OS24=0,IF($NP24=1,"sem cura","sem dano"),IF($NP24=1,"cura ","")&amp;$OS24&amp;"d8")))</f>
        <v/>
      </c>
      <c r="PA24" s="152">
        <f>IF($NP24=2,3*$OT24&amp;" de vida temp.",IF($NP24=3,"sem dano",IF($OT24=0,IF($NP24=1,"sem cura","sem dano"),IF($NP24=1,"cura ","")&amp;$OT24&amp;"d8")))</f>
        <v/>
      </c>
      <c r="PB24" s="152">
        <f>IF($NP24=2,3*$OU24&amp;" de vida temp.",IF($NP24=3,"sem dano",IF($OU24=0,IF($NP24=1,"sem cura","sem dano"),IF($NP24=1,"cura ","")&amp;$OU24&amp;"d8")))</f>
        <v/>
      </c>
      <c r="PC24" s="152">
        <f>IF($MN24=0,"",TEXTJOIN(" · ",TRUE,IF($MA24&gt;$MO24,"Este lugar abre no nível "&amp;$MA24,""),IF($MC24&gt;$MP24,"Classe "&amp;$MC24&amp;": o nível "&amp;$MO24&amp;" libera até a "&amp;$MP24,""),IF($NH24=1,"A Forma "&amp;$ME24&amp;" pede "&amp;INDEX($W$2:$W$11,$MT24)&amp;" aberta",""),IF(AND($MC24=0,$MT24&gt;0,IF($MT24=0,0,INDEX($AF$2:$AF$11,$MT24))=0),$ME24&amp;" não existe na Classe 0",""),IF($NI24=1,"Família Fechada: "&amp;$MH24,""),IF($NJ24=1,"Família Fechada: "&amp;$MI24,""),IF($NK24=1,"Família Fechada: "&amp;$MJ24,""),IF($NL24=1,"Família Fechada: "&amp;$MK24,""),IF(AND($MC24&gt;0,$OD24&gt;INDEX($O$2:$O$8,MAX(1,$MC24))),$OD24&amp;" Melhorias: a Classe "&amp;$MC24&amp;" aceita "&amp;INDEX($O$2:$O$8,MAX(1,$MC24)),""),IF(AND($MC24=0,$OD24&gt;1),"A básica aceita uma Melhoria",""),IF(AND($MC24=0,COUNTIF($MY24:$NB24,"&gt;1")&gt;0),"A básica só aceita Melhoria Leve",""),IF(AND($MC24&gt;0,$OE24&gt;2),$OE24&amp;" Restrições"&amp;IF($NO24=1,", contando a que a Forma "&amp;$ME24&amp;" já traz","")&amp;": o limite é 2",""),IF(AND($MC24=0,COUNTIF($ML24:$MM24,"?*")&gt;1),"A básica aceita uma Restrição Leve",""),IF(AND($MC24=0,COUNTIF($NR24:$NS24,2)&gt;0),"A básica só aceita Restrição Leve",""),IF(AND($MC24&gt;0,$OL24&lt;0),"Orçamento estourado: faltam "&amp;(-$OL24)&amp;IF($OL24&lt;-1," pontos"," ponto"),""),IF(IFERROR(VLOOKUP($ML24,$BB$2:$BF$24,4,FALSE),0)+IFERROR(VLOOKUP($MM24,$BB$2:$BF$24,4,FALSE),0)&gt;1,$NT24&amp;" e "&amp;$NU24&amp;" são as duas de frequência",""),IF(AND((COUNTIF($MH24:$MK24,"Rápido")+COUNTIF($NT24:$NU24,"Rápido"))&gt;0,(COUNTIF($MH24:$MK24,"Atrasar")+COUNTIF($NT24:$NU24,"Atrasar"))&gt;0),"Rápido não entra com Atrasar",""),IF(AND((COUNTIF($MH24:$MK24,"Reação")+COUNTIF($NT24:$NU24,"Reação"))&gt;0,(COUNTIF($MH24:$MK24,"Rápido")+COUNTIF($NT24:$NU24,"Rápido"))&gt;0),"Reação não entra com Rápido",""),IF(AND((COUNTIF($MH24:$MK24,"Reação")+COUNTIF($NT24:$NU24,"Reação"))&gt;0,(COUNTIF($MH24:$MK24,"Armado")+COUNTIF($NT24:$NU24,"Armado"))&gt;0),"Reação não entra com Armado",""),IF(AND((COUNTIF($MH24:$MK24,"Reação")+COUNTIF($NT24:$NU24,"Reação"))&gt;0,(COUNTIF($MH24:$MK24,"Atrasar")+COUNTIF($NT24:$NU24,"Atrasar"))&gt;0),"Reação não entra com Atrasar",""),IF(AND((COUNTIF($MH24:$MK24,"Reação")+COUNTIF($NT24:$NU24,"Reação"))&gt;0,(COUNTIF($MH24:$MK24,"Parado")+COUNTIF($NT24:$NU24,"Parado"))&gt;0),"Reação não entra com Parado",""),IF(AND((COUNTIF($MH24:$MK24,"Atrasar")+COUNTIF($NT24:$NU24,"Atrasar"))&gt;0,(COUNTIF($MH24:$MK24,"Parado")+COUNTIF($NT24:$NU24,"Parado"))&gt;0),"Atrasar não entra com Parado",""),IF(AND((COUNTIF($MH24:$MK24,"Armado")+COUNTIF($NT24:$NU24,"Armado"))&gt;0,(COUNTIF($MH24:$MK24,"Carregar")+COUNTIF($NT24:$NU24,"Carregar"))&gt;0),"Armado não entra com Carregar",""),IF(AND(COUNTIF($NT24:$NU24,"Corpo a Corpo")&gt;0,$NO24=0,OR($ME24="Cone",$ME24="Linha")),"Corpo a Corpo não entra em "&amp;$ME24,""),IF(AND(COUNTIF($NT24:$NU24,"Corpo a Corpo")&gt;0,$NO24=1),"A Forma "&amp;$ME24&amp;" já traz o Corpo a Corpo",""),IF(AND(COUNTIF($NT24:$NU24,"Tudo ou Nada")&gt;0,$NQ24=0),"Tudo ou Nada só entra em habilidade de Teste de Resistência",""),IF(AND(COUNTIF($MH24:$MK24,"Inescapável")&gt;0,OR($OD24&gt;1,$OE24&gt;0)),"Inescapável não aceita outra peça",""),IF(AND($MC24&gt;0,$OM24*IF(COUNTIF($MH24:$MK24,"Remate")&gt;0,1.25,1)+$ON24&gt;4*$MC24),($OM24*IF(COUNTIF($MH24:$MK24,"Remate")&gt;0,1.25,1)+$ON24)&amp;" dados somando repetições"&amp;IF(COUNTIF($MH24:$MK24,"Remate")&gt;0," e o Remate","")&amp;": o teto da Classe "&amp;$MC24&amp;" é "&amp;4*$MC24,"")))</f>
        <v/>
      </c>
      <c r="PD24" s="152">
        <f>IF($PC24="",0,(LEN($PC24)-LEN(SUBSTITUTE($PC24," · ","")))/3+1)</f>
        <v/>
      </c>
      <c r="PE24" s="152">
        <f>IF($MN24=0,"",TEXTJOIN(" · ",TRUE,IF($OG24&gt;2*$MC24,"A devolução parou no teto de "&amp;2*$MC24,""),IF($OJ24&gt;0,"Devolução perdida: "&amp;$OJ24&amp;IF($OJ24&gt;1," pontos"," ponto")&amp;" sem peça para pagar",""),IF(AND($NM24&gt;0,AND($MC24&gt;0,$NP24=0),$OM24=0),"Controle sem dano: uma rodada a mais e CD +2",""),IF(AND($NM24&gt;0,AND($MC24&gt;0,$NP24=0),$OM24&gt;0,$OM24&lt;=$MC24),"Controle com saldo até a Classe: uma rodada a mais",""),IF(AND($MC24&gt;0,$NN24&lt;&gt;""),"Efeito de "&amp;$NN24&amp;" pela Classe "&amp;MAX(1,$MC24-1),"")))</f>
        <v/>
      </c>
      <c r="PF24" s="152">
        <f>IF($PE24="",0,(LEN($PE24)-LEN(SUBSTITUTE($PE24," · ","")))/3+1)</f>
        <v/>
      </c>
      <c r="PG24" s="152">
        <f>IF($MN24=0,IF($OD24+COUNTIF($ML24:$MM24,"?*")&gt;0,"Dê um nome",""),IF($PD24&gt;0,"⚠ "&amp;$PD24&amp;IF($PD24&gt;1," erros"," erro"),IF($PF24&gt;0,"! "&amp;$PF24&amp;IF($PF24&gt;1," avisos"," aviso"),"Na regra")))</f>
        <v/>
      </c>
      <c r="PH24" s="152">
        <f>IF($MN24=0,"",IF($PD24+$PF24=0,"Dentro das regras que a ficha confere",$PC24&amp;IF(AND($PD24&gt;0,$PF24&gt;0)," · ","")&amp;$PE24))</f>
        <v/>
      </c>
      <c r="PI24" s="152">
        <f>IF($MA24&gt;$MO24,$MB24&amp;" · ABRE NO NÍVEL "&amp;$MA24,$MB24)</f>
        <v/>
      </c>
      <c r="PJ24" s="152">
        <f>IF($MN24=0,"",IF($MC24=0,"Sem PE",3*$MC24&amp;" PE"))</f>
        <v/>
      </c>
      <c r="PK24" s="152">
        <f>IF($MN24=0,"",IF($MC24=0,"A atuação básica dela",IF(COUNTIF($NT24:$NU24,"Atrasar")&gt;0,"Sua Ação Completa",IF(COUNTIF($MH24:$MK24,"Rápido")&gt;0,"Sua Bônus",IF(COUNTIF($MH24:$MK24,"Reação")&gt;0,"Sua Reação","Sua Padrão")))&amp;" + a básica dela"&amp;IF(COUNTIF($MH24:$MK24,"Reação")&gt;0," e a coletiva","")&amp;IF(COUNTIF($NT24:$NU24,"Carregar")&gt;0," · em dois turnos","")))</f>
        <v/>
      </c>
      <c r="PL24" s="152">
        <f>IF($MG24&lt;&gt;"",$MG24,IF($MT24=0,"",INDEX($AA$2:$AA$11,$MT24)))</f>
        <v/>
      </c>
      <c r="PM24" s="152">
        <f>IF(OR($MN24=0,$MT24=0),"",IF(COUNTIF($MH24:$MK24,"Inescapável")&gt;0,"Automático",IF($PL24="Ataque",IF($MR24="","Ataque","Ataque "&amp;IF(($MR24+2*IF(COUNTIF($MH24:$MK24,"Precisão")&gt;0,1,0))&gt;=0,"+","−")&amp;ABS(($MR24+2*IF(COUNTIF($MH24:$MK24,"Precisão")&gt;0,1,0)))),IF(LEFT($PL24,2)="TR",$PL24&amp;IF($MS24="",""," · CD "&amp;$MS24)&amp;IF(COUNTIF($MH24:$MK24,"Certeiro")&gt;0," · metade",""),"Sem rolagem"))))</f>
        <v/>
      </c>
      <c r="PN24" s="152">
        <f>IF(OR($MN24=0,$MT24=0),"",IF($MC24=0,IF(OR($NP24&gt;=1,$OM24=0),"Sem dano",$OM24&amp;"d6"&amp;IF($MF24="",""," "&amp;$MF24)),IF(OR($NP24&gt;=1,$OM24=0),UPPER(LEFT(INDEX($OV24:$PB24,1,MAX(1,$MC24)),1))&amp;MID(INDEX($OV24:$PB24,1,MAX(1,$MC24)),2,99),UPPER(LEFT(INDEX($OV24:$PB24,1,MAX(1,$MC24)),1))&amp;MID(INDEX($OV24:$PB24,1,MAX(1,$MC24)),2,99)&amp;IF($MF24="",""," "&amp;$MF24)&amp;IF($ON24&gt;0," · +"&amp;$ON24&amp;"d8",""))))</f>
        <v/>
      </c>
      <c r="PO24" s="152">
        <f>COUNTIF($MH24:$MK24,"Longe")+3*COUNTIF($MH24:$MK24,"Muito Longe")</f>
        <v/>
      </c>
      <c r="PP24" s="152">
        <f>COUNTIF($MH24:$MK24,"Maior")+3*COUNTIF($MH24:$MK24,"Muito Maior")</f>
        <v/>
      </c>
      <c r="PQ24" s="152">
        <f>IF($MT24=0,0,CHOOSE(1+INDEX($AC$2:$AC$11,$MT24),0,$PO24,$PP24,$PO24+$PP24))</f>
        <v/>
      </c>
      <c r="PR24" s="152">
        <f>IF($MT24=0,0,CHOOSE(1+INDEX($AD$2:$AD$11,$MT24),0,$PO24,$PP24,$PO24+$PP24))</f>
        <v/>
      </c>
      <c r="PS24" s="152">
        <f>IF(OR($MN24=0,$MT24=0),"",INDEX($AI$2:$AN$41,($MT24-1)*4+IF($MC24=0,1,IF($MC24&lt;=5,2,IF($MC24=6,3,4))),1+MIN(5,$PQ24))&amp;INDEX($AO$2:$AT$41,($MT24-1)*4+IF($MC24=0,1,IF($MC24&lt;=5,2,IF($MC24=6,3,4))),1+MIN(5,$PR24))&amp;IF(INDEX($AE$2:$AE$11,$MT24)=1,IF(COUNTIF($MH24:$MK24,"Mais Um")&gt;0," · +"&amp;COUNTIF($MH24:$MK24,"Mais Um")&amp;IF(COUNTIF($MH24:$MK24,"Mais Um")&gt;1," alvos"," alvo"),"")&amp;IF(COUNTIF($MH24:$MK24,"Rajada")&gt;0,IF($MC24=0," · 1 tiro"," · "&amp;(MAX(1,$MC24-1)+1)&amp;" tiros"),""),""))</f>
        <v/>
      </c>
      <c r="PT24" s="152">
        <f>IF($MN24=0,"",IF($MC24=0,$MQ24&amp;"d6"&amp;IF($OD24&gt;0," − 1 = "&amp;$OM24&amp;"d6"," da básica do nível "&amp;$MO24),$OK24&amp;" − "&amp;$OF24&amp;" + "&amp;$OI24&amp;" = "&amp;$OL24&amp;" · teto "&amp;4*$MC24&amp;"d8"&amp;IF($NO24=1," · a Forma devolve "&amp;$MC24,"")&amp;IF($OJ24&gt;0," · perde "&amp;$OJ24,"")))</f>
        <v/>
      </c>
      <c r="PU24" s="152">
        <f>IF($MN24=0,"",IF($MC24=0,"A básica não amplia: os dados dela sobem com o nível",IF($MC24&gt;=$MP24,"Já está na maior Classe que o nível liberou",TEXTJOIN(" · ",TRUE,IF(AND(2&gt;$MC24,2&lt;=$MP24),"2 → "&amp;$OW24&amp;", 6 PE",""),IF(AND(3&gt;$MC24,3&lt;=$MP24),"3 → "&amp;$OX24&amp;", 9 PE",""),IF(AND(4&gt;$MC24,4&lt;=$MP24),"4 → "&amp;$OY24&amp;", 12 PE",""),IF(AND(5&gt;$MC24,5&lt;=$MP24),"5 → "&amp;$OZ24&amp;", 15 PE",""),IF(AND(6&gt;$MC24,6&lt;=$MP24),"6 → "&amp;$PA24&amp;", 18 PE",""),IF(AND(7&gt;$MC24,7&lt;=$MP24),"7 → "&amp;$PB24&amp;", 21 PE","")))))</f>
        <v/>
      </c>
      <c r="PV24" s="152">
        <f>IF(OR($MN24=0,$MY24=0),"",IF($MC24=0,"−1 dado","−"&amp;INDEX($I$2:$N$8,MAX(1,$MC24),MAX(1,$ND24))&amp;" · "&amp;CHOOSE(MAX(1,$ND24),"Leve","Média","Pesada","Leve · Livre","Média · Livre","Pesada · Livre")))</f>
        <v/>
      </c>
      <c r="PW24" s="152">
        <f>IF(OR($MN24=0,$MZ24=0),"",IF($MC24=0,"−1 dado","−"&amp;INDEX($I$2:$N$8,MAX(1,$MC24),MAX(1,$NE24))&amp;" · "&amp;CHOOSE(MAX(1,$NE24),"Leve","Média","Pesada","Leve · Livre","Média · Livre","Pesada · Livre")))</f>
        <v/>
      </c>
      <c r="PX24" s="152">
        <f>IF(OR($MN24=0,$NA24=0),"",IF($MC24=0,"−1 dado","−"&amp;INDEX($I$2:$N$8,MAX(1,$MC24),MAX(1,$NF24))&amp;" · "&amp;CHOOSE(MAX(1,$NF24),"Leve","Média","Pesada","Leve · Livre","Média · Livre","Pesada · Livre")))</f>
        <v/>
      </c>
      <c r="PY24" s="152">
        <f>IF(OR($MN24=0,$NB24=0),"",IF($MC24=0,"−1 dado","−"&amp;INDEX($I$2:$N$8,MAX(1,$MC24),MAX(1,$NG24))&amp;" · "&amp;CHOOSE(MAX(1,$NG24),"Leve","Média","Pesada","Leve · Livre","Média · Livre","Pesada · Livre")))</f>
        <v/>
      </c>
      <c r="PZ24" s="152">
        <f>IF(OR($MN24=0,$ML24=""),"",IF($MC24=0,"não devolve","+"&amp;IF($NR24=1,CEILING($MC24/2,1),$MC24)))</f>
        <v/>
      </c>
      <c r="QA24" s="152">
        <f>IF(OR($MN24=0,$MM24=""),"",IF($MC24=0,"não devolve","+"&amp;IF($NS24=1,CEILING($MC24/2,1),$MC24)))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JD25" s="152">
        <f>IF(OR($AW25="",COUNTIF($ED$2:$EH$2,$AW25)&gt;0),$AV25,"")</f>
        <v/>
      </c>
      <c r="JE25" s="152">
        <f>IF(AND($AX25=1,OR($AW25="",COUNTIF($ED$2:$EH$2,$AW25)&gt;0)),$AV25,"")</f>
        <v/>
      </c>
      <c r="JJ25" s="152">
        <f>IF(OR($AW25="",COUNTIF($ED$3:$EH$3,$AW25)&gt;0),$AV25,"")</f>
        <v/>
      </c>
      <c r="JK25" s="152">
        <f>IF(AND($AX25=1,OR($AW25="",COUNTIF($ED$3:$EH$3,$AW25)&gt;0)),$AV25,"")</f>
        <v/>
      </c>
      <c r="JP25" s="152">
        <f>IF(OR($AW25="",COUNTIF($ED$4:$EH$4,$AW25)&gt;0),$AV25,"")</f>
        <v/>
      </c>
      <c r="JQ25" s="152">
        <f>IF(AND($AX25=1,OR($AW25="",COUNTIF($ED$4:$EH$4,$AW25)&gt;0)),$AV25,"")</f>
        <v/>
      </c>
      <c r="JV25" s="152">
        <f>IF(OR($AW25="",COUNTIF($ED$5:$EH$5,$AW25)&gt;0),$AV25,"")</f>
        <v/>
      </c>
      <c r="JW25" s="152">
        <f>IF(AND($AX25=1,OR($AW25="",COUNTIF($ED$5:$EH$5,$AW25)&gt;0)),$AV25,"")</f>
        <v/>
      </c>
      <c r="KB25" s="152">
        <f>IF(OR($AW25="",COUNTIF($ED$6:$EH$6,$AW25)&gt;0),$AV25,"")</f>
        <v/>
      </c>
      <c r="KC25" s="152">
        <f>IF(AND($AX25=1,OR($AW25="",COUNTIF($ED$6:$EH$6,$AW25)&gt;0)),$AV25,"")</f>
        <v/>
      </c>
      <c r="KH25" s="152">
        <f>IF(OR($AW25="",COUNTIF($ED$7:$EH$7,$AW25)&gt;0),$AV25,"")</f>
        <v/>
      </c>
      <c r="KI25" s="152">
        <f>IF(AND($AX25=1,OR($AW25="",COUNTIF($ED$7:$EH$7,$AW25)&gt;0)),$AV25,"")</f>
        <v/>
      </c>
      <c r="KN25" s="152">
        <f>IF(OR($AW25="",COUNTIF($ED$8:$EH$8,$AW25)&gt;0),$AV25,"")</f>
        <v/>
      </c>
      <c r="KO25" s="152">
        <f>IF(AND($AX25=1,OR($AW25="",COUNTIF($ED$8:$EH$8,$AW25)&gt;0)),$AV25,"")</f>
        <v/>
      </c>
      <c r="KT25" s="152">
        <f>IF(OR($AW25="",COUNTIF($ED$9:$EH$9,$AW25)&gt;0),$AV25,"")</f>
        <v/>
      </c>
      <c r="KU25" s="152">
        <f>IF(AND($AX25=1,OR($AW25="",COUNTIF($ED$9:$EH$9,$AW25)&gt;0)),$AV25,"")</f>
        <v/>
      </c>
      <c r="KZ25" s="152">
        <f>IF(OR($AW25="",COUNTIF($ED$10:$EH$10,$AW25)&gt;0),$AV25,"")</f>
        <v/>
      </c>
      <c r="LA25" s="152">
        <f>IF(AND($AX25=1,OR($AW25="",COUNTIF($ED$10:$EH$10,$AW25)&gt;0)),$AV25,"")</f>
        <v/>
      </c>
      <c r="LF25" s="152">
        <f>IF(OR($AW25="",COUNTIF($ED$11:$EH$11,$AW25)&gt;0),$AV25,"")</f>
        <v/>
      </c>
      <c r="LG25" s="152">
        <f>IF(AND($AX25=1,OR($AW25="",COUNTIF($ED$11:$EH$11,$AW25)&gt;0)),$AV25,"")</f>
        <v/>
      </c>
      <c r="LL25" s="152">
        <f>IF(OR($AW25="",COUNTIF($ED$12:$EH$12,$AW25)&gt;0),$AV25,"")</f>
        <v/>
      </c>
      <c r="LM25" s="152">
        <f>IF(AND($AX25=1,OR($AW25="",COUNTIF($ED$12:$EH$12,$AW25)&gt;0)),$AV25,"")</f>
        <v/>
      </c>
      <c r="LR25" s="152">
        <f>IF(OR($AW25="",COUNTIF($ED$13:$EH$13,$AW25)&gt;0),$AV25,"")</f>
        <v/>
      </c>
      <c r="LS25" s="152">
        <f>IF(AND($AX25=1,OR($AW25="",COUNTIF($ED$13:$EH$13,$AW25)&gt;0)),$AV25,"")</f>
        <v/>
      </c>
      <c r="LX25" s="150" t="inlineStr">
        <is>
          <t>Ficha 2 · Escolha da trilha 1</t>
        </is>
      </c>
      <c r="LY25" s="152" t="n">
        <v>2</v>
      </c>
      <c r="LZ25" s="152" t="n">
        <v>2</v>
      </c>
      <c r="MA25" s="152" t="n">
        <v>0</v>
      </c>
      <c r="MB25" s="150" t="inlineStr">
        <is>
          <t>ESCOLHA DA TRILHA 1</t>
        </is>
      </c>
      <c r="MC25" s="152">
        <f>MAX(0,MIN(7,N('INVOCAÇÕES'!$I$358)))</f>
        <v/>
      </c>
      <c r="MD25" s="152">
        <f>'INVOCAÇÕES'!$J$358&amp;""</f>
        <v/>
      </c>
      <c r="ME25" s="152">
        <f>'INVOCAÇÕES'!$I$363&amp;""</f>
        <v/>
      </c>
      <c r="MF25" s="152">
        <f>'INVOCAÇÕES'!$I$364&amp;""</f>
        <v/>
      </c>
      <c r="MG25" s="152">
        <f>'INVOCAÇÕES'!$K$364&amp;""</f>
        <v/>
      </c>
      <c r="MH25" s="152">
        <f>'INVOCAÇÕES'!$J$367&amp;""</f>
        <v/>
      </c>
      <c r="MI25" s="152">
        <f>'INVOCAÇÕES'!$J$368&amp;""</f>
        <v/>
      </c>
      <c r="MJ25" s="152">
        <f>'INVOCAÇÕES'!$J$369&amp;""</f>
        <v/>
      </c>
      <c r="MK25" s="152">
        <f>'INVOCAÇÕES'!$J$370&amp;""</f>
        <v/>
      </c>
      <c r="ML25" s="152">
        <f>'INVOCAÇÕES'!$J$371&amp;""</f>
        <v/>
      </c>
      <c r="MM25" s="152">
        <f>'INVOCAÇÕES'!$J$372&amp;""</f>
        <v/>
      </c>
      <c r="MN25" s="152">
        <f>IF($MD25&lt;&gt;"",1,0)</f>
        <v/>
      </c>
      <c r="MO25" s="152">
        <f>INDEX($FG$2:$FG$13,$LY25)</f>
        <v/>
      </c>
      <c r="MP25" s="152">
        <f>INDEX($FH$2:$FH$13,$LY25)</f>
        <v/>
      </c>
      <c r="MQ25" s="152">
        <f>INDEX($FI$2:$FI$13,$LY25)</f>
        <v/>
      </c>
      <c r="MR25" s="152">
        <f>INDEX($FT$2:$FT$13,$LY25)</f>
        <v/>
      </c>
      <c r="MS25" s="152">
        <f>INDEX($FU$2:$FU$13,$LY25)</f>
        <v/>
      </c>
      <c r="MT25" s="152">
        <f>IFERROR(MATCH($ME25,$V$2:$V$11,0),0)</f>
        <v/>
      </c>
      <c r="MU25" s="152">
        <f>IFERROR(VLOOKUP($MH25,$AV$2:$AZ$84,2,FALSE),"")</f>
        <v/>
      </c>
      <c r="MV25" s="152">
        <f>IFERROR(VLOOKUP($MI25,$AV$2:$AZ$84,2,FALSE),"")</f>
        <v/>
      </c>
      <c r="MW25" s="152">
        <f>IFERROR(VLOOKUP($MJ25,$AV$2:$AZ$84,2,FALSE),"")</f>
        <v/>
      </c>
      <c r="MX25" s="152">
        <f>IFERROR(VLOOKUP($MK25,$AV$2:$AZ$84,2,FALSE),"")</f>
        <v/>
      </c>
      <c r="MY25" s="152">
        <f>IFERROR(VLOOKUP($MH25,$AV$2:$AZ$84,3,FALSE),0)</f>
        <v/>
      </c>
      <c r="MZ25" s="152">
        <f>IFERROR(VLOOKUP($MI25,$AV$2:$AZ$84,3,FALSE),0)</f>
        <v/>
      </c>
      <c r="NA25" s="152">
        <f>IFERROR(VLOOKUP($MJ25,$AV$2:$AZ$84,3,FALSE),0)</f>
        <v/>
      </c>
      <c r="NB25" s="152">
        <f>IFERROR(VLOOKUP($MK25,$AV$2:$AZ$84,3,FALSE),0)</f>
        <v/>
      </c>
      <c r="NC25" s="152">
        <f>IF($MC25=0,0,IF($MT25=0,0,INDEX($X$2:$X$11,$MT25)))</f>
        <v/>
      </c>
      <c r="ND25" s="152">
        <f>IF(OR($MY25=0,$MC25=0),0,$MY25+3*IF(AND($MU25&lt;&gt;"",OR($MU25=INDEX($ED$2:$ED$13,$LY25),$MU25=INDEX($EE$2:$EE$13,$LY25))),1,0))</f>
        <v/>
      </c>
      <c r="NE25" s="152">
        <f>IF(OR($MZ25=0,$MC25=0),0,$MZ25+3*IF(AND($MV25&lt;&gt;"",OR($MV25=INDEX($ED$2:$ED$13,$LY25),$MV25=INDEX($EE$2:$EE$13,$LY25))),1,0))</f>
        <v/>
      </c>
      <c r="NF25" s="152">
        <f>IF(OR($NA25=0,$MC25=0),0,$NA25+3*IF(AND($MW25&lt;&gt;"",OR($MW25=INDEX($ED$2:$ED$13,$LY25),$MW25=INDEX($EE$2:$EE$13,$LY25))),1,0))</f>
        <v/>
      </c>
      <c r="NG25" s="152">
        <f>IF(OR($NB25=0,$MC25=0),0,$NB25+3*IF(AND($MX25&lt;&gt;"",OR($MX25=INDEX($ED$2:$ED$13,$LY25),$MX25=INDEX($EE$2:$EE$13,$LY25))),1,0))</f>
        <v/>
      </c>
      <c r="NH25" s="152">
        <f>IF($MT25=0,0,IF(INDEX($W$2:$W$11,$MT25)="",0,IF(COUNTIF(INDEX($ED$2:$EH$13,$LY25,0),INDEX($W$2:$W$11,$MT25))=0,1,0)))</f>
        <v/>
      </c>
      <c r="NI25" s="152">
        <f>IF(OR($MY25=0,$MU25=""),0,IF(COUNTIF(INDEX($ED$2:$EH$13,$LY25,0),$MU25)=0,1,0))</f>
        <v/>
      </c>
      <c r="NJ25" s="152">
        <f>IF(OR($MZ25=0,$MV25=""),0,IF(COUNTIF(INDEX($ED$2:$EH$13,$LY25,0),$MV25)=0,1,0))</f>
        <v/>
      </c>
      <c r="NK25" s="152">
        <f>IF(OR($NA25=0,$MW25=""),0,IF(COUNTIF(INDEX($ED$2:$EH$13,$LY25,0),$MW25)=0,1,0))</f>
        <v/>
      </c>
      <c r="NL25" s="152">
        <f>IF(OR($NB25=0,$MX25=""),0,IF(COUNTIF(INDEX($ED$2:$EH$13,$LY25,0),$MX25)=0,1,0))</f>
        <v/>
      </c>
      <c r="NM25" s="152">
        <f>IFERROR(VLOOKUP($MH25,$AV$2:$AZ$84,4,FALSE),0)+IFERROR(VLOOKUP($MI25,$AV$2:$AZ$84,4,FALSE),0)+IFERROR(VLOOKUP($MJ25,$AV$2:$AZ$84,4,FALSE),0)+IFERROR(VLOOKUP($MK25,$AV$2:$AZ$84,4,FALSE),0)</f>
        <v/>
      </c>
      <c r="NN25" s="152">
        <f>TEXTJOIN(", ",TRUE,IF(IFERROR(VLOOKUP($MH25,$AV$2:$AZ$84,5,FALSE),0)=1,$MH25,""),IF(IFERROR(VLOOKUP($MI25,$AV$2:$AZ$84,5,FALSE),0)=1,$MI25,""),IF(IFERROR(VLOOKUP($MJ25,$AV$2:$AZ$84,5,FALSE),0)=1,$MJ25,""),IF(IFERROR(VLOOKUP($MK25,$AV$2:$AZ$84,5,FALSE),0)=1,$MK25,""))</f>
        <v/>
      </c>
      <c r="NO25" s="152">
        <f>IF($MT25=0,0,INDEX($Y$2:$Y$11,$MT25))</f>
        <v/>
      </c>
      <c r="NP25" s="152">
        <f>IF($MT25=0,0,INDEX($Z$2:$Z$11,$MT25))</f>
        <v/>
      </c>
      <c r="NQ25" s="152">
        <f>IF($MT25=0,0,INDEX($AB$2:$AB$11,$MT25))</f>
        <v/>
      </c>
      <c r="NR25" s="152">
        <f>IFERROR(VLOOKUP($ML25,$BB$2:$BF$24,3,FALSE),0)</f>
        <v/>
      </c>
      <c r="NS25" s="152">
        <f>IFERROR(VLOOKUP($MM25,$BB$2:$BF$24,3,FALSE),0)</f>
        <v/>
      </c>
      <c r="NT25" s="152">
        <f>IFERROR(VLOOKUP($ML25,$BB$2:$BF$24,2,FALSE),"")</f>
        <v/>
      </c>
      <c r="NU25" s="152">
        <f>IFERROR(VLOOKUP($MM25,$BB$2:$BF$24,2,FALSE),"")</f>
        <v/>
      </c>
      <c r="NV25" s="152">
        <f>COUNTIF($NC25:$NG25,1)</f>
        <v/>
      </c>
      <c r="NW25" s="152">
        <f>COUNTIF($NC25:$NG25,2)</f>
        <v/>
      </c>
      <c r="NX25" s="152">
        <f>COUNTIF($NC25:$NG25,3)</f>
        <v/>
      </c>
      <c r="NY25" s="152">
        <f>COUNTIF($NC25:$NG25,4)</f>
        <v/>
      </c>
      <c r="NZ25" s="152">
        <f>COUNTIF($NC25:$NG25,5)</f>
        <v/>
      </c>
      <c r="OA25" s="152">
        <f>COUNTIF($NC25:$NG25,6)</f>
        <v/>
      </c>
      <c r="OB25" s="152">
        <f>COUNTIF($NR25:$NS25,1)</f>
        <v/>
      </c>
      <c r="OC25" s="152">
        <f>COUNTIF($NR25:$NS25,2)+$NO25</f>
        <v/>
      </c>
      <c r="OD25" s="152">
        <f>COUNTIF($MH25:$MK25,"?*")</f>
        <v/>
      </c>
      <c r="OE25" s="152">
        <f>COUNTIF($ML25:$MM25,"?*")+$NO25</f>
        <v/>
      </c>
      <c r="OF25" s="152">
        <f>IF($MC25=0,0,SUMPRODUCT($NV25:$OA25,INDEX($I$2:$N$8,MAX(1,$MC25),0)))</f>
        <v/>
      </c>
      <c r="OG25" s="152">
        <f>IF($MC25=0,0,$OB25*CEILING($MC25/2,1)+$OC25*$MC25)</f>
        <v/>
      </c>
      <c r="OH25" s="152">
        <f>MIN(2*$MC25,$OG25)</f>
        <v/>
      </c>
      <c r="OI25" s="152">
        <f>MIN($OH25,$OF25)</f>
        <v/>
      </c>
      <c r="OJ25" s="152">
        <f>$OH25-$OI25</f>
        <v/>
      </c>
      <c r="OK25" s="152">
        <f>IF($MC25=0,0,INDEX($P$2:$P$8,MAX(1,$MC25)))</f>
        <v/>
      </c>
      <c r="OL25" s="152">
        <f>$OK25-$OF25+$OI25</f>
        <v/>
      </c>
      <c r="OM25" s="152">
        <f>IF($MC25=0,MAX(0,$MQ25-IF($OD25&gt;0,1,0)),MAX(0,$OL25))</f>
        <v/>
      </c>
      <c r="ON25" s="152">
        <f>IF($MC25=0,0,(IF(COUNTIF($MH25:$MK25,"Salto")&gt;0,1,0)+IF(COUNTIF($MH25:$MK25,"Queima")&gt;0,1,0)+IF(COUNTIF($MH25:$MK25,"Estilhaço")&gt;0,1,0))*FLOOR($OM25/2,1))</f>
        <v/>
      </c>
      <c r="OO25" s="152">
        <f>MAX(0,2-SUMPRODUCT($NV25:$OA25,$I$2:$N$2)+MIN(2,$OB25*1+$OC25*1,SUMPRODUCT($NV25:$OA25,$I$2:$N$2)))</f>
        <v/>
      </c>
      <c r="OP25" s="152">
        <f>MAX(0,4-SUMPRODUCT($NV25:$OA25,$I$3:$N$3)+MIN(4,$OB25*1+$OC25*2,SUMPRODUCT($NV25:$OA25,$I$3:$N$3)))</f>
        <v/>
      </c>
      <c r="OQ25" s="152">
        <f>MAX(0,6-SUMPRODUCT($NV25:$OA25,$I$4:$N$4)+MIN(6,$OB25*2+$OC25*3,SUMPRODUCT($NV25:$OA25,$I$4:$N$4)))</f>
        <v/>
      </c>
      <c r="OR25" s="152">
        <f>MAX(0,9-SUMPRODUCT($NV25:$OA25,$I$5:$N$5)+MIN(8,$OB25*2+$OC25*4,SUMPRODUCT($NV25:$OA25,$I$5:$N$5)))</f>
        <v/>
      </c>
      <c r="OS25" s="152">
        <f>MAX(0,11-SUMPRODUCT($NV25:$OA25,$I$6:$N$6)+MIN(10,$OB25*3+$OC25*5,SUMPRODUCT($NV25:$OA25,$I$6:$N$6)))</f>
        <v/>
      </c>
      <c r="OT25" s="152">
        <f>MAX(0,13-SUMPRODUCT($NV25:$OA25,$I$7:$N$7)+MIN(12,$OB25*3+$OC25*6,SUMPRODUCT($NV25:$OA25,$I$7:$N$7)))</f>
        <v/>
      </c>
      <c r="OU25" s="152">
        <f>MAX(0,16-SUMPRODUCT($NV25:$OA25,$I$8:$N$8)+MIN(14,$OB25*4+$OC25*7,SUMPRODUCT($NV25:$OA25,$I$8:$N$8)))</f>
        <v/>
      </c>
      <c r="OV25" s="152">
        <f>IF($NP25=2,3*$OO25&amp;" de vida temp.",IF($NP25=3,"sem dano",IF($OO25=0,IF($NP25=1,"sem cura","sem dano"),IF($NP25=1,"cura ","")&amp;$OO25&amp;"d8")))</f>
        <v/>
      </c>
      <c r="OW25" s="152">
        <f>IF($NP25=2,3*$OP25&amp;" de vida temp.",IF($NP25=3,"sem dano",IF($OP25=0,IF($NP25=1,"sem cura","sem dano"),IF($NP25=1,"cura ","")&amp;$OP25&amp;"d8")))</f>
        <v/>
      </c>
      <c r="OX25" s="152">
        <f>IF($NP25=2,3*$OQ25&amp;" de vida temp.",IF($NP25=3,"sem dano",IF($OQ25=0,IF($NP25=1,"sem cura","sem dano"),IF($NP25=1,"cura ","")&amp;$OQ25&amp;"d8")))</f>
        <v/>
      </c>
      <c r="OY25" s="152">
        <f>IF($NP25=2,3*$OR25&amp;" de vida temp.",IF($NP25=3,"sem dano",IF($OR25=0,IF($NP25=1,"sem cura","sem dano"),IF($NP25=1,"cura ","")&amp;$OR25&amp;"d8")))</f>
        <v/>
      </c>
      <c r="OZ25" s="152">
        <f>IF($NP25=2,3*$OS25&amp;" de vida temp.",IF($NP25=3,"sem dano",IF($OS25=0,IF($NP25=1,"sem cura","sem dano"),IF($NP25=1,"cura ","")&amp;$OS25&amp;"d8")))</f>
        <v/>
      </c>
      <c r="PA25" s="152">
        <f>IF($NP25=2,3*$OT25&amp;" de vida temp.",IF($NP25=3,"sem dano",IF($OT25=0,IF($NP25=1,"sem cura","sem dano"),IF($NP25=1,"cura ","")&amp;$OT25&amp;"d8")))</f>
        <v/>
      </c>
      <c r="PB25" s="152">
        <f>IF($NP25=2,3*$OU25&amp;" de vida temp.",IF($NP25=3,"sem dano",IF($OU25=0,IF($NP25=1,"sem cura","sem dano"),IF($NP25=1,"cura ","")&amp;$OU25&amp;"d8")))</f>
        <v/>
      </c>
      <c r="PC25" s="152">
        <f>IF($MN25=0,"",TEXTJOIN(" · ",TRUE,IF($MA25&gt;$MO25,"Este lugar abre no nível "&amp;$MA25,""),IF($MC25&gt;$MP25,"Classe "&amp;$MC25&amp;": o nível "&amp;$MO25&amp;" libera até a "&amp;$MP25,""),IF($NH25=1,"A Forma "&amp;$ME25&amp;" pede "&amp;INDEX($W$2:$W$11,$MT25)&amp;" aberta",""),IF(AND($MC25=0,$MT25&gt;0,IF($MT25=0,0,INDEX($AF$2:$AF$11,$MT25))=0),$ME25&amp;" não existe na Classe 0",""),IF($NI25=1,"Família Fechada: "&amp;$MH25,""),IF($NJ25=1,"Família Fechada: "&amp;$MI25,""),IF($NK25=1,"Família Fechada: "&amp;$MJ25,""),IF($NL25=1,"Família Fechada: "&amp;$MK25,""),IF(AND($MC25&gt;0,$OD25&gt;INDEX($O$2:$O$8,MAX(1,$MC25))),$OD25&amp;" Melhorias: a Classe "&amp;$MC25&amp;" aceita "&amp;INDEX($O$2:$O$8,MAX(1,$MC25)),""),IF(AND($MC25=0,$OD25&gt;1),"A básica aceita uma Melhoria",""),IF(AND($MC25=0,COUNTIF($MY25:$NB25,"&gt;1")&gt;0),"A básica só aceita Melhoria Leve",""),IF(AND($MC25&gt;0,$OE25&gt;2),$OE25&amp;" Restrições"&amp;IF($NO25=1,", contando a que a Forma "&amp;$ME25&amp;" já traz","")&amp;": o limite é 2",""),IF(AND($MC25=0,COUNTIF($ML25:$MM25,"?*")&gt;1),"A básica aceita uma Restrição Leve",""),IF(AND($MC25=0,COUNTIF($NR25:$NS25,2)&gt;0),"A básica só aceita Restrição Leve",""),IF(AND($MC25&gt;0,$OL25&lt;0),"Orçamento estourado: faltam "&amp;(-$OL25)&amp;IF($OL25&lt;-1," pontos"," ponto"),""),IF(IFERROR(VLOOKUP($ML25,$BB$2:$BF$24,4,FALSE),0)+IFERROR(VLOOKUP($MM25,$BB$2:$BF$24,4,FALSE),0)&gt;1,$NT25&amp;" e "&amp;$NU25&amp;" são as duas de frequência",""),IF(AND((COUNTIF($MH25:$MK25,"Rápido")+COUNTIF($NT25:$NU25,"Rápido"))&gt;0,(COUNTIF($MH25:$MK25,"Atrasar")+COUNTIF($NT25:$NU25,"Atrasar"))&gt;0),"Rápido não entra com Atrasar",""),IF(AND((COUNTIF($MH25:$MK25,"Reação")+COUNTIF($NT25:$NU25,"Reação"))&gt;0,(COUNTIF($MH25:$MK25,"Rápido")+COUNTIF($NT25:$NU25,"Rápido"))&gt;0),"Reação não entra com Rápido",""),IF(AND((COUNTIF($MH25:$MK25,"Reação")+COUNTIF($NT25:$NU25,"Reação"))&gt;0,(COUNTIF($MH25:$MK25,"Armado")+COUNTIF($NT25:$NU25,"Armado"))&gt;0),"Reação não entra com Armado",""),IF(AND((COUNTIF($MH25:$MK25,"Reação")+COUNTIF($NT25:$NU25,"Reação"))&gt;0,(COUNTIF($MH25:$MK25,"Atrasar")+COUNTIF($NT25:$NU25,"Atrasar"))&gt;0),"Reação não entra com Atrasar",""),IF(AND((COUNTIF($MH25:$MK25,"Reação")+COUNTIF($NT25:$NU25,"Reação"))&gt;0,(COUNTIF($MH25:$MK25,"Parado")+COUNTIF($NT25:$NU25,"Parado"))&gt;0),"Reação não entra com Parado",""),IF(AND((COUNTIF($MH25:$MK25,"Atrasar")+COUNTIF($NT25:$NU25,"Atrasar"))&gt;0,(COUNTIF($MH25:$MK25,"Parado")+COUNTIF($NT25:$NU25,"Parado"))&gt;0),"Atrasar não entra com Parado",""),IF(AND((COUNTIF($MH25:$MK25,"Armado")+COUNTIF($NT25:$NU25,"Armado"))&gt;0,(COUNTIF($MH25:$MK25,"Carregar")+COUNTIF($NT25:$NU25,"Carregar"))&gt;0),"Armado não entra com Carregar",""),IF(AND(COUNTIF($NT25:$NU25,"Corpo a Corpo")&gt;0,$NO25=0,OR($ME25="Cone",$ME25="Linha")),"Corpo a Corpo não entra em "&amp;$ME25,""),IF(AND(COUNTIF($NT25:$NU25,"Corpo a Corpo")&gt;0,$NO25=1),"A Forma "&amp;$ME25&amp;" já traz o Corpo a Corpo",""),IF(AND(COUNTIF($NT25:$NU25,"Tudo ou Nada")&gt;0,$NQ25=0),"Tudo ou Nada só entra em habilidade de Teste de Resistência",""),IF(AND(COUNTIF($MH25:$MK25,"Inescapável")&gt;0,OR($OD25&gt;1,$OE25&gt;0)),"Inescapável não aceita outra peça",""),IF(AND($MC25&gt;0,$OM25*IF(COUNTIF($MH25:$MK25,"Remate")&gt;0,1.25,1)+$ON25&gt;4*$MC25),($OM25*IF(COUNTIF($MH25:$MK25,"Remate")&gt;0,1.25,1)+$ON25)&amp;" dados somando repetições"&amp;IF(COUNTIF($MH25:$MK25,"Remate")&gt;0," e o Remate","")&amp;": o teto da Classe "&amp;$MC25&amp;" é "&amp;4*$MC25,"")))</f>
        <v/>
      </c>
      <c r="PD25" s="152">
        <f>IF($PC25="",0,(LEN($PC25)-LEN(SUBSTITUTE($PC25," · ","")))/3+1)</f>
        <v/>
      </c>
      <c r="PE25" s="152">
        <f>IF($MN25=0,"",TEXTJOIN(" · ",TRUE,IF($OG25&gt;2*$MC25,"A devolução parou no teto de "&amp;2*$MC25,""),IF($OJ25&gt;0,"Devolução perdida: "&amp;$OJ25&amp;IF($OJ25&gt;1," pontos"," ponto")&amp;" sem peça para pagar",""),IF(AND($NM25&gt;0,AND($MC25&gt;0,$NP25=0),$OM25=0),"Controle sem dano: uma rodada a mais e CD +2",""),IF(AND($NM25&gt;0,AND($MC25&gt;0,$NP25=0),$OM25&gt;0,$OM25&lt;=$MC25),"Controle com saldo até a Classe: uma rodada a mais",""),IF(AND($MC25&gt;0,$NN25&lt;&gt;""),"Efeito de "&amp;$NN25&amp;" pela Classe "&amp;MAX(1,$MC25-1),"")))</f>
        <v/>
      </c>
      <c r="PF25" s="152">
        <f>IF($PE25="",0,(LEN($PE25)-LEN(SUBSTITUTE($PE25," · ","")))/3+1)</f>
        <v/>
      </c>
      <c r="PG25" s="152">
        <f>IF($MN25=0,IF($OD25+COUNTIF($ML25:$MM25,"?*")&gt;0,"Dê um nome",""),IF($PD25&gt;0,"⚠ "&amp;$PD25&amp;IF($PD25&gt;1," erros"," erro"),IF($PF25&gt;0,"! "&amp;$PF25&amp;IF($PF25&gt;1," avisos"," aviso"),"Na regra")))</f>
        <v/>
      </c>
      <c r="PH25" s="152">
        <f>IF($MN25=0,"",IF($PD25+$PF25=0,"Dentro das regras que a ficha confere",$PC25&amp;IF(AND($PD25&gt;0,$PF25&gt;0)," · ","")&amp;$PE25))</f>
        <v/>
      </c>
      <c r="PI25" s="152">
        <f>IF($MA25&gt;$MO25,$MB25&amp;" · ABRE NO NÍVEL "&amp;$MA25,$MB25)</f>
        <v/>
      </c>
      <c r="PJ25" s="152">
        <f>IF($MN25=0,"",IF($MC25=0,"Sem PE",3*$MC25&amp;" PE"))</f>
        <v/>
      </c>
      <c r="PK25" s="152">
        <f>IF($MN25=0,"",IF($MC25=0,"A atuação básica dela",IF(COUNTIF($NT25:$NU25,"Atrasar")&gt;0,"Sua Ação Completa",IF(COUNTIF($MH25:$MK25,"Rápido")&gt;0,"Sua Bônus",IF(COUNTIF($MH25:$MK25,"Reação")&gt;0,"Sua Reação","Sua Padrão")))&amp;" + a básica dela"&amp;IF(COUNTIF($MH25:$MK25,"Reação")&gt;0," e a coletiva","")&amp;IF(COUNTIF($NT25:$NU25,"Carregar")&gt;0," · em dois turnos","")))</f>
        <v/>
      </c>
      <c r="PL25" s="152">
        <f>IF($MG25&lt;&gt;"",$MG25,IF($MT25=0,"",INDEX($AA$2:$AA$11,$MT25)))</f>
        <v/>
      </c>
      <c r="PM25" s="152">
        <f>IF(OR($MN25=0,$MT25=0),"",IF(COUNTIF($MH25:$MK25,"Inescapável")&gt;0,"Automático",IF($PL25="Ataque",IF($MR25="","Ataque","Ataque "&amp;IF(($MR25+2*IF(COUNTIF($MH25:$MK25,"Precisão")&gt;0,1,0))&gt;=0,"+","−")&amp;ABS(($MR25+2*IF(COUNTIF($MH25:$MK25,"Precisão")&gt;0,1,0)))),IF(LEFT($PL25,2)="TR",$PL25&amp;IF($MS25="",""," · CD "&amp;$MS25)&amp;IF(COUNTIF($MH25:$MK25,"Certeiro")&gt;0," · metade",""),"Sem rolagem"))))</f>
        <v/>
      </c>
      <c r="PN25" s="152">
        <f>IF(OR($MN25=0,$MT25=0),"",IF($MC25=0,IF(OR($NP25&gt;=1,$OM25=0),"Sem dano",$OM25&amp;"d6"&amp;IF($MF25="",""," "&amp;$MF25)),IF(OR($NP25&gt;=1,$OM25=0),UPPER(LEFT(INDEX($OV25:$PB25,1,MAX(1,$MC25)),1))&amp;MID(INDEX($OV25:$PB25,1,MAX(1,$MC25)),2,99),UPPER(LEFT(INDEX($OV25:$PB25,1,MAX(1,$MC25)),1))&amp;MID(INDEX($OV25:$PB25,1,MAX(1,$MC25)),2,99)&amp;IF($MF25="",""," "&amp;$MF25)&amp;IF($ON25&gt;0," · +"&amp;$ON25&amp;"d8",""))))</f>
        <v/>
      </c>
      <c r="PO25" s="152">
        <f>COUNTIF($MH25:$MK25,"Longe")+3*COUNTIF($MH25:$MK25,"Muito Longe")</f>
        <v/>
      </c>
      <c r="PP25" s="152">
        <f>COUNTIF($MH25:$MK25,"Maior")+3*COUNTIF($MH25:$MK25,"Muito Maior")</f>
        <v/>
      </c>
      <c r="PQ25" s="152">
        <f>IF($MT25=0,0,CHOOSE(1+INDEX($AC$2:$AC$11,$MT25),0,$PO25,$PP25,$PO25+$PP25))</f>
        <v/>
      </c>
      <c r="PR25" s="152">
        <f>IF($MT25=0,0,CHOOSE(1+INDEX($AD$2:$AD$11,$MT25),0,$PO25,$PP25,$PO25+$PP25))</f>
        <v/>
      </c>
      <c r="PS25" s="152">
        <f>IF(OR($MN25=0,$MT25=0),"",INDEX($AI$2:$AN$41,($MT25-1)*4+IF($MC25=0,1,IF($MC25&lt;=5,2,IF($MC25=6,3,4))),1+MIN(5,$PQ25))&amp;INDEX($AO$2:$AT$41,($MT25-1)*4+IF($MC25=0,1,IF($MC25&lt;=5,2,IF($MC25=6,3,4))),1+MIN(5,$PR25))&amp;IF(INDEX($AE$2:$AE$11,$MT25)=1,IF(COUNTIF($MH25:$MK25,"Mais Um")&gt;0," · +"&amp;COUNTIF($MH25:$MK25,"Mais Um")&amp;IF(COUNTIF($MH25:$MK25,"Mais Um")&gt;1," alvos"," alvo"),"")&amp;IF(COUNTIF($MH25:$MK25,"Rajada")&gt;0,IF($MC25=0," · 1 tiro"," · "&amp;(MAX(1,$MC25-1)+1)&amp;" tiros"),""),""))</f>
        <v/>
      </c>
      <c r="PT25" s="152">
        <f>IF($MN25=0,"",IF($MC25=0,$MQ25&amp;"d6"&amp;IF($OD25&gt;0," − 1 = "&amp;$OM25&amp;"d6"," da básica do nível "&amp;$MO25),$OK25&amp;" − "&amp;$OF25&amp;" + "&amp;$OI25&amp;" = "&amp;$OL25&amp;" · teto "&amp;4*$MC25&amp;"d8"&amp;IF($NO25=1," · a Forma devolve "&amp;$MC25,"")&amp;IF($OJ25&gt;0," · perde "&amp;$OJ25,"")))</f>
        <v/>
      </c>
      <c r="PU25" s="152">
        <f>IF($MN25=0,"",IF($MC25=0,"A básica não amplia: os dados dela sobem com o nível",IF($MC25&gt;=$MP25,"Já está na maior Classe que o nível liberou",TEXTJOIN(" · ",TRUE,IF(AND(2&gt;$MC25,2&lt;=$MP25),"2 → "&amp;$OW25&amp;", 6 PE",""),IF(AND(3&gt;$MC25,3&lt;=$MP25),"3 → "&amp;$OX25&amp;", 9 PE",""),IF(AND(4&gt;$MC25,4&lt;=$MP25),"4 → "&amp;$OY25&amp;", 12 PE",""),IF(AND(5&gt;$MC25,5&lt;=$MP25),"5 → "&amp;$OZ25&amp;", 15 PE",""),IF(AND(6&gt;$MC25,6&lt;=$MP25),"6 → "&amp;$PA25&amp;", 18 PE",""),IF(AND(7&gt;$MC25,7&lt;=$MP25),"7 → "&amp;$PB25&amp;", 21 PE","")))))</f>
        <v/>
      </c>
      <c r="PV25" s="152">
        <f>IF(OR($MN25=0,$MY25=0),"",IF($MC25=0,"−1 dado","−"&amp;INDEX($I$2:$N$8,MAX(1,$MC25),MAX(1,$ND25))&amp;" · "&amp;CHOOSE(MAX(1,$ND25),"Leve","Média","Pesada","Leve · Livre","Média · Livre","Pesada · Livre")))</f>
        <v/>
      </c>
      <c r="PW25" s="152">
        <f>IF(OR($MN25=0,$MZ25=0),"",IF($MC25=0,"−1 dado","−"&amp;INDEX($I$2:$N$8,MAX(1,$MC25),MAX(1,$NE25))&amp;" · "&amp;CHOOSE(MAX(1,$NE25),"Leve","Média","Pesada","Leve · Livre","Média · Livre","Pesada · Livre")))</f>
        <v/>
      </c>
      <c r="PX25" s="152">
        <f>IF(OR($MN25=0,$NA25=0),"",IF($MC25=0,"−1 dado","−"&amp;INDEX($I$2:$N$8,MAX(1,$MC25),MAX(1,$NF25))&amp;" · "&amp;CHOOSE(MAX(1,$NF25),"Leve","Média","Pesada","Leve · Livre","Média · Livre","Pesada · Livre")))</f>
        <v/>
      </c>
      <c r="PY25" s="152">
        <f>IF(OR($MN25=0,$NB25=0),"",IF($MC25=0,"−1 dado","−"&amp;INDEX($I$2:$N$8,MAX(1,$MC25),MAX(1,$NG25))&amp;" · "&amp;CHOOSE(MAX(1,$NG25),"Leve","Média","Pesada","Leve · Livre","Média · Livre","Pesada · Livre")))</f>
        <v/>
      </c>
      <c r="PZ25" s="152">
        <f>IF(OR($MN25=0,$ML25=""),"",IF($MC25=0,"não devolve","+"&amp;IF($NR25=1,CEILING($MC25/2,1),$MC25)))</f>
        <v/>
      </c>
      <c r="QA25" s="152">
        <f>IF(OR($MN25=0,$MM25=""),"",IF($MC25=0,"não devolve","+"&amp;IF($NS25=1,CEILING($MC25/2,1),$MC25)))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JD26" s="152">
        <f>IF(OR($AW26="",COUNTIF($ED$2:$EH$2,$AW26)&gt;0),$AV26,"")</f>
        <v/>
      </c>
      <c r="JE26" s="152">
        <f>IF(AND($AX26=1,OR($AW26="",COUNTIF($ED$2:$EH$2,$AW26)&gt;0)),$AV26,"")</f>
        <v/>
      </c>
      <c r="JJ26" s="152">
        <f>IF(OR($AW26="",COUNTIF($ED$3:$EH$3,$AW26)&gt;0),$AV26,"")</f>
        <v/>
      </c>
      <c r="JK26" s="152">
        <f>IF(AND($AX26=1,OR($AW26="",COUNTIF($ED$3:$EH$3,$AW26)&gt;0)),$AV26,"")</f>
        <v/>
      </c>
      <c r="JP26" s="152">
        <f>IF(OR($AW26="",COUNTIF($ED$4:$EH$4,$AW26)&gt;0),$AV26,"")</f>
        <v/>
      </c>
      <c r="JQ26" s="152">
        <f>IF(AND($AX26=1,OR($AW26="",COUNTIF($ED$4:$EH$4,$AW26)&gt;0)),$AV26,"")</f>
        <v/>
      </c>
      <c r="JV26" s="152">
        <f>IF(OR($AW26="",COUNTIF($ED$5:$EH$5,$AW26)&gt;0),$AV26,"")</f>
        <v/>
      </c>
      <c r="JW26" s="152">
        <f>IF(AND($AX26=1,OR($AW26="",COUNTIF($ED$5:$EH$5,$AW26)&gt;0)),$AV26,"")</f>
        <v/>
      </c>
      <c r="KB26" s="152">
        <f>IF(OR($AW26="",COUNTIF($ED$6:$EH$6,$AW26)&gt;0),$AV26,"")</f>
        <v/>
      </c>
      <c r="KC26" s="152">
        <f>IF(AND($AX26=1,OR($AW26="",COUNTIF($ED$6:$EH$6,$AW26)&gt;0)),$AV26,"")</f>
        <v/>
      </c>
      <c r="KH26" s="152">
        <f>IF(OR($AW26="",COUNTIF($ED$7:$EH$7,$AW26)&gt;0),$AV26,"")</f>
        <v/>
      </c>
      <c r="KI26" s="152">
        <f>IF(AND($AX26=1,OR($AW26="",COUNTIF($ED$7:$EH$7,$AW26)&gt;0)),$AV26,"")</f>
        <v/>
      </c>
      <c r="KN26" s="152">
        <f>IF(OR($AW26="",COUNTIF($ED$8:$EH$8,$AW26)&gt;0),$AV26,"")</f>
        <v/>
      </c>
      <c r="KO26" s="152">
        <f>IF(AND($AX26=1,OR($AW26="",COUNTIF($ED$8:$EH$8,$AW26)&gt;0)),$AV26,"")</f>
        <v/>
      </c>
      <c r="KT26" s="152">
        <f>IF(OR($AW26="",COUNTIF($ED$9:$EH$9,$AW26)&gt;0),$AV26,"")</f>
        <v/>
      </c>
      <c r="KU26" s="152">
        <f>IF(AND($AX26=1,OR($AW26="",COUNTIF($ED$9:$EH$9,$AW26)&gt;0)),$AV26,"")</f>
        <v/>
      </c>
      <c r="KZ26" s="152">
        <f>IF(OR($AW26="",COUNTIF($ED$10:$EH$10,$AW26)&gt;0),$AV26,"")</f>
        <v/>
      </c>
      <c r="LA26" s="152">
        <f>IF(AND($AX26=1,OR($AW26="",COUNTIF($ED$10:$EH$10,$AW26)&gt;0)),$AV26,"")</f>
        <v/>
      </c>
      <c r="LF26" s="152">
        <f>IF(OR($AW26="",COUNTIF($ED$11:$EH$11,$AW26)&gt;0),$AV26,"")</f>
        <v/>
      </c>
      <c r="LG26" s="152">
        <f>IF(AND($AX26=1,OR($AW26="",COUNTIF($ED$11:$EH$11,$AW26)&gt;0)),$AV26,"")</f>
        <v/>
      </c>
      <c r="LL26" s="152">
        <f>IF(OR($AW26="",COUNTIF($ED$12:$EH$12,$AW26)&gt;0),$AV26,"")</f>
        <v/>
      </c>
      <c r="LM26" s="152">
        <f>IF(AND($AX26=1,OR($AW26="",COUNTIF($ED$12:$EH$12,$AW26)&gt;0)),$AV26,"")</f>
        <v/>
      </c>
      <c r="LR26" s="152">
        <f>IF(OR($AW26="",COUNTIF($ED$13:$EH$13,$AW26)&gt;0),$AV26,"")</f>
        <v/>
      </c>
      <c r="LS26" s="152">
        <f>IF(AND($AX26=1,OR($AW26="",COUNTIF($ED$13:$EH$13,$AW26)&gt;0)),$AV26,"")</f>
        <v/>
      </c>
      <c r="LX26" s="150" t="inlineStr">
        <is>
          <t>Ficha 2 · Escolha da trilha 2</t>
        </is>
      </c>
      <c r="LY26" s="152" t="n">
        <v>2</v>
      </c>
      <c r="LZ26" s="152" t="n">
        <v>2</v>
      </c>
      <c r="MA26" s="152" t="n">
        <v>0</v>
      </c>
      <c r="MB26" s="150" t="inlineStr">
        <is>
          <t>ESCOLHA DA TRILHA 2</t>
        </is>
      </c>
      <c r="MC26" s="152">
        <f>MAX(0,MIN(7,N('INVOCAÇÕES'!$O$358)))</f>
        <v/>
      </c>
      <c r="MD26" s="152">
        <f>'INVOCAÇÕES'!$P$358&amp;""</f>
        <v/>
      </c>
      <c r="ME26" s="152">
        <f>'INVOCAÇÕES'!$O$363&amp;""</f>
        <v/>
      </c>
      <c r="MF26" s="152">
        <f>'INVOCAÇÕES'!$O$364&amp;""</f>
        <v/>
      </c>
      <c r="MG26" s="152">
        <f>'INVOCAÇÕES'!$Q$364&amp;""</f>
        <v/>
      </c>
      <c r="MH26" s="152">
        <f>'INVOCAÇÕES'!$P$367&amp;""</f>
        <v/>
      </c>
      <c r="MI26" s="152">
        <f>'INVOCAÇÕES'!$P$368&amp;""</f>
        <v/>
      </c>
      <c r="MJ26" s="152">
        <f>'INVOCAÇÕES'!$P$369&amp;""</f>
        <v/>
      </c>
      <c r="MK26" s="152">
        <f>'INVOCAÇÕES'!$P$370&amp;""</f>
        <v/>
      </c>
      <c r="ML26" s="152">
        <f>'INVOCAÇÕES'!$P$371&amp;""</f>
        <v/>
      </c>
      <c r="MM26" s="152">
        <f>'INVOCAÇÕES'!$P$372&amp;""</f>
        <v/>
      </c>
      <c r="MN26" s="152">
        <f>IF($MD26&lt;&gt;"",1,0)</f>
        <v/>
      </c>
      <c r="MO26" s="152">
        <f>INDEX($FG$2:$FG$13,$LY26)</f>
        <v/>
      </c>
      <c r="MP26" s="152">
        <f>INDEX($FH$2:$FH$13,$LY26)</f>
        <v/>
      </c>
      <c r="MQ26" s="152">
        <f>INDEX($FI$2:$FI$13,$LY26)</f>
        <v/>
      </c>
      <c r="MR26" s="152">
        <f>INDEX($FT$2:$FT$13,$LY26)</f>
        <v/>
      </c>
      <c r="MS26" s="152">
        <f>INDEX($FU$2:$FU$13,$LY26)</f>
        <v/>
      </c>
      <c r="MT26" s="152">
        <f>IFERROR(MATCH($ME26,$V$2:$V$11,0),0)</f>
        <v/>
      </c>
      <c r="MU26" s="152">
        <f>IFERROR(VLOOKUP($MH26,$AV$2:$AZ$84,2,FALSE),"")</f>
        <v/>
      </c>
      <c r="MV26" s="152">
        <f>IFERROR(VLOOKUP($MI26,$AV$2:$AZ$84,2,FALSE),"")</f>
        <v/>
      </c>
      <c r="MW26" s="152">
        <f>IFERROR(VLOOKUP($MJ26,$AV$2:$AZ$84,2,FALSE),"")</f>
        <v/>
      </c>
      <c r="MX26" s="152">
        <f>IFERROR(VLOOKUP($MK26,$AV$2:$AZ$84,2,FALSE),"")</f>
        <v/>
      </c>
      <c r="MY26" s="152">
        <f>IFERROR(VLOOKUP($MH26,$AV$2:$AZ$84,3,FALSE),0)</f>
        <v/>
      </c>
      <c r="MZ26" s="152">
        <f>IFERROR(VLOOKUP($MI26,$AV$2:$AZ$84,3,FALSE),0)</f>
        <v/>
      </c>
      <c r="NA26" s="152">
        <f>IFERROR(VLOOKUP($MJ26,$AV$2:$AZ$84,3,FALSE),0)</f>
        <v/>
      </c>
      <c r="NB26" s="152">
        <f>IFERROR(VLOOKUP($MK26,$AV$2:$AZ$84,3,FALSE),0)</f>
        <v/>
      </c>
      <c r="NC26" s="152">
        <f>IF($MC26=0,0,IF($MT26=0,0,INDEX($X$2:$X$11,$MT26)))</f>
        <v/>
      </c>
      <c r="ND26" s="152">
        <f>IF(OR($MY26=0,$MC26=0),0,$MY26+3*IF(AND($MU26&lt;&gt;"",OR($MU26=INDEX($ED$2:$ED$13,$LY26),$MU26=INDEX($EE$2:$EE$13,$LY26))),1,0))</f>
        <v/>
      </c>
      <c r="NE26" s="152">
        <f>IF(OR($MZ26=0,$MC26=0),0,$MZ26+3*IF(AND($MV26&lt;&gt;"",OR($MV26=INDEX($ED$2:$ED$13,$LY26),$MV26=INDEX($EE$2:$EE$13,$LY26))),1,0))</f>
        <v/>
      </c>
      <c r="NF26" s="152">
        <f>IF(OR($NA26=0,$MC26=0),0,$NA26+3*IF(AND($MW26&lt;&gt;"",OR($MW26=INDEX($ED$2:$ED$13,$LY26),$MW26=INDEX($EE$2:$EE$13,$LY26))),1,0))</f>
        <v/>
      </c>
      <c r="NG26" s="152">
        <f>IF(OR($NB26=0,$MC26=0),0,$NB26+3*IF(AND($MX26&lt;&gt;"",OR($MX26=INDEX($ED$2:$ED$13,$LY26),$MX26=INDEX($EE$2:$EE$13,$LY26))),1,0))</f>
        <v/>
      </c>
      <c r="NH26" s="152">
        <f>IF($MT26=0,0,IF(INDEX($W$2:$W$11,$MT26)="",0,IF(COUNTIF(INDEX($ED$2:$EH$13,$LY26,0),INDEX($W$2:$W$11,$MT26))=0,1,0)))</f>
        <v/>
      </c>
      <c r="NI26" s="152">
        <f>IF(OR($MY26=0,$MU26=""),0,IF(COUNTIF(INDEX($ED$2:$EH$13,$LY26,0),$MU26)=0,1,0))</f>
        <v/>
      </c>
      <c r="NJ26" s="152">
        <f>IF(OR($MZ26=0,$MV26=""),0,IF(COUNTIF(INDEX($ED$2:$EH$13,$LY26,0),$MV26)=0,1,0))</f>
        <v/>
      </c>
      <c r="NK26" s="152">
        <f>IF(OR($NA26=0,$MW26=""),0,IF(COUNTIF(INDEX($ED$2:$EH$13,$LY26,0),$MW26)=0,1,0))</f>
        <v/>
      </c>
      <c r="NL26" s="152">
        <f>IF(OR($NB26=0,$MX26=""),0,IF(COUNTIF(INDEX($ED$2:$EH$13,$LY26,0),$MX26)=0,1,0))</f>
        <v/>
      </c>
      <c r="NM26" s="152">
        <f>IFERROR(VLOOKUP($MH26,$AV$2:$AZ$84,4,FALSE),0)+IFERROR(VLOOKUP($MI26,$AV$2:$AZ$84,4,FALSE),0)+IFERROR(VLOOKUP($MJ26,$AV$2:$AZ$84,4,FALSE),0)+IFERROR(VLOOKUP($MK26,$AV$2:$AZ$84,4,FALSE),0)</f>
        <v/>
      </c>
      <c r="NN26" s="152">
        <f>TEXTJOIN(", ",TRUE,IF(IFERROR(VLOOKUP($MH26,$AV$2:$AZ$84,5,FALSE),0)=1,$MH26,""),IF(IFERROR(VLOOKUP($MI26,$AV$2:$AZ$84,5,FALSE),0)=1,$MI26,""),IF(IFERROR(VLOOKUP($MJ26,$AV$2:$AZ$84,5,FALSE),0)=1,$MJ26,""),IF(IFERROR(VLOOKUP($MK26,$AV$2:$AZ$84,5,FALSE),0)=1,$MK26,""))</f>
        <v/>
      </c>
      <c r="NO26" s="152">
        <f>IF($MT26=0,0,INDEX($Y$2:$Y$11,$MT26))</f>
        <v/>
      </c>
      <c r="NP26" s="152">
        <f>IF($MT26=0,0,INDEX($Z$2:$Z$11,$MT26))</f>
        <v/>
      </c>
      <c r="NQ26" s="152">
        <f>IF($MT26=0,0,INDEX($AB$2:$AB$11,$MT26))</f>
        <v/>
      </c>
      <c r="NR26" s="152">
        <f>IFERROR(VLOOKUP($ML26,$BB$2:$BF$24,3,FALSE),0)</f>
        <v/>
      </c>
      <c r="NS26" s="152">
        <f>IFERROR(VLOOKUP($MM26,$BB$2:$BF$24,3,FALSE),0)</f>
        <v/>
      </c>
      <c r="NT26" s="152">
        <f>IFERROR(VLOOKUP($ML26,$BB$2:$BF$24,2,FALSE),"")</f>
        <v/>
      </c>
      <c r="NU26" s="152">
        <f>IFERROR(VLOOKUP($MM26,$BB$2:$BF$24,2,FALSE),"")</f>
        <v/>
      </c>
      <c r="NV26" s="152">
        <f>COUNTIF($NC26:$NG26,1)</f>
        <v/>
      </c>
      <c r="NW26" s="152">
        <f>COUNTIF($NC26:$NG26,2)</f>
        <v/>
      </c>
      <c r="NX26" s="152">
        <f>COUNTIF($NC26:$NG26,3)</f>
        <v/>
      </c>
      <c r="NY26" s="152">
        <f>COUNTIF($NC26:$NG26,4)</f>
        <v/>
      </c>
      <c r="NZ26" s="152">
        <f>COUNTIF($NC26:$NG26,5)</f>
        <v/>
      </c>
      <c r="OA26" s="152">
        <f>COUNTIF($NC26:$NG26,6)</f>
        <v/>
      </c>
      <c r="OB26" s="152">
        <f>COUNTIF($NR26:$NS26,1)</f>
        <v/>
      </c>
      <c r="OC26" s="152">
        <f>COUNTIF($NR26:$NS26,2)+$NO26</f>
        <v/>
      </c>
      <c r="OD26" s="152">
        <f>COUNTIF($MH26:$MK26,"?*")</f>
        <v/>
      </c>
      <c r="OE26" s="152">
        <f>COUNTIF($ML26:$MM26,"?*")+$NO26</f>
        <v/>
      </c>
      <c r="OF26" s="152">
        <f>IF($MC26=0,0,SUMPRODUCT($NV26:$OA26,INDEX($I$2:$N$8,MAX(1,$MC26),0)))</f>
        <v/>
      </c>
      <c r="OG26" s="152">
        <f>IF($MC26=0,0,$OB26*CEILING($MC26/2,1)+$OC26*$MC26)</f>
        <v/>
      </c>
      <c r="OH26" s="152">
        <f>MIN(2*$MC26,$OG26)</f>
        <v/>
      </c>
      <c r="OI26" s="152">
        <f>MIN($OH26,$OF26)</f>
        <v/>
      </c>
      <c r="OJ26" s="152">
        <f>$OH26-$OI26</f>
        <v/>
      </c>
      <c r="OK26" s="152">
        <f>IF($MC26=0,0,INDEX($P$2:$P$8,MAX(1,$MC26)))</f>
        <v/>
      </c>
      <c r="OL26" s="152">
        <f>$OK26-$OF26+$OI26</f>
        <v/>
      </c>
      <c r="OM26" s="152">
        <f>IF($MC26=0,MAX(0,$MQ26-IF($OD26&gt;0,1,0)),MAX(0,$OL26))</f>
        <v/>
      </c>
      <c r="ON26" s="152">
        <f>IF($MC26=0,0,(IF(COUNTIF($MH26:$MK26,"Salto")&gt;0,1,0)+IF(COUNTIF($MH26:$MK26,"Queima")&gt;0,1,0)+IF(COUNTIF($MH26:$MK26,"Estilhaço")&gt;0,1,0))*FLOOR($OM26/2,1))</f>
        <v/>
      </c>
      <c r="OO26" s="152">
        <f>MAX(0,2-SUMPRODUCT($NV26:$OA26,$I$2:$N$2)+MIN(2,$OB26*1+$OC26*1,SUMPRODUCT($NV26:$OA26,$I$2:$N$2)))</f>
        <v/>
      </c>
      <c r="OP26" s="152">
        <f>MAX(0,4-SUMPRODUCT($NV26:$OA26,$I$3:$N$3)+MIN(4,$OB26*1+$OC26*2,SUMPRODUCT($NV26:$OA26,$I$3:$N$3)))</f>
        <v/>
      </c>
      <c r="OQ26" s="152">
        <f>MAX(0,6-SUMPRODUCT($NV26:$OA26,$I$4:$N$4)+MIN(6,$OB26*2+$OC26*3,SUMPRODUCT($NV26:$OA26,$I$4:$N$4)))</f>
        <v/>
      </c>
      <c r="OR26" s="152">
        <f>MAX(0,9-SUMPRODUCT($NV26:$OA26,$I$5:$N$5)+MIN(8,$OB26*2+$OC26*4,SUMPRODUCT($NV26:$OA26,$I$5:$N$5)))</f>
        <v/>
      </c>
      <c r="OS26" s="152">
        <f>MAX(0,11-SUMPRODUCT($NV26:$OA26,$I$6:$N$6)+MIN(10,$OB26*3+$OC26*5,SUMPRODUCT($NV26:$OA26,$I$6:$N$6)))</f>
        <v/>
      </c>
      <c r="OT26" s="152">
        <f>MAX(0,13-SUMPRODUCT($NV26:$OA26,$I$7:$N$7)+MIN(12,$OB26*3+$OC26*6,SUMPRODUCT($NV26:$OA26,$I$7:$N$7)))</f>
        <v/>
      </c>
      <c r="OU26" s="152">
        <f>MAX(0,16-SUMPRODUCT($NV26:$OA26,$I$8:$N$8)+MIN(14,$OB26*4+$OC26*7,SUMPRODUCT($NV26:$OA26,$I$8:$N$8)))</f>
        <v/>
      </c>
      <c r="OV26" s="152">
        <f>IF($NP26=2,3*$OO26&amp;" de vida temp.",IF($NP26=3,"sem dano",IF($OO26=0,IF($NP26=1,"sem cura","sem dano"),IF($NP26=1,"cura ","")&amp;$OO26&amp;"d8")))</f>
        <v/>
      </c>
      <c r="OW26" s="152">
        <f>IF($NP26=2,3*$OP26&amp;" de vida temp.",IF($NP26=3,"sem dano",IF($OP26=0,IF($NP26=1,"sem cura","sem dano"),IF($NP26=1,"cura ","")&amp;$OP26&amp;"d8")))</f>
        <v/>
      </c>
      <c r="OX26" s="152">
        <f>IF($NP26=2,3*$OQ26&amp;" de vida temp.",IF($NP26=3,"sem dano",IF($OQ26=0,IF($NP26=1,"sem cura","sem dano"),IF($NP26=1,"cura ","")&amp;$OQ26&amp;"d8")))</f>
        <v/>
      </c>
      <c r="OY26" s="152">
        <f>IF($NP26=2,3*$OR26&amp;" de vida temp.",IF($NP26=3,"sem dano",IF($OR26=0,IF($NP26=1,"sem cura","sem dano"),IF($NP26=1,"cura ","")&amp;$OR26&amp;"d8")))</f>
        <v/>
      </c>
      <c r="OZ26" s="152">
        <f>IF($NP26=2,3*$OS26&amp;" de vida temp.",IF($NP26=3,"sem dano",IF($OS26=0,IF($NP26=1,"sem cura","sem dano"),IF($NP26=1,"cura ","")&amp;$OS26&amp;"d8")))</f>
        <v/>
      </c>
      <c r="PA26" s="152">
        <f>IF($NP26=2,3*$OT26&amp;" de vida temp.",IF($NP26=3,"sem dano",IF($OT26=0,IF($NP26=1,"sem cura","sem dano"),IF($NP26=1,"cura ","")&amp;$OT26&amp;"d8")))</f>
        <v/>
      </c>
      <c r="PB26" s="152">
        <f>IF($NP26=2,3*$OU26&amp;" de vida temp.",IF($NP26=3,"sem dano",IF($OU26=0,IF($NP26=1,"sem cura","sem dano"),IF($NP26=1,"cura ","")&amp;$OU26&amp;"d8")))</f>
        <v/>
      </c>
      <c r="PC26" s="152">
        <f>IF($MN26=0,"",TEXTJOIN(" · ",TRUE,IF($MA26&gt;$MO26,"Este lugar abre no nível "&amp;$MA26,""),IF($MC26&gt;$MP26,"Classe "&amp;$MC26&amp;": o nível "&amp;$MO26&amp;" libera até a "&amp;$MP26,""),IF($NH26=1,"A Forma "&amp;$ME26&amp;" pede "&amp;INDEX($W$2:$W$11,$MT26)&amp;" aberta",""),IF(AND($MC26=0,$MT26&gt;0,IF($MT26=0,0,INDEX($AF$2:$AF$11,$MT26))=0),$ME26&amp;" não existe na Classe 0",""),IF($NI26=1,"Família Fechada: "&amp;$MH26,""),IF($NJ26=1,"Família Fechada: "&amp;$MI26,""),IF($NK26=1,"Família Fechada: "&amp;$MJ26,""),IF($NL26=1,"Família Fechada: "&amp;$MK26,""),IF(AND($MC26&gt;0,$OD26&gt;INDEX($O$2:$O$8,MAX(1,$MC26))),$OD26&amp;" Melhorias: a Classe "&amp;$MC26&amp;" aceita "&amp;INDEX($O$2:$O$8,MAX(1,$MC26)),""),IF(AND($MC26=0,$OD26&gt;1),"A básica aceita uma Melhoria",""),IF(AND($MC26=0,COUNTIF($MY26:$NB26,"&gt;1")&gt;0),"A básica só aceita Melhoria Leve",""),IF(AND($MC26&gt;0,$OE26&gt;2),$OE26&amp;" Restrições"&amp;IF($NO26=1,", contando a que a Forma "&amp;$ME26&amp;" já traz","")&amp;": o limite é 2",""),IF(AND($MC26=0,COUNTIF($ML26:$MM26,"?*")&gt;1),"A básica aceita uma Restrição Leve",""),IF(AND($MC26=0,COUNTIF($NR26:$NS26,2)&gt;0),"A básica só aceita Restrição Leve",""),IF(AND($MC26&gt;0,$OL26&lt;0),"Orçamento estourado: faltam "&amp;(-$OL26)&amp;IF($OL26&lt;-1," pontos"," ponto"),""),IF(IFERROR(VLOOKUP($ML26,$BB$2:$BF$24,4,FALSE),0)+IFERROR(VLOOKUP($MM26,$BB$2:$BF$24,4,FALSE),0)&gt;1,$NT26&amp;" e "&amp;$NU26&amp;" são as duas de frequência",""),IF(AND((COUNTIF($MH26:$MK26,"Rápido")+COUNTIF($NT26:$NU26,"Rápido"))&gt;0,(COUNTIF($MH26:$MK26,"Atrasar")+COUNTIF($NT26:$NU26,"Atrasar"))&gt;0),"Rápido não entra com Atrasar",""),IF(AND((COUNTIF($MH26:$MK26,"Reação")+COUNTIF($NT26:$NU26,"Reação"))&gt;0,(COUNTIF($MH26:$MK26,"Rápido")+COUNTIF($NT26:$NU26,"Rápido"))&gt;0),"Reação não entra com Rápido",""),IF(AND((COUNTIF($MH26:$MK26,"Reação")+COUNTIF($NT26:$NU26,"Reação"))&gt;0,(COUNTIF($MH26:$MK26,"Armado")+COUNTIF($NT26:$NU26,"Armado"))&gt;0),"Reação não entra com Armado",""),IF(AND((COUNTIF($MH26:$MK26,"Reação")+COUNTIF($NT26:$NU26,"Reação"))&gt;0,(COUNTIF($MH26:$MK26,"Atrasar")+COUNTIF($NT26:$NU26,"Atrasar"))&gt;0),"Reação não entra com Atrasar",""),IF(AND((COUNTIF($MH26:$MK26,"Reação")+COUNTIF($NT26:$NU26,"Reação"))&gt;0,(COUNTIF($MH26:$MK26,"Parado")+COUNTIF($NT26:$NU26,"Parado"))&gt;0),"Reação não entra com Parado",""),IF(AND((COUNTIF($MH26:$MK26,"Atrasar")+COUNTIF($NT26:$NU26,"Atrasar"))&gt;0,(COUNTIF($MH26:$MK26,"Parado")+COUNTIF($NT26:$NU26,"Parado"))&gt;0),"Atrasar não entra com Parado",""),IF(AND((COUNTIF($MH26:$MK26,"Armado")+COUNTIF($NT26:$NU26,"Armado"))&gt;0,(COUNTIF($MH26:$MK26,"Carregar")+COUNTIF($NT26:$NU26,"Carregar"))&gt;0),"Armado não entra com Carregar",""),IF(AND(COUNTIF($NT26:$NU26,"Corpo a Corpo")&gt;0,$NO26=0,OR($ME26="Cone",$ME26="Linha")),"Corpo a Corpo não entra em "&amp;$ME26,""),IF(AND(COUNTIF($NT26:$NU26,"Corpo a Corpo")&gt;0,$NO26=1),"A Forma "&amp;$ME26&amp;" já traz o Corpo a Corpo",""),IF(AND(COUNTIF($NT26:$NU26,"Tudo ou Nada")&gt;0,$NQ26=0),"Tudo ou Nada só entra em habilidade de Teste de Resistência",""),IF(AND(COUNTIF($MH26:$MK26,"Inescapável")&gt;0,OR($OD26&gt;1,$OE26&gt;0)),"Inescapável não aceita outra peça",""),IF(AND($MC26&gt;0,$OM26*IF(COUNTIF($MH26:$MK26,"Remate")&gt;0,1.25,1)+$ON26&gt;4*$MC26),($OM26*IF(COUNTIF($MH26:$MK26,"Remate")&gt;0,1.25,1)+$ON26)&amp;" dados somando repetições"&amp;IF(COUNTIF($MH26:$MK26,"Remate")&gt;0," e o Remate","")&amp;": o teto da Classe "&amp;$MC26&amp;" é "&amp;4*$MC26,"")))</f>
        <v/>
      </c>
      <c r="PD26" s="152">
        <f>IF($PC26="",0,(LEN($PC26)-LEN(SUBSTITUTE($PC26," · ","")))/3+1)</f>
        <v/>
      </c>
      <c r="PE26" s="152">
        <f>IF($MN26=0,"",TEXTJOIN(" · ",TRUE,IF($OG26&gt;2*$MC26,"A devolução parou no teto de "&amp;2*$MC26,""),IF($OJ26&gt;0,"Devolução perdida: "&amp;$OJ26&amp;IF($OJ26&gt;1," pontos"," ponto")&amp;" sem peça para pagar",""),IF(AND($NM26&gt;0,AND($MC26&gt;0,$NP26=0),$OM26=0),"Controle sem dano: uma rodada a mais e CD +2",""),IF(AND($NM26&gt;0,AND($MC26&gt;0,$NP26=0),$OM26&gt;0,$OM26&lt;=$MC26),"Controle com saldo até a Classe: uma rodada a mais",""),IF(AND($MC26&gt;0,$NN26&lt;&gt;""),"Efeito de "&amp;$NN26&amp;" pela Classe "&amp;MAX(1,$MC26-1),"")))</f>
        <v/>
      </c>
      <c r="PF26" s="152">
        <f>IF($PE26="",0,(LEN($PE26)-LEN(SUBSTITUTE($PE26," · ","")))/3+1)</f>
        <v/>
      </c>
      <c r="PG26" s="152">
        <f>IF($MN26=0,IF($OD26+COUNTIF($ML26:$MM26,"?*")&gt;0,"Dê um nome",""),IF($PD26&gt;0,"⚠ "&amp;$PD26&amp;IF($PD26&gt;1," erros"," erro"),IF($PF26&gt;0,"! "&amp;$PF26&amp;IF($PF26&gt;1," avisos"," aviso"),"Na regra")))</f>
        <v/>
      </c>
      <c r="PH26" s="152">
        <f>IF($MN26=0,"",IF($PD26+$PF26=0,"Dentro das regras que a ficha confere",$PC26&amp;IF(AND($PD26&gt;0,$PF26&gt;0)," · ","")&amp;$PE26))</f>
        <v/>
      </c>
      <c r="PI26" s="152">
        <f>IF($MA26&gt;$MO26,$MB26&amp;" · ABRE NO NÍVEL "&amp;$MA26,$MB26)</f>
        <v/>
      </c>
      <c r="PJ26" s="152">
        <f>IF($MN26=0,"",IF($MC26=0,"Sem PE",3*$MC26&amp;" PE"))</f>
        <v/>
      </c>
      <c r="PK26" s="152">
        <f>IF($MN26=0,"",IF($MC26=0,"A atuação básica dela",IF(COUNTIF($NT26:$NU26,"Atrasar")&gt;0,"Sua Ação Completa",IF(COUNTIF($MH26:$MK26,"Rápido")&gt;0,"Sua Bônus",IF(COUNTIF($MH26:$MK26,"Reação")&gt;0,"Sua Reação","Sua Padrão")))&amp;" + a básica dela"&amp;IF(COUNTIF($MH26:$MK26,"Reação")&gt;0," e a coletiva","")&amp;IF(COUNTIF($NT26:$NU26,"Carregar")&gt;0," · em dois turnos","")))</f>
        <v/>
      </c>
      <c r="PL26" s="152">
        <f>IF($MG26&lt;&gt;"",$MG26,IF($MT26=0,"",INDEX($AA$2:$AA$11,$MT26)))</f>
        <v/>
      </c>
      <c r="PM26" s="152">
        <f>IF(OR($MN26=0,$MT26=0),"",IF(COUNTIF($MH26:$MK26,"Inescapável")&gt;0,"Automático",IF($PL26="Ataque",IF($MR26="","Ataque","Ataque "&amp;IF(($MR26+2*IF(COUNTIF($MH26:$MK26,"Precisão")&gt;0,1,0))&gt;=0,"+","−")&amp;ABS(($MR26+2*IF(COUNTIF($MH26:$MK26,"Precisão")&gt;0,1,0)))),IF(LEFT($PL26,2)="TR",$PL26&amp;IF($MS26="",""," · CD "&amp;$MS26)&amp;IF(COUNTIF($MH26:$MK26,"Certeiro")&gt;0," · metade",""),"Sem rolagem"))))</f>
        <v/>
      </c>
      <c r="PN26" s="152">
        <f>IF(OR($MN26=0,$MT26=0),"",IF($MC26=0,IF(OR($NP26&gt;=1,$OM26=0),"Sem dano",$OM26&amp;"d6"&amp;IF($MF26="",""," "&amp;$MF26)),IF(OR($NP26&gt;=1,$OM26=0),UPPER(LEFT(INDEX($OV26:$PB26,1,MAX(1,$MC26)),1))&amp;MID(INDEX($OV26:$PB26,1,MAX(1,$MC26)),2,99),UPPER(LEFT(INDEX($OV26:$PB26,1,MAX(1,$MC26)),1))&amp;MID(INDEX($OV26:$PB26,1,MAX(1,$MC26)),2,99)&amp;IF($MF26="",""," "&amp;$MF26)&amp;IF($ON26&gt;0," · +"&amp;$ON26&amp;"d8",""))))</f>
        <v/>
      </c>
      <c r="PO26" s="152">
        <f>COUNTIF($MH26:$MK26,"Longe")+3*COUNTIF($MH26:$MK26,"Muito Longe")</f>
        <v/>
      </c>
      <c r="PP26" s="152">
        <f>COUNTIF($MH26:$MK26,"Maior")+3*COUNTIF($MH26:$MK26,"Muito Maior")</f>
        <v/>
      </c>
      <c r="PQ26" s="152">
        <f>IF($MT26=0,0,CHOOSE(1+INDEX($AC$2:$AC$11,$MT26),0,$PO26,$PP26,$PO26+$PP26))</f>
        <v/>
      </c>
      <c r="PR26" s="152">
        <f>IF($MT26=0,0,CHOOSE(1+INDEX($AD$2:$AD$11,$MT26),0,$PO26,$PP26,$PO26+$PP26))</f>
        <v/>
      </c>
      <c r="PS26" s="152">
        <f>IF(OR($MN26=0,$MT26=0),"",INDEX($AI$2:$AN$41,($MT26-1)*4+IF($MC26=0,1,IF($MC26&lt;=5,2,IF($MC26=6,3,4))),1+MIN(5,$PQ26))&amp;INDEX($AO$2:$AT$41,($MT26-1)*4+IF($MC26=0,1,IF($MC26&lt;=5,2,IF($MC26=6,3,4))),1+MIN(5,$PR26))&amp;IF(INDEX($AE$2:$AE$11,$MT26)=1,IF(COUNTIF($MH26:$MK26,"Mais Um")&gt;0," · +"&amp;COUNTIF($MH26:$MK26,"Mais Um")&amp;IF(COUNTIF($MH26:$MK26,"Mais Um")&gt;1," alvos"," alvo"),"")&amp;IF(COUNTIF($MH26:$MK26,"Rajada")&gt;0,IF($MC26=0," · 1 tiro"," · "&amp;(MAX(1,$MC26-1)+1)&amp;" tiros"),""),""))</f>
        <v/>
      </c>
      <c r="PT26" s="152">
        <f>IF($MN26=0,"",IF($MC26=0,$MQ26&amp;"d6"&amp;IF($OD26&gt;0," − 1 = "&amp;$OM26&amp;"d6"," da básica do nível "&amp;$MO26),$OK26&amp;" − "&amp;$OF26&amp;" + "&amp;$OI26&amp;" = "&amp;$OL26&amp;" · teto "&amp;4*$MC26&amp;"d8"&amp;IF($NO26=1," · a Forma devolve "&amp;$MC26,"")&amp;IF($OJ26&gt;0," · perde "&amp;$OJ26,"")))</f>
        <v/>
      </c>
      <c r="PU26" s="152">
        <f>IF($MN26=0,"",IF($MC26=0,"A básica não amplia: os dados dela sobem com o nível",IF($MC26&gt;=$MP26,"Já está na maior Classe que o nível liberou",TEXTJOIN(" · ",TRUE,IF(AND(2&gt;$MC26,2&lt;=$MP26),"2 → "&amp;$OW26&amp;", 6 PE",""),IF(AND(3&gt;$MC26,3&lt;=$MP26),"3 → "&amp;$OX26&amp;", 9 PE",""),IF(AND(4&gt;$MC26,4&lt;=$MP26),"4 → "&amp;$OY26&amp;", 12 PE",""),IF(AND(5&gt;$MC26,5&lt;=$MP26),"5 → "&amp;$OZ26&amp;", 15 PE",""),IF(AND(6&gt;$MC26,6&lt;=$MP26),"6 → "&amp;$PA26&amp;", 18 PE",""),IF(AND(7&gt;$MC26,7&lt;=$MP26),"7 → "&amp;$PB26&amp;", 21 PE","")))))</f>
        <v/>
      </c>
      <c r="PV26" s="152">
        <f>IF(OR($MN26=0,$MY26=0),"",IF($MC26=0,"−1 dado","−"&amp;INDEX($I$2:$N$8,MAX(1,$MC26),MAX(1,$ND26))&amp;" · "&amp;CHOOSE(MAX(1,$ND26),"Leve","Média","Pesada","Leve · Livre","Média · Livre","Pesada · Livre")))</f>
        <v/>
      </c>
      <c r="PW26" s="152">
        <f>IF(OR($MN26=0,$MZ26=0),"",IF($MC26=0,"−1 dado","−"&amp;INDEX($I$2:$N$8,MAX(1,$MC26),MAX(1,$NE26))&amp;" · "&amp;CHOOSE(MAX(1,$NE26),"Leve","Média","Pesada","Leve · Livre","Média · Livre","Pesada · Livre")))</f>
        <v/>
      </c>
      <c r="PX26" s="152">
        <f>IF(OR($MN26=0,$NA26=0),"",IF($MC26=0,"−1 dado","−"&amp;INDEX($I$2:$N$8,MAX(1,$MC26),MAX(1,$NF26))&amp;" · "&amp;CHOOSE(MAX(1,$NF26),"Leve","Média","Pesada","Leve · Livre","Média · Livre","Pesada · Livre")))</f>
        <v/>
      </c>
      <c r="PY26" s="152">
        <f>IF(OR($MN26=0,$NB26=0),"",IF($MC26=0,"−1 dado","−"&amp;INDEX($I$2:$N$8,MAX(1,$MC26),MAX(1,$NG26))&amp;" · "&amp;CHOOSE(MAX(1,$NG26),"Leve","Média","Pesada","Leve · Livre","Média · Livre","Pesada · Livre")))</f>
        <v/>
      </c>
      <c r="PZ26" s="152">
        <f>IF(OR($MN26=0,$ML26=""),"",IF($MC26=0,"não devolve","+"&amp;IF($NR26=1,CEILING($MC26/2,1),$MC26)))</f>
        <v/>
      </c>
      <c r="QA26" s="152">
        <f>IF(OR($MN26=0,$MM26=""),"",IF($MC26=0,"não devolve","+"&amp;IF($NS26=1,CEILING($MC26/2,1),$MC26)))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JD27" s="152">
        <f>IF(OR($AW27="",COUNTIF($ED$2:$EH$2,$AW27)&gt;0),$AV27,"")</f>
        <v/>
      </c>
      <c r="JE27" s="152">
        <f>IF(AND($AX27=1,OR($AW27="",COUNTIF($ED$2:$EH$2,$AW27)&gt;0)),$AV27,"")</f>
        <v/>
      </c>
      <c r="JJ27" s="152">
        <f>IF(OR($AW27="",COUNTIF($ED$3:$EH$3,$AW27)&gt;0),$AV27,"")</f>
        <v/>
      </c>
      <c r="JK27" s="152">
        <f>IF(AND($AX27=1,OR($AW27="",COUNTIF($ED$3:$EH$3,$AW27)&gt;0)),$AV27,"")</f>
        <v/>
      </c>
      <c r="JP27" s="152">
        <f>IF(OR($AW27="",COUNTIF($ED$4:$EH$4,$AW27)&gt;0),$AV27,"")</f>
        <v/>
      </c>
      <c r="JQ27" s="152">
        <f>IF(AND($AX27=1,OR($AW27="",COUNTIF($ED$4:$EH$4,$AW27)&gt;0)),$AV27,"")</f>
        <v/>
      </c>
      <c r="JV27" s="152">
        <f>IF(OR($AW27="",COUNTIF($ED$5:$EH$5,$AW27)&gt;0),$AV27,"")</f>
        <v/>
      </c>
      <c r="JW27" s="152">
        <f>IF(AND($AX27=1,OR($AW27="",COUNTIF($ED$5:$EH$5,$AW27)&gt;0)),$AV27,"")</f>
        <v/>
      </c>
      <c r="KB27" s="152">
        <f>IF(OR($AW27="",COUNTIF($ED$6:$EH$6,$AW27)&gt;0),$AV27,"")</f>
        <v/>
      </c>
      <c r="KC27" s="152">
        <f>IF(AND($AX27=1,OR($AW27="",COUNTIF($ED$6:$EH$6,$AW27)&gt;0)),$AV27,"")</f>
        <v/>
      </c>
      <c r="KH27" s="152">
        <f>IF(OR($AW27="",COUNTIF($ED$7:$EH$7,$AW27)&gt;0),$AV27,"")</f>
        <v/>
      </c>
      <c r="KI27" s="152">
        <f>IF(AND($AX27=1,OR($AW27="",COUNTIF($ED$7:$EH$7,$AW27)&gt;0)),$AV27,"")</f>
        <v/>
      </c>
      <c r="KN27" s="152">
        <f>IF(OR($AW27="",COUNTIF($ED$8:$EH$8,$AW27)&gt;0),$AV27,"")</f>
        <v/>
      </c>
      <c r="KO27" s="152">
        <f>IF(AND($AX27=1,OR($AW27="",COUNTIF($ED$8:$EH$8,$AW27)&gt;0)),$AV27,"")</f>
        <v/>
      </c>
      <c r="KT27" s="152">
        <f>IF(OR($AW27="",COUNTIF($ED$9:$EH$9,$AW27)&gt;0),$AV27,"")</f>
        <v/>
      </c>
      <c r="KU27" s="152">
        <f>IF(AND($AX27=1,OR($AW27="",COUNTIF($ED$9:$EH$9,$AW27)&gt;0)),$AV27,"")</f>
        <v/>
      </c>
      <c r="KZ27" s="152">
        <f>IF(OR($AW27="",COUNTIF($ED$10:$EH$10,$AW27)&gt;0),$AV27,"")</f>
        <v/>
      </c>
      <c r="LA27" s="152">
        <f>IF(AND($AX27=1,OR($AW27="",COUNTIF($ED$10:$EH$10,$AW27)&gt;0)),$AV27,"")</f>
        <v/>
      </c>
      <c r="LF27" s="152">
        <f>IF(OR($AW27="",COUNTIF($ED$11:$EH$11,$AW27)&gt;0),$AV27,"")</f>
        <v/>
      </c>
      <c r="LG27" s="152">
        <f>IF(AND($AX27=1,OR($AW27="",COUNTIF($ED$11:$EH$11,$AW27)&gt;0)),$AV27,"")</f>
        <v/>
      </c>
      <c r="LL27" s="152">
        <f>IF(OR($AW27="",COUNTIF($ED$12:$EH$12,$AW27)&gt;0),$AV27,"")</f>
        <v/>
      </c>
      <c r="LM27" s="152">
        <f>IF(AND($AX27=1,OR($AW27="",COUNTIF($ED$12:$EH$12,$AW27)&gt;0)),$AV27,"")</f>
        <v/>
      </c>
      <c r="LR27" s="152">
        <f>IF(OR($AW27="",COUNTIF($ED$13:$EH$13,$AW27)&gt;0),$AV27,"")</f>
        <v/>
      </c>
      <c r="LS27" s="152">
        <f>IF(AND($AX27=1,OR($AW27="",COUNTIF($ED$13:$EH$13,$AW27)&gt;0)),$AV27,"")</f>
        <v/>
      </c>
      <c r="LX27" s="150" t="inlineStr">
        <is>
          <t>Ficha 2 · Escolha da trilha 3</t>
        </is>
      </c>
      <c r="LY27" s="152" t="n">
        <v>2</v>
      </c>
      <c r="LZ27" s="152" t="n">
        <v>2</v>
      </c>
      <c r="MA27" s="152" t="n">
        <v>0</v>
      </c>
      <c r="MB27" s="150" t="inlineStr">
        <is>
          <t>ESCOLHA DA TRILHA 3</t>
        </is>
      </c>
      <c r="MC27" s="152">
        <f>MAX(0,MIN(7,N('INVOCAÇÕES'!$U$358)))</f>
        <v/>
      </c>
      <c r="MD27" s="152">
        <f>'INVOCAÇÕES'!$V$358&amp;""</f>
        <v/>
      </c>
      <c r="ME27" s="152">
        <f>'INVOCAÇÕES'!$U$363&amp;""</f>
        <v/>
      </c>
      <c r="MF27" s="152">
        <f>'INVOCAÇÕES'!$U$364&amp;""</f>
        <v/>
      </c>
      <c r="MG27" s="152">
        <f>'INVOCAÇÕES'!$W$364&amp;""</f>
        <v/>
      </c>
      <c r="MH27" s="152">
        <f>'INVOCAÇÕES'!$V$367&amp;""</f>
        <v/>
      </c>
      <c r="MI27" s="152">
        <f>'INVOCAÇÕES'!$V$368&amp;""</f>
        <v/>
      </c>
      <c r="MJ27" s="152">
        <f>'INVOCAÇÕES'!$V$369&amp;""</f>
        <v/>
      </c>
      <c r="MK27" s="152">
        <f>'INVOCAÇÕES'!$V$370&amp;""</f>
        <v/>
      </c>
      <c r="ML27" s="152">
        <f>'INVOCAÇÕES'!$V$371&amp;""</f>
        <v/>
      </c>
      <c r="MM27" s="152">
        <f>'INVOCAÇÕES'!$V$372&amp;""</f>
        <v/>
      </c>
      <c r="MN27" s="152">
        <f>IF($MD27&lt;&gt;"",1,0)</f>
        <v/>
      </c>
      <c r="MO27" s="152">
        <f>INDEX($FG$2:$FG$13,$LY27)</f>
        <v/>
      </c>
      <c r="MP27" s="152">
        <f>INDEX($FH$2:$FH$13,$LY27)</f>
        <v/>
      </c>
      <c r="MQ27" s="152">
        <f>INDEX($FI$2:$FI$13,$LY27)</f>
        <v/>
      </c>
      <c r="MR27" s="152">
        <f>INDEX($FT$2:$FT$13,$LY27)</f>
        <v/>
      </c>
      <c r="MS27" s="152">
        <f>INDEX($FU$2:$FU$13,$LY27)</f>
        <v/>
      </c>
      <c r="MT27" s="152">
        <f>IFERROR(MATCH($ME27,$V$2:$V$11,0),0)</f>
        <v/>
      </c>
      <c r="MU27" s="152">
        <f>IFERROR(VLOOKUP($MH27,$AV$2:$AZ$84,2,FALSE),"")</f>
        <v/>
      </c>
      <c r="MV27" s="152">
        <f>IFERROR(VLOOKUP($MI27,$AV$2:$AZ$84,2,FALSE),"")</f>
        <v/>
      </c>
      <c r="MW27" s="152">
        <f>IFERROR(VLOOKUP($MJ27,$AV$2:$AZ$84,2,FALSE),"")</f>
        <v/>
      </c>
      <c r="MX27" s="152">
        <f>IFERROR(VLOOKUP($MK27,$AV$2:$AZ$84,2,FALSE),"")</f>
        <v/>
      </c>
      <c r="MY27" s="152">
        <f>IFERROR(VLOOKUP($MH27,$AV$2:$AZ$84,3,FALSE),0)</f>
        <v/>
      </c>
      <c r="MZ27" s="152">
        <f>IFERROR(VLOOKUP($MI27,$AV$2:$AZ$84,3,FALSE),0)</f>
        <v/>
      </c>
      <c r="NA27" s="152">
        <f>IFERROR(VLOOKUP($MJ27,$AV$2:$AZ$84,3,FALSE),0)</f>
        <v/>
      </c>
      <c r="NB27" s="152">
        <f>IFERROR(VLOOKUP($MK27,$AV$2:$AZ$84,3,FALSE),0)</f>
        <v/>
      </c>
      <c r="NC27" s="152">
        <f>IF($MC27=0,0,IF($MT27=0,0,INDEX($X$2:$X$11,$MT27)))</f>
        <v/>
      </c>
      <c r="ND27" s="152">
        <f>IF(OR($MY27=0,$MC27=0),0,$MY27+3*IF(AND($MU27&lt;&gt;"",OR($MU27=INDEX($ED$2:$ED$13,$LY27),$MU27=INDEX($EE$2:$EE$13,$LY27))),1,0))</f>
        <v/>
      </c>
      <c r="NE27" s="152">
        <f>IF(OR($MZ27=0,$MC27=0),0,$MZ27+3*IF(AND($MV27&lt;&gt;"",OR($MV27=INDEX($ED$2:$ED$13,$LY27),$MV27=INDEX($EE$2:$EE$13,$LY27))),1,0))</f>
        <v/>
      </c>
      <c r="NF27" s="152">
        <f>IF(OR($NA27=0,$MC27=0),0,$NA27+3*IF(AND($MW27&lt;&gt;"",OR($MW27=INDEX($ED$2:$ED$13,$LY27),$MW27=INDEX($EE$2:$EE$13,$LY27))),1,0))</f>
        <v/>
      </c>
      <c r="NG27" s="152">
        <f>IF(OR($NB27=0,$MC27=0),0,$NB27+3*IF(AND($MX27&lt;&gt;"",OR($MX27=INDEX($ED$2:$ED$13,$LY27),$MX27=INDEX($EE$2:$EE$13,$LY27))),1,0))</f>
        <v/>
      </c>
      <c r="NH27" s="152">
        <f>IF($MT27=0,0,IF(INDEX($W$2:$W$11,$MT27)="",0,IF(COUNTIF(INDEX($ED$2:$EH$13,$LY27,0),INDEX($W$2:$W$11,$MT27))=0,1,0)))</f>
        <v/>
      </c>
      <c r="NI27" s="152">
        <f>IF(OR($MY27=0,$MU27=""),0,IF(COUNTIF(INDEX($ED$2:$EH$13,$LY27,0),$MU27)=0,1,0))</f>
        <v/>
      </c>
      <c r="NJ27" s="152">
        <f>IF(OR($MZ27=0,$MV27=""),0,IF(COUNTIF(INDEX($ED$2:$EH$13,$LY27,0),$MV27)=0,1,0))</f>
        <v/>
      </c>
      <c r="NK27" s="152">
        <f>IF(OR($NA27=0,$MW27=""),0,IF(COUNTIF(INDEX($ED$2:$EH$13,$LY27,0),$MW27)=0,1,0))</f>
        <v/>
      </c>
      <c r="NL27" s="152">
        <f>IF(OR($NB27=0,$MX27=""),0,IF(COUNTIF(INDEX($ED$2:$EH$13,$LY27,0),$MX27)=0,1,0))</f>
        <v/>
      </c>
      <c r="NM27" s="152">
        <f>IFERROR(VLOOKUP($MH27,$AV$2:$AZ$84,4,FALSE),0)+IFERROR(VLOOKUP($MI27,$AV$2:$AZ$84,4,FALSE),0)+IFERROR(VLOOKUP($MJ27,$AV$2:$AZ$84,4,FALSE),0)+IFERROR(VLOOKUP($MK27,$AV$2:$AZ$84,4,FALSE),0)</f>
        <v/>
      </c>
      <c r="NN27" s="152">
        <f>TEXTJOIN(", ",TRUE,IF(IFERROR(VLOOKUP($MH27,$AV$2:$AZ$84,5,FALSE),0)=1,$MH27,""),IF(IFERROR(VLOOKUP($MI27,$AV$2:$AZ$84,5,FALSE),0)=1,$MI27,""),IF(IFERROR(VLOOKUP($MJ27,$AV$2:$AZ$84,5,FALSE),0)=1,$MJ27,""),IF(IFERROR(VLOOKUP($MK27,$AV$2:$AZ$84,5,FALSE),0)=1,$MK27,""))</f>
        <v/>
      </c>
      <c r="NO27" s="152">
        <f>IF($MT27=0,0,INDEX($Y$2:$Y$11,$MT27))</f>
        <v/>
      </c>
      <c r="NP27" s="152">
        <f>IF($MT27=0,0,INDEX($Z$2:$Z$11,$MT27))</f>
        <v/>
      </c>
      <c r="NQ27" s="152">
        <f>IF($MT27=0,0,INDEX($AB$2:$AB$11,$MT27))</f>
        <v/>
      </c>
      <c r="NR27" s="152">
        <f>IFERROR(VLOOKUP($ML27,$BB$2:$BF$24,3,FALSE),0)</f>
        <v/>
      </c>
      <c r="NS27" s="152">
        <f>IFERROR(VLOOKUP($MM27,$BB$2:$BF$24,3,FALSE),0)</f>
        <v/>
      </c>
      <c r="NT27" s="152">
        <f>IFERROR(VLOOKUP($ML27,$BB$2:$BF$24,2,FALSE),"")</f>
        <v/>
      </c>
      <c r="NU27" s="152">
        <f>IFERROR(VLOOKUP($MM27,$BB$2:$BF$24,2,FALSE),"")</f>
        <v/>
      </c>
      <c r="NV27" s="152">
        <f>COUNTIF($NC27:$NG27,1)</f>
        <v/>
      </c>
      <c r="NW27" s="152">
        <f>COUNTIF($NC27:$NG27,2)</f>
        <v/>
      </c>
      <c r="NX27" s="152">
        <f>COUNTIF($NC27:$NG27,3)</f>
        <v/>
      </c>
      <c r="NY27" s="152">
        <f>COUNTIF($NC27:$NG27,4)</f>
        <v/>
      </c>
      <c r="NZ27" s="152">
        <f>COUNTIF($NC27:$NG27,5)</f>
        <v/>
      </c>
      <c r="OA27" s="152">
        <f>COUNTIF($NC27:$NG27,6)</f>
        <v/>
      </c>
      <c r="OB27" s="152">
        <f>COUNTIF($NR27:$NS27,1)</f>
        <v/>
      </c>
      <c r="OC27" s="152">
        <f>COUNTIF($NR27:$NS27,2)+$NO27</f>
        <v/>
      </c>
      <c r="OD27" s="152">
        <f>COUNTIF($MH27:$MK27,"?*")</f>
        <v/>
      </c>
      <c r="OE27" s="152">
        <f>COUNTIF($ML27:$MM27,"?*")+$NO27</f>
        <v/>
      </c>
      <c r="OF27" s="152">
        <f>IF($MC27=0,0,SUMPRODUCT($NV27:$OA27,INDEX($I$2:$N$8,MAX(1,$MC27),0)))</f>
        <v/>
      </c>
      <c r="OG27" s="152">
        <f>IF($MC27=0,0,$OB27*CEILING($MC27/2,1)+$OC27*$MC27)</f>
        <v/>
      </c>
      <c r="OH27" s="152">
        <f>MIN(2*$MC27,$OG27)</f>
        <v/>
      </c>
      <c r="OI27" s="152">
        <f>MIN($OH27,$OF27)</f>
        <v/>
      </c>
      <c r="OJ27" s="152">
        <f>$OH27-$OI27</f>
        <v/>
      </c>
      <c r="OK27" s="152">
        <f>IF($MC27=0,0,INDEX($P$2:$P$8,MAX(1,$MC27)))</f>
        <v/>
      </c>
      <c r="OL27" s="152">
        <f>$OK27-$OF27+$OI27</f>
        <v/>
      </c>
      <c r="OM27" s="152">
        <f>IF($MC27=0,MAX(0,$MQ27-IF($OD27&gt;0,1,0)),MAX(0,$OL27))</f>
        <v/>
      </c>
      <c r="ON27" s="152">
        <f>IF($MC27=0,0,(IF(COUNTIF($MH27:$MK27,"Salto")&gt;0,1,0)+IF(COUNTIF($MH27:$MK27,"Queima")&gt;0,1,0)+IF(COUNTIF($MH27:$MK27,"Estilhaço")&gt;0,1,0))*FLOOR($OM27/2,1))</f>
        <v/>
      </c>
      <c r="OO27" s="152">
        <f>MAX(0,2-SUMPRODUCT($NV27:$OA27,$I$2:$N$2)+MIN(2,$OB27*1+$OC27*1,SUMPRODUCT($NV27:$OA27,$I$2:$N$2)))</f>
        <v/>
      </c>
      <c r="OP27" s="152">
        <f>MAX(0,4-SUMPRODUCT($NV27:$OA27,$I$3:$N$3)+MIN(4,$OB27*1+$OC27*2,SUMPRODUCT($NV27:$OA27,$I$3:$N$3)))</f>
        <v/>
      </c>
      <c r="OQ27" s="152">
        <f>MAX(0,6-SUMPRODUCT($NV27:$OA27,$I$4:$N$4)+MIN(6,$OB27*2+$OC27*3,SUMPRODUCT($NV27:$OA27,$I$4:$N$4)))</f>
        <v/>
      </c>
      <c r="OR27" s="152">
        <f>MAX(0,9-SUMPRODUCT($NV27:$OA27,$I$5:$N$5)+MIN(8,$OB27*2+$OC27*4,SUMPRODUCT($NV27:$OA27,$I$5:$N$5)))</f>
        <v/>
      </c>
      <c r="OS27" s="152">
        <f>MAX(0,11-SUMPRODUCT($NV27:$OA27,$I$6:$N$6)+MIN(10,$OB27*3+$OC27*5,SUMPRODUCT($NV27:$OA27,$I$6:$N$6)))</f>
        <v/>
      </c>
      <c r="OT27" s="152">
        <f>MAX(0,13-SUMPRODUCT($NV27:$OA27,$I$7:$N$7)+MIN(12,$OB27*3+$OC27*6,SUMPRODUCT($NV27:$OA27,$I$7:$N$7)))</f>
        <v/>
      </c>
      <c r="OU27" s="152">
        <f>MAX(0,16-SUMPRODUCT($NV27:$OA27,$I$8:$N$8)+MIN(14,$OB27*4+$OC27*7,SUMPRODUCT($NV27:$OA27,$I$8:$N$8)))</f>
        <v/>
      </c>
      <c r="OV27" s="152">
        <f>IF($NP27=2,3*$OO27&amp;" de vida temp.",IF($NP27=3,"sem dano",IF($OO27=0,IF($NP27=1,"sem cura","sem dano"),IF($NP27=1,"cura ","")&amp;$OO27&amp;"d8")))</f>
        <v/>
      </c>
      <c r="OW27" s="152">
        <f>IF($NP27=2,3*$OP27&amp;" de vida temp.",IF($NP27=3,"sem dano",IF($OP27=0,IF($NP27=1,"sem cura","sem dano"),IF($NP27=1,"cura ","")&amp;$OP27&amp;"d8")))</f>
        <v/>
      </c>
      <c r="OX27" s="152">
        <f>IF($NP27=2,3*$OQ27&amp;" de vida temp.",IF($NP27=3,"sem dano",IF($OQ27=0,IF($NP27=1,"sem cura","sem dano"),IF($NP27=1,"cura ","")&amp;$OQ27&amp;"d8")))</f>
        <v/>
      </c>
      <c r="OY27" s="152">
        <f>IF($NP27=2,3*$OR27&amp;" de vida temp.",IF($NP27=3,"sem dano",IF($OR27=0,IF($NP27=1,"sem cura","sem dano"),IF($NP27=1,"cura ","")&amp;$OR27&amp;"d8")))</f>
        <v/>
      </c>
      <c r="OZ27" s="152">
        <f>IF($NP27=2,3*$OS27&amp;" de vida temp.",IF($NP27=3,"sem dano",IF($OS27=0,IF($NP27=1,"sem cura","sem dano"),IF($NP27=1,"cura ","")&amp;$OS27&amp;"d8")))</f>
        <v/>
      </c>
      <c r="PA27" s="152">
        <f>IF($NP27=2,3*$OT27&amp;" de vida temp.",IF($NP27=3,"sem dano",IF($OT27=0,IF($NP27=1,"sem cura","sem dano"),IF($NP27=1,"cura ","")&amp;$OT27&amp;"d8")))</f>
        <v/>
      </c>
      <c r="PB27" s="152">
        <f>IF($NP27=2,3*$OU27&amp;" de vida temp.",IF($NP27=3,"sem dano",IF($OU27=0,IF($NP27=1,"sem cura","sem dano"),IF($NP27=1,"cura ","")&amp;$OU27&amp;"d8")))</f>
        <v/>
      </c>
      <c r="PC27" s="152">
        <f>IF($MN27=0,"",TEXTJOIN(" · ",TRUE,IF($MA27&gt;$MO27,"Este lugar abre no nível "&amp;$MA27,""),IF($MC27&gt;$MP27,"Classe "&amp;$MC27&amp;": o nível "&amp;$MO27&amp;" libera até a "&amp;$MP27,""),IF($NH27=1,"A Forma "&amp;$ME27&amp;" pede "&amp;INDEX($W$2:$W$11,$MT27)&amp;" aberta",""),IF(AND($MC27=0,$MT27&gt;0,IF($MT27=0,0,INDEX($AF$2:$AF$11,$MT27))=0),$ME27&amp;" não existe na Classe 0",""),IF($NI27=1,"Família Fechada: "&amp;$MH27,""),IF($NJ27=1,"Família Fechada: "&amp;$MI27,""),IF($NK27=1,"Família Fechada: "&amp;$MJ27,""),IF($NL27=1,"Família Fechada: "&amp;$MK27,""),IF(AND($MC27&gt;0,$OD27&gt;INDEX($O$2:$O$8,MAX(1,$MC27))),$OD27&amp;" Melhorias: a Classe "&amp;$MC27&amp;" aceita "&amp;INDEX($O$2:$O$8,MAX(1,$MC27)),""),IF(AND($MC27=0,$OD27&gt;1),"A básica aceita uma Melhoria",""),IF(AND($MC27=0,COUNTIF($MY27:$NB27,"&gt;1")&gt;0),"A básica só aceita Melhoria Leve",""),IF(AND($MC27&gt;0,$OE27&gt;2),$OE27&amp;" Restrições"&amp;IF($NO27=1,", contando a que a Forma "&amp;$ME27&amp;" já traz","")&amp;": o limite é 2",""),IF(AND($MC27=0,COUNTIF($ML27:$MM27,"?*")&gt;1),"A básica aceita uma Restrição Leve",""),IF(AND($MC27=0,COUNTIF($NR27:$NS27,2)&gt;0),"A básica só aceita Restrição Leve",""),IF(AND($MC27&gt;0,$OL27&lt;0),"Orçamento estourado: faltam "&amp;(-$OL27)&amp;IF($OL27&lt;-1," pontos"," ponto"),""),IF(IFERROR(VLOOKUP($ML27,$BB$2:$BF$24,4,FALSE),0)+IFERROR(VLOOKUP($MM27,$BB$2:$BF$24,4,FALSE),0)&gt;1,$NT27&amp;" e "&amp;$NU27&amp;" são as duas de frequência",""),IF(AND((COUNTIF($MH27:$MK27,"Rápido")+COUNTIF($NT27:$NU27,"Rápido"))&gt;0,(COUNTIF($MH27:$MK27,"Atrasar")+COUNTIF($NT27:$NU27,"Atrasar"))&gt;0),"Rápido não entra com Atrasar",""),IF(AND((COUNTIF($MH27:$MK27,"Reação")+COUNTIF($NT27:$NU27,"Reação"))&gt;0,(COUNTIF($MH27:$MK27,"Rápido")+COUNTIF($NT27:$NU27,"Rápido"))&gt;0),"Reação não entra com Rápido",""),IF(AND((COUNTIF($MH27:$MK27,"Reação")+COUNTIF($NT27:$NU27,"Reação"))&gt;0,(COUNTIF($MH27:$MK27,"Armado")+COUNTIF($NT27:$NU27,"Armado"))&gt;0),"Reação não entra com Armado",""),IF(AND((COUNTIF($MH27:$MK27,"Reação")+COUNTIF($NT27:$NU27,"Reação"))&gt;0,(COUNTIF($MH27:$MK27,"Atrasar")+COUNTIF($NT27:$NU27,"Atrasar"))&gt;0),"Reação não entra com Atrasar",""),IF(AND((COUNTIF($MH27:$MK27,"Reação")+COUNTIF($NT27:$NU27,"Reação"))&gt;0,(COUNTIF($MH27:$MK27,"Parado")+COUNTIF($NT27:$NU27,"Parado"))&gt;0),"Reação não entra com Parado",""),IF(AND((COUNTIF($MH27:$MK27,"Atrasar")+COUNTIF($NT27:$NU27,"Atrasar"))&gt;0,(COUNTIF($MH27:$MK27,"Parado")+COUNTIF($NT27:$NU27,"Parado"))&gt;0),"Atrasar não entra com Parado",""),IF(AND((COUNTIF($MH27:$MK27,"Armado")+COUNTIF($NT27:$NU27,"Armado"))&gt;0,(COUNTIF($MH27:$MK27,"Carregar")+COUNTIF($NT27:$NU27,"Carregar"))&gt;0),"Armado não entra com Carregar",""),IF(AND(COUNTIF($NT27:$NU27,"Corpo a Corpo")&gt;0,$NO27=0,OR($ME27="Cone",$ME27="Linha")),"Corpo a Corpo não entra em "&amp;$ME27,""),IF(AND(COUNTIF($NT27:$NU27,"Corpo a Corpo")&gt;0,$NO27=1),"A Forma "&amp;$ME27&amp;" já traz o Corpo a Corpo",""),IF(AND(COUNTIF($NT27:$NU27,"Tudo ou Nada")&gt;0,$NQ27=0),"Tudo ou Nada só entra em habilidade de Teste de Resistência",""),IF(AND(COUNTIF($MH27:$MK27,"Inescapável")&gt;0,OR($OD27&gt;1,$OE27&gt;0)),"Inescapável não aceita outra peça",""),IF(AND($MC27&gt;0,$OM27*IF(COUNTIF($MH27:$MK27,"Remate")&gt;0,1.25,1)+$ON27&gt;4*$MC27),($OM27*IF(COUNTIF($MH27:$MK27,"Remate")&gt;0,1.25,1)+$ON27)&amp;" dados somando repetições"&amp;IF(COUNTIF($MH27:$MK27,"Remate")&gt;0," e o Remate","")&amp;": o teto da Classe "&amp;$MC27&amp;" é "&amp;4*$MC27,"")))</f>
        <v/>
      </c>
      <c r="PD27" s="152">
        <f>IF($PC27="",0,(LEN($PC27)-LEN(SUBSTITUTE($PC27," · ","")))/3+1)</f>
        <v/>
      </c>
      <c r="PE27" s="152">
        <f>IF($MN27=0,"",TEXTJOIN(" · ",TRUE,IF($OG27&gt;2*$MC27,"A devolução parou no teto de "&amp;2*$MC27,""),IF($OJ27&gt;0,"Devolução perdida: "&amp;$OJ27&amp;IF($OJ27&gt;1," pontos"," ponto")&amp;" sem peça para pagar",""),IF(AND($NM27&gt;0,AND($MC27&gt;0,$NP27=0),$OM27=0),"Controle sem dano: uma rodada a mais e CD +2",""),IF(AND($NM27&gt;0,AND($MC27&gt;0,$NP27=0),$OM27&gt;0,$OM27&lt;=$MC27),"Controle com saldo até a Classe: uma rodada a mais",""),IF(AND($MC27&gt;0,$NN27&lt;&gt;""),"Efeito de "&amp;$NN27&amp;" pela Classe "&amp;MAX(1,$MC27-1),"")))</f>
        <v/>
      </c>
      <c r="PF27" s="152">
        <f>IF($PE27="",0,(LEN($PE27)-LEN(SUBSTITUTE($PE27," · ","")))/3+1)</f>
        <v/>
      </c>
      <c r="PG27" s="152">
        <f>IF($MN27=0,IF($OD27+COUNTIF($ML27:$MM27,"?*")&gt;0,"Dê um nome",""),IF($PD27&gt;0,"⚠ "&amp;$PD27&amp;IF($PD27&gt;1," erros"," erro"),IF($PF27&gt;0,"! "&amp;$PF27&amp;IF($PF27&gt;1," avisos"," aviso"),"Na regra")))</f>
        <v/>
      </c>
      <c r="PH27" s="152">
        <f>IF($MN27=0,"",IF($PD27+$PF27=0,"Dentro das regras que a ficha confere",$PC27&amp;IF(AND($PD27&gt;0,$PF27&gt;0)," · ","")&amp;$PE27))</f>
        <v/>
      </c>
      <c r="PI27" s="152">
        <f>IF($MA27&gt;$MO27,$MB27&amp;" · ABRE NO NÍVEL "&amp;$MA27,$MB27)</f>
        <v/>
      </c>
      <c r="PJ27" s="152">
        <f>IF($MN27=0,"",IF($MC27=0,"Sem PE",3*$MC27&amp;" PE"))</f>
        <v/>
      </c>
      <c r="PK27" s="152">
        <f>IF($MN27=0,"",IF($MC27=0,"A atuação básica dela",IF(COUNTIF($NT27:$NU27,"Atrasar")&gt;0,"Sua Ação Completa",IF(COUNTIF($MH27:$MK27,"Rápido")&gt;0,"Sua Bônus",IF(COUNTIF($MH27:$MK27,"Reação")&gt;0,"Sua Reação","Sua Padrão")))&amp;" + a básica dela"&amp;IF(COUNTIF($MH27:$MK27,"Reação")&gt;0," e a coletiva","")&amp;IF(COUNTIF($NT27:$NU27,"Carregar")&gt;0," · em dois turnos","")))</f>
        <v/>
      </c>
      <c r="PL27" s="152">
        <f>IF($MG27&lt;&gt;"",$MG27,IF($MT27=0,"",INDEX($AA$2:$AA$11,$MT27)))</f>
        <v/>
      </c>
      <c r="PM27" s="152">
        <f>IF(OR($MN27=0,$MT27=0),"",IF(COUNTIF($MH27:$MK27,"Inescapável")&gt;0,"Automático",IF($PL27="Ataque",IF($MR27="","Ataque","Ataque "&amp;IF(($MR27+2*IF(COUNTIF($MH27:$MK27,"Precisão")&gt;0,1,0))&gt;=0,"+","−")&amp;ABS(($MR27+2*IF(COUNTIF($MH27:$MK27,"Precisão")&gt;0,1,0)))),IF(LEFT($PL27,2)="TR",$PL27&amp;IF($MS27="",""," · CD "&amp;$MS27)&amp;IF(COUNTIF($MH27:$MK27,"Certeiro")&gt;0," · metade",""),"Sem rolagem"))))</f>
        <v/>
      </c>
      <c r="PN27" s="152">
        <f>IF(OR($MN27=0,$MT27=0),"",IF($MC27=0,IF(OR($NP27&gt;=1,$OM27=0),"Sem dano",$OM27&amp;"d6"&amp;IF($MF27="",""," "&amp;$MF27)),IF(OR($NP27&gt;=1,$OM27=0),UPPER(LEFT(INDEX($OV27:$PB27,1,MAX(1,$MC27)),1))&amp;MID(INDEX($OV27:$PB27,1,MAX(1,$MC27)),2,99),UPPER(LEFT(INDEX($OV27:$PB27,1,MAX(1,$MC27)),1))&amp;MID(INDEX($OV27:$PB27,1,MAX(1,$MC27)),2,99)&amp;IF($MF27="",""," "&amp;$MF27)&amp;IF($ON27&gt;0," · +"&amp;$ON27&amp;"d8",""))))</f>
        <v/>
      </c>
      <c r="PO27" s="152">
        <f>COUNTIF($MH27:$MK27,"Longe")+3*COUNTIF($MH27:$MK27,"Muito Longe")</f>
        <v/>
      </c>
      <c r="PP27" s="152">
        <f>COUNTIF($MH27:$MK27,"Maior")+3*COUNTIF($MH27:$MK27,"Muito Maior")</f>
        <v/>
      </c>
      <c r="PQ27" s="152">
        <f>IF($MT27=0,0,CHOOSE(1+INDEX($AC$2:$AC$11,$MT27),0,$PO27,$PP27,$PO27+$PP27))</f>
        <v/>
      </c>
      <c r="PR27" s="152">
        <f>IF($MT27=0,0,CHOOSE(1+INDEX($AD$2:$AD$11,$MT27),0,$PO27,$PP27,$PO27+$PP27))</f>
        <v/>
      </c>
      <c r="PS27" s="152">
        <f>IF(OR($MN27=0,$MT27=0),"",INDEX($AI$2:$AN$41,($MT27-1)*4+IF($MC27=0,1,IF($MC27&lt;=5,2,IF($MC27=6,3,4))),1+MIN(5,$PQ27))&amp;INDEX($AO$2:$AT$41,($MT27-1)*4+IF($MC27=0,1,IF($MC27&lt;=5,2,IF($MC27=6,3,4))),1+MIN(5,$PR27))&amp;IF(INDEX($AE$2:$AE$11,$MT27)=1,IF(COUNTIF($MH27:$MK27,"Mais Um")&gt;0," · +"&amp;COUNTIF($MH27:$MK27,"Mais Um")&amp;IF(COUNTIF($MH27:$MK27,"Mais Um")&gt;1," alvos"," alvo"),"")&amp;IF(COUNTIF($MH27:$MK27,"Rajada")&gt;0,IF($MC27=0," · 1 tiro"," · "&amp;(MAX(1,$MC27-1)+1)&amp;" tiros"),""),""))</f>
        <v/>
      </c>
      <c r="PT27" s="152">
        <f>IF($MN27=0,"",IF($MC27=0,$MQ27&amp;"d6"&amp;IF($OD27&gt;0," − 1 = "&amp;$OM27&amp;"d6"," da básica do nível "&amp;$MO27),$OK27&amp;" − "&amp;$OF27&amp;" + "&amp;$OI27&amp;" = "&amp;$OL27&amp;" · teto "&amp;4*$MC27&amp;"d8"&amp;IF($NO27=1," · a Forma devolve "&amp;$MC27,"")&amp;IF($OJ27&gt;0," · perde "&amp;$OJ27,"")))</f>
        <v/>
      </c>
      <c r="PU27" s="152">
        <f>IF($MN27=0,"",IF($MC27=0,"A básica não amplia: os dados dela sobem com o nível",IF($MC27&gt;=$MP27,"Já está na maior Classe que o nível liberou",TEXTJOIN(" · ",TRUE,IF(AND(2&gt;$MC27,2&lt;=$MP27),"2 → "&amp;$OW27&amp;", 6 PE",""),IF(AND(3&gt;$MC27,3&lt;=$MP27),"3 → "&amp;$OX27&amp;", 9 PE",""),IF(AND(4&gt;$MC27,4&lt;=$MP27),"4 → "&amp;$OY27&amp;", 12 PE",""),IF(AND(5&gt;$MC27,5&lt;=$MP27),"5 → "&amp;$OZ27&amp;", 15 PE",""),IF(AND(6&gt;$MC27,6&lt;=$MP27),"6 → "&amp;$PA27&amp;", 18 PE",""),IF(AND(7&gt;$MC27,7&lt;=$MP27),"7 → "&amp;$PB27&amp;", 21 PE","")))))</f>
        <v/>
      </c>
      <c r="PV27" s="152">
        <f>IF(OR($MN27=0,$MY27=0),"",IF($MC27=0,"−1 dado","−"&amp;INDEX($I$2:$N$8,MAX(1,$MC27),MAX(1,$ND27))&amp;" · "&amp;CHOOSE(MAX(1,$ND27),"Leve","Média","Pesada","Leve · Livre","Média · Livre","Pesada · Livre")))</f>
        <v/>
      </c>
      <c r="PW27" s="152">
        <f>IF(OR($MN27=0,$MZ27=0),"",IF($MC27=0,"−1 dado","−"&amp;INDEX($I$2:$N$8,MAX(1,$MC27),MAX(1,$NE27))&amp;" · "&amp;CHOOSE(MAX(1,$NE27),"Leve","Média","Pesada","Leve · Livre","Média · Livre","Pesada · Livre")))</f>
        <v/>
      </c>
      <c r="PX27" s="152">
        <f>IF(OR($MN27=0,$NA27=0),"",IF($MC27=0,"−1 dado","−"&amp;INDEX($I$2:$N$8,MAX(1,$MC27),MAX(1,$NF27))&amp;" · "&amp;CHOOSE(MAX(1,$NF27),"Leve","Média","Pesada","Leve · Livre","Média · Livre","Pesada · Livre")))</f>
        <v/>
      </c>
      <c r="PY27" s="152">
        <f>IF(OR($MN27=0,$NB27=0),"",IF($MC27=0,"−1 dado","−"&amp;INDEX($I$2:$N$8,MAX(1,$MC27),MAX(1,$NG27))&amp;" · "&amp;CHOOSE(MAX(1,$NG27),"Leve","Média","Pesada","Leve · Livre","Média · Livre","Pesada · Livre")))</f>
        <v/>
      </c>
      <c r="PZ27" s="152">
        <f>IF(OR($MN27=0,$ML27=""),"",IF($MC27=0,"não devolve","+"&amp;IF($NR27=1,CEILING($MC27/2,1),$MC27)))</f>
        <v/>
      </c>
      <c r="QA27" s="152">
        <f>IF(OR($MN27=0,$MM27=""),"",IF($MC27=0,"não devolve","+"&amp;IF($NS27=1,CEILING($MC27/2,1),$MC27)))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JD28" s="152">
        <f>IF(OR($AW28="",COUNTIF($ED$2:$EH$2,$AW28)&gt;0),$AV28,"")</f>
        <v/>
      </c>
      <c r="JE28" s="152">
        <f>IF(AND($AX28=1,OR($AW28="",COUNTIF($ED$2:$EH$2,$AW28)&gt;0)),$AV28,"")</f>
        <v/>
      </c>
      <c r="JJ28" s="152">
        <f>IF(OR($AW28="",COUNTIF($ED$3:$EH$3,$AW28)&gt;0),$AV28,"")</f>
        <v/>
      </c>
      <c r="JK28" s="152">
        <f>IF(AND($AX28=1,OR($AW28="",COUNTIF($ED$3:$EH$3,$AW28)&gt;0)),$AV28,"")</f>
        <v/>
      </c>
      <c r="JP28" s="152">
        <f>IF(OR($AW28="",COUNTIF($ED$4:$EH$4,$AW28)&gt;0),$AV28,"")</f>
        <v/>
      </c>
      <c r="JQ28" s="152">
        <f>IF(AND($AX28=1,OR($AW28="",COUNTIF($ED$4:$EH$4,$AW28)&gt;0)),$AV28,"")</f>
        <v/>
      </c>
      <c r="JV28" s="152">
        <f>IF(OR($AW28="",COUNTIF($ED$5:$EH$5,$AW28)&gt;0),$AV28,"")</f>
        <v/>
      </c>
      <c r="JW28" s="152">
        <f>IF(AND($AX28=1,OR($AW28="",COUNTIF($ED$5:$EH$5,$AW28)&gt;0)),$AV28,"")</f>
        <v/>
      </c>
      <c r="KB28" s="152">
        <f>IF(OR($AW28="",COUNTIF($ED$6:$EH$6,$AW28)&gt;0),$AV28,"")</f>
        <v/>
      </c>
      <c r="KC28" s="152">
        <f>IF(AND($AX28=1,OR($AW28="",COUNTIF($ED$6:$EH$6,$AW28)&gt;0)),$AV28,"")</f>
        <v/>
      </c>
      <c r="KH28" s="152">
        <f>IF(OR($AW28="",COUNTIF($ED$7:$EH$7,$AW28)&gt;0),$AV28,"")</f>
        <v/>
      </c>
      <c r="KI28" s="152">
        <f>IF(AND($AX28=1,OR($AW28="",COUNTIF($ED$7:$EH$7,$AW28)&gt;0)),$AV28,"")</f>
        <v/>
      </c>
      <c r="KN28" s="152">
        <f>IF(OR($AW28="",COUNTIF($ED$8:$EH$8,$AW28)&gt;0),$AV28,"")</f>
        <v/>
      </c>
      <c r="KO28" s="152">
        <f>IF(AND($AX28=1,OR($AW28="",COUNTIF($ED$8:$EH$8,$AW28)&gt;0)),$AV28,"")</f>
        <v/>
      </c>
      <c r="KT28" s="152">
        <f>IF(OR($AW28="",COUNTIF($ED$9:$EH$9,$AW28)&gt;0),$AV28,"")</f>
        <v/>
      </c>
      <c r="KU28" s="152">
        <f>IF(AND($AX28=1,OR($AW28="",COUNTIF($ED$9:$EH$9,$AW28)&gt;0)),$AV28,"")</f>
        <v/>
      </c>
      <c r="KZ28" s="152">
        <f>IF(OR($AW28="",COUNTIF($ED$10:$EH$10,$AW28)&gt;0),$AV28,"")</f>
        <v/>
      </c>
      <c r="LA28" s="152">
        <f>IF(AND($AX28=1,OR($AW28="",COUNTIF($ED$10:$EH$10,$AW28)&gt;0)),$AV28,"")</f>
        <v/>
      </c>
      <c r="LF28" s="152">
        <f>IF(OR($AW28="",COUNTIF($ED$11:$EH$11,$AW28)&gt;0),$AV28,"")</f>
        <v/>
      </c>
      <c r="LG28" s="152">
        <f>IF(AND($AX28=1,OR($AW28="",COUNTIF($ED$11:$EH$11,$AW28)&gt;0)),$AV28,"")</f>
        <v/>
      </c>
      <c r="LL28" s="152">
        <f>IF(OR($AW28="",COUNTIF($ED$12:$EH$12,$AW28)&gt;0),$AV28,"")</f>
        <v/>
      </c>
      <c r="LM28" s="152">
        <f>IF(AND($AX28=1,OR($AW28="",COUNTIF($ED$12:$EH$12,$AW28)&gt;0)),$AV28,"")</f>
        <v/>
      </c>
      <c r="LR28" s="152">
        <f>IF(OR($AW28="",COUNTIF($ED$13:$EH$13,$AW28)&gt;0),$AV28,"")</f>
        <v/>
      </c>
      <c r="LS28" s="152">
        <f>IF(AND($AX28=1,OR($AW28="",COUNTIF($ED$13:$EH$13,$AW28)&gt;0)),$AV28,"")</f>
        <v/>
      </c>
      <c r="LX28" s="150" t="inlineStr">
        <is>
          <t>Ficha 3 · Básica 1</t>
        </is>
      </c>
      <c r="LY28" s="152" t="n">
        <v>3</v>
      </c>
      <c r="LZ28" s="152" t="n">
        <v>0</v>
      </c>
      <c r="MA28" s="152" t="n">
        <v>1</v>
      </c>
      <c r="MB28" s="150" t="inlineStr">
        <is>
          <t>BÁSICA 1</t>
        </is>
      </c>
      <c r="MC28" s="152" t="n">
        <v>0</v>
      </c>
      <c r="MD28" s="152">
        <f>'INVOCAÇÕES'!$J$454&amp;""</f>
        <v/>
      </c>
      <c r="ME28" s="152">
        <f>'INVOCAÇÕES'!$I$459&amp;""</f>
        <v/>
      </c>
      <c r="MF28" s="152">
        <f>'INVOCAÇÕES'!$I$460&amp;""</f>
        <v/>
      </c>
      <c r="MG28" s="152">
        <f>'INVOCAÇÕES'!$K$460&amp;""</f>
        <v/>
      </c>
      <c r="MH28" s="152">
        <f>'INVOCAÇÕES'!$J$463&amp;""</f>
        <v/>
      </c>
      <c r="MI28" s="152">
        <f>'INVOCAÇÕES'!$J$464&amp;""</f>
        <v/>
      </c>
      <c r="MJ28" s="152">
        <f>'INVOCAÇÕES'!$J$465&amp;""</f>
        <v/>
      </c>
      <c r="MK28" s="152">
        <f>'INVOCAÇÕES'!$J$466&amp;""</f>
        <v/>
      </c>
      <c r="ML28" s="152">
        <f>'INVOCAÇÕES'!$J$467&amp;""</f>
        <v/>
      </c>
      <c r="MM28" s="152">
        <f>'INVOCAÇÕES'!$J$468&amp;""</f>
        <v/>
      </c>
      <c r="MN28" s="152">
        <f>IF($MD28&lt;&gt;"",1,0)</f>
        <v/>
      </c>
      <c r="MO28" s="152">
        <f>INDEX($FG$2:$FG$13,$LY28)</f>
        <v/>
      </c>
      <c r="MP28" s="152">
        <f>INDEX($FH$2:$FH$13,$LY28)</f>
        <v/>
      </c>
      <c r="MQ28" s="152">
        <f>INDEX($FI$2:$FI$13,$LY28)</f>
        <v/>
      </c>
      <c r="MR28" s="152">
        <f>INDEX($FT$2:$FT$13,$LY28)</f>
        <v/>
      </c>
      <c r="MS28" s="152">
        <f>INDEX($FU$2:$FU$13,$LY28)</f>
        <v/>
      </c>
      <c r="MT28" s="152">
        <f>IFERROR(MATCH($ME28,$V$2:$V$11,0),0)</f>
        <v/>
      </c>
      <c r="MU28" s="152">
        <f>IFERROR(VLOOKUP($MH28,$AV$2:$AZ$84,2,FALSE),"")</f>
        <v/>
      </c>
      <c r="MV28" s="152">
        <f>IFERROR(VLOOKUP($MI28,$AV$2:$AZ$84,2,FALSE),"")</f>
        <v/>
      </c>
      <c r="MW28" s="152">
        <f>IFERROR(VLOOKUP($MJ28,$AV$2:$AZ$84,2,FALSE),"")</f>
        <v/>
      </c>
      <c r="MX28" s="152">
        <f>IFERROR(VLOOKUP($MK28,$AV$2:$AZ$84,2,FALSE),"")</f>
        <v/>
      </c>
      <c r="MY28" s="152">
        <f>IFERROR(VLOOKUP($MH28,$AV$2:$AZ$84,3,FALSE),0)</f>
        <v/>
      </c>
      <c r="MZ28" s="152">
        <f>IFERROR(VLOOKUP($MI28,$AV$2:$AZ$84,3,FALSE),0)</f>
        <v/>
      </c>
      <c r="NA28" s="152">
        <f>IFERROR(VLOOKUP($MJ28,$AV$2:$AZ$84,3,FALSE),0)</f>
        <v/>
      </c>
      <c r="NB28" s="152">
        <f>IFERROR(VLOOKUP($MK28,$AV$2:$AZ$84,3,FALSE),0)</f>
        <v/>
      </c>
      <c r="NC28" s="152">
        <f>IF($MC28=0,0,IF($MT28=0,0,INDEX($X$2:$X$11,$MT28)))</f>
        <v/>
      </c>
      <c r="ND28" s="152">
        <f>IF(OR($MY28=0,$MC28=0),0,$MY28+3*IF(AND($MU28&lt;&gt;"",OR($MU28=INDEX($ED$2:$ED$13,$LY28),$MU28=INDEX($EE$2:$EE$13,$LY28))),1,0))</f>
        <v/>
      </c>
      <c r="NE28" s="152">
        <f>IF(OR($MZ28=0,$MC28=0),0,$MZ28+3*IF(AND($MV28&lt;&gt;"",OR($MV28=INDEX($ED$2:$ED$13,$LY28),$MV28=INDEX($EE$2:$EE$13,$LY28))),1,0))</f>
        <v/>
      </c>
      <c r="NF28" s="152">
        <f>IF(OR($NA28=0,$MC28=0),0,$NA28+3*IF(AND($MW28&lt;&gt;"",OR($MW28=INDEX($ED$2:$ED$13,$LY28),$MW28=INDEX($EE$2:$EE$13,$LY28))),1,0))</f>
        <v/>
      </c>
      <c r="NG28" s="152">
        <f>IF(OR($NB28=0,$MC28=0),0,$NB28+3*IF(AND($MX28&lt;&gt;"",OR($MX28=INDEX($ED$2:$ED$13,$LY28),$MX28=INDEX($EE$2:$EE$13,$LY28))),1,0))</f>
        <v/>
      </c>
      <c r="NH28" s="152">
        <f>IF($MT28=0,0,IF(INDEX($W$2:$W$11,$MT28)="",0,IF(COUNTIF(INDEX($ED$2:$EH$13,$LY28,0),INDEX($W$2:$W$11,$MT28))=0,1,0)))</f>
        <v/>
      </c>
      <c r="NI28" s="152">
        <f>IF(OR($MY28=0,$MU28=""),0,IF(COUNTIF(INDEX($ED$2:$EH$13,$LY28,0),$MU28)=0,1,0))</f>
        <v/>
      </c>
      <c r="NJ28" s="152">
        <f>IF(OR($MZ28=0,$MV28=""),0,IF(COUNTIF(INDEX($ED$2:$EH$13,$LY28,0),$MV28)=0,1,0))</f>
        <v/>
      </c>
      <c r="NK28" s="152">
        <f>IF(OR($NA28=0,$MW28=""),0,IF(COUNTIF(INDEX($ED$2:$EH$13,$LY28,0),$MW28)=0,1,0))</f>
        <v/>
      </c>
      <c r="NL28" s="152">
        <f>IF(OR($NB28=0,$MX28=""),0,IF(COUNTIF(INDEX($ED$2:$EH$13,$LY28,0),$MX28)=0,1,0))</f>
        <v/>
      </c>
      <c r="NM28" s="152">
        <f>IFERROR(VLOOKUP($MH28,$AV$2:$AZ$84,4,FALSE),0)+IFERROR(VLOOKUP($MI28,$AV$2:$AZ$84,4,FALSE),0)+IFERROR(VLOOKUP($MJ28,$AV$2:$AZ$84,4,FALSE),0)+IFERROR(VLOOKUP($MK28,$AV$2:$AZ$84,4,FALSE),0)</f>
        <v/>
      </c>
      <c r="NN28" s="152">
        <f>TEXTJOIN(", ",TRUE,IF(IFERROR(VLOOKUP($MH28,$AV$2:$AZ$84,5,FALSE),0)=1,$MH28,""),IF(IFERROR(VLOOKUP($MI28,$AV$2:$AZ$84,5,FALSE),0)=1,$MI28,""),IF(IFERROR(VLOOKUP($MJ28,$AV$2:$AZ$84,5,FALSE),0)=1,$MJ28,""),IF(IFERROR(VLOOKUP($MK28,$AV$2:$AZ$84,5,FALSE),0)=1,$MK28,""))</f>
        <v/>
      </c>
      <c r="NO28" s="152">
        <f>IF($MT28=0,0,INDEX($Y$2:$Y$11,$MT28))</f>
        <v/>
      </c>
      <c r="NP28" s="152">
        <f>IF($MT28=0,0,INDEX($Z$2:$Z$11,$MT28))</f>
        <v/>
      </c>
      <c r="NQ28" s="152">
        <f>IF($MT28=0,0,INDEX($AB$2:$AB$11,$MT28))</f>
        <v/>
      </c>
      <c r="NR28" s="152">
        <f>IFERROR(VLOOKUP($ML28,$BB$2:$BF$24,3,FALSE),0)</f>
        <v/>
      </c>
      <c r="NS28" s="152">
        <f>IFERROR(VLOOKUP($MM28,$BB$2:$BF$24,3,FALSE),0)</f>
        <v/>
      </c>
      <c r="NT28" s="152">
        <f>IFERROR(VLOOKUP($ML28,$BB$2:$BF$24,2,FALSE),"")</f>
        <v/>
      </c>
      <c r="NU28" s="152">
        <f>IFERROR(VLOOKUP($MM28,$BB$2:$BF$24,2,FALSE),"")</f>
        <v/>
      </c>
      <c r="NV28" s="152">
        <f>COUNTIF($NC28:$NG28,1)</f>
        <v/>
      </c>
      <c r="NW28" s="152">
        <f>COUNTIF($NC28:$NG28,2)</f>
        <v/>
      </c>
      <c r="NX28" s="152">
        <f>COUNTIF($NC28:$NG28,3)</f>
        <v/>
      </c>
      <c r="NY28" s="152">
        <f>COUNTIF($NC28:$NG28,4)</f>
        <v/>
      </c>
      <c r="NZ28" s="152">
        <f>COUNTIF($NC28:$NG28,5)</f>
        <v/>
      </c>
      <c r="OA28" s="152">
        <f>COUNTIF($NC28:$NG28,6)</f>
        <v/>
      </c>
      <c r="OB28" s="152">
        <f>COUNTIF($NR28:$NS28,1)</f>
        <v/>
      </c>
      <c r="OC28" s="152">
        <f>COUNTIF($NR28:$NS28,2)+$NO28</f>
        <v/>
      </c>
      <c r="OD28" s="152">
        <f>COUNTIF($MH28:$MK28,"?*")</f>
        <v/>
      </c>
      <c r="OE28" s="152">
        <f>COUNTIF($ML28:$MM28,"?*")+$NO28</f>
        <v/>
      </c>
      <c r="OF28" s="152">
        <f>IF($MC28=0,0,SUMPRODUCT($NV28:$OA28,INDEX($I$2:$N$8,MAX(1,$MC28),0)))</f>
        <v/>
      </c>
      <c r="OG28" s="152">
        <f>IF($MC28=0,0,$OB28*CEILING($MC28/2,1)+$OC28*$MC28)</f>
        <v/>
      </c>
      <c r="OH28" s="152">
        <f>MIN(2*$MC28,$OG28)</f>
        <v/>
      </c>
      <c r="OI28" s="152">
        <f>MIN($OH28,$OF28)</f>
        <v/>
      </c>
      <c r="OJ28" s="152">
        <f>$OH28-$OI28</f>
        <v/>
      </c>
      <c r="OK28" s="152">
        <f>IF($MC28=0,0,INDEX($P$2:$P$8,MAX(1,$MC28)))</f>
        <v/>
      </c>
      <c r="OL28" s="152">
        <f>$OK28-$OF28+$OI28</f>
        <v/>
      </c>
      <c r="OM28" s="152">
        <f>IF($MC28=0,MAX(0,$MQ28-IF($OD28&gt;0,1,0)),MAX(0,$OL28))</f>
        <v/>
      </c>
      <c r="ON28" s="152">
        <f>IF($MC28=0,0,(IF(COUNTIF($MH28:$MK28,"Salto")&gt;0,1,0)+IF(COUNTIF($MH28:$MK28,"Queima")&gt;0,1,0)+IF(COUNTIF($MH28:$MK28,"Estilhaço")&gt;0,1,0))*FLOOR($OM28/2,1))</f>
        <v/>
      </c>
      <c r="OO28" s="152">
        <f>MAX(0,2-SUMPRODUCT($NV28:$OA28,$I$2:$N$2)+MIN(2,$OB28*1+$OC28*1,SUMPRODUCT($NV28:$OA28,$I$2:$N$2)))</f>
        <v/>
      </c>
      <c r="OP28" s="152">
        <f>MAX(0,4-SUMPRODUCT($NV28:$OA28,$I$3:$N$3)+MIN(4,$OB28*1+$OC28*2,SUMPRODUCT($NV28:$OA28,$I$3:$N$3)))</f>
        <v/>
      </c>
      <c r="OQ28" s="152">
        <f>MAX(0,6-SUMPRODUCT($NV28:$OA28,$I$4:$N$4)+MIN(6,$OB28*2+$OC28*3,SUMPRODUCT($NV28:$OA28,$I$4:$N$4)))</f>
        <v/>
      </c>
      <c r="OR28" s="152">
        <f>MAX(0,9-SUMPRODUCT($NV28:$OA28,$I$5:$N$5)+MIN(8,$OB28*2+$OC28*4,SUMPRODUCT($NV28:$OA28,$I$5:$N$5)))</f>
        <v/>
      </c>
      <c r="OS28" s="152">
        <f>MAX(0,11-SUMPRODUCT($NV28:$OA28,$I$6:$N$6)+MIN(10,$OB28*3+$OC28*5,SUMPRODUCT($NV28:$OA28,$I$6:$N$6)))</f>
        <v/>
      </c>
      <c r="OT28" s="152">
        <f>MAX(0,13-SUMPRODUCT($NV28:$OA28,$I$7:$N$7)+MIN(12,$OB28*3+$OC28*6,SUMPRODUCT($NV28:$OA28,$I$7:$N$7)))</f>
        <v/>
      </c>
      <c r="OU28" s="152">
        <f>MAX(0,16-SUMPRODUCT($NV28:$OA28,$I$8:$N$8)+MIN(14,$OB28*4+$OC28*7,SUMPRODUCT($NV28:$OA28,$I$8:$N$8)))</f>
        <v/>
      </c>
      <c r="OV28" s="152">
        <f>IF($NP28=2,3*$OO28&amp;" de vida temp.",IF($NP28=3,"sem dano",IF($OO28=0,IF($NP28=1,"sem cura","sem dano"),IF($NP28=1,"cura ","")&amp;$OO28&amp;"d8")))</f>
        <v/>
      </c>
      <c r="OW28" s="152">
        <f>IF($NP28=2,3*$OP28&amp;" de vida temp.",IF($NP28=3,"sem dano",IF($OP28=0,IF($NP28=1,"sem cura","sem dano"),IF($NP28=1,"cura ","")&amp;$OP28&amp;"d8")))</f>
        <v/>
      </c>
      <c r="OX28" s="152">
        <f>IF($NP28=2,3*$OQ28&amp;" de vida temp.",IF($NP28=3,"sem dano",IF($OQ28=0,IF($NP28=1,"sem cura","sem dano"),IF($NP28=1,"cura ","")&amp;$OQ28&amp;"d8")))</f>
        <v/>
      </c>
      <c r="OY28" s="152">
        <f>IF($NP28=2,3*$OR28&amp;" de vida temp.",IF($NP28=3,"sem dano",IF($OR28=0,IF($NP28=1,"sem cura","sem dano"),IF($NP28=1,"cura ","")&amp;$OR28&amp;"d8")))</f>
        <v/>
      </c>
      <c r="OZ28" s="152">
        <f>IF($NP28=2,3*$OS28&amp;" de vida temp.",IF($NP28=3,"sem dano",IF($OS28=0,IF($NP28=1,"sem cura","sem dano"),IF($NP28=1,"cura ","")&amp;$OS28&amp;"d8")))</f>
        <v/>
      </c>
      <c r="PA28" s="152">
        <f>IF($NP28=2,3*$OT28&amp;" de vida temp.",IF($NP28=3,"sem dano",IF($OT28=0,IF($NP28=1,"sem cura","sem dano"),IF($NP28=1,"cura ","")&amp;$OT28&amp;"d8")))</f>
        <v/>
      </c>
      <c r="PB28" s="152">
        <f>IF($NP28=2,3*$OU28&amp;" de vida temp.",IF($NP28=3,"sem dano",IF($OU28=0,IF($NP28=1,"sem cura","sem dano"),IF($NP28=1,"cura ","")&amp;$OU28&amp;"d8")))</f>
        <v/>
      </c>
      <c r="PC28" s="152">
        <f>IF($MN28=0,"",TEXTJOIN(" · ",TRUE,IF($MA28&gt;$MO28,"Este lugar abre no nível "&amp;$MA28,""),IF($MC28&gt;$MP28,"Classe "&amp;$MC28&amp;": o nível "&amp;$MO28&amp;" libera até a "&amp;$MP28,""),IF($NH28=1,"A Forma "&amp;$ME28&amp;" pede "&amp;INDEX($W$2:$W$11,$MT28)&amp;" aberta",""),IF(AND($MC28=0,$MT28&gt;0,IF($MT28=0,0,INDEX($AF$2:$AF$11,$MT28))=0),$ME28&amp;" não existe na Classe 0",""),IF($NI28=1,"Família Fechada: "&amp;$MH28,""),IF($NJ28=1,"Família Fechada: "&amp;$MI28,""),IF($NK28=1,"Família Fechada: "&amp;$MJ28,""),IF($NL28=1,"Família Fechada: "&amp;$MK28,""),IF(AND($MC28&gt;0,$OD28&gt;INDEX($O$2:$O$8,MAX(1,$MC28))),$OD28&amp;" Melhorias: a Classe "&amp;$MC28&amp;" aceita "&amp;INDEX($O$2:$O$8,MAX(1,$MC28)),""),IF(AND($MC28=0,$OD28&gt;1),"A básica aceita uma Melhoria",""),IF(AND($MC28=0,COUNTIF($MY28:$NB28,"&gt;1")&gt;0),"A básica só aceita Melhoria Leve",""),IF(AND($MC28&gt;0,$OE28&gt;2),$OE28&amp;" Restrições"&amp;IF($NO28=1,", contando a que a Forma "&amp;$ME28&amp;" já traz","")&amp;": o limite é 2",""),IF(AND($MC28=0,COUNTIF($ML28:$MM28,"?*")&gt;1),"A básica aceita uma Restrição Leve",""),IF(AND($MC28=0,COUNTIF($NR28:$NS28,2)&gt;0),"A básica só aceita Restrição Leve",""),IF(AND($MC28&gt;0,$OL28&lt;0),"Orçamento estourado: faltam "&amp;(-$OL28)&amp;IF($OL28&lt;-1," pontos"," ponto"),""),IF(IFERROR(VLOOKUP($ML28,$BB$2:$BF$24,4,FALSE),0)+IFERROR(VLOOKUP($MM28,$BB$2:$BF$24,4,FALSE),0)&gt;1,$NT28&amp;" e "&amp;$NU28&amp;" são as duas de frequência",""),IF(AND((COUNTIF($MH28:$MK28,"Rápido")+COUNTIF($NT28:$NU28,"Rápido"))&gt;0,(COUNTIF($MH28:$MK28,"Atrasar")+COUNTIF($NT28:$NU28,"Atrasar"))&gt;0),"Rápido não entra com Atrasar",""),IF(AND((COUNTIF($MH28:$MK28,"Reação")+COUNTIF($NT28:$NU28,"Reação"))&gt;0,(COUNTIF($MH28:$MK28,"Rápido")+COUNTIF($NT28:$NU28,"Rápido"))&gt;0),"Reação não entra com Rápido",""),IF(AND((COUNTIF($MH28:$MK28,"Reação")+COUNTIF($NT28:$NU28,"Reação"))&gt;0,(COUNTIF($MH28:$MK28,"Armado")+COUNTIF($NT28:$NU28,"Armado"))&gt;0),"Reação não entra com Armado",""),IF(AND((COUNTIF($MH28:$MK28,"Reação")+COUNTIF($NT28:$NU28,"Reação"))&gt;0,(COUNTIF($MH28:$MK28,"Atrasar")+COUNTIF($NT28:$NU28,"Atrasar"))&gt;0),"Reação não entra com Atrasar",""),IF(AND((COUNTIF($MH28:$MK28,"Reação")+COUNTIF($NT28:$NU28,"Reação"))&gt;0,(COUNTIF($MH28:$MK28,"Parado")+COUNTIF($NT28:$NU28,"Parado"))&gt;0),"Reação não entra com Parado",""),IF(AND((COUNTIF($MH28:$MK28,"Atrasar")+COUNTIF($NT28:$NU28,"Atrasar"))&gt;0,(COUNTIF($MH28:$MK28,"Parado")+COUNTIF($NT28:$NU28,"Parado"))&gt;0),"Atrasar não entra com Parado",""),IF(AND((COUNTIF($MH28:$MK28,"Armado")+COUNTIF($NT28:$NU28,"Armado"))&gt;0,(COUNTIF($MH28:$MK28,"Carregar")+COUNTIF($NT28:$NU28,"Carregar"))&gt;0),"Armado não entra com Carregar",""),IF(AND(COUNTIF($NT28:$NU28,"Corpo a Corpo")&gt;0,$NO28=0,OR($ME28="Cone",$ME28="Linha")),"Corpo a Corpo não entra em "&amp;$ME28,""),IF(AND(COUNTIF($NT28:$NU28,"Corpo a Corpo")&gt;0,$NO28=1),"A Forma "&amp;$ME28&amp;" já traz o Corpo a Corpo",""),IF(AND(COUNTIF($NT28:$NU28,"Tudo ou Nada")&gt;0,$NQ28=0),"Tudo ou Nada só entra em habilidade de Teste de Resistência",""),IF(AND(COUNTIF($MH28:$MK28,"Inescapável")&gt;0,OR($OD28&gt;1,$OE28&gt;0)),"Inescapável não aceita outra peça",""),IF(AND($MC28&gt;0,$OM28*IF(COUNTIF($MH28:$MK28,"Remate")&gt;0,1.25,1)+$ON28&gt;4*$MC28),($OM28*IF(COUNTIF($MH28:$MK28,"Remate")&gt;0,1.25,1)+$ON28)&amp;" dados somando repetições"&amp;IF(COUNTIF($MH28:$MK28,"Remate")&gt;0," e o Remate","")&amp;": o teto da Classe "&amp;$MC28&amp;" é "&amp;4*$MC28,"")))</f>
        <v/>
      </c>
      <c r="PD28" s="152">
        <f>IF($PC28="",0,(LEN($PC28)-LEN(SUBSTITUTE($PC28," · ","")))/3+1)</f>
        <v/>
      </c>
      <c r="PE28" s="152">
        <f>IF($MN28=0,"",TEXTJOIN(" · ",TRUE,IF($OG28&gt;2*$MC28,"A devolução parou no teto de "&amp;2*$MC28,""),IF($OJ28&gt;0,"Devolução perdida: "&amp;$OJ28&amp;IF($OJ28&gt;1," pontos"," ponto")&amp;" sem peça para pagar",""),IF(AND($NM28&gt;0,AND($MC28&gt;0,$NP28=0),$OM28=0),"Controle sem dano: uma rodada a mais e CD +2",""),IF(AND($NM28&gt;0,AND($MC28&gt;0,$NP28=0),$OM28&gt;0,$OM28&lt;=$MC28),"Controle com saldo até a Classe: uma rodada a mais",""),IF(AND($MC28&gt;0,$NN28&lt;&gt;""),"Efeito de "&amp;$NN28&amp;" pela Classe "&amp;MAX(1,$MC28-1),"")))</f>
        <v/>
      </c>
      <c r="PF28" s="152">
        <f>IF($PE28="",0,(LEN($PE28)-LEN(SUBSTITUTE($PE28," · ","")))/3+1)</f>
        <v/>
      </c>
      <c r="PG28" s="152">
        <f>IF($MN28=0,IF($OD28+COUNTIF($ML28:$MM28,"?*")&gt;0,"Dê um nome",""),IF($PD28&gt;0,"⚠ "&amp;$PD28&amp;IF($PD28&gt;1," erros"," erro"),IF($PF28&gt;0,"! "&amp;$PF28&amp;IF($PF28&gt;1," avisos"," aviso"),"Na regra")))</f>
        <v/>
      </c>
      <c r="PH28" s="152">
        <f>IF($MN28=0,"",IF($PD28+$PF28=0,"Dentro das regras que a ficha confere",$PC28&amp;IF(AND($PD28&gt;0,$PF28&gt;0)," · ","")&amp;$PE28))</f>
        <v/>
      </c>
      <c r="PI28" s="152">
        <f>IF($MA28&gt;$MO28,$MB28&amp;" · ABRE NO NÍVEL "&amp;$MA28,$MB28)</f>
        <v/>
      </c>
      <c r="PJ28" s="152">
        <f>IF($MN28=0,"",IF($MC28=0,"Sem PE",3*$MC28&amp;" PE"))</f>
        <v/>
      </c>
      <c r="PK28" s="152">
        <f>IF($MN28=0,"",IF($MC28=0,"A atuação básica dela",IF(COUNTIF($NT28:$NU28,"Atrasar")&gt;0,"Sua Ação Completa",IF(COUNTIF($MH28:$MK28,"Rápido")&gt;0,"Sua Bônus",IF(COUNTIF($MH28:$MK28,"Reação")&gt;0,"Sua Reação","Sua Padrão")))&amp;" + a básica dela"&amp;IF(COUNTIF($MH28:$MK28,"Reação")&gt;0," e a coletiva","")&amp;IF(COUNTIF($NT28:$NU28,"Carregar")&gt;0," · em dois turnos","")))</f>
        <v/>
      </c>
      <c r="PL28" s="152">
        <f>IF($MG28&lt;&gt;"",$MG28,IF($MT28=0,"",INDEX($AA$2:$AA$11,$MT28)))</f>
        <v/>
      </c>
      <c r="PM28" s="152">
        <f>IF(OR($MN28=0,$MT28=0),"",IF(COUNTIF($MH28:$MK28,"Inescapável")&gt;0,"Automático",IF($PL28="Ataque",IF($MR28="","Ataque","Ataque "&amp;IF(($MR28+2*IF(COUNTIF($MH28:$MK28,"Precisão")&gt;0,1,0))&gt;=0,"+","−")&amp;ABS(($MR28+2*IF(COUNTIF($MH28:$MK28,"Precisão")&gt;0,1,0)))),IF(LEFT($PL28,2)="TR",$PL28&amp;IF($MS28="",""," · CD "&amp;$MS28)&amp;IF(COUNTIF($MH28:$MK28,"Certeiro")&gt;0," · metade",""),"Sem rolagem"))))</f>
        <v/>
      </c>
      <c r="PN28" s="152">
        <f>IF(OR($MN28=0,$MT28=0),"",IF($MC28=0,IF(OR($NP28&gt;=1,$OM28=0),"Sem dano",$OM28&amp;"d6"&amp;IF($MF28="",""," "&amp;$MF28)),IF(OR($NP28&gt;=1,$OM28=0),UPPER(LEFT(INDEX($OV28:$PB28,1,MAX(1,$MC28)),1))&amp;MID(INDEX($OV28:$PB28,1,MAX(1,$MC28)),2,99),UPPER(LEFT(INDEX($OV28:$PB28,1,MAX(1,$MC28)),1))&amp;MID(INDEX($OV28:$PB28,1,MAX(1,$MC28)),2,99)&amp;IF($MF28="",""," "&amp;$MF28)&amp;IF($ON28&gt;0," · +"&amp;$ON28&amp;"d8",""))))</f>
        <v/>
      </c>
      <c r="PO28" s="152">
        <f>COUNTIF($MH28:$MK28,"Longe")+3*COUNTIF($MH28:$MK28,"Muito Longe")</f>
        <v/>
      </c>
      <c r="PP28" s="152">
        <f>COUNTIF($MH28:$MK28,"Maior")+3*COUNTIF($MH28:$MK28,"Muito Maior")</f>
        <v/>
      </c>
      <c r="PQ28" s="152">
        <f>IF($MT28=0,0,CHOOSE(1+INDEX($AC$2:$AC$11,$MT28),0,$PO28,$PP28,$PO28+$PP28))</f>
        <v/>
      </c>
      <c r="PR28" s="152">
        <f>IF($MT28=0,0,CHOOSE(1+INDEX($AD$2:$AD$11,$MT28),0,$PO28,$PP28,$PO28+$PP28))</f>
        <v/>
      </c>
      <c r="PS28" s="152">
        <f>IF(OR($MN28=0,$MT28=0),"",INDEX($AI$2:$AN$41,($MT28-1)*4+IF($MC28=0,1,IF($MC28&lt;=5,2,IF($MC28=6,3,4))),1+MIN(5,$PQ28))&amp;INDEX($AO$2:$AT$41,($MT28-1)*4+IF($MC28=0,1,IF($MC28&lt;=5,2,IF($MC28=6,3,4))),1+MIN(5,$PR28))&amp;IF(INDEX($AE$2:$AE$11,$MT28)=1,IF(COUNTIF($MH28:$MK28,"Mais Um")&gt;0," · +"&amp;COUNTIF($MH28:$MK28,"Mais Um")&amp;IF(COUNTIF($MH28:$MK28,"Mais Um")&gt;1," alvos"," alvo"),"")&amp;IF(COUNTIF($MH28:$MK28,"Rajada")&gt;0,IF($MC28=0," · 1 tiro"," · "&amp;(MAX(1,$MC28-1)+1)&amp;" tiros"),""),""))</f>
        <v/>
      </c>
      <c r="PT28" s="152">
        <f>IF($MN28=0,"",IF($MC28=0,$MQ28&amp;"d6"&amp;IF($OD28&gt;0," − 1 = "&amp;$OM28&amp;"d6"," da básica do nível "&amp;$MO28),$OK28&amp;" − "&amp;$OF28&amp;" + "&amp;$OI28&amp;" = "&amp;$OL28&amp;" · teto "&amp;4*$MC28&amp;"d8"&amp;IF($NO28=1," · a Forma devolve "&amp;$MC28,"")&amp;IF($OJ28&gt;0," · perde "&amp;$OJ28,"")))</f>
        <v/>
      </c>
      <c r="PU28" s="152">
        <f>IF($MN28=0,"",IF($MC28=0,"A básica não amplia: os dados dela sobem com o nível",IF($MC28&gt;=$MP28,"Já está na maior Classe que o nível liberou",TEXTJOIN(" · ",TRUE,IF(AND(2&gt;$MC28,2&lt;=$MP28),"2 → "&amp;$OW28&amp;", 6 PE",""),IF(AND(3&gt;$MC28,3&lt;=$MP28),"3 → "&amp;$OX28&amp;", 9 PE",""),IF(AND(4&gt;$MC28,4&lt;=$MP28),"4 → "&amp;$OY28&amp;", 12 PE",""),IF(AND(5&gt;$MC28,5&lt;=$MP28),"5 → "&amp;$OZ28&amp;", 15 PE",""),IF(AND(6&gt;$MC28,6&lt;=$MP28),"6 → "&amp;$PA28&amp;", 18 PE",""),IF(AND(7&gt;$MC28,7&lt;=$MP28),"7 → "&amp;$PB28&amp;", 21 PE","")))))</f>
        <v/>
      </c>
      <c r="PV28" s="152">
        <f>IF(OR($MN28=0,$MY28=0),"",IF($MC28=0,"−1 dado","−"&amp;INDEX($I$2:$N$8,MAX(1,$MC28),MAX(1,$ND28))&amp;" · "&amp;CHOOSE(MAX(1,$ND28),"Leve","Média","Pesada","Leve · Livre","Média · Livre","Pesada · Livre")))</f>
        <v/>
      </c>
      <c r="PW28" s="152">
        <f>IF(OR($MN28=0,$MZ28=0),"",IF($MC28=0,"−1 dado","−"&amp;INDEX($I$2:$N$8,MAX(1,$MC28),MAX(1,$NE28))&amp;" · "&amp;CHOOSE(MAX(1,$NE28),"Leve","Média","Pesada","Leve · Livre","Média · Livre","Pesada · Livre")))</f>
        <v/>
      </c>
      <c r="PX28" s="152">
        <f>IF(OR($MN28=0,$NA28=0),"",IF($MC28=0,"−1 dado","−"&amp;INDEX($I$2:$N$8,MAX(1,$MC28),MAX(1,$NF28))&amp;" · "&amp;CHOOSE(MAX(1,$NF28),"Leve","Média","Pesada","Leve · Livre","Média · Livre","Pesada · Livre")))</f>
        <v/>
      </c>
      <c r="PY28" s="152">
        <f>IF(OR($MN28=0,$NB28=0),"",IF($MC28=0,"−1 dado","−"&amp;INDEX($I$2:$N$8,MAX(1,$MC28),MAX(1,$NG28))&amp;" · "&amp;CHOOSE(MAX(1,$NG28),"Leve","Média","Pesada","Leve · Livre","Média · Livre","Pesada · Livre")))</f>
        <v/>
      </c>
      <c r="PZ28" s="152">
        <f>IF(OR($MN28=0,$ML28=""),"",IF($MC28=0,"não devolve","+"&amp;IF($NR28=1,CEILING($MC28/2,1),$MC28)))</f>
        <v/>
      </c>
      <c r="QA28" s="152">
        <f>IF(OR($MN28=0,$MM28=""),"",IF($MC28=0,"não devolve","+"&amp;IF($NS28=1,CEILING($MC28/2,1),$MC28)))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JD29" s="152">
        <f>IF(OR($AW29="",COUNTIF($ED$2:$EH$2,$AW29)&gt;0),$AV29,"")</f>
        <v/>
      </c>
      <c r="JE29" s="152">
        <f>IF(AND($AX29=1,OR($AW29="",COUNTIF($ED$2:$EH$2,$AW29)&gt;0)),$AV29,"")</f>
        <v/>
      </c>
      <c r="JJ29" s="152">
        <f>IF(OR($AW29="",COUNTIF($ED$3:$EH$3,$AW29)&gt;0),$AV29,"")</f>
        <v/>
      </c>
      <c r="JK29" s="152">
        <f>IF(AND($AX29=1,OR($AW29="",COUNTIF($ED$3:$EH$3,$AW29)&gt;0)),$AV29,"")</f>
        <v/>
      </c>
      <c r="JP29" s="152">
        <f>IF(OR($AW29="",COUNTIF($ED$4:$EH$4,$AW29)&gt;0),$AV29,"")</f>
        <v/>
      </c>
      <c r="JQ29" s="152">
        <f>IF(AND($AX29=1,OR($AW29="",COUNTIF($ED$4:$EH$4,$AW29)&gt;0)),$AV29,"")</f>
        <v/>
      </c>
      <c r="JV29" s="152">
        <f>IF(OR($AW29="",COUNTIF($ED$5:$EH$5,$AW29)&gt;0),$AV29,"")</f>
        <v/>
      </c>
      <c r="JW29" s="152">
        <f>IF(AND($AX29=1,OR($AW29="",COUNTIF($ED$5:$EH$5,$AW29)&gt;0)),$AV29,"")</f>
        <v/>
      </c>
      <c r="KB29" s="152">
        <f>IF(OR($AW29="",COUNTIF($ED$6:$EH$6,$AW29)&gt;0),$AV29,"")</f>
        <v/>
      </c>
      <c r="KC29" s="152">
        <f>IF(AND($AX29=1,OR($AW29="",COUNTIF($ED$6:$EH$6,$AW29)&gt;0)),$AV29,"")</f>
        <v/>
      </c>
      <c r="KH29" s="152">
        <f>IF(OR($AW29="",COUNTIF($ED$7:$EH$7,$AW29)&gt;0),$AV29,"")</f>
        <v/>
      </c>
      <c r="KI29" s="152">
        <f>IF(AND($AX29=1,OR($AW29="",COUNTIF($ED$7:$EH$7,$AW29)&gt;0)),$AV29,"")</f>
        <v/>
      </c>
      <c r="KN29" s="152">
        <f>IF(OR($AW29="",COUNTIF($ED$8:$EH$8,$AW29)&gt;0),$AV29,"")</f>
        <v/>
      </c>
      <c r="KO29" s="152">
        <f>IF(AND($AX29=1,OR($AW29="",COUNTIF($ED$8:$EH$8,$AW29)&gt;0)),$AV29,"")</f>
        <v/>
      </c>
      <c r="KT29" s="152">
        <f>IF(OR($AW29="",COUNTIF($ED$9:$EH$9,$AW29)&gt;0),$AV29,"")</f>
        <v/>
      </c>
      <c r="KU29" s="152">
        <f>IF(AND($AX29=1,OR($AW29="",COUNTIF($ED$9:$EH$9,$AW29)&gt;0)),$AV29,"")</f>
        <v/>
      </c>
      <c r="KZ29" s="152">
        <f>IF(OR($AW29="",COUNTIF($ED$10:$EH$10,$AW29)&gt;0),$AV29,"")</f>
        <v/>
      </c>
      <c r="LA29" s="152">
        <f>IF(AND($AX29=1,OR($AW29="",COUNTIF($ED$10:$EH$10,$AW29)&gt;0)),$AV29,"")</f>
        <v/>
      </c>
      <c r="LF29" s="152">
        <f>IF(OR($AW29="",COUNTIF($ED$11:$EH$11,$AW29)&gt;0),$AV29,"")</f>
        <v/>
      </c>
      <c r="LG29" s="152">
        <f>IF(AND($AX29=1,OR($AW29="",COUNTIF($ED$11:$EH$11,$AW29)&gt;0)),$AV29,"")</f>
        <v/>
      </c>
      <c r="LL29" s="152">
        <f>IF(OR($AW29="",COUNTIF($ED$12:$EH$12,$AW29)&gt;0),$AV29,"")</f>
        <v/>
      </c>
      <c r="LM29" s="152">
        <f>IF(AND($AX29=1,OR($AW29="",COUNTIF($ED$12:$EH$12,$AW29)&gt;0)),$AV29,"")</f>
        <v/>
      </c>
      <c r="LR29" s="152">
        <f>IF(OR($AW29="",COUNTIF($ED$13:$EH$13,$AW29)&gt;0),$AV29,"")</f>
        <v/>
      </c>
      <c r="LS29" s="152">
        <f>IF(AND($AX29=1,OR($AW29="",COUNTIF($ED$13:$EH$13,$AW29)&gt;0)),$AV29,"")</f>
        <v/>
      </c>
      <c r="LX29" s="150" t="inlineStr">
        <is>
          <t>Ficha 3 · Especial 1</t>
        </is>
      </c>
      <c r="LY29" s="152" t="n">
        <v>3</v>
      </c>
      <c r="LZ29" s="152" t="n">
        <v>1</v>
      </c>
      <c r="MA29" s="152" t="n">
        <v>1</v>
      </c>
      <c r="MB29" s="150" t="inlineStr">
        <is>
          <t>ESPECIAL 1</t>
        </is>
      </c>
      <c r="MC29" s="152">
        <f>MAX(1,MIN(7,N('INVOCAÇÕES'!$O$454)))</f>
        <v/>
      </c>
      <c r="MD29" s="152">
        <f>'INVOCAÇÕES'!$P$454&amp;""</f>
        <v/>
      </c>
      <c r="ME29" s="152">
        <f>'INVOCAÇÕES'!$O$459&amp;""</f>
        <v/>
      </c>
      <c r="MF29" s="152">
        <f>'INVOCAÇÕES'!$O$460&amp;""</f>
        <v/>
      </c>
      <c r="MG29" s="152">
        <f>'INVOCAÇÕES'!$Q$460&amp;""</f>
        <v/>
      </c>
      <c r="MH29" s="152">
        <f>'INVOCAÇÕES'!$P$463&amp;""</f>
        <v/>
      </c>
      <c r="MI29" s="152">
        <f>'INVOCAÇÕES'!$P$464&amp;""</f>
        <v/>
      </c>
      <c r="MJ29" s="152">
        <f>'INVOCAÇÕES'!$P$465&amp;""</f>
        <v/>
      </c>
      <c r="MK29" s="152">
        <f>'INVOCAÇÕES'!$P$466&amp;""</f>
        <v/>
      </c>
      <c r="ML29" s="152">
        <f>'INVOCAÇÕES'!$P$467&amp;""</f>
        <v/>
      </c>
      <c r="MM29" s="152">
        <f>'INVOCAÇÕES'!$P$468&amp;""</f>
        <v/>
      </c>
      <c r="MN29" s="152">
        <f>IF($MD29&lt;&gt;"",1,0)</f>
        <v/>
      </c>
      <c r="MO29" s="152">
        <f>INDEX($FG$2:$FG$13,$LY29)</f>
        <v/>
      </c>
      <c r="MP29" s="152">
        <f>INDEX($FH$2:$FH$13,$LY29)</f>
        <v/>
      </c>
      <c r="MQ29" s="152">
        <f>INDEX($FI$2:$FI$13,$LY29)</f>
        <v/>
      </c>
      <c r="MR29" s="152">
        <f>INDEX($FT$2:$FT$13,$LY29)</f>
        <v/>
      </c>
      <c r="MS29" s="152">
        <f>INDEX($FU$2:$FU$13,$LY29)</f>
        <v/>
      </c>
      <c r="MT29" s="152">
        <f>IFERROR(MATCH($ME29,$V$2:$V$11,0),0)</f>
        <v/>
      </c>
      <c r="MU29" s="152">
        <f>IFERROR(VLOOKUP($MH29,$AV$2:$AZ$84,2,FALSE),"")</f>
        <v/>
      </c>
      <c r="MV29" s="152">
        <f>IFERROR(VLOOKUP($MI29,$AV$2:$AZ$84,2,FALSE),"")</f>
        <v/>
      </c>
      <c r="MW29" s="152">
        <f>IFERROR(VLOOKUP($MJ29,$AV$2:$AZ$84,2,FALSE),"")</f>
        <v/>
      </c>
      <c r="MX29" s="152">
        <f>IFERROR(VLOOKUP($MK29,$AV$2:$AZ$84,2,FALSE),"")</f>
        <v/>
      </c>
      <c r="MY29" s="152">
        <f>IFERROR(VLOOKUP($MH29,$AV$2:$AZ$84,3,FALSE),0)</f>
        <v/>
      </c>
      <c r="MZ29" s="152">
        <f>IFERROR(VLOOKUP($MI29,$AV$2:$AZ$84,3,FALSE),0)</f>
        <v/>
      </c>
      <c r="NA29" s="152">
        <f>IFERROR(VLOOKUP($MJ29,$AV$2:$AZ$84,3,FALSE),0)</f>
        <v/>
      </c>
      <c r="NB29" s="152">
        <f>IFERROR(VLOOKUP($MK29,$AV$2:$AZ$84,3,FALSE),0)</f>
        <v/>
      </c>
      <c r="NC29" s="152">
        <f>IF($MC29=0,0,IF($MT29=0,0,INDEX($X$2:$X$11,$MT29)))</f>
        <v/>
      </c>
      <c r="ND29" s="152">
        <f>IF(OR($MY29=0,$MC29=0),0,$MY29+3*IF(AND($MU29&lt;&gt;"",OR($MU29=INDEX($ED$2:$ED$13,$LY29),$MU29=INDEX($EE$2:$EE$13,$LY29))),1,0))</f>
        <v/>
      </c>
      <c r="NE29" s="152">
        <f>IF(OR($MZ29=0,$MC29=0),0,$MZ29+3*IF(AND($MV29&lt;&gt;"",OR($MV29=INDEX($ED$2:$ED$13,$LY29),$MV29=INDEX($EE$2:$EE$13,$LY29))),1,0))</f>
        <v/>
      </c>
      <c r="NF29" s="152">
        <f>IF(OR($NA29=0,$MC29=0),0,$NA29+3*IF(AND($MW29&lt;&gt;"",OR($MW29=INDEX($ED$2:$ED$13,$LY29),$MW29=INDEX($EE$2:$EE$13,$LY29))),1,0))</f>
        <v/>
      </c>
      <c r="NG29" s="152">
        <f>IF(OR($NB29=0,$MC29=0),0,$NB29+3*IF(AND($MX29&lt;&gt;"",OR($MX29=INDEX($ED$2:$ED$13,$LY29),$MX29=INDEX($EE$2:$EE$13,$LY29))),1,0))</f>
        <v/>
      </c>
      <c r="NH29" s="152">
        <f>IF($MT29=0,0,IF(INDEX($W$2:$W$11,$MT29)="",0,IF(COUNTIF(INDEX($ED$2:$EH$13,$LY29,0),INDEX($W$2:$W$11,$MT29))=0,1,0)))</f>
        <v/>
      </c>
      <c r="NI29" s="152">
        <f>IF(OR($MY29=0,$MU29=""),0,IF(COUNTIF(INDEX($ED$2:$EH$13,$LY29,0),$MU29)=0,1,0))</f>
        <v/>
      </c>
      <c r="NJ29" s="152">
        <f>IF(OR($MZ29=0,$MV29=""),0,IF(COUNTIF(INDEX($ED$2:$EH$13,$LY29,0),$MV29)=0,1,0))</f>
        <v/>
      </c>
      <c r="NK29" s="152">
        <f>IF(OR($NA29=0,$MW29=""),0,IF(COUNTIF(INDEX($ED$2:$EH$13,$LY29,0),$MW29)=0,1,0))</f>
        <v/>
      </c>
      <c r="NL29" s="152">
        <f>IF(OR($NB29=0,$MX29=""),0,IF(COUNTIF(INDEX($ED$2:$EH$13,$LY29,0),$MX29)=0,1,0))</f>
        <v/>
      </c>
      <c r="NM29" s="152">
        <f>IFERROR(VLOOKUP($MH29,$AV$2:$AZ$84,4,FALSE),0)+IFERROR(VLOOKUP($MI29,$AV$2:$AZ$84,4,FALSE),0)+IFERROR(VLOOKUP($MJ29,$AV$2:$AZ$84,4,FALSE),0)+IFERROR(VLOOKUP($MK29,$AV$2:$AZ$84,4,FALSE),0)</f>
        <v/>
      </c>
      <c r="NN29" s="152">
        <f>TEXTJOIN(", ",TRUE,IF(IFERROR(VLOOKUP($MH29,$AV$2:$AZ$84,5,FALSE),0)=1,$MH29,""),IF(IFERROR(VLOOKUP($MI29,$AV$2:$AZ$84,5,FALSE),0)=1,$MI29,""),IF(IFERROR(VLOOKUP($MJ29,$AV$2:$AZ$84,5,FALSE),0)=1,$MJ29,""),IF(IFERROR(VLOOKUP($MK29,$AV$2:$AZ$84,5,FALSE),0)=1,$MK29,""))</f>
        <v/>
      </c>
      <c r="NO29" s="152">
        <f>IF($MT29=0,0,INDEX($Y$2:$Y$11,$MT29))</f>
        <v/>
      </c>
      <c r="NP29" s="152">
        <f>IF($MT29=0,0,INDEX($Z$2:$Z$11,$MT29))</f>
        <v/>
      </c>
      <c r="NQ29" s="152">
        <f>IF($MT29=0,0,INDEX($AB$2:$AB$11,$MT29))</f>
        <v/>
      </c>
      <c r="NR29" s="152">
        <f>IFERROR(VLOOKUP($ML29,$BB$2:$BF$24,3,FALSE),0)</f>
        <v/>
      </c>
      <c r="NS29" s="152">
        <f>IFERROR(VLOOKUP($MM29,$BB$2:$BF$24,3,FALSE),0)</f>
        <v/>
      </c>
      <c r="NT29" s="152">
        <f>IFERROR(VLOOKUP($ML29,$BB$2:$BF$24,2,FALSE),"")</f>
        <v/>
      </c>
      <c r="NU29" s="152">
        <f>IFERROR(VLOOKUP($MM29,$BB$2:$BF$24,2,FALSE),"")</f>
        <v/>
      </c>
      <c r="NV29" s="152">
        <f>COUNTIF($NC29:$NG29,1)</f>
        <v/>
      </c>
      <c r="NW29" s="152">
        <f>COUNTIF($NC29:$NG29,2)</f>
        <v/>
      </c>
      <c r="NX29" s="152">
        <f>COUNTIF($NC29:$NG29,3)</f>
        <v/>
      </c>
      <c r="NY29" s="152">
        <f>COUNTIF($NC29:$NG29,4)</f>
        <v/>
      </c>
      <c r="NZ29" s="152">
        <f>COUNTIF($NC29:$NG29,5)</f>
        <v/>
      </c>
      <c r="OA29" s="152">
        <f>COUNTIF($NC29:$NG29,6)</f>
        <v/>
      </c>
      <c r="OB29" s="152">
        <f>COUNTIF($NR29:$NS29,1)</f>
        <v/>
      </c>
      <c r="OC29" s="152">
        <f>COUNTIF($NR29:$NS29,2)+$NO29</f>
        <v/>
      </c>
      <c r="OD29" s="152">
        <f>COUNTIF($MH29:$MK29,"?*")</f>
        <v/>
      </c>
      <c r="OE29" s="152">
        <f>COUNTIF($ML29:$MM29,"?*")+$NO29</f>
        <v/>
      </c>
      <c r="OF29" s="152">
        <f>IF($MC29=0,0,SUMPRODUCT($NV29:$OA29,INDEX($I$2:$N$8,MAX(1,$MC29),0)))</f>
        <v/>
      </c>
      <c r="OG29" s="152">
        <f>IF($MC29=0,0,$OB29*CEILING($MC29/2,1)+$OC29*$MC29)</f>
        <v/>
      </c>
      <c r="OH29" s="152">
        <f>MIN(2*$MC29,$OG29)</f>
        <v/>
      </c>
      <c r="OI29" s="152">
        <f>MIN($OH29,$OF29)</f>
        <v/>
      </c>
      <c r="OJ29" s="152">
        <f>$OH29-$OI29</f>
        <v/>
      </c>
      <c r="OK29" s="152">
        <f>IF($MC29=0,0,INDEX($P$2:$P$8,MAX(1,$MC29)))</f>
        <v/>
      </c>
      <c r="OL29" s="152">
        <f>$OK29-$OF29+$OI29</f>
        <v/>
      </c>
      <c r="OM29" s="152">
        <f>IF($MC29=0,MAX(0,$MQ29-IF($OD29&gt;0,1,0)),MAX(0,$OL29))</f>
        <v/>
      </c>
      <c r="ON29" s="152">
        <f>IF($MC29=0,0,(IF(COUNTIF($MH29:$MK29,"Salto")&gt;0,1,0)+IF(COUNTIF($MH29:$MK29,"Queima")&gt;0,1,0)+IF(COUNTIF($MH29:$MK29,"Estilhaço")&gt;0,1,0))*FLOOR($OM29/2,1))</f>
        <v/>
      </c>
      <c r="OO29" s="152">
        <f>MAX(0,2-SUMPRODUCT($NV29:$OA29,$I$2:$N$2)+MIN(2,$OB29*1+$OC29*1,SUMPRODUCT($NV29:$OA29,$I$2:$N$2)))</f>
        <v/>
      </c>
      <c r="OP29" s="152">
        <f>MAX(0,4-SUMPRODUCT($NV29:$OA29,$I$3:$N$3)+MIN(4,$OB29*1+$OC29*2,SUMPRODUCT($NV29:$OA29,$I$3:$N$3)))</f>
        <v/>
      </c>
      <c r="OQ29" s="152">
        <f>MAX(0,6-SUMPRODUCT($NV29:$OA29,$I$4:$N$4)+MIN(6,$OB29*2+$OC29*3,SUMPRODUCT($NV29:$OA29,$I$4:$N$4)))</f>
        <v/>
      </c>
      <c r="OR29" s="152">
        <f>MAX(0,9-SUMPRODUCT($NV29:$OA29,$I$5:$N$5)+MIN(8,$OB29*2+$OC29*4,SUMPRODUCT($NV29:$OA29,$I$5:$N$5)))</f>
        <v/>
      </c>
      <c r="OS29" s="152">
        <f>MAX(0,11-SUMPRODUCT($NV29:$OA29,$I$6:$N$6)+MIN(10,$OB29*3+$OC29*5,SUMPRODUCT($NV29:$OA29,$I$6:$N$6)))</f>
        <v/>
      </c>
      <c r="OT29" s="152">
        <f>MAX(0,13-SUMPRODUCT($NV29:$OA29,$I$7:$N$7)+MIN(12,$OB29*3+$OC29*6,SUMPRODUCT($NV29:$OA29,$I$7:$N$7)))</f>
        <v/>
      </c>
      <c r="OU29" s="152">
        <f>MAX(0,16-SUMPRODUCT($NV29:$OA29,$I$8:$N$8)+MIN(14,$OB29*4+$OC29*7,SUMPRODUCT($NV29:$OA29,$I$8:$N$8)))</f>
        <v/>
      </c>
      <c r="OV29" s="152">
        <f>IF($NP29=2,3*$OO29&amp;" de vida temp.",IF($NP29=3,"sem dano",IF($OO29=0,IF($NP29=1,"sem cura","sem dano"),IF($NP29=1,"cura ","")&amp;$OO29&amp;"d8")))</f>
        <v/>
      </c>
      <c r="OW29" s="152">
        <f>IF($NP29=2,3*$OP29&amp;" de vida temp.",IF($NP29=3,"sem dano",IF($OP29=0,IF($NP29=1,"sem cura","sem dano"),IF($NP29=1,"cura ","")&amp;$OP29&amp;"d8")))</f>
        <v/>
      </c>
      <c r="OX29" s="152">
        <f>IF($NP29=2,3*$OQ29&amp;" de vida temp.",IF($NP29=3,"sem dano",IF($OQ29=0,IF($NP29=1,"sem cura","sem dano"),IF($NP29=1,"cura ","")&amp;$OQ29&amp;"d8")))</f>
        <v/>
      </c>
      <c r="OY29" s="152">
        <f>IF($NP29=2,3*$OR29&amp;" de vida temp.",IF($NP29=3,"sem dano",IF($OR29=0,IF($NP29=1,"sem cura","sem dano"),IF($NP29=1,"cura ","")&amp;$OR29&amp;"d8")))</f>
        <v/>
      </c>
      <c r="OZ29" s="152">
        <f>IF($NP29=2,3*$OS29&amp;" de vida temp.",IF($NP29=3,"sem dano",IF($OS29=0,IF($NP29=1,"sem cura","sem dano"),IF($NP29=1,"cura ","")&amp;$OS29&amp;"d8")))</f>
        <v/>
      </c>
      <c r="PA29" s="152">
        <f>IF($NP29=2,3*$OT29&amp;" de vida temp.",IF($NP29=3,"sem dano",IF($OT29=0,IF($NP29=1,"sem cura","sem dano"),IF($NP29=1,"cura ","")&amp;$OT29&amp;"d8")))</f>
        <v/>
      </c>
      <c r="PB29" s="152">
        <f>IF($NP29=2,3*$OU29&amp;" de vida temp.",IF($NP29=3,"sem dano",IF($OU29=0,IF($NP29=1,"sem cura","sem dano"),IF($NP29=1,"cura ","")&amp;$OU29&amp;"d8")))</f>
        <v/>
      </c>
      <c r="PC29" s="152">
        <f>IF($MN29=0,"",TEXTJOIN(" · ",TRUE,IF($MA29&gt;$MO29,"Este lugar abre no nível "&amp;$MA29,""),IF($MC29&gt;$MP29,"Classe "&amp;$MC29&amp;": o nível "&amp;$MO29&amp;" libera até a "&amp;$MP29,""),IF($NH29=1,"A Forma "&amp;$ME29&amp;" pede "&amp;INDEX($W$2:$W$11,$MT29)&amp;" aberta",""),IF(AND($MC29=0,$MT29&gt;0,IF($MT29=0,0,INDEX($AF$2:$AF$11,$MT29))=0),$ME29&amp;" não existe na Classe 0",""),IF($NI29=1,"Família Fechada: "&amp;$MH29,""),IF($NJ29=1,"Família Fechada: "&amp;$MI29,""),IF($NK29=1,"Família Fechada: "&amp;$MJ29,""),IF($NL29=1,"Família Fechada: "&amp;$MK29,""),IF(AND($MC29&gt;0,$OD29&gt;INDEX($O$2:$O$8,MAX(1,$MC29))),$OD29&amp;" Melhorias: a Classe "&amp;$MC29&amp;" aceita "&amp;INDEX($O$2:$O$8,MAX(1,$MC29)),""),IF(AND($MC29=0,$OD29&gt;1),"A básica aceita uma Melhoria",""),IF(AND($MC29=0,COUNTIF($MY29:$NB29,"&gt;1")&gt;0),"A básica só aceita Melhoria Leve",""),IF(AND($MC29&gt;0,$OE29&gt;2),$OE29&amp;" Restrições"&amp;IF($NO29=1,", contando a que a Forma "&amp;$ME29&amp;" já traz","")&amp;": o limite é 2",""),IF(AND($MC29=0,COUNTIF($ML29:$MM29,"?*")&gt;1),"A básica aceita uma Restrição Leve",""),IF(AND($MC29=0,COUNTIF($NR29:$NS29,2)&gt;0),"A básica só aceita Restrição Leve",""),IF(AND($MC29&gt;0,$OL29&lt;0),"Orçamento estourado: faltam "&amp;(-$OL29)&amp;IF($OL29&lt;-1," pontos"," ponto"),""),IF(IFERROR(VLOOKUP($ML29,$BB$2:$BF$24,4,FALSE),0)+IFERROR(VLOOKUP($MM29,$BB$2:$BF$24,4,FALSE),0)&gt;1,$NT29&amp;" e "&amp;$NU29&amp;" são as duas de frequência",""),IF(AND((COUNTIF($MH29:$MK29,"Rápido")+COUNTIF($NT29:$NU29,"Rápido"))&gt;0,(COUNTIF($MH29:$MK29,"Atrasar")+COUNTIF($NT29:$NU29,"Atrasar"))&gt;0),"Rápido não entra com Atrasar",""),IF(AND((COUNTIF($MH29:$MK29,"Reação")+COUNTIF($NT29:$NU29,"Reação"))&gt;0,(COUNTIF($MH29:$MK29,"Rápido")+COUNTIF($NT29:$NU29,"Rápido"))&gt;0),"Reação não entra com Rápido",""),IF(AND((COUNTIF($MH29:$MK29,"Reação")+COUNTIF($NT29:$NU29,"Reação"))&gt;0,(COUNTIF($MH29:$MK29,"Armado")+COUNTIF($NT29:$NU29,"Armado"))&gt;0),"Reação não entra com Armado",""),IF(AND((COUNTIF($MH29:$MK29,"Reação")+COUNTIF($NT29:$NU29,"Reação"))&gt;0,(COUNTIF($MH29:$MK29,"Atrasar")+COUNTIF($NT29:$NU29,"Atrasar"))&gt;0),"Reação não entra com Atrasar",""),IF(AND((COUNTIF($MH29:$MK29,"Reação")+COUNTIF($NT29:$NU29,"Reação"))&gt;0,(COUNTIF($MH29:$MK29,"Parado")+COUNTIF($NT29:$NU29,"Parado"))&gt;0),"Reação não entra com Parado",""),IF(AND((COUNTIF($MH29:$MK29,"Atrasar")+COUNTIF($NT29:$NU29,"Atrasar"))&gt;0,(COUNTIF($MH29:$MK29,"Parado")+COUNTIF($NT29:$NU29,"Parado"))&gt;0),"Atrasar não entra com Parado",""),IF(AND((COUNTIF($MH29:$MK29,"Armado")+COUNTIF($NT29:$NU29,"Armado"))&gt;0,(COUNTIF($MH29:$MK29,"Carregar")+COUNTIF($NT29:$NU29,"Carregar"))&gt;0),"Armado não entra com Carregar",""),IF(AND(COUNTIF($NT29:$NU29,"Corpo a Corpo")&gt;0,$NO29=0,OR($ME29="Cone",$ME29="Linha")),"Corpo a Corpo não entra em "&amp;$ME29,""),IF(AND(COUNTIF($NT29:$NU29,"Corpo a Corpo")&gt;0,$NO29=1),"A Forma "&amp;$ME29&amp;" já traz o Corpo a Corpo",""),IF(AND(COUNTIF($NT29:$NU29,"Tudo ou Nada")&gt;0,$NQ29=0),"Tudo ou Nada só entra em habilidade de Teste de Resistência",""),IF(AND(COUNTIF($MH29:$MK29,"Inescapável")&gt;0,OR($OD29&gt;1,$OE29&gt;0)),"Inescapável não aceita outra peça",""),IF(AND($MC29&gt;0,$OM29*IF(COUNTIF($MH29:$MK29,"Remate")&gt;0,1.25,1)+$ON29&gt;4*$MC29),($OM29*IF(COUNTIF($MH29:$MK29,"Remate")&gt;0,1.25,1)+$ON29)&amp;" dados somando repetições"&amp;IF(COUNTIF($MH29:$MK29,"Remate")&gt;0," e o Remate","")&amp;": o teto da Classe "&amp;$MC29&amp;" é "&amp;4*$MC29,"")))</f>
        <v/>
      </c>
      <c r="PD29" s="152">
        <f>IF($PC29="",0,(LEN($PC29)-LEN(SUBSTITUTE($PC29," · ","")))/3+1)</f>
        <v/>
      </c>
      <c r="PE29" s="152">
        <f>IF($MN29=0,"",TEXTJOIN(" · ",TRUE,IF($OG29&gt;2*$MC29,"A devolução parou no teto de "&amp;2*$MC29,""),IF($OJ29&gt;0,"Devolução perdida: "&amp;$OJ29&amp;IF($OJ29&gt;1," pontos"," ponto")&amp;" sem peça para pagar",""),IF(AND($NM29&gt;0,AND($MC29&gt;0,$NP29=0),$OM29=0),"Controle sem dano: uma rodada a mais e CD +2",""),IF(AND($NM29&gt;0,AND($MC29&gt;0,$NP29=0),$OM29&gt;0,$OM29&lt;=$MC29),"Controle com saldo até a Classe: uma rodada a mais",""),IF(AND($MC29&gt;0,$NN29&lt;&gt;""),"Efeito de "&amp;$NN29&amp;" pela Classe "&amp;MAX(1,$MC29-1),"")))</f>
        <v/>
      </c>
      <c r="PF29" s="152">
        <f>IF($PE29="",0,(LEN($PE29)-LEN(SUBSTITUTE($PE29," · ","")))/3+1)</f>
        <v/>
      </c>
      <c r="PG29" s="152">
        <f>IF($MN29=0,IF($OD29+COUNTIF($ML29:$MM29,"?*")&gt;0,"Dê um nome",""),IF($PD29&gt;0,"⚠ "&amp;$PD29&amp;IF($PD29&gt;1," erros"," erro"),IF($PF29&gt;0,"! "&amp;$PF29&amp;IF($PF29&gt;1," avisos"," aviso"),"Na regra")))</f>
        <v/>
      </c>
      <c r="PH29" s="152">
        <f>IF($MN29=0,"",IF($PD29+$PF29=0,"Dentro das regras que a ficha confere",$PC29&amp;IF(AND($PD29&gt;0,$PF29&gt;0)," · ","")&amp;$PE29))</f>
        <v/>
      </c>
      <c r="PI29" s="152">
        <f>IF($MA29&gt;$MO29,$MB29&amp;" · ABRE NO NÍVEL "&amp;$MA29,$MB29)</f>
        <v/>
      </c>
      <c r="PJ29" s="152">
        <f>IF($MN29=0,"",IF($MC29=0,"Sem PE",3*$MC29&amp;" PE"))</f>
        <v/>
      </c>
      <c r="PK29" s="152">
        <f>IF($MN29=0,"",IF($MC29=0,"A atuação básica dela",IF(COUNTIF($NT29:$NU29,"Atrasar")&gt;0,"Sua Ação Completa",IF(COUNTIF($MH29:$MK29,"Rápido")&gt;0,"Sua Bônus",IF(COUNTIF($MH29:$MK29,"Reação")&gt;0,"Sua Reação","Sua Padrão")))&amp;" + a básica dela"&amp;IF(COUNTIF($MH29:$MK29,"Reação")&gt;0," e a coletiva","")&amp;IF(COUNTIF($NT29:$NU29,"Carregar")&gt;0," · em dois turnos","")))</f>
        <v/>
      </c>
      <c r="PL29" s="152">
        <f>IF($MG29&lt;&gt;"",$MG29,IF($MT29=0,"",INDEX($AA$2:$AA$11,$MT29)))</f>
        <v/>
      </c>
      <c r="PM29" s="152">
        <f>IF(OR($MN29=0,$MT29=0),"",IF(COUNTIF($MH29:$MK29,"Inescapável")&gt;0,"Automático",IF($PL29="Ataque",IF($MR29="","Ataque","Ataque "&amp;IF(($MR29+2*IF(COUNTIF($MH29:$MK29,"Precisão")&gt;0,1,0))&gt;=0,"+","−")&amp;ABS(($MR29+2*IF(COUNTIF($MH29:$MK29,"Precisão")&gt;0,1,0)))),IF(LEFT($PL29,2)="TR",$PL29&amp;IF($MS29="",""," · CD "&amp;$MS29)&amp;IF(COUNTIF($MH29:$MK29,"Certeiro")&gt;0," · metade",""),"Sem rolagem"))))</f>
        <v/>
      </c>
      <c r="PN29" s="152">
        <f>IF(OR($MN29=0,$MT29=0),"",IF($MC29=0,IF(OR($NP29&gt;=1,$OM29=0),"Sem dano",$OM29&amp;"d6"&amp;IF($MF29="",""," "&amp;$MF29)),IF(OR($NP29&gt;=1,$OM29=0),UPPER(LEFT(INDEX($OV29:$PB29,1,MAX(1,$MC29)),1))&amp;MID(INDEX($OV29:$PB29,1,MAX(1,$MC29)),2,99),UPPER(LEFT(INDEX($OV29:$PB29,1,MAX(1,$MC29)),1))&amp;MID(INDEX($OV29:$PB29,1,MAX(1,$MC29)),2,99)&amp;IF($MF29="",""," "&amp;$MF29)&amp;IF($ON29&gt;0," · +"&amp;$ON29&amp;"d8",""))))</f>
        <v/>
      </c>
      <c r="PO29" s="152">
        <f>COUNTIF($MH29:$MK29,"Longe")+3*COUNTIF($MH29:$MK29,"Muito Longe")</f>
        <v/>
      </c>
      <c r="PP29" s="152">
        <f>COUNTIF($MH29:$MK29,"Maior")+3*COUNTIF($MH29:$MK29,"Muito Maior")</f>
        <v/>
      </c>
      <c r="PQ29" s="152">
        <f>IF($MT29=0,0,CHOOSE(1+INDEX($AC$2:$AC$11,$MT29),0,$PO29,$PP29,$PO29+$PP29))</f>
        <v/>
      </c>
      <c r="PR29" s="152">
        <f>IF($MT29=0,0,CHOOSE(1+INDEX($AD$2:$AD$11,$MT29),0,$PO29,$PP29,$PO29+$PP29))</f>
        <v/>
      </c>
      <c r="PS29" s="152">
        <f>IF(OR($MN29=0,$MT29=0),"",INDEX($AI$2:$AN$41,($MT29-1)*4+IF($MC29=0,1,IF($MC29&lt;=5,2,IF($MC29=6,3,4))),1+MIN(5,$PQ29))&amp;INDEX($AO$2:$AT$41,($MT29-1)*4+IF($MC29=0,1,IF($MC29&lt;=5,2,IF($MC29=6,3,4))),1+MIN(5,$PR29))&amp;IF(INDEX($AE$2:$AE$11,$MT29)=1,IF(COUNTIF($MH29:$MK29,"Mais Um")&gt;0," · +"&amp;COUNTIF($MH29:$MK29,"Mais Um")&amp;IF(COUNTIF($MH29:$MK29,"Mais Um")&gt;1," alvos"," alvo"),"")&amp;IF(COUNTIF($MH29:$MK29,"Rajada")&gt;0,IF($MC29=0," · 1 tiro"," · "&amp;(MAX(1,$MC29-1)+1)&amp;" tiros"),""),""))</f>
        <v/>
      </c>
      <c r="PT29" s="152">
        <f>IF($MN29=0,"",IF($MC29=0,$MQ29&amp;"d6"&amp;IF($OD29&gt;0," − 1 = "&amp;$OM29&amp;"d6"," da básica do nível "&amp;$MO29),$OK29&amp;" − "&amp;$OF29&amp;" + "&amp;$OI29&amp;" = "&amp;$OL29&amp;" · teto "&amp;4*$MC29&amp;"d8"&amp;IF($NO29=1," · a Forma devolve "&amp;$MC29,"")&amp;IF($OJ29&gt;0," · perde "&amp;$OJ29,"")))</f>
        <v/>
      </c>
      <c r="PU29" s="152">
        <f>IF($MN29=0,"",IF($MC29=0,"A básica não amplia: os dados dela sobem com o nível",IF($MC29&gt;=$MP29,"Já está na maior Classe que o nível liberou",TEXTJOIN(" · ",TRUE,IF(AND(2&gt;$MC29,2&lt;=$MP29),"2 → "&amp;$OW29&amp;", 6 PE",""),IF(AND(3&gt;$MC29,3&lt;=$MP29),"3 → "&amp;$OX29&amp;", 9 PE",""),IF(AND(4&gt;$MC29,4&lt;=$MP29),"4 → "&amp;$OY29&amp;", 12 PE",""),IF(AND(5&gt;$MC29,5&lt;=$MP29),"5 → "&amp;$OZ29&amp;", 15 PE",""),IF(AND(6&gt;$MC29,6&lt;=$MP29),"6 → "&amp;$PA29&amp;", 18 PE",""),IF(AND(7&gt;$MC29,7&lt;=$MP29),"7 → "&amp;$PB29&amp;", 21 PE","")))))</f>
        <v/>
      </c>
      <c r="PV29" s="152">
        <f>IF(OR($MN29=0,$MY29=0),"",IF($MC29=0,"−1 dado","−"&amp;INDEX($I$2:$N$8,MAX(1,$MC29),MAX(1,$ND29))&amp;" · "&amp;CHOOSE(MAX(1,$ND29),"Leve","Média","Pesada","Leve · Livre","Média · Livre","Pesada · Livre")))</f>
        <v/>
      </c>
      <c r="PW29" s="152">
        <f>IF(OR($MN29=0,$MZ29=0),"",IF($MC29=0,"−1 dado","−"&amp;INDEX($I$2:$N$8,MAX(1,$MC29),MAX(1,$NE29))&amp;" · "&amp;CHOOSE(MAX(1,$NE29),"Leve","Média","Pesada","Leve · Livre","Média · Livre","Pesada · Livre")))</f>
        <v/>
      </c>
      <c r="PX29" s="152">
        <f>IF(OR($MN29=0,$NA29=0),"",IF($MC29=0,"−1 dado","−"&amp;INDEX($I$2:$N$8,MAX(1,$MC29),MAX(1,$NF29))&amp;" · "&amp;CHOOSE(MAX(1,$NF29),"Leve","Média","Pesada","Leve · Livre","Média · Livre","Pesada · Livre")))</f>
        <v/>
      </c>
      <c r="PY29" s="152">
        <f>IF(OR($MN29=0,$NB29=0),"",IF($MC29=0,"−1 dado","−"&amp;INDEX($I$2:$N$8,MAX(1,$MC29),MAX(1,$NG29))&amp;" · "&amp;CHOOSE(MAX(1,$NG29),"Leve","Média","Pesada","Leve · Livre","Média · Livre","Pesada · Livre")))</f>
        <v/>
      </c>
      <c r="PZ29" s="152">
        <f>IF(OR($MN29=0,$ML29=""),"",IF($MC29=0,"não devolve","+"&amp;IF($NR29=1,CEILING($MC29/2,1),$MC29)))</f>
        <v/>
      </c>
      <c r="QA29" s="152">
        <f>IF(OR($MN29=0,$MM29=""),"",IF($MC29=0,"não devolve","+"&amp;IF($NS29=1,CEILING($MC29/2,1),$MC29)))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JD30" s="152">
        <f>IF(OR($AW30="",COUNTIF($ED$2:$EH$2,$AW30)&gt;0),$AV30,"")</f>
        <v/>
      </c>
      <c r="JE30" s="152">
        <f>IF(AND($AX30=1,OR($AW30="",COUNTIF($ED$2:$EH$2,$AW30)&gt;0)),$AV30,"")</f>
        <v/>
      </c>
      <c r="JJ30" s="152">
        <f>IF(OR($AW30="",COUNTIF($ED$3:$EH$3,$AW30)&gt;0),$AV30,"")</f>
        <v/>
      </c>
      <c r="JK30" s="152">
        <f>IF(AND($AX30=1,OR($AW30="",COUNTIF($ED$3:$EH$3,$AW30)&gt;0)),$AV30,"")</f>
        <v/>
      </c>
      <c r="JP30" s="152">
        <f>IF(OR($AW30="",COUNTIF($ED$4:$EH$4,$AW30)&gt;0),$AV30,"")</f>
        <v/>
      </c>
      <c r="JQ30" s="152">
        <f>IF(AND($AX30=1,OR($AW30="",COUNTIF($ED$4:$EH$4,$AW30)&gt;0)),$AV30,"")</f>
        <v/>
      </c>
      <c r="JV30" s="152">
        <f>IF(OR($AW30="",COUNTIF($ED$5:$EH$5,$AW30)&gt;0),$AV30,"")</f>
        <v/>
      </c>
      <c r="JW30" s="152">
        <f>IF(AND($AX30=1,OR($AW30="",COUNTIF($ED$5:$EH$5,$AW30)&gt;0)),$AV30,"")</f>
        <v/>
      </c>
      <c r="KB30" s="152">
        <f>IF(OR($AW30="",COUNTIF($ED$6:$EH$6,$AW30)&gt;0),$AV30,"")</f>
        <v/>
      </c>
      <c r="KC30" s="152">
        <f>IF(AND($AX30=1,OR($AW30="",COUNTIF($ED$6:$EH$6,$AW30)&gt;0)),$AV30,"")</f>
        <v/>
      </c>
      <c r="KH30" s="152">
        <f>IF(OR($AW30="",COUNTIF($ED$7:$EH$7,$AW30)&gt;0),$AV30,"")</f>
        <v/>
      </c>
      <c r="KI30" s="152">
        <f>IF(AND($AX30=1,OR($AW30="",COUNTIF($ED$7:$EH$7,$AW30)&gt;0)),$AV30,"")</f>
        <v/>
      </c>
      <c r="KN30" s="152">
        <f>IF(OR($AW30="",COUNTIF($ED$8:$EH$8,$AW30)&gt;0),$AV30,"")</f>
        <v/>
      </c>
      <c r="KO30" s="152">
        <f>IF(AND($AX30=1,OR($AW30="",COUNTIF($ED$8:$EH$8,$AW30)&gt;0)),$AV30,"")</f>
        <v/>
      </c>
      <c r="KT30" s="152">
        <f>IF(OR($AW30="",COUNTIF($ED$9:$EH$9,$AW30)&gt;0),$AV30,"")</f>
        <v/>
      </c>
      <c r="KU30" s="152">
        <f>IF(AND($AX30=1,OR($AW30="",COUNTIF($ED$9:$EH$9,$AW30)&gt;0)),$AV30,"")</f>
        <v/>
      </c>
      <c r="KZ30" s="152">
        <f>IF(OR($AW30="",COUNTIF($ED$10:$EH$10,$AW30)&gt;0),$AV30,"")</f>
        <v/>
      </c>
      <c r="LA30" s="152">
        <f>IF(AND($AX30=1,OR($AW30="",COUNTIF($ED$10:$EH$10,$AW30)&gt;0)),$AV30,"")</f>
        <v/>
      </c>
      <c r="LF30" s="152">
        <f>IF(OR($AW30="",COUNTIF($ED$11:$EH$11,$AW30)&gt;0),$AV30,"")</f>
        <v/>
      </c>
      <c r="LG30" s="152">
        <f>IF(AND($AX30=1,OR($AW30="",COUNTIF($ED$11:$EH$11,$AW30)&gt;0)),$AV30,"")</f>
        <v/>
      </c>
      <c r="LL30" s="152">
        <f>IF(OR($AW30="",COUNTIF($ED$12:$EH$12,$AW30)&gt;0),$AV30,"")</f>
        <v/>
      </c>
      <c r="LM30" s="152">
        <f>IF(AND($AX30=1,OR($AW30="",COUNTIF($ED$12:$EH$12,$AW30)&gt;0)),$AV30,"")</f>
        <v/>
      </c>
      <c r="LR30" s="152">
        <f>IF(OR($AW30="",COUNTIF($ED$13:$EH$13,$AW30)&gt;0),$AV30,"")</f>
        <v/>
      </c>
      <c r="LS30" s="152">
        <f>IF(AND($AX30=1,OR($AW30="",COUNTIF($ED$13:$EH$13,$AW30)&gt;0)),$AV30,"")</f>
        <v/>
      </c>
      <c r="LX30" s="150" t="inlineStr">
        <is>
          <t>Ficha 3 · Especial 2</t>
        </is>
      </c>
      <c r="LY30" s="152" t="n">
        <v>3</v>
      </c>
      <c r="LZ30" s="152" t="n">
        <v>1</v>
      </c>
      <c r="MA30" s="152" t="n">
        <v>4</v>
      </c>
      <c r="MB30" s="150" t="inlineStr">
        <is>
          <t>ESPECIAL 2</t>
        </is>
      </c>
      <c r="MC30" s="152">
        <f>MAX(1,MIN(7,N('INVOCAÇÕES'!$U$454)))</f>
        <v/>
      </c>
      <c r="MD30" s="152">
        <f>'INVOCAÇÕES'!$V$454&amp;""</f>
        <v/>
      </c>
      <c r="ME30" s="152">
        <f>'INVOCAÇÕES'!$U$459&amp;""</f>
        <v/>
      </c>
      <c r="MF30" s="152">
        <f>'INVOCAÇÕES'!$U$460&amp;""</f>
        <v/>
      </c>
      <c r="MG30" s="152">
        <f>'INVOCAÇÕES'!$W$460&amp;""</f>
        <v/>
      </c>
      <c r="MH30" s="152">
        <f>'INVOCAÇÕES'!$V$463&amp;""</f>
        <v/>
      </c>
      <c r="MI30" s="152">
        <f>'INVOCAÇÕES'!$V$464&amp;""</f>
        <v/>
      </c>
      <c r="MJ30" s="152">
        <f>'INVOCAÇÕES'!$V$465&amp;""</f>
        <v/>
      </c>
      <c r="MK30" s="152">
        <f>'INVOCAÇÕES'!$V$466&amp;""</f>
        <v/>
      </c>
      <c r="ML30" s="152">
        <f>'INVOCAÇÕES'!$V$467&amp;""</f>
        <v/>
      </c>
      <c r="MM30" s="152">
        <f>'INVOCAÇÕES'!$V$468&amp;""</f>
        <v/>
      </c>
      <c r="MN30" s="152">
        <f>IF($MD30&lt;&gt;"",1,0)</f>
        <v/>
      </c>
      <c r="MO30" s="152">
        <f>INDEX($FG$2:$FG$13,$LY30)</f>
        <v/>
      </c>
      <c r="MP30" s="152">
        <f>INDEX($FH$2:$FH$13,$LY30)</f>
        <v/>
      </c>
      <c r="MQ30" s="152">
        <f>INDEX($FI$2:$FI$13,$LY30)</f>
        <v/>
      </c>
      <c r="MR30" s="152">
        <f>INDEX($FT$2:$FT$13,$LY30)</f>
        <v/>
      </c>
      <c r="MS30" s="152">
        <f>INDEX($FU$2:$FU$13,$LY30)</f>
        <v/>
      </c>
      <c r="MT30" s="152">
        <f>IFERROR(MATCH($ME30,$V$2:$V$11,0),0)</f>
        <v/>
      </c>
      <c r="MU30" s="152">
        <f>IFERROR(VLOOKUP($MH30,$AV$2:$AZ$84,2,FALSE),"")</f>
        <v/>
      </c>
      <c r="MV30" s="152">
        <f>IFERROR(VLOOKUP($MI30,$AV$2:$AZ$84,2,FALSE),"")</f>
        <v/>
      </c>
      <c r="MW30" s="152">
        <f>IFERROR(VLOOKUP($MJ30,$AV$2:$AZ$84,2,FALSE),"")</f>
        <v/>
      </c>
      <c r="MX30" s="152">
        <f>IFERROR(VLOOKUP($MK30,$AV$2:$AZ$84,2,FALSE),"")</f>
        <v/>
      </c>
      <c r="MY30" s="152">
        <f>IFERROR(VLOOKUP($MH30,$AV$2:$AZ$84,3,FALSE),0)</f>
        <v/>
      </c>
      <c r="MZ30" s="152">
        <f>IFERROR(VLOOKUP($MI30,$AV$2:$AZ$84,3,FALSE),0)</f>
        <v/>
      </c>
      <c r="NA30" s="152">
        <f>IFERROR(VLOOKUP($MJ30,$AV$2:$AZ$84,3,FALSE),0)</f>
        <v/>
      </c>
      <c r="NB30" s="152">
        <f>IFERROR(VLOOKUP($MK30,$AV$2:$AZ$84,3,FALSE),0)</f>
        <v/>
      </c>
      <c r="NC30" s="152">
        <f>IF($MC30=0,0,IF($MT30=0,0,INDEX($X$2:$X$11,$MT30)))</f>
        <v/>
      </c>
      <c r="ND30" s="152">
        <f>IF(OR($MY30=0,$MC30=0),0,$MY30+3*IF(AND($MU30&lt;&gt;"",OR($MU30=INDEX($ED$2:$ED$13,$LY30),$MU30=INDEX($EE$2:$EE$13,$LY30))),1,0))</f>
        <v/>
      </c>
      <c r="NE30" s="152">
        <f>IF(OR($MZ30=0,$MC30=0),0,$MZ30+3*IF(AND($MV30&lt;&gt;"",OR($MV30=INDEX($ED$2:$ED$13,$LY30),$MV30=INDEX($EE$2:$EE$13,$LY30))),1,0))</f>
        <v/>
      </c>
      <c r="NF30" s="152">
        <f>IF(OR($NA30=0,$MC30=0),0,$NA30+3*IF(AND($MW30&lt;&gt;"",OR($MW30=INDEX($ED$2:$ED$13,$LY30),$MW30=INDEX($EE$2:$EE$13,$LY30))),1,0))</f>
        <v/>
      </c>
      <c r="NG30" s="152">
        <f>IF(OR($NB30=0,$MC30=0),0,$NB30+3*IF(AND($MX30&lt;&gt;"",OR($MX30=INDEX($ED$2:$ED$13,$LY30),$MX30=INDEX($EE$2:$EE$13,$LY30))),1,0))</f>
        <v/>
      </c>
      <c r="NH30" s="152">
        <f>IF($MT30=0,0,IF(INDEX($W$2:$W$11,$MT30)="",0,IF(COUNTIF(INDEX($ED$2:$EH$13,$LY30,0),INDEX($W$2:$W$11,$MT30))=0,1,0)))</f>
        <v/>
      </c>
      <c r="NI30" s="152">
        <f>IF(OR($MY30=0,$MU30=""),0,IF(COUNTIF(INDEX($ED$2:$EH$13,$LY30,0),$MU30)=0,1,0))</f>
        <v/>
      </c>
      <c r="NJ30" s="152">
        <f>IF(OR($MZ30=0,$MV30=""),0,IF(COUNTIF(INDEX($ED$2:$EH$13,$LY30,0),$MV30)=0,1,0))</f>
        <v/>
      </c>
      <c r="NK30" s="152">
        <f>IF(OR($NA30=0,$MW30=""),0,IF(COUNTIF(INDEX($ED$2:$EH$13,$LY30,0),$MW30)=0,1,0))</f>
        <v/>
      </c>
      <c r="NL30" s="152">
        <f>IF(OR($NB30=0,$MX30=""),0,IF(COUNTIF(INDEX($ED$2:$EH$13,$LY30,0),$MX30)=0,1,0))</f>
        <v/>
      </c>
      <c r="NM30" s="152">
        <f>IFERROR(VLOOKUP($MH30,$AV$2:$AZ$84,4,FALSE),0)+IFERROR(VLOOKUP($MI30,$AV$2:$AZ$84,4,FALSE),0)+IFERROR(VLOOKUP($MJ30,$AV$2:$AZ$84,4,FALSE),0)+IFERROR(VLOOKUP($MK30,$AV$2:$AZ$84,4,FALSE),0)</f>
        <v/>
      </c>
      <c r="NN30" s="152">
        <f>TEXTJOIN(", ",TRUE,IF(IFERROR(VLOOKUP($MH30,$AV$2:$AZ$84,5,FALSE),0)=1,$MH30,""),IF(IFERROR(VLOOKUP($MI30,$AV$2:$AZ$84,5,FALSE),0)=1,$MI30,""),IF(IFERROR(VLOOKUP($MJ30,$AV$2:$AZ$84,5,FALSE),0)=1,$MJ30,""),IF(IFERROR(VLOOKUP($MK30,$AV$2:$AZ$84,5,FALSE),0)=1,$MK30,""))</f>
        <v/>
      </c>
      <c r="NO30" s="152">
        <f>IF($MT30=0,0,INDEX($Y$2:$Y$11,$MT30))</f>
        <v/>
      </c>
      <c r="NP30" s="152">
        <f>IF($MT30=0,0,INDEX($Z$2:$Z$11,$MT30))</f>
        <v/>
      </c>
      <c r="NQ30" s="152">
        <f>IF($MT30=0,0,INDEX($AB$2:$AB$11,$MT30))</f>
        <v/>
      </c>
      <c r="NR30" s="152">
        <f>IFERROR(VLOOKUP($ML30,$BB$2:$BF$24,3,FALSE),0)</f>
        <v/>
      </c>
      <c r="NS30" s="152">
        <f>IFERROR(VLOOKUP($MM30,$BB$2:$BF$24,3,FALSE),0)</f>
        <v/>
      </c>
      <c r="NT30" s="152">
        <f>IFERROR(VLOOKUP($ML30,$BB$2:$BF$24,2,FALSE),"")</f>
        <v/>
      </c>
      <c r="NU30" s="152">
        <f>IFERROR(VLOOKUP($MM30,$BB$2:$BF$24,2,FALSE),"")</f>
        <v/>
      </c>
      <c r="NV30" s="152">
        <f>COUNTIF($NC30:$NG30,1)</f>
        <v/>
      </c>
      <c r="NW30" s="152">
        <f>COUNTIF($NC30:$NG30,2)</f>
        <v/>
      </c>
      <c r="NX30" s="152">
        <f>COUNTIF($NC30:$NG30,3)</f>
        <v/>
      </c>
      <c r="NY30" s="152">
        <f>COUNTIF($NC30:$NG30,4)</f>
        <v/>
      </c>
      <c r="NZ30" s="152">
        <f>COUNTIF($NC30:$NG30,5)</f>
        <v/>
      </c>
      <c r="OA30" s="152">
        <f>COUNTIF($NC30:$NG30,6)</f>
        <v/>
      </c>
      <c r="OB30" s="152">
        <f>COUNTIF($NR30:$NS30,1)</f>
        <v/>
      </c>
      <c r="OC30" s="152">
        <f>COUNTIF($NR30:$NS30,2)+$NO30</f>
        <v/>
      </c>
      <c r="OD30" s="152">
        <f>COUNTIF($MH30:$MK30,"?*")</f>
        <v/>
      </c>
      <c r="OE30" s="152">
        <f>COUNTIF($ML30:$MM30,"?*")+$NO30</f>
        <v/>
      </c>
      <c r="OF30" s="152">
        <f>IF($MC30=0,0,SUMPRODUCT($NV30:$OA30,INDEX($I$2:$N$8,MAX(1,$MC30),0)))</f>
        <v/>
      </c>
      <c r="OG30" s="152">
        <f>IF($MC30=0,0,$OB30*CEILING($MC30/2,1)+$OC30*$MC30)</f>
        <v/>
      </c>
      <c r="OH30" s="152">
        <f>MIN(2*$MC30,$OG30)</f>
        <v/>
      </c>
      <c r="OI30" s="152">
        <f>MIN($OH30,$OF30)</f>
        <v/>
      </c>
      <c r="OJ30" s="152">
        <f>$OH30-$OI30</f>
        <v/>
      </c>
      <c r="OK30" s="152">
        <f>IF($MC30=0,0,INDEX($P$2:$P$8,MAX(1,$MC30)))</f>
        <v/>
      </c>
      <c r="OL30" s="152">
        <f>$OK30-$OF30+$OI30</f>
        <v/>
      </c>
      <c r="OM30" s="152">
        <f>IF($MC30=0,MAX(0,$MQ30-IF($OD30&gt;0,1,0)),MAX(0,$OL30))</f>
        <v/>
      </c>
      <c r="ON30" s="152">
        <f>IF($MC30=0,0,(IF(COUNTIF($MH30:$MK30,"Salto")&gt;0,1,0)+IF(COUNTIF($MH30:$MK30,"Queima")&gt;0,1,0)+IF(COUNTIF($MH30:$MK30,"Estilhaço")&gt;0,1,0))*FLOOR($OM30/2,1))</f>
        <v/>
      </c>
      <c r="OO30" s="152">
        <f>MAX(0,2-SUMPRODUCT($NV30:$OA30,$I$2:$N$2)+MIN(2,$OB30*1+$OC30*1,SUMPRODUCT($NV30:$OA30,$I$2:$N$2)))</f>
        <v/>
      </c>
      <c r="OP30" s="152">
        <f>MAX(0,4-SUMPRODUCT($NV30:$OA30,$I$3:$N$3)+MIN(4,$OB30*1+$OC30*2,SUMPRODUCT($NV30:$OA30,$I$3:$N$3)))</f>
        <v/>
      </c>
      <c r="OQ30" s="152">
        <f>MAX(0,6-SUMPRODUCT($NV30:$OA30,$I$4:$N$4)+MIN(6,$OB30*2+$OC30*3,SUMPRODUCT($NV30:$OA30,$I$4:$N$4)))</f>
        <v/>
      </c>
      <c r="OR30" s="152">
        <f>MAX(0,9-SUMPRODUCT($NV30:$OA30,$I$5:$N$5)+MIN(8,$OB30*2+$OC30*4,SUMPRODUCT($NV30:$OA30,$I$5:$N$5)))</f>
        <v/>
      </c>
      <c r="OS30" s="152">
        <f>MAX(0,11-SUMPRODUCT($NV30:$OA30,$I$6:$N$6)+MIN(10,$OB30*3+$OC30*5,SUMPRODUCT($NV30:$OA30,$I$6:$N$6)))</f>
        <v/>
      </c>
      <c r="OT30" s="152">
        <f>MAX(0,13-SUMPRODUCT($NV30:$OA30,$I$7:$N$7)+MIN(12,$OB30*3+$OC30*6,SUMPRODUCT($NV30:$OA30,$I$7:$N$7)))</f>
        <v/>
      </c>
      <c r="OU30" s="152">
        <f>MAX(0,16-SUMPRODUCT($NV30:$OA30,$I$8:$N$8)+MIN(14,$OB30*4+$OC30*7,SUMPRODUCT($NV30:$OA30,$I$8:$N$8)))</f>
        <v/>
      </c>
      <c r="OV30" s="152">
        <f>IF($NP30=2,3*$OO30&amp;" de vida temp.",IF($NP30=3,"sem dano",IF($OO30=0,IF($NP30=1,"sem cura","sem dano"),IF($NP30=1,"cura ","")&amp;$OO30&amp;"d8")))</f>
        <v/>
      </c>
      <c r="OW30" s="152">
        <f>IF($NP30=2,3*$OP30&amp;" de vida temp.",IF($NP30=3,"sem dano",IF($OP30=0,IF($NP30=1,"sem cura","sem dano"),IF($NP30=1,"cura ","")&amp;$OP30&amp;"d8")))</f>
        <v/>
      </c>
      <c r="OX30" s="152">
        <f>IF($NP30=2,3*$OQ30&amp;" de vida temp.",IF($NP30=3,"sem dano",IF($OQ30=0,IF($NP30=1,"sem cura","sem dano"),IF($NP30=1,"cura ","")&amp;$OQ30&amp;"d8")))</f>
        <v/>
      </c>
      <c r="OY30" s="152">
        <f>IF($NP30=2,3*$OR30&amp;" de vida temp.",IF($NP30=3,"sem dano",IF($OR30=0,IF($NP30=1,"sem cura","sem dano"),IF($NP30=1,"cura ","")&amp;$OR30&amp;"d8")))</f>
        <v/>
      </c>
      <c r="OZ30" s="152">
        <f>IF($NP30=2,3*$OS30&amp;" de vida temp.",IF($NP30=3,"sem dano",IF($OS30=0,IF($NP30=1,"sem cura","sem dano"),IF($NP30=1,"cura ","")&amp;$OS30&amp;"d8")))</f>
        <v/>
      </c>
      <c r="PA30" s="152">
        <f>IF($NP30=2,3*$OT30&amp;" de vida temp.",IF($NP30=3,"sem dano",IF($OT30=0,IF($NP30=1,"sem cura","sem dano"),IF($NP30=1,"cura ","")&amp;$OT30&amp;"d8")))</f>
        <v/>
      </c>
      <c r="PB30" s="152">
        <f>IF($NP30=2,3*$OU30&amp;" de vida temp.",IF($NP30=3,"sem dano",IF($OU30=0,IF($NP30=1,"sem cura","sem dano"),IF($NP30=1,"cura ","")&amp;$OU30&amp;"d8")))</f>
        <v/>
      </c>
      <c r="PC30" s="152">
        <f>IF($MN30=0,"",TEXTJOIN(" · ",TRUE,IF($MA30&gt;$MO30,"Este lugar abre no nível "&amp;$MA30,""),IF($MC30&gt;$MP30,"Classe "&amp;$MC30&amp;": o nível "&amp;$MO30&amp;" libera até a "&amp;$MP30,""),IF($NH30=1,"A Forma "&amp;$ME30&amp;" pede "&amp;INDEX($W$2:$W$11,$MT30)&amp;" aberta",""),IF(AND($MC30=0,$MT30&gt;0,IF($MT30=0,0,INDEX($AF$2:$AF$11,$MT30))=0),$ME30&amp;" não existe na Classe 0",""),IF($NI30=1,"Família Fechada: "&amp;$MH30,""),IF($NJ30=1,"Família Fechada: "&amp;$MI30,""),IF($NK30=1,"Família Fechada: "&amp;$MJ30,""),IF($NL30=1,"Família Fechada: "&amp;$MK30,""),IF(AND($MC30&gt;0,$OD30&gt;INDEX($O$2:$O$8,MAX(1,$MC30))),$OD30&amp;" Melhorias: a Classe "&amp;$MC30&amp;" aceita "&amp;INDEX($O$2:$O$8,MAX(1,$MC30)),""),IF(AND($MC30=0,$OD30&gt;1),"A básica aceita uma Melhoria",""),IF(AND($MC30=0,COUNTIF($MY30:$NB30,"&gt;1")&gt;0),"A básica só aceita Melhoria Leve",""),IF(AND($MC30&gt;0,$OE30&gt;2),$OE30&amp;" Restrições"&amp;IF($NO30=1,", contando a que a Forma "&amp;$ME30&amp;" já traz","")&amp;": o limite é 2",""),IF(AND($MC30=0,COUNTIF($ML30:$MM30,"?*")&gt;1),"A básica aceita uma Restrição Leve",""),IF(AND($MC30=0,COUNTIF($NR30:$NS30,2)&gt;0),"A básica só aceita Restrição Leve",""),IF(AND($MC30&gt;0,$OL30&lt;0),"Orçamento estourado: faltam "&amp;(-$OL30)&amp;IF($OL30&lt;-1," pontos"," ponto"),""),IF(IFERROR(VLOOKUP($ML30,$BB$2:$BF$24,4,FALSE),0)+IFERROR(VLOOKUP($MM30,$BB$2:$BF$24,4,FALSE),0)&gt;1,$NT30&amp;" e "&amp;$NU30&amp;" são as duas de frequência",""),IF(AND((COUNTIF($MH30:$MK30,"Rápido")+COUNTIF($NT30:$NU30,"Rápido"))&gt;0,(COUNTIF($MH30:$MK30,"Atrasar")+COUNTIF($NT30:$NU30,"Atrasar"))&gt;0),"Rápido não entra com Atrasar",""),IF(AND((COUNTIF($MH30:$MK30,"Reação")+COUNTIF($NT30:$NU30,"Reação"))&gt;0,(COUNTIF($MH30:$MK30,"Rápido")+COUNTIF($NT30:$NU30,"Rápido"))&gt;0),"Reação não entra com Rápido",""),IF(AND((COUNTIF($MH30:$MK30,"Reação")+COUNTIF($NT30:$NU30,"Reação"))&gt;0,(COUNTIF($MH30:$MK30,"Armado")+COUNTIF($NT30:$NU30,"Armado"))&gt;0),"Reação não entra com Armado",""),IF(AND((COUNTIF($MH30:$MK30,"Reação")+COUNTIF($NT30:$NU30,"Reação"))&gt;0,(COUNTIF($MH30:$MK30,"Atrasar")+COUNTIF($NT30:$NU30,"Atrasar"))&gt;0),"Reação não entra com Atrasar",""),IF(AND((COUNTIF($MH30:$MK30,"Reação")+COUNTIF($NT30:$NU30,"Reação"))&gt;0,(COUNTIF($MH30:$MK30,"Parado")+COUNTIF($NT30:$NU30,"Parado"))&gt;0),"Reação não entra com Parado",""),IF(AND((COUNTIF($MH30:$MK30,"Atrasar")+COUNTIF($NT30:$NU30,"Atrasar"))&gt;0,(COUNTIF($MH30:$MK30,"Parado")+COUNTIF($NT30:$NU30,"Parado"))&gt;0),"Atrasar não entra com Parado",""),IF(AND((COUNTIF($MH30:$MK30,"Armado")+COUNTIF($NT30:$NU30,"Armado"))&gt;0,(COUNTIF($MH30:$MK30,"Carregar")+COUNTIF($NT30:$NU30,"Carregar"))&gt;0),"Armado não entra com Carregar",""),IF(AND(COUNTIF($NT30:$NU30,"Corpo a Corpo")&gt;0,$NO30=0,OR($ME30="Cone",$ME30="Linha")),"Corpo a Corpo não entra em "&amp;$ME30,""),IF(AND(COUNTIF($NT30:$NU30,"Corpo a Corpo")&gt;0,$NO30=1),"A Forma "&amp;$ME30&amp;" já traz o Corpo a Corpo",""),IF(AND(COUNTIF($NT30:$NU30,"Tudo ou Nada")&gt;0,$NQ30=0),"Tudo ou Nada só entra em habilidade de Teste de Resistência",""),IF(AND(COUNTIF($MH30:$MK30,"Inescapável")&gt;0,OR($OD30&gt;1,$OE30&gt;0)),"Inescapável não aceita outra peça",""),IF(AND($MC30&gt;0,$OM30*IF(COUNTIF($MH30:$MK30,"Remate")&gt;0,1.25,1)+$ON30&gt;4*$MC30),($OM30*IF(COUNTIF($MH30:$MK30,"Remate")&gt;0,1.25,1)+$ON30)&amp;" dados somando repetições"&amp;IF(COUNTIF($MH30:$MK30,"Remate")&gt;0," e o Remate","")&amp;": o teto da Classe "&amp;$MC30&amp;" é "&amp;4*$MC30,"")))</f>
        <v/>
      </c>
      <c r="PD30" s="152">
        <f>IF($PC30="",0,(LEN($PC30)-LEN(SUBSTITUTE($PC30," · ","")))/3+1)</f>
        <v/>
      </c>
      <c r="PE30" s="152">
        <f>IF($MN30=0,"",TEXTJOIN(" · ",TRUE,IF($OG30&gt;2*$MC30,"A devolução parou no teto de "&amp;2*$MC30,""),IF($OJ30&gt;0,"Devolução perdida: "&amp;$OJ30&amp;IF($OJ30&gt;1," pontos"," ponto")&amp;" sem peça para pagar",""),IF(AND($NM30&gt;0,AND($MC30&gt;0,$NP30=0),$OM30=0),"Controle sem dano: uma rodada a mais e CD +2",""),IF(AND($NM30&gt;0,AND($MC30&gt;0,$NP30=0),$OM30&gt;0,$OM30&lt;=$MC30),"Controle com saldo até a Classe: uma rodada a mais",""),IF(AND($MC30&gt;0,$NN30&lt;&gt;""),"Efeito de "&amp;$NN30&amp;" pela Classe "&amp;MAX(1,$MC30-1),"")))</f>
        <v/>
      </c>
      <c r="PF30" s="152">
        <f>IF($PE30="",0,(LEN($PE30)-LEN(SUBSTITUTE($PE30," · ","")))/3+1)</f>
        <v/>
      </c>
      <c r="PG30" s="152">
        <f>IF($MN30=0,IF($OD30+COUNTIF($ML30:$MM30,"?*")&gt;0,"Dê um nome",""),IF($PD30&gt;0,"⚠ "&amp;$PD30&amp;IF($PD30&gt;1," erros"," erro"),IF($PF30&gt;0,"! "&amp;$PF30&amp;IF($PF30&gt;1," avisos"," aviso"),"Na regra")))</f>
        <v/>
      </c>
      <c r="PH30" s="152">
        <f>IF($MN30=0,"",IF($PD30+$PF30=0,"Dentro das regras que a ficha confere",$PC30&amp;IF(AND($PD30&gt;0,$PF30&gt;0)," · ","")&amp;$PE30))</f>
        <v/>
      </c>
      <c r="PI30" s="152">
        <f>IF($MA30&gt;$MO30,$MB30&amp;" · ABRE NO NÍVEL "&amp;$MA30,$MB30)</f>
        <v/>
      </c>
      <c r="PJ30" s="152">
        <f>IF($MN30=0,"",IF($MC30=0,"Sem PE",3*$MC30&amp;" PE"))</f>
        <v/>
      </c>
      <c r="PK30" s="152">
        <f>IF($MN30=0,"",IF($MC30=0,"A atuação básica dela",IF(COUNTIF($NT30:$NU30,"Atrasar")&gt;0,"Sua Ação Completa",IF(COUNTIF($MH30:$MK30,"Rápido")&gt;0,"Sua Bônus",IF(COUNTIF($MH30:$MK30,"Reação")&gt;0,"Sua Reação","Sua Padrão")))&amp;" + a básica dela"&amp;IF(COUNTIF($MH30:$MK30,"Reação")&gt;0," e a coletiva","")&amp;IF(COUNTIF($NT30:$NU30,"Carregar")&gt;0," · em dois turnos","")))</f>
        <v/>
      </c>
      <c r="PL30" s="152">
        <f>IF($MG30&lt;&gt;"",$MG30,IF($MT30=0,"",INDEX($AA$2:$AA$11,$MT30)))</f>
        <v/>
      </c>
      <c r="PM30" s="152">
        <f>IF(OR($MN30=0,$MT30=0),"",IF(COUNTIF($MH30:$MK30,"Inescapável")&gt;0,"Automático",IF($PL30="Ataque",IF($MR30="","Ataque","Ataque "&amp;IF(($MR30+2*IF(COUNTIF($MH30:$MK30,"Precisão")&gt;0,1,0))&gt;=0,"+","−")&amp;ABS(($MR30+2*IF(COUNTIF($MH30:$MK30,"Precisão")&gt;0,1,0)))),IF(LEFT($PL30,2)="TR",$PL30&amp;IF($MS30="",""," · CD "&amp;$MS30)&amp;IF(COUNTIF($MH30:$MK30,"Certeiro")&gt;0," · metade",""),"Sem rolagem"))))</f>
        <v/>
      </c>
      <c r="PN30" s="152">
        <f>IF(OR($MN30=0,$MT30=0),"",IF($MC30=0,IF(OR($NP30&gt;=1,$OM30=0),"Sem dano",$OM30&amp;"d6"&amp;IF($MF30="",""," "&amp;$MF30)),IF(OR($NP30&gt;=1,$OM30=0),UPPER(LEFT(INDEX($OV30:$PB30,1,MAX(1,$MC30)),1))&amp;MID(INDEX($OV30:$PB30,1,MAX(1,$MC30)),2,99),UPPER(LEFT(INDEX($OV30:$PB30,1,MAX(1,$MC30)),1))&amp;MID(INDEX($OV30:$PB30,1,MAX(1,$MC30)),2,99)&amp;IF($MF30="",""," "&amp;$MF30)&amp;IF($ON30&gt;0," · +"&amp;$ON30&amp;"d8",""))))</f>
        <v/>
      </c>
      <c r="PO30" s="152">
        <f>COUNTIF($MH30:$MK30,"Longe")+3*COUNTIF($MH30:$MK30,"Muito Longe")</f>
        <v/>
      </c>
      <c r="PP30" s="152">
        <f>COUNTIF($MH30:$MK30,"Maior")+3*COUNTIF($MH30:$MK30,"Muito Maior")</f>
        <v/>
      </c>
      <c r="PQ30" s="152">
        <f>IF($MT30=0,0,CHOOSE(1+INDEX($AC$2:$AC$11,$MT30),0,$PO30,$PP30,$PO30+$PP30))</f>
        <v/>
      </c>
      <c r="PR30" s="152">
        <f>IF($MT30=0,0,CHOOSE(1+INDEX($AD$2:$AD$11,$MT30),0,$PO30,$PP30,$PO30+$PP30))</f>
        <v/>
      </c>
      <c r="PS30" s="152">
        <f>IF(OR($MN30=0,$MT30=0),"",INDEX($AI$2:$AN$41,($MT30-1)*4+IF($MC30=0,1,IF($MC30&lt;=5,2,IF($MC30=6,3,4))),1+MIN(5,$PQ30))&amp;INDEX($AO$2:$AT$41,($MT30-1)*4+IF($MC30=0,1,IF($MC30&lt;=5,2,IF($MC30=6,3,4))),1+MIN(5,$PR30))&amp;IF(INDEX($AE$2:$AE$11,$MT30)=1,IF(COUNTIF($MH30:$MK30,"Mais Um")&gt;0," · +"&amp;COUNTIF($MH30:$MK30,"Mais Um")&amp;IF(COUNTIF($MH30:$MK30,"Mais Um")&gt;1," alvos"," alvo"),"")&amp;IF(COUNTIF($MH30:$MK30,"Rajada")&gt;0,IF($MC30=0," · 1 tiro"," · "&amp;(MAX(1,$MC30-1)+1)&amp;" tiros"),""),""))</f>
        <v/>
      </c>
      <c r="PT30" s="152">
        <f>IF($MN30=0,"",IF($MC30=0,$MQ30&amp;"d6"&amp;IF($OD30&gt;0," − 1 = "&amp;$OM30&amp;"d6"," da básica do nível "&amp;$MO30),$OK30&amp;" − "&amp;$OF30&amp;" + "&amp;$OI30&amp;" = "&amp;$OL30&amp;" · teto "&amp;4*$MC30&amp;"d8"&amp;IF($NO30=1," · a Forma devolve "&amp;$MC30,"")&amp;IF($OJ30&gt;0," · perde "&amp;$OJ30,"")))</f>
        <v/>
      </c>
      <c r="PU30" s="152">
        <f>IF($MN30=0,"",IF($MC30=0,"A básica não amplia: os dados dela sobem com o nível",IF($MC30&gt;=$MP30,"Já está na maior Classe que o nível liberou",TEXTJOIN(" · ",TRUE,IF(AND(2&gt;$MC30,2&lt;=$MP30),"2 → "&amp;$OW30&amp;", 6 PE",""),IF(AND(3&gt;$MC30,3&lt;=$MP30),"3 → "&amp;$OX30&amp;", 9 PE",""),IF(AND(4&gt;$MC30,4&lt;=$MP30),"4 → "&amp;$OY30&amp;", 12 PE",""),IF(AND(5&gt;$MC30,5&lt;=$MP30),"5 → "&amp;$OZ30&amp;", 15 PE",""),IF(AND(6&gt;$MC30,6&lt;=$MP30),"6 → "&amp;$PA30&amp;", 18 PE",""),IF(AND(7&gt;$MC30,7&lt;=$MP30),"7 → "&amp;$PB30&amp;", 21 PE","")))))</f>
        <v/>
      </c>
      <c r="PV30" s="152">
        <f>IF(OR($MN30=0,$MY30=0),"",IF($MC30=0,"−1 dado","−"&amp;INDEX($I$2:$N$8,MAX(1,$MC30),MAX(1,$ND30))&amp;" · "&amp;CHOOSE(MAX(1,$ND30),"Leve","Média","Pesada","Leve · Livre","Média · Livre","Pesada · Livre")))</f>
        <v/>
      </c>
      <c r="PW30" s="152">
        <f>IF(OR($MN30=0,$MZ30=0),"",IF($MC30=0,"−1 dado","−"&amp;INDEX($I$2:$N$8,MAX(1,$MC30),MAX(1,$NE30))&amp;" · "&amp;CHOOSE(MAX(1,$NE30),"Leve","Média","Pesada","Leve · Livre","Média · Livre","Pesada · Livre")))</f>
        <v/>
      </c>
      <c r="PX30" s="152">
        <f>IF(OR($MN30=0,$NA30=0),"",IF($MC30=0,"−1 dado","−"&amp;INDEX($I$2:$N$8,MAX(1,$MC30),MAX(1,$NF30))&amp;" · "&amp;CHOOSE(MAX(1,$NF30),"Leve","Média","Pesada","Leve · Livre","Média · Livre","Pesada · Livre")))</f>
        <v/>
      </c>
      <c r="PY30" s="152">
        <f>IF(OR($MN30=0,$NB30=0),"",IF($MC30=0,"−1 dado","−"&amp;INDEX($I$2:$N$8,MAX(1,$MC30),MAX(1,$NG30))&amp;" · "&amp;CHOOSE(MAX(1,$NG30),"Leve","Média","Pesada","Leve · Livre","Média · Livre","Pesada · Livre")))</f>
        <v/>
      </c>
      <c r="PZ30" s="152">
        <f>IF(OR($MN30=0,$ML30=""),"",IF($MC30=0,"não devolve","+"&amp;IF($NR30=1,CEILING($MC30/2,1),$MC30)))</f>
        <v/>
      </c>
      <c r="QA30" s="152">
        <f>IF(OR($MN30=0,$MM30=""),"",IF($MC30=0,"não devolve","+"&amp;IF($NS30=1,CEILING($MC30/2,1),$MC30)))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JD31" s="152">
        <f>IF(OR($AW31="",COUNTIF($ED$2:$EH$2,$AW31)&gt;0),$AV31,"")</f>
        <v/>
      </c>
      <c r="JE31" s="152">
        <f>IF(AND($AX31=1,OR($AW31="",COUNTIF($ED$2:$EH$2,$AW31)&gt;0)),$AV31,"")</f>
        <v/>
      </c>
      <c r="JJ31" s="152">
        <f>IF(OR($AW31="",COUNTIF($ED$3:$EH$3,$AW31)&gt;0),$AV31,"")</f>
        <v/>
      </c>
      <c r="JK31" s="152">
        <f>IF(AND($AX31=1,OR($AW31="",COUNTIF($ED$3:$EH$3,$AW31)&gt;0)),$AV31,"")</f>
        <v/>
      </c>
      <c r="JP31" s="152">
        <f>IF(OR($AW31="",COUNTIF($ED$4:$EH$4,$AW31)&gt;0),$AV31,"")</f>
        <v/>
      </c>
      <c r="JQ31" s="152">
        <f>IF(AND($AX31=1,OR($AW31="",COUNTIF($ED$4:$EH$4,$AW31)&gt;0)),$AV31,"")</f>
        <v/>
      </c>
      <c r="JV31" s="152">
        <f>IF(OR($AW31="",COUNTIF($ED$5:$EH$5,$AW31)&gt;0),$AV31,"")</f>
        <v/>
      </c>
      <c r="JW31" s="152">
        <f>IF(AND($AX31=1,OR($AW31="",COUNTIF($ED$5:$EH$5,$AW31)&gt;0)),$AV31,"")</f>
        <v/>
      </c>
      <c r="KB31" s="152">
        <f>IF(OR($AW31="",COUNTIF($ED$6:$EH$6,$AW31)&gt;0),$AV31,"")</f>
        <v/>
      </c>
      <c r="KC31" s="152">
        <f>IF(AND($AX31=1,OR($AW31="",COUNTIF($ED$6:$EH$6,$AW31)&gt;0)),$AV31,"")</f>
        <v/>
      </c>
      <c r="KH31" s="152">
        <f>IF(OR($AW31="",COUNTIF($ED$7:$EH$7,$AW31)&gt;0),$AV31,"")</f>
        <v/>
      </c>
      <c r="KI31" s="152">
        <f>IF(AND($AX31=1,OR($AW31="",COUNTIF($ED$7:$EH$7,$AW31)&gt;0)),$AV31,"")</f>
        <v/>
      </c>
      <c r="KN31" s="152">
        <f>IF(OR($AW31="",COUNTIF($ED$8:$EH$8,$AW31)&gt;0),$AV31,"")</f>
        <v/>
      </c>
      <c r="KO31" s="152">
        <f>IF(AND($AX31=1,OR($AW31="",COUNTIF($ED$8:$EH$8,$AW31)&gt;0)),$AV31,"")</f>
        <v/>
      </c>
      <c r="KT31" s="152">
        <f>IF(OR($AW31="",COUNTIF($ED$9:$EH$9,$AW31)&gt;0),$AV31,"")</f>
        <v/>
      </c>
      <c r="KU31" s="152">
        <f>IF(AND($AX31=1,OR($AW31="",COUNTIF($ED$9:$EH$9,$AW31)&gt;0)),$AV31,"")</f>
        <v/>
      </c>
      <c r="KZ31" s="152">
        <f>IF(OR($AW31="",COUNTIF($ED$10:$EH$10,$AW31)&gt;0),$AV31,"")</f>
        <v/>
      </c>
      <c r="LA31" s="152">
        <f>IF(AND($AX31=1,OR($AW31="",COUNTIF($ED$10:$EH$10,$AW31)&gt;0)),$AV31,"")</f>
        <v/>
      </c>
      <c r="LF31" s="152">
        <f>IF(OR($AW31="",COUNTIF($ED$11:$EH$11,$AW31)&gt;0),$AV31,"")</f>
        <v/>
      </c>
      <c r="LG31" s="152">
        <f>IF(AND($AX31=1,OR($AW31="",COUNTIF($ED$11:$EH$11,$AW31)&gt;0)),$AV31,"")</f>
        <v/>
      </c>
      <c r="LL31" s="152">
        <f>IF(OR($AW31="",COUNTIF($ED$12:$EH$12,$AW31)&gt;0),$AV31,"")</f>
        <v/>
      </c>
      <c r="LM31" s="152">
        <f>IF(AND($AX31=1,OR($AW31="",COUNTIF($ED$12:$EH$12,$AW31)&gt;0)),$AV31,"")</f>
        <v/>
      </c>
      <c r="LR31" s="152">
        <f>IF(OR($AW31="",COUNTIF($ED$13:$EH$13,$AW31)&gt;0),$AV31,"")</f>
        <v/>
      </c>
      <c r="LS31" s="152">
        <f>IF(AND($AX31=1,OR($AW31="",COUNTIF($ED$13:$EH$13,$AW31)&gt;0)),$AV31,"")</f>
        <v/>
      </c>
      <c r="LX31" s="150" t="inlineStr">
        <is>
          <t>Ficha 3 · Básica 2</t>
        </is>
      </c>
      <c r="LY31" s="152" t="n">
        <v>3</v>
      </c>
      <c r="LZ31" s="152" t="n">
        <v>0</v>
      </c>
      <c r="MA31" s="152" t="n">
        <v>11</v>
      </c>
      <c r="MB31" s="150" t="inlineStr">
        <is>
          <t>BÁSICA 2</t>
        </is>
      </c>
      <c r="MC31" s="152" t="n">
        <v>0</v>
      </c>
      <c r="MD31" s="152">
        <f>'INVOCAÇÕES'!$J$488&amp;""</f>
        <v/>
      </c>
      <c r="ME31" s="152">
        <f>'INVOCAÇÕES'!$I$493&amp;""</f>
        <v/>
      </c>
      <c r="MF31" s="152">
        <f>'INVOCAÇÕES'!$I$494&amp;""</f>
        <v/>
      </c>
      <c r="MG31" s="152">
        <f>'INVOCAÇÕES'!$K$494&amp;""</f>
        <v/>
      </c>
      <c r="MH31" s="152">
        <f>'INVOCAÇÕES'!$J$497&amp;""</f>
        <v/>
      </c>
      <c r="MI31" s="152">
        <f>'INVOCAÇÕES'!$J$498&amp;""</f>
        <v/>
      </c>
      <c r="MJ31" s="152">
        <f>'INVOCAÇÕES'!$J$499&amp;""</f>
        <v/>
      </c>
      <c r="MK31" s="152">
        <f>'INVOCAÇÕES'!$J$500&amp;""</f>
        <v/>
      </c>
      <c r="ML31" s="152">
        <f>'INVOCAÇÕES'!$J$501&amp;""</f>
        <v/>
      </c>
      <c r="MM31" s="152">
        <f>'INVOCAÇÕES'!$J$502&amp;""</f>
        <v/>
      </c>
      <c r="MN31" s="152">
        <f>IF($MD31&lt;&gt;"",1,0)</f>
        <v/>
      </c>
      <c r="MO31" s="152">
        <f>INDEX($FG$2:$FG$13,$LY31)</f>
        <v/>
      </c>
      <c r="MP31" s="152">
        <f>INDEX($FH$2:$FH$13,$LY31)</f>
        <v/>
      </c>
      <c r="MQ31" s="152">
        <f>INDEX($FI$2:$FI$13,$LY31)</f>
        <v/>
      </c>
      <c r="MR31" s="152">
        <f>INDEX($FT$2:$FT$13,$LY31)</f>
        <v/>
      </c>
      <c r="MS31" s="152">
        <f>INDEX($FU$2:$FU$13,$LY31)</f>
        <v/>
      </c>
      <c r="MT31" s="152">
        <f>IFERROR(MATCH($ME31,$V$2:$V$11,0),0)</f>
        <v/>
      </c>
      <c r="MU31" s="152">
        <f>IFERROR(VLOOKUP($MH31,$AV$2:$AZ$84,2,FALSE),"")</f>
        <v/>
      </c>
      <c r="MV31" s="152">
        <f>IFERROR(VLOOKUP($MI31,$AV$2:$AZ$84,2,FALSE),"")</f>
        <v/>
      </c>
      <c r="MW31" s="152">
        <f>IFERROR(VLOOKUP($MJ31,$AV$2:$AZ$84,2,FALSE),"")</f>
        <v/>
      </c>
      <c r="MX31" s="152">
        <f>IFERROR(VLOOKUP($MK31,$AV$2:$AZ$84,2,FALSE),"")</f>
        <v/>
      </c>
      <c r="MY31" s="152">
        <f>IFERROR(VLOOKUP($MH31,$AV$2:$AZ$84,3,FALSE),0)</f>
        <v/>
      </c>
      <c r="MZ31" s="152">
        <f>IFERROR(VLOOKUP($MI31,$AV$2:$AZ$84,3,FALSE),0)</f>
        <v/>
      </c>
      <c r="NA31" s="152">
        <f>IFERROR(VLOOKUP($MJ31,$AV$2:$AZ$84,3,FALSE),0)</f>
        <v/>
      </c>
      <c r="NB31" s="152">
        <f>IFERROR(VLOOKUP($MK31,$AV$2:$AZ$84,3,FALSE),0)</f>
        <v/>
      </c>
      <c r="NC31" s="152">
        <f>IF($MC31=0,0,IF($MT31=0,0,INDEX($X$2:$X$11,$MT31)))</f>
        <v/>
      </c>
      <c r="ND31" s="152">
        <f>IF(OR($MY31=0,$MC31=0),0,$MY31+3*IF(AND($MU31&lt;&gt;"",OR($MU31=INDEX($ED$2:$ED$13,$LY31),$MU31=INDEX($EE$2:$EE$13,$LY31))),1,0))</f>
        <v/>
      </c>
      <c r="NE31" s="152">
        <f>IF(OR($MZ31=0,$MC31=0),0,$MZ31+3*IF(AND($MV31&lt;&gt;"",OR($MV31=INDEX($ED$2:$ED$13,$LY31),$MV31=INDEX($EE$2:$EE$13,$LY31))),1,0))</f>
        <v/>
      </c>
      <c r="NF31" s="152">
        <f>IF(OR($NA31=0,$MC31=0),0,$NA31+3*IF(AND($MW31&lt;&gt;"",OR($MW31=INDEX($ED$2:$ED$13,$LY31),$MW31=INDEX($EE$2:$EE$13,$LY31))),1,0))</f>
        <v/>
      </c>
      <c r="NG31" s="152">
        <f>IF(OR($NB31=0,$MC31=0),0,$NB31+3*IF(AND($MX31&lt;&gt;"",OR($MX31=INDEX($ED$2:$ED$13,$LY31),$MX31=INDEX($EE$2:$EE$13,$LY31))),1,0))</f>
        <v/>
      </c>
      <c r="NH31" s="152">
        <f>IF($MT31=0,0,IF(INDEX($W$2:$W$11,$MT31)="",0,IF(COUNTIF(INDEX($ED$2:$EH$13,$LY31,0),INDEX($W$2:$W$11,$MT31))=0,1,0)))</f>
        <v/>
      </c>
      <c r="NI31" s="152">
        <f>IF(OR($MY31=0,$MU31=""),0,IF(COUNTIF(INDEX($ED$2:$EH$13,$LY31,0),$MU31)=0,1,0))</f>
        <v/>
      </c>
      <c r="NJ31" s="152">
        <f>IF(OR($MZ31=0,$MV31=""),0,IF(COUNTIF(INDEX($ED$2:$EH$13,$LY31,0),$MV31)=0,1,0))</f>
        <v/>
      </c>
      <c r="NK31" s="152">
        <f>IF(OR($NA31=0,$MW31=""),0,IF(COUNTIF(INDEX($ED$2:$EH$13,$LY31,0),$MW31)=0,1,0))</f>
        <v/>
      </c>
      <c r="NL31" s="152">
        <f>IF(OR($NB31=0,$MX31=""),0,IF(COUNTIF(INDEX($ED$2:$EH$13,$LY31,0),$MX31)=0,1,0))</f>
        <v/>
      </c>
      <c r="NM31" s="152">
        <f>IFERROR(VLOOKUP($MH31,$AV$2:$AZ$84,4,FALSE),0)+IFERROR(VLOOKUP($MI31,$AV$2:$AZ$84,4,FALSE),0)+IFERROR(VLOOKUP($MJ31,$AV$2:$AZ$84,4,FALSE),0)+IFERROR(VLOOKUP($MK31,$AV$2:$AZ$84,4,FALSE),0)</f>
        <v/>
      </c>
      <c r="NN31" s="152">
        <f>TEXTJOIN(", ",TRUE,IF(IFERROR(VLOOKUP($MH31,$AV$2:$AZ$84,5,FALSE),0)=1,$MH31,""),IF(IFERROR(VLOOKUP($MI31,$AV$2:$AZ$84,5,FALSE),0)=1,$MI31,""),IF(IFERROR(VLOOKUP($MJ31,$AV$2:$AZ$84,5,FALSE),0)=1,$MJ31,""),IF(IFERROR(VLOOKUP($MK31,$AV$2:$AZ$84,5,FALSE),0)=1,$MK31,""))</f>
        <v/>
      </c>
      <c r="NO31" s="152">
        <f>IF($MT31=0,0,INDEX($Y$2:$Y$11,$MT31))</f>
        <v/>
      </c>
      <c r="NP31" s="152">
        <f>IF($MT31=0,0,INDEX($Z$2:$Z$11,$MT31))</f>
        <v/>
      </c>
      <c r="NQ31" s="152">
        <f>IF($MT31=0,0,INDEX($AB$2:$AB$11,$MT31))</f>
        <v/>
      </c>
      <c r="NR31" s="152">
        <f>IFERROR(VLOOKUP($ML31,$BB$2:$BF$24,3,FALSE),0)</f>
        <v/>
      </c>
      <c r="NS31" s="152">
        <f>IFERROR(VLOOKUP($MM31,$BB$2:$BF$24,3,FALSE),0)</f>
        <v/>
      </c>
      <c r="NT31" s="152">
        <f>IFERROR(VLOOKUP($ML31,$BB$2:$BF$24,2,FALSE),"")</f>
        <v/>
      </c>
      <c r="NU31" s="152">
        <f>IFERROR(VLOOKUP($MM31,$BB$2:$BF$24,2,FALSE),"")</f>
        <v/>
      </c>
      <c r="NV31" s="152">
        <f>COUNTIF($NC31:$NG31,1)</f>
        <v/>
      </c>
      <c r="NW31" s="152">
        <f>COUNTIF($NC31:$NG31,2)</f>
        <v/>
      </c>
      <c r="NX31" s="152">
        <f>COUNTIF($NC31:$NG31,3)</f>
        <v/>
      </c>
      <c r="NY31" s="152">
        <f>COUNTIF($NC31:$NG31,4)</f>
        <v/>
      </c>
      <c r="NZ31" s="152">
        <f>COUNTIF($NC31:$NG31,5)</f>
        <v/>
      </c>
      <c r="OA31" s="152">
        <f>COUNTIF($NC31:$NG31,6)</f>
        <v/>
      </c>
      <c r="OB31" s="152">
        <f>COUNTIF($NR31:$NS31,1)</f>
        <v/>
      </c>
      <c r="OC31" s="152">
        <f>COUNTIF($NR31:$NS31,2)+$NO31</f>
        <v/>
      </c>
      <c r="OD31" s="152">
        <f>COUNTIF($MH31:$MK31,"?*")</f>
        <v/>
      </c>
      <c r="OE31" s="152">
        <f>COUNTIF($ML31:$MM31,"?*")+$NO31</f>
        <v/>
      </c>
      <c r="OF31" s="152">
        <f>IF($MC31=0,0,SUMPRODUCT($NV31:$OA31,INDEX($I$2:$N$8,MAX(1,$MC31),0)))</f>
        <v/>
      </c>
      <c r="OG31" s="152">
        <f>IF($MC31=0,0,$OB31*CEILING($MC31/2,1)+$OC31*$MC31)</f>
        <v/>
      </c>
      <c r="OH31" s="152">
        <f>MIN(2*$MC31,$OG31)</f>
        <v/>
      </c>
      <c r="OI31" s="152">
        <f>MIN($OH31,$OF31)</f>
        <v/>
      </c>
      <c r="OJ31" s="152">
        <f>$OH31-$OI31</f>
        <v/>
      </c>
      <c r="OK31" s="152">
        <f>IF($MC31=0,0,INDEX($P$2:$P$8,MAX(1,$MC31)))</f>
        <v/>
      </c>
      <c r="OL31" s="152">
        <f>$OK31-$OF31+$OI31</f>
        <v/>
      </c>
      <c r="OM31" s="152">
        <f>IF($MC31=0,MAX(0,$MQ31-IF($OD31&gt;0,1,0)),MAX(0,$OL31))</f>
        <v/>
      </c>
      <c r="ON31" s="152">
        <f>IF($MC31=0,0,(IF(COUNTIF($MH31:$MK31,"Salto")&gt;0,1,0)+IF(COUNTIF($MH31:$MK31,"Queima")&gt;0,1,0)+IF(COUNTIF($MH31:$MK31,"Estilhaço")&gt;0,1,0))*FLOOR($OM31/2,1))</f>
        <v/>
      </c>
      <c r="OO31" s="152">
        <f>MAX(0,2-SUMPRODUCT($NV31:$OA31,$I$2:$N$2)+MIN(2,$OB31*1+$OC31*1,SUMPRODUCT($NV31:$OA31,$I$2:$N$2)))</f>
        <v/>
      </c>
      <c r="OP31" s="152">
        <f>MAX(0,4-SUMPRODUCT($NV31:$OA31,$I$3:$N$3)+MIN(4,$OB31*1+$OC31*2,SUMPRODUCT($NV31:$OA31,$I$3:$N$3)))</f>
        <v/>
      </c>
      <c r="OQ31" s="152">
        <f>MAX(0,6-SUMPRODUCT($NV31:$OA31,$I$4:$N$4)+MIN(6,$OB31*2+$OC31*3,SUMPRODUCT($NV31:$OA31,$I$4:$N$4)))</f>
        <v/>
      </c>
      <c r="OR31" s="152">
        <f>MAX(0,9-SUMPRODUCT($NV31:$OA31,$I$5:$N$5)+MIN(8,$OB31*2+$OC31*4,SUMPRODUCT($NV31:$OA31,$I$5:$N$5)))</f>
        <v/>
      </c>
      <c r="OS31" s="152">
        <f>MAX(0,11-SUMPRODUCT($NV31:$OA31,$I$6:$N$6)+MIN(10,$OB31*3+$OC31*5,SUMPRODUCT($NV31:$OA31,$I$6:$N$6)))</f>
        <v/>
      </c>
      <c r="OT31" s="152">
        <f>MAX(0,13-SUMPRODUCT($NV31:$OA31,$I$7:$N$7)+MIN(12,$OB31*3+$OC31*6,SUMPRODUCT($NV31:$OA31,$I$7:$N$7)))</f>
        <v/>
      </c>
      <c r="OU31" s="152">
        <f>MAX(0,16-SUMPRODUCT($NV31:$OA31,$I$8:$N$8)+MIN(14,$OB31*4+$OC31*7,SUMPRODUCT($NV31:$OA31,$I$8:$N$8)))</f>
        <v/>
      </c>
      <c r="OV31" s="152">
        <f>IF($NP31=2,3*$OO31&amp;" de vida temp.",IF($NP31=3,"sem dano",IF($OO31=0,IF($NP31=1,"sem cura","sem dano"),IF($NP31=1,"cura ","")&amp;$OO31&amp;"d8")))</f>
        <v/>
      </c>
      <c r="OW31" s="152">
        <f>IF($NP31=2,3*$OP31&amp;" de vida temp.",IF($NP31=3,"sem dano",IF($OP31=0,IF($NP31=1,"sem cura","sem dano"),IF($NP31=1,"cura ","")&amp;$OP31&amp;"d8")))</f>
        <v/>
      </c>
      <c r="OX31" s="152">
        <f>IF($NP31=2,3*$OQ31&amp;" de vida temp.",IF($NP31=3,"sem dano",IF($OQ31=0,IF($NP31=1,"sem cura","sem dano"),IF($NP31=1,"cura ","")&amp;$OQ31&amp;"d8")))</f>
        <v/>
      </c>
      <c r="OY31" s="152">
        <f>IF($NP31=2,3*$OR31&amp;" de vida temp.",IF($NP31=3,"sem dano",IF($OR31=0,IF($NP31=1,"sem cura","sem dano"),IF($NP31=1,"cura ","")&amp;$OR31&amp;"d8")))</f>
        <v/>
      </c>
      <c r="OZ31" s="152">
        <f>IF($NP31=2,3*$OS31&amp;" de vida temp.",IF($NP31=3,"sem dano",IF($OS31=0,IF($NP31=1,"sem cura","sem dano"),IF($NP31=1,"cura ","")&amp;$OS31&amp;"d8")))</f>
        <v/>
      </c>
      <c r="PA31" s="152">
        <f>IF($NP31=2,3*$OT31&amp;" de vida temp.",IF($NP31=3,"sem dano",IF($OT31=0,IF($NP31=1,"sem cura","sem dano"),IF($NP31=1,"cura ","")&amp;$OT31&amp;"d8")))</f>
        <v/>
      </c>
      <c r="PB31" s="152">
        <f>IF($NP31=2,3*$OU31&amp;" de vida temp.",IF($NP31=3,"sem dano",IF($OU31=0,IF($NP31=1,"sem cura","sem dano"),IF($NP31=1,"cura ","")&amp;$OU31&amp;"d8")))</f>
        <v/>
      </c>
      <c r="PC31" s="152">
        <f>IF($MN31=0,"",TEXTJOIN(" · ",TRUE,IF($MA31&gt;$MO31,"Este lugar abre no nível "&amp;$MA31,""),IF($MC31&gt;$MP31,"Classe "&amp;$MC31&amp;": o nível "&amp;$MO31&amp;" libera até a "&amp;$MP31,""),IF($NH31=1,"A Forma "&amp;$ME31&amp;" pede "&amp;INDEX($W$2:$W$11,$MT31)&amp;" aberta",""),IF(AND($MC31=0,$MT31&gt;0,IF($MT31=0,0,INDEX($AF$2:$AF$11,$MT31))=0),$ME31&amp;" não existe na Classe 0",""),IF($NI31=1,"Família Fechada: "&amp;$MH31,""),IF($NJ31=1,"Família Fechada: "&amp;$MI31,""),IF($NK31=1,"Família Fechada: "&amp;$MJ31,""),IF($NL31=1,"Família Fechada: "&amp;$MK31,""),IF(AND($MC31&gt;0,$OD31&gt;INDEX($O$2:$O$8,MAX(1,$MC31))),$OD31&amp;" Melhorias: a Classe "&amp;$MC31&amp;" aceita "&amp;INDEX($O$2:$O$8,MAX(1,$MC31)),""),IF(AND($MC31=0,$OD31&gt;1),"A básica aceita uma Melhoria",""),IF(AND($MC31=0,COUNTIF($MY31:$NB31,"&gt;1")&gt;0),"A básica só aceita Melhoria Leve",""),IF(AND($MC31&gt;0,$OE31&gt;2),$OE31&amp;" Restrições"&amp;IF($NO31=1,", contando a que a Forma "&amp;$ME31&amp;" já traz","")&amp;": o limite é 2",""),IF(AND($MC31=0,COUNTIF($ML31:$MM31,"?*")&gt;1),"A básica aceita uma Restrição Leve",""),IF(AND($MC31=0,COUNTIF($NR31:$NS31,2)&gt;0),"A básica só aceita Restrição Leve",""),IF(AND($MC31&gt;0,$OL31&lt;0),"Orçamento estourado: faltam "&amp;(-$OL31)&amp;IF($OL31&lt;-1," pontos"," ponto"),""),IF(IFERROR(VLOOKUP($ML31,$BB$2:$BF$24,4,FALSE),0)+IFERROR(VLOOKUP($MM31,$BB$2:$BF$24,4,FALSE),0)&gt;1,$NT31&amp;" e "&amp;$NU31&amp;" são as duas de frequência",""),IF(AND((COUNTIF($MH31:$MK31,"Rápido")+COUNTIF($NT31:$NU31,"Rápido"))&gt;0,(COUNTIF($MH31:$MK31,"Atrasar")+COUNTIF($NT31:$NU31,"Atrasar"))&gt;0),"Rápido não entra com Atrasar",""),IF(AND((COUNTIF($MH31:$MK31,"Reação")+COUNTIF($NT31:$NU31,"Reação"))&gt;0,(COUNTIF($MH31:$MK31,"Rápido")+COUNTIF($NT31:$NU31,"Rápido"))&gt;0),"Reação não entra com Rápido",""),IF(AND((COUNTIF($MH31:$MK31,"Reação")+COUNTIF($NT31:$NU31,"Reação"))&gt;0,(COUNTIF($MH31:$MK31,"Armado")+COUNTIF($NT31:$NU31,"Armado"))&gt;0),"Reação não entra com Armado",""),IF(AND((COUNTIF($MH31:$MK31,"Reação")+COUNTIF($NT31:$NU31,"Reação"))&gt;0,(COUNTIF($MH31:$MK31,"Atrasar")+COUNTIF($NT31:$NU31,"Atrasar"))&gt;0),"Reação não entra com Atrasar",""),IF(AND((COUNTIF($MH31:$MK31,"Reação")+COUNTIF($NT31:$NU31,"Reação"))&gt;0,(COUNTIF($MH31:$MK31,"Parado")+COUNTIF($NT31:$NU31,"Parado"))&gt;0),"Reação não entra com Parado",""),IF(AND((COUNTIF($MH31:$MK31,"Atrasar")+COUNTIF($NT31:$NU31,"Atrasar"))&gt;0,(COUNTIF($MH31:$MK31,"Parado")+COUNTIF($NT31:$NU31,"Parado"))&gt;0),"Atrasar não entra com Parado",""),IF(AND((COUNTIF($MH31:$MK31,"Armado")+COUNTIF($NT31:$NU31,"Armado"))&gt;0,(COUNTIF($MH31:$MK31,"Carregar")+COUNTIF($NT31:$NU31,"Carregar"))&gt;0),"Armado não entra com Carregar",""),IF(AND(COUNTIF($NT31:$NU31,"Corpo a Corpo")&gt;0,$NO31=0,OR($ME31="Cone",$ME31="Linha")),"Corpo a Corpo não entra em "&amp;$ME31,""),IF(AND(COUNTIF($NT31:$NU31,"Corpo a Corpo")&gt;0,$NO31=1),"A Forma "&amp;$ME31&amp;" já traz o Corpo a Corpo",""),IF(AND(COUNTIF($NT31:$NU31,"Tudo ou Nada")&gt;0,$NQ31=0),"Tudo ou Nada só entra em habilidade de Teste de Resistência",""),IF(AND(COUNTIF($MH31:$MK31,"Inescapável")&gt;0,OR($OD31&gt;1,$OE31&gt;0)),"Inescapável não aceita outra peça",""),IF(AND($MC31&gt;0,$OM31*IF(COUNTIF($MH31:$MK31,"Remate")&gt;0,1.25,1)+$ON31&gt;4*$MC31),($OM31*IF(COUNTIF($MH31:$MK31,"Remate")&gt;0,1.25,1)+$ON31)&amp;" dados somando repetições"&amp;IF(COUNTIF($MH31:$MK31,"Remate")&gt;0," e o Remate","")&amp;": o teto da Classe "&amp;$MC31&amp;" é "&amp;4*$MC31,"")))</f>
        <v/>
      </c>
      <c r="PD31" s="152">
        <f>IF($PC31="",0,(LEN($PC31)-LEN(SUBSTITUTE($PC31," · ","")))/3+1)</f>
        <v/>
      </c>
      <c r="PE31" s="152">
        <f>IF($MN31=0,"",TEXTJOIN(" · ",TRUE,IF($OG31&gt;2*$MC31,"A devolução parou no teto de "&amp;2*$MC31,""),IF($OJ31&gt;0,"Devolução perdida: "&amp;$OJ31&amp;IF($OJ31&gt;1," pontos"," ponto")&amp;" sem peça para pagar",""),IF(AND($NM31&gt;0,AND($MC31&gt;0,$NP31=0),$OM31=0),"Controle sem dano: uma rodada a mais e CD +2",""),IF(AND($NM31&gt;0,AND($MC31&gt;0,$NP31=0),$OM31&gt;0,$OM31&lt;=$MC31),"Controle com saldo até a Classe: uma rodada a mais",""),IF(AND($MC31&gt;0,$NN31&lt;&gt;""),"Efeito de "&amp;$NN31&amp;" pela Classe "&amp;MAX(1,$MC31-1),"")))</f>
        <v/>
      </c>
      <c r="PF31" s="152">
        <f>IF($PE31="",0,(LEN($PE31)-LEN(SUBSTITUTE($PE31," · ","")))/3+1)</f>
        <v/>
      </c>
      <c r="PG31" s="152">
        <f>IF($MN31=0,IF($OD31+COUNTIF($ML31:$MM31,"?*")&gt;0,"Dê um nome",""),IF($PD31&gt;0,"⚠ "&amp;$PD31&amp;IF($PD31&gt;1," erros"," erro"),IF($PF31&gt;0,"! "&amp;$PF31&amp;IF($PF31&gt;1," avisos"," aviso"),"Na regra")))</f>
        <v/>
      </c>
      <c r="PH31" s="152">
        <f>IF($MN31=0,"",IF($PD31+$PF31=0,"Dentro das regras que a ficha confere",$PC31&amp;IF(AND($PD31&gt;0,$PF31&gt;0)," · ","")&amp;$PE31))</f>
        <v/>
      </c>
      <c r="PI31" s="152">
        <f>IF($MA31&gt;$MO31,$MB31&amp;" · ABRE NO NÍVEL "&amp;$MA31,$MB31)</f>
        <v/>
      </c>
      <c r="PJ31" s="152">
        <f>IF($MN31=0,"",IF($MC31=0,"Sem PE",3*$MC31&amp;" PE"))</f>
        <v/>
      </c>
      <c r="PK31" s="152">
        <f>IF($MN31=0,"",IF($MC31=0,"A atuação básica dela",IF(COUNTIF($NT31:$NU31,"Atrasar")&gt;0,"Sua Ação Completa",IF(COUNTIF($MH31:$MK31,"Rápido")&gt;0,"Sua Bônus",IF(COUNTIF($MH31:$MK31,"Reação")&gt;0,"Sua Reação","Sua Padrão")))&amp;" + a básica dela"&amp;IF(COUNTIF($MH31:$MK31,"Reação")&gt;0," e a coletiva","")&amp;IF(COUNTIF($NT31:$NU31,"Carregar")&gt;0," · em dois turnos","")))</f>
        <v/>
      </c>
      <c r="PL31" s="152">
        <f>IF($MG31&lt;&gt;"",$MG31,IF($MT31=0,"",INDEX($AA$2:$AA$11,$MT31)))</f>
        <v/>
      </c>
      <c r="PM31" s="152">
        <f>IF(OR($MN31=0,$MT31=0),"",IF(COUNTIF($MH31:$MK31,"Inescapável")&gt;0,"Automático",IF($PL31="Ataque",IF($MR31="","Ataque","Ataque "&amp;IF(($MR31+2*IF(COUNTIF($MH31:$MK31,"Precisão")&gt;0,1,0))&gt;=0,"+","−")&amp;ABS(($MR31+2*IF(COUNTIF($MH31:$MK31,"Precisão")&gt;0,1,0)))),IF(LEFT($PL31,2)="TR",$PL31&amp;IF($MS31="",""," · CD "&amp;$MS31)&amp;IF(COUNTIF($MH31:$MK31,"Certeiro")&gt;0," · metade",""),"Sem rolagem"))))</f>
        <v/>
      </c>
      <c r="PN31" s="152">
        <f>IF(OR($MN31=0,$MT31=0),"",IF($MC31=0,IF(OR($NP31&gt;=1,$OM31=0),"Sem dano",$OM31&amp;"d6"&amp;IF($MF31="",""," "&amp;$MF31)),IF(OR($NP31&gt;=1,$OM31=0),UPPER(LEFT(INDEX($OV31:$PB31,1,MAX(1,$MC31)),1))&amp;MID(INDEX($OV31:$PB31,1,MAX(1,$MC31)),2,99),UPPER(LEFT(INDEX($OV31:$PB31,1,MAX(1,$MC31)),1))&amp;MID(INDEX($OV31:$PB31,1,MAX(1,$MC31)),2,99)&amp;IF($MF31="",""," "&amp;$MF31)&amp;IF($ON31&gt;0," · +"&amp;$ON31&amp;"d8",""))))</f>
        <v/>
      </c>
      <c r="PO31" s="152">
        <f>COUNTIF($MH31:$MK31,"Longe")+3*COUNTIF($MH31:$MK31,"Muito Longe")</f>
        <v/>
      </c>
      <c r="PP31" s="152">
        <f>COUNTIF($MH31:$MK31,"Maior")+3*COUNTIF($MH31:$MK31,"Muito Maior")</f>
        <v/>
      </c>
      <c r="PQ31" s="152">
        <f>IF($MT31=0,0,CHOOSE(1+INDEX($AC$2:$AC$11,$MT31),0,$PO31,$PP31,$PO31+$PP31))</f>
        <v/>
      </c>
      <c r="PR31" s="152">
        <f>IF($MT31=0,0,CHOOSE(1+INDEX($AD$2:$AD$11,$MT31),0,$PO31,$PP31,$PO31+$PP31))</f>
        <v/>
      </c>
      <c r="PS31" s="152">
        <f>IF(OR($MN31=0,$MT31=0),"",INDEX($AI$2:$AN$41,($MT31-1)*4+IF($MC31=0,1,IF($MC31&lt;=5,2,IF($MC31=6,3,4))),1+MIN(5,$PQ31))&amp;INDEX($AO$2:$AT$41,($MT31-1)*4+IF($MC31=0,1,IF($MC31&lt;=5,2,IF($MC31=6,3,4))),1+MIN(5,$PR31))&amp;IF(INDEX($AE$2:$AE$11,$MT31)=1,IF(COUNTIF($MH31:$MK31,"Mais Um")&gt;0," · +"&amp;COUNTIF($MH31:$MK31,"Mais Um")&amp;IF(COUNTIF($MH31:$MK31,"Mais Um")&gt;1," alvos"," alvo"),"")&amp;IF(COUNTIF($MH31:$MK31,"Rajada")&gt;0,IF($MC31=0," · 1 tiro"," · "&amp;(MAX(1,$MC31-1)+1)&amp;" tiros"),""),""))</f>
        <v/>
      </c>
      <c r="PT31" s="152">
        <f>IF($MN31=0,"",IF($MC31=0,$MQ31&amp;"d6"&amp;IF($OD31&gt;0," − 1 = "&amp;$OM31&amp;"d6"," da básica do nível "&amp;$MO31),$OK31&amp;" − "&amp;$OF31&amp;" + "&amp;$OI31&amp;" = "&amp;$OL31&amp;" · teto "&amp;4*$MC31&amp;"d8"&amp;IF($NO31=1," · a Forma devolve "&amp;$MC31,"")&amp;IF($OJ31&gt;0," · perde "&amp;$OJ31,"")))</f>
        <v/>
      </c>
      <c r="PU31" s="152">
        <f>IF($MN31=0,"",IF($MC31=0,"A básica não amplia: os dados dela sobem com o nível",IF($MC31&gt;=$MP31,"Já está na maior Classe que o nível liberou",TEXTJOIN(" · ",TRUE,IF(AND(2&gt;$MC31,2&lt;=$MP31),"2 → "&amp;$OW31&amp;", 6 PE",""),IF(AND(3&gt;$MC31,3&lt;=$MP31),"3 → "&amp;$OX31&amp;", 9 PE",""),IF(AND(4&gt;$MC31,4&lt;=$MP31),"4 → "&amp;$OY31&amp;", 12 PE",""),IF(AND(5&gt;$MC31,5&lt;=$MP31),"5 → "&amp;$OZ31&amp;", 15 PE",""),IF(AND(6&gt;$MC31,6&lt;=$MP31),"6 → "&amp;$PA31&amp;", 18 PE",""),IF(AND(7&gt;$MC31,7&lt;=$MP31),"7 → "&amp;$PB31&amp;", 21 PE","")))))</f>
        <v/>
      </c>
      <c r="PV31" s="152">
        <f>IF(OR($MN31=0,$MY31=0),"",IF($MC31=0,"−1 dado","−"&amp;INDEX($I$2:$N$8,MAX(1,$MC31),MAX(1,$ND31))&amp;" · "&amp;CHOOSE(MAX(1,$ND31),"Leve","Média","Pesada","Leve · Livre","Média · Livre","Pesada · Livre")))</f>
        <v/>
      </c>
      <c r="PW31" s="152">
        <f>IF(OR($MN31=0,$MZ31=0),"",IF($MC31=0,"−1 dado","−"&amp;INDEX($I$2:$N$8,MAX(1,$MC31),MAX(1,$NE31))&amp;" · "&amp;CHOOSE(MAX(1,$NE31),"Leve","Média","Pesada","Leve · Livre","Média · Livre","Pesada · Livre")))</f>
        <v/>
      </c>
      <c r="PX31" s="152">
        <f>IF(OR($MN31=0,$NA31=0),"",IF($MC31=0,"−1 dado","−"&amp;INDEX($I$2:$N$8,MAX(1,$MC31),MAX(1,$NF31))&amp;" · "&amp;CHOOSE(MAX(1,$NF31),"Leve","Média","Pesada","Leve · Livre","Média · Livre","Pesada · Livre")))</f>
        <v/>
      </c>
      <c r="PY31" s="152">
        <f>IF(OR($MN31=0,$NB31=0),"",IF($MC31=0,"−1 dado","−"&amp;INDEX($I$2:$N$8,MAX(1,$MC31),MAX(1,$NG31))&amp;" · "&amp;CHOOSE(MAX(1,$NG31),"Leve","Média","Pesada","Leve · Livre","Média · Livre","Pesada · Livre")))</f>
        <v/>
      </c>
      <c r="PZ31" s="152">
        <f>IF(OR($MN31=0,$ML31=""),"",IF($MC31=0,"não devolve","+"&amp;IF($NR31=1,CEILING($MC31/2,1),$MC31)))</f>
        <v/>
      </c>
      <c r="QA31" s="152">
        <f>IF(OR($MN31=0,$MM31=""),"",IF($MC31=0,"não devolve","+"&amp;IF($NS31=1,CEILING($MC31/2,1),$MC31)))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JD32" s="152">
        <f>IF(OR($AW32="",COUNTIF($ED$2:$EH$2,$AW32)&gt;0),$AV32,"")</f>
        <v/>
      </c>
      <c r="JE32" s="152">
        <f>IF(AND($AX32=1,OR($AW32="",COUNTIF($ED$2:$EH$2,$AW32)&gt;0)),$AV32,"")</f>
        <v/>
      </c>
      <c r="JJ32" s="152">
        <f>IF(OR($AW32="",COUNTIF($ED$3:$EH$3,$AW32)&gt;0),$AV32,"")</f>
        <v/>
      </c>
      <c r="JK32" s="152">
        <f>IF(AND($AX32=1,OR($AW32="",COUNTIF($ED$3:$EH$3,$AW32)&gt;0)),$AV32,"")</f>
        <v/>
      </c>
      <c r="JP32" s="152">
        <f>IF(OR($AW32="",COUNTIF($ED$4:$EH$4,$AW32)&gt;0),$AV32,"")</f>
        <v/>
      </c>
      <c r="JQ32" s="152">
        <f>IF(AND($AX32=1,OR($AW32="",COUNTIF($ED$4:$EH$4,$AW32)&gt;0)),$AV32,"")</f>
        <v/>
      </c>
      <c r="JV32" s="152">
        <f>IF(OR($AW32="",COUNTIF($ED$5:$EH$5,$AW32)&gt;0),$AV32,"")</f>
        <v/>
      </c>
      <c r="JW32" s="152">
        <f>IF(AND($AX32=1,OR($AW32="",COUNTIF($ED$5:$EH$5,$AW32)&gt;0)),$AV32,"")</f>
        <v/>
      </c>
      <c r="KB32" s="152">
        <f>IF(OR($AW32="",COUNTIF($ED$6:$EH$6,$AW32)&gt;0),$AV32,"")</f>
        <v/>
      </c>
      <c r="KC32" s="152">
        <f>IF(AND($AX32=1,OR($AW32="",COUNTIF($ED$6:$EH$6,$AW32)&gt;0)),$AV32,"")</f>
        <v/>
      </c>
      <c r="KH32" s="152">
        <f>IF(OR($AW32="",COUNTIF($ED$7:$EH$7,$AW32)&gt;0),$AV32,"")</f>
        <v/>
      </c>
      <c r="KI32" s="152">
        <f>IF(AND($AX32=1,OR($AW32="",COUNTIF($ED$7:$EH$7,$AW32)&gt;0)),$AV32,"")</f>
        <v/>
      </c>
      <c r="KN32" s="152">
        <f>IF(OR($AW32="",COUNTIF($ED$8:$EH$8,$AW32)&gt;0),$AV32,"")</f>
        <v/>
      </c>
      <c r="KO32" s="152">
        <f>IF(AND($AX32=1,OR($AW32="",COUNTIF($ED$8:$EH$8,$AW32)&gt;0)),$AV32,"")</f>
        <v/>
      </c>
      <c r="KT32" s="152">
        <f>IF(OR($AW32="",COUNTIF($ED$9:$EH$9,$AW32)&gt;0),$AV32,"")</f>
        <v/>
      </c>
      <c r="KU32" s="152">
        <f>IF(AND($AX32=1,OR($AW32="",COUNTIF($ED$9:$EH$9,$AW32)&gt;0)),$AV32,"")</f>
        <v/>
      </c>
      <c r="KZ32" s="152">
        <f>IF(OR($AW32="",COUNTIF($ED$10:$EH$10,$AW32)&gt;0),$AV32,"")</f>
        <v/>
      </c>
      <c r="LA32" s="152">
        <f>IF(AND($AX32=1,OR($AW32="",COUNTIF($ED$10:$EH$10,$AW32)&gt;0)),$AV32,"")</f>
        <v/>
      </c>
      <c r="LF32" s="152">
        <f>IF(OR($AW32="",COUNTIF($ED$11:$EH$11,$AW32)&gt;0),$AV32,"")</f>
        <v/>
      </c>
      <c r="LG32" s="152">
        <f>IF(AND($AX32=1,OR($AW32="",COUNTIF($ED$11:$EH$11,$AW32)&gt;0)),$AV32,"")</f>
        <v/>
      </c>
      <c r="LL32" s="152">
        <f>IF(OR($AW32="",COUNTIF($ED$12:$EH$12,$AW32)&gt;0),$AV32,"")</f>
        <v/>
      </c>
      <c r="LM32" s="152">
        <f>IF(AND($AX32=1,OR($AW32="",COUNTIF($ED$12:$EH$12,$AW32)&gt;0)),$AV32,"")</f>
        <v/>
      </c>
      <c r="LR32" s="152">
        <f>IF(OR($AW32="",COUNTIF($ED$13:$EH$13,$AW32)&gt;0),$AV32,"")</f>
        <v/>
      </c>
      <c r="LS32" s="152">
        <f>IF(AND($AX32=1,OR($AW32="",COUNTIF($ED$13:$EH$13,$AW32)&gt;0)),$AV32,"")</f>
        <v/>
      </c>
      <c r="LX32" s="150" t="inlineStr">
        <is>
          <t>Ficha 3 · Especial 3</t>
        </is>
      </c>
      <c r="LY32" s="152" t="n">
        <v>3</v>
      </c>
      <c r="LZ32" s="152" t="n">
        <v>1</v>
      </c>
      <c r="MA32" s="152" t="n">
        <v>8</v>
      </c>
      <c r="MB32" s="150" t="inlineStr">
        <is>
          <t>ESPECIAL 3</t>
        </is>
      </c>
      <c r="MC32" s="152">
        <f>MAX(1,MIN(7,N('INVOCAÇÕES'!$O$488)))</f>
        <v/>
      </c>
      <c r="MD32" s="152">
        <f>'INVOCAÇÕES'!$P$488&amp;""</f>
        <v/>
      </c>
      <c r="ME32" s="152">
        <f>'INVOCAÇÕES'!$O$493&amp;""</f>
        <v/>
      </c>
      <c r="MF32" s="152">
        <f>'INVOCAÇÕES'!$O$494&amp;""</f>
        <v/>
      </c>
      <c r="MG32" s="152">
        <f>'INVOCAÇÕES'!$Q$494&amp;""</f>
        <v/>
      </c>
      <c r="MH32" s="152">
        <f>'INVOCAÇÕES'!$P$497&amp;""</f>
        <v/>
      </c>
      <c r="MI32" s="152">
        <f>'INVOCAÇÕES'!$P$498&amp;""</f>
        <v/>
      </c>
      <c r="MJ32" s="152">
        <f>'INVOCAÇÕES'!$P$499&amp;""</f>
        <v/>
      </c>
      <c r="MK32" s="152">
        <f>'INVOCAÇÕES'!$P$500&amp;""</f>
        <v/>
      </c>
      <c r="ML32" s="152">
        <f>'INVOCAÇÕES'!$P$501&amp;""</f>
        <v/>
      </c>
      <c r="MM32" s="152">
        <f>'INVOCAÇÕES'!$P$502&amp;""</f>
        <v/>
      </c>
      <c r="MN32" s="152">
        <f>IF($MD32&lt;&gt;"",1,0)</f>
        <v/>
      </c>
      <c r="MO32" s="152">
        <f>INDEX($FG$2:$FG$13,$LY32)</f>
        <v/>
      </c>
      <c r="MP32" s="152">
        <f>INDEX($FH$2:$FH$13,$LY32)</f>
        <v/>
      </c>
      <c r="MQ32" s="152">
        <f>INDEX($FI$2:$FI$13,$LY32)</f>
        <v/>
      </c>
      <c r="MR32" s="152">
        <f>INDEX($FT$2:$FT$13,$LY32)</f>
        <v/>
      </c>
      <c r="MS32" s="152">
        <f>INDEX($FU$2:$FU$13,$LY32)</f>
        <v/>
      </c>
      <c r="MT32" s="152">
        <f>IFERROR(MATCH($ME32,$V$2:$V$11,0),0)</f>
        <v/>
      </c>
      <c r="MU32" s="152">
        <f>IFERROR(VLOOKUP($MH32,$AV$2:$AZ$84,2,FALSE),"")</f>
        <v/>
      </c>
      <c r="MV32" s="152">
        <f>IFERROR(VLOOKUP($MI32,$AV$2:$AZ$84,2,FALSE),"")</f>
        <v/>
      </c>
      <c r="MW32" s="152">
        <f>IFERROR(VLOOKUP($MJ32,$AV$2:$AZ$84,2,FALSE),"")</f>
        <v/>
      </c>
      <c r="MX32" s="152">
        <f>IFERROR(VLOOKUP($MK32,$AV$2:$AZ$84,2,FALSE),"")</f>
        <v/>
      </c>
      <c r="MY32" s="152">
        <f>IFERROR(VLOOKUP($MH32,$AV$2:$AZ$84,3,FALSE),0)</f>
        <v/>
      </c>
      <c r="MZ32" s="152">
        <f>IFERROR(VLOOKUP($MI32,$AV$2:$AZ$84,3,FALSE),0)</f>
        <v/>
      </c>
      <c r="NA32" s="152">
        <f>IFERROR(VLOOKUP($MJ32,$AV$2:$AZ$84,3,FALSE),0)</f>
        <v/>
      </c>
      <c r="NB32" s="152">
        <f>IFERROR(VLOOKUP($MK32,$AV$2:$AZ$84,3,FALSE),0)</f>
        <v/>
      </c>
      <c r="NC32" s="152">
        <f>IF($MC32=0,0,IF($MT32=0,0,INDEX($X$2:$X$11,$MT32)))</f>
        <v/>
      </c>
      <c r="ND32" s="152">
        <f>IF(OR($MY32=0,$MC32=0),0,$MY32+3*IF(AND($MU32&lt;&gt;"",OR($MU32=INDEX($ED$2:$ED$13,$LY32),$MU32=INDEX($EE$2:$EE$13,$LY32))),1,0))</f>
        <v/>
      </c>
      <c r="NE32" s="152">
        <f>IF(OR($MZ32=0,$MC32=0),0,$MZ32+3*IF(AND($MV32&lt;&gt;"",OR($MV32=INDEX($ED$2:$ED$13,$LY32),$MV32=INDEX($EE$2:$EE$13,$LY32))),1,0))</f>
        <v/>
      </c>
      <c r="NF32" s="152">
        <f>IF(OR($NA32=0,$MC32=0),0,$NA32+3*IF(AND($MW32&lt;&gt;"",OR($MW32=INDEX($ED$2:$ED$13,$LY32),$MW32=INDEX($EE$2:$EE$13,$LY32))),1,0))</f>
        <v/>
      </c>
      <c r="NG32" s="152">
        <f>IF(OR($NB32=0,$MC32=0),0,$NB32+3*IF(AND($MX32&lt;&gt;"",OR($MX32=INDEX($ED$2:$ED$13,$LY32),$MX32=INDEX($EE$2:$EE$13,$LY32))),1,0))</f>
        <v/>
      </c>
      <c r="NH32" s="152">
        <f>IF($MT32=0,0,IF(INDEX($W$2:$W$11,$MT32)="",0,IF(COUNTIF(INDEX($ED$2:$EH$13,$LY32,0),INDEX($W$2:$W$11,$MT32))=0,1,0)))</f>
        <v/>
      </c>
      <c r="NI32" s="152">
        <f>IF(OR($MY32=0,$MU32=""),0,IF(COUNTIF(INDEX($ED$2:$EH$13,$LY32,0),$MU32)=0,1,0))</f>
        <v/>
      </c>
      <c r="NJ32" s="152">
        <f>IF(OR($MZ32=0,$MV32=""),0,IF(COUNTIF(INDEX($ED$2:$EH$13,$LY32,0),$MV32)=0,1,0))</f>
        <v/>
      </c>
      <c r="NK32" s="152">
        <f>IF(OR($NA32=0,$MW32=""),0,IF(COUNTIF(INDEX($ED$2:$EH$13,$LY32,0),$MW32)=0,1,0))</f>
        <v/>
      </c>
      <c r="NL32" s="152">
        <f>IF(OR($NB32=0,$MX32=""),0,IF(COUNTIF(INDEX($ED$2:$EH$13,$LY32,0),$MX32)=0,1,0))</f>
        <v/>
      </c>
      <c r="NM32" s="152">
        <f>IFERROR(VLOOKUP($MH32,$AV$2:$AZ$84,4,FALSE),0)+IFERROR(VLOOKUP($MI32,$AV$2:$AZ$84,4,FALSE),0)+IFERROR(VLOOKUP($MJ32,$AV$2:$AZ$84,4,FALSE),0)+IFERROR(VLOOKUP($MK32,$AV$2:$AZ$84,4,FALSE),0)</f>
        <v/>
      </c>
      <c r="NN32" s="152">
        <f>TEXTJOIN(", ",TRUE,IF(IFERROR(VLOOKUP($MH32,$AV$2:$AZ$84,5,FALSE),0)=1,$MH32,""),IF(IFERROR(VLOOKUP($MI32,$AV$2:$AZ$84,5,FALSE),0)=1,$MI32,""),IF(IFERROR(VLOOKUP($MJ32,$AV$2:$AZ$84,5,FALSE),0)=1,$MJ32,""),IF(IFERROR(VLOOKUP($MK32,$AV$2:$AZ$84,5,FALSE),0)=1,$MK32,""))</f>
        <v/>
      </c>
      <c r="NO32" s="152">
        <f>IF($MT32=0,0,INDEX($Y$2:$Y$11,$MT32))</f>
        <v/>
      </c>
      <c r="NP32" s="152">
        <f>IF($MT32=0,0,INDEX($Z$2:$Z$11,$MT32))</f>
        <v/>
      </c>
      <c r="NQ32" s="152">
        <f>IF($MT32=0,0,INDEX($AB$2:$AB$11,$MT32))</f>
        <v/>
      </c>
      <c r="NR32" s="152">
        <f>IFERROR(VLOOKUP($ML32,$BB$2:$BF$24,3,FALSE),0)</f>
        <v/>
      </c>
      <c r="NS32" s="152">
        <f>IFERROR(VLOOKUP($MM32,$BB$2:$BF$24,3,FALSE),0)</f>
        <v/>
      </c>
      <c r="NT32" s="152">
        <f>IFERROR(VLOOKUP($ML32,$BB$2:$BF$24,2,FALSE),"")</f>
        <v/>
      </c>
      <c r="NU32" s="152">
        <f>IFERROR(VLOOKUP($MM32,$BB$2:$BF$24,2,FALSE),"")</f>
        <v/>
      </c>
      <c r="NV32" s="152">
        <f>COUNTIF($NC32:$NG32,1)</f>
        <v/>
      </c>
      <c r="NW32" s="152">
        <f>COUNTIF($NC32:$NG32,2)</f>
        <v/>
      </c>
      <c r="NX32" s="152">
        <f>COUNTIF($NC32:$NG32,3)</f>
        <v/>
      </c>
      <c r="NY32" s="152">
        <f>COUNTIF($NC32:$NG32,4)</f>
        <v/>
      </c>
      <c r="NZ32" s="152">
        <f>COUNTIF($NC32:$NG32,5)</f>
        <v/>
      </c>
      <c r="OA32" s="152">
        <f>COUNTIF($NC32:$NG32,6)</f>
        <v/>
      </c>
      <c r="OB32" s="152">
        <f>COUNTIF($NR32:$NS32,1)</f>
        <v/>
      </c>
      <c r="OC32" s="152">
        <f>COUNTIF($NR32:$NS32,2)+$NO32</f>
        <v/>
      </c>
      <c r="OD32" s="152">
        <f>COUNTIF($MH32:$MK32,"?*")</f>
        <v/>
      </c>
      <c r="OE32" s="152">
        <f>COUNTIF($ML32:$MM32,"?*")+$NO32</f>
        <v/>
      </c>
      <c r="OF32" s="152">
        <f>IF($MC32=0,0,SUMPRODUCT($NV32:$OA32,INDEX($I$2:$N$8,MAX(1,$MC32),0)))</f>
        <v/>
      </c>
      <c r="OG32" s="152">
        <f>IF($MC32=0,0,$OB32*CEILING($MC32/2,1)+$OC32*$MC32)</f>
        <v/>
      </c>
      <c r="OH32" s="152">
        <f>MIN(2*$MC32,$OG32)</f>
        <v/>
      </c>
      <c r="OI32" s="152">
        <f>MIN($OH32,$OF32)</f>
        <v/>
      </c>
      <c r="OJ32" s="152">
        <f>$OH32-$OI32</f>
        <v/>
      </c>
      <c r="OK32" s="152">
        <f>IF($MC32=0,0,INDEX($P$2:$P$8,MAX(1,$MC32)))</f>
        <v/>
      </c>
      <c r="OL32" s="152">
        <f>$OK32-$OF32+$OI32</f>
        <v/>
      </c>
      <c r="OM32" s="152">
        <f>IF($MC32=0,MAX(0,$MQ32-IF($OD32&gt;0,1,0)),MAX(0,$OL32))</f>
        <v/>
      </c>
      <c r="ON32" s="152">
        <f>IF($MC32=0,0,(IF(COUNTIF($MH32:$MK32,"Salto")&gt;0,1,0)+IF(COUNTIF($MH32:$MK32,"Queima")&gt;0,1,0)+IF(COUNTIF($MH32:$MK32,"Estilhaço")&gt;0,1,0))*FLOOR($OM32/2,1))</f>
        <v/>
      </c>
      <c r="OO32" s="152">
        <f>MAX(0,2-SUMPRODUCT($NV32:$OA32,$I$2:$N$2)+MIN(2,$OB32*1+$OC32*1,SUMPRODUCT($NV32:$OA32,$I$2:$N$2)))</f>
        <v/>
      </c>
      <c r="OP32" s="152">
        <f>MAX(0,4-SUMPRODUCT($NV32:$OA32,$I$3:$N$3)+MIN(4,$OB32*1+$OC32*2,SUMPRODUCT($NV32:$OA32,$I$3:$N$3)))</f>
        <v/>
      </c>
      <c r="OQ32" s="152">
        <f>MAX(0,6-SUMPRODUCT($NV32:$OA32,$I$4:$N$4)+MIN(6,$OB32*2+$OC32*3,SUMPRODUCT($NV32:$OA32,$I$4:$N$4)))</f>
        <v/>
      </c>
      <c r="OR32" s="152">
        <f>MAX(0,9-SUMPRODUCT($NV32:$OA32,$I$5:$N$5)+MIN(8,$OB32*2+$OC32*4,SUMPRODUCT($NV32:$OA32,$I$5:$N$5)))</f>
        <v/>
      </c>
      <c r="OS32" s="152">
        <f>MAX(0,11-SUMPRODUCT($NV32:$OA32,$I$6:$N$6)+MIN(10,$OB32*3+$OC32*5,SUMPRODUCT($NV32:$OA32,$I$6:$N$6)))</f>
        <v/>
      </c>
      <c r="OT32" s="152">
        <f>MAX(0,13-SUMPRODUCT($NV32:$OA32,$I$7:$N$7)+MIN(12,$OB32*3+$OC32*6,SUMPRODUCT($NV32:$OA32,$I$7:$N$7)))</f>
        <v/>
      </c>
      <c r="OU32" s="152">
        <f>MAX(0,16-SUMPRODUCT($NV32:$OA32,$I$8:$N$8)+MIN(14,$OB32*4+$OC32*7,SUMPRODUCT($NV32:$OA32,$I$8:$N$8)))</f>
        <v/>
      </c>
      <c r="OV32" s="152">
        <f>IF($NP32=2,3*$OO32&amp;" de vida temp.",IF($NP32=3,"sem dano",IF($OO32=0,IF($NP32=1,"sem cura","sem dano"),IF($NP32=1,"cura ","")&amp;$OO32&amp;"d8")))</f>
        <v/>
      </c>
      <c r="OW32" s="152">
        <f>IF($NP32=2,3*$OP32&amp;" de vida temp.",IF($NP32=3,"sem dano",IF($OP32=0,IF($NP32=1,"sem cura","sem dano"),IF($NP32=1,"cura ","")&amp;$OP32&amp;"d8")))</f>
        <v/>
      </c>
      <c r="OX32" s="152">
        <f>IF($NP32=2,3*$OQ32&amp;" de vida temp.",IF($NP32=3,"sem dano",IF($OQ32=0,IF($NP32=1,"sem cura","sem dano"),IF($NP32=1,"cura ","")&amp;$OQ32&amp;"d8")))</f>
        <v/>
      </c>
      <c r="OY32" s="152">
        <f>IF($NP32=2,3*$OR32&amp;" de vida temp.",IF($NP32=3,"sem dano",IF($OR32=0,IF($NP32=1,"sem cura","sem dano"),IF($NP32=1,"cura ","")&amp;$OR32&amp;"d8")))</f>
        <v/>
      </c>
      <c r="OZ32" s="152">
        <f>IF($NP32=2,3*$OS32&amp;" de vida temp.",IF($NP32=3,"sem dano",IF($OS32=0,IF($NP32=1,"sem cura","sem dano"),IF($NP32=1,"cura ","")&amp;$OS32&amp;"d8")))</f>
        <v/>
      </c>
      <c r="PA32" s="152">
        <f>IF($NP32=2,3*$OT32&amp;" de vida temp.",IF($NP32=3,"sem dano",IF($OT32=0,IF($NP32=1,"sem cura","sem dano"),IF($NP32=1,"cura ","")&amp;$OT32&amp;"d8")))</f>
        <v/>
      </c>
      <c r="PB32" s="152">
        <f>IF($NP32=2,3*$OU32&amp;" de vida temp.",IF($NP32=3,"sem dano",IF($OU32=0,IF($NP32=1,"sem cura","sem dano"),IF($NP32=1,"cura ","")&amp;$OU32&amp;"d8")))</f>
        <v/>
      </c>
      <c r="PC32" s="152">
        <f>IF($MN32=0,"",TEXTJOIN(" · ",TRUE,IF($MA32&gt;$MO32,"Este lugar abre no nível "&amp;$MA32,""),IF($MC32&gt;$MP32,"Classe "&amp;$MC32&amp;": o nível "&amp;$MO32&amp;" libera até a "&amp;$MP32,""),IF($NH32=1,"A Forma "&amp;$ME32&amp;" pede "&amp;INDEX($W$2:$W$11,$MT32)&amp;" aberta",""),IF(AND($MC32=0,$MT32&gt;0,IF($MT32=0,0,INDEX($AF$2:$AF$11,$MT32))=0),$ME32&amp;" não existe na Classe 0",""),IF($NI32=1,"Família Fechada: "&amp;$MH32,""),IF($NJ32=1,"Família Fechada: "&amp;$MI32,""),IF($NK32=1,"Família Fechada: "&amp;$MJ32,""),IF($NL32=1,"Família Fechada: "&amp;$MK32,""),IF(AND($MC32&gt;0,$OD32&gt;INDEX($O$2:$O$8,MAX(1,$MC32))),$OD32&amp;" Melhorias: a Classe "&amp;$MC32&amp;" aceita "&amp;INDEX($O$2:$O$8,MAX(1,$MC32)),""),IF(AND($MC32=0,$OD32&gt;1),"A básica aceita uma Melhoria",""),IF(AND($MC32=0,COUNTIF($MY32:$NB32,"&gt;1")&gt;0),"A básica só aceita Melhoria Leve",""),IF(AND($MC32&gt;0,$OE32&gt;2),$OE32&amp;" Restrições"&amp;IF($NO32=1,", contando a que a Forma "&amp;$ME32&amp;" já traz","")&amp;": o limite é 2",""),IF(AND($MC32=0,COUNTIF($ML32:$MM32,"?*")&gt;1),"A básica aceita uma Restrição Leve",""),IF(AND($MC32=0,COUNTIF($NR32:$NS32,2)&gt;0),"A básica só aceita Restrição Leve",""),IF(AND($MC32&gt;0,$OL32&lt;0),"Orçamento estourado: faltam "&amp;(-$OL32)&amp;IF($OL32&lt;-1," pontos"," ponto"),""),IF(IFERROR(VLOOKUP($ML32,$BB$2:$BF$24,4,FALSE),0)+IFERROR(VLOOKUP($MM32,$BB$2:$BF$24,4,FALSE),0)&gt;1,$NT32&amp;" e "&amp;$NU32&amp;" são as duas de frequência",""),IF(AND((COUNTIF($MH32:$MK32,"Rápido")+COUNTIF($NT32:$NU32,"Rápido"))&gt;0,(COUNTIF($MH32:$MK32,"Atrasar")+COUNTIF($NT32:$NU32,"Atrasar"))&gt;0),"Rápido não entra com Atrasar",""),IF(AND((COUNTIF($MH32:$MK32,"Reação")+COUNTIF($NT32:$NU32,"Reação"))&gt;0,(COUNTIF($MH32:$MK32,"Rápido")+COUNTIF($NT32:$NU32,"Rápido"))&gt;0),"Reação não entra com Rápido",""),IF(AND((COUNTIF($MH32:$MK32,"Reação")+COUNTIF($NT32:$NU32,"Reação"))&gt;0,(COUNTIF($MH32:$MK32,"Armado")+COUNTIF($NT32:$NU32,"Armado"))&gt;0),"Reação não entra com Armado",""),IF(AND((COUNTIF($MH32:$MK32,"Reação")+COUNTIF($NT32:$NU32,"Reação"))&gt;0,(COUNTIF($MH32:$MK32,"Atrasar")+COUNTIF($NT32:$NU32,"Atrasar"))&gt;0),"Reação não entra com Atrasar",""),IF(AND((COUNTIF($MH32:$MK32,"Reação")+COUNTIF($NT32:$NU32,"Reação"))&gt;0,(COUNTIF($MH32:$MK32,"Parado")+COUNTIF($NT32:$NU32,"Parado"))&gt;0),"Reação não entra com Parado",""),IF(AND((COUNTIF($MH32:$MK32,"Atrasar")+COUNTIF($NT32:$NU32,"Atrasar"))&gt;0,(COUNTIF($MH32:$MK32,"Parado")+COUNTIF($NT32:$NU32,"Parado"))&gt;0),"Atrasar não entra com Parado",""),IF(AND((COUNTIF($MH32:$MK32,"Armado")+COUNTIF($NT32:$NU32,"Armado"))&gt;0,(COUNTIF($MH32:$MK32,"Carregar")+COUNTIF($NT32:$NU32,"Carregar"))&gt;0),"Armado não entra com Carregar",""),IF(AND(COUNTIF($NT32:$NU32,"Corpo a Corpo")&gt;0,$NO32=0,OR($ME32="Cone",$ME32="Linha")),"Corpo a Corpo não entra em "&amp;$ME32,""),IF(AND(COUNTIF($NT32:$NU32,"Corpo a Corpo")&gt;0,$NO32=1),"A Forma "&amp;$ME32&amp;" já traz o Corpo a Corpo",""),IF(AND(COUNTIF($NT32:$NU32,"Tudo ou Nada")&gt;0,$NQ32=0),"Tudo ou Nada só entra em habilidade de Teste de Resistência",""),IF(AND(COUNTIF($MH32:$MK32,"Inescapável")&gt;0,OR($OD32&gt;1,$OE32&gt;0)),"Inescapável não aceita outra peça",""),IF(AND($MC32&gt;0,$OM32*IF(COUNTIF($MH32:$MK32,"Remate")&gt;0,1.25,1)+$ON32&gt;4*$MC32),($OM32*IF(COUNTIF($MH32:$MK32,"Remate")&gt;0,1.25,1)+$ON32)&amp;" dados somando repetições"&amp;IF(COUNTIF($MH32:$MK32,"Remate")&gt;0," e o Remate","")&amp;": o teto da Classe "&amp;$MC32&amp;" é "&amp;4*$MC32,"")))</f>
        <v/>
      </c>
      <c r="PD32" s="152">
        <f>IF($PC32="",0,(LEN($PC32)-LEN(SUBSTITUTE($PC32," · ","")))/3+1)</f>
        <v/>
      </c>
      <c r="PE32" s="152">
        <f>IF($MN32=0,"",TEXTJOIN(" · ",TRUE,IF($OG32&gt;2*$MC32,"A devolução parou no teto de "&amp;2*$MC32,""),IF($OJ32&gt;0,"Devolução perdida: "&amp;$OJ32&amp;IF($OJ32&gt;1," pontos"," ponto")&amp;" sem peça para pagar",""),IF(AND($NM32&gt;0,AND($MC32&gt;0,$NP32=0),$OM32=0),"Controle sem dano: uma rodada a mais e CD +2",""),IF(AND($NM32&gt;0,AND($MC32&gt;0,$NP32=0),$OM32&gt;0,$OM32&lt;=$MC32),"Controle com saldo até a Classe: uma rodada a mais",""),IF(AND($MC32&gt;0,$NN32&lt;&gt;""),"Efeito de "&amp;$NN32&amp;" pela Classe "&amp;MAX(1,$MC32-1),"")))</f>
        <v/>
      </c>
      <c r="PF32" s="152">
        <f>IF($PE32="",0,(LEN($PE32)-LEN(SUBSTITUTE($PE32," · ","")))/3+1)</f>
        <v/>
      </c>
      <c r="PG32" s="152">
        <f>IF($MN32=0,IF($OD32+COUNTIF($ML32:$MM32,"?*")&gt;0,"Dê um nome",""),IF($PD32&gt;0,"⚠ "&amp;$PD32&amp;IF($PD32&gt;1," erros"," erro"),IF($PF32&gt;0,"! "&amp;$PF32&amp;IF($PF32&gt;1," avisos"," aviso"),"Na regra")))</f>
        <v/>
      </c>
      <c r="PH32" s="152">
        <f>IF($MN32=0,"",IF($PD32+$PF32=0,"Dentro das regras que a ficha confere",$PC32&amp;IF(AND($PD32&gt;0,$PF32&gt;0)," · ","")&amp;$PE32))</f>
        <v/>
      </c>
      <c r="PI32" s="152">
        <f>IF($MA32&gt;$MO32,$MB32&amp;" · ABRE NO NÍVEL "&amp;$MA32,$MB32)</f>
        <v/>
      </c>
      <c r="PJ32" s="152">
        <f>IF($MN32=0,"",IF($MC32=0,"Sem PE",3*$MC32&amp;" PE"))</f>
        <v/>
      </c>
      <c r="PK32" s="152">
        <f>IF($MN32=0,"",IF($MC32=0,"A atuação básica dela",IF(COUNTIF($NT32:$NU32,"Atrasar")&gt;0,"Sua Ação Completa",IF(COUNTIF($MH32:$MK32,"Rápido")&gt;0,"Sua Bônus",IF(COUNTIF($MH32:$MK32,"Reação")&gt;0,"Sua Reação","Sua Padrão")))&amp;" + a básica dela"&amp;IF(COUNTIF($MH32:$MK32,"Reação")&gt;0," e a coletiva","")&amp;IF(COUNTIF($NT32:$NU32,"Carregar")&gt;0," · em dois turnos","")))</f>
        <v/>
      </c>
      <c r="PL32" s="152">
        <f>IF($MG32&lt;&gt;"",$MG32,IF($MT32=0,"",INDEX($AA$2:$AA$11,$MT32)))</f>
        <v/>
      </c>
      <c r="PM32" s="152">
        <f>IF(OR($MN32=0,$MT32=0),"",IF(COUNTIF($MH32:$MK32,"Inescapável")&gt;0,"Automático",IF($PL32="Ataque",IF($MR32="","Ataque","Ataque "&amp;IF(($MR32+2*IF(COUNTIF($MH32:$MK32,"Precisão")&gt;0,1,0))&gt;=0,"+","−")&amp;ABS(($MR32+2*IF(COUNTIF($MH32:$MK32,"Precisão")&gt;0,1,0)))),IF(LEFT($PL32,2)="TR",$PL32&amp;IF($MS32="",""," · CD "&amp;$MS32)&amp;IF(COUNTIF($MH32:$MK32,"Certeiro")&gt;0," · metade",""),"Sem rolagem"))))</f>
        <v/>
      </c>
      <c r="PN32" s="152">
        <f>IF(OR($MN32=0,$MT32=0),"",IF($MC32=0,IF(OR($NP32&gt;=1,$OM32=0),"Sem dano",$OM32&amp;"d6"&amp;IF($MF32="",""," "&amp;$MF32)),IF(OR($NP32&gt;=1,$OM32=0),UPPER(LEFT(INDEX($OV32:$PB32,1,MAX(1,$MC32)),1))&amp;MID(INDEX($OV32:$PB32,1,MAX(1,$MC32)),2,99),UPPER(LEFT(INDEX($OV32:$PB32,1,MAX(1,$MC32)),1))&amp;MID(INDEX($OV32:$PB32,1,MAX(1,$MC32)),2,99)&amp;IF($MF32="",""," "&amp;$MF32)&amp;IF($ON32&gt;0," · +"&amp;$ON32&amp;"d8",""))))</f>
        <v/>
      </c>
      <c r="PO32" s="152">
        <f>COUNTIF($MH32:$MK32,"Longe")+3*COUNTIF($MH32:$MK32,"Muito Longe")</f>
        <v/>
      </c>
      <c r="PP32" s="152">
        <f>COUNTIF($MH32:$MK32,"Maior")+3*COUNTIF($MH32:$MK32,"Muito Maior")</f>
        <v/>
      </c>
      <c r="PQ32" s="152">
        <f>IF($MT32=0,0,CHOOSE(1+INDEX($AC$2:$AC$11,$MT32),0,$PO32,$PP32,$PO32+$PP32))</f>
        <v/>
      </c>
      <c r="PR32" s="152">
        <f>IF($MT32=0,0,CHOOSE(1+INDEX($AD$2:$AD$11,$MT32),0,$PO32,$PP32,$PO32+$PP32))</f>
        <v/>
      </c>
      <c r="PS32" s="152">
        <f>IF(OR($MN32=0,$MT32=0),"",INDEX($AI$2:$AN$41,($MT32-1)*4+IF($MC32=0,1,IF($MC32&lt;=5,2,IF($MC32=6,3,4))),1+MIN(5,$PQ32))&amp;INDEX($AO$2:$AT$41,($MT32-1)*4+IF($MC32=0,1,IF($MC32&lt;=5,2,IF($MC32=6,3,4))),1+MIN(5,$PR32))&amp;IF(INDEX($AE$2:$AE$11,$MT32)=1,IF(COUNTIF($MH32:$MK32,"Mais Um")&gt;0," · +"&amp;COUNTIF($MH32:$MK32,"Mais Um")&amp;IF(COUNTIF($MH32:$MK32,"Mais Um")&gt;1," alvos"," alvo"),"")&amp;IF(COUNTIF($MH32:$MK32,"Rajada")&gt;0,IF($MC32=0," · 1 tiro"," · "&amp;(MAX(1,$MC32-1)+1)&amp;" tiros"),""),""))</f>
        <v/>
      </c>
      <c r="PT32" s="152">
        <f>IF($MN32=0,"",IF($MC32=0,$MQ32&amp;"d6"&amp;IF($OD32&gt;0," − 1 = "&amp;$OM32&amp;"d6"," da básica do nível "&amp;$MO32),$OK32&amp;" − "&amp;$OF32&amp;" + "&amp;$OI32&amp;" = "&amp;$OL32&amp;" · teto "&amp;4*$MC32&amp;"d8"&amp;IF($NO32=1," · a Forma devolve "&amp;$MC32,"")&amp;IF($OJ32&gt;0," · perde "&amp;$OJ32,"")))</f>
        <v/>
      </c>
      <c r="PU32" s="152">
        <f>IF($MN32=0,"",IF($MC32=0,"A básica não amplia: os dados dela sobem com o nível",IF($MC32&gt;=$MP32,"Já está na maior Classe que o nível liberou",TEXTJOIN(" · ",TRUE,IF(AND(2&gt;$MC32,2&lt;=$MP32),"2 → "&amp;$OW32&amp;", 6 PE",""),IF(AND(3&gt;$MC32,3&lt;=$MP32),"3 → "&amp;$OX32&amp;", 9 PE",""),IF(AND(4&gt;$MC32,4&lt;=$MP32),"4 → "&amp;$OY32&amp;", 12 PE",""),IF(AND(5&gt;$MC32,5&lt;=$MP32),"5 → "&amp;$OZ32&amp;", 15 PE",""),IF(AND(6&gt;$MC32,6&lt;=$MP32),"6 → "&amp;$PA32&amp;", 18 PE",""),IF(AND(7&gt;$MC32,7&lt;=$MP32),"7 → "&amp;$PB32&amp;", 21 PE","")))))</f>
        <v/>
      </c>
      <c r="PV32" s="152">
        <f>IF(OR($MN32=0,$MY32=0),"",IF($MC32=0,"−1 dado","−"&amp;INDEX($I$2:$N$8,MAX(1,$MC32),MAX(1,$ND32))&amp;" · "&amp;CHOOSE(MAX(1,$ND32),"Leve","Média","Pesada","Leve · Livre","Média · Livre","Pesada · Livre")))</f>
        <v/>
      </c>
      <c r="PW32" s="152">
        <f>IF(OR($MN32=0,$MZ32=0),"",IF($MC32=0,"−1 dado","−"&amp;INDEX($I$2:$N$8,MAX(1,$MC32),MAX(1,$NE32))&amp;" · "&amp;CHOOSE(MAX(1,$NE32),"Leve","Média","Pesada","Leve · Livre","Média · Livre","Pesada · Livre")))</f>
        <v/>
      </c>
      <c r="PX32" s="152">
        <f>IF(OR($MN32=0,$NA32=0),"",IF($MC32=0,"−1 dado","−"&amp;INDEX($I$2:$N$8,MAX(1,$MC32),MAX(1,$NF32))&amp;" · "&amp;CHOOSE(MAX(1,$NF32),"Leve","Média","Pesada","Leve · Livre","Média · Livre","Pesada · Livre")))</f>
        <v/>
      </c>
      <c r="PY32" s="152">
        <f>IF(OR($MN32=0,$NB32=0),"",IF($MC32=0,"−1 dado","−"&amp;INDEX($I$2:$N$8,MAX(1,$MC32),MAX(1,$NG32))&amp;" · "&amp;CHOOSE(MAX(1,$NG32),"Leve","Média","Pesada","Leve · Livre","Média · Livre","Pesada · Livre")))</f>
        <v/>
      </c>
      <c r="PZ32" s="152">
        <f>IF(OR($MN32=0,$ML32=""),"",IF($MC32=0,"não devolve","+"&amp;IF($NR32=1,CEILING($MC32/2,1),$MC32)))</f>
        <v/>
      </c>
      <c r="QA32" s="152">
        <f>IF(OR($MN32=0,$MM32=""),"",IF($MC32=0,"não devolve","+"&amp;IF($NS32=1,CEILING($MC32/2,1),$MC32)))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JD33" s="152">
        <f>IF(OR($AW33="",COUNTIF($ED$2:$EH$2,$AW33)&gt;0),$AV33,"")</f>
        <v/>
      </c>
      <c r="JE33" s="152">
        <f>IF(AND($AX33=1,OR($AW33="",COUNTIF($ED$2:$EH$2,$AW33)&gt;0)),$AV33,"")</f>
        <v/>
      </c>
      <c r="JJ33" s="152">
        <f>IF(OR($AW33="",COUNTIF($ED$3:$EH$3,$AW33)&gt;0),$AV33,"")</f>
        <v/>
      </c>
      <c r="JK33" s="152">
        <f>IF(AND($AX33=1,OR($AW33="",COUNTIF($ED$3:$EH$3,$AW33)&gt;0)),$AV33,"")</f>
        <v/>
      </c>
      <c r="JP33" s="152">
        <f>IF(OR($AW33="",COUNTIF($ED$4:$EH$4,$AW33)&gt;0),$AV33,"")</f>
        <v/>
      </c>
      <c r="JQ33" s="152">
        <f>IF(AND($AX33=1,OR($AW33="",COUNTIF($ED$4:$EH$4,$AW33)&gt;0)),$AV33,"")</f>
        <v/>
      </c>
      <c r="JV33" s="152">
        <f>IF(OR($AW33="",COUNTIF($ED$5:$EH$5,$AW33)&gt;0),$AV33,"")</f>
        <v/>
      </c>
      <c r="JW33" s="152">
        <f>IF(AND($AX33=1,OR($AW33="",COUNTIF($ED$5:$EH$5,$AW33)&gt;0)),$AV33,"")</f>
        <v/>
      </c>
      <c r="KB33" s="152">
        <f>IF(OR($AW33="",COUNTIF($ED$6:$EH$6,$AW33)&gt;0),$AV33,"")</f>
        <v/>
      </c>
      <c r="KC33" s="152">
        <f>IF(AND($AX33=1,OR($AW33="",COUNTIF($ED$6:$EH$6,$AW33)&gt;0)),$AV33,"")</f>
        <v/>
      </c>
      <c r="KH33" s="152">
        <f>IF(OR($AW33="",COUNTIF($ED$7:$EH$7,$AW33)&gt;0),$AV33,"")</f>
        <v/>
      </c>
      <c r="KI33" s="152">
        <f>IF(AND($AX33=1,OR($AW33="",COUNTIF($ED$7:$EH$7,$AW33)&gt;0)),$AV33,"")</f>
        <v/>
      </c>
      <c r="KN33" s="152">
        <f>IF(OR($AW33="",COUNTIF($ED$8:$EH$8,$AW33)&gt;0),$AV33,"")</f>
        <v/>
      </c>
      <c r="KO33" s="152">
        <f>IF(AND($AX33=1,OR($AW33="",COUNTIF($ED$8:$EH$8,$AW33)&gt;0)),$AV33,"")</f>
        <v/>
      </c>
      <c r="KT33" s="152">
        <f>IF(OR($AW33="",COUNTIF($ED$9:$EH$9,$AW33)&gt;0),$AV33,"")</f>
        <v/>
      </c>
      <c r="KU33" s="152">
        <f>IF(AND($AX33=1,OR($AW33="",COUNTIF($ED$9:$EH$9,$AW33)&gt;0)),$AV33,"")</f>
        <v/>
      </c>
      <c r="KZ33" s="152">
        <f>IF(OR($AW33="",COUNTIF($ED$10:$EH$10,$AW33)&gt;0),$AV33,"")</f>
        <v/>
      </c>
      <c r="LA33" s="152">
        <f>IF(AND($AX33=1,OR($AW33="",COUNTIF($ED$10:$EH$10,$AW33)&gt;0)),$AV33,"")</f>
        <v/>
      </c>
      <c r="LF33" s="152">
        <f>IF(OR($AW33="",COUNTIF($ED$11:$EH$11,$AW33)&gt;0),$AV33,"")</f>
        <v/>
      </c>
      <c r="LG33" s="152">
        <f>IF(AND($AX33=1,OR($AW33="",COUNTIF($ED$11:$EH$11,$AW33)&gt;0)),$AV33,"")</f>
        <v/>
      </c>
      <c r="LL33" s="152">
        <f>IF(OR($AW33="",COUNTIF($ED$12:$EH$12,$AW33)&gt;0),$AV33,"")</f>
        <v/>
      </c>
      <c r="LM33" s="152">
        <f>IF(AND($AX33=1,OR($AW33="",COUNTIF($ED$12:$EH$12,$AW33)&gt;0)),$AV33,"")</f>
        <v/>
      </c>
      <c r="LR33" s="152">
        <f>IF(OR($AW33="",COUNTIF($ED$13:$EH$13,$AW33)&gt;0),$AV33,"")</f>
        <v/>
      </c>
      <c r="LS33" s="152">
        <f>IF(AND($AX33=1,OR($AW33="",COUNTIF($ED$13:$EH$13,$AW33)&gt;0)),$AV33,"")</f>
        <v/>
      </c>
      <c r="LX33" s="150" t="inlineStr">
        <is>
          <t>Ficha 3 · Especial 4</t>
        </is>
      </c>
      <c r="LY33" s="152" t="n">
        <v>3</v>
      </c>
      <c r="LZ33" s="152" t="n">
        <v>1</v>
      </c>
      <c r="MA33" s="152" t="n">
        <v>12</v>
      </c>
      <c r="MB33" s="150" t="inlineStr">
        <is>
          <t>ESPECIAL 4</t>
        </is>
      </c>
      <c r="MC33" s="152">
        <f>MAX(1,MIN(7,N('INVOCAÇÕES'!$U$488)))</f>
        <v/>
      </c>
      <c r="MD33" s="152">
        <f>'INVOCAÇÕES'!$V$488&amp;""</f>
        <v/>
      </c>
      <c r="ME33" s="152">
        <f>'INVOCAÇÕES'!$U$493&amp;""</f>
        <v/>
      </c>
      <c r="MF33" s="152">
        <f>'INVOCAÇÕES'!$U$494&amp;""</f>
        <v/>
      </c>
      <c r="MG33" s="152">
        <f>'INVOCAÇÕES'!$W$494&amp;""</f>
        <v/>
      </c>
      <c r="MH33" s="152">
        <f>'INVOCAÇÕES'!$V$497&amp;""</f>
        <v/>
      </c>
      <c r="MI33" s="152">
        <f>'INVOCAÇÕES'!$V$498&amp;""</f>
        <v/>
      </c>
      <c r="MJ33" s="152">
        <f>'INVOCAÇÕES'!$V$499&amp;""</f>
        <v/>
      </c>
      <c r="MK33" s="152">
        <f>'INVOCAÇÕES'!$V$500&amp;""</f>
        <v/>
      </c>
      <c r="ML33" s="152">
        <f>'INVOCAÇÕES'!$V$501&amp;""</f>
        <v/>
      </c>
      <c r="MM33" s="152">
        <f>'INVOCAÇÕES'!$V$502&amp;""</f>
        <v/>
      </c>
      <c r="MN33" s="152">
        <f>IF($MD33&lt;&gt;"",1,0)</f>
        <v/>
      </c>
      <c r="MO33" s="152">
        <f>INDEX($FG$2:$FG$13,$LY33)</f>
        <v/>
      </c>
      <c r="MP33" s="152">
        <f>INDEX($FH$2:$FH$13,$LY33)</f>
        <v/>
      </c>
      <c r="MQ33" s="152">
        <f>INDEX($FI$2:$FI$13,$LY33)</f>
        <v/>
      </c>
      <c r="MR33" s="152">
        <f>INDEX($FT$2:$FT$13,$LY33)</f>
        <v/>
      </c>
      <c r="MS33" s="152">
        <f>INDEX($FU$2:$FU$13,$LY33)</f>
        <v/>
      </c>
      <c r="MT33" s="152">
        <f>IFERROR(MATCH($ME33,$V$2:$V$11,0),0)</f>
        <v/>
      </c>
      <c r="MU33" s="152">
        <f>IFERROR(VLOOKUP($MH33,$AV$2:$AZ$84,2,FALSE),"")</f>
        <v/>
      </c>
      <c r="MV33" s="152">
        <f>IFERROR(VLOOKUP($MI33,$AV$2:$AZ$84,2,FALSE),"")</f>
        <v/>
      </c>
      <c r="MW33" s="152">
        <f>IFERROR(VLOOKUP($MJ33,$AV$2:$AZ$84,2,FALSE),"")</f>
        <v/>
      </c>
      <c r="MX33" s="152">
        <f>IFERROR(VLOOKUP($MK33,$AV$2:$AZ$84,2,FALSE),"")</f>
        <v/>
      </c>
      <c r="MY33" s="152">
        <f>IFERROR(VLOOKUP($MH33,$AV$2:$AZ$84,3,FALSE),0)</f>
        <v/>
      </c>
      <c r="MZ33" s="152">
        <f>IFERROR(VLOOKUP($MI33,$AV$2:$AZ$84,3,FALSE),0)</f>
        <v/>
      </c>
      <c r="NA33" s="152">
        <f>IFERROR(VLOOKUP($MJ33,$AV$2:$AZ$84,3,FALSE),0)</f>
        <v/>
      </c>
      <c r="NB33" s="152">
        <f>IFERROR(VLOOKUP($MK33,$AV$2:$AZ$84,3,FALSE),0)</f>
        <v/>
      </c>
      <c r="NC33" s="152">
        <f>IF($MC33=0,0,IF($MT33=0,0,INDEX($X$2:$X$11,$MT33)))</f>
        <v/>
      </c>
      <c r="ND33" s="152">
        <f>IF(OR($MY33=0,$MC33=0),0,$MY33+3*IF(AND($MU33&lt;&gt;"",OR($MU33=INDEX($ED$2:$ED$13,$LY33),$MU33=INDEX($EE$2:$EE$13,$LY33))),1,0))</f>
        <v/>
      </c>
      <c r="NE33" s="152">
        <f>IF(OR($MZ33=0,$MC33=0),0,$MZ33+3*IF(AND($MV33&lt;&gt;"",OR($MV33=INDEX($ED$2:$ED$13,$LY33),$MV33=INDEX($EE$2:$EE$13,$LY33))),1,0))</f>
        <v/>
      </c>
      <c r="NF33" s="152">
        <f>IF(OR($NA33=0,$MC33=0),0,$NA33+3*IF(AND($MW33&lt;&gt;"",OR($MW33=INDEX($ED$2:$ED$13,$LY33),$MW33=INDEX($EE$2:$EE$13,$LY33))),1,0))</f>
        <v/>
      </c>
      <c r="NG33" s="152">
        <f>IF(OR($NB33=0,$MC33=0),0,$NB33+3*IF(AND($MX33&lt;&gt;"",OR($MX33=INDEX($ED$2:$ED$13,$LY33),$MX33=INDEX($EE$2:$EE$13,$LY33))),1,0))</f>
        <v/>
      </c>
      <c r="NH33" s="152">
        <f>IF($MT33=0,0,IF(INDEX($W$2:$W$11,$MT33)="",0,IF(COUNTIF(INDEX($ED$2:$EH$13,$LY33,0),INDEX($W$2:$W$11,$MT33))=0,1,0)))</f>
        <v/>
      </c>
      <c r="NI33" s="152">
        <f>IF(OR($MY33=0,$MU33=""),0,IF(COUNTIF(INDEX($ED$2:$EH$13,$LY33,0),$MU33)=0,1,0))</f>
        <v/>
      </c>
      <c r="NJ33" s="152">
        <f>IF(OR($MZ33=0,$MV33=""),0,IF(COUNTIF(INDEX($ED$2:$EH$13,$LY33,0),$MV33)=0,1,0))</f>
        <v/>
      </c>
      <c r="NK33" s="152">
        <f>IF(OR($NA33=0,$MW33=""),0,IF(COUNTIF(INDEX($ED$2:$EH$13,$LY33,0),$MW33)=0,1,0))</f>
        <v/>
      </c>
      <c r="NL33" s="152">
        <f>IF(OR($NB33=0,$MX33=""),0,IF(COUNTIF(INDEX($ED$2:$EH$13,$LY33,0),$MX33)=0,1,0))</f>
        <v/>
      </c>
      <c r="NM33" s="152">
        <f>IFERROR(VLOOKUP($MH33,$AV$2:$AZ$84,4,FALSE),0)+IFERROR(VLOOKUP($MI33,$AV$2:$AZ$84,4,FALSE),0)+IFERROR(VLOOKUP($MJ33,$AV$2:$AZ$84,4,FALSE),0)+IFERROR(VLOOKUP($MK33,$AV$2:$AZ$84,4,FALSE),0)</f>
        <v/>
      </c>
      <c r="NN33" s="152">
        <f>TEXTJOIN(", ",TRUE,IF(IFERROR(VLOOKUP($MH33,$AV$2:$AZ$84,5,FALSE),0)=1,$MH33,""),IF(IFERROR(VLOOKUP($MI33,$AV$2:$AZ$84,5,FALSE),0)=1,$MI33,""),IF(IFERROR(VLOOKUP($MJ33,$AV$2:$AZ$84,5,FALSE),0)=1,$MJ33,""),IF(IFERROR(VLOOKUP($MK33,$AV$2:$AZ$84,5,FALSE),0)=1,$MK33,""))</f>
        <v/>
      </c>
      <c r="NO33" s="152">
        <f>IF($MT33=0,0,INDEX($Y$2:$Y$11,$MT33))</f>
        <v/>
      </c>
      <c r="NP33" s="152">
        <f>IF($MT33=0,0,INDEX($Z$2:$Z$11,$MT33))</f>
        <v/>
      </c>
      <c r="NQ33" s="152">
        <f>IF($MT33=0,0,INDEX($AB$2:$AB$11,$MT33))</f>
        <v/>
      </c>
      <c r="NR33" s="152">
        <f>IFERROR(VLOOKUP($ML33,$BB$2:$BF$24,3,FALSE),0)</f>
        <v/>
      </c>
      <c r="NS33" s="152">
        <f>IFERROR(VLOOKUP($MM33,$BB$2:$BF$24,3,FALSE),0)</f>
        <v/>
      </c>
      <c r="NT33" s="152">
        <f>IFERROR(VLOOKUP($ML33,$BB$2:$BF$24,2,FALSE),"")</f>
        <v/>
      </c>
      <c r="NU33" s="152">
        <f>IFERROR(VLOOKUP($MM33,$BB$2:$BF$24,2,FALSE),"")</f>
        <v/>
      </c>
      <c r="NV33" s="152">
        <f>COUNTIF($NC33:$NG33,1)</f>
        <v/>
      </c>
      <c r="NW33" s="152">
        <f>COUNTIF($NC33:$NG33,2)</f>
        <v/>
      </c>
      <c r="NX33" s="152">
        <f>COUNTIF($NC33:$NG33,3)</f>
        <v/>
      </c>
      <c r="NY33" s="152">
        <f>COUNTIF($NC33:$NG33,4)</f>
        <v/>
      </c>
      <c r="NZ33" s="152">
        <f>COUNTIF($NC33:$NG33,5)</f>
        <v/>
      </c>
      <c r="OA33" s="152">
        <f>COUNTIF($NC33:$NG33,6)</f>
        <v/>
      </c>
      <c r="OB33" s="152">
        <f>COUNTIF($NR33:$NS33,1)</f>
        <v/>
      </c>
      <c r="OC33" s="152">
        <f>COUNTIF($NR33:$NS33,2)+$NO33</f>
        <v/>
      </c>
      <c r="OD33" s="152">
        <f>COUNTIF($MH33:$MK33,"?*")</f>
        <v/>
      </c>
      <c r="OE33" s="152">
        <f>COUNTIF($ML33:$MM33,"?*")+$NO33</f>
        <v/>
      </c>
      <c r="OF33" s="152">
        <f>IF($MC33=0,0,SUMPRODUCT($NV33:$OA33,INDEX($I$2:$N$8,MAX(1,$MC33),0)))</f>
        <v/>
      </c>
      <c r="OG33" s="152">
        <f>IF($MC33=0,0,$OB33*CEILING($MC33/2,1)+$OC33*$MC33)</f>
        <v/>
      </c>
      <c r="OH33" s="152">
        <f>MIN(2*$MC33,$OG33)</f>
        <v/>
      </c>
      <c r="OI33" s="152">
        <f>MIN($OH33,$OF33)</f>
        <v/>
      </c>
      <c r="OJ33" s="152">
        <f>$OH33-$OI33</f>
        <v/>
      </c>
      <c r="OK33" s="152">
        <f>IF($MC33=0,0,INDEX($P$2:$P$8,MAX(1,$MC33)))</f>
        <v/>
      </c>
      <c r="OL33" s="152">
        <f>$OK33-$OF33+$OI33</f>
        <v/>
      </c>
      <c r="OM33" s="152">
        <f>IF($MC33=0,MAX(0,$MQ33-IF($OD33&gt;0,1,0)),MAX(0,$OL33))</f>
        <v/>
      </c>
      <c r="ON33" s="152">
        <f>IF($MC33=0,0,(IF(COUNTIF($MH33:$MK33,"Salto")&gt;0,1,0)+IF(COUNTIF($MH33:$MK33,"Queima")&gt;0,1,0)+IF(COUNTIF($MH33:$MK33,"Estilhaço")&gt;0,1,0))*FLOOR($OM33/2,1))</f>
        <v/>
      </c>
      <c r="OO33" s="152">
        <f>MAX(0,2-SUMPRODUCT($NV33:$OA33,$I$2:$N$2)+MIN(2,$OB33*1+$OC33*1,SUMPRODUCT($NV33:$OA33,$I$2:$N$2)))</f>
        <v/>
      </c>
      <c r="OP33" s="152">
        <f>MAX(0,4-SUMPRODUCT($NV33:$OA33,$I$3:$N$3)+MIN(4,$OB33*1+$OC33*2,SUMPRODUCT($NV33:$OA33,$I$3:$N$3)))</f>
        <v/>
      </c>
      <c r="OQ33" s="152">
        <f>MAX(0,6-SUMPRODUCT($NV33:$OA33,$I$4:$N$4)+MIN(6,$OB33*2+$OC33*3,SUMPRODUCT($NV33:$OA33,$I$4:$N$4)))</f>
        <v/>
      </c>
      <c r="OR33" s="152">
        <f>MAX(0,9-SUMPRODUCT($NV33:$OA33,$I$5:$N$5)+MIN(8,$OB33*2+$OC33*4,SUMPRODUCT($NV33:$OA33,$I$5:$N$5)))</f>
        <v/>
      </c>
      <c r="OS33" s="152">
        <f>MAX(0,11-SUMPRODUCT($NV33:$OA33,$I$6:$N$6)+MIN(10,$OB33*3+$OC33*5,SUMPRODUCT($NV33:$OA33,$I$6:$N$6)))</f>
        <v/>
      </c>
      <c r="OT33" s="152">
        <f>MAX(0,13-SUMPRODUCT($NV33:$OA33,$I$7:$N$7)+MIN(12,$OB33*3+$OC33*6,SUMPRODUCT($NV33:$OA33,$I$7:$N$7)))</f>
        <v/>
      </c>
      <c r="OU33" s="152">
        <f>MAX(0,16-SUMPRODUCT($NV33:$OA33,$I$8:$N$8)+MIN(14,$OB33*4+$OC33*7,SUMPRODUCT($NV33:$OA33,$I$8:$N$8)))</f>
        <v/>
      </c>
      <c r="OV33" s="152">
        <f>IF($NP33=2,3*$OO33&amp;" de vida temp.",IF($NP33=3,"sem dano",IF($OO33=0,IF($NP33=1,"sem cura","sem dano"),IF($NP33=1,"cura ","")&amp;$OO33&amp;"d8")))</f>
        <v/>
      </c>
      <c r="OW33" s="152">
        <f>IF($NP33=2,3*$OP33&amp;" de vida temp.",IF($NP33=3,"sem dano",IF($OP33=0,IF($NP33=1,"sem cura","sem dano"),IF($NP33=1,"cura ","")&amp;$OP33&amp;"d8")))</f>
        <v/>
      </c>
      <c r="OX33" s="152">
        <f>IF($NP33=2,3*$OQ33&amp;" de vida temp.",IF($NP33=3,"sem dano",IF($OQ33=0,IF($NP33=1,"sem cura","sem dano"),IF($NP33=1,"cura ","")&amp;$OQ33&amp;"d8")))</f>
        <v/>
      </c>
      <c r="OY33" s="152">
        <f>IF($NP33=2,3*$OR33&amp;" de vida temp.",IF($NP33=3,"sem dano",IF($OR33=0,IF($NP33=1,"sem cura","sem dano"),IF($NP33=1,"cura ","")&amp;$OR33&amp;"d8")))</f>
        <v/>
      </c>
      <c r="OZ33" s="152">
        <f>IF($NP33=2,3*$OS33&amp;" de vida temp.",IF($NP33=3,"sem dano",IF($OS33=0,IF($NP33=1,"sem cura","sem dano"),IF($NP33=1,"cura ","")&amp;$OS33&amp;"d8")))</f>
        <v/>
      </c>
      <c r="PA33" s="152">
        <f>IF($NP33=2,3*$OT33&amp;" de vida temp.",IF($NP33=3,"sem dano",IF($OT33=0,IF($NP33=1,"sem cura","sem dano"),IF($NP33=1,"cura ","")&amp;$OT33&amp;"d8")))</f>
        <v/>
      </c>
      <c r="PB33" s="152">
        <f>IF($NP33=2,3*$OU33&amp;" de vida temp.",IF($NP33=3,"sem dano",IF($OU33=0,IF($NP33=1,"sem cura","sem dano"),IF($NP33=1,"cura ","")&amp;$OU33&amp;"d8")))</f>
        <v/>
      </c>
      <c r="PC33" s="152">
        <f>IF($MN33=0,"",TEXTJOIN(" · ",TRUE,IF($MA33&gt;$MO33,"Este lugar abre no nível "&amp;$MA33,""),IF($MC33&gt;$MP33,"Classe "&amp;$MC33&amp;": o nível "&amp;$MO33&amp;" libera até a "&amp;$MP33,""),IF($NH33=1,"A Forma "&amp;$ME33&amp;" pede "&amp;INDEX($W$2:$W$11,$MT33)&amp;" aberta",""),IF(AND($MC33=0,$MT33&gt;0,IF($MT33=0,0,INDEX($AF$2:$AF$11,$MT33))=0),$ME33&amp;" não existe na Classe 0",""),IF($NI33=1,"Família Fechada: "&amp;$MH33,""),IF($NJ33=1,"Família Fechada: "&amp;$MI33,""),IF($NK33=1,"Família Fechada: "&amp;$MJ33,""),IF($NL33=1,"Família Fechada: "&amp;$MK33,""),IF(AND($MC33&gt;0,$OD33&gt;INDEX($O$2:$O$8,MAX(1,$MC33))),$OD33&amp;" Melhorias: a Classe "&amp;$MC33&amp;" aceita "&amp;INDEX($O$2:$O$8,MAX(1,$MC33)),""),IF(AND($MC33=0,$OD33&gt;1),"A básica aceita uma Melhoria",""),IF(AND($MC33=0,COUNTIF($MY33:$NB33,"&gt;1")&gt;0),"A básica só aceita Melhoria Leve",""),IF(AND($MC33&gt;0,$OE33&gt;2),$OE33&amp;" Restrições"&amp;IF($NO33=1,", contando a que a Forma "&amp;$ME33&amp;" já traz","")&amp;": o limite é 2",""),IF(AND($MC33=0,COUNTIF($ML33:$MM33,"?*")&gt;1),"A básica aceita uma Restrição Leve",""),IF(AND($MC33=0,COUNTIF($NR33:$NS33,2)&gt;0),"A básica só aceita Restrição Leve",""),IF(AND($MC33&gt;0,$OL33&lt;0),"Orçamento estourado: faltam "&amp;(-$OL33)&amp;IF($OL33&lt;-1," pontos"," ponto"),""),IF(IFERROR(VLOOKUP($ML33,$BB$2:$BF$24,4,FALSE),0)+IFERROR(VLOOKUP($MM33,$BB$2:$BF$24,4,FALSE),0)&gt;1,$NT33&amp;" e "&amp;$NU33&amp;" são as duas de frequência",""),IF(AND((COUNTIF($MH33:$MK33,"Rápido")+COUNTIF($NT33:$NU33,"Rápido"))&gt;0,(COUNTIF($MH33:$MK33,"Atrasar")+COUNTIF($NT33:$NU33,"Atrasar"))&gt;0),"Rápido não entra com Atrasar",""),IF(AND((COUNTIF($MH33:$MK33,"Reação")+COUNTIF($NT33:$NU33,"Reação"))&gt;0,(COUNTIF($MH33:$MK33,"Rápido")+COUNTIF($NT33:$NU33,"Rápido"))&gt;0),"Reação não entra com Rápido",""),IF(AND((COUNTIF($MH33:$MK33,"Reação")+COUNTIF($NT33:$NU33,"Reação"))&gt;0,(COUNTIF($MH33:$MK33,"Armado")+COUNTIF($NT33:$NU33,"Armado"))&gt;0),"Reação não entra com Armado",""),IF(AND((COUNTIF($MH33:$MK33,"Reação")+COUNTIF($NT33:$NU33,"Reação"))&gt;0,(COUNTIF($MH33:$MK33,"Atrasar")+COUNTIF($NT33:$NU33,"Atrasar"))&gt;0),"Reação não entra com Atrasar",""),IF(AND((COUNTIF($MH33:$MK33,"Reação")+COUNTIF($NT33:$NU33,"Reação"))&gt;0,(COUNTIF($MH33:$MK33,"Parado")+COUNTIF($NT33:$NU33,"Parado"))&gt;0),"Reação não entra com Parado",""),IF(AND((COUNTIF($MH33:$MK33,"Atrasar")+COUNTIF($NT33:$NU33,"Atrasar"))&gt;0,(COUNTIF($MH33:$MK33,"Parado")+COUNTIF($NT33:$NU33,"Parado"))&gt;0),"Atrasar não entra com Parado",""),IF(AND((COUNTIF($MH33:$MK33,"Armado")+COUNTIF($NT33:$NU33,"Armado"))&gt;0,(COUNTIF($MH33:$MK33,"Carregar")+COUNTIF($NT33:$NU33,"Carregar"))&gt;0),"Armado não entra com Carregar",""),IF(AND(COUNTIF($NT33:$NU33,"Corpo a Corpo")&gt;0,$NO33=0,OR($ME33="Cone",$ME33="Linha")),"Corpo a Corpo não entra em "&amp;$ME33,""),IF(AND(COUNTIF($NT33:$NU33,"Corpo a Corpo")&gt;0,$NO33=1),"A Forma "&amp;$ME33&amp;" já traz o Corpo a Corpo",""),IF(AND(COUNTIF($NT33:$NU33,"Tudo ou Nada")&gt;0,$NQ33=0),"Tudo ou Nada só entra em habilidade de Teste de Resistência",""),IF(AND(COUNTIF($MH33:$MK33,"Inescapável")&gt;0,OR($OD33&gt;1,$OE33&gt;0)),"Inescapável não aceita outra peça",""),IF(AND($MC33&gt;0,$OM33*IF(COUNTIF($MH33:$MK33,"Remate")&gt;0,1.25,1)+$ON33&gt;4*$MC33),($OM33*IF(COUNTIF($MH33:$MK33,"Remate")&gt;0,1.25,1)+$ON33)&amp;" dados somando repetições"&amp;IF(COUNTIF($MH33:$MK33,"Remate")&gt;0," e o Remate","")&amp;": o teto da Classe "&amp;$MC33&amp;" é "&amp;4*$MC33,"")))</f>
        <v/>
      </c>
      <c r="PD33" s="152">
        <f>IF($PC33="",0,(LEN($PC33)-LEN(SUBSTITUTE($PC33," · ","")))/3+1)</f>
        <v/>
      </c>
      <c r="PE33" s="152">
        <f>IF($MN33=0,"",TEXTJOIN(" · ",TRUE,IF($OG33&gt;2*$MC33,"A devolução parou no teto de "&amp;2*$MC33,""),IF($OJ33&gt;0,"Devolução perdida: "&amp;$OJ33&amp;IF($OJ33&gt;1," pontos"," ponto")&amp;" sem peça para pagar",""),IF(AND($NM33&gt;0,AND($MC33&gt;0,$NP33=0),$OM33=0),"Controle sem dano: uma rodada a mais e CD +2",""),IF(AND($NM33&gt;0,AND($MC33&gt;0,$NP33=0),$OM33&gt;0,$OM33&lt;=$MC33),"Controle com saldo até a Classe: uma rodada a mais",""),IF(AND($MC33&gt;0,$NN33&lt;&gt;""),"Efeito de "&amp;$NN33&amp;" pela Classe "&amp;MAX(1,$MC33-1),"")))</f>
        <v/>
      </c>
      <c r="PF33" s="152">
        <f>IF($PE33="",0,(LEN($PE33)-LEN(SUBSTITUTE($PE33," · ","")))/3+1)</f>
        <v/>
      </c>
      <c r="PG33" s="152">
        <f>IF($MN33=0,IF($OD33+COUNTIF($ML33:$MM33,"?*")&gt;0,"Dê um nome",""),IF($PD33&gt;0,"⚠ "&amp;$PD33&amp;IF($PD33&gt;1," erros"," erro"),IF($PF33&gt;0,"! "&amp;$PF33&amp;IF($PF33&gt;1," avisos"," aviso"),"Na regra")))</f>
        <v/>
      </c>
      <c r="PH33" s="152">
        <f>IF($MN33=0,"",IF($PD33+$PF33=0,"Dentro das regras que a ficha confere",$PC33&amp;IF(AND($PD33&gt;0,$PF33&gt;0)," · ","")&amp;$PE33))</f>
        <v/>
      </c>
      <c r="PI33" s="152">
        <f>IF($MA33&gt;$MO33,$MB33&amp;" · ABRE NO NÍVEL "&amp;$MA33,$MB33)</f>
        <v/>
      </c>
      <c r="PJ33" s="152">
        <f>IF($MN33=0,"",IF($MC33=0,"Sem PE",3*$MC33&amp;" PE"))</f>
        <v/>
      </c>
      <c r="PK33" s="152">
        <f>IF($MN33=0,"",IF($MC33=0,"A atuação básica dela",IF(COUNTIF($NT33:$NU33,"Atrasar")&gt;0,"Sua Ação Completa",IF(COUNTIF($MH33:$MK33,"Rápido")&gt;0,"Sua Bônus",IF(COUNTIF($MH33:$MK33,"Reação")&gt;0,"Sua Reação","Sua Padrão")))&amp;" + a básica dela"&amp;IF(COUNTIF($MH33:$MK33,"Reação")&gt;0," e a coletiva","")&amp;IF(COUNTIF($NT33:$NU33,"Carregar")&gt;0," · em dois turnos","")))</f>
        <v/>
      </c>
      <c r="PL33" s="152">
        <f>IF($MG33&lt;&gt;"",$MG33,IF($MT33=0,"",INDEX($AA$2:$AA$11,$MT33)))</f>
        <v/>
      </c>
      <c r="PM33" s="152">
        <f>IF(OR($MN33=0,$MT33=0),"",IF(COUNTIF($MH33:$MK33,"Inescapável")&gt;0,"Automático",IF($PL33="Ataque",IF($MR33="","Ataque","Ataque "&amp;IF(($MR33+2*IF(COUNTIF($MH33:$MK33,"Precisão")&gt;0,1,0))&gt;=0,"+","−")&amp;ABS(($MR33+2*IF(COUNTIF($MH33:$MK33,"Precisão")&gt;0,1,0)))),IF(LEFT($PL33,2)="TR",$PL33&amp;IF($MS33="",""," · CD "&amp;$MS33)&amp;IF(COUNTIF($MH33:$MK33,"Certeiro")&gt;0," · metade",""),"Sem rolagem"))))</f>
        <v/>
      </c>
      <c r="PN33" s="152">
        <f>IF(OR($MN33=0,$MT33=0),"",IF($MC33=0,IF(OR($NP33&gt;=1,$OM33=0),"Sem dano",$OM33&amp;"d6"&amp;IF($MF33="",""," "&amp;$MF33)),IF(OR($NP33&gt;=1,$OM33=0),UPPER(LEFT(INDEX($OV33:$PB33,1,MAX(1,$MC33)),1))&amp;MID(INDEX($OV33:$PB33,1,MAX(1,$MC33)),2,99),UPPER(LEFT(INDEX($OV33:$PB33,1,MAX(1,$MC33)),1))&amp;MID(INDEX($OV33:$PB33,1,MAX(1,$MC33)),2,99)&amp;IF($MF33="",""," "&amp;$MF33)&amp;IF($ON33&gt;0," · +"&amp;$ON33&amp;"d8",""))))</f>
        <v/>
      </c>
      <c r="PO33" s="152">
        <f>COUNTIF($MH33:$MK33,"Longe")+3*COUNTIF($MH33:$MK33,"Muito Longe")</f>
        <v/>
      </c>
      <c r="PP33" s="152">
        <f>COUNTIF($MH33:$MK33,"Maior")+3*COUNTIF($MH33:$MK33,"Muito Maior")</f>
        <v/>
      </c>
      <c r="PQ33" s="152">
        <f>IF($MT33=0,0,CHOOSE(1+INDEX($AC$2:$AC$11,$MT33),0,$PO33,$PP33,$PO33+$PP33))</f>
        <v/>
      </c>
      <c r="PR33" s="152">
        <f>IF($MT33=0,0,CHOOSE(1+INDEX($AD$2:$AD$11,$MT33),0,$PO33,$PP33,$PO33+$PP33))</f>
        <v/>
      </c>
      <c r="PS33" s="152">
        <f>IF(OR($MN33=0,$MT33=0),"",INDEX($AI$2:$AN$41,($MT33-1)*4+IF($MC33=0,1,IF($MC33&lt;=5,2,IF($MC33=6,3,4))),1+MIN(5,$PQ33))&amp;INDEX($AO$2:$AT$41,($MT33-1)*4+IF($MC33=0,1,IF($MC33&lt;=5,2,IF($MC33=6,3,4))),1+MIN(5,$PR33))&amp;IF(INDEX($AE$2:$AE$11,$MT33)=1,IF(COUNTIF($MH33:$MK33,"Mais Um")&gt;0," · +"&amp;COUNTIF($MH33:$MK33,"Mais Um")&amp;IF(COUNTIF($MH33:$MK33,"Mais Um")&gt;1," alvos"," alvo"),"")&amp;IF(COUNTIF($MH33:$MK33,"Rajada")&gt;0,IF($MC33=0," · 1 tiro"," · "&amp;(MAX(1,$MC33-1)+1)&amp;" tiros"),""),""))</f>
        <v/>
      </c>
      <c r="PT33" s="152">
        <f>IF($MN33=0,"",IF($MC33=0,$MQ33&amp;"d6"&amp;IF($OD33&gt;0," − 1 = "&amp;$OM33&amp;"d6"," da básica do nível "&amp;$MO33),$OK33&amp;" − "&amp;$OF33&amp;" + "&amp;$OI33&amp;" = "&amp;$OL33&amp;" · teto "&amp;4*$MC33&amp;"d8"&amp;IF($NO33=1," · a Forma devolve "&amp;$MC33,"")&amp;IF($OJ33&gt;0," · perde "&amp;$OJ33,"")))</f>
        <v/>
      </c>
      <c r="PU33" s="152">
        <f>IF($MN33=0,"",IF($MC33=0,"A básica não amplia: os dados dela sobem com o nível",IF($MC33&gt;=$MP33,"Já está na maior Classe que o nível liberou",TEXTJOIN(" · ",TRUE,IF(AND(2&gt;$MC33,2&lt;=$MP33),"2 → "&amp;$OW33&amp;", 6 PE",""),IF(AND(3&gt;$MC33,3&lt;=$MP33),"3 → "&amp;$OX33&amp;", 9 PE",""),IF(AND(4&gt;$MC33,4&lt;=$MP33),"4 → "&amp;$OY33&amp;", 12 PE",""),IF(AND(5&gt;$MC33,5&lt;=$MP33),"5 → "&amp;$OZ33&amp;", 15 PE",""),IF(AND(6&gt;$MC33,6&lt;=$MP33),"6 → "&amp;$PA33&amp;", 18 PE",""),IF(AND(7&gt;$MC33,7&lt;=$MP33),"7 → "&amp;$PB33&amp;", 21 PE","")))))</f>
        <v/>
      </c>
      <c r="PV33" s="152">
        <f>IF(OR($MN33=0,$MY33=0),"",IF($MC33=0,"−1 dado","−"&amp;INDEX($I$2:$N$8,MAX(1,$MC33),MAX(1,$ND33))&amp;" · "&amp;CHOOSE(MAX(1,$ND33),"Leve","Média","Pesada","Leve · Livre","Média · Livre","Pesada · Livre")))</f>
        <v/>
      </c>
      <c r="PW33" s="152">
        <f>IF(OR($MN33=0,$MZ33=0),"",IF($MC33=0,"−1 dado","−"&amp;INDEX($I$2:$N$8,MAX(1,$MC33),MAX(1,$NE33))&amp;" · "&amp;CHOOSE(MAX(1,$NE33),"Leve","Média","Pesada","Leve · Livre","Média · Livre","Pesada · Livre")))</f>
        <v/>
      </c>
      <c r="PX33" s="152">
        <f>IF(OR($MN33=0,$NA33=0),"",IF($MC33=0,"−1 dado","−"&amp;INDEX($I$2:$N$8,MAX(1,$MC33),MAX(1,$NF33))&amp;" · "&amp;CHOOSE(MAX(1,$NF33),"Leve","Média","Pesada","Leve · Livre","Média · Livre","Pesada · Livre")))</f>
        <v/>
      </c>
      <c r="PY33" s="152">
        <f>IF(OR($MN33=0,$NB33=0),"",IF($MC33=0,"−1 dado","−"&amp;INDEX($I$2:$N$8,MAX(1,$MC33),MAX(1,$NG33))&amp;" · "&amp;CHOOSE(MAX(1,$NG33),"Leve","Média","Pesada","Leve · Livre","Média · Livre","Pesada · Livre")))</f>
        <v/>
      </c>
      <c r="PZ33" s="152">
        <f>IF(OR($MN33=0,$ML33=""),"",IF($MC33=0,"não devolve","+"&amp;IF($NR33=1,CEILING($MC33/2,1),$MC33)))</f>
        <v/>
      </c>
      <c r="QA33" s="152">
        <f>IF(OR($MN33=0,$MM33=""),"",IF($MC33=0,"não devolve","+"&amp;IF($NS33=1,CEILING($MC33/2,1),$MC33)))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JD34" s="152">
        <f>IF(OR($AW34="",COUNTIF($ED$2:$EH$2,$AW34)&gt;0),$AV34,"")</f>
        <v/>
      </c>
      <c r="JE34" s="152">
        <f>IF(AND($AX34=1,OR($AW34="",COUNTIF($ED$2:$EH$2,$AW34)&gt;0)),$AV34,"")</f>
        <v/>
      </c>
      <c r="JJ34" s="152">
        <f>IF(OR($AW34="",COUNTIF($ED$3:$EH$3,$AW34)&gt;0),$AV34,"")</f>
        <v/>
      </c>
      <c r="JK34" s="152">
        <f>IF(AND($AX34=1,OR($AW34="",COUNTIF($ED$3:$EH$3,$AW34)&gt;0)),$AV34,"")</f>
        <v/>
      </c>
      <c r="JP34" s="152">
        <f>IF(OR($AW34="",COUNTIF($ED$4:$EH$4,$AW34)&gt;0),$AV34,"")</f>
        <v/>
      </c>
      <c r="JQ34" s="152">
        <f>IF(AND($AX34=1,OR($AW34="",COUNTIF($ED$4:$EH$4,$AW34)&gt;0)),$AV34,"")</f>
        <v/>
      </c>
      <c r="JV34" s="152">
        <f>IF(OR($AW34="",COUNTIF($ED$5:$EH$5,$AW34)&gt;0),$AV34,"")</f>
        <v/>
      </c>
      <c r="JW34" s="152">
        <f>IF(AND($AX34=1,OR($AW34="",COUNTIF($ED$5:$EH$5,$AW34)&gt;0)),$AV34,"")</f>
        <v/>
      </c>
      <c r="KB34" s="152">
        <f>IF(OR($AW34="",COUNTIF($ED$6:$EH$6,$AW34)&gt;0),$AV34,"")</f>
        <v/>
      </c>
      <c r="KC34" s="152">
        <f>IF(AND($AX34=1,OR($AW34="",COUNTIF($ED$6:$EH$6,$AW34)&gt;0)),$AV34,"")</f>
        <v/>
      </c>
      <c r="KH34" s="152">
        <f>IF(OR($AW34="",COUNTIF($ED$7:$EH$7,$AW34)&gt;0),$AV34,"")</f>
        <v/>
      </c>
      <c r="KI34" s="152">
        <f>IF(AND($AX34=1,OR($AW34="",COUNTIF($ED$7:$EH$7,$AW34)&gt;0)),$AV34,"")</f>
        <v/>
      </c>
      <c r="KN34" s="152">
        <f>IF(OR($AW34="",COUNTIF($ED$8:$EH$8,$AW34)&gt;0),$AV34,"")</f>
        <v/>
      </c>
      <c r="KO34" s="152">
        <f>IF(AND($AX34=1,OR($AW34="",COUNTIF($ED$8:$EH$8,$AW34)&gt;0)),$AV34,"")</f>
        <v/>
      </c>
      <c r="KT34" s="152">
        <f>IF(OR($AW34="",COUNTIF($ED$9:$EH$9,$AW34)&gt;0),$AV34,"")</f>
        <v/>
      </c>
      <c r="KU34" s="152">
        <f>IF(AND($AX34=1,OR($AW34="",COUNTIF($ED$9:$EH$9,$AW34)&gt;0)),$AV34,"")</f>
        <v/>
      </c>
      <c r="KZ34" s="152">
        <f>IF(OR($AW34="",COUNTIF($ED$10:$EH$10,$AW34)&gt;0),$AV34,"")</f>
        <v/>
      </c>
      <c r="LA34" s="152">
        <f>IF(AND($AX34=1,OR($AW34="",COUNTIF($ED$10:$EH$10,$AW34)&gt;0)),$AV34,"")</f>
        <v/>
      </c>
      <c r="LF34" s="152">
        <f>IF(OR($AW34="",COUNTIF($ED$11:$EH$11,$AW34)&gt;0),$AV34,"")</f>
        <v/>
      </c>
      <c r="LG34" s="152">
        <f>IF(AND($AX34=1,OR($AW34="",COUNTIF($ED$11:$EH$11,$AW34)&gt;0)),$AV34,"")</f>
        <v/>
      </c>
      <c r="LL34" s="152">
        <f>IF(OR($AW34="",COUNTIF($ED$12:$EH$12,$AW34)&gt;0),$AV34,"")</f>
        <v/>
      </c>
      <c r="LM34" s="152">
        <f>IF(AND($AX34=1,OR($AW34="",COUNTIF($ED$12:$EH$12,$AW34)&gt;0)),$AV34,"")</f>
        <v/>
      </c>
      <c r="LR34" s="152">
        <f>IF(OR($AW34="",COUNTIF($ED$13:$EH$13,$AW34)&gt;0),$AV34,"")</f>
        <v/>
      </c>
      <c r="LS34" s="152">
        <f>IF(AND($AX34=1,OR($AW34="",COUNTIF($ED$13:$EH$13,$AW34)&gt;0)),$AV34,"")</f>
        <v/>
      </c>
      <c r="LX34" s="150" t="inlineStr">
        <is>
          <t>Ficha 3 · Especial 5</t>
        </is>
      </c>
      <c r="LY34" s="152" t="n">
        <v>3</v>
      </c>
      <c r="LZ34" s="152" t="n">
        <v>1</v>
      </c>
      <c r="MA34" s="152" t="n">
        <v>16</v>
      </c>
      <c r="MB34" s="150" t="inlineStr">
        <is>
          <t>ESPECIAL 5</t>
        </is>
      </c>
      <c r="MC34" s="152">
        <f>MAX(1,MIN(7,N('INVOCAÇÕES'!$I$510)))</f>
        <v/>
      </c>
      <c r="MD34" s="152">
        <f>'INVOCAÇÕES'!$J$510&amp;""</f>
        <v/>
      </c>
      <c r="ME34" s="152">
        <f>'INVOCAÇÕES'!$I$515&amp;""</f>
        <v/>
      </c>
      <c r="MF34" s="152">
        <f>'INVOCAÇÕES'!$I$516&amp;""</f>
        <v/>
      </c>
      <c r="MG34" s="152">
        <f>'INVOCAÇÕES'!$K$516&amp;""</f>
        <v/>
      </c>
      <c r="MH34" s="152">
        <f>'INVOCAÇÕES'!$J$519&amp;""</f>
        <v/>
      </c>
      <c r="MI34" s="152">
        <f>'INVOCAÇÕES'!$J$520&amp;""</f>
        <v/>
      </c>
      <c r="MJ34" s="152">
        <f>'INVOCAÇÕES'!$J$521&amp;""</f>
        <v/>
      </c>
      <c r="MK34" s="152">
        <f>'INVOCAÇÕES'!$J$522&amp;""</f>
        <v/>
      </c>
      <c r="ML34" s="152">
        <f>'INVOCAÇÕES'!$J$523&amp;""</f>
        <v/>
      </c>
      <c r="MM34" s="152">
        <f>'INVOCAÇÕES'!$J$524&amp;""</f>
        <v/>
      </c>
      <c r="MN34" s="152">
        <f>IF($MD34&lt;&gt;"",1,0)</f>
        <v/>
      </c>
      <c r="MO34" s="152">
        <f>INDEX($FG$2:$FG$13,$LY34)</f>
        <v/>
      </c>
      <c r="MP34" s="152">
        <f>INDEX($FH$2:$FH$13,$LY34)</f>
        <v/>
      </c>
      <c r="MQ34" s="152">
        <f>INDEX($FI$2:$FI$13,$LY34)</f>
        <v/>
      </c>
      <c r="MR34" s="152">
        <f>INDEX($FT$2:$FT$13,$LY34)</f>
        <v/>
      </c>
      <c r="MS34" s="152">
        <f>INDEX($FU$2:$FU$13,$LY34)</f>
        <v/>
      </c>
      <c r="MT34" s="152">
        <f>IFERROR(MATCH($ME34,$V$2:$V$11,0),0)</f>
        <v/>
      </c>
      <c r="MU34" s="152">
        <f>IFERROR(VLOOKUP($MH34,$AV$2:$AZ$84,2,FALSE),"")</f>
        <v/>
      </c>
      <c r="MV34" s="152">
        <f>IFERROR(VLOOKUP($MI34,$AV$2:$AZ$84,2,FALSE),"")</f>
        <v/>
      </c>
      <c r="MW34" s="152">
        <f>IFERROR(VLOOKUP($MJ34,$AV$2:$AZ$84,2,FALSE),"")</f>
        <v/>
      </c>
      <c r="MX34" s="152">
        <f>IFERROR(VLOOKUP($MK34,$AV$2:$AZ$84,2,FALSE),"")</f>
        <v/>
      </c>
      <c r="MY34" s="152">
        <f>IFERROR(VLOOKUP($MH34,$AV$2:$AZ$84,3,FALSE),0)</f>
        <v/>
      </c>
      <c r="MZ34" s="152">
        <f>IFERROR(VLOOKUP($MI34,$AV$2:$AZ$84,3,FALSE),0)</f>
        <v/>
      </c>
      <c r="NA34" s="152">
        <f>IFERROR(VLOOKUP($MJ34,$AV$2:$AZ$84,3,FALSE),0)</f>
        <v/>
      </c>
      <c r="NB34" s="152">
        <f>IFERROR(VLOOKUP($MK34,$AV$2:$AZ$84,3,FALSE),0)</f>
        <v/>
      </c>
      <c r="NC34" s="152">
        <f>IF($MC34=0,0,IF($MT34=0,0,INDEX($X$2:$X$11,$MT34)))</f>
        <v/>
      </c>
      <c r="ND34" s="152">
        <f>IF(OR($MY34=0,$MC34=0),0,$MY34+3*IF(AND($MU34&lt;&gt;"",OR($MU34=INDEX($ED$2:$ED$13,$LY34),$MU34=INDEX($EE$2:$EE$13,$LY34))),1,0))</f>
        <v/>
      </c>
      <c r="NE34" s="152">
        <f>IF(OR($MZ34=0,$MC34=0),0,$MZ34+3*IF(AND($MV34&lt;&gt;"",OR($MV34=INDEX($ED$2:$ED$13,$LY34),$MV34=INDEX($EE$2:$EE$13,$LY34))),1,0))</f>
        <v/>
      </c>
      <c r="NF34" s="152">
        <f>IF(OR($NA34=0,$MC34=0),0,$NA34+3*IF(AND($MW34&lt;&gt;"",OR($MW34=INDEX($ED$2:$ED$13,$LY34),$MW34=INDEX($EE$2:$EE$13,$LY34))),1,0))</f>
        <v/>
      </c>
      <c r="NG34" s="152">
        <f>IF(OR($NB34=0,$MC34=0),0,$NB34+3*IF(AND($MX34&lt;&gt;"",OR($MX34=INDEX($ED$2:$ED$13,$LY34),$MX34=INDEX($EE$2:$EE$13,$LY34))),1,0))</f>
        <v/>
      </c>
      <c r="NH34" s="152">
        <f>IF($MT34=0,0,IF(INDEX($W$2:$W$11,$MT34)="",0,IF(COUNTIF(INDEX($ED$2:$EH$13,$LY34,0),INDEX($W$2:$W$11,$MT34))=0,1,0)))</f>
        <v/>
      </c>
      <c r="NI34" s="152">
        <f>IF(OR($MY34=0,$MU34=""),0,IF(COUNTIF(INDEX($ED$2:$EH$13,$LY34,0),$MU34)=0,1,0))</f>
        <v/>
      </c>
      <c r="NJ34" s="152">
        <f>IF(OR($MZ34=0,$MV34=""),0,IF(COUNTIF(INDEX($ED$2:$EH$13,$LY34,0),$MV34)=0,1,0))</f>
        <v/>
      </c>
      <c r="NK34" s="152">
        <f>IF(OR($NA34=0,$MW34=""),0,IF(COUNTIF(INDEX($ED$2:$EH$13,$LY34,0),$MW34)=0,1,0))</f>
        <v/>
      </c>
      <c r="NL34" s="152">
        <f>IF(OR($NB34=0,$MX34=""),0,IF(COUNTIF(INDEX($ED$2:$EH$13,$LY34,0),$MX34)=0,1,0))</f>
        <v/>
      </c>
      <c r="NM34" s="152">
        <f>IFERROR(VLOOKUP($MH34,$AV$2:$AZ$84,4,FALSE),0)+IFERROR(VLOOKUP($MI34,$AV$2:$AZ$84,4,FALSE),0)+IFERROR(VLOOKUP($MJ34,$AV$2:$AZ$84,4,FALSE),0)+IFERROR(VLOOKUP($MK34,$AV$2:$AZ$84,4,FALSE),0)</f>
        <v/>
      </c>
      <c r="NN34" s="152">
        <f>TEXTJOIN(", ",TRUE,IF(IFERROR(VLOOKUP($MH34,$AV$2:$AZ$84,5,FALSE),0)=1,$MH34,""),IF(IFERROR(VLOOKUP($MI34,$AV$2:$AZ$84,5,FALSE),0)=1,$MI34,""),IF(IFERROR(VLOOKUP($MJ34,$AV$2:$AZ$84,5,FALSE),0)=1,$MJ34,""),IF(IFERROR(VLOOKUP($MK34,$AV$2:$AZ$84,5,FALSE),0)=1,$MK34,""))</f>
        <v/>
      </c>
      <c r="NO34" s="152">
        <f>IF($MT34=0,0,INDEX($Y$2:$Y$11,$MT34))</f>
        <v/>
      </c>
      <c r="NP34" s="152">
        <f>IF($MT34=0,0,INDEX($Z$2:$Z$11,$MT34))</f>
        <v/>
      </c>
      <c r="NQ34" s="152">
        <f>IF($MT34=0,0,INDEX($AB$2:$AB$11,$MT34))</f>
        <v/>
      </c>
      <c r="NR34" s="152">
        <f>IFERROR(VLOOKUP($ML34,$BB$2:$BF$24,3,FALSE),0)</f>
        <v/>
      </c>
      <c r="NS34" s="152">
        <f>IFERROR(VLOOKUP($MM34,$BB$2:$BF$24,3,FALSE),0)</f>
        <v/>
      </c>
      <c r="NT34" s="152">
        <f>IFERROR(VLOOKUP($ML34,$BB$2:$BF$24,2,FALSE),"")</f>
        <v/>
      </c>
      <c r="NU34" s="152">
        <f>IFERROR(VLOOKUP($MM34,$BB$2:$BF$24,2,FALSE),"")</f>
        <v/>
      </c>
      <c r="NV34" s="152">
        <f>COUNTIF($NC34:$NG34,1)</f>
        <v/>
      </c>
      <c r="NW34" s="152">
        <f>COUNTIF($NC34:$NG34,2)</f>
        <v/>
      </c>
      <c r="NX34" s="152">
        <f>COUNTIF($NC34:$NG34,3)</f>
        <v/>
      </c>
      <c r="NY34" s="152">
        <f>COUNTIF($NC34:$NG34,4)</f>
        <v/>
      </c>
      <c r="NZ34" s="152">
        <f>COUNTIF($NC34:$NG34,5)</f>
        <v/>
      </c>
      <c r="OA34" s="152">
        <f>COUNTIF($NC34:$NG34,6)</f>
        <v/>
      </c>
      <c r="OB34" s="152">
        <f>COUNTIF($NR34:$NS34,1)</f>
        <v/>
      </c>
      <c r="OC34" s="152">
        <f>COUNTIF($NR34:$NS34,2)+$NO34</f>
        <v/>
      </c>
      <c r="OD34" s="152">
        <f>COUNTIF($MH34:$MK34,"?*")</f>
        <v/>
      </c>
      <c r="OE34" s="152">
        <f>COUNTIF($ML34:$MM34,"?*")+$NO34</f>
        <v/>
      </c>
      <c r="OF34" s="152">
        <f>IF($MC34=0,0,SUMPRODUCT($NV34:$OA34,INDEX($I$2:$N$8,MAX(1,$MC34),0)))</f>
        <v/>
      </c>
      <c r="OG34" s="152">
        <f>IF($MC34=0,0,$OB34*CEILING($MC34/2,1)+$OC34*$MC34)</f>
        <v/>
      </c>
      <c r="OH34" s="152">
        <f>MIN(2*$MC34,$OG34)</f>
        <v/>
      </c>
      <c r="OI34" s="152">
        <f>MIN($OH34,$OF34)</f>
        <v/>
      </c>
      <c r="OJ34" s="152">
        <f>$OH34-$OI34</f>
        <v/>
      </c>
      <c r="OK34" s="152">
        <f>IF($MC34=0,0,INDEX($P$2:$P$8,MAX(1,$MC34)))</f>
        <v/>
      </c>
      <c r="OL34" s="152">
        <f>$OK34-$OF34+$OI34</f>
        <v/>
      </c>
      <c r="OM34" s="152">
        <f>IF($MC34=0,MAX(0,$MQ34-IF($OD34&gt;0,1,0)),MAX(0,$OL34))</f>
        <v/>
      </c>
      <c r="ON34" s="152">
        <f>IF($MC34=0,0,(IF(COUNTIF($MH34:$MK34,"Salto")&gt;0,1,0)+IF(COUNTIF($MH34:$MK34,"Queima")&gt;0,1,0)+IF(COUNTIF($MH34:$MK34,"Estilhaço")&gt;0,1,0))*FLOOR($OM34/2,1))</f>
        <v/>
      </c>
      <c r="OO34" s="152">
        <f>MAX(0,2-SUMPRODUCT($NV34:$OA34,$I$2:$N$2)+MIN(2,$OB34*1+$OC34*1,SUMPRODUCT($NV34:$OA34,$I$2:$N$2)))</f>
        <v/>
      </c>
      <c r="OP34" s="152">
        <f>MAX(0,4-SUMPRODUCT($NV34:$OA34,$I$3:$N$3)+MIN(4,$OB34*1+$OC34*2,SUMPRODUCT($NV34:$OA34,$I$3:$N$3)))</f>
        <v/>
      </c>
      <c r="OQ34" s="152">
        <f>MAX(0,6-SUMPRODUCT($NV34:$OA34,$I$4:$N$4)+MIN(6,$OB34*2+$OC34*3,SUMPRODUCT($NV34:$OA34,$I$4:$N$4)))</f>
        <v/>
      </c>
      <c r="OR34" s="152">
        <f>MAX(0,9-SUMPRODUCT($NV34:$OA34,$I$5:$N$5)+MIN(8,$OB34*2+$OC34*4,SUMPRODUCT($NV34:$OA34,$I$5:$N$5)))</f>
        <v/>
      </c>
      <c r="OS34" s="152">
        <f>MAX(0,11-SUMPRODUCT($NV34:$OA34,$I$6:$N$6)+MIN(10,$OB34*3+$OC34*5,SUMPRODUCT($NV34:$OA34,$I$6:$N$6)))</f>
        <v/>
      </c>
      <c r="OT34" s="152">
        <f>MAX(0,13-SUMPRODUCT($NV34:$OA34,$I$7:$N$7)+MIN(12,$OB34*3+$OC34*6,SUMPRODUCT($NV34:$OA34,$I$7:$N$7)))</f>
        <v/>
      </c>
      <c r="OU34" s="152">
        <f>MAX(0,16-SUMPRODUCT($NV34:$OA34,$I$8:$N$8)+MIN(14,$OB34*4+$OC34*7,SUMPRODUCT($NV34:$OA34,$I$8:$N$8)))</f>
        <v/>
      </c>
      <c r="OV34" s="152">
        <f>IF($NP34=2,3*$OO34&amp;" de vida temp.",IF($NP34=3,"sem dano",IF($OO34=0,IF($NP34=1,"sem cura","sem dano"),IF($NP34=1,"cura ","")&amp;$OO34&amp;"d8")))</f>
        <v/>
      </c>
      <c r="OW34" s="152">
        <f>IF($NP34=2,3*$OP34&amp;" de vida temp.",IF($NP34=3,"sem dano",IF($OP34=0,IF($NP34=1,"sem cura","sem dano"),IF($NP34=1,"cura ","")&amp;$OP34&amp;"d8")))</f>
        <v/>
      </c>
      <c r="OX34" s="152">
        <f>IF($NP34=2,3*$OQ34&amp;" de vida temp.",IF($NP34=3,"sem dano",IF($OQ34=0,IF($NP34=1,"sem cura","sem dano"),IF($NP34=1,"cura ","")&amp;$OQ34&amp;"d8")))</f>
        <v/>
      </c>
      <c r="OY34" s="152">
        <f>IF($NP34=2,3*$OR34&amp;" de vida temp.",IF($NP34=3,"sem dano",IF($OR34=0,IF($NP34=1,"sem cura","sem dano"),IF($NP34=1,"cura ","")&amp;$OR34&amp;"d8")))</f>
        <v/>
      </c>
      <c r="OZ34" s="152">
        <f>IF($NP34=2,3*$OS34&amp;" de vida temp.",IF($NP34=3,"sem dano",IF($OS34=0,IF($NP34=1,"sem cura","sem dano"),IF($NP34=1,"cura ","")&amp;$OS34&amp;"d8")))</f>
        <v/>
      </c>
      <c r="PA34" s="152">
        <f>IF($NP34=2,3*$OT34&amp;" de vida temp.",IF($NP34=3,"sem dano",IF($OT34=0,IF($NP34=1,"sem cura","sem dano"),IF($NP34=1,"cura ","")&amp;$OT34&amp;"d8")))</f>
        <v/>
      </c>
      <c r="PB34" s="152">
        <f>IF($NP34=2,3*$OU34&amp;" de vida temp.",IF($NP34=3,"sem dano",IF($OU34=0,IF($NP34=1,"sem cura","sem dano"),IF($NP34=1,"cura ","")&amp;$OU34&amp;"d8")))</f>
        <v/>
      </c>
      <c r="PC34" s="152">
        <f>IF($MN34=0,"",TEXTJOIN(" · ",TRUE,IF($MA34&gt;$MO34,"Este lugar abre no nível "&amp;$MA34,""),IF($MC34&gt;$MP34,"Classe "&amp;$MC34&amp;": o nível "&amp;$MO34&amp;" libera até a "&amp;$MP34,""),IF($NH34=1,"A Forma "&amp;$ME34&amp;" pede "&amp;INDEX($W$2:$W$11,$MT34)&amp;" aberta",""),IF(AND($MC34=0,$MT34&gt;0,IF($MT34=0,0,INDEX($AF$2:$AF$11,$MT34))=0),$ME34&amp;" não existe na Classe 0",""),IF($NI34=1,"Família Fechada: "&amp;$MH34,""),IF($NJ34=1,"Família Fechada: "&amp;$MI34,""),IF($NK34=1,"Família Fechada: "&amp;$MJ34,""),IF($NL34=1,"Família Fechada: "&amp;$MK34,""),IF(AND($MC34&gt;0,$OD34&gt;INDEX($O$2:$O$8,MAX(1,$MC34))),$OD34&amp;" Melhorias: a Classe "&amp;$MC34&amp;" aceita "&amp;INDEX($O$2:$O$8,MAX(1,$MC34)),""),IF(AND($MC34=0,$OD34&gt;1),"A básica aceita uma Melhoria",""),IF(AND($MC34=0,COUNTIF($MY34:$NB34,"&gt;1")&gt;0),"A básica só aceita Melhoria Leve",""),IF(AND($MC34&gt;0,$OE34&gt;2),$OE34&amp;" Restrições"&amp;IF($NO34=1,", contando a que a Forma "&amp;$ME34&amp;" já traz","")&amp;": o limite é 2",""),IF(AND($MC34=0,COUNTIF($ML34:$MM34,"?*")&gt;1),"A básica aceita uma Restrição Leve",""),IF(AND($MC34=0,COUNTIF($NR34:$NS34,2)&gt;0),"A básica só aceita Restrição Leve",""),IF(AND($MC34&gt;0,$OL34&lt;0),"Orçamento estourado: faltam "&amp;(-$OL34)&amp;IF($OL34&lt;-1," pontos"," ponto"),""),IF(IFERROR(VLOOKUP($ML34,$BB$2:$BF$24,4,FALSE),0)+IFERROR(VLOOKUP($MM34,$BB$2:$BF$24,4,FALSE),0)&gt;1,$NT34&amp;" e "&amp;$NU34&amp;" são as duas de frequência",""),IF(AND((COUNTIF($MH34:$MK34,"Rápido")+COUNTIF($NT34:$NU34,"Rápido"))&gt;0,(COUNTIF($MH34:$MK34,"Atrasar")+COUNTIF($NT34:$NU34,"Atrasar"))&gt;0),"Rápido não entra com Atrasar",""),IF(AND((COUNTIF($MH34:$MK34,"Reação")+COUNTIF($NT34:$NU34,"Reação"))&gt;0,(COUNTIF($MH34:$MK34,"Rápido")+COUNTIF($NT34:$NU34,"Rápido"))&gt;0),"Reação não entra com Rápido",""),IF(AND((COUNTIF($MH34:$MK34,"Reação")+COUNTIF($NT34:$NU34,"Reação"))&gt;0,(COUNTIF($MH34:$MK34,"Armado")+COUNTIF($NT34:$NU34,"Armado"))&gt;0),"Reação não entra com Armado",""),IF(AND((COUNTIF($MH34:$MK34,"Reação")+COUNTIF($NT34:$NU34,"Reação"))&gt;0,(COUNTIF($MH34:$MK34,"Atrasar")+COUNTIF($NT34:$NU34,"Atrasar"))&gt;0),"Reação não entra com Atrasar",""),IF(AND((COUNTIF($MH34:$MK34,"Reação")+COUNTIF($NT34:$NU34,"Reação"))&gt;0,(COUNTIF($MH34:$MK34,"Parado")+COUNTIF($NT34:$NU34,"Parado"))&gt;0),"Reação não entra com Parado",""),IF(AND((COUNTIF($MH34:$MK34,"Atrasar")+COUNTIF($NT34:$NU34,"Atrasar"))&gt;0,(COUNTIF($MH34:$MK34,"Parado")+COUNTIF($NT34:$NU34,"Parado"))&gt;0),"Atrasar não entra com Parado",""),IF(AND((COUNTIF($MH34:$MK34,"Armado")+COUNTIF($NT34:$NU34,"Armado"))&gt;0,(COUNTIF($MH34:$MK34,"Carregar")+COUNTIF($NT34:$NU34,"Carregar"))&gt;0),"Armado não entra com Carregar",""),IF(AND(COUNTIF($NT34:$NU34,"Corpo a Corpo")&gt;0,$NO34=0,OR($ME34="Cone",$ME34="Linha")),"Corpo a Corpo não entra em "&amp;$ME34,""),IF(AND(COUNTIF($NT34:$NU34,"Corpo a Corpo")&gt;0,$NO34=1),"A Forma "&amp;$ME34&amp;" já traz o Corpo a Corpo",""),IF(AND(COUNTIF($NT34:$NU34,"Tudo ou Nada")&gt;0,$NQ34=0),"Tudo ou Nada só entra em habilidade de Teste de Resistência",""),IF(AND(COUNTIF($MH34:$MK34,"Inescapável")&gt;0,OR($OD34&gt;1,$OE34&gt;0)),"Inescapável não aceita outra peça",""),IF(AND($MC34&gt;0,$OM34*IF(COUNTIF($MH34:$MK34,"Remate")&gt;0,1.25,1)+$ON34&gt;4*$MC34),($OM34*IF(COUNTIF($MH34:$MK34,"Remate")&gt;0,1.25,1)+$ON34)&amp;" dados somando repetições"&amp;IF(COUNTIF($MH34:$MK34,"Remate")&gt;0," e o Remate","")&amp;": o teto da Classe "&amp;$MC34&amp;" é "&amp;4*$MC34,"")))</f>
        <v/>
      </c>
      <c r="PD34" s="152">
        <f>IF($PC34="",0,(LEN($PC34)-LEN(SUBSTITUTE($PC34," · ","")))/3+1)</f>
        <v/>
      </c>
      <c r="PE34" s="152">
        <f>IF($MN34=0,"",TEXTJOIN(" · ",TRUE,IF($OG34&gt;2*$MC34,"A devolução parou no teto de "&amp;2*$MC34,""),IF($OJ34&gt;0,"Devolução perdida: "&amp;$OJ34&amp;IF($OJ34&gt;1," pontos"," ponto")&amp;" sem peça para pagar",""),IF(AND($NM34&gt;0,AND($MC34&gt;0,$NP34=0),$OM34=0),"Controle sem dano: uma rodada a mais e CD +2",""),IF(AND($NM34&gt;0,AND($MC34&gt;0,$NP34=0),$OM34&gt;0,$OM34&lt;=$MC34),"Controle com saldo até a Classe: uma rodada a mais",""),IF(AND($MC34&gt;0,$NN34&lt;&gt;""),"Efeito de "&amp;$NN34&amp;" pela Classe "&amp;MAX(1,$MC34-1),"")))</f>
        <v/>
      </c>
      <c r="PF34" s="152">
        <f>IF($PE34="",0,(LEN($PE34)-LEN(SUBSTITUTE($PE34," · ","")))/3+1)</f>
        <v/>
      </c>
      <c r="PG34" s="152">
        <f>IF($MN34=0,IF($OD34+COUNTIF($ML34:$MM34,"?*")&gt;0,"Dê um nome",""),IF($PD34&gt;0,"⚠ "&amp;$PD34&amp;IF($PD34&gt;1," erros"," erro"),IF($PF34&gt;0,"! "&amp;$PF34&amp;IF($PF34&gt;1," avisos"," aviso"),"Na regra")))</f>
        <v/>
      </c>
      <c r="PH34" s="152">
        <f>IF($MN34=0,"",IF($PD34+$PF34=0,"Dentro das regras que a ficha confere",$PC34&amp;IF(AND($PD34&gt;0,$PF34&gt;0)," · ","")&amp;$PE34))</f>
        <v/>
      </c>
      <c r="PI34" s="152">
        <f>IF($MA34&gt;$MO34,$MB34&amp;" · ABRE NO NÍVEL "&amp;$MA34,$MB34)</f>
        <v/>
      </c>
      <c r="PJ34" s="152">
        <f>IF($MN34=0,"",IF($MC34=0,"Sem PE",3*$MC34&amp;" PE"))</f>
        <v/>
      </c>
      <c r="PK34" s="152">
        <f>IF($MN34=0,"",IF($MC34=0,"A atuação básica dela",IF(COUNTIF($NT34:$NU34,"Atrasar")&gt;0,"Sua Ação Completa",IF(COUNTIF($MH34:$MK34,"Rápido")&gt;0,"Sua Bônus",IF(COUNTIF($MH34:$MK34,"Reação")&gt;0,"Sua Reação","Sua Padrão")))&amp;" + a básica dela"&amp;IF(COUNTIF($MH34:$MK34,"Reação")&gt;0," e a coletiva","")&amp;IF(COUNTIF($NT34:$NU34,"Carregar")&gt;0," · em dois turnos","")))</f>
        <v/>
      </c>
      <c r="PL34" s="152">
        <f>IF($MG34&lt;&gt;"",$MG34,IF($MT34=0,"",INDEX($AA$2:$AA$11,$MT34)))</f>
        <v/>
      </c>
      <c r="PM34" s="152">
        <f>IF(OR($MN34=0,$MT34=0),"",IF(COUNTIF($MH34:$MK34,"Inescapável")&gt;0,"Automático",IF($PL34="Ataque",IF($MR34="","Ataque","Ataque "&amp;IF(($MR34+2*IF(COUNTIF($MH34:$MK34,"Precisão")&gt;0,1,0))&gt;=0,"+","−")&amp;ABS(($MR34+2*IF(COUNTIF($MH34:$MK34,"Precisão")&gt;0,1,0)))),IF(LEFT($PL34,2)="TR",$PL34&amp;IF($MS34="",""," · CD "&amp;$MS34)&amp;IF(COUNTIF($MH34:$MK34,"Certeiro")&gt;0," · metade",""),"Sem rolagem"))))</f>
        <v/>
      </c>
      <c r="PN34" s="152">
        <f>IF(OR($MN34=0,$MT34=0),"",IF($MC34=0,IF(OR($NP34&gt;=1,$OM34=0),"Sem dano",$OM34&amp;"d6"&amp;IF($MF34="",""," "&amp;$MF34)),IF(OR($NP34&gt;=1,$OM34=0),UPPER(LEFT(INDEX($OV34:$PB34,1,MAX(1,$MC34)),1))&amp;MID(INDEX($OV34:$PB34,1,MAX(1,$MC34)),2,99),UPPER(LEFT(INDEX($OV34:$PB34,1,MAX(1,$MC34)),1))&amp;MID(INDEX($OV34:$PB34,1,MAX(1,$MC34)),2,99)&amp;IF($MF34="",""," "&amp;$MF34)&amp;IF($ON34&gt;0," · +"&amp;$ON34&amp;"d8",""))))</f>
        <v/>
      </c>
      <c r="PO34" s="152">
        <f>COUNTIF($MH34:$MK34,"Longe")+3*COUNTIF($MH34:$MK34,"Muito Longe")</f>
        <v/>
      </c>
      <c r="PP34" s="152">
        <f>COUNTIF($MH34:$MK34,"Maior")+3*COUNTIF($MH34:$MK34,"Muito Maior")</f>
        <v/>
      </c>
      <c r="PQ34" s="152">
        <f>IF($MT34=0,0,CHOOSE(1+INDEX($AC$2:$AC$11,$MT34),0,$PO34,$PP34,$PO34+$PP34))</f>
        <v/>
      </c>
      <c r="PR34" s="152">
        <f>IF($MT34=0,0,CHOOSE(1+INDEX($AD$2:$AD$11,$MT34),0,$PO34,$PP34,$PO34+$PP34))</f>
        <v/>
      </c>
      <c r="PS34" s="152">
        <f>IF(OR($MN34=0,$MT34=0),"",INDEX($AI$2:$AN$41,($MT34-1)*4+IF($MC34=0,1,IF($MC34&lt;=5,2,IF($MC34=6,3,4))),1+MIN(5,$PQ34))&amp;INDEX($AO$2:$AT$41,($MT34-1)*4+IF($MC34=0,1,IF($MC34&lt;=5,2,IF($MC34=6,3,4))),1+MIN(5,$PR34))&amp;IF(INDEX($AE$2:$AE$11,$MT34)=1,IF(COUNTIF($MH34:$MK34,"Mais Um")&gt;0," · +"&amp;COUNTIF($MH34:$MK34,"Mais Um")&amp;IF(COUNTIF($MH34:$MK34,"Mais Um")&gt;1," alvos"," alvo"),"")&amp;IF(COUNTIF($MH34:$MK34,"Rajada")&gt;0,IF($MC34=0," · 1 tiro"," · "&amp;(MAX(1,$MC34-1)+1)&amp;" tiros"),""),""))</f>
        <v/>
      </c>
      <c r="PT34" s="152">
        <f>IF($MN34=0,"",IF($MC34=0,$MQ34&amp;"d6"&amp;IF($OD34&gt;0," − 1 = "&amp;$OM34&amp;"d6"," da básica do nível "&amp;$MO34),$OK34&amp;" − "&amp;$OF34&amp;" + "&amp;$OI34&amp;" = "&amp;$OL34&amp;" · teto "&amp;4*$MC34&amp;"d8"&amp;IF($NO34=1," · a Forma devolve "&amp;$MC34,"")&amp;IF($OJ34&gt;0," · perde "&amp;$OJ34,"")))</f>
        <v/>
      </c>
      <c r="PU34" s="152">
        <f>IF($MN34=0,"",IF($MC34=0,"A básica não amplia: os dados dela sobem com o nível",IF($MC34&gt;=$MP34,"Já está na maior Classe que o nível liberou",TEXTJOIN(" · ",TRUE,IF(AND(2&gt;$MC34,2&lt;=$MP34),"2 → "&amp;$OW34&amp;", 6 PE",""),IF(AND(3&gt;$MC34,3&lt;=$MP34),"3 → "&amp;$OX34&amp;", 9 PE",""),IF(AND(4&gt;$MC34,4&lt;=$MP34),"4 → "&amp;$OY34&amp;", 12 PE",""),IF(AND(5&gt;$MC34,5&lt;=$MP34),"5 → "&amp;$OZ34&amp;", 15 PE",""),IF(AND(6&gt;$MC34,6&lt;=$MP34),"6 → "&amp;$PA34&amp;", 18 PE",""),IF(AND(7&gt;$MC34,7&lt;=$MP34),"7 → "&amp;$PB34&amp;", 21 PE","")))))</f>
        <v/>
      </c>
      <c r="PV34" s="152">
        <f>IF(OR($MN34=0,$MY34=0),"",IF($MC34=0,"−1 dado","−"&amp;INDEX($I$2:$N$8,MAX(1,$MC34),MAX(1,$ND34))&amp;" · "&amp;CHOOSE(MAX(1,$ND34),"Leve","Média","Pesada","Leve · Livre","Média · Livre","Pesada · Livre")))</f>
        <v/>
      </c>
      <c r="PW34" s="152">
        <f>IF(OR($MN34=0,$MZ34=0),"",IF($MC34=0,"−1 dado","−"&amp;INDEX($I$2:$N$8,MAX(1,$MC34),MAX(1,$NE34))&amp;" · "&amp;CHOOSE(MAX(1,$NE34),"Leve","Média","Pesada","Leve · Livre","Média · Livre","Pesada · Livre")))</f>
        <v/>
      </c>
      <c r="PX34" s="152">
        <f>IF(OR($MN34=0,$NA34=0),"",IF($MC34=0,"−1 dado","−"&amp;INDEX($I$2:$N$8,MAX(1,$MC34),MAX(1,$NF34))&amp;" · "&amp;CHOOSE(MAX(1,$NF34),"Leve","Média","Pesada","Leve · Livre","Média · Livre","Pesada · Livre")))</f>
        <v/>
      </c>
      <c r="PY34" s="152">
        <f>IF(OR($MN34=0,$NB34=0),"",IF($MC34=0,"−1 dado","−"&amp;INDEX($I$2:$N$8,MAX(1,$MC34),MAX(1,$NG34))&amp;" · "&amp;CHOOSE(MAX(1,$NG34),"Leve","Média","Pesada","Leve · Livre","Média · Livre","Pesada · Livre")))</f>
        <v/>
      </c>
      <c r="PZ34" s="152">
        <f>IF(OR($MN34=0,$ML34=""),"",IF($MC34=0,"não devolve","+"&amp;IF($NR34=1,CEILING($MC34/2,1),$MC34)))</f>
        <v/>
      </c>
      <c r="QA34" s="152">
        <f>IF(OR($MN34=0,$MM34=""),"",IF($MC34=0,"não devolve","+"&amp;IF($NS34=1,CEILING($MC34/2,1),$MC34)))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JD35" s="152">
        <f>IF(OR($AW35="",COUNTIF($ED$2:$EH$2,$AW35)&gt;0),$AV35,"")</f>
        <v/>
      </c>
      <c r="JE35" s="152">
        <f>IF(AND($AX35=1,OR($AW35="",COUNTIF($ED$2:$EH$2,$AW35)&gt;0)),$AV35,"")</f>
        <v/>
      </c>
      <c r="JJ35" s="152">
        <f>IF(OR($AW35="",COUNTIF($ED$3:$EH$3,$AW35)&gt;0),$AV35,"")</f>
        <v/>
      </c>
      <c r="JK35" s="152">
        <f>IF(AND($AX35=1,OR($AW35="",COUNTIF($ED$3:$EH$3,$AW35)&gt;0)),$AV35,"")</f>
        <v/>
      </c>
      <c r="JP35" s="152">
        <f>IF(OR($AW35="",COUNTIF($ED$4:$EH$4,$AW35)&gt;0),$AV35,"")</f>
        <v/>
      </c>
      <c r="JQ35" s="152">
        <f>IF(AND($AX35=1,OR($AW35="",COUNTIF($ED$4:$EH$4,$AW35)&gt;0)),$AV35,"")</f>
        <v/>
      </c>
      <c r="JV35" s="152">
        <f>IF(OR($AW35="",COUNTIF($ED$5:$EH$5,$AW35)&gt;0),$AV35,"")</f>
        <v/>
      </c>
      <c r="JW35" s="152">
        <f>IF(AND($AX35=1,OR($AW35="",COUNTIF($ED$5:$EH$5,$AW35)&gt;0)),$AV35,"")</f>
        <v/>
      </c>
      <c r="KB35" s="152">
        <f>IF(OR($AW35="",COUNTIF($ED$6:$EH$6,$AW35)&gt;0),$AV35,"")</f>
        <v/>
      </c>
      <c r="KC35" s="152">
        <f>IF(AND($AX35=1,OR($AW35="",COUNTIF($ED$6:$EH$6,$AW35)&gt;0)),$AV35,"")</f>
        <v/>
      </c>
      <c r="KH35" s="152">
        <f>IF(OR($AW35="",COUNTIF($ED$7:$EH$7,$AW35)&gt;0),$AV35,"")</f>
        <v/>
      </c>
      <c r="KI35" s="152">
        <f>IF(AND($AX35=1,OR($AW35="",COUNTIF($ED$7:$EH$7,$AW35)&gt;0)),$AV35,"")</f>
        <v/>
      </c>
      <c r="KN35" s="152">
        <f>IF(OR($AW35="",COUNTIF($ED$8:$EH$8,$AW35)&gt;0),$AV35,"")</f>
        <v/>
      </c>
      <c r="KO35" s="152">
        <f>IF(AND($AX35=1,OR($AW35="",COUNTIF($ED$8:$EH$8,$AW35)&gt;0)),$AV35,"")</f>
        <v/>
      </c>
      <c r="KT35" s="152">
        <f>IF(OR($AW35="",COUNTIF($ED$9:$EH$9,$AW35)&gt;0),$AV35,"")</f>
        <v/>
      </c>
      <c r="KU35" s="152">
        <f>IF(AND($AX35=1,OR($AW35="",COUNTIF($ED$9:$EH$9,$AW35)&gt;0)),$AV35,"")</f>
        <v/>
      </c>
      <c r="KZ35" s="152">
        <f>IF(OR($AW35="",COUNTIF($ED$10:$EH$10,$AW35)&gt;0),$AV35,"")</f>
        <v/>
      </c>
      <c r="LA35" s="152">
        <f>IF(AND($AX35=1,OR($AW35="",COUNTIF($ED$10:$EH$10,$AW35)&gt;0)),$AV35,"")</f>
        <v/>
      </c>
      <c r="LF35" s="152">
        <f>IF(OR($AW35="",COUNTIF($ED$11:$EH$11,$AW35)&gt;0),$AV35,"")</f>
        <v/>
      </c>
      <c r="LG35" s="152">
        <f>IF(AND($AX35=1,OR($AW35="",COUNTIF($ED$11:$EH$11,$AW35)&gt;0)),$AV35,"")</f>
        <v/>
      </c>
      <c r="LL35" s="152">
        <f>IF(OR($AW35="",COUNTIF($ED$12:$EH$12,$AW35)&gt;0),$AV35,"")</f>
        <v/>
      </c>
      <c r="LM35" s="152">
        <f>IF(AND($AX35=1,OR($AW35="",COUNTIF($ED$12:$EH$12,$AW35)&gt;0)),$AV35,"")</f>
        <v/>
      </c>
      <c r="LR35" s="152">
        <f>IF(OR($AW35="",COUNTIF($ED$13:$EH$13,$AW35)&gt;0),$AV35,"")</f>
        <v/>
      </c>
      <c r="LS35" s="152">
        <f>IF(AND($AX35=1,OR($AW35="",COUNTIF($ED$13:$EH$13,$AW35)&gt;0)),$AV35,"")</f>
        <v/>
      </c>
      <c r="LX35" s="150" t="inlineStr">
        <is>
          <t>Ficha 3 · Especial 6</t>
        </is>
      </c>
      <c r="LY35" s="152" t="n">
        <v>3</v>
      </c>
      <c r="LZ35" s="152" t="n">
        <v>1</v>
      </c>
      <c r="MA35" s="152" t="n">
        <v>20</v>
      </c>
      <c r="MB35" s="150" t="inlineStr">
        <is>
          <t>ESPECIAL 6</t>
        </is>
      </c>
      <c r="MC35" s="152">
        <f>MAX(1,MIN(7,N('INVOCAÇÕES'!$O$510)))</f>
        <v/>
      </c>
      <c r="MD35" s="152">
        <f>'INVOCAÇÕES'!$P$510&amp;""</f>
        <v/>
      </c>
      <c r="ME35" s="152">
        <f>'INVOCAÇÕES'!$O$515&amp;""</f>
        <v/>
      </c>
      <c r="MF35" s="152">
        <f>'INVOCAÇÕES'!$O$516&amp;""</f>
        <v/>
      </c>
      <c r="MG35" s="152">
        <f>'INVOCAÇÕES'!$Q$516&amp;""</f>
        <v/>
      </c>
      <c r="MH35" s="152">
        <f>'INVOCAÇÕES'!$P$519&amp;""</f>
        <v/>
      </c>
      <c r="MI35" s="152">
        <f>'INVOCAÇÕES'!$P$520&amp;""</f>
        <v/>
      </c>
      <c r="MJ35" s="152">
        <f>'INVOCAÇÕES'!$P$521&amp;""</f>
        <v/>
      </c>
      <c r="MK35" s="152">
        <f>'INVOCAÇÕES'!$P$522&amp;""</f>
        <v/>
      </c>
      <c r="ML35" s="152">
        <f>'INVOCAÇÕES'!$P$523&amp;""</f>
        <v/>
      </c>
      <c r="MM35" s="152">
        <f>'INVOCAÇÕES'!$P$524&amp;""</f>
        <v/>
      </c>
      <c r="MN35" s="152">
        <f>IF($MD35&lt;&gt;"",1,0)</f>
        <v/>
      </c>
      <c r="MO35" s="152">
        <f>INDEX($FG$2:$FG$13,$LY35)</f>
        <v/>
      </c>
      <c r="MP35" s="152">
        <f>INDEX($FH$2:$FH$13,$LY35)</f>
        <v/>
      </c>
      <c r="MQ35" s="152">
        <f>INDEX($FI$2:$FI$13,$LY35)</f>
        <v/>
      </c>
      <c r="MR35" s="152">
        <f>INDEX($FT$2:$FT$13,$LY35)</f>
        <v/>
      </c>
      <c r="MS35" s="152">
        <f>INDEX($FU$2:$FU$13,$LY35)</f>
        <v/>
      </c>
      <c r="MT35" s="152">
        <f>IFERROR(MATCH($ME35,$V$2:$V$11,0),0)</f>
        <v/>
      </c>
      <c r="MU35" s="152">
        <f>IFERROR(VLOOKUP($MH35,$AV$2:$AZ$84,2,FALSE),"")</f>
        <v/>
      </c>
      <c r="MV35" s="152">
        <f>IFERROR(VLOOKUP($MI35,$AV$2:$AZ$84,2,FALSE),"")</f>
        <v/>
      </c>
      <c r="MW35" s="152">
        <f>IFERROR(VLOOKUP($MJ35,$AV$2:$AZ$84,2,FALSE),"")</f>
        <v/>
      </c>
      <c r="MX35" s="152">
        <f>IFERROR(VLOOKUP($MK35,$AV$2:$AZ$84,2,FALSE),"")</f>
        <v/>
      </c>
      <c r="MY35" s="152">
        <f>IFERROR(VLOOKUP($MH35,$AV$2:$AZ$84,3,FALSE),0)</f>
        <v/>
      </c>
      <c r="MZ35" s="152">
        <f>IFERROR(VLOOKUP($MI35,$AV$2:$AZ$84,3,FALSE),0)</f>
        <v/>
      </c>
      <c r="NA35" s="152">
        <f>IFERROR(VLOOKUP($MJ35,$AV$2:$AZ$84,3,FALSE),0)</f>
        <v/>
      </c>
      <c r="NB35" s="152">
        <f>IFERROR(VLOOKUP($MK35,$AV$2:$AZ$84,3,FALSE),0)</f>
        <v/>
      </c>
      <c r="NC35" s="152">
        <f>IF($MC35=0,0,IF($MT35=0,0,INDEX($X$2:$X$11,$MT35)))</f>
        <v/>
      </c>
      <c r="ND35" s="152">
        <f>IF(OR($MY35=0,$MC35=0),0,$MY35+3*IF(AND($MU35&lt;&gt;"",OR($MU35=INDEX($ED$2:$ED$13,$LY35),$MU35=INDEX($EE$2:$EE$13,$LY35))),1,0))</f>
        <v/>
      </c>
      <c r="NE35" s="152">
        <f>IF(OR($MZ35=0,$MC35=0),0,$MZ35+3*IF(AND($MV35&lt;&gt;"",OR($MV35=INDEX($ED$2:$ED$13,$LY35),$MV35=INDEX($EE$2:$EE$13,$LY35))),1,0))</f>
        <v/>
      </c>
      <c r="NF35" s="152">
        <f>IF(OR($NA35=0,$MC35=0),0,$NA35+3*IF(AND($MW35&lt;&gt;"",OR($MW35=INDEX($ED$2:$ED$13,$LY35),$MW35=INDEX($EE$2:$EE$13,$LY35))),1,0))</f>
        <v/>
      </c>
      <c r="NG35" s="152">
        <f>IF(OR($NB35=0,$MC35=0),0,$NB35+3*IF(AND($MX35&lt;&gt;"",OR($MX35=INDEX($ED$2:$ED$13,$LY35),$MX35=INDEX($EE$2:$EE$13,$LY35))),1,0))</f>
        <v/>
      </c>
      <c r="NH35" s="152">
        <f>IF($MT35=0,0,IF(INDEX($W$2:$W$11,$MT35)="",0,IF(COUNTIF(INDEX($ED$2:$EH$13,$LY35,0),INDEX($W$2:$W$11,$MT35))=0,1,0)))</f>
        <v/>
      </c>
      <c r="NI35" s="152">
        <f>IF(OR($MY35=0,$MU35=""),0,IF(COUNTIF(INDEX($ED$2:$EH$13,$LY35,0),$MU35)=0,1,0))</f>
        <v/>
      </c>
      <c r="NJ35" s="152">
        <f>IF(OR($MZ35=0,$MV35=""),0,IF(COUNTIF(INDEX($ED$2:$EH$13,$LY35,0),$MV35)=0,1,0))</f>
        <v/>
      </c>
      <c r="NK35" s="152">
        <f>IF(OR($NA35=0,$MW35=""),0,IF(COUNTIF(INDEX($ED$2:$EH$13,$LY35,0),$MW35)=0,1,0))</f>
        <v/>
      </c>
      <c r="NL35" s="152">
        <f>IF(OR($NB35=0,$MX35=""),0,IF(COUNTIF(INDEX($ED$2:$EH$13,$LY35,0),$MX35)=0,1,0))</f>
        <v/>
      </c>
      <c r="NM35" s="152">
        <f>IFERROR(VLOOKUP($MH35,$AV$2:$AZ$84,4,FALSE),0)+IFERROR(VLOOKUP($MI35,$AV$2:$AZ$84,4,FALSE),0)+IFERROR(VLOOKUP($MJ35,$AV$2:$AZ$84,4,FALSE),0)+IFERROR(VLOOKUP($MK35,$AV$2:$AZ$84,4,FALSE),0)</f>
        <v/>
      </c>
      <c r="NN35" s="152">
        <f>TEXTJOIN(", ",TRUE,IF(IFERROR(VLOOKUP($MH35,$AV$2:$AZ$84,5,FALSE),0)=1,$MH35,""),IF(IFERROR(VLOOKUP($MI35,$AV$2:$AZ$84,5,FALSE),0)=1,$MI35,""),IF(IFERROR(VLOOKUP($MJ35,$AV$2:$AZ$84,5,FALSE),0)=1,$MJ35,""),IF(IFERROR(VLOOKUP($MK35,$AV$2:$AZ$84,5,FALSE),0)=1,$MK35,""))</f>
        <v/>
      </c>
      <c r="NO35" s="152">
        <f>IF($MT35=0,0,INDEX($Y$2:$Y$11,$MT35))</f>
        <v/>
      </c>
      <c r="NP35" s="152">
        <f>IF($MT35=0,0,INDEX($Z$2:$Z$11,$MT35))</f>
        <v/>
      </c>
      <c r="NQ35" s="152">
        <f>IF($MT35=0,0,INDEX($AB$2:$AB$11,$MT35))</f>
        <v/>
      </c>
      <c r="NR35" s="152">
        <f>IFERROR(VLOOKUP($ML35,$BB$2:$BF$24,3,FALSE),0)</f>
        <v/>
      </c>
      <c r="NS35" s="152">
        <f>IFERROR(VLOOKUP($MM35,$BB$2:$BF$24,3,FALSE),0)</f>
        <v/>
      </c>
      <c r="NT35" s="152">
        <f>IFERROR(VLOOKUP($ML35,$BB$2:$BF$24,2,FALSE),"")</f>
        <v/>
      </c>
      <c r="NU35" s="152">
        <f>IFERROR(VLOOKUP($MM35,$BB$2:$BF$24,2,FALSE),"")</f>
        <v/>
      </c>
      <c r="NV35" s="152">
        <f>COUNTIF($NC35:$NG35,1)</f>
        <v/>
      </c>
      <c r="NW35" s="152">
        <f>COUNTIF($NC35:$NG35,2)</f>
        <v/>
      </c>
      <c r="NX35" s="152">
        <f>COUNTIF($NC35:$NG35,3)</f>
        <v/>
      </c>
      <c r="NY35" s="152">
        <f>COUNTIF($NC35:$NG35,4)</f>
        <v/>
      </c>
      <c r="NZ35" s="152">
        <f>COUNTIF($NC35:$NG35,5)</f>
        <v/>
      </c>
      <c r="OA35" s="152">
        <f>COUNTIF($NC35:$NG35,6)</f>
        <v/>
      </c>
      <c r="OB35" s="152">
        <f>COUNTIF($NR35:$NS35,1)</f>
        <v/>
      </c>
      <c r="OC35" s="152">
        <f>COUNTIF($NR35:$NS35,2)+$NO35</f>
        <v/>
      </c>
      <c r="OD35" s="152">
        <f>COUNTIF($MH35:$MK35,"?*")</f>
        <v/>
      </c>
      <c r="OE35" s="152">
        <f>COUNTIF($ML35:$MM35,"?*")+$NO35</f>
        <v/>
      </c>
      <c r="OF35" s="152">
        <f>IF($MC35=0,0,SUMPRODUCT($NV35:$OA35,INDEX($I$2:$N$8,MAX(1,$MC35),0)))</f>
        <v/>
      </c>
      <c r="OG35" s="152">
        <f>IF($MC35=0,0,$OB35*CEILING($MC35/2,1)+$OC35*$MC35)</f>
        <v/>
      </c>
      <c r="OH35" s="152">
        <f>MIN(2*$MC35,$OG35)</f>
        <v/>
      </c>
      <c r="OI35" s="152">
        <f>MIN($OH35,$OF35)</f>
        <v/>
      </c>
      <c r="OJ35" s="152">
        <f>$OH35-$OI35</f>
        <v/>
      </c>
      <c r="OK35" s="152">
        <f>IF($MC35=0,0,INDEX($P$2:$P$8,MAX(1,$MC35)))</f>
        <v/>
      </c>
      <c r="OL35" s="152">
        <f>$OK35-$OF35+$OI35</f>
        <v/>
      </c>
      <c r="OM35" s="152">
        <f>IF($MC35=0,MAX(0,$MQ35-IF($OD35&gt;0,1,0)),MAX(0,$OL35))</f>
        <v/>
      </c>
      <c r="ON35" s="152">
        <f>IF($MC35=0,0,(IF(COUNTIF($MH35:$MK35,"Salto")&gt;0,1,0)+IF(COUNTIF($MH35:$MK35,"Queima")&gt;0,1,0)+IF(COUNTIF($MH35:$MK35,"Estilhaço")&gt;0,1,0))*FLOOR($OM35/2,1))</f>
        <v/>
      </c>
      <c r="OO35" s="152">
        <f>MAX(0,2-SUMPRODUCT($NV35:$OA35,$I$2:$N$2)+MIN(2,$OB35*1+$OC35*1,SUMPRODUCT($NV35:$OA35,$I$2:$N$2)))</f>
        <v/>
      </c>
      <c r="OP35" s="152">
        <f>MAX(0,4-SUMPRODUCT($NV35:$OA35,$I$3:$N$3)+MIN(4,$OB35*1+$OC35*2,SUMPRODUCT($NV35:$OA35,$I$3:$N$3)))</f>
        <v/>
      </c>
      <c r="OQ35" s="152">
        <f>MAX(0,6-SUMPRODUCT($NV35:$OA35,$I$4:$N$4)+MIN(6,$OB35*2+$OC35*3,SUMPRODUCT($NV35:$OA35,$I$4:$N$4)))</f>
        <v/>
      </c>
      <c r="OR35" s="152">
        <f>MAX(0,9-SUMPRODUCT($NV35:$OA35,$I$5:$N$5)+MIN(8,$OB35*2+$OC35*4,SUMPRODUCT($NV35:$OA35,$I$5:$N$5)))</f>
        <v/>
      </c>
      <c r="OS35" s="152">
        <f>MAX(0,11-SUMPRODUCT($NV35:$OA35,$I$6:$N$6)+MIN(10,$OB35*3+$OC35*5,SUMPRODUCT($NV35:$OA35,$I$6:$N$6)))</f>
        <v/>
      </c>
      <c r="OT35" s="152">
        <f>MAX(0,13-SUMPRODUCT($NV35:$OA35,$I$7:$N$7)+MIN(12,$OB35*3+$OC35*6,SUMPRODUCT($NV35:$OA35,$I$7:$N$7)))</f>
        <v/>
      </c>
      <c r="OU35" s="152">
        <f>MAX(0,16-SUMPRODUCT($NV35:$OA35,$I$8:$N$8)+MIN(14,$OB35*4+$OC35*7,SUMPRODUCT($NV35:$OA35,$I$8:$N$8)))</f>
        <v/>
      </c>
      <c r="OV35" s="152">
        <f>IF($NP35=2,3*$OO35&amp;" de vida temp.",IF($NP35=3,"sem dano",IF($OO35=0,IF($NP35=1,"sem cura","sem dano"),IF($NP35=1,"cura ","")&amp;$OO35&amp;"d8")))</f>
        <v/>
      </c>
      <c r="OW35" s="152">
        <f>IF($NP35=2,3*$OP35&amp;" de vida temp.",IF($NP35=3,"sem dano",IF($OP35=0,IF($NP35=1,"sem cura","sem dano"),IF($NP35=1,"cura ","")&amp;$OP35&amp;"d8")))</f>
        <v/>
      </c>
      <c r="OX35" s="152">
        <f>IF($NP35=2,3*$OQ35&amp;" de vida temp.",IF($NP35=3,"sem dano",IF($OQ35=0,IF($NP35=1,"sem cura","sem dano"),IF($NP35=1,"cura ","")&amp;$OQ35&amp;"d8")))</f>
        <v/>
      </c>
      <c r="OY35" s="152">
        <f>IF($NP35=2,3*$OR35&amp;" de vida temp.",IF($NP35=3,"sem dano",IF($OR35=0,IF($NP35=1,"sem cura","sem dano"),IF($NP35=1,"cura ","")&amp;$OR35&amp;"d8")))</f>
        <v/>
      </c>
      <c r="OZ35" s="152">
        <f>IF($NP35=2,3*$OS35&amp;" de vida temp.",IF($NP35=3,"sem dano",IF($OS35=0,IF($NP35=1,"sem cura","sem dano"),IF($NP35=1,"cura ","")&amp;$OS35&amp;"d8")))</f>
        <v/>
      </c>
      <c r="PA35" s="152">
        <f>IF($NP35=2,3*$OT35&amp;" de vida temp.",IF($NP35=3,"sem dano",IF($OT35=0,IF($NP35=1,"sem cura","sem dano"),IF($NP35=1,"cura ","")&amp;$OT35&amp;"d8")))</f>
        <v/>
      </c>
      <c r="PB35" s="152">
        <f>IF($NP35=2,3*$OU35&amp;" de vida temp.",IF($NP35=3,"sem dano",IF($OU35=0,IF($NP35=1,"sem cura","sem dano"),IF($NP35=1,"cura ","")&amp;$OU35&amp;"d8")))</f>
        <v/>
      </c>
      <c r="PC35" s="152">
        <f>IF($MN35=0,"",TEXTJOIN(" · ",TRUE,IF($MA35&gt;$MO35,"Este lugar abre no nível "&amp;$MA35,""),IF($MC35&gt;$MP35,"Classe "&amp;$MC35&amp;": o nível "&amp;$MO35&amp;" libera até a "&amp;$MP35,""),IF($NH35=1,"A Forma "&amp;$ME35&amp;" pede "&amp;INDEX($W$2:$W$11,$MT35)&amp;" aberta",""),IF(AND($MC35=0,$MT35&gt;0,IF($MT35=0,0,INDEX($AF$2:$AF$11,$MT35))=0),$ME35&amp;" não existe na Classe 0",""),IF($NI35=1,"Família Fechada: "&amp;$MH35,""),IF($NJ35=1,"Família Fechada: "&amp;$MI35,""),IF($NK35=1,"Família Fechada: "&amp;$MJ35,""),IF($NL35=1,"Família Fechada: "&amp;$MK35,""),IF(AND($MC35&gt;0,$OD35&gt;INDEX($O$2:$O$8,MAX(1,$MC35))),$OD35&amp;" Melhorias: a Classe "&amp;$MC35&amp;" aceita "&amp;INDEX($O$2:$O$8,MAX(1,$MC35)),""),IF(AND($MC35=0,$OD35&gt;1),"A básica aceita uma Melhoria",""),IF(AND($MC35=0,COUNTIF($MY35:$NB35,"&gt;1")&gt;0),"A básica só aceita Melhoria Leve",""),IF(AND($MC35&gt;0,$OE35&gt;2),$OE35&amp;" Restrições"&amp;IF($NO35=1,", contando a que a Forma "&amp;$ME35&amp;" já traz","")&amp;": o limite é 2",""),IF(AND($MC35=0,COUNTIF($ML35:$MM35,"?*")&gt;1),"A básica aceita uma Restrição Leve",""),IF(AND($MC35=0,COUNTIF($NR35:$NS35,2)&gt;0),"A básica só aceita Restrição Leve",""),IF(AND($MC35&gt;0,$OL35&lt;0),"Orçamento estourado: faltam "&amp;(-$OL35)&amp;IF($OL35&lt;-1," pontos"," ponto"),""),IF(IFERROR(VLOOKUP($ML35,$BB$2:$BF$24,4,FALSE),0)+IFERROR(VLOOKUP($MM35,$BB$2:$BF$24,4,FALSE),0)&gt;1,$NT35&amp;" e "&amp;$NU35&amp;" são as duas de frequência",""),IF(AND((COUNTIF($MH35:$MK35,"Rápido")+COUNTIF($NT35:$NU35,"Rápido"))&gt;0,(COUNTIF($MH35:$MK35,"Atrasar")+COUNTIF($NT35:$NU35,"Atrasar"))&gt;0),"Rápido não entra com Atrasar",""),IF(AND((COUNTIF($MH35:$MK35,"Reação")+COUNTIF($NT35:$NU35,"Reação"))&gt;0,(COUNTIF($MH35:$MK35,"Rápido")+COUNTIF($NT35:$NU35,"Rápido"))&gt;0),"Reação não entra com Rápido",""),IF(AND((COUNTIF($MH35:$MK35,"Reação")+COUNTIF($NT35:$NU35,"Reação"))&gt;0,(COUNTIF($MH35:$MK35,"Armado")+COUNTIF($NT35:$NU35,"Armado"))&gt;0),"Reação não entra com Armado",""),IF(AND((COUNTIF($MH35:$MK35,"Reação")+COUNTIF($NT35:$NU35,"Reação"))&gt;0,(COUNTIF($MH35:$MK35,"Atrasar")+COUNTIF($NT35:$NU35,"Atrasar"))&gt;0),"Reação não entra com Atrasar",""),IF(AND((COUNTIF($MH35:$MK35,"Reação")+COUNTIF($NT35:$NU35,"Reação"))&gt;0,(COUNTIF($MH35:$MK35,"Parado")+COUNTIF($NT35:$NU35,"Parado"))&gt;0),"Reação não entra com Parado",""),IF(AND((COUNTIF($MH35:$MK35,"Atrasar")+COUNTIF($NT35:$NU35,"Atrasar"))&gt;0,(COUNTIF($MH35:$MK35,"Parado")+COUNTIF($NT35:$NU35,"Parado"))&gt;0),"Atrasar não entra com Parado",""),IF(AND((COUNTIF($MH35:$MK35,"Armado")+COUNTIF($NT35:$NU35,"Armado"))&gt;0,(COUNTIF($MH35:$MK35,"Carregar")+COUNTIF($NT35:$NU35,"Carregar"))&gt;0),"Armado não entra com Carregar",""),IF(AND(COUNTIF($NT35:$NU35,"Corpo a Corpo")&gt;0,$NO35=0,OR($ME35="Cone",$ME35="Linha")),"Corpo a Corpo não entra em "&amp;$ME35,""),IF(AND(COUNTIF($NT35:$NU35,"Corpo a Corpo")&gt;0,$NO35=1),"A Forma "&amp;$ME35&amp;" já traz o Corpo a Corpo",""),IF(AND(COUNTIF($NT35:$NU35,"Tudo ou Nada")&gt;0,$NQ35=0),"Tudo ou Nada só entra em habilidade de Teste de Resistência",""),IF(AND(COUNTIF($MH35:$MK35,"Inescapável")&gt;0,OR($OD35&gt;1,$OE35&gt;0)),"Inescapável não aceita outra peça",""),IF(AND($MC35&gt;0,$OM35*IF(COUNTIF($MH35:$MK35,"Remate")&gt;0,1.25,1)+$ON35&gt;4*$MC35),($OM35*IF(COUNTIF($MH35:$MK35,"Remate")&gt;0,1.25,1)+$ON35)&amp;" dados somando repetições"&amp;IF(COUNTIF($MH35:$MK35,"Remate")&gt;0," e o Remate","")&amp;": o teto da Classe "&amp;$MC35&amp;" é "&amp;4*$MC35,"")))</f>
        <v/>
      </c>
      <c r="PD35" s="152">
        <f>IF($PC35="",0,(LEN($PC35)-LEN(SUBSTITUTE($PC35," · ","")))/3+1)</f>
        <v/>
      </c>
      <c r="PE35" s="152">
        <f>IF($MN35=0,"",TEXTJOIN(" · ",TRUE,IF($OG35&gt;2*$MC35,"A devolução parou no teto de "&amp;2*$MC35,""),IF($OJ35&gt;0,"Devolução perdida: "&amp;$OJ35&amp;IF($OJ35&gt;1," pontos"," ponto")&amp;" sem peça para pagar",""),IF(AND($NM35&gt;0,AND($MC35&gt;0,$NP35=0),$OM35=0),"Controle sem dano: uma rodada a mais e CD +2",""),IF(AND($NM35&gt;0,AND($MC35&gt;0,$NP35=0),$OM35&gt;0,$OM35&lt;=$MC35),"Controle com saldo até a Classe: uma rodada a mais",""),IF(AND($MC35&gt;0,$NN35&lt;&gt;""),"Efeito de "&amp;$NN35&amp;" pela Classe "&amp;MAX(1,$MC35-1),"")))</f>
        <v/>
      </c>
      <c r="PF35" s="152">
        <f>IF($PE35="",0,(LEN($PE35)-LEN(SUBSTITUTE($PE35," · ","")))/3+1)</f>
        <v/>
      </c>
      <c r="PG35" s="152">
        <f>IF($MN35=0,IF($OD35+COUNTIF($ML35:$MM35,"?*")&gt;0,"Dê um nome",""),IF($PD35&gt;0,"⚠ "&amp;$PD35&amp;IF($PD35&gt;1," erros"," erro"),IF($PF35&gt;0,"! "&amp;$PF35&amp;IF($PF35&gt;1," avisos"," aviso"),"Na regra")))</f>
        <v/>
      </c>
      <c r="PH35" s="152">
        <f>IF($MN35=0,"",IF($PD35+$PF35=0,"Dentro das regras que a ficha confere",$PC35&amp;IF(AND($PD35&gt;0,$PF35&gt;0)," · ","")&amp;$PE35))</f>
        <v/>
      </c>
      <c r="PI35" s="152">
        <f>IF($MA35&gt;$MO35,$MB35&amp;" · ABRE NO NÍVEL "&amp;$MA35,$MB35)</f>
        <v/>
      </c>
      <c r="PJ35" s="152">
        <f>IF($MN35=0,"",IF($MC35=0,"Sem PE",3*$MC35&amp;" PE"))</f>
        <v/>
      </c>
      <c r="PK35" s="152">
        <f>IF($MN35=0,"",IF($MC35=0,"A atuação básica dela",IF(COUNTIF($NT35:$NU35,"Atrasar")&gt;0,"Sua Ação Completa",IF(COUNTIF($MH35:$MK35,"Rápido")&gt;0,"Sua Bônus",IF(COUNTIF($MH35:$MK35,"Reação")&gt;0,"Sua Reação","Sua Padrão")))&amp;" + a básica dela"&amp;IF(COUNTIF($MH35:$MK35,"Reação")&gt;0," e a coletiva","")&amp;IF(COUNTIF($NT35:$NU35,"Carregar")&gt;0," · em dois turnos","")))</f>
        <v/>
      </c>
      <c r="PL35" s="152">
        <f>IF($MG35&lt;&gt;"",$MG35,IF($MT35=0,"",INDEX($AA$2:$AA$11,$MT35)))</f>
        <v/>
      </c>
      <c r="PM35" s="152">
        <f>IF(OR($MN35=0,$MT35=0),"",IF(COUNTIF($MH35:$MK35,"Inescapável")&gt;0,"Automático",IF($PL35="Ataque",IF($MR35="","Ataque","Ataque "&amp;IF(($MR35+2*IF(COUNTIF($MH35:$MK35,"Precisão")&gt;0,1,0))&gt;=0,"+","−")&amp;ABS(($MR35+2*IF(COUNTIF($MH35:$MK35,"Precisão")&gt;0,1,0)))),IF(LEFT($PL35,2)="TR",$PL35&amp;IF($MS35="",""," · CD "&amp;$MS35)&amp;IF(COUNTIF($MH35:$MK35,"Certeiro")&gt;0," · metade",""),"Sem rolagem"))))</f>
        <v/>
      </c>
      <c r="PN35" s="152">
        <f>IF(OR($MN35=0,$MT35=0),"",IF($MC35=0,IF(OR($NP35&gt;=1,$OM35=0),"Sem dano",$OM35&amp;"d6"&amp;IF($MF35="",""," "&amp;$MF35)),IF(OR($NP35&gt;=1,$OM35=0),UPPER(LEFT(INDEX($OV35:$PB35,1,MAX(1,$MC35)),1))&amp;MID(INDEX($OV35:$PB35,1,MAX(1,$MC35)),2,99),UPPER(LEFT(INDEX($OV35:$PB35,1,MAX(1,$MC35)),1))&amp;MID(INDEX($OV35:$PB35,1,MAX(1,$MC35)),2,99)&amp;IF($MF35="",""," "&amp;$MF35)&amp;IF($ON35&gt;0," · +"&amp;$ON35&amp;"d8",""))))</f>
        <v/>
      </c>
      <c r="PO35" s="152">
        <f>COUNTIF($MH35:$MK35,"Longe")+3*COUNTIF($MH35:$MK35,"Muito Longe")</f>
        <v/>
      </c>
      <c r="PP35" s="152">
        <f>COUNTIF($MH35:$MK35,"Maior")+3*COUNTIF($MH35:$MK35,"Muito Maior")</f>
        <v/>
      </c>
      <c r="PQ35" s="152">
        <f>IF($MT35=0,0,CHOOSE(1+INDEX($AC$2:$AC$11,$MT35),0,$PO35,$PP35,$PO35+$PP35))</f>
        <v/>
      </c>
      <c r="PR35" s="152">
        <f>IF($MT35=0,0,CHOOSE(1+INDEX($AD$2:$AD$11,$MT35),0,$PO35,$PP35,$PO35+$PP35))</f>
        <v/>
      </c>
      <c r="PS35" s="152">
        <f>IF(OR($MN35=0,$MT35=0),"",INDEX($AI$2:$AN$41,($MT35-1)*4+IF($MC35=0,1,IF($MC35&lt;=5,2,IF($MC35=6,3,4))),1+MIN(5,$PQ35))&amp;INDEX($AO$2:$AT$41,($MT35-1)*4+IF($MC35=0,1,IF($MC35&lt;=5,2,IF($MC35=6,3,4))),1+MIN(5,$PR35))&amp;IF(INDEX($AE$2:$AE$11,$MT35)=1,IF(COUNTIF($MH35:$MK35,"Mais Um")&gt;0," · +"&amp;COUNTIF($MH35:$MK35,"Mais Um")&amp;IF(COUNTIF($MH35:$MK35,"Mais Um")&gt;1," alvos"," alvo"),"")&amp;IF(COUNTIF($MH35:$MK35,"Rajada")&gt;0,IF($MC35=0," · 1 tiro"," · "&amp;(MAX(1,$MC35-1)+1)&amp;" tiros"),""),""))</f>
        <v/>
      </c>
      <c r="PT35" s="152">
        <f>IF($MN35=0,"",IF($MC35=0,$MQ35&amp;"d6"&amp;IF($OD35&gt;0," − 1 = "&amp;$OM35&amp;"d6"," da básica do nível "&amp;$MO35),$OK35&amp;" − "&amp;$OF35&amp;" + "&amp;$OI35&amp;" = "&amp;$OL35&amp;" · teto "&amp;4*$MC35&amp;"d8"&amp;IF($NO35=1," · a Forma devolve "&amp;$MC35,"")&amp;IF($OJ35&gt;0," · perde "&amp;$OJ35,"")))</f>
        <v/>
      </c>
      <c r="PU35" s="152">
        <f>IF($MN35=0,"",IF($MC35=0,"A básica não amplia: os dados dela sobem com o nível",IF($MC35&gt;=$MP35,"Já está na maior Classe que o nível liberou",TEXTJOIN(" · ",TRUE,IF(AND(2&gt;$MC35,2&lt;=$MP35),"2 → "&amp;$OW35&amp;", 6 PE",""),IF(AND(3&gt;$MC35,3&lt;=$MP35),"3 → "&amp;$OX35&amp;", 9 PE",""),IF(AND(4&gt;$MC35,4&lt;=$MP35),"4 → "&amp;$OY35&amp;", 12 PE",""),IF(AND(5&gt;$MC35,5&lt;=$MP35),"5 → "&amp;$OZ35&amp;", 15 PE",""),IF(AND(6&gt;$MC35,6&lt;=$MP35),"6 → "&amp;$PA35&amp;", 18 PE",""),IF(AND(7&gt;$MC35,7&lt;=$MP35),"7 → "&amp;$PB35&amp;", 21 PE","")))))</f>
        <v/>
      </c>
      <c r="PV35" s="152">
        <f>IF(OR($MN35=0,$MY35=0),"",IF($MC35=0,"−1 dado","−"&amp;INDEX($I$2:$N$8,MAX(1,$MC35),MAX(1,$ND35))&amp;" · "&amp;CHOOSE(MAX(1,$ND35),"Leve","Média","Pesada","Leve · Livre","Média · Livre","Pesada · Livre")))</f>
        <v/>
      </c>
      <c r="PW35" s="152">
        <f>IF(OR($MN35=0,$MZ35=0),"",IF($MC35=0,"−1 dado","−"&amp;INDEX($I$2:$N$8,MAX(1,$MC35),MAX(1,$NE35))&amp;" · "&amp;CHOOSE(MAX(1,$NE35),"Leve","Média","Pesada","Leve · Livre","Média · Livre","Pesada · Livre")))</f>
        <v/>
      </c>
      <c r="PX35" s="152">
        <f>IF(OR($MN35=0,$NA35=0),"",IF($MC35=0,"−1 dado","−"&amp;INDEX($I$2:$N$8,MAX(1,$MC35),MAX(1,$NF35))&amp;" · "&amp;CHOOSE(MAX(1,$NF35),"Leve","Média","Pesada","Leve · Livre","Média · Livre","Pesada · Livre")))</f>
        <v/>
      </c>
      <c r="PY35" s="152">
        <f>IF(OR($MN35=0,$NB35=0),"",IF($MC35=0,"−1 dado","−"&amp;INDEX($I$2:$N$8,MAX(1,$MC35),MAX(1,$NG35))&amp;" · "&amp;CHOOSE(MAX(1,$NG35),"Leve","Média","Pesada","Leve · Livre","Média · Livre","Pesada · Livre")))</f>
        <v/>
      </c>
      <c r="PZ35" s="152">
        <f>IF(OR($MN35=0,$ML35=""),"",IF($MC35=0,"não devolve","+"&amp;IF($NR35=1,CEILING($MC35/2,1),$MC35)))</f>
        <v/>
      </c>
      <c r="QA35" s="152">
        <f>IF(OR($MN35=0,$MM35=""),"",IF($MC35=0,"não devolve","+"&amp;IF($NS35=1,CEILING($MC35/2,1),$MC35)))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JD36" s="152">
        <f>IF(OR($AW36="",COUNTIF($ED$2:$EH$2,$AW36)&gt;0),$AV36,"")</f>
        <v/>
      </c>
      <c r="JE36" s="152">
        <f>IF(AND($AX36=1,OR($AW36="",COUNTIF($ED$2:$EH$2,$AW36)&gt;0)),$AV36,"")</f>
        <v/>
      </c>
      <c r="JJ36" s="152">
        <f>IF(OR($AW36="",COUNTIF($ED$3:$EH$3,$AW36)&gt;0),$AV36,"")</f>
        <v/>
      </c>
      <c r="JK36" s="152">
        <f>IF(AND($AX36=1,OR($AW36="",COUNTIF($ED$3:$EH$3,$AW36)&gt;0)),$AV36,"")</f>
        <v/>
      </c>
      <c r="JP36" s="152">
        <f>IF(OR($AW36="",COUNTIF($ED$4:$EH$4,$AW36)&gt;0),$AV36,"")</f>
        <v/>
      </c>
      <c r="JQ36" s="152">
        <f>IF(AND($AX36=1,OR($AW36="",COUNTIF($ED$4:$EH$4,$AW36)&gt;0)),$AV36,"")</f>
        <v/>
      </c>
      <c r="JV36" s="152">
        <f>IF(OR($AW36="",COUNTIF($ED$5:$EH$5,$AW36)&gt;0),$AV36,"")</f>
        <v/>
      </c>
      <c r="JW36" s="152">
        <f>IF(AND($AX36=1,OR($AW36="",COUNTIF($ED$5:$EH$5,$AW36)&gt;0)),$AV36,"")</f>
        <v/>
      </c>
      <c r="KB36" s="152">
        <f>IF(OR($AW36="",COUNTIF($ED$6:$EH$6,$AW36)&gt;0),$AV36,"")</f>
        <v/>
      </c>
      <c r="KC36" s="152">
        <f>IF(AND($AX36=1,OR($AW36="",COUNTIF($ED$6:$EH$6,$AW36)&gt;0)),$AV36,"")</f>
        <v/>
      </c>
      <c r="KH36" s="152">
        <f>IF(OR($AW36="",COUNTIF($ED$7:$EH$7,$AW36)&gt;0),$AV36,"")</f>
        <v/>
      </c>
      <c r="KI36" s="152">
        <f>IF(AND($AX36=1,OR($AW36="",COUNTIF($ED$7:$EH$7,$AW36)&gt;0)),$AV36,"")</f>
        <v/>
      </c>
      <c r="KN36" s="152">
        <f>IF(OR($AW36="",COUNTIF($ED$8:$EH$8,$AW36)&gt;0),$AV36,"")</f>
        <v/>
      </c>
      <c r="KO36" s="152">
        <f>IF(AND($AX36=1,OR($AW36="",COUNTIF($ED$8:$EH$8,$AW36)&gt;0)),$AV36,"")</f>
        <v/>
      </c>
      <c r="KT36" s="152">
        <f>IF(OR($AW36="",COUNTIF($ED$9:$EH$9,$AW36)&gt;0),$AV36,"")</f>
        <v/>
      </c>
      <c r="KU36" s="152">
        <f>IF(AND($AX36=1,OR($AW36="",COUNTIF($ED$9:$EH$9,$AW36)&gt;0)),$AV36,"")</f>
        <v/>
      </c>
      <c r="KZ36" s="152">
        <f>IF(OR($AW36="",COUNTIF($ED$10:$EH$10,$AW36)&gt;0),$AV36,"")</f>
        <v/>
      </c>
      <c r="LA36" s="152">
        <f>IF(AND($AX36=1,OR($AW36="",COUNTIF($ED$10:$EH$10,$AW36)&gt;0)),$AV36,"")</f>
        <v/>
      </c>
      <c r="LF36" s="152">
        <f>IF(OR($AW36="",COUNTIF($ED$11:$EH$11,$AW36)&gt;0),$AV36,"")</f>
        <v/>
      </c>
      <c r="LG36" s="152">
        <f>IF(AND($AX36=1,OR($AW36="",COUNTIF($ED$11:$EH$11,$AW36)&gt;0)),$AV36,"")</f>
        <v/>
      </c>
      <c r="LL36" s="152">
        <f>IF(OR($AW36="",COUNTIF($ED$12:$EH$12,$AW36)&gt;0),$AV36,"")</f>
        <v/>
      </c>
      <c r="LM36" s="152">
        <f>IF(AND($AX36=1,OR($AW36="",COUNTIF($ED$12:$EH$12,$AW36)&gt;0)),$AV36,"")</f>
        <v/>
      </c>
      <c r="LR36" s="152">
        <f>IF(OR($AW36="",COUNTIF($ED$13:$EH$13,$AW36)&gt;0),$AV36,"")</f>
        <v/>
      </c>
      <c r="LS36" s="152">
        <f>IF(AND($AX36=1,OR($AW36="",COUNTIF($ED$13:$EH$13,$AW36)&gt;0)),$AV36,"")</f>
        <v/>
      </c>
      <c r="LX36" s="150" t="inlineStr">
        <is>
          <t>Ficha 3 · Especial 7</t>
        </is>
      </c>
      <c r="LY36" s="152" t="n">
        <v>3</v>
      </c>
      <c r="LZ36" s="152" t="n">
        <v>1</v>
      </c>
      <c r="MA36" s="152" t="n">
        <v>24</v>
      </c>
      <c r="MB36" s="150" t="inlineStr">
        <is>
          <t>ESPECIAL 7</t>
        </is>
      </c>
      <c r="MC36" s="152">
        <f>MAX(1,MIN(7,N('INVOCAÇÕES'!$U$510)))</f>
        <v/>
      </c>
      <c r="MD36" s="152">
        <f>'INVOCAÇÕES'!$V$510&amp;""</f>
        <v/>
      </c>
      <c r="ME36" s="152">
        <f>'INVOCAÇÕES'!$U$515&amp;""</f>
        <v/>
      </c>
      <c r="MF36" s="152">
        <f>'INVOCAÇÕES'!$U$516&amp;""</f>
        <v/>
      </c>
      <c r="MG36" s="152">
        <f>'INVOCAÇÕES'!$W$516&amp;""</f>
        <v/>
      </c>
      <c r="MH36" s="152">
        <f>'INVOCAÇÕES'!$V$519&amp;""</f>
        <v/>
      </c>
      <c r="MI36" s="152">
        <f>'INVOCAÇÕES'!$V$520&amp;""</f>
        <v/>
      </c>
      <c r="MJ36" s="152">
        <f>'INVOCAÇÕES'!$V$521&amp;""</f>
        <v/>
      </c>
      <c r="MK36" s="152">
        <f>'INVOCAÇÕES'!$V$522&amp;""</f>
        <v/>
      </c>
      <c r="ML36" s="152">
        <f>'INVOCAÇÕES'!$V$523&amp;""</f>
        <v/>
      </c>
      <c r="MM36" s="152">
        <f>'INVOCAÇÕES'!$V$524&amp;""</f>
        <v/>
      </c>
      <c r="MN36" s="152">
        <f>IF($MD36&lt;&gt;"",1,0)</f>
        <v/>
      </c>
      <c r="MO36" s="152">
        <f>INDEX($FG$2:$FG$13,$LY36)</f>
        <v/>
      </c>
      <c r="MP36" s="152">
        <f>INDEX($FH$2:$FH$13,$LY36)</f>
        <v/>
      </c>
      <c r="MQ36" s="152">
        <f>INDEX($FI$2:$FI$13,$LY36)</f>
        <v/>
      </c>
      <c r="MR36" s="152">
        <f>INDEX($FT$2:$FT$13,$LY36)</f>
        <v/>
      </c>
      <c r="MS36" s="152">
        <f>INDEX($FU$2:$FU$13,$LY36)</f>
        <v/>
      </c>
      <c r="MT36" s="152">
        <f>IFERROR(MATCH($ME36,$V$2:$V$11,0),0)</f>
        <v/>
      </c>
      <c r="MU36" s="152">
        <f>IFERROR(VLOOKUP($MH36,$AV$2:$AZ$84,2,FALSE),"")</f>
        <v/>
      </c>
      <c r="MV36" s="152">
        <f>IFERROR(VLOOKUP($MI36,$AV$2:$AZ$84,2,FALSE),"")</f>
        <v/>
      </c>
      <c r="MW36" s="152">
        <f>IFERROR(VLOOKUP($MJ36,$AV$2:$AZ$84,2,FALSE),"")</f>
        <v/>
      </c>
      <c r="MX36" s="152">
        <f>IFERROR(VLOOKUP($MK36,$AV$2:$AZ$84,2,FALSE),"")</f>
        <v/>
      </c>
      <c r="MY36" s="152">
        <f>IFERROR(VLOOKUP($MH36,$AV$2:$AZ$84,3,FALSE),0)</f>
        <v/>
      </c>
      <c r="MZ36" s="152">
        <f>IFERROR(VLOOKUP($MI36,$AV$2:$AZ$84,3,FALSE),0)</f>
        <v/>
      </c>
      <c r="NA36" s="152">
        <f>IFERROR(VLOOKUP($MJ36,$AV$2:$AZ$84,3,FALSE),0)</f>
        <v/>
      </c>
      <c r="NB36" s="152">
        <f>IFERROR(VLOOKUP($MK36,$AV$2:$AZ$84,3,FALSE),0)</f>
        <v/>
      </c>
      <c r="NC36" s="152">
        <f>IF($MC36=0,0,IF($MT36=0,0,INDEX($X$2:$X$11,$MT36)))</f>
        <v/>
      </c>
      <c r="ND36" s="152">
        <f>IF(OR($MY36=0,$MC36=0),0,$MY36+3*IF(AND($MU36&lt;&gt;"",OR($MU36=INDEX($ED$2:$ED$13,$LY36),$MU36=INDEX($EE$2:$EE$13,$LY36))),1,0))</f>
        <v/>
      </c>
      <c r="NE36" s="152">
        <f>IF(OR($MZ36=0,$MC36=0),0,$MZ36+3*IF(AND($MV36&lt;&gt;"",OR($MV36=INDEX($ED$2:$ED$13,$LY36),$MV36=INDEX($EE$2:$EE$13,$LY36))),1,0))</f>
        <v/>
      </c>
      <c r="NF36" s="152">
        <f>IF(OR($NA36=0,$MC36=0),0,$NA36+3*IF(AND($MW36&lt;&gt;"",OR($MW36=INDEX($ED$2:$ED$13,$LY36),$MW36=INDEX($EE$2:$EE$13,$LY36))),1,0))</f>
        <v/>
      </c>
      <c r="NG36" s="152">
        <f>IF(OR($NB36=0,$MC36=0),0,$NB36+3*IF(AND($MX36&lt;&gt;"",OR($MX36=INDEX($ED$2:$ED$13,$LY36),$MX36=INDEX($EE$2:$EE$13,$LY36))),1,0))</f>
        <v/>
      </c>
      <c r="NH36" s="152">
        <f>IF($MT36=0,0,IF(INDEX($W$2:$W$11,$MT36)="",0,IF(COUNTIF(INDEX($ED$2:$EH$13,$LY36,0),INDEX($W$2:$W$11,$MT36))=0,1,0)))</f>
        <v/>
      </c>
      <c r="NI36" s="152">
        <f>IF(OR($MY36=0,$MU36=""),0,IF(COUNTIF(INDEX($ED$2:$EH$13,$LY36,0),$MU36)=0,1,0))</f>
        <v/>
      </c>
      <c r="NJ36" s="152">
        <f>IF(OR($MZ36=0,$MV36=""),0,IF(COUNTIF(INDEX($ED$2:$EH$13,$LY36,0),$MV36)=0,1,0))</f>
        <v/>
      </c>
      <c r="NK36" s="152">
        <f>IF(OR($NA36=0,$MW36=""),0,IF(COUNTIF(INDEX($ED$2:$EH$13,$LY36,0),$MW36)=0,1,0))</f>
        <v/>
      </c>
      <c r="NL36" s="152">
        <f>IF(OR($NB36=0,$MX36=""),0,IF(COUNTIF(INDEX($ED$2:$EH$13,$LY36,0),$MX36)=0,1,0))</f>
        <v/>
      </c>
      <c r="NM36" s="152">
        <f>IFERROR(VLOOKUP($MH36,$AV$2:$AZ$84,4,FALSE),0)+IFERROR(VLOOKUP($MI36,$AV$2:$AZ$84,4,FALSE),0)+IFERROR(VLOOKUP($MJ36,$AV$2:$AZ$84,4,FALSE),0)+IFERROR(VLOOKUP($MK36,$AV$2:$AZ$84,4,FALSE),0)</f>
        <v/>
      </c>
      <c r="NN36" s="152">
        <f>TEXTJOIN(", ",TRUE,IF(IFERROR(VLOOKUP($MH36,$AV$2:$AZ$84,5,FALSE),0)=1,$MH36,""),IF(IFERROR(VLOOKUP($MI36,$AV$2:$AZ$84,5,FALSE),0)=1,$MI36,""),IF(IFERROR(VLOOKUP($MJ36,$AV$2:$AZ$84,5,FALSE),0)=1,$MJ36,""),IF(IFERROR(VLOOKUP($MK36,$AV$2:$AZ$84,5,FALSE),0)=1,$MK36,""))</f>
        <v/>
      </c>
      <c r="NO36" s="152">
        <f>IF($MT36=0,0,INDEX($Y$2:$Y$11,$MT36))</f>
        <v/>
      </c>
      <c r="NP36" s="152">
        <f>IF($MT36=0,0,INDEX($Z$2:$Z$11,$MT36))</f>
        <v/>
      </c>
      <c r="NQ36" s="152">
        <f>IF($MT36=0,0,INDEX($AB$2:$AB$11,$MT36))</f>
        <v/>
      </c>
      <c r="NR36" s="152">
        <f>IFERROR(VLOOKUP($ML36,$BB$2:$BF$24,3,FALSE),0)</f>
        <v/>
      </c>
      <c r="NS36" s="152">
        <f>IFERROR(VLOOKUP($MM36,$BB$2:$BF$24,3,FALSE),0)</f>
        <v/>
      </c>
      <c r="NT36" s="152">
        <f>IFERROR(VLOOKUP($ML36,$BB$2:$BF$24,2,FALSE),"")</f>
        <v/>
      </c>
      <c r="NU36" s="152">
        <f>IFERROR(VLOOKUP($MM36,$BB$2:$BF$24,2,FALSE),"")</f>
        <v/>
      </c>
      <c r="NV36" s="152">
        <f>COUNTIF($NC36:$NG36,1)</f>
        <v/>
      </c>
      <c r="NW36" s="152">
        <f>COUNTIF($NC36:$NG36,2)</f>
        <v/>
      </c>
      <c r="NX36" s="152">
        <f>COUNTIF($NC36:$NG36,3)</f>
        <v/>
      </c>
      <c r="NY36" s="152">
        <f>COUNTIF($NC36:$NG36,4)</f>
        <v/>
      </c>
      <c r="NZ36" s="152">
        <f>COUNTIF($NC36:$NG36,5)</f>
        <v/>
      </c>
      <c r="OA36" s="152">
        <f>COUNTIF($NC36:$NG36,6)</f>
        <v/>
      </c>
      <c r="OB36" s="152">
        <f>COUNTIF($NR36:$NS36,1)</f>
        <v/>
      </c>
      <c r="OC36" s="152">
        <f>COUNTIF($NR36:$NS36,2)+$NO36</f>
        <v/>
      </c>
      <c r="OD36" s="152">
        <f>COUNTIF($MH36:$MK36,"?*")</f>
        <v/>
      </c>
      <c r="OE36" s="152">
        <f>COUNTIF($ML36:$MM36,"?*")+$NO36</f>
        <v/>
      </c>
      <c r="OF36" s="152">
        <f>IF($MC36=0,0,SUMPRODUCT($NV36:$OA36,INDEX($I$2:$N$8,MAX(1,$MC36),0)))</f>
        <v/>
      </c>
      <c r="OG36" s="152">
        <f>IF($MC36=0,0,$OB36*CEILING($MC36/2,1)+$OC36*$MC36)</f>
        <v/>
      </c>
      <c r="OH36" s="152">
        <f>MIN(2*$MC36,$OG36)</f>
        <v/>
      </c>
      <c r="OI36" s="152">
        <f>MIN($OH36,$OF36)</f>
        <v/>
      </c>
      <c r="OJ36" s="152">
        <f>$OH36-$OI36</f>
        <v/>
      </c>
      <c r="OK36" s="152">
        <f>IF($MC36=0,0,INDEX($P$2:$P$8,MAX(1,$MC36)))</f>
        <v/>
      </c>
      <c r="OL36" s="152">
        <f>$OK36-$OF36+$OI36</f>
        <v/>
      </c>
      <c r="OM36" s="152">
        <f>IF($MC36=0,MAX(0,$MQ36-IF($OD36&gt;0,1,0)),MAX(0,$OL36))</f>
        <v/>
      </c>
      <c r="ON36" s="152">
        <f>IF($MC36=0,0,(IF(COUNTIF($MH36:$MK36,"Salto")&gt;0,1,0)+IF(COUNTIF($MH36:$MK36,"Queima")&gt;0,1,0)+IF(COUNTIF($MH36:$MK36,"Estilhaço")&gt;0,1,0))*FLOOR($OM36/2,1))</f>
        <v/>
      </c>
      <c r="OO36" s="152">
        <f>MAX(0,2-SUMPRODUCT($NV36:$OA36,$I$2:$N$2)+MIN(2,$OB36*1+$OC36*1,SUMPRODUCT($NV36:$OA36,$I$2:$N$2)))</f>
        <v/>
      </c>
      <c r="OP36" s="152">
        <f>MAX(0,4-SUMPRODUCT($NV36:$OA36,$I$3:$N$3)+MIN(4,$OB36*1+$OC36*2,SUMPRODUCT($NV36:$OA36,$I$3:$N$3)))</f>
        <v/>
      </c>
      <c r="OQ36" s="152">
        <f>MAX(0,6-SUMPRODUCT($NV36:$OA36,$I$4:$N$4)+MIN(6,$OB36*2+$OC36*3,SUMPRODUCT($NV36:$OA36,$I$4:$N$4)))</f>
        <v/>
      </c>
      <c r="OR36" s="152">
        <f>MAX(0,9-SUMPRODUCT($NV36:$OA36,$I$5:$N$5)+MIN(8,$OB36*2+$OC36*4,SUMPRODUCT($NV36:$OA36,$I$5:$N$5)))</f>
        <v/>
      </c>
      <c r="OS36" s="152">
        <f>MAX(0,11-SUMPRODUCT($NV36:$OA36,$I$6:$N$6)+MIN(10,$OB36*3+$OC36*5,SUMPRODUCT($NV36:$OA36,$I$6:$N$6)))</f>
        <v/>
      </c>
      <c r="OT36" s="152">
        <f>MAX(0,13-SUMPRODUCT($NV36:$OA36,$I$7:$N$7)+MIN(12,$OB36*3+$OC36*6,SUMPRODUCT($NV36:$OA36,$I$7:$N$7)))</f>
        <v/>
      </c>
      <c r="OU36" s="152">
        <f>MAX(0,16-SUMPRODUCT($NV36:$OA36,$I$8:$N$8)+MIN(14,$OB36*4+$OC36*7,SUMPRODUCT($NV36:$OA36,$I$8:$N$8)))</f>
        <v/>
      </c>
      <c r="OV36" s="152">
        <f>IF($NP36=2,3*$OO36&amp;" de vida temp.",IF($NP36=3,"sem dano",IF($OO36=0,IF($NP36=1,"sem cura","sem dano"),IF($NP36=1,"cura ","")&amp;$OO36&amp;"d8")))</f>
        <v/>
      </c>
      <c r="OW36" s="152">
        <f>IF($NP36=2,3*$OP36&amp;" de vida temp.",IF($NP36=3,"sem dano",IF($OP36=0,IF($NP36=1,"sem cura","sem dano"),IF($NP36=1,"cura ","")&amp;$OP36&amp;"d8")))</f>
        <v/>
      </c>
      <c r="OX36" s="152">
        <f>IF($NP36=2,3*$OQ36&amp;" de vida temp.",IF($NP36=3,"sem dano",IF($OQ36=0,IF($NP36=1,"sem cura","sem dano"),IF($NP36=1,"cura ","")&amp;$OQ36&amp;"d8")))</f>
        <v/>
      </c>
      <c r="OY36" s="152">
        <f>IF($NP36=2,3*$OR36&amp;" de vida temp.",IF($NP36=3,"sem dano",IF($OR36=0,IF($NP36=1,"sem cura","sem dano"),IF($NP36=1,"cura ","")&amp;$OR36&amp;"d8")))</f>
        <v/>
      </c>
      <c r="OZ36" s="152">
        <f>IF($NP36=2,3*$OS36&amp;" de vida temp.",IF($NP36=3,"sem dano",IF($OS36=0,IF($NP36=1,"sem cura","sem dano"),IF($NP36=1,"cura ","")&amp;$OS36&amp;"d8")))</f>
        <v/>
      </c>
      <c r="PA36" s="152">
        <f>IF($NP36=2,3*$OT36&amp;" de vida temp.",IF($NP36=3,"sem dano",IF($OT36=0,IF($NP36=1,"sem cura","sem dano"),IF($NP36=1,"cura ","")&amp;$OT36&amp;"d8")))</f>
        <v/>
      </c>
      <c r="PB36" s="152">
        <f>IF($NP36=2,3*$OU36&amp;" de vida temp.",IF($NP36=3,"sem dano",IF($OU36=0,IF($NP36=1,"sem cura","sem dano"),IF($NP36=1,"cura ","")&amp;$OU36&amp;"d8")))</f>
        <v/>
      </c>
      <c r="PC36" s="152">
        <f>IF($MN36=0,"",TEXTJOIN(" · ",TRUE,IF($MA36&gt;$MO36,"Este lugar abre no nível "&amp;$MA36,""),IF($MC36&gt;$MP36,"Classe "&amp;$MC36&amp;": o nível "&amp;$MO36&amp;" libera até a "&amp;$MP36,""),IF($NH36=1,"A Forma "&amp;$ME36&amp;" pede "&amp;INDEX($W$2:$W$11,$MT36)&amp;" aberta",""),IF(AND($MC36=0,$MT36&gt;0,IF($MT36=0,0,INDEX($AF$2:$AF$11,$MT36))=0),$ME36&amp;" não existe na Classe 0",""),IF($NI36=1,"Família Fechada: "&amp;$MH36,""),IF($NJ36=1,"Família Fechada: "&amp;$MI36,""),IF($NK36=1,"Família Fechada: "&amp;$MJ36,""),IF($NL36=1,"Família Fechada: "&amp;$MK36,""),IF(AND($MC36&gt;0,$OD36&gt;INDEX($O$2:$O$8,MAX(1,$MC36))),$OD36&amp;" Melhorias: a Classe "&amp;$MC36&amp;" aceita "&amp;INDEX($O$2:$O$8,MAX(1,$MC36)),""),IF(AND($MC36=0,$OD36&gt;1),"A básica aceita uma Melhoria",""),IF(AND($MC36=0,COUNTIF($MY36:$NB36,"&gt;1")&gt;0),"A básica só aceita Melhoria Leve",""),IF(AND($MC36&gt;0,$OE36&gt;2),$OE36&amp;" Restrições"&amp;IF($NO36=1,", contando a que a Forma "&amp;$ME36&amp;" já traz","")&amp;": o limite é 2",""),IF(AND($MC36=0,COUNTIF($ML36:$MM36,"?*")&gt;1),"A básica aceita uma Restrição Leve",""),IF(AND($MC36=0,COUNTIF($NR36:$NS36,2)&gt;0),"A básica só aceita Restrição Leve",""),IF(AND($MC36&gt;0,$OL36&lt;0),"Orçamento estourado: faltam "&amp;(-$OL36)&amp;IF($OL36&lt;-1," pontos"," ponto"),""),IF(IFERROR(VLOOKUP($ML36,$BB$2:$BF$24,4,FALSE),0)+IFERROR(VLOOKUP($MM36,$BB$2:$BF$24,4,FALSE),0)&gt;1,$NT36&amp;" e "&amp;$NU36&amp;" são as duas de frequência",""),IF(AND((COUNTIF($MH36:$MK36,"Rápido")+COUNTIF($NT36:$NU36,"Rápido"))&gt;0,(COUNTIF($MH36:$MK36,"Atrasar")+COUNTIF($NT36:$NU36,"Atrasar"))&gt;0),"Rápido não entra com Atrasar",""),IF(AND((COUNTIF($MH36:$MK36,"Reação")+COUNTIF($NT36:$NU36,"Reação"))&gt;0,(COUNTIF($MH36:$MK36,"Rápido")+COUNTIF($NT36:$NU36,"Rápido"))&gt;0),"Reação não entra com Rápido",""),IF(AND((COUNTIF($MH36:$MK36,"Reação")+COUNTIF($NT36:$NU36,"Reação"))&gt;0,(COUNTIF($MH36:$MK36,"Armado")+COUNTIF($NT36:$NU36,"Armado"))&gt;0),"Reação não entra com Armado",""),IF(AND((COUNTIF($MH36:$MK36,"Reação")+COUNTIF($NT36:$NU36,"Reação"))&gt;0,(COUNTIF($MH36:$MK36,"Atrasar")+COUNTIF($NT36:$NU36,"Atrasar"))&gt;0),"Reação não entra com Atrasar",""),IF(AND((COUNTIF($MH36:$MK36,"Reação")+COUNTIF($NT36:$NU36,"Reação"))&gt;0,(COUNTIF($MH36:$MK36,"Parado")+COUNTIF($NT36:$NU36,"Parado"))&gt;0),"Reação não entra com Parado",""),IF(AND((COUNTIF($MH36:$MK36,"Atrasar")+COUNTIF($NT36:$NU36,"Atrasar"))&gt;0,(COUNTIF($MH36:$MK36,"Parado")+COUNTIF($NT36:$NU36,"Parado"))&gt;0),"Atrasar não entra com Parado",""),IF(AND((COUNTIF($MH36:$MK36,"Armado")+COUNTIF($NT36:$NU36,"Armado"))&gt;0,(COUNTIF($MH36:$MK36,"Carregar")+COUNTIF($NT36:$NU36,"Carregar"))&gt;0),"Armado não entra com Carregar",""),IF(AND(COUNTIF($NT36:$NU36,"Corpo a Corpo")&gt;0,$NO36=0,OR($ME36="Cone",$ME36="Linha")),"Corpo a Corpo não entra em "&amp;$ME36,""),IF(AND(COUNTIF($NT36:$NU36,"Corpo a Corpo")&gt;0,$NO36=1),"A Forma "&amp;$ME36&amp;" já traz o Corpo a Corpo",""),IF(AND(COUNTIF($NT36:$NU36,"Tudo ou Nada")&gt;0,$NQ36=0),"Tudo ou Nada só entra em habilidade de Teste de Resistência",""),IF(AND(COUNTIF($MH36:$MK36,"Inescapável")&gt;0,OR($OD36&gt;1,$OE36&gt;0)),"Inescapável não aceita outra peça",""),IF(AND($MC36&gt;0,$OM36*IF(COUNTIF($MH36:$MK36,"Remate")&gt;0,1.25,1)+$ON36&gt;4*$MC36),($OM36*IF(COUNTIF($MH36:$MK36,"Remate")&gt;0,1.25,1)+$ON36)&amp;" dados somando repetições"&amp;IF(COUNTIF($MH36:$MK36,"Remate")&gt;0," e o Remate","")&amp;": o teto da Classe "&amp;$MC36&amp;" é "&amp;4*$MC36,"")))</f>
        <v/>
      </c>
      <c r="PD36" s="152">
        <f>IF($PC36="",0,(LEN($PC36)-LEN(SUBSTITUTE($PC36," · ","")))/3+1)</f>
        <v/>
      </c>
      <c r="PE36" s="152">
        <f>IF($MN36=0,"",TEXTJOIN(" · ",TRUE,IF($OG36&gt;2*$MC36,"A devolução parou no teto de "&amp;2*$MC36,""),IF($OJ36&gt;0,"Devolução perdida: "&amp;$OJ36&amp;IF($OJ36&gt;1," pontos"," ponto")&amp;" sem peça para pagar",""),IF(AND($NM36&gt;0,AND($MC36&gt;0,$NP36=0),$OM36=0),"Controle sem dano: uma rodada a mais e CD +2",""),IF(AND($NM36&gt;0,AND($MC36&gt;0,$NP36=0),$OM36&gt;0,$OM36&lt;=$MC36),"Controle com saldo até a Classe: uma rodada a mais",""),IF(AND($MC36&gt;0,$NN36&lt;&gt;""),"Efeito de "&amp;$NN36&amp;" pela Classe "&amp;MAX(1,$MC36-1),"")))</f>
        <v/>
      </c>
      <c r="PF36" s="152">
        <f>IF($PE36="",0,(LEN($PE36)-LEN(SUBSTITUTE($PE36," · ","")))/3+1)</f>
        <v/>
      </c>
      <c r="PG36" s="152">
        <f>IF($MN36=0,IF($OD36+COUNTIF($ML36:$MM36,"?*")&gt;0,"Dê um nome",""),IF($PD36&gt;0,"⚠ "&amp;$PD36&amp;IF($PD36&gt;1," erros"," erro"),IF($PF36&gt;0,"! "&amp;$PF36&amp;IF($PF36&gt;1," avisos"," aviso"),"Na regra")))</f>
        <v/>
      </c>
      <c r="PH36" s="152">
        <f>IF($MN36=0,"",IF($PD36+$PF36=0,"Dentro das regras que a ficha confere",$PC36&amp;IF(AND($PD36&gt;0,$PF36&gt;0)," · ","")&amp;$PE36))</f>
        <v/>
      </c>
      <c r="PI36" s="152">
        <f>IF($MA36&gt;$MO36,$MB36&amp;" · ABRE NO NÍVEL "&amp;$MA36,$MB36)</f>
        <v/>
      </c>
      <c r="PJ36" s="152">
        <f>IF($MN36=0,"",IF($MC36=0,"Sem PE",3*$MC36&amp;" PE"))</f>
        <v/>
      </c>
      <c r="PK36" s="152">
        <f>IF($MN36=0,"",IF($MC36=0,"A atuação básica dela",IF(COUNTIF($NT36:$NU36,"Atrasar")&gt;0,"Sua Ação Completa",IF(COUNTIF($MH36:$MK36,"Rápido")&gt;0,"Sua Bônus",IF(COUNTIF($MH36:$MK36,"Reação")&gt;0,"Sua Reação","Sua Padrão")))&amp;" + a básica dela"&amp;IF(COUNTIF($MH36:$MK36,"Reação")&gt;0," e a coletiva","")&amp;IF(COUNTIF($NT36:$NU36,"Carregar")&gt;0," · em dois turnos","")))</f>
        <v/>
      </c>
      <c r="PL36" s="152">
        <f>IF($MG36&lt;&gt;"",$MG36,IF($MT36=0,"",INDEX($AA$2:$AA$11,$MT36)))</f>
        <v/>
      </c>
      <c r="PM36" s="152">
        <f>IF(OR($MN36=0,$MT36=0),"",IF(COUNTIF($MH36:$MK36,"Inescapável")&gt;0,"Automático",IF($PL36="Ataque",IF($MR36="","Ataque","Ataque "&amp;IF(($MR36+2*IF(COUNTIF($MH36:$MK36,"Precisão")&gt;0,1,0))&gt;=0,"+","−")&amp;ABS(($MR36+2*IF(COUNTIF($MH36:$MK36,"Precisão")&gt;0,1,0)))),IF(LEFT($PL36,2)="TR",$PL36&amp;IF($MS36="",""," · CD "&amp;$MS36)&amp;IF(COUNTIF($MH36:$MK36,"Certeiro")&gt;0," · metade",""),"Sem rolagem"))))</f>
        <v/>
      </c>
      <c r="PN36" s="152">
        <f>IF(OR($MN36=0,$MT36=0),"",IF($MC36=0,IF(OR($NP36&gt;=1,$OM36=0),"Sem dano",$OM36&amp;"d6"&amp;IF($MF36="",""," "&amp;$MF36)),IF(OR($NP36&gt;=1,$OM36=0),UPPER(LEFT(INDEX($OV36:$PB36,1,MAX(1,$MC36)),1))&amp;MID(INDEX($OV36:$PB36,1,MAX(1,$MC36)),2,99),UPPER(LEFT(INDEX($OV36:$PB36,1,MAX(1,$MC36)),1))&amp;MID(INDEX($OV36:$PB36,1,MAX(1,$MC36)),2,99)&amp;IF($MF36="",""," "&amp;$MF36)&amp;IF($ON36&gt;0," · +"&amp;$ON36&amp;"d8",""))))</f>
        <v/>
      </c>
      <c r="PO36" s="152">
        <f>COUNTIF($MH36:$MK36,"Longe")+3*COUNTIF($MH36:$MK36,"Muito Longe")</f>
        <v/>
      </c>
      <c r="PP36" s="152">
        <f>COUNTIF($MH36:$MK36,"Maior")+3*COUNTIF($MH36:$MK36,"Muito Maior")</f>
        <v/>
      </c>
      <c r="PQ36" s="152">
        <f>IF($MT36=0,0,CHOOSE(1+INDEX($AC$2:$AC$11,$MT36),0,$PO36,$PP36,$PO36+$PP36))</f>
        <v/>
      </c>
      <c r="PR36" s="152">
        <f>IF($MT36=0,0,CHOOSE(1+INDEX($AD$2:$AD$11,$MT36),0,$PO36,$PP36,$PO36+$PP36))</f>
        <v/>
      </c>
      <c r="PS36" s="152">
        <f>IF(OR($MN36=0,$MT36=0),"",INDEX($AI$2:$AN$41,($MT36-1)*4+IF($MC36=0,1,IF($MC36&lt;=5,2,IF($MC36=6,3,4))),1+MIN(5,$PQ36))&amp;INDEX($AO$2:$AT$41,($MT36-1)*4+IF($MC36=0,1,IF($MC36&lt;=5,2,IF($MC36=6,3,4))),1+MIN(5,$PR36))&amp;IF(INDEX($AE$2:$AE$11,$MT36)=1,IF(COUNTIF($MH36:$MK36,"Mais Um")&gt;0," · +"&amp;COUNTIF($MH36:$MK36,"Mais Um")&amp;IF(COUNTIF($MH36:$MK36,"Mais Um")&gt;1," alvos"," alvo"),"")&amp;IF(COUNTIF($MH36:$MK36,"Rajada")&gt;0,IF($MC36=0," · 1 tiro"," · "&amp;(MAX(1,$MC36-1)+1)&amp;" tiros"),""),""))</f>
        <v/>
      </c>
      <c r="PT36" s="152">
        <f>IF($MN36=0,"",IF($MC36=0,$MQ36&amp;"d6"&amp;IF($OD36&gt;0," − 1 = "&amp;$OM36&amp;"d6"," da básica do nível "&amp;$MO36),$OK36&amp;" − "&amp;$OF36&amp;" + "&amp;$OI36&amp;" = "&amp;$OL36&amp;" · teto "&amp;4*$MC36&amp;"d8"&amp;IF($NO36=1," · a Forma devolve "&amp;$MC36,"")&amp;IF($OJ36&gt;0," · perde "&amp;$OJ36,"")))</f>
        <v/>
      </c>
      <c r="PU36" s="152">
        <f>IF($MN36=0,"",IF($MC36=0,"A básica não amplia: os dados dela sobem com o nível",IF($MC36&gt;=$MP36,"Já está na maior Classe que o nível liberou",TEXTJOIN(" · ",TRUE,IF(AND(2&gt;$MC36,2&lt;=$MP36),"2 → "&amp;$OW36&amp;", 6 PE",""),IF(AND(3&gt;$MC36,3&lt;=$MP36),"3 → "&amp;$OX36&amp;", 9 PE",""),IF(AND(4&gt;$MC36,4&lt;=$MP36),"4 → "&amp;$OY36&amp;", 12 PE",""),IF(AND(5&gt;$MC36,5&lt;=$MP36),"5 → "&amp;$OZ36&amp;", 15 PE",""),IF(AND(6&gt;$MC36,6&lt;=$MP36),"6 → "&amp;$PA36&amp;", 18 PE",""),IF(AND(7&gt;$MC36,7&lt;=$MP36),"7 → "&amp;$PB36&amp;", 21 PE","")))))</f>
        <v/>
      </c>
      <c r="PV36" s="152">
        <f>IF(OR($MN36=0,$MY36=0),"",IF($MC36=0,"−1 dado","−"&amp;INDEX($I$2:$N$8,MAX(1,$MC36),MAX(1,$ND36))&amp;" · "&amp;CHOOSE(MAX(1,$ND36),"Leve","Média","Pesada","Leve · Livre","Média · Livre","Pesada · Livre")))</f>
        <v/>
      </c>
      <c r="PW36" s="152">
        <f>IF(OR($MN36=0,$MZ36=0),"",IF($MC36=0,"−1 dado","−"&amp;INDEX($I$2:$N$8,MAX(1,$MC36),MAX(1,$NE36))&amp;" · "&amp;CHOOSE(MAX(1,$NE36),"Leve","Média","Pesada","Leve · Livre","Média · Livre","Pesada · Livre")))</f>
        <v/>
      </c>
      <c r="PX36" s="152">
        <f>IF(OR($MN36=0,$NA36=0),"",IF($MC36=0,"−1 dado","−"&amp;INDEX($I$2:$N$8,MAX(1,$MC36),MAX(1,$NF36))&amp;" · "&amp;CHOOSE(MAX(1,$NF36),"Leve","Média","Pesada","Leve · Livre","Média · Livre","Pesada · Livre")))</f>
        <v/>
      </c>
      <c r="PY36" s="152">
        <f>IF(OR($MN36=0,$NB36=0),"",IF($MC36=0,"−1 dado","−"&amp;INDEX($I$2:$N$8,MAX(1,$MC36),MAX(1,$NG36))&amp;" · "&amp;CHOOSE(MAX(1,$NG36),"Leve","Média","Pesada","Leve · Livre","Média · Livre","Pesada · Livre")))</f>
        <v/>
      </c>
      <c r="PZ36" s="152">
        <f>IF(OR($MN36=0,$ML36=""),"",IF($MC36=0,"não devolve","+"&amp;IF($NR36=1,CEILING($MC36/2,1),$MC36)))</f>
        <v/>
      </c>
      <c r="QA36" s="152">
        <f>IF(OR($MN36=0,$MM36=""),"",IF($MC36=0,"não devolve","+"&amp;IF($NS36=1,CEILING($MC36/2,1),$MC36)))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JD37" s="152">
        <f>IF(OR($AW37="",COUNTIF($ED$2:$EH$2,$AW37)&gt;0),$AV37,"")</f>
        <v/>
      </c>
      <c r="JE37" s="152">
        <f>IF(AND($AX37=1,OR($AW37="",COUNTIF($ED$2:$EH$2,$AW37)&gt;0)),$AV37,"")</f>
        <v/>
      </c>
      <c r="JJ37" s="152">
        <f>IF(OR($AW37="",COUNTIF($ED$3:$EH$3,$AW37)&gt;0),$AV37,"")</f>
        <v/>
      </c>
      <c r="JK37" s="152">
        <f>IF(AND($AX37=1,OR($AW37="",COUNTIF($ED$3:$EH$3,$AW37)&gt;0)),$AV37,"")</f>
        <v/>
      </c>
      <c r="JP37" s="152">
        <f>IF(OR($AW37="",COUNTIF($ED$4:$EH$4,$AW37)&gt;0),$AV37,"")</f>
        <v/>
      </c>
      <c r="JQ37" s="152">
        <f>IF(AND($AX37=1,OR($AW37="",COUNTIF($ED$4:$EH$4,$AW37)&gt;0)),$AV37,"")</f>
        <v/>
      </c>
      <c r="JV37" s="152">
        <f>IF(OR($AW37="",COUNTIF($ED$5:$EH$5,$AW37)&gt;0),$AV37,"")</f>
        <v/>
      </c>
      <c r="JW37" s="152">
        <f>IF(AND($AX37=1,OR($AW37="",COUNTIF($ED$5:$EH$5,$AW37)&gt;0)),$AV37,"")</f>
        <v/>
      </c>
      <c r="KB37" s="152">
        <f>IF(OR($AW37="",COUNTIF($ED$6:$EH$6,$AW37)&gt;0),$AV37,"")</f>
        <v/>
      </c>
      <c r="KC37" s="152">
        <f>IF(AND($AX37=1,OR($AW37="",COUNTIF($ED$6:$EH$6,$AW37)&gt;0)),$AV37,"")</f>
        <v/>
      </c>
      <c r="KH37" s="152">
        <f>IF(OR($AW37="",COUNTIF($ED$7:$EH$7,$AW37)&gt;0),$AV37,"")</f>
        <v/>
      </c>
      <c r="KI37" s="152">
        <f>IF(AND($AX37=1,OR($AW37="",COUNTIF($ED$7:$EH$7,$AW37)&gt;0)),$AV37,"")</f>
        <v/>
      </c>
      <c r="KN37" s="152">
        <f>IF(OR($AW37="",COUNTIF($ED$8:$EH$8,$AW37)&gt;0),$AV37,"")</f>
        <v/>
      </c>
      <c r="KO37" s="152">
        <f>IF(AND($AX37=1,OR($AW37="",COUNTIF($ED$8:$EH$8,$AW37)&gt;0)),$AV37,"")</f>
        <v/>
      </c>
      <c r="KT37" s="152">
        <f>IF(OR($AW37="",COUNTIF($ED$9:$EH$9,$AW37)&gt;0),$AV37,"")</f>
        <v/>
      </c>
      <c r="KU37" s="152">
        <f>IF(AND($AX37=1,OR($AW37="",COUNTIF($ED$9:$EH$9,$AW37)&gt;0)),$AV37,"")</f>
        <v/>
      </c>
      <c r="KZ37" s="152">
        <f>IF(OR($AW37="",COUNTIF($ED$10:$EH$10,$AW37)&gt;0),$AV37,"")</f>
        <v/>
      </c>
      <c r="LA37" s="152">
        <f>IF(AND($AX37=1,OR($AW37="",COUNTIF($ED$10:$EH$10,$AW37)&gt;0)),$AV37,"")</f>
        <v/>
      </c>
      <c r="LF37" s="152">
        <f>IF(OR($AW37="",COUNTIF($ED$11:$EH$11,$AW37)&gt;0),$AV37,"")</f>
        <v/>
      </c>
      <c r="LG37" s="152">
        <f>IF(AND($AX37=1,OR($AW37="",COUNTIF($ED$11:$EH$11,$AW37)&gt;0)),$AV37,"")</f>
        <v/>
      </c>
      <c r="LL37" s="152">
        <f>IF(OR($AW37="",COUNTIF($ED$12:$EH$12,$AW37)&gt;0),$AV37,"")</f>
        <v/>
      </c>
      <c r="LM37" s="152">
        <f>IF(AND($AX37=1,OR($AW37="",COUNTIF($ED$12:$EH$12,$AW37)&gt;0)),$AV37,"")</f>
        <v/>
      </c>
      <c r="LR37" s="152">
        <f>IF(OR($AW37="",COUNTIF($ED$13:$EH$13,$AW37)&gt;0),$AV37,"")</f>
        <v/>
      </c>
      <c r="LS37" s="152">
        <f>IF(AND($AX37=1,OR($AW37="",COUNTIF($ED$13:$EH$13,$AW37)&gt;0)),$AV37,"")</f>
        <v/>
      </c>
      <c r="LX37" s="150" t="inlineStr">
        <is>
          <t>Ficha 3 · Especial 8</t>
        </is>
      </c>
      <c r="LY37" s="152" t="n">
        <v>3</v>
      </c>
      <c r="LZ37" s="152" t="n">
        <v>1</v>
      </c>
      <c r="MA37" s="152" t="n">
        <v>28</v>
      </c>
      <c r="MB37" s="150" t="inlineStr">
        <is>
          <t>ESPECIAL 8</t>
        </is>
      </c>
      <c r="MC37" s="152">
        <f>MAX(1,MIN(7,N('INVOCAÇÕES'!$I$532)))</f>
        <v/>
      </c>
      <c r="MD37" s="152">
        <f>'INVOCAÇÕES'!$J$532&amp;""</f>
        <v/>
      </c>
      <c r="ME37" s="152">
        <f>'INVOCAÇÕES'!$I$537&amp;""</f>
        <v/>
      </c>
      <c r="MF37" s="152">
        <f>'INVOCAÇÕES'!$I$538&amp;""</f>
        <v/>
      </c>
      <c r="MG37" s="152">
        <f>'INVOCAÇÕES'!$K$538&amp;""</f>
        <v/>
      </c>
      <c r="MH37" s="152">
        <f>'INVOCAÇÕES'!$J$541&amp;""</f>
        <v/>
      </c>
      <c r="MI37" s="152">
        <f>'INVOCAÇÕES'!$J$542&amp;""</f>
        <v/>
      </c>
      <c r="MJ37" s="152">
        <f>'INVOCAÇÕES'!$J$543&amp;""</f>
        <v/>
      </c>
      <c r="MK37" s="152">
        <f>'INVOCAÇÕES'!$J$544&amp;""</f>
        <v/>
      </c>
      <c r="ML37" s="152">
        <f>'INVOCAÇÕES'!$J$545&amp;""</f>
        <v/>
      </c>
      <c r="MM37" s="152">
        <f>'INVOCAÇÕES'!$J$546&amp;""</f>
        <v/>
      </c>
      <c r="MN37" s="152">
        <f>IF($MD37&lt;&gt;"",1,0)</f>
        <v/>
      </c>
      <c r="MO37" s="152">
        <f>INDEX($FG$2:$FG$13,$LY37)</f>
        <v/>
      </c>
      <c r="MP37" s="152">
        <f>INDEX($FH$2:$FH$13,$LY37)</f>
        <v/>
      </c>
      <c r="MQ37" s="152">
        <f>INDEX($FI$2:$FI$13,$LY37)</f>
        <v/>
      </c>
      <c r="MR37" s="152">
        <f>INDEX($FT$2:$FT$13,$LY37)</f>
        <v/>
      </c>
      <c r="MS37" s="152">
        <f>INDEX($FU$2:$FU$13,$LY37)</f>
        <v/>
      </c>
      <c r="MT37" s="152">
        <f>IFERROR(MATCH($ME37,$V$2:$V$11,0),0)</f>
        <v/>
      </c>
      <c r="MU37" s="152">
        <f>IFERROR(VLOOKUP($MH37,$AV$2:$AZ$84,2,FALSE),"")</f>
        <v/>
      </c>
      <c r="MV37" s="152">
        <f>IFERROR(VLOOKUP($MI37,$AV$2:$AZ$84,2,FALSE),"")</f>
        <v/>
      </c>
      <c r="MW37" s="152">
        <f>IFERROR(VLOOKUP($MJ37,$AV$2:$AZ$84,2,FALSE),"")</f>
        <v/>
      </c>
      <c r="MX37" s="152">
        <f>IFERROR(VLOOKUP($MK37,$AV$2:$AZ$84,2,FALSE),"")</f>
        <v/>
      </c>
      <c r="MY37" s="152">
        <f>IFERROR(VLOOKUP($MH37,$AV$2:$AZ$84,3,FALSE),0)</f>
        <v/>
      </c>
      <c r="MZ37" s="152">
        <f>IFERROR(VLOOKUP($MI37,$AV$2:$AZ$84,3,FALSE),0)</f>
        <v/>
      </c>
      <c r="NA37" s="152">
        <f>IFERROR(VLOOKUP($MJ37,$AV$2:$AZ$84,3,FALSE),0)</f>
        <v/>
      </c>
      <c r="NB37" s="152">
        <f>IFERROR(VLOOKUP($MK37,$AV$2:$AZ$84,3,FALSE),0)</f>
        <v/>
      </c>
      <c r="NC37" s="152">
        <f>IF($MC37=0,0,IF($MT37=0,0,INDEX($X$2:$X$11,$MT37)))</f>
        <v/>
      </c>
      <c r="ND37" s="152">
        <f>IF(OR($MY37=0,$MC37=0),0,$MY37+3*IF(AND($MU37&lt;&gt;"",OR($MU37=INDEX($ED$2:$ED$13,$LY37),$MU37=INDEX($EE$2:$EE$13,$LY37))),1,0))</f>
        <v/>
      </c>
      <c r="NE37" s="152">
        <f>IF(OR($MZ37=0,$MC37=0),0,$MZ37+3*IF(AND($MV37&lt;&gt;"",OR($MV37=INDEX($ED$2:$ED$13,$LY37),$MV37=INDEX($EE$2:$EE$13,$LY37))),1,0))</f>
        <v/>
      </c>
      <c r="NF37" s="152">
        <f>IF(OR($NA37=0,$MC37=0),0,$NA37+3*IF(AND($MW37&lt;&gt;"",OR($MW37=INDEX($ED$2:$ED$13,$LY37),$MW37=INDEX($EE$2:$EE$13,$LY37))),1,0))</f>
        <v/>
      </c>
      <c r="NG37" s="152">
        <f>IF(OR($NB37=0,$MC37=0),0,$NB37+3*IF(AND($MX37&lt;&gt;"",OR($MX37=INDEX($ED$2:$ED$13,$LY37),$MX37=INDEX($EE$2:$EE$13,$LY37))),1,0))</f>
        <v/>
      </c>
      <c r="NH37" s="152">
        <f>IF($MT37=0,0,IF(INDEX($W$2:$W$11,$MT37)="",0,IF(COUNTIF(INDEX($ED$2:$EH$13,$LY37,0),INDEX($W$2:$W$11,$MT37))=0,1,0)))</f>
        <v/>
      </c>
      <c r="NI37" s="152">
        <f>IF(OR($MY37=0,$MU37=""),0,IF(COUNTIF(INDEX($ED$2:$EH$13,$LY37,0),$MU37)=0,1,0))</f>
        <v/>
      </c>
      <c r="NJ37" s="152">
        <f>IF(OR($MZ37=0,$MV37=""),0,IF(COUNTIF(INDEX($ED$2:$EH$13,$LY37,0),$MV37)=0,1,0))</f>
        <v/>
      </c>
      <c r="NK37" s="152">
        <f>IF(OR($NA37=0,$MW37=""),0,IF(COUNTIF(INDEX($ED$2:$EH$13,$LY37,0),$MW37)=0,1,0))</f>
        <v/>
      </c>
      <c r="NL37" s="152">
        <f>IF(OR($NB37=0,$MX37=""),0,IF(COUNTIF(INDEX($ED$2:$EH$13,$LY37,0),$MX37)=0,1,0))</f>
        <v/>
      </c>
      <c r="NM37" s="152">
        <f>IFERROR(VLOOKUP($MH37,$AV$2:$AZ$84,4,FALSE),0)+IFERROR(VLOOKUP($MI37,$AV$2:$AZ$84,4,FALSE),0)+IFERROR(VLOOKUP($MJ37,$AV$2:$AZ$84,4,FALSE),0)+IFERROR(VLOOKUP($MK37,$AV$2:$AZ$84,4,FALSE),0)</f>
        <v/>
      </c>
      <c r="NN37" s="152">
        <f>TEXTJOIN(", ",TRUE,IF(IFERROR(VLOOKUP($MH37,$AV$2:$AZ$84,5,FALSE),0)=1,$MH37,""),IF(IFERROR(VLOOKUP($MI37,$AV$2:$AZ$84,5,FALSE),0)=1,$MI37,""),IF(IFERROR(VLOOKUP($MJ37,$AV$2:$AZ$84,5,FALSE),0)=1,$MJ37,""),IF(IFERROR(VLOOKUP($MK37,$AV$2:$AZ$84,5,FALSE),0)=1,$MK37,""))</f>
        <v/>
      </c>
      <c r="NO37" s="152">
        <f>IF($MT37=0,0,INDEX($Y$2:$Y$11,$MT37))</f>
        <v/>
      </c>
      <c r="NP37" s="152">
        <f>IF($MT37=0,0,INDEX($Z$2:$Z$11,$MT37))</f>
        <v/>
      </c>
      <c r="NQ37" s="152">
        <f>IF($MT37=0,0,INDEX($AB$2:$AB$11,$MT37))</f>
        <v/>
      </c>
      <c r="NR37" s="152">
        <f>IFERROR(VLOOKUP($ML37,$BB$2:$BF$24,3,FALSE),0)</f>
        <v/>
      </c>
      <c r="NS37" s="152">
        <f>IFERROR(VLOOKUP($MM37,$BB$2:$BF$24,3,FALSE),0)</f>
        <v/>
      </c>
      <c r="NT37" s="152">
        <f>IFERROR(VLOOKUP($ML37,$BB$2:$BF$24,2,FALSE),"")</f>
        <v/>
      </c>
      <c r="NU37" s="152">
        <f>IFERROR(VLOOKUP($MM37,$BB$2:$BF$24,2,FALSE),"")</f>
        <v/>
      </c>
      <c r="NV37" s="152">
        <f>COUNTIF($NC37:$NG37,1)</f>
        <v/>
      </c>
      <c r="NW37" s="152">
        <f>COUNTIF($NC37:$NG37,2)</f>
        <v/>
      </c>
      <c r="NX37" s="152">
        <f>COUNTIF($NC37:$NG37,3)</f>
        <v/>
      </c>
      <c r="NY37" s="152">
        <f>COUNTIF($NC37:$NG37,4)</f>
        <v/>
      </c>
      <c r="NZ37" s="152">
        <f>COUNTIF($NC37:$NG37,5)</f>
        <v/>
      </c>
      <c r="OA37" s="152">
        <f>COUNTIF($NC37:$NG37,6)</f>
        <v/>
      </c>
      <c r="OB37" s="152">
        <f>COUNTIF($NR37:$NS37,1)</f>
        <v/>
      </c>
      <c r="OC37" s="152">
        <f>COUNTIF($NR37:$NS37,2)+$NO37</f>
        <v/>
      </c>
      <c r="OD37" s="152">
        <f>COUNTIF($MH37:$MK37,"?*")</f>
        <v/>
      </c>
      <c r="OE37" s="152">
        <f>COUNTIF($ML37:$MM37,"?*")+$NO37</f>
        <v/>
      </c>
      <c r="OF37" s="152">
        <f>IF($MC37=0,0,SUMPRODUCT($NV37:$OA37,INDEX($I$2:$N$8,MAX(1,$MC37),0)))</f>
        <v/>
      </c>
      <c r="OG37" s="152">
        <f>IF($MC37=0,0,$OB37*CEILING($MC37/2,1)+$OC37*$MC37)</f>
        <v/>
      </c>
      <c r="OH37" s="152">
        <f>MIN(2*$MC37,$OG37)</f>
        <v/>
      </c>
      <c r="OI37" s="152">
        <f>MIN($OH37,$OF37)</f>
        <v/>
      </c>
      <c r="OJ37" s="152">
        <f>$OH37-$OI37</f>
        <v/>
      </c>
      <c r="OK37" s="152">
        <f>IF($MC37=0,0,INDEX($P$2:$P$8,MAX(1,$MC37)))</f>
        <v/>
      </c>
      <c r="OL37" s="152">
        <f>$OK37-$OF37+$OI37</f>
        <v/>
      </c>
      <c r="OM37" s="152">
        <f>IF($MC37=0,MAX(0,$MQ37-IF($OD37&gt;0,1,0)),MAX(0,$OL37))</f>
        <v/>
      </c>
      <c r="ON37" s="152">
        <f>IF($MC37=0,0,(IF(COUNTIF($MH37:$MK37,"Salto")&gt;0,1,0)+IF(COUNTIF($MH37:$MK37,"Queima")&gt;0,1,0)+IF(COUNTIF($MH37:$MK37,"Estilhaço")&gt;0,1,0))*FLOOR($OM37/2,1))</f>
        <v/>
      </c>
      <c r="OO37" s="152">
        <f>MAX(0,2-SUMPRODUCT($NV37:$OA37,$I$2:$N$2)+MIN(2,$OB37*1+$OC37*1,SUMPRODUCT($NV37:$OA37,$I$2:$N$2)))</f>
        <v/>
      </c>
      <c r="OP37" s="152">
        <f>MAX(0,4-SUMPRODUCT($NV37:$OA37,$I$3:$N$3)+MIN(4,$OB37*1+$OC37*2,SUMPRODUCT($NV37:$OA37,$I$3:$N$3)))</f>
        <v/>
      </c>
      <c r="OQ37" s="152">
        <f>MAX(0,6-SUMPRODUCT($NV37:$OA37,$I$4:$N$4)+MIN(6,$OB37*2+$OC37*3,SUMPRODUCT($NV37:$OA37,$I$4:$N$4)))</f>
        <v/>
      </c>
      <c r="OR37" s="152">
        <f>MAX(0,9-SUMPRODUCT($NV37:$OA37,$I$5:$N$5)+MIN(8,$OB37*2+$OC37*4,SUMPRODUCT($NV37:$OA37,$I$5:$N$5)))</f>
        <v/>
      </c>
      <c r="OS37" s="152">
        <f>MAX(0,11-SUMPRODUCT($NV37:$OA37,$I$6:$N$6)+MIN(10,$OB37*3+$OC37*5,SUMPRODUCT($NV37:$OA37,$I$6:$N$6)))</f>
        <v/>
      </c>
      <c r="OT37" s="152">
        <f>MAX(0,13-SUMPRODUCT($NV37:$OA37,$I$7:$N$7)+MIN(12,$OB37*3+$OC37*6,SUMPRODUCT($NV37:$OA37,$I$7:$N$7)))</f>
        <v/>
      </c>
      <c r="OU37" s="152">
        <f>MAX(0,16-SUMPRODUCT($NV37:$OA37,$I$8:$N$8)+MIN(14,$OB37*4+$OC37*7,SUMPRODUCT($NV37:$OA37,$I$8:$N$8)))</f>
        <v/>
      </c>
      <c r="OV37" s="152">
        <f>IF($NP37=2,3*$OO37&amp;" de vida temp.",IF($NP37=3,"sem dano",IF($OO37=0,IF($NP37=1,"sem cura","sem dano"),IF($NP37=1,"cura ","")&amp;$OO37&amp;"d8")))</f>
        <v/>
      </c>
      <c r="OW37" s="152">
        <f>IF($NP37=2,3*$OP37&amp;" de vida temp.",IF($NP37=3,"sem dano",IF($OP37=0,IF($NP37=1,"sem cura","sem dano"),IF($NP37=1,"cura ","")&amp;$OP37&amp;"d8")))</f>
        <v/>
      </c>
      <c r="OX37" s="152">
        <f>IF($NP37=2,3*$OQ37&amp;" de vida temp.",IF($NP37=3,"sem dano",IF($OQ37=0,IF($NP37=1,"sem cura","sem dano"),IF($NP37=1,"cura ","")&amp;$OQ37&amp;"d8")))</f>
        <v/>
      </c>
      <c r="OY37" s="152">
        <f>IF($NP37=2,3*$OR37&amp;" de vida temp.",IF($NP37=3,"sem dano",IF($OR37=0,IF($NP37=1,"sem cura","sem dano"),IF($NP37=1,"cura ","")&amp;$OR37&amp;"d8")))</f>
        <v/>
      </c>
      <c r="OZ37" s="152">
        <f>IF($NP37=2,3*$OS37&amp;" de vida temp.",IF($NP37=3,"sem dano",IF($OS37=0,IF($NP37=1,"sem cura","sem dano"),IF($NP37=1,"cura ","")&amp;$OS37&amp;"d8")))</f>
        <v/>
      </c>
      <c r="PA37" s="152">
        <f>IF($NP37=2,3*$OT37&amp;" de vida temp.",IF($NP37=3,"sem dano",IF($OT37=0,IF($NP37=1,"sem cura","sem dano"),IF($NP37=1,"cura ","")&amp;$OT37&amp;"d8")))</f>
        <v/>
      </c>
      <c r="PB37" s="152">
        <f>IF($NP37=2,3*$OU37&amp;" de vida temp.",IF($NP37=3,"sem dano",IF($OU37=0,IF($NP37=1,"sem cura","sem dano"),IF($NP37=1,"cura ","")&amp;$OU37&amp;"d8")))</f>
        <v/>
      </c>
      <c r="PC37" s="152">
        <f>IF($MN37=0,"",TEXTJOIN(" · ",TRUE,IF($MA37&gt;$MO37,"Este lugar abre no nível "&amp;$MA37,""),IF($MC37&gt;$MP37,"Classe "&amp;$MC37&amp;": o nível "&amp;$MO37&amp;" libera até a "&amp;$MP37,""),IF($NH37=1,"A Forma "&amp;$ME37&amp;" pede "&amp;INDEX($W$2:$W$11,$MT37)&amp;" aberta",""),IF(AND($MC37=0,$MT37&gt;0,IF($MT37=0,0,INDEX($AF$2:$AF$11,$MT37))=0),$ME37&amp;" não existe na Classe 0",""),IF($NI37=1,"Família Fechada: "&amp;$MH37,""),IF($NJ37=1,"Família Fechada: "&amp;$MI37,""),IF($NK37=1,"Família Fechada: "&amp;$MJ37,""),IF($NL37=1,"Família Fechada: "&amp;$MK37,""),IF(AND($MC37&gt;0,$OD37&gt;INDEX($O$2:$O$8,MAX(1,$MC37))),$OD37&amp;" Melhorias: a Classe "&amp;$MC37&amp;" aceita "&amp;INDEX($O$2:$O$8,MAX(1,$MC37)),""),IF(AND($MC37=0,$OD37&gt;1),"A básica aceita uma Melhoria",""),IF(AND($MC37=0,COUNTIF($MY37:$NB37,"&gt;1")&gt;0),"A básica só aceita Melhoria Leve",""),IF(AND($MC37&gt;0,$OE37&gt;2),$OE37&amp;" Restrições"&amp;IF($NO37=1,", contando a que a Forma "&amp;$ME37&amp;" já traz","")&amp;": o limite é 2",""),IF(AND($MC37=0,COUNTIF($ML37:$MM37,"?*")&gt;1),"A básica aceita uma Restrição Leve",""),IF(AND($MC37=0,COUNTIF($NR37:$NS37,2)&gt;0),"A básica só aceita Restrição Leve",""),IF(AND($MC37&gt;0,$OL37&lt;0),"Orçamento estourado: faltam "&amp;(-$OL37)&amp;IF($OL37&lt;-1," pontos"," ponto"),""),IF(IFERROR(VLOOKUP($ML37,$BB$2:$BF$24,4,FALSE),0)+IFERROR(VLOOKUP($MM37,$BB$2:$BF$24,4,FALSE),0)&gt;1,$NT37&amp;" e "&amp;$NU37&amp;" são as duas de frequência",""),IF(AND((COUNTIF($MH37:$MK37,"Rápido")+COUNTIF($NT37:$NU37,"Rápido"))&gt;0,(COUNTIF($MH37:$MK37,"Atrasar")+COUNTIF($NT37:$NU37,"Atrasar"))&gt;0),"Rápido não entra com Atrasar",""),IF(AND((COUNTIF($MH37:$MK37,"Reação")+COUNTIF($NT37:$NU37,"Reação"))&gt;0,(COUNTIF($MH37:$MK37,"Rápido")+COUNTIF($NT37:$NU37,"Rápido"))&gt;0),"Reação não entra com Rápido",""),IF(AND((COUNTIF($MH37:$MK37,"Reação")+COUNTIF($NT37:$NU37,"Reação"))&gt;0,(COUNTIF($MH37:$MK37,"Armado")+COUNTIF($NT37:$NU37,"Armado"))&gt;0),"Reação não entra com Armado",""),IF(AND((COUNTIF($MH37:$MK37,"Reação")+COUNTIF($NT37:$NU37,"Reação"))&gt;0,(COUNTIF($MH37:$MK37,"Atrasar")+COUNTIF($NT37:$NU37,"Atrasar"))&gt;0),"Reação não entra com Atrasar",""),IF(AND((COUNTIF($MH37:$MK37,"Reação")+COUNTIF($NT37:$NU37,"Reação"))&gt;0,(COUNTIF($MH37:$MK37,"Parado")+COUNTIF($NT37:$NU37,"Parado"))&gt;0),"Reação não entra com Parado",""),IF(AND((COUNTIF($MH37:$MK37,"Atrasar")+COUNTIF($NT37:$NU37,"Atrasar"))&gt;0,(COUNTIF($MH37:$MK37,"Parado")+COUNTIF($NT37:$NU37,"Parado"))&gt;0),"Atrasar não entra com Parado",""),IF(AND((COUNTIF($MH37:$MK37,"Armado")+COUNTIF($NT37:$NU37,"Armado"))&gt;0,(COUNTIF($MH37:$MK37,"Carregar")+COUNTIF($NT37:$NU37,"Carregar"))&gt;0),"Armado não entra com Carregar",""),IF(AND(COUNTIF($NT37:$NU37,"Corpo a Corpo")&gt;0,$NO37=0,OR($ME37="Cone",$ME37="Linha")),"Corpo a Corpo não entra em "&amp;$ME37,""),IF(AND(COUNTIF($NT37:$NU37,"Corpo a Corpo")&gt;0,$NO37=1),"A Forma "&amp;$ME37&amp;" já traz o Corpo a Corpo",""),IF(AND(COUNTIF($NT37:$NU37,"Tudo ou Nada")&gt;0,$NQ37=0),"Tudo ou Nada só entra em habilidade de Teste de Resistência",""),IF(AND(COUNTIF($MH37:$MK37,"Inescapável")&gt;0,OR($OD37&gt;1,$OE37&gt;0)),"Inescapável não aceita outra peça",""),IF(AND($MC37&gt;0,$OM37*IF(COUNTIF($MH37:$MK37,"Remate")&gt;0,1.25,1)+$ON37&gt;4*$MC37),($OM37*IF(COUNTIF($MH37:$MK37,"Remate")&gt;0,1.25,1)+$ON37)&amp;" dados somando repetições"&amp;IF(COUNTIF($MH37:$MK37,"Remate")&gt;0," e o Remate","")&amp;": o teto da Classe "&amp;$MC37&amp;" é "&amp;4*$MC37,"")))</f>
        <v/>
      </c>
      <c r="PD37" s="152">
        <f>IF($PC37="",0,(LEN($PC37)-LEN(SUBSTITUTE($PC37," · ","")))/3+1)</f>
        <v/>
      </c>
      <c r="PE37" s="152">
        <f>IF($MN37=0,"",TEXTJOIN(" · ",TRUE,IF($OG37&gt;2*$MC37,"A devolução parou no teto de "&amp;2*$MC37,""),IF($OJ37&gt;0,"Devolução perdida: "&amp;$OJ37&amp;IF($OJ37&gt;1," pontos"," ponto")&amp;" sem peça para pagar",""),IF(AND($NM37&gt;0,AND($MC37&gt;0,$NP37=0),$OM37=0),"Controle sem dano: uma rodada a mais e CD +2",""),IF(AND($NM37&gt;0,AND($MC37&gt;0,$NP37=0),$OM37&gt;0,$OM37&lt;=$MC37),"Controle com saldo até a Classe: uma rodada a mais",""),IF(AND($MC37&gt;0,$NN37&lt;&gt;""),"Efeito de "&amp;$NN37&amp;" pela Classe "&amp;MAX(1,$MC37-1),"")))</f>
        <v/>
      </c>
      <c r="PF37" s="152">
        <f>IF($PE37="",0,(LEN($PE37)-LEN(SUBSTITUTE($PE37," · ","")))/3+1)</f>
        <v/>
      </c>
      <c r="PG37" s="152">
        <f>IF($MN37=0,IF($OD37+COUNTIF($ML37:$MM37,"?*")&gt;0,"Dê um nome",""),IF($PD37&gt;0,"⚠ "&amp;$PD37&amp;IF($PD37&gt;1," erros"," erro"),IF($PF37&gt;0,"! "&amp;$PF37&amp;IF($PF37&gt;1," avisos"," aviso"),"Na regra")))</f>
        <v/>
      </c>
      <c r="PH37" s="152">
        <f>IF($MN37=0,"",IF($PD37+$PF37=0,"Dentro das regras que a ficha confere",$PC37&amp;IF(AND($PD37&gt;0,$PF37&gt;0)," · ","")&amp;$PE37))</f>
        <v/>
      </c>
      <c r="PI37" s="152">
        <f>IF($MA37&gt;$MO37,$MB37&amp;" · ABRE NO NÍVEL "&amp;$MA37,$MB37)</f>
        <v/>
      </c>
      <c r="PJ37" s="152">
        <f>IF($MN37=0,"",IF($MC37=0,"Sem PE",3*$MC37&amp;" PE"))</f>
        <v/>
      </c>
      <c r="PK37" s="152">
        <f>IF($MN37=0,"",IF($MC37=0,"A atuação básica dela",IF(COUNTIF($NT37:$NU37,"Atrasar")&gt;0,"Sua Ação Completa",IF(COUNTIF($MH37:$MK37,"Rápido")&gt;0,"Sua Bônus",IF(COUNTIF($MH37:$MK37,"Reação")&gt;0,"Sua Reação","Sua Padrão")))&amp;" + a básica dela"&amp;IF(COUNTIF($MH37:$MK37,"Reação")&gt;0," e a coletiva","")&amp;IF(COUNTIF($NT37:$NU37,"Carregar")&gt;0," · em dois turnos","")))</f>
        <v/>
      </c>
      <c r="PL37" s="152">
        <f>IF($MG37&lt;&gt;"",$MG37,IF($MT37=0,"",INDEX($AA$2:$AA$11,$MT37)))</f>
        <v/>
      </c>
      <c r="PM37" s="152">
        <f>IF(OR($MN37=0,$MT37=0),"",IF(COUNTIF($MH37:$MK37,"Inescapável")&gt;0,"Automático",IF($PL37="Ataque",IF($MR37="","Ataque","Ataque "&amp;IF(($MR37+2*IF(COUNTIF($MH37:$MK37,"Precisão")&gt;0,1,0))&gt;=0,"+","−")&amp;ABS(($MR37+2*IF(COUNTIF($MH37:$MK37,"Precisão")&gt;0,1,0)))),IF(LEFT($PL37,2)="TR",$PL37&amp;IF($MS37="",""," · CD "&amp;$MS37)&amp;IF(COUNTIF($MH37:$MK37,"Certeiro")&gt;0," · metade",""),"Sem rolagem"))))</f>
        <v/>
      </c>
      <c r="PN37" s="152">
        <f>IF(OR($MN37=0,$MT37=0),"",IF($MC37=0,IF(OR($NP37&gt;=1,$OM37=0),"Sem dano",$OM37&amp;"d6"&amp;IF($MF37="",""," "&amp;$MF37)),IF(OR($NP37&gt;=1,$OM37=0),UPPER(LEFT(INDEX($OV37:$PB37,1,MAX(1,$MC37)),1))&amp;MID(INDEX($OV37:$PB37,1,MAX(1,$MC37)),2,99),UPPER(LEFT(INDEX($OV37:$PB37,1,MAX(1,$MC37)),1))&amp;MID(INDEX($OV37:$PB37,1,MAX(1,$MC37)),2,99)&amp;IF($MF37="",""," "&amp;$MF37)&amp;IF($ON37&gt;0," · +"&amp;$ON37&amp;"d8",""))))</f>
        <v/>
      </c>
      <c r="PO37" s="152">
        <f>COUNTIF($MH37:$MK37,"Longe")+3*COUNTIF($MH37:$MK37,"Muito Longe")</f>
        <v/>
      </c>
      <c r="PP37" s="152">
        <f>COUNTIF($MH37:$MK37,"Maior")+3*COUNTIF($MH37:$MK37,"Muito Maior")</f>
        <v/>
      </c>
      <c r="PQ37" s="152">
        <f>IF($MT37=0,0,CHOOSE(1+INDEX($AC$2:$AC$11,$MT37),0,$PO37,$PP37,$PO37+$PP37))</f>
        <v/>
      </c>
      <c r="PR37" s="152">
        <f>IF($MT37=0,0,CHOOSE(1+INDEX($AD$2:$AD$11,$MT37),0,$PO37,$PP37,$PO37+$PP37))</f>
        <v/>
      </c>
      <c r="PS37" s="152">
        <f>IF(OR($MN37=0,$MT37=0),"",INDEX($AI$2:$AN$41,($MT37-1)*4+IF($MC37=0,1,IF($MC37&lt;=5,2,IF($MC37=6,3,4))),1+MIN(5,$PQ37))&amp;INDEX($AO$2:$AT$41,($MT37-1)*4+IF($MC37=0,1,IF($MC37&lt;=5,2,IF($MC37=6,3,4))),1+MIN(5,$PR37))&amp;IF(INDEX($AE$2:$AE$11,$MT37)=1,IF(COUNTIF($MH37:$MK37,"Mais Um")&gt;0," · +"&amp;COUNTIF($MH37:$MK37,"Mais Um")&amp;IF(COUNTIF($MH37:$MK37,"Mais Um")&gt;1," alvos"," alvo"),"")&amp;IF(COUNTIF($MH37:$MK37,"Rajada")&gt;0,IF($MC37=0," · 1 tiro"," · "&amp;(MAX(1,$MC37-1)+1)&amp;" tiros"),""),""))</f>
        <v/>
      </c>
      <c r="PT37" s="152">
        <f>IF($MN37=0,"",IF($MC37=0,$MQ37&amp;"d6"&amp;IF($OD37&gt;0," − 1 = "&amp;$OM37&amp;"d6"," da básica do nível "&amp;$MO37),$OK37&amp;" − "&amp;$OF37&amp;" + "&amp;$OI37&amp;" = "&amp;$OL37&amp;" · teto "&amp;4*$MC37&amp;"d8"&amp;IF($NO37=1," · a Forma devolve "&amp;$MC37,"")&amp;IF($OJ37&gt;0," · perde "&amp;$OJ37,"")))</f>
        <v/>
      </c>
      <c r="PU37" s="152">
        <f>IF($MN37=0,"",IF($MC37=0,"A básica não amplia: os dados dela sobem com o nível",IF($MC37&gt;=$MP37,"Já está na maior Classe que o nível liberou",TEXTJOIN(" · ",TRUE,IF(AND(2&gt;$MC37,2&lt;=$MP37),"2 → "&amp;$OW37&amp;", 6 PE",""),IF(AND(3&gt;$MC37,3&lt;=$MP37),"3 → "&amp;$OX37&amp;", 9 PE",""),IF(AND(4&gt;$MC37,4&lt;=$MP37),"4 → "&amp;$OY37&amp;", 12 PE",""),IF(AND(5&gt;$MC37,5&lt;=$MP37),"5 → "&amp;$OZ37&amp;", 15 PE",""),IF(AND(6&gt;$MC37,6&lt;=$MP37),"6 → "&amp;$PA37&amp;", 18 PE",""),IF(AND(7&gt;$MC37,7&lt;=$MP37),"7 → "&amp;$PB37&amp;", 21 PE","")))))</f>
        <v/>
      </c>
      <c r="PV37" s="152">
        <f>IF(OR($MN37=0,$MY37=0),"",IF($MC37=0,"−1 dado","−"&amp;INDEX($I$2:$N$8,MAX(1,$MC37),MAX(1,$ND37))&amp;" · "&amp;CHOOSE(MAX(1,$ND37),"Leve","Média","Pesada","Leve · Livre","Média · Livre","Pesada · Livre")))</f>
        <v/>
      </c>
      <c r="PW37" s="152">
        <f>IF(OR($MN37=0,$MZ37=0),"",IF($MC37=0,"−1 dado","−"&amp;INDEX($I$2:$N$8,MAX(1,$MC37),MAX(1,$NE37))&amp;" · "&amp;CHOOSE(MAX(1,$NE37),"Leve","Média","Pesada","Leve · Livre","Média · Livre","Pesada · Livre")))</f>
        <v/>
      </c>
      <c r="PX37" s="152">
        <f>IF(OR($MN37=0,$NA37=0),"",IF($MC37=0,"−1 dado","−"&amp;INDEX($I$2:$N$8,MAX(1,$MC37),MAX(1,$NF37))&amp;" · "&amp;CHOOSE(MAX(1,$NF37),"Leve","Média","Pesada","Leve · Livre","Média · Livre","Pesada · Livre")))</f>
        <v/>
      </c>
      <c r="PY37" s="152">
        <f>IF(OR($MN37=0,$NB37=0),"",IF($MC37=0,"−1 dado","−"&amp;INDEX($I$2:$N$8,MAX(1,$MC37),MAX(1,$NG37))&amp;" · "&amp;CHOOSE(MAX(1,$NG37),"Leve","Média","Pesada","Leve · Livre","Média · Livre","Pesada · Livre")))</f>
        <v/>
      </c>
      <c r="PZ37" s="152">
        <f>IF(OR($MN37=0,$ML37=""),"",IF($MC37=0,"não devolve","+"&amp;IF($NR37=1,CEILING($MC37/2,1),$MC37)))</f>
        <v/>
      </c>
      <c r="QA37" s="152">
        <f>IF(OR($MN37=0,$MM37=""),"",IF($MC37=0,"não devolve","+"&amp;IF($NS37=1,CEILING($MC37/2,1),$MC37)))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JD38" s="152">
        <f>IF(OR($AW38="",COUNTIF($ED$2:$EH$2,$AW38)&gt;0),$AV38,"")</f>
        <v/>
      </c>
      <c r="JE38" s="152">
        <f>IF(AND($AX38=1,OR($AW38="",COUNTIF($ED$2:$EH$2,$AW38)&gt;0)),$AV38,"")</f>
        <v/>
      </c>
      <c r="JJ38" s="152">
        <f>IF(OR($AW38="",COUNTIF($ED$3:$EH$3,$AW38)&gt;0),$AV38,"")</f>
        <v/>
      </c>
      <c r="JK38" s="152">
        <f>IF(AND($AX38=1,OR($AW38="",COUNTIF($ED$3:$EH$3,$AW38)&gt;0)),$AV38,"")</f>
        <v/>
      </c>
      <c r="JP38" s="152">
        <f>IF(OR($AW38="",COUNTIF($ED$4:$EH$4,$AW38)&gt;0),$AV38,"")</f>
        <v/>
      </c>
      <c r="JQ38" s="152">
        <f>IF(AND($AX38=1,OR($AW38="",COUNTIF($ED$4:$EH$4,$AW38)&gt;0)),$AV38,"")</f>
        <v/>
      </c>
      <c r="JV38" s="152">
        <f>IF(OR($AW38="",COUNTIF($ED$5:$EH$5,$AW38)&gt;0),$AV38,"")</f>
        <v/>
      </c>
      <c r="JW38" s="152">
        <f>IF(AND($AX38=1,OR($AW38="",COUNTIF($ED$5:$EH$5,$AW38)&gt;0)),$AV38,"")</f>
        <v/>
      </c>
      <c r="KB38" s="152">
        <f>IF(OR($AW38="",COUNTIF($ED$6:$EH$6,$AW38)&gt;0),$AV38,"")</f>
        <v/>
      </c>
      <c r="KC38" s="152">
        <f>IF(AND($AX38=1,OR($AW38="",COUNTIF($ED$6:$EH$6,$AW38)&gt;0)),$AV38,"")</f>
        <v/>
      </c>
      <c r="KH38" s="152">
        <f>IF(OR($AW38="",COUNTIF($ED$7:$EH$7,$AW38)&gt;0),$AV38,"")</f>
        <v/>
      </c>
      <c r="KI38" s="152">
        <f>IF(AND($AX38=1,OR($AW38="",COUNTIF($ED$7:$EH$7,$AW38)&gt;0)),$AV38,"")</f>
        <v/>
      </c>
      <c r="KN38" s="152">
        <f>IF(OR($AW38="",COUNTIF($ED$8:$EH$8,$AW38)&gt;0),$AV38,"")</f>
        <v/>
      </c>
      <c r="KO38" s="152">
        <f>IF(AND($AX38=1,OR($AW38="",COUNTIF($ED$8:$EH$8,$AW38)&gt;0)),$AV38,"")</f>
        <v/>
      </c>
      <c r="KT38" s="152">
        <f>IF(OR($AW38="",COUNTIF($ED$9:$EH$9,$AW38)&gt;0),$AV38,"")</f>
        <v/>
      </c>
      <c r="KU38" s="152">
        <f>IF(AND($AX38=1,OR($AW38="",COUNTIF($ED$9:$EH$9,$AW38)&gt;0)),$AV38,"")</f>
        <v/>
      </c>
      <c r="KZ38" s="152">
        <f>IF(OR($AW38="",COUNTIF($ED$10:$EH$10,$AW38)&gt;0),$AV38,"")</f>
        <v/>
      </c>
      <c r="LA38" s="152">
        <f>IF(AND($AX38=1,OR($AW38="",COUNTIF($ED$10:$EH$10,$AW38)&gt;0)),$AV38,"")</f>
        <v/>
      </c>
      <c r="LF38" s="152">
        <f>IF(OR($AW38="",COUNTIF($ED$11:$EH$11,$AW38)&gt;0),$AV38,"")</f>
        <v/>
      </c>
      <c r="LG38" s="152">
        <f>IF(AND($AX38=1,OR($AW38="",COUNTIF($ED$11:$EH$11,$AW38)&gt;0)),$AV38,"")</f>
        <v/>
      </c>
      <c r="LL38" s="152">
        <f>IF(OR($AW38="",COUNTIF($ED$12:$EH$12,$AW38)&gt;0),$AV38,"")</f>
        <v/>
      </c>
      <c r="LM38" s="152">
        <f>IF(AND($AX38=1,OR($AW38="",COUNTIF($ED$12:$EH$12,$AW38)&gt;0)),$AV38,"")</f>
        <v/>
      </c>
      <c r="LR38" s="152">
        <f>IF(OR($AW38="",COUNTIF($ED$13:$EH$13,$AW38)&gt;0),$AV38,"")</f>
        <v/>
      </c>
      <c r="LS38" s="152">
        <f>IF(AND($AX38=1,OR($AW38="",COUNTIF($ED$13:$EH$13,$AW38)&gt;0)),$AV38,"")</f>
        <v/>
      </c>
      <c r="LX38" s="150" t="inlineStr">
        <is>
          <t>Ficha 3 · Escolha da trilha 1</t>
        </is>
      </c>
      <c r="LY38" s="152" t="n">
        <v>3</v>
      </c>
      <c r="LZ38" s="152" t="n">
        <v>2</v>
      </c>
      <c r="MA38" s="152" t="n">
        <v>0</v>
      </c>
      <c r="MB38" s="150" t="inlineStr">
        <is>
          <t>ESCOLHA DA TRILHA 1</t>
        </is>
      </c>
      <c r="MC38" s="152">
        <f>MAX(0,MIN(7,N('INVOCAÇÕES'!$I$556)))</f>
        <v/>
      </c>
      <c r="MD38" s="152">
        <f>'INVOCAÇÕES'!$J$556&amp;""</f>
        <v/>
      </c>
      <c r="ME38" s="152">
        <f>'INVOCAÇÕES'!$I$561&amp;""</f>
        <v/>
      </c>
      <c r="MF38" s="152">
        <f>'INVOCAÇÕES'!$I$562&amp;""</f>
        <v/>
      </c>
      <c r="MG38" s="152">
        <f>'INVOCAÇÕES'!$K$562&amp;""</f>
        <v/>
      </c>
      <c r="MH38" s="152">
        <f>'INVOCAÇÕES'!$J$565&amp;""</f>
        <v/>
      </c>
      <c r="MI38" s="152">
        <f>'INVOCAÇÕES'!$J$566&amp;""</f>
        <v/>
      </c>
      <c r="MJ38" s="152">
        <f>'INVOCAÇÕES'!$J$567&amp;""</f>
        <v/>
      </c>
      <c r="MK38" s="152">
        <f>'INVOCAÇÕES'!$J$568&amp;""</f>
        <v/>
      </c>
      <c r="ML38" s="152">
        <f>'INVOCAÇÕES'!$J$569&amp;""</f>
        <v/>
      </c>
      <c r="MM38" s="152">
        <f>'INVOCAÇÕES'!$J$570&amp;""</f>
        <v/>
      </c>
      <c r="MN38" s="152">
        <f>IF($MD38&lt;&gt;"",1,0)</f>
        <v/>
      </c>
      <c r="MO38" s="152">
        <f>INDEX($FG$2:$FG$13,$LY38)</f>
        <v/>
      </c>
      <c r="MP38" s="152">
        <f>INDEX($FH$2:$FH$13,$LY38)</f>
        <v/>
      </c>
      <c r="MQ38" s="152">
        <f>INDEX($FI$2:$FI$13,$LY38)</f>
        <v/>
      </c>
      <c r="MR38" s="152">
        <f>INDEX($FT$2:$FT$13,$LY38)</f>
        <v/>
      </c>
      <c r="MS38" s="152">
        <f>INDEX($FU$2:$FU$13,$LY38)</f>
        <v/>
      </c>
      <c r="MT38" s="152">
        <f>IFERROR(MATCH($ME38,$V$2:$V$11,0),0)</f>
        <v/>
      </c>
      <c r="MU38" s="152">
        <f>IFERROR(VLOOKUP($MH38,$AV$2:$AZ$84,2,FALSE),"")</f>
        <v/>
      </c>
      <c r="MV38" s="152">
        <f>IFERROR(VLOOKUP($MI38,$AV$2:$AZ$84,2,FALSE),"")</f>
        <v/>
      </c>
      <c r="MW38" s="152">
        <f>IFERROR(VLOOKUP($MJ38,$AV$2:$AZ$84,2,FALSE),"")</f>
        <v/>
      </c>
      <c r="MX38" s="152">
        <f>IFERROR(VLOOKUP($MK38,$AV$2:$AZ$84,2,FALSE),"")</f>
        <v/>
      </c>
      <c r="MY38" s="152">
        <f>IFERROR(VLOOKUP($MH38,$AV$2:$AZ$84,3,FALSE),0)</f>
        <v/>
      </c>
      <c r="MZ38" s="152">
        <f>IFERROR(VLOOKUP($MI38,$AV$2:$AZ$84,3,FALSE),0)</f>
        <v/>
      </c>
      <c r="NA38" s="152">
        <f>IFERROR(VLOOKUP($MJ38,$AV$2:$AZ$84,3,FALSE),0)</f>
        <v/>
      </c>
      <c r="NB38" s="152">
        <f>IFERROR(VLOOKUP($MK38,$AV$2:$AZ$84,3,FALSE),0)</f>
        <v/>
      </c>
      <c r="NC38" s="152">
        <f>IF($MC38=0,0,IF($MT38=0,0,INDEX($X$2:$X$11,$MT38)))</f>
        <v/>
      </c>
      <c r="ND38" s="152">
        <f>IF(OR($MY38=0,$MC38=0),0,$MY38+3*IF(AND($MU38&lt;&gt;"",OR($MU38=INDEX($ED$2:$ED$13,$LY38),$MU38=INDEX($EE$2:$EE$13,$LY38))),1,0))</f>
        <v/>
      </c>
      <c r="NE38" s="152">
        <f>IF(OR($MZ38=0,$MC38=0),0,$MZ38+3*IF(AND($MV38&lt;&gt;"",OR($MV38=INDEX($ED$2:$ED$13,$LY38),$MV38=INDEX($EE$2:$EE$13,$LY38))),1,0))</f>
        <v/>
      </c>
      <c r="NF38" s="152">
        <f>IF(OR($NA38=0,$MC38=0),0,$NA38+3*IF(AND($MW38&lt;&gt;"",OR($MW38=INDEX($ED$2:$ED$13,$LY38),$MW38=INDEX($EE$2:$EE$13,$LY38))),1,0))</f>
        <v/>
      </c>
      <c r="NG38" s="152">
        <f>IF(OR($NB38=0,$MC38=0),0,$NB38+3*IF(AND($MX38&lt;&gt;"",OR($MX38=INDEX($ED$2:$ED$13,$LY38),$MX38=INDEX($EE$2:$EE$13,$LY38))),1,0))</f>
        <v/>
      </c>
      <c r="NH38" s="152">
        <f>IF($MT38=0,0,IF(INDEX($W$2:$W$11,$MT38)="",0,IF(COUNTIF(INDEX($ED$2:$EH$13,$LY38,0),INDEX($W$2:$W$11,$MT38))=0,1,0)))</f>
        <v/>
      </c>
      <c r="NI38" s="152">
        <f>IF(OR($MY38=0,$MU38=""),0,IF(COUNTIF(INDEX($ED$2:$EH$13,$LY38,0),$MU38)=0,1,0))</f>
        <v/>
      </c>
      <c r="NJ38" s="152">
        <f>IF(OR($MZ38=0,$MV38=""),0,IF(COUNTIF(INDEX($ED$2:$EH$13,$LY38,0),$MV38)=0,1,0))</f>
        <v/>
      </c>
      <c r="NK38" s="152">
        <f>IF(OR($NA38=0,$MW38=""),0,IF(COUNTIF(INDEX($ED$2:$EH$13,$LY38,0),$MW38)=0,1,0))</f>
        <v/>
      </c>
      <c r="NL38" s="152">
        <f>IF(OR($NB38=0,$MX38=""),0,IF(COUNTIF(INDEX($ED$2:$EH$13,$LY38,0),$MX38)=0,1,0))</f>
        <v/>
      </c>
      <c r="NM38" s="152">
        <f>IFERROR(VLOOKUP($MH38,$AV$2:$AZ$84,4,FALSE),0)+IFERROR(VLOOKUP($MI38,$AV$2:$AZ$84,4,FALSE),0)+IFERROR(VLOOKUP($MJ38,$AV$2:$AZ$84,4,FALSE),0)+IFERROR(VLOOKUP($MK38,$AV$2:$AZ$84,4,FALSE),0)</f>
        <v/>
      </c>
      <c r="NN38" s="152">
        <f>TEXTJOIN(", ",TRUE,IF(IFERROR(VLOOKUP($MH38,$AV$2:$AZ$84,5,FALSE),0)=1,$MH38,""),IF(IFERROR(VLOOKUP($MI38,$AV$2:$AZ$84,5,FALSE),0)=1,$MI38,""),IF(IFERROR(VLOOKUP($MJ38,$AV$2:$AZ$84,5,FALSE),0)=1,$MJ38,""),IF(IFERROR(VLOOKUP($MK38,$AV$2:$AZ$84,5,FALSE),0)=1,$MK38,""))</f>
        <v/>
      </c>
      <c r="NO38" s="152">
        <f>IF($MT38=0,0,INDEX($Y$2:$Y$11,$MT38))</f>
        <v/>
      </c>
      <c r="NP38" s="152">
        <f>IF($MT38=0,0,INDEX($Z$2:$Z$11,$MT38))</f>
        <v/>
      </c>
      <c r="NQ38" s="152">
        <f>IF($MT38=0,0,INDEX($AB$2:$AB$11,$MT38))</f>
        <v/>
      </c>
      <c r="NR38" s="152">
        <f>IFERROR(VLOOKUP($ML38,$BB$2:$BF$24,3,FALSE),0)</f>
        <v/>
      </c>
      <c r="NS38" s="152">
        <f>IFERROR(VLOOKUP($MM38,$BB$2:$BF$24,3,FALSE),0)</f>
        <v/>
      </c>
      <c r="NT38" s="152">
        <f>IFERROR(VLOOKUP($ML38,$BB$2:$BF$24,2,FALSE),"")</f>
        <v/>
      </c>
      <c r="NU38" s="152">
        <f>IFERROR(VLOOKUP($MM38,$BB$2:$BF$24,2,FALSE),"")</f>
        <v/>
      </c>
      <c r="NV38" s="152">
        <f>COUNTIF($NC38:$NG38,1)</f>
        <v/>
      </c>
      <c r="NW38" s="152">
        <f>COUNTIF($NC38:$NG38,2)</f>
        <v/>
      </c>
      <c r="NX38" s="152">
        <f>COUNTIF($NC38:$NG38,3)</f>
        <v/>
      </c>
      <c r="NY38" s="152">
        <f>COUNTIF($NC38:$NG38,4)</f>
        <v/>
      </c>
      <c r="NZ38" s="152">
        <f>COUNTIF($NC38:$NG38,5)</f>
        <v/>
      </c>
      <c r="OA38" s="152">
        <f>COUNTIF($NC38:$NG38,6)</f>
        <v/>
      </c>
      <c r="OB38" s="152">
        <f>COUNTIF($NR38:$NS38,1)</f>
        <v/>
      </c>
      <c r="OC38" s="152">
        <f>COUNTIF($NR38:$NS38,2)+$NO38</f>
        <v/>
      </c>
      <c r="OD38" s="152">
        <f>COUNTIF($MH38:$MK38,"?*")</f>
        <v/>
      </c>
      <c r="OE38" s="152">
        <f>COUNTIF($ML38:$MM38,"?*")+$NO38</f>
        <v/>
      </c>
      <c r="OF38" s="152">
        <f>IF($MC38=0,0,SUMPRODUCT($NV38:$OA38,INDEX($I$2:$N$8,MAX(1,$MC38),0)))</f>
        <v/>
      </c>
      <c r="OG38" s="152">
        <f>IF($MC38=0,0,$OB38*CEILING($MC38/2,1)+$OC38*$MC38)</f>
        <v/>
      </c>
      <c r="OH38" s="152">
        <f>MIN(2*$MC38,$OG38)</f>
        <v/>
      </c>
      <c r="OI38" s="152">
        <f>MIN($OH38,$OF38)</f>
        <v/>
      </c>
      <c r="OJ38" s="152">
        <f>$OH38-$OI38</f>
        <v/>
      </c>
      <c r="OK38" s="152">
        <f>IF($MC38=0,0,INDEX($P$2:$P$8,MAX(1,$MC38)))</f>
        <v/>
      </c>
      <c r="OL38" s="152">
        <f>$OK38-$OF38+$OI38</f>
        <v/>
      </c>
      <c r="OM38" s="152">
        <f>IF($MC38=0,MAX(0,$MQ38-IF($OD38&gt;0,1,0)),MAX(0,$OL38))</f>
        <v/>
      </c>
      <c r="ON38" s="152">
        <f>IF($MC38=0,0,(IF(COUNTIF($MH38:$MK38,"Salto")&gt;0,1,0)+IF(COUNTIF($MH38:$MK38,"Queima")&gt;0,1,0)+IF(COUNTIF($MH38:$MK38,"Estilhaço")&gt;0,1,0))*FLOOR($OM38/2,1))</f>
        <v/>
      </c>
      <c r="OO38" s="152">
        <f>MAX(0,2-SUMPRODUCT($NV38:$OA38,$I$2:$N$2)+MIN(2,$OB38*1+$OC38*1,SUMPRODUCT($NV38:$OA38,$I$2:$N$2)))</f>
        <v/>
      </c>
      <c r="OP38" s="152">
        <f>MAX(0,4-SUMPRODUCT($NV38:$OA38,$I$3:$N$3)+MIN(4,$OB38*1+$OC38*2,SUMPRODUCT($NV38:$OA38,$I$3:$N$3)))</f>
        <v/>
      </c>
      <c r="OQ38" s="152">
        <f>MAX(0,6-SUMPRODUCT($NV38:$OA38,$I$4:$N$4)+MIN(6,$OB38*2+$OC38*3,SUMPRODUCT($NV38:$OA38,$I$4:$N$4)))</f>
        <v/>
      </c>
      <c r="OR38" s="152">
        <f>MAX(0,9-SUMPRODUCT($NV38:$OA38,$I$5:$N$5)+MIN(8,$OB38*2+$OC38*4,SUMPRODUCT($NV38:$OA38,$I$5:$N$5)))</f>
        <v/>
      </c>
      <c r="OS38" s="152">
        <f>MAX(0,11-SUMPRODUCT($NV38:$OA38,$I$6:$N$6)+MIN(10,$OB38*3+$OC38*5,SUMPRODUCT($NV38:$OA38,$I$6:$N$6)))</f>
        <v/>
      </c>
      <c r="OT38" s="152">
        <f>MAX(0,13-SUMPRODUCT($NV38:$OA38,$I$7:$N$7)+MIN(12,$OB38*3+$OC38*6,SUMPRODUCT($NV38:$OA38,$I$7:$N$7)))</f>
        <v/>
      </c>
      <c r="OU38" s="152">
        <f>MAX(0,16-SUMPRODUCT($NV38:$OA38,$I$8:$N$8)+MIN(14,$OB38*4+$OC38*7,SUMPRODUCT($NV38:$OA38,$I$8:$N$8)))</f>
        <v/>
      </c>
      <c r="OV38" s="152">
        <f>IF($NP38=2,3*$OO38&amp;" de vida temp.",IF($NP38=3,"sem dano",IF($OO38=0,IF($NP38=1,"sem cura","sem dano"),IF($NP38=1,"cura ","")&amp;$OO38&amp;"d8")))</f>
        <v/>
      </c>
      <c r="OW38" s="152">
        <f>IF($NP38=2,3*$OP38&amp;" de vida temp.",IF($NP38=3,"sem dano",IF($OP38=0,IF($NP38=1,"sem cura","sem dano"),IF($NP38=1,"cura ","")&amp;$OP38&amp;"d8")))</f>
        <v/>
      </c>
      <c r="OX38" s="152">
        <f>IF($NP38=2,3*$OQ38&amp;" de vida temp.",IF($NP38=3,"sem dano",IF($OQ38=0,IF($NP38=1,"sem cura","sem dano"),IF($NP38=1,"cura ","")&amp;$OQ38&amp;"d8")))</f>
        <v/>
      </c>
      <c r="OY38" s="152">
        <f>IF($NP38=2,3*$OR38&amp;" de vida temp.",IF($NP38=3,"sem dano",IF($OR38=0,IF($NP38=1,"sem cura","sem dano"),IF($NP38=1,"cura ","")&amp;$OR38&amp;"d8")))</f>
        <v/>
      </c>
      <c r="OZ38" s="152">
        <f>IF($NP38=2,3*$OS38&amp;" de vida temp.",IF($NP38=3,"sem dano",IF($OS38=0,IF($NP38=1,"sem cura","sem dano"),IF($NP38=1,"cura ","")&amp;$OS38&amp;"d8")))</f>
        <v/>
      </c>
      <c r="PA38" s="152">
        <f>IF($NP38=2,3*$OT38&amp;" de vida temp.",IF($NP38=3,"sem dano",IF($OT38=0,IF($NP38=1,"sem cura","sem dano"),IF($NP38=1,"cura ","")&amp;$OT38&amp;"d8")))</f>
        <v/>
      </c>
      <c r="PB38" s="152">
        <f>IF($NP38=2,3*$OU38&amp;" de vida temp.",IF($NP38=3,"sem dano",IF($OU38=0,IF($NP38=1,"sem cura","sem dano"),IF($NP38=1,"cura ","")&amp;$OU38&amp;"d8")))</f>
        <v/>
      </c>
      <c r="PC38" s="152">
        <f>IF($MN38=0,"",TEXTJOIN(" · ",TRUE,IF($MA38&gt;$MO38,"Este lugar abre no nível "&amp;$MA38,""),IF($MC38&gt;$MP38,"Classe "&amp;$MC38&amp;": o nível "&amp;$MO38&amp;" libera até a "&amp;$MP38,""),IF($NH38=1,"A Forma "&amp;$ME38&amp;" pede "&amp;INDEX($W$2:$W$11,$MT38)&amp;" aberta",""),IF(AND($MC38=0,$MT38&gt;0,IF($MT38=0,0,INDEX($AF$2:$AF$11,$MT38))=0),$ME38&amp;" não existe na Classe 0",""),IF($NI38=1,"Família Fechada: "&amp;$MH38,""),IF($NJ38=1,"Família Fechada: "&amp;$MI38,""),IF($NK38=1,"Família Fechada: "&amp;$MJ38,""),IF($NL38=1,"Família Fechada: "&amp;$MK38,""),IF(AND($MC38&gt;0,$OD38&gt;INDEX($O$2:$O$8,MAX(1,$MC38))),$OD38&amp;" Melhorias: a Classe "&amp;$MC38&amp;" aceita "&amp;INDEX($O$2:$O$8,MAX(1,$MC38)),""),IF(AND($MC38=0,$OD38&gt;1),"A básica aceita uma Melhoria",""),IF(AND($MC38=0,COUNTIF($MY38:$NB38,"&gt;1")&gt;0),"A básica só aceita Melhoria Leve",""),IF(AND($MC38&gt;0,$OE38&gt;2),$OE38&amp;" Restrições"&amp;IF($NO38=1,", contando a que a Forma "&amp;$ME38&amp;" já traz","")&amp;": o limite é 2",""),IF(AND($MC38=0,COUNTIF($ML38:$MM38,"?*")&gt;1),"A básica aceita uma Restrição Leve",""),IF(AND($MC38=0,COUNTIF($NR38:$NS38,2)&gt;0),"A básica só aceita Restrição Leve",""),IF(AND($MC38&gt;0,$OL38&lt;0),"Orçamento estourado: faltam "&amp;(-$OL38)&amp;IF($OL38&lt;-1," pontos"," ponto"),""),IF(IFERROR(VLOOKUP($ML38,$BB$2:$BF$24,4,FALSE),0)+IFERROR(VLOOKUP($MM38,$BB$2:$BF$24,4,FALSE),0)&gt;1,$NT38&amp;" e "&amp;$NU38&amp;" são as duas de frequência",""),IF(AND((COUNTIF($MH38:$MK38,"Rápido")+COUNTIF($NT38:$NU38,"Rápido"))&gt;0,(COUNTIF($MH38:$MK38,"Atrasar")+COUNTIF($NT38:$NU38,"Atrasar"))&gt;0),"Rápido não entra com Atrasar",""),IF(AND((COUNTIF($MH38:$MK38,"Reação")+COUNTIF($NT38:$NU38,"Reação"))&gt;0,(COUNTIF($MH38:$MK38,"Rápido")+COUNTIF($NT38:$NU38,"Rápido"))&gt;0),"Reação não entra com Rápido",""),IF(AND((COUNTIF($MH38:$MK38,"Reação")+COUNTIF($NT38:$NU38,"Reação"))&gt;0,(COUNTIF($MH38:$MK38,"Armado")+COUNTIF($NT38:$NU38,"Armado"))&gt;0),"Reação não entra com Armado",""),IF(AND((COUNTIF($MH38:$MK38,"Reação")+COUNTIF($NT38:$NU38,"Reação"))&gt;0,(COUNTIF($MH38:$MK38,"Atrasar")+COUNTIF($NT38:$NU38,"Atrasar"))&gt;0),"Reação não entra com Atrasar",""),IF(AND((COUNTIF($MH38:$MK38,"Reação")+COUNTIF($NT38:$NU38,"Reação"))&gt;0,(COUNTIF($MH38:$MK38,"Parado")+COUNTIF($NT38:$NU38,"Parado"))&gt;0),"Reação não entra com Parado",""),IF(AND((COUNTIF($MH38:$MK38,"Atrasar")+COUNTIF($NT38:$NU38,"Atrasar"))&gt;0,(COUNTIF($MH38:$MK38,"Parado")+COUNTIF($NT38:$NU38,"Parado"))&gt;0),"Atrasar não entra com Parado",""),IF(AND((COUNTIF($MH38:$MK38,"Armado")+COUNTIF($NT38:$NU38,"Armado"))&gt;0,(COUNTIF($MH38:$MK38,"Carregar")+COUNTIF($NT38:$NU38,"Carregar"))&gt;0),"Armado não entra com Carregar",""),IF(AND(COUNTIF($NT38:$NU38,"Corpo a Corpo")&gt;0,$NO38=0,OR($ME38="Cone",$ME38="Linha")),"Corpo a Corpo não entra em "&amp;$ME38,""),IF(AND(COUNTIF($NT38:$NU38,"Corpo a Corpo")&gt;0,$NO38=1),"A Forma "&amp;$ME38&amp;" já traz o Corpo a Corpo",""),IF(AND(COUNTIF($NT38:$NU38,"Tudo ou Nada")&gt;0,$NQ38=0),"Tudo ou Nada só entra em habilidade de Teste de Resistência",""),IF(AND(COUNTIF($MH38:$MK38,"Inescapável")&gt;0,OR($OD38&gt;1,$OE38&gt;0)),"Inescapável não aceita outra peça",""),IF(AND($MC38&gt;0,$OM38*IF(COUNTIF($MH38:$MK38,"Remate")&gt;0,1.25,1)+$ON38&gt;4*$MC38),($OM38*IF(COUNTIF($MH38:$MK38,"Remate")&gt;0,1.25,1)+$ON38)&amp;" dados somando repetições"&amp;IF(COUNTIF($MH38:$MK38,"Remate")&gt;0," e o Remate","")&amp;": o teto da Classe "&amp;$MC38&amp;" é "&amp;4*$MC38,"")))</f>
        <v/>
      </c>
      <c r="PD38" s="152">
        <f>IF($PC38="",0,(LEN($PC38)-LEN(SUBSTITUTE($PC38," · ","")))/3+1)</f>
        <v/>
      </c>
      <c r="PE38" s="152">
        <f>IF($MN38=0,"",TEXTJOIN(" · ",TRUE,IF($OG38&gt;2*$MC38,"A devolução parou no teto de "&amp;2*$MC38,""),IF($OJ38&gt;0,"Devolução perdida: "&amp;$OJ38&amp;IF($OJ38&gt;1," pontos"," ponto")&amp;" sem peça para pagar",""),IF(AND($NM38&gt;0,AND($MC38&gt;0,$NP38=0),$OM38=0),"Controle sem dano: uma rodada a mais e CD +2",""),IF(AND($NM38&gt;0,AND($MC38&gt;0,$NP38=0),$OM38&gt;0,$OM38&lt;=$MC38),"Controle com saldo até a Classe: uma rodada a mais",""),IF(AND($MC38&gt;0,$NN38&lt;&gt;""),"Efeito de "&amp;$NN38&amp;" pela Classe "&amp;MAX(1,$MC38-1),"")))</f>
        <v/>
      </c>
      <c r="PF38" s="152">
        <f>IF($PE38="",0,(LEN($PE38)-LEN(SUBSTITUTE($PE38," · ","")))/3+1)</f>
        <v/>
      </c>
      <c r="PG38" s="152">
        <f>IF($MN38=0,IF($OD38+COUNTIF($ML38:$MM38,"?*")&gt;0,"Dê um nome",""),IF($PD38&gt;0,"⚠ "&amp;$PD38&amp;IF($PD38&gt;1," erros"," erro"),IF($PF38&gt;0,"! "&amp;$PF38&amp;IF($PF38&gt;1," avisos"," aviso"),"Na regra")))</f>
        <v/>
      </c>
      <c r="PH38" s="152">
        <f>IF($MN38=0,"",IF($PD38+$PF38=0,"Dentro das regras que a ficha confere",$PC38&amp;IF(AND($PD38&gt;0,$PF38&gt;0)," · ","")&amp;$PE38))</f>
        <v/>
      </c>
      <c r="PI38" s="152">
        <f>IF($MA38&gt;$MO38,$MB38&amp;" · ABRE NO NÍVEL "&amp;$MA38,$MB38)</f>
        <v/>
      </c>
      <c r="PJ38" s="152">
        <f>IF($MN38=0,"",IF($MC38=0,"Sem PE",3*$MC38&amp;" PE"))</f>
        <v/>
      </c>
      <c r="PK38" s="152">
        <f>IF($MN38=0,"",IF($MC38=0,"A atuação básica dela",IF(COUNTIF($NT38:$NU38,"Atrasar")&gt;0,"Sua Ação Completa",IF(COUNTIF($MH38:$MK38,"Rápido")&gt;0,"Sua Bônus",IF(COUNTIF($MH38:$MK38,"Reação")&gt;0,"Sua Reação","Sua Padrão")))&amp;" + a básica dela"&amp;IF(COUNTIF($MH38:$MK38,"Reação")&gt;0," e a coletiva","")&amp;IF(COUNTIF($NT38:$NU38,"Carregar")&gt;0," · em dois turnos","")))</f>
        <v/>
      </c>
      <c r="PL38" s="152">
        <f>IF($MG38&lt;&gt;"",$MG38,IF($MT38=0,"",INDEX($AA$2:$AA$11,$MT38)))</f>
        <v/>
      </c>
      <c r="PM38" s="152">
        <f>IF(OR($MN38=0,$MT38=0),"",IF(COUNTIF($MH38:$MK38,"Inescapável")&gt;0,"Automático",IF($PL38="Ataque",IF($MR38="","Ataque","Ataque "&amp;IF(($MR38+2*IF(COUNTIF($MH38:$MK38,"Precisão")&gt;0,1,0))&gt;=0,"+","−")&amp;ABS(($MR38+2*IF(COUNTIF($MH38:$MK38,"Precisão")&gt;0,1,0)))),IF(LEFT($PL38,2)="TR",$PL38&amp;IF($MS38="",""," · CD "&amp;$MS38)&amp;IF(COUNTIF($MH38:$MK38,"Certeiro")&gt;0," · metade",""),"Sem rolagem"))))</f>
        <v/>
      </c>
      <c r="PN38" s="152">
        <f>IF(OR($MN38=0,$MT38=0),"",IF($MC38=0,IF(OR($NP38&gt;=1,$OM38=0),"Sem dano",$OM38&amp;"d6"&amp;IF($MF38="",""," "&amp;$MF38)),IF(OR($NP38&gt;=1,$OM38=0),UPPER(LEFT(INDEX($OV38:$PB38,1,MAX(1,$MC38)),1))&amp;MID(INDEX($OV38:$PB38,1,MAX(1,$MC38)),2,99),UPPER(LEFT(INDEX($OV38:$PB38,1,MAX(1,$MC38)),1))&amp;MID(INDEX($OV38:$PB38,1,MAX(1,$MC38)),2,99)&amp;IF($MF38="",""," "&amp;$MF38)&amp;IF($ON38&gt;0," · +"&amp;$ON38&amp;"d8",""))))</f>
        <v/>
      </c>
      <c r="PO38" s="152">
        <f>COUNTIF($MH38:$MK38,"Longe")+3*COUNTIF($MH38:$MK38,"Muito Longe")</f>
        <v/>
      </c>
      <c r="PP38" s="152">
        <f>COUNTIF($MH38:$MK38,"Maior")+3*COUNTIF($MH38:$MK38,"Muito Maior")</f>
        <v/>
      </c>
      <c r="PQ38" s="152">
        <f>IF($MT38=0,0,CHOOSE(1+INDEX($AC$2:$AC$11,$MT38),0,$PO38,$PP38,$PO38+$PP38))</f>
        <v/>
      </c>
      <c r="PR38" s="152">
        <f>IF($MT38=0,0,CHOOSE(1+INDEX($AD$2:$AD$11,$MT38),0,$PO38,$PP38,$PO38+$PP38))</f>
        <v/>
      </c>
      <c r="PS38" s="152">
        <f>IF(OR($MN38=0,$MT38=0),"",INDEX($AI$2:$AN$41,($MT38-1)*4+IF($MC38=0,1,IF($MC38&lt;=5,2,IF($MC38=6,3,4))),1+MIN(5,$PQ38))&amp;INDEX($AO$2:$AT$41,($MT38-1)*4+IF($MC38=0,1,IF($MC38&lt;=5,2,IF($MC38=6,3,4))),1+MIN(5,$PR38))&amp;IF(INDEX($AE$2:$AE$11,$MT38)=1,IF(COUNTIF($MH38:$MK38,"Mais Um")&gt;0," · +"&amp;COUNTIF($MH38:$MK38,"Mais Um")&amp;IF(COUNTIF($MH38:$MK38,"Mais Um")&gt;1," alvos"," alvo"),"")&amp;IF(COUNTIF($MH38:$MK38,"Rajada")&gt;0,IF($MC38=0," · 1 tiro"," · "&amp;(MAX(1,$MC38-1)+1)&amp;" tiros"),""),""))</f>
        <v/>
      </c>
      <c r="PT38" s="152">
        <f>IF($MN38=0,"",IF($MC38=0,$MQ38&amp;"d6"&amp;IF($OD38&gt;0," − 1 = "&amp;$OM38&amp;"d6"," da básica do nível "&amp;$MO38),$OK38&amp;" − "&amp;$OF38&amp;" + "&amp;$OI38&amp;" = "&amp;$OL38&amp;" · teto "&amp;4*$MC38&amp;"d8"&amp;IF($NO38=1," · a Forma devolve "&amp;$MC38,"")&amp;IF($OJ38&gt;0," · perde "&amp;$OJ38,"")))</f>
        <v/>
      </c>
      <c r="PU38" s="152">
        <f>IF($MN38=0,"",IF($MC38=0,"A básica não amplia: os dados dela sobem com o nível",IF($MC38&gt;=$MP38,"Já está na maior Classe que o nível liberou",TEXTJOIN(" · ",TRUE,IF(AND(2&gt;$MC38,2&lt;=$MP38),"2 → "&amp;$OW38&amp;", 6 PE",""),IF(AND(3&gt;$MC38,3&lt;=$MP38),"3 → "&amp;$OX38&amp;", 9 PE",""),IF(AND(4&gt;$MC38,4&lt;=$MP38),"4 → "&amp;$OY38&amp;", 12 PE",""),IF(AND(5&gt;$MC38,5&lt;=$MP38),"5 → "&amp;$OZ38&amp;", 15 PE",""),IF(AND(6&gt;$MC38,6&lt;=$MP38),"6 → "&amp;$PA38&amp;", 18 PE",""),IF(AND(7&gt;$MC38,7&lt;=$MP38),"7 → "&amp;$PB38&amp;", 21 PE","")))))</f>
        <v/>
      </c>
      <c r="PV38" s="152">
        <f>IF(OR($MN38=0,$MY38=0),"",IF($MC38=0,"−1 dado","−"&amp;INDEX($I$2:$N$8,MAX(1,$MC38),MAX(1,$ND38))&amp;" · "&amp;CHOOSE(MAX(1,$ND38),"Leve","Média","Pesada","Leve · Livre","Média · Livre","Pesada · Livre")))</f>
        <v/>
      </c>
      <c r="PW38" s="152">
        <f>IF(OR($MN38=0,$MZ38=0),"",IF($MC38=0,"−1 dado","−"&amp;INDEX($I$2:$N$8,MAX(1,$MC38),MAX(1,$NE38))&amp;" · "&amp;CHOOSE(MAX(1,$NE38),"Leve","Média","Pesada","Leve · Livre","Média · Livre","Pesada · Livre")))</f>
        <v/>
      </c>
      <c r="PX38" s="152">
        <f>IF(OR($MN38=0,$NA38=0),"",IF($MC38=0,"−1 dado","−"&amp;INDEX($I$2:$N$8,MAX(1,$MC38),MAX(1,$NF38))&amp;" · "&amp;CHOOSE(MAX(1,$NF38),"Leve","Média","Pesada","Leve · Livre","Média · Livre","Pesada · Livre")))</f>
        <v/>
      </c>
      <c r="PY38" s="152">
        <f>IF(OR($MN38=0,$NB38=0),"",IF($MC38=0,"−1 dado","−"&amp;INDEX($I$2:$N$8,MAX(1,$MC38),MAX(1,$NG38))&amp;" · "&amp;CHOOSE(MAX(1,$NG38),"Leve","Média","Pesada","Leve · Livre","Média · Livre","Pesada · Livre")))</f>
        <v/>
      </c>
      <c r="PZ38" s="152">
        <f>IF(OR($MN38=0,$ML38=""),"",IF($MC38=0,"não devolve","+"&amp;IF($NR38=1,CEILING($MC38/2,1),$MC38)))</f>
        <v/>
      </c>
      <c r="QA38" s="152">
        <f>IF(OR($MN38=0,$MM38=""),"",IF($MC38=0,"não devolve","+"&amp;IF($NS38=1,CEILING($MC38/2,1),$MC38)))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JD39" s="152">
        <f>IF(OR($AW39="",COUNTIF($ED$2:$EH$2,$AW39)&gt;0),$AV39,"")</f>
        <v/>
      </c>
      <c r="JE39" s="152">
        <f>IF(AND($AX39=1,OR($AW39="",COUNTIF($ED$2:$EH$2,$AW39)&gt;0)),$AV39,"")</f>
        <v/>
      </c>
      <c r="JJ39" s="152">
        <f>IF(OR($AW39="",COUNTIF($ED$3:$EH$3,$AW39)&gt;0),$AV39,"")</f>
        <v/>
      </c>
      <c r="JK39" s="152">
        <f>IF(AND($AX39=1,OR($AW39="",COUNTIF($ED$3:$EH$3,$AW39)&gt;0)),$AV39,"")</f>
        <v/>
      </c>
      <c r="JP39" s="152">
        <f>IF(OR($AW39="",COUNTIF($ED$4:$EH$4,$AW39)&gt;0),$AV39,"")</f>
        <v/>
      </c>
      <c r="JQ39" s="152">
        <f>IF(AND($AX39=1,OR($AW39="",COUNTIF($ED$4:$EH$4,$AW39)&gt;0)),$AV39,"")</f>
        <v/>
      </c>
      <c r="JV39" s="152">
        <f>IF(OR($AW39="",COUNTIF($ED$5:$EH$5,$AW39)&gt;0),$AV39,"")</f>
        <v/>
      </c>
      <c r="JW39" s="152">
        <f>IF(AND($AX39=1,OR($AW39="",COUNTIF($ED$5:$EH$5,$AW39)&gt;0)),$AV39,"")</f>
        <v/>
      </c>
      <c r="KB39" s="152">
        <f>IF(OR($AW39="",COUNTIF($ED$6:$EH$6,$AW39)&gt;0),$AV39,"")</f>
        <v/>
      </c>
      <c r="KC39" s="152">
        <f>IF(AND($AX39=1,OR($AW39="",COUNTIF($ED$6:$EH$6,$AW39)&gt;0)),$AV39,"")</f>
        <v/>
      </c>
      <c r="KH39" s="152">
        <f>IF(OR($AW39="",COUNTIF($ED$7:$EH$7,$AW39)&gt;0),$AV39,"")</f>
        <v/>
      </c>
      <c r="KI39" s="152">
        <f>IF(AND($AX39=1,OR($AW39="",COUNTIF($ED$7:$EH$7,$AW39)&gt;0)),$AV39,"")</f>
        <v/>
      </c>
      <c r="KN39" s="152">
        <f>IF(OR($AW39="",COUNTIF($ED$8:$EH$8,$AW39)&gt;0),$AV39,"")</f>
        <v/>
      </c>
      <c r="KO39" s="152">
        <f>IF(AND($AX39=1,OR($AW39="",COUNTIF($ED$8:$EH$8,$AW39)&gt;0)),$AV39,"")</f>
        <v/>
      </c>
      <c r="KT39" s="152">
        <f>IF(OR($AW39="",COUNTIF($ED$9:$EH$9,$AW39)&gt;0),$AV39,"")</f>
        <v/>
      </c>
      <c r="KU39" s="152">
        <f>IF(AND($AX39=1,OR($AW39="",COUNTIF($ED$9:$EH$9,$AW39)&gt;0)),$AV39,"")</f>
        <v/>
      </c>
      <c r="KZ39" s="152">
        <f>IF(OR($AW39="",COUNTIF($ED$10:$EH$10,$AW39)&gt;0),$AV39,"")</f>
        <v/>
      </c>
      <c r="LA39" s="152">
        <f>IF(AND($AX39=1,OR($AW39="",COUNTIF($ED$10:$EH$10,$AW39)&gt;0)),$AV39,"")</f>
        <v/>
      </c>
      <c r="LF39" s="152">
        <f>IF(OR($AW39="",COUNTIF($ED$11:$EH$11,$AW39)&gt;0),$AV39,"")</f>
        <v/>
      </c>
      <c r="LG39" s="152">
        <f>IF(AND($AX39=1,OR($AW39="",COUNTIF($ED$11:$EH$11,$AW39)&gt;0)),$AV39,"")</f>
        <v/>
      </c>
      <c r="LL39" s="152">
        <f>IF(OR($AW39="",COUNTIF($ED$12:$EH$12,$AW39)&gt;0),$AV39,"")</f>
        <v/>
      </c>
      <c r="LM39" s="152">
        <f>IF(AND($AX39=1,OR($AW39="",COUNTIF($ED$12:$EH$12,$AW39)&gt;0)),$AV39,"")</f>
        <v/>
      </c>
      <c r="LR39" s="152">
        <f>IF(OR($AW39="",COUNTIF($ED$13:$EH$13,$AW39)&gt;0),$AV39,"")</f>
        <v/>
      </c>
      <c r="LS39" s="152">
        <f>IF(AND($AX39=1,OR($AW39="",COUNTIF($ED$13:$EH$13,$AW39)&gt;0)),$AV39,"")</f>
        <v/>
      </c>
      <c r="LX39" s="150" t="inlineStr">
        <is>
          <t>Ficha 3 · Escolha da trilha 2</t>
        </is>
      </c>
      <c r="LY39" s="152" t="n">
        <v>3</v>
      </c>
      <c r="LZ39" s="152" t="n">
        <v>2</v>
      </c>
      <c r="MA39" s="152" t="n">
        <v>0</v>
      </c>
      <c r="MB39" s="150" t="inlineStr">
        <is>
          <t>ESCOLHA DA TRILHA 2</t>
        </is>
      </c>
      <c r="MC39" s="152">
        <f>MAX(0,MIN(7,N('INVOCAÇÕES'!$O$556)))</f>
        <v/>
      </c>
      <c r="MD39" s="152">
        <f>'INVOCAÇÕES'!$P$556&amp;""</f>
        <v/>
      </c>
      <c r="ME39" s="152">
        <f>'INVOCAÇÕES'!$O$561&amp;""</f>
        <v/>
      </c>
      <c r="MF39" s="152">
        <f>'INVOCAÇÕES'!$O$562&amp;""</f>
        <v/>
      </c>
      <c r="MG39" s="152">
        <f>'INVOCAÇÕES'!$Q$562&amp;""</f>
        <v/>
      </c>
      <c r="MH39" s="152">
        <f>'INVOCAÇÕES'!$P$565&amp;""</f>
        <v/>
      </c>
      <c r="MI39" s="152">
        <f>'INVOCAÇÕES'!$P$566&amp;""</f>
        <v/>
      </c>
      <c r="MJ39" s="152">
        <f>'INVOCAÇÕES'!$P$567&amp;""</f>
        <v/>
      </c>
      <c r="MK39" s="152">
        <f>'INVOCAÇÕES'!$P$568&amp;""</f>
        <v/>
      </c>
      <c r="ML39" s="152">
        <f>'INVOCAÇÕES'!$P$569&amp;""</f>
        <v/>
      </c>
      <c r="MM39" s="152">
        <f>'INVOCAÇÕES'!$P$570&amp;""</f>
        <v/>
      </c>
      <c r="MN39" s="152">
        <f>IF($MD39&lt;&gt;"",1,0)</f>
        <v/>
      </c>
      <c r="MO39" s="152">
        <f>INDEX($FG$2:$FG$13,$LY39)</f>
        <v/>
      </c>
      <c r="MP39" s="152">
        <f>INDEX($FH$2:$FH$13,$LY39)</f>
        <v/>
      </c>
      <c r="MQ39" s="152">
        <f>INDEX($FI$2:$FI$13,$LY39)</f>
        <v/>
      </c>
      <c r="MR39" s="152">
        <f>INDEX($FT$2:$FT$13,$LY39)</f>
        <v/>
      </c>
      <c r="MS39" s="152">
        <f>INDEX($FU$2:$FU$13,$LY39)</f>
        <v/>
      </c>
      <c r="MT39" s="152">
        <f>IFERROR(MATCH($ME39,$V$2:$V$11,0),0)</f>
        <v/>
      </c>
      <c r="MU39" s="152">
        <f>IFERROR(VLOOKUP($MH39,$AV$2:$AZ$84,2,FALSE),"")</f>
        <v/>
      </c>
      <c r="MV39" s="152">
        <f>IFERROR(VLOOKUP($MI39,$AV$2:$AZ$84,2,FALSE),"")</f>
        <v/>
      </c>
      <c r="MW39" s="152">
        <f>IFERROR(VLOOKUP($MJ39,$AV$2:$AZ$84,2,FALSE),"")</f>
        <v/>
      </c>
      <c r="MX39" s="152">
        <f>IFERROR(VLOOKUP($MK39,$AV$2:$AZ$84,2,FALSE),"")</f>
        <v/>
      </c>
      <c r="MY39" s="152">
        <f>IFERROR(VLOOKUP($MH39,$AV$2:$AZ$84,3,FALSE),0)</f>
        <v/>
      </c>
      <c r="MZ39" s="152">
        <f>IFERROR(VLOOKUP($MI39,$AV$2:$AZ$84,3,FALSE),0)</f>
        <v/>
      </c>
      <c r="NA39" s="152">
        <f>IFERROR(VLOOKUP($MJ39,$AV$2:$AZ$84,3,FALSE),0)</f>
        <v/>
      </c>
      <c r="NB39" s="152">
        <f>IFERROR(VLOOKUP($MK39,$AV$2:$AZ$84,3,FALSE),0)</f>
        <v/>
      </c>
      <c r="NC39" s="152">
        <f>IF($MC39=0,0,IF($MT39=0,0,INDEX($X$2:$X$11,$MT39)))</f>
        <v/>
      </c>
      <c r="ND39" s="152">
        <f>IF(OR($MY39=0,$MC39=0),0,$MY39+3*IF(AND($MU39&lt;&gt;"",OR($MU39=INDEX($ED$2:$ED$13,$LY39),$MU39=INDEX($EE$2:$EE$13,$LY39))),1,0))</f>
        <v/>
      </c>
      <c r="NE39" s="152">
        <f>IF(OR($MZ39=0,$MC39=0),0,$MZ39+3*IF(AND($MV39&lt;&gt;"",OR($MV39=INDEX($ED$2:$ED$13,$LY39),$MV39=INDEX($EE$2:$EE$13,$LY39))),1,0))</f>
        <v/>
      </c>
      <c r="NF39" s="152">
        <f>IF(OR($NA39=0,$MC39=0),0,$NA39+3*IF(AND($MW39&lt;&gt;"",OR($MW39=INDEX($ED$2:$ED$13,$LY39),$MW39=INDEX($EE$2:$EE$13,$LY39))),1,0))</f>
        <v/>
      </c>
      <c r="NG39" s="152">
        <f>IF(OR($NB39=0,$MC39=0),0,$NB39+3*IF(AND($MX39&lt;&gt;"",OR($MX39=INDEX($ED$2:$ED$13,$LY39),$MX39=INDEX($EE$2:$EE$13,$LY39))),1,0))</f>
        <v/>
      </c>
      <c r="NH39" s="152">
        <f>IF($MT39=0,0,IF(INDEX($W$2:$W$11,$MT39)="",0,IF(COUNTIF(INDEX($ED$2:$EH$13,$LY39,0),INDEX($W$2:$W$11,$MT39))=0,1,0)))</f>
        <v/>
      </c>
      <c r="NI39" s="152">
        <f>IF(OR($MY39=0,$MU39=""),0,IF(COUNTIF(INDEX($ED$2:$EH$13,$LY39,0),$MU39)=0,1,0))</f>
        <v/>
      </c>
      <c r="NJ39" s="152">
        <f>IF(OR($MZ39=0,$MV39=""),0,IF(COUNTIF(INDEX($ED$2:$EH$13,$LY39,0),$MV39)=0,1,0))</f>
        <v/>
      </c>
      <c r="NK39" s="152">
        <f>IF(OR($NA39=0,$MW39=""),0,IF(COUNTIF(INDEX($ED$2:$EH$13,$LY39,0),$MW39)=0,1,0))</f>
        <v/>
      </c>
      <c r="NL39" s="152">
        <f>IF(OR($NB39=0,$MX39=""),0,IF(COUNTIF(INDEX($ED$2:$EH$13,$LY39,0),$MX39)=0,1,0))</f>
        <v/>
      </c>
      <c r="NM39" s="152">
        <f>IFERROR(VLOOKUP($MH39,$AV$2:$AZ$84,4,FALSE),0)+IFERROR(VLOOKUP($MI39,$AV$2:$AZ$84,4,FALSE),0)+IFERROR(VLOOKUP($MJ39,$AV$2:$AZ$84,4,FALSE),0)+IFERROR(VLOOKUP($MK39,$AV$2:$AZ$84,4,FALSE),0)</f>
        <v/>
      </c>
      <c r="NN39" s="152">
        <f>TEXTJOIN(", ",TRUE,IF(IFERROR(VLOOKUP($MH39,$AV$2:$AZ$84,5,FALSE),0)=1,$MH39,""),IF(IFERROR(VLOOKUP($MI39,$AV$2:$AZ$84,5,FALSE),0)=1,$MI39,""),IF(IFERROR(VLOOKUP($MJ39,$AV$2:$AZ$84,5,FALSE),0)=1,$MJ39,""),IF(IFERROR(VLOOKUP($MK39,$AV$2:$AZ$84,5,FALSE),0)=1,$MK39,""))</f>
        <v/>
      </c>
      <c r="NO39" s="152">
        <f>IF($MT39=0,0,INDEX($Y$2:$Y$11,$MT39))</f>
        <v/>
      </c>
      <c r="NP39" s="152">
        <f>IF($MT39=0,0,INDEX($Z$2:$Z$11,$MT39))</f>
        <v/>
      </c>
      <c r="NQ39" s="152">
        <f>IF($MT39=0,0,INDEX($AB$2:$AB$11,$MT39))</f>
        <v/>
      </c>
      <c r="NR39" s="152">
        <f>IFERROR(VLOOKUP($ML39,$BB$2:$BF$24,3,FALSE),0)</f>
        <v/>
      </c>
      <c r="NS39" s="152">
        <f>IFERROR(VLOOKUP($MM39,$BB$2:$BF$24,3,FALSE),0)</f>
        <v/>
      </c>
      <c r="NT39" s="152">
        <f>IFERROR(VLOOKUP($ML39,$BB$2:$BF$24,2,FALSE),"")</f>
        <v/>
      </c>
      <c r="NU39" s="152">
        <f>IFERROR(VLOOKUP($MM39,$BB$2:$BF$24,2,FALSE),"")</f>
        <v/>
      </c>
      <c r="NV39" s="152">
        <f>COUNTIF($NC39:$NG39,1)</f>
        <v/>
      </c>
      <c r="NW39" s="152">
        <f>COUNTIF($NC39:$NG39,2)</f>
        <v/>
      </c>
      <c r="NX39" s="152">
        <f>COUNTIF($NC39:$NG39,3)</f>
        <v/>
      </c>
      <c r="NY39" s="152">
        <f>COUNTIF($NC39:$NG39,4)</f>
        <v/>
      </c>
      <c r="NZ39" s="152">
        <f>COUNTIF($NC39:$NG39,5)</f>
        <v/>
      </c>
      <c r="OA39" s="152">
        <f>COUNTIF($NC39:$NG39,6)</f>
        <v/>
      </c>
      <c r="OB39" s="152">
        <f>COUNTIF($NR39:$NS39,1)</f>
        <v/>
      </c>
      <c r="OC39" s="152">
        <f>COUNTIF($NR39:$NS39,2)+$NO39</f>
        <v/>
      </c>
      <c r="OD39" s="152">
        <f>COUNTIF($MH39:$MK39,"?*")</f>
        <v/>
      </c>
      <c r="OE39" s="152">
        <f>COUNTIF($ML39:$MM39,"?*")+$NO39</f>
        <v/>
      </c>
      <c r="OF39" s="152">
        <f>IF($MC39=0,0,SUMPRODUCT($NV39:$OA39,INDEX($I$2:$N$8,MAX(1,$MC39),0)))</f>
        <v/>
      </c>
      <c r="OG39" s="152">
        <f>IF($MC39=0,0,$OB39*CEILING($MC39/2,1)+$OC39*$MC39)</f>
        <v/>
      </c>
      <c r="OH39" s="152">
        <f>MIN(2*$MC39,$OG39)</f>
        <v/>
      </c>
      <c r="OI39" s="152">
        <f>MIN($OH39,$OF39)</f>
        <v/>
      </c>
      <c r="OJ39" s="152">
        <f>$OH39-$OI39</f>
        <v/>
      </c>
      <c r="OK39" s="152">
        <f>IF($MC39=0,0,INDEX($P$2:$P$8,MAX(1,$MC39)))</f>
        <v/>
      </c>
      <c r="OL39" s="152">
        <f>$OK39-$OF39+$OI39</f>
        <v/>
      </c>
      <c r="OM39" s="152">
        <f>IF($MC39=0,MAX(0,$MQ39-IF($OD39&gt;0,1,0)),MAX(0,$OL39))</f>
        <v/>
      </c>
      <c r="ON39" s="152">
        <f>IF($MC39=0,0,(IF(COUNTIF($MH39:$MK39,"Salto")&gt;0,1,0)+IF(COUNTIF($MH39:$MK39,"Queima")&gt;0,1,0)+IF(COUNTIF($MH39:$MK39,"Estilhaço")&gt;0,1,0))*FLOOR($OM39/2,1))</f>
        <v/>
      </c>
      <c r="OO39" s="152">
        <f>MAX(0,2-SUMPRODUCT($NV39:$OA39,$I$2:$N$2)+MIN(2,$OB39*1+$OC39*1,SUMPRODUCT($NV39:$OA39,$I$2:$N$2)))</f>
        <v/>
      </c>
      <c r="OP39" s="152">
        <f>MAX(0,4-SUMPRODUCT($NV39:$OA39,$I$3:$N$3)+MIN(4,$OB39*1+$OC39*2,SUMPRODUCT($NV39:$OA39,$I$3:$N$3)))</f>
        <v/>
      </c>
      <c r="OQ39" s="152">
        <f>MAX(0,6-SUMPRODUCT($NV39:$OA39,$I$4:$N$4)+MIN(6,$OB39*2+$OC39*3,SUMPRODUCT($NV39:$OA39,$I$4:$N$4)))</f>
        <v/>
      </c>
      <c r="OR39" s="152">
        <f>MAX(0,9-SUMPRODUCT($NV39:$OA39,$I$5:$N$5)+MIN(8,$OB39*2+$OC39*4,SUMPRODUCT($NV39:$OA39,$I$5:$N$5)))</f>
        <v/>
      </c>
      <c r="OS39" s="152">
        <f>MAX(0,11-SUMPRODUCT($NV39:$OA39,$I$6:$N$6)+MIN(10,$OB39*3+$OC39*5,SUMPRODUCT($NV39:$OA39,$I$6:$N$6)))</f>
        <v/>
      </c>
      <c r="OT39" s="152">
        <f>MAX(0,13-SUMPRODUCT($NV39:$OA39,$I$7:$N$7)+MIN(12,$OB39*3+$OC39*6,SUMPRODUCT($NV39:$OA39,$I$7:$N$7)))</f>
        <v/>
      </c>
      <c r="OU39" s="152">
        <f>MAX(0,16-SUMPRODUCT($NV39:$OA39,$I$8:$N$8)+MIN(14,$OB39*4+$OC39*7,SUMPRODUCT($NV39:$OA39,$I$8:$N$8)))</f>
        <v/>
      </c>
      <c r="OV39" s="152">
        <f>IF($NP39=2,3*$OO39&amp;" de vida temp.",IF($NP39=3,"sem dano",IF($OO39=0,IF($NP39=1,"sem cura","sem dano"),IF($NP39=1,"cura ","")&amp;$OO39&amp;"d8")))</f>
        <v/>
      </c>
      <c r="OW39" s="152">
        <f>IF($NP39=2,3*$OP39&amp;" de vida temp.",IF($NP39=3,"sem dano",IF($OP39=0,IF($NP39=1,"sem cura","sem dano"),IF($NP39=1,"cura ","")&amp;$OP39&amp;"d8")))</f>
        <v/>
      </c>
      <c r="OX39" s="152">
        <f>IF($NP39=2,3*$OQ39&amp;" de vida temp.",IF($NP39=3,"sem dano",IF($OQ39=0,IF($NP39=1,"sem cura","sem dano"),IF($NP39=1,"cura ","")&amp;$OQ39&amp;"d8")))</f>
        <v/>
      </c>
      <c r="OY39" s="152">
        <f>IF($NP39=2,3*$OR39&amp;" de vida temp.",IF($NP39=3,"sem dano",IF($OR39=0,IF($NP39=1,"sem cura","sem dano"),IF($NP39=1,"cura ","")&amp;$OR39&amp;"d8")))</f>
        <v/>
      </c>
      <c r="OZ39" s="152">
        <f>IF($NP39=2,3*$OS39&amp;" de vida temp.",IF($NP39=3,"sem dano",IF($OS39=0,IF($NP39=1,"sem cura","sem dano"),IF($NP39=1,"cura ","")&amp;$OS39&amp;"d8")))</f>
        <v/>
      </c>
      <c r="PA39" s="152">
        <f>IF($NP39=2,3*$OT39&amp;" de vida temp.",IF($NP39=3,"sem dano",IF($OT39=0,IF($NP39=1,"sem cura","sem dano"),IF($NP39=1,"cura ","")&amp;$OT39&amp;"d8")))</f>
        <v/>
      </c>
      <c r="PB39" s="152">
        <f>IF($NP39=2,3*$OU39&amp;" de vida temp.",IF($NP39=3,"sem dano",IF($OU39=0,IF($NP39=1,"sem cura","sem dano"),IF($NP39=1,"cura ","")&amp;$OU39&amp;"d8")))</f>
        <v/>
      </c>
      <c r="PC39" s="152">
        <f>IF($MN39=0,"",TEXTJOIN(" · ",TRUE,IF($MA39&gt;$MO39,"Este lugar abre no nível "&amp;$MA39,""),IF($MC39&gt;$MP39,"Classe "&amp;$MC39&amp;": o nível "&amp;$MO39&amp;" libera até a "&amp;$MP39,""),IF($NH39=1,"A Forma "&amp;$ME39&amp;" pede "&amp;INDEX($W$2:$W$11,$MT39)&amp;" aberta",""),IF(AND($MC39=0,$MT39&gt;0,IF($MT39=0,0,INDEX($AF$2:$AF$11,$MT39))=0),$ME39&amp;" não existe na Classe 0",""),IF($NI39=1,"Família Fechada: "&amp;$MH39,""),IF($NJ39=1,"Família Fechada: "&amp;$MI39,""),IF($NK39=1,"Família Fechada: "&amp;$MJ39,""),IF($NL39=1,"Família Fechada: "&amp;$MK39,""),IF(AND($MC39&gt;0,$OD39&gt;INDEX($O$2:$O$8,MAX(1,$MC39))),$OD39&amp;" Melhorias: a Classe "&amp;$MC39&amp;" aceita "&amp;INDEX($O$2:$O$8,MAX(1,$MC39)),""),IF(AND($MC39=0,$OD39&gt;1),"A básica aceita uma Melhoria",""),IF(AND($MC39=0,COUNTIF($MY39:$NB39,"&gt;1")&gt;0),"A básica só aceita Melhoria Leve",""),IF(AND($MC39&gt;0,$OE39&gt;2),$OE39&amp;" Restrições"&amp;IF($NO39=1,", contando a que a Forma "&amp;$ME39&amp;" já traz","")&amp;": o limite é 2",""),IF(AND($MC39=0,COUNTIF($ML39:$MM39,"?*")&gt;1),"A básica aceita uma Restrição Leve",""),IF(AND($MC39=0,COUNTIF($NR39:$NS39,2)&gt;0),"A básica só aceita Restrição Leve",""),IF(AND($MC39&gt;0,$OL39&lt;0),"Orçamento estourado: faltam "&amp;(-$OL39)&amp;IF($OL39&lt;-1," pontos"," ponto"),""),IF(IFERROR(VLOOKUP($ML39,$BB$2:$BF$24,4,FALSE),0)+IFERROR(VLOOKUP($MM39,$BB$2:$BF$24,4,FALSE),0)&gt;1,$NT39&amp;" e "&amp;$NU39&amp;" são as duas de frequência",""),IF(AND((COUNTIF($MH39:$MK39,"Rápido")+COUNTIF($NT39:$NU39,"Rápido"))&gt;0,(COUNTIF($MH39:$MK39,"Atrasar")+COUNTIF($NT39:$NU39,"Atrasar"))&gt;0),"Rápido não entra com Atrasar",""),IF(AND((COUNTIF($MH39:$MK39,"Reação")+COUNTIF($NT39:$NU39,"Reação"))&gt;0,(COUNTIF($MH39:$MK39,"Rápido")+COUNTIF($NT39:$NU39,"Rápido"))&gt;0),"Reação não entra com Rápido",""),IF(AND((COUNTIF($MH39:$MK39,"Reação")+COUNTIF($NT39:$NU39,"Reação"))&gt;0,(COUNTIF($MH39:$MK39,"Armado")+COUNTIF($NT39:$NU39,"Armado"))&gt;0),"Reação não entra com Armado",""),IF(AND((COUNTIF($MH39:$MK39,"Reação")+COUNTIF($NT39:$NU39,"Reação"))&gt;0,(COUNTIF($MH39:$MK39,"Atrasar")+COUNTIF($NT39:$NU39,"Atrasar"))&gt;0),"Reação não entra com Atrasar",""),IF(AND((COUNTIF($MH39:$MK39,"Reação")+COUNTIF($NT39:$NU39,"Reação"))&gt;0,(COUNTIF($MH39:$MK39,"Parado")+COUNTIF($NT39:$NU39,"Parado"))&gt;0),"Reação não entra com Parado",""),IF(AND((COUNTIF($MH39:$MK39,"Atrasar")+COUNTIF($NT39:$NU39,"Atrasar"))&gt;0,(COUNTIF($MH39:$MK39,"Parado")+COUNTIF($NT39:$NU39,"Parado"))&gt;0),"Atrasar não entra com Parado",""),IF(AND((COUNTIF($MH39:$MK39,"Armado")+COUNTIF($NT39:$NU39,"Armado"))&gt;0,(COUNTIF($MH39:$MK39,"Carregar")+COUNTIF($NT39:$NU39,"Carregar"))&gt;0),"Armado não entra com Carregar",""),IF(AND(COUNTIF($NT39:$NU39,"Corpo a Corpo")&gt;0,$NO39=0,OR($ME39="Cone",$ME39="Linha")),"Corpo a Corpo não entra em "&amp;$ME39,""),IF(AND(COUNTIF($NT39:$NU39,"Corpo a Corpo")&gt;0,$NO39=1),"A Forma "&amp;$ME39&amp;" já traz o Corpo a Corpo",""),IF(AND(COUNTIF($NT39:$NU39,"Tudo ou Nada")&gt;0,$NQ39=0),"Tudo ou Nada só entra em habilidade de Teste de Resistência",""),IF(AND(COUNTIF($MH39:$MK39,"Inescapável")&gt;0,OR($OD39&gt;1,$OE39&gt;0)),"Inescapável não aceita outra peça",""),IF(AND($MC39&gt;0,$OM39*IF(COUNTIF($MH39:$MK39,"Remate")&gt;0,1.25,1)+$ON39&gt;4*$MC39),($OM39*IF(COUNTIF($MH39:$MK39,"Remate")&gt;0,1.25,1)+$ON39)&amp;" dados somando repetições"&amp;IF(COUNTIF($MH39:$MK39,"Remate")&gt;0," e o Remate","")&amp;": o teto da Classe "&amp;$MC39&amp;" é "&amp;4*$MC39,"")))</f>
        <v/>
      </c>
      <c r="PD39" s="152">
        <f>IF($PC39="",0,(LEN($PC39)-LEN(SUBSTITUTE($PC39," · ","")))/3+1)</f>
        <v/>
      </c>
      <c r="PE39" s="152">
        <f>IF($MN39=0,"",TEXTJOIN(" · ",TRUE,IF($OG39&gt;2*$MC39,"A devolução parou no teto de "&amp;2*$MC39,""),IF($OJ39&gt;0,"Devolução perdida: "&amp;$OJ39&amp;IF($OJ39&gt;1," pontos"," ponto")&amp;" sem peça para pagar",""),IF(AND($NM39&gt;0,AND($MC39&gt;0,$NP39=0),$OM39=0),"Controle sem dano: uma rodada a mais e CD +2",""),IF(AND($NM39&gt;0,AND($MC39&gt;0,$NP39=0),$OM39&gt;0,$OM39&lt;=$MC39),"Controle com saldo até a Classe: uma rodada a mais",""),IF(AND($MC39&gt;0,$NN39&lt;&gt;""),"Efeito de "&amp;$NN39&amp;" pela Classe "&amp;MAX(1,$MC39-1),"")))</f>
        <v/>
      </c>
      <c r="PF39" s="152">
        <f>IF($PE39="",0,(LEN($PE39)-LEN(SUBSTITUTE($PE39," · ","")))/3+1)</f>
        <v/>
      </c>
      <c r="PG39" s="152">
        <f>IF($MN39=0,IF($OD39+COUNTIF($ML39:$MM39,"?*")&gt;0,"Dê um nome",""),IF($PD39&gt;0,"⚠ "&amp;$PD39&amp;IF($PD39&gt;1," erros"," erro"),IF($PF39&gt;0,"! "&amp;$PF39&amp;IF($PF39&gt;1," avisos"," aviso"),"Na regra")))</f>
        <v/>
      </c>
      <c r="PH39" s="152">
        <f>IF($MN39=0,"",IF($PD39+$PF39=0,"Dentro das regras que a ficha confere",$PC39&amp;IF(AND($PD39&gt;0,$PF39&gt;0)," · ","")&amp;$PE39))</f>
        <v/>
      </c>
      <c r="PI39" s="152">
        <f>IF($MA39&gt;$MO39,$MB39&amp;" · ABRE NO NÍVEL "&amp;$MA39,$MB39)</f>
        <v/>
      </c>
      <c r="PJ39" s="152">
        <f>IF($MN39=0,"",IF($MC39=0,"Sem PE",3*$MC39&amp;" PE"))</f>
        <v/>
      </c>
      <c r="PK39" s="152">
        <f>IF($MN39=0,"",IF($MC39=0,"A atuação básica dela",IF(COUNTIF($NT39:$NU39,"Atrasar")&gt;0,"Sua Ação Completa",IF(COUNTIF($MH39:$MK39,"Rápido")&gt;0,"Sua Bônus",IF(COUNTIF($MH39:$MK39,"Reação")&gt;0,"Sua Reação","Sua Padrão")))&amp;" + a básica dela"&amp;IF(COUNTIF($MH39:$MK39,"Reação")&gt;0," e a coletiva","")&amp;IF(COUNTIF($NT39:$NU39,"Carregar")&gt;0," · em dois turnos","")))</f>
        <v/>
      </c>
      <c r="PL39" s="152">
        <f>IF($MG39&lt;&gt;"",$MG39,IF($MT39=0,"",INDEX($AA$2:$AA$11,$MT39)))</f>
        <v/>
      </c>
      <c r="PM39" s="152">
        <f>IF(OR($MN39=0,$MT39=0),"",IF(COUNTIF($MH39:$MK39,"Inescapável")&gt;0,"Automático",IF($PL39="Ataque",IF($MR39="","Ataque","Ataque "&amp;IF(($MR39+2*IF(COUNTIF($MH39:$MK39,"Precisão")&gt;0,1,0))&gt;=0,"+","−")&amp;ABS(($MR39+2*IF(COUNTIF($MH39:$MK39,"Precisão")&gt;0,1,0)))),IF(LEFT($PL39,2)="TR",$PL39&amp;IF($MS39="",""," · CD "&amp;$MS39)&amp;IF(COUNTIF($MH39:$MK39,"Certeiro")&gt;0," · metade",""),"Sem rolagem"))))</f>
        <v/>
      </c>
      <c r="PN39" s="152">
        <f>IF(OR($MN39=0,$MT39=0),"",IF($MC39=0,IF(OR($NP39&gt;=1,$OM39=0),"Sem dano",$OM39&amp;"d6"&amp;IF($MF39="",""," "&amp;$MF39)),IF(OR($NP39&gt;=1,$OM39=0),UPPER(LEFT(INDEX($OV39:$PB39,1,MAX(1,$MC39)),1))&amp;MID(INDEX($OV39:$PB39,1,MAX(1,$MC39)),2,99),UPPER(LEFT(INDEX($OV39:$PB39,1,MAX(1,$MC39)),1))&amp;MID(INDEX($OV39:$PB39,1,MAX(1,$MC39)),2,99)&amp;IF($MF39="",""," "&amp;$MF39)&amp;IF($ON39&gt;0," · +"&amp;$ON39&amp;"d8",""))))</f>
        <v/>
      </c>
      <c r="PO39" s="152">
        <f>COUNTIF($MH39:$MK39,"Longe")+3*COUNTIF($MH39:$MK39,"Muito Longe")</f>
        <v/>
      </c>
      <c r="PP39" s="152">
        <f>COUNTIF($MH39:$MK39,"Maior")+3*COUNTIF($MH39:$MK39,"Muito Maior")</f>
        <v/>
      </c>
      <c r="PQ39" s="152">
        <f>IF($MT39=0,0,CHOOSE(1+INDEX($AC$2:$AC$11,$MT39),0,$PO39,$PP39,$PO39+$PP39))</f>
        <v/>
      </c>
      <c r="PR39" s="152">
        <f>IF($MT39=0,0,CHOOSE(1+INDEX($AD$2:$AD$11,$MT39),0,$PO39,$PP39,$PO39+$PP39))</f>
        <v/>
      </c>
      <c r="PS39" s="152">
        <f>IF(OR($MN39=0,$MT39=0),"",INDEX($AI$2:$AN$41,($MT39-1)*4+IF($MC39=0,1,IF($MC39&lt;=5,2,IF($MC39=6,3,4))),1+MIN(5,$PQ39))&amp;INDEX($AO$2:$AT$41,($MT39-1)*4+IF($MC39=0,1,IF($MC39&lt;=5,2,IF($MC39=6,3,4))),1+MIN(5,$PR39))&amp;IF(INDEX($AE$2:$AE$11,$MT39)=1,IF(COUNTIF($MH39:$MK39,"Mais Um")&gt;0," · +"&amp;COUNTIF($MH39:$MK39,"Mais Um")&amp;IF(COUNTIF($MH39:$MK39,"Mais Um")&gt;1," alvos"," alvo"),"")&amp;IF(COUNTIF($MH39:$MK39,"Rajada")&gt;0,IF($MC39=0," · 1 tiro"," · "&amp;(MAX(1,$MC39-1)+1)&amp;" tiros"),""),""))</f>
        <v/>
      </c>
      <c r="PT39" s="152">
        <f>IF($MN39=0,"",IF($MC39=0,$MQ39&amp;"d6"&amp;IF($OD39&gt;0," − 1 = "&amp;$OM39&amp;"d6"," da básica do nível "&amp;$MO39),$OK39&amp;" − "&amp;$OF39&amp;" + "&amp;$OI39&amp;" = "&amp;$OL39&amp;" · teto "&amp;4*$MC39&amp;"d8"&amp;IF($NO39=1," · a Forma devolve "&amp;$MC39,"")&amp;IF($OJ39&gt;0," · perde "&amp;$OJ39,"")))</f>
        <v/>
      </c>
      <c r="PU39" s="152">
        <f>IF($MN39=0,"",IF($MC39=0,"A básica não amplia: os dados dela sobem com o nível",IF($MC39&gt;=$MP39,"Já está na maior Classe que o nível liberou",TEXTJOIN(" · ",TRUE,IF(AND(2&gt;$MC39,2&lt;=$MP39),"2 → "&amp;$OW39&amp;", 6 PE",""),IF(AND(3&gt;$MC39,3&lt;=$MP39),"3 → "&amp;$OX39&amp;", 9 PE",""),IF(AND(4&gt;$MC39,4&lt;=$MP39),"4 → "&amp;$OY39&amp;", 12 PE",""),IF(AND(5&gt;$MC39,5&lt;=$MP39),"5 → "&amp;$OZ39&amp;", 15 PE",""),IF(AND(6&gt;$MC39,6&lt;=$MP39),"6 → "&amp;$PA39&amp;", 18 PE",""),IF(AND(7&gt;$MC39,7&lt;=$MP39),"7 → "&amp;$PB39&amp;", 21 PE","")))))</f>
        <v/>
      </c>
      <c r="PV39" s="152">
        <f>IF(OR($MN39=0,$MY39=0),"",IF($MC39=0,"−1 dado","−"&amp;INDEX($I$2:$N$8,MAX(1,$MC39),MAX(1,$ND39))&amp;" · "&amp;CHOOSE(MAX(1,$ND39),"Leve","Média","Pesada","Leve · Livre","Média · Livre","Pesada · Livre")))</f>
        <v/>
      </c>
      <c r="PW39" s="152">
        <f>IF(OR($MN39=0,$MZ39=0),"",IF($MC39=0,"−1 dado","−"&amp;INDEX($I$2:$N$8,MAX(1,$MC39),MAX(1,$NE39))&amp;" · "&amp;CHOOSE(MAX(1,$NE39),"Leve","Média","Pesada","Leve · Livre","Média · Livre","Pesada · Livre")))</f>
        <v/>
      </c>
      <c r="PX39" s="152">
        <f>IF(OR($MN39=0,$NA39=0),"",IF($MC39=0,"−1 dado","−"&amp;INDEX($I$2:$N$8,MAX(1,$MC39),MAX(1,$NF39))&amp;" · "&amp;CHOOSE(MAX(1,$NF39),"Leve","Média","Pesada","Leve · Livre","Média · Livre","Pesada · Livre")))</f>
        <v/>
      </c>
      <c r="PY39" s="152">
        <f>IF(OR($MN39=0,$NB39=0),"",IF($MC39=0,"−1 dado","−"&amp;INDEX($I$2:$N$8,MAX(1,$MC39),MAX(1,$NG39))&amp;" · "&amp;CHOOSE(MAX(1,$NG39),"Leve","Média","Pesada","Leve · Livre","Média · Livre","Pesada · Livre")))</f>
        <v/>
      </c>
      <c r="PZ39" s="152">
        <f>IF(OR($MN39=0,$ML39=""),"",IF($MC39=0,"não devolve","+"&amp;IF($NR39=1,CEILING($MC39/2,1),$MC39)))</f>
        <v/>
      </c>
      <c r="QA39" s="152">
        <f>IF(OR($MN39=0,$MM39=""),"",IF($MC39=0,"não devolve","+"&amp;IF($NS39=1,CEILING($MC39/2,1),$MC39)))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JD40" s="152">
        <f>IF(OR($AW40="",COUNTIF($ED$2:$EH$2,$AW40)&gt;0),$AV40,"")</f>
        <v/>
      </c>
      <c r="JE40" s="152">
        <f>IF(AND($AX40=1,OR($AW40="",COUNTIF($ED$2:$EH$2,$AW40)&gt;0)),$AV40,"")</f>
        <v/>
      </c>
      <c r="JJ40" s="152">
        <f>IF(OR($AW40="",COUNTIF($ED$3:$EH$3,$AW40)&gt;0),$AV40,"")</f>
        <v/>
      </c>
      <c r="JK40" s="152">
        <f>IF(AND($AX40=1,OR($AW40="",COUNTIF($ED$3:$EH$3,$AW40)&gt;0)),$AV40,"")</f>
        <v/>
      </c>
      <c r="JP40" s="152">
        <f>IF(OR($AW40="",COUNTIF($ED$4:$EH$4,$AW40)&gt;0),$AV40,"")</f>
        <v/>
      </c>
      <c r="JQ40" s="152">
        <f>IF(AND($AX40=1,OR($AW40="",COUNTIF($ED$4:$EH$4,$AW40)&gt;0)),$AV40,"")</f>
        <v/>
      </c>
      <c r="JV40" s="152">
        <f>IF(OR($AW40="",COUNTIF($ED$5:$EH$5,$AW40)&gt;0),$AV40,"")</f>
        <v/>
      </c>
      <c r="JW40" s="152">
        <f>IF(AND($AX40=1,OR($AW40="",COUNTIF($ED$5:$EH$5,$AW40)&gt;0)),$AV40,"")</f>
        <v/>
      </c>
      <c r="KB40" s="152">
        <f>IF(OR($AW40="",COUNTIF($ED$6:$EH$6,$AW40)&gt;0),$AV40,"")</f>
        <v/>
      </c>
      <c r="KC40" s="152">
        <f>IF(AND($AX40=1,OR($AW40="",COUNTIF($ED$6:$EH$6,$AW40)&gt;0)),$AV40,"")</f>
        <v/>
      </c>
      <c r="KH40" s="152">
        <f>IF(OR($AW40="",COUNTIF($ED$7:$EH$7,$AW40)&gt;0),$AV40,"")</f>
        <v/>
      </c>
      <c r="KI40" s="152">
        <f>IF(AND($AX40=1,OR($AW40="",COUNTIF($ED$7:$EH$7,$AW40)&gt;0)),$AV40,"")</f>
        <v/>
      </c>
      <c r="KN40" s="152">
        <f>IF(OR($AW40="",COUNTIF($ED$8:$EH$8,$AW40)&gt;0),$AV40,"")</f>
        <v/>
      </c>
      <c r="KO40" s="152">
        <f>IF(AND($AX40=1,OR($AW40="",COUNTIF($ED$8:$EH$8,$AW40)&gt;0)),$AV40,"")</f>
        <v/>
      </c>
      <c r="KT40" s="152">
        <f>IF(OR($AW40="",COUNTIF($ED$9:$EH$9,$AW40)&gt;0),$AV40,"")</f>
        <v/>
      </c>
      <c r="KU40" s="152">
        <f>IF(AND($AX40=1,OR($AW40="",COUNTIF($ED$9:$EH$9,$AW40)&gt;0)),$AV40,"")</f>
        <v/>
      </c>
      <c r="KZ40" s="152">
        <f>IF(OR($AW40="",COUNTIF($ED$10:$EH$10,$AW40)&gt;0),$AV40,"")</f>
        <v/>
      </c>
      <c r="LA40" s="152">
        <f>IF(AND($AX40=1,OR($AW40="",COUNTIF($ED$10:$EH$10,$AW40)&gt;0)),$AV40,"")</f>
        <v/>
      </c>
      <c r="LF40" s="152">
        <f>IF(OR($AW40="",COUNTIF($ED$11:$EH$11,$AW40)&gt;0),$AV40,"")</f>
        <v/>
      </c>
      <c r="LG40" s="152">
        <f>IF(AND($AX40=1,OR($AW40="",COUNTIF($ED$11:$EH$11,$AW40)&gt;0)),$AV40,"")</f>
        <v/>
      </c>
      <c r="LL40" s="152">
        <f>IF(OR($AW40="",COUNTIF($ED$12:$EH$12,$AW40)&gt;0),$AV40,"")</f>
        <v/>
      </c>
      <c r="LM40" s="152">
        <f>IF(AND($AX40=1,OR($AW40="",COUNTIF($ED$12:$EH$12,$AW40)&gt;0)),$AV40,"")</f>
        <v/>
      </c>
      <c r="LR40" s="152">
        <f>IF(OR($AW40="",COUNTIF($ED$13:$EH$13,$AW40)&gt;0),$AV40,"")</f>
        <v/>
      </c>
      <c r="LS40" s="152">
        <f>IF(AND($AX40=1,OR($AW40="",COUNTIF($ED$13:$EH$13,$AW40)&gt;0)),$AV40,"")</f>
        <v/>
      </c>
      <c r="LX40" s="150" t="inlineStr">
        <is>
          <t>Ficha 3 · Escolha da trilha 3</t>
        </is>
      </c>
      <c r="LY40" s="152" t="n">
        <v>3</v>
      </c>
      <c r="LZ40" s="152" t="n">
        <v>2</v>
      </c>
      <c r="MA40" s="152" t="n">
        <v>0</v>
      </c>
      <c r="MB40" s="150" t="inlineStr">
        <is>
          <t>ESCOLHA DA TRILHA 3</t>
        </is>
      </c>
      <c r="MC40" s="152">
        <f>MAX(0,MIN(7,N('INVOCAÇÕES'!$U$556)))</f>
        <v/>
      </c>
      <c r="MD40" s="152">
        <f>'INVOCAÇÕES'!$V$556&amp;""</f>
        <v/>
      </c>
      <c r="ME40" s="152">
        <f>'INVOCAÇÕES'!$U$561&amp;""</f>
        <v/>
      </c>
      <c r="MF40" s="152">
        <f>'INVOCAÇÕES'!$U$562&amp;""</f>
        <v/>
      </c>
      <c r="MG40" s="152">
        <f>'INVOCAÇÕES'!$W$562&amp;""</f>
        <v/>
      </c>
      <c r="MH40" s="152">
        <f>'INVOCAÇÕES'!$V$565&amp;""</f>
        <v/>
      </c>
      <c r="MI40" s="152">
        <f>'INVOCAÇÕES'!$V$566&amp;""</f>
        <v/>
      </c>
      <c r="MJ40" s="152">
        <f>'INVOCAÇÕES'!$V$567&amp;""</f>
        <v/>
      </c>
      <c r="MK40" s="152">
        <f>'INVOCAÇÕES'!$V$568&amp;""</f>
        <v/>
      </c>
      <c r="ML40" s="152">
        <f>'INVOCAÇÕES'!$V$569&amp;""</f>
        <v/>
      </c>
      <c r="MM40" s="152">
        <f>'INVOCAÇÕES'!$V$570&amp;""</f>
        <v/>
      </c>
      <c r="MN40" s="152">
        <f>IF($MD40&lt;&gt;"",1,0)</f>
        <v/>
      </c>
      <c r="MO40" s="152">
        <f>INDEX($FG$2:$FG$13,$LY40)</f>
        <v/>
      </c>
      <c r="MP40" s="152">
        <f>INDEX($FH$2:$FH$13,$LY40)</f>
        <v/>
      </c>
      <c r="MQ40" s="152">
        <f>INDEX($FI$2:$FI$13,$LY40)</f>
        <v/>
      </c>
      <c r="MR40" s="152">
        <f>INDEX($FT$2:$FT$13,$LY40)</f>
        <v/>
      </c>
      <c r="MS40" s="152">
        <f>INDEX($FU$2:$FU$13,$LY40)</f>
        <v/>
      </c>
      <c r="MT40" s="152">
        <f>IFERROR(MATCH($ME40,$V$2:$V$11,0),0)</f>
        <v/>
      </c>
      <c r="MU40" s="152">
        <f>IFERROR(VLOOKUP($MH40,$AV$2:$AZ$84,2,FALSE),"")</f>
        <v/>
      </c>
      <c r="MV40" s="152">
        <f>IFERROR(VLOOKUP($MI40,$AV$2:$AZ$84,2,FALSE),"")</f>
        <v/>
      </c>
      <c r="MW40" s="152">
        <f>IFERROR(VLOOKUP($MJ40,$AV$2:$AZ$84,2,FALSE),"")</f>
        <v/>
      </c>
      <c r="MX40" s="152">
        <f>IFERROR(VLOOKUP($MK40,$AV$2:$AZ$84,2,FALSE),"")</f>
        <v/>
      </c>
      <c r="MY40" s="152">
        <f>IFERROR(VLOOKUP($MH40,$AV$2:$AZ$84,3,FALSE),0)</f>
        <v/>
      </c>
      <c r="MZ40" s="152">
        <f>IFERROR(VLOOKUP($MI40,$AV$2:$AZ$84,3,FALSE),0)</f>
        <v/>
      </c>
      <c r="NA40" s="152">
        <f>IFERROR(VLOOKUP($MJ40,$AV$2:$AZ$84,3,FALSE),0)</f>
        <v/>
      </c>
      <c r="NB40" s="152">
        <f>IFERROR(VLOOKUP($MK40,$AV$2:$AZ$84,3,FALSE),0)</f>
        <v/>
      </c>
      <c r="NC40" s="152">
        <f>IF($MC40=0,0,IF($MT40=0,0,INDEX($X$2:$X$11,$MT40)))</f>
        <v/>
      </c>
      <c r="ND40" s="152">
        <f>IF(OR($MY40=0,$MC40=0),0,$MY40+3*IF(AND($MU40&lt;&gt;"",OR($MU40=INDEX($ED$2:$ED$13,$LY40),$MU40=INDEX($EE$2:$EE$13,$LY40))),1,0))</f>
        <v/>
      </c>
      <c r="NE40" s="152">
        <f>IF(OR($MZ40=0,$MC40=0),0,$MZ40+3*IF(AND($MV40&lt;&gt;"",OR($MV40=INDEX($ED$2:$ED$13,$LY40),$MV40=INDEX($EE$2:$EE$13,$LY40))),1,0))</f>
        <v/>
      </c>
      <c r="NF40" s="152">
        <f>IF(OR($NA40=0,$MC40=0),0,$NA40+3*IF(AND($MW40&lt;&gt;"",OR($MW40=INDEX($ED$2:$ED$13,$LY40),$MW40=INDEX($EE$2:$EE$13,$LY40))),1,0))</f>
        <v/>
      </c>
      <c r="NG40" s="152">
        <f>IF(OR($NB40=0,$MC40=0),0,$NB40+3*IF(AND($MX40&lt;&gt;"",OR($MX40=INDEX($ED$2:$ED$13,$LY40),$MX40=INDEX($EE$2:$EE$13,$LY40))),1,0))</f>
        <v/>
      </c>
      <c r="NH40" s="152">
        <f>IF($MT40=0,0,IF(INDEX($W$2:$W$11,$MT40)="",0,IF(COUNTIF(INDEX($ED$2:$EH$13,$LY40,0),INDEX($W$2:$W$11,$MT40))=0,1,0)))</f>
        <v/>
      </c>
      <c r="NI40" s="152">
        <f>IF(OR($MY40=0,$MU40=""),0,IF(COUNTIF(INDEX($ED$2:$EH$13,$LY40,0),$MU40)=0,1,0))</f>
        <v/>
      </c>
      <c r="NJ40" s="152">
        <f>IF(OR($MZ40=0,$MV40=""),0,IF(COUNTIF(INDEX($ED$2:$EH$13,$LY40,0),$MV40)=0,1,0))</f>
        <v/>
      </c>
      <c r="NK40" s="152">
        <f>IF(OR($NA40=0,$MW40=""),0,IF(COUNTIF(INDEX($ED$2:$EH$13,$LY40,0),$MW40)=0,1,0))</f>
        <v/>
      </c>
      <c r="NL40" s="152">
        <f>IF(OR($NB40=0,$MX40=""),0,IF(COUNTIF(INDEX($ED$2:$EH$13,$LY40,0),$MX40)=0,1,0))</f>
        <v/>
      </c>
      <c r="NM40" s="152">
        <f>IFERROR(VLOOKUP($MH40,$AV$2:$AZ$84,4,FALSE),0)+IFERROR(VLOOKUP($MI40,$AV$2:$AZ$84,4,FALSE),0)+IFERROR(VLOOKUP($MJ40,$AV$2:$AZ$84,4,FALSE),0)+IFERROR(VLOOKUP($MK40,$AV$2:$AZ$84,4,FALSE),0)</f>
        <v/>
      </c>
      <c r="NN40" s="152">
        <f>TEXTJOIN(", ",TRUE,IF(IFERROR(VLOOKUP($MH40,$AV$2:$AZ$84,5,FALSE),0)=1,$MH40,""),IF(IFERROR(VLOOKUP($MI40,$AV$2:$AZ$84,5,FALSE),0)=1,$MI40,""),IF(IFERROR(VLOOKUP($MJ40,$AV$2:$AZ$84,5,FALSE),0)=1,$MJ40,""),IF(IFERROR(VLOOKUP($MK40,$AV$2:$AZ$84,5,FALSE),0)=1,$MK40,""))</f>
        <v/>
      </c>
      <c r="NO40" s="152">
        <f>IF($MT40=0,0,INDEX($Y$2:$Y$11,$MT40))</f>
        <v/>
      </c>
      <c r="NP40" s="152">
        <f>IF($MT40=0,0,INDEX($Z$2:$Z$11,$MT40))</f>
        <v/>
      </c>
      <c r="NQ40" s="152">
        <f>IF($MT40=0,0,INDEX($AB$2:$AB$11,$MT40))</f>
        <v/>
      </c>
      <c r="NR40" s="152">
        <f>IFERROR(VLOOKUP($ML40,$BB$2:$BF$24,3,FALSE),0)</f>
        <v/>
      </c>
      <c r="NS40" s="152">
        <f>IFERROR(VLOOKUP($MM40,$BB$2:$BF$24,3,FALSE),0)</f>
        <v/>
      </c>
      <c r="NT40" s="152">
        <f>IFERROR(VLOOKUP($ML40,$BB$2:$BF$24,2,FALSE),"")</f>
        <v/>
      </c>
      <c r="NU40" s="152">
        <f>IFERROR(VLOOKUP($MM40,$BB$2:$BF$24,2,FALSE),"")</f>
        <v/>
      </c>
      <c r="NV40" s="152">
        <f>COUNTIF($NC40:$NG40,1)</f>
        <v/>
      </c>
      <c r="NW40" s="152">
        <f>COUNTIF($NC40:$NG40,2)</f>
        <v/>
      </c>
      <c r="NX40" s="152">
        <f>COUNTIF($NC40:$NG40,3)</f>
        <v/>
      </c>
      <c r="NY40" s="152">
        <f>COUNTIF($NC40:$NG40,4)</f>
        <v/>
      </c>
      <c r="NZ40" s="152">
        <f>COUNTIF($NC40:$NG40,5)</f>
        <v/>
      </c>
      <c r="OA40" s="152">
        <f>COUNTIF($NC40:$NG40,6)</f>
        <v/>
      </c>
      <c r="OB40" s="152">
        <f>COUNTIF($NR40:$NS40,1)</f>
        <v/>
      </c>
      <c r="OC40" s="152">
        <f>COUNTIF($NR40:$NS40,2)+$NO40</f>
        <v/>
      </c>
      <c r="OD40" s="152">
        <f>COUNTIF($MH40:$MK40,"?*")</f>
        <v/>
      </c>
      <c r="OE40" s="152">
        <f>COUNTIF($ML40:$MM40,"?*")+$NO40</f>
        <v/>
      </c>
      <c r="OF40" s="152">
        <f>IF($MC40=0,0,SUMPRODUCT($NV40:$OA40,INDEX($I$2:$N$8,MAX(1,$MC40),0)))</f>
        <v/>
      </c>
      <c r="OG40" s="152">
        <f>IF($MC40=0,0,$OB40*CEILING($MC40/2,1)+$OC40*$MC40)</f>
        <v/>
      </c>
      <c r="OH40" s="152">
        <f>MIN(2*$MC40,$OG40)</f>
        <v/>
      </c>
      <c r="OI40" s="152">
        <f>MIN($OH40,$OF40)</f>
        <v/>
      </c>
      <c r="OJ40" s="152">
        <f>$OH40-$OI40</f>
        <v/>
      </c>
      <c r="OK40" s="152">
        <f>IF($MC40=0,0,INDEX($P$2:$P$8,MAX(1,$MC40)))</f>
        <v/>
      </c>
      <c r="OL40" s="152">
        <f>$OK40-$OF40+$OI40</f>
        <v/>
      </c>
      <c r="OM40" s="152">
        <f>IF($MC40=0,MAX(0,$MQ40-IF($OD40&gt;0,1,0)),MAX(0,$OL40))</f>
        <v/>
      </c>
      <c r="ON40" s="152">
        <f>IF($MC40=0,0,(IF(COUNTIF($MH40:$MK40,"Salto")&gt;0,1,0)+IF(COUNTIF($MH40:$MK40,"Queima")&gt;0,1,0)+IF(COUNTIF($MH40:$MK40,"Estilhaço")&gt;0,1,0))*FLOOR($OM40/2,1))</f>
        <v/>
      </c>
      <c r="OO40" s="152">
        <f>MAX(0,2-SUMPRODUCT($NV40:$OA40,$I$2:$N$2)+MIN(2,$OB40*1+$OC40*1,SUMPRODUCT($NV40:$OA40,$I$2:$N$2)))</f>
        <v/>
      </c>
      <c r="OP40" s="152">
        <f>MAX(0,4-SUMPRODUCT($NV40:$OA40,$I$3:$N$3)+MIN(4,$OB40*1+$OC40*2,SUMPRODUCT($NV40:$OA40,$I$3:$N$3)))</f>
        <v/>
      </c>
      <c r="OQ40" s="152">
        <f>MAX(0,6-SUMPRODUCT($NV40:$OA40,$I$4:$N$4)+MIN(6,$OB40*2+$OC40*3,SUMPRODUCT($NV40:$OA40,$I$4:$N$4)))</f>
        <v/>
      </c>
      <c r="OR40" s="152">
        <f>MAX(0,9-SUMPRODUCT($NV40:$OA40,$I$5:$N$5)+MIN(8,$OB40*2+$OC40*4,SUMPRODUCT($NV40:$OA40,$I$5:$N$5)))</f>
        <v/>
      </c>
      <c r="OS40" s="152">
        <f>MAX(0,11-SUMPRODUCT($NV40:$OA40,$I$6:$N$6)+MIN(10,$OB40*3+$OC40*5,SUMPRODUCT($NV40:$OA40,$I$6:$N$6)))</f>
        <v/>
      </c>
      <c r="OT40" s="152">
        <f>MAX(0,13-SUMPRODUCT($NV40:$OA40,$I$7:$N$7)+MIN(12,$OB40*3+$OC40*6,SUMPRODUCT($NV40:$OA40,$I$7:$N$7)))</f>
        <v/>
      </c>
      <c r="OU40" s="152">
        <f>MAX(0,16-SUMPRODUCT($NV40:$OA40,$I$8:$N$8)+MIN(14,$OB40*4+$OC40*7,SUMPRODUCT($NV40:$OA40,$I$8:$N$8)))</f>
        <v/>
      </c>
      <c r="OV40" s="152">
        <f>IF($NP40=2,3*$OO40&amp;" de vida temp.",IF($NP40=3,"sem dano",IF($OO40=0,IF($NP40=1,"sem cura","sem dano"),IF($NP40=1,"cura ","")&amp;$OO40&amp;"d8")))</f>
        <v/>
      </c>
      <c r="OW40" s="152">
        <f>IF($NP40=2,3*$OP40&amp;" de vida temp.",IF($NP40=3,"sem dano",IF($OP40=0,IF($NP40=1,"sem cura","sem dano"),IF($NP40=1,"cura ","")&amp;$OP40&amp;"d8")))</f>
        <v/>
      </c>
      <c r="OX40" s="152">
        <f>IF($NP40=2,3*$OQ40&amp;" de vida temp.",IF($NP40=3,"sem dano",IF($OQ40=0,IF($NP40=1,"sem cura","sem dano"),IF($NP40=1,"cura ","")&amp;$OQ40&amp;"d8")))</f>
        <v/>
      </c>
      <c r="OY40" s="152">
        <f>IF($NP40=2,3*$OR40&amp;" de vida temp.",IF($NP40=3,"sem dano",IF($OR40=0,IF($NP40=1,"sem cura","sem dano"),IF($NP40=1,"cura ","")&amp;$OR40&amp;"d8")))</f>
        <v/>
      </c>
      <c r="OZ40" s="152">
        <f>IF($NP40=2,3*$OS40&amp;" de vida temp.",IF($NP40=3,"sem dano",IF($OS40=0,IF($NP40=1,"sem cura","sem dano"),IF($NP40=1,"cura ","")&amp;$OS40&amp;"d8")))</f>
        <v/>
      </c>
      <c r="PA40" s="152">
        <f>IF($NP40=2,3*$OT40&amp;" de vida temp.",IF($NP40=3,"sem dano",IF($OT40=0,IF($NP40=1,"sem cura","sem dano"),IF($NP40=1,"cura ","")&amp;$OT40&amp;"d8")))</f>
        <v/>
      </c>
      <c r="PB40" s="152">
        <f>IF($NP40=2,3*$OU40&amp;" de vida temp.",IF($NP40=3,"sem dano",IF($OU40=0,IF($NP40=1,"sem cura","sem dano"),IF($NP40=1,"cura ","")&amp;$OU40&amp;"d8")))</f>
        <v/>
      </c>
      <c r="PC40" s="152">
        <f>IF($MN40=0,"",TEXTJOIN(" · ",TRUE,IF($MA40&gt;$MO40,"Este lugar abre no nível "&amp;$MA40,""),IF($MC40&gt;$MP40,"Classe "&amp;$MC40&amp;": o nível "&amp;$MO40&amp;" libera até a "&amp;$MP40,""),IF($NH40=1,"A Forma "&amp;$ME40&amp;" pede "&amp;INDEX($W$2:$W$11,$MT40)&amp;" aberta",""),IF(AND($MC40=0,$MT40&gt;0,IF($MT40=0,0,INDEX($AF$2:$AF$11,$MT40))=0),$ME40&amp;" não existe na Classe 0",""),IF($NI40=1,"Família Fechada: "&amp;$MH40,""),IF($NJ40=1,"Família Fechada: "&amp;$MI40,""),IF($NK40=1,"Família Fechada: "&amp;$MJ40,""),IF($NL40=1,"Família Fechada: "&amp;$MK40,""),IF(AND($MC40&gt;0,$OD40&gt;INDEX($O$2:$O$8,MAX(1,$MC40))),$OD40&amp;" Melhorias: a Classe "&amp;$MC40&amp;" aceita "&amp;INDEX($O$2:$O$8,MAX(1,$MC40)),""),IF(AND($MC40=0,$OD40&gt;1),"A básica aceita uma Melhoria",""),IF(AND($MC40=0,COUNTIF($MY40:$NB40,"&gt;1")&gt;0),"A básica só aceita Melhoria Leve",""),IF(AND($MC40&gt;0,$OE40&gt;2),$OE40&amp;" Restrições"&amp;IF($NO40=1,", contando a que a Forma "&amp;$ME40&amp;" já traz","")&amp;": o limite é 2",""),IF(AND($MC40=0,COUNTIF($ML40:$MM40,"?*")&gt;1),"A básica aceita uma Restrição Leve",""),IF(AND($MC40=0,COUNTIF($NR40:$NS40,2)&gt;0),"A básica só aceita Restrição Leve",""),IF(AND($MC40&gt;0,$OL40&lt;0),"Orçamento estourado: faltam "&amp;(-$OL40)&amp;IF($OL40&lt;-1," pontos"," ponto"),""),IF(IFERROR(VLOOKUP($ML40,$BB$2:$BF$24,4,FALSE),0)+IFERROR(VLOOKUP($MM40,$BB$2:$BF$24,4,FALSE),0)&gt;1,$NT40&amp;" e "&amp;$NU40&amp;" são as duas de frequência",""),IF(AND((COUNTIF($MH40:$MK40,"Rápido")+COUNTIF($NT40:$NU40,"Rápido"))&gt;0,(COUNTIF($MH40:$MK40,"Atrasar")+COUNTIF($NT40:$NU40,"Atrasar"))&gt;0),"Rápido não entra com Atrasar",""),IF(AND((COUNTIF($MH40:$MK40,"Reação")+COUNTIF($NT40:$NU40,"Reação"))&gt;0,(COUNTIF($MH40:$MK40,"Rápido")+COUNTIF($NT40:$NU40,"Rápido"))&gt;0),"Reação não entra com Rápido",""),IF(AND((COUNTIF($MH40:$MK40,"Reação")+COUNTIF($NT40:$NU40,"Reação"))&gt;0,(COUNTIF($MH40:$MK40,"Armado")+COUNTIF($NT40:$NU40,"Armado"))&gt;0),"Reação não entra com Armado",""),IF(AND((COUNTIF($MH40:$MK40,"Reação")+COUNTIF($NT40:$NU40,"Reação"))&gt;0,(COUNTIF($MH40:$MK40,"Atrasar")+COUNTIF($NT40:$NU40,"Atrasar"))&gt;0),"Reação não entra com Atrasar",""),IF(AND((COUNTIF($MH40:$MK40,"Reação")+COUNTIF($NT40:$NU40,"Reação"))&gt;0,(COUNTIF($MH40:$MK40,"Parado")+COUNTIF($NT40:$NU40,"Parado"))&gt;0),"Reação não entra com Parado",""),IF(AND((COUNTIF($MH40:$MK40,"Atrasar")+COUNTIF($NT40:$NU40,"Atrasar"))&gt;0,(COUNTIF($MH40:$MK40,"Parado")+COUNTIF($NT40:$NU40,"Parado"))&gt;0),"Atrasar não entra com Parado",""),IF(AND((COUNTIF($MH40:$MK40,"Armado")+COUNTIF($NT40:$NU40,"Armado"))&gt;0,(COUNTIF($MH40:$MK40,"Carregar")+COUNTIF($NT40:$NU40,"Carregar"))&gt;0),"Armado não entra com Carregar",""),IF(AND(COUNTIF($NT40:$NU40,"Corpo a Corpo")&gt;0,$NO40=0,OR($ME40="Cone",$ME40="Linha")),"Corpo a Corpo não entra em "&amp;$ME40,""),IF(AND(COUNTIF($NT40:$NU40,"Corpo a Corpo")&gt;0,$NO40=1),"A Forma "&amp;$ME40&amp;" já traz o Corpo a Corpo",""),IF(AND(COUNTIF($NT40:$NU40,"Tudo ou Nada")&gt;0,$NQ40=0),"Tudo ou Nada só entra em habilidade de Teste de Resistência",""),IF(AND(COUNTIF($MH40:$MK40,"Inescapável")&gt;0,OR($OD40&gt;1,$OE40&gt;0)),"Inescapável não aceita outra peça",""),IF(AND($MC40&gt;0,$OM40*IF(COUNTIF($MH40:$MK40,"Remate")&gt;0,1.25,1)+$ON40&gt;4*$MC40),($OM40*IF(COUNTIF($MH40:$MK40,"Remate")&gt;0,1.25,1)+$ON40)&amp;" dados somando repetições"&amp;IF(COUNTIF($MH40:$MK40,"Remate")&gt;0," e o Remate","")&amp;": o teto da Classe "&amp;$MC40&amp;" é "&amp;4*$MC40,"")))</f>
        <v/>
      </c>
      <c r="PD40" s="152">
        <f>IF($PC40="",0,(LEN($PC40)-LEN(SUBSTITUTE($PC40," · ","")))/3+1)</f>
        <v/>
      </c>
      <c r="PE40" s="152">
        <f>IF($MN40=0,"",TEXTJOIN(" · ",TRUE,IF($OG40&gt;2*$MC40,"A devolução parou no teto de "&amp;2*$MC40,""),IF($OJ40&gt;0,"Devolução perdida: "&amp;$OJ40&amp;IF($OJ40&gt;1," pontos"," ponto")&amp;" sem peça para pagar",""),IF(AND($NM40&gt;0,AND($MC40&gt;0,$NP40=0),$OM40=0),"Controle sem dano: uma rodada a mais e CD +2",""),IF(AND($NM40&gt;0,AND($MC40&gt;0,$NP40=0),$OM40&gt;0,$OM40&lt;=$MC40),"Controle com saldo até a Classe: uma rodada a mais",""),IF(AND($MC40&gt;0,$NN40&lt;&gt;""),"Efeito de "&amp;$NN40&amp;" pela Classe "&amp;MAX(1,$MC40-1),"")))</f>
        <v/>
      </c>
      <c r="PF40" s="152">
        <f>IF($PE40="",0,(LEN($PE40)-LEN(SUBSTITUTE($PE40," · ","")))/3+1)</f>
        <v/>
      </c>
      <c r="PG40" s="152">
        <f>IF($MN40=0,IF($OD40+COUNTIF($ML40:$MM40,"?*")&gt;0,"Dê um nome",""),IF($PD40&gt;0,"⚠ "&amp;$PD40&amp;IF($PD40&gt;1," erros"," erro"),IF($PF40&gt;0,"! "&amp;$PF40&amp;IF($PF40&gt;1," avisos"," aviso"),"Na regra")))</f>
        <v/>
      </c>
      <c r="PH40" s="152">
        <f>IF($MN40=0,"",IF($PD40+$PF40=0,"Dentro das regras que a ficha confere",$PC40&amp;IF(AND($PD40&gt;0,$PF40&gt;0)," · ","")&amp;$PE40))</f>
        <v/>
      </c>
      <c r="PI40" s="152">
        <f>IF($MA40&gt;$MO40,$MB40&amp;" · ABRE NO NÍVEL "&amp;$MA40,$MB40)</f>
        <v/>
      </c>
      <c r="PJ40" s="152">
        <f>IF($MN40=0,"",IF($MC40=0,"Sem PE",3*$MC40&amp;" PE"))</f>
        <v/>
      </c>
      <c r="PK40" s="152">
        <f>IF($MN40=0,"",IF($MC40=0,"A atuação básica dela",IF(COUNTIF($NT40:$NU40,"Atrasar")&gt;0,"Sua Ação Completa",IF(COUNTIF($MH40:$MK40,"Rápido")&gt;0,"Sua Bônus",IF(COUNTIF($MH40:$MK40,"Reação")&gt;0,"Sua Reação","Sua Padrão")))&amp;" + a básica dela"&amp;IF(COUNTIF($MH40:$MK40,"Reação")&gt;0," e a coletiva","")&amp;IF(COUNTIF($NT40:$NU40,"Carregar")&gt;0," · em dois turnos","")))</f>
        <v/>
      </c>
      <c r="PL40" s="152">
        <f>IF($MG40&lt;&gt;"",$MG40,IF($MT40=0,"",INDEX($AA$2:$AA$11,$MT40)))</f>
        <v/>
      </c>
      <c r="PM40" s="152">
        <f>IF(OR($MN40=0,$MT40=0),"",IF(COUNTIF($MH40:$MK40,"Inescapável")&gt;0,"Automático",IF($PL40="Ataque",IF($MR40="","Ataque","Ataque "&amp;IF(($MR40+2*IF(COUNTIF($MH40:$MK40,"Precisão")&gt;0,1,0))&gt;=0,"+","−")&amp;ABS(($MR40+2*IF(COUNTIF($MH40:$MK40,"Precisão")&gt;0,1,0)))),IF(LEFT($PL40,2)="TR",$PL40&amp;IF($MS40="",""," · CD "&amp;$MS40)&amp;IF(COUNTIF($MH40:$MK40,"Certeiro")&gt;0," · metade",""),"Sem rolagem"))))</f>
        <v/>
      </c>
      <c r="PN40" s="152">
        <f>IF(OR($MN40=0,$MT40=0),"",IF($MC40=0,IF(OR($NP40&gt;=1,$OM40=0),"Sem dano",$OM40&amp;"d6"&amp;IF($MF40="",""," "&amp;$MF40)),IF(OR($NP40&gt;=1,$OM40=0),UPPER(LEFT(INDEX($OV40:$PB40,1,MAX(1,$MC40)),1))&amp;MID(INDEX($OV40:$PB40,1,MAX(1,$MC40)),2,99),UPPER(LEFT(INDEX($OV40:$PB40,1,MAX(1,$MC40)),1))&amp;MID(INDEX($OV40:$PB40,1,MAX(1,$MC40)),2,99)&amp;IF($MF40="",""," "&amp;$MF40)&amp;IF($ON40&gt;0," · +"&amp;$ON40&amp;"d8",""))))</f>
        <v/>
      </c>
      <c r="PO40" s="152">
        <f>COUNTIF($MH40:$MK40,"Longe")+3*COUNTIF($MH40:$MK40,"Muito Longe")</f>
        <v/>
      </c>
      <c r="PP40" s="152">
        <f>COUNTIF($MH40:$MK40,"Maior")+3*COUNTIF($MH40:$MK40,"Muito Maior")</f>
        <v/>
      </c>
      <c r="PQ40" s="152">
        <f>IF($MT40=0,0,CHOOSE(1+INDEX($AC$2:$AC$11,$MT40),0,$PO40,$PP40,$PO40+$PP40))</f>
        <v/>
      </c>
      <c r="PR40" s="152">
        <f>IF($MT40=0,0,CHOOSE(1+INDEX($AD$2:$AD$11,$MT40),0,$PO40,$PP40,$PO40+$PP40))</f>
        <v/>
      </c>
      <c r="PS40" s="152">
        <f>IF(OR($MN40=0,$MT40=0),"",INDEX($AI$2:$AN$41,($MT40-1)*4+IF($MC40=0,1,IF($MC40&lt;=5,2,IF($MC40=6,3,4))),1+MIN(5,$PQ40))&amp;INDEX($AO$2:$AT$41,($MT40-1)*4+IF($MC40=0,1,IF($MC40&lt;=5,2,IF($MC40=6,3,4))),1+MIN(5,$PR40))&amp;IF(INDEX($AE$2:$AE$11,$MT40)=1,IF(COUNTIF($MH40:$MK40,"Mais Um")&gt;0," · +"&amp;COUNTIF($MH40:$MK40,"Mais Um")&amp;IF(COUNTIF($MH40:$MK40,"Mais Um")&gt;1," alvos"," alvo"),"")&amp;IF(COUNTIF($MH40:$MK40,"Rajada")&gt;0,IF($MC40=0," · 1 tiro"," · "&amp;(MAX(1,$MC40-1)+1)&amp;" tiros"),""),""))</f>
        <v/>
      </c>
      <c r="PT40" s="152">
        <f>IF($MN40=0,"",IF($MC40=0,$MQ40&amp;"d6"&amp;IF($OD40&gt;0," − 1 = "&amp;$OM40&amp;"d6"," da básica do nível "&amp;$MO40),$OK40&amp;" − "&amp;$OF40&amp;" + "&amp;$OI40&amp;" = "&amp;$OL40&amp;" · teto "&amp;4*$MC40&amp;"d8"&amp;IF($NO40=1," · a Forma devolve "&amp;$MC40,"")&amp;IF($OJ40&gt;0," · perde "&amp;$OJ40,"")))</f>
        <v/>
      </c>
      <c r="PU40" s="152">
        <f>IF($MN40=0,"",IF($MC40=0,"A básica não amplia: os dados dela sobem com o nível",IF($MC40&gt;=$MP40,"Já está na maior Classe que o nível liberou",TEXTJOIN(" · ",TRUE,IF(AND(2&gt;$MC40,2&lt;=$MP40),"2 → "&amp;$OW40&amp;", 6 PE",""),IF(AND(3&gt;$MC40,3&lt;=$MP40),"3 → "&amp;$OX40&amp;", 9 PE",""),IF(AND(4&gt;$MC40,4&lt;=$MP40),"4 → "&amp;$OY40&amp;", 12 PE",""),IF(AND(5&gt;$MC40,5&lt;=$MP40),"5 → "&amp;$OZ40&amp;", 15 PE",""),IF(AND(6&gt;$MC40,6&lt;=$MP40),"6 → "&amp;$PA40&amp;", 18 PE",""),IF(AND(7&gt;$MC40,7&lt;=$MP40),"7 → "&amp;$PB40&amp;", 21 PE","")))))</f>
        <v/>
      </c>
      <c r="PV40" s="152">
        <f>IF(OR($MN40=0,$MY40=0),"",IF($MC40=0,"−1 dado","−"&amp;INDEX($I$2:$N$8,MAX(1,$MC40),MAX(1,$ND40))&amp;" · "&amp;CHOOSE(MAX(1,$ND40),"Leve","Média","Pesada","Leve · Livre","Média · Livre","Pesada · Livre")))</f>
        <v/>
      </c>
      <c r="PW40" s="152">
        <f>IF(OR($MN40=0,$MZ40=0),"",IF($MC40=0,"−1 dado","−"&amp;INDEX($I$2:$N$8,MAX(1,$MC40),MAX(1,$NE40))&amp;" · "&amp;CHOOSE(MAX(1,$NE40),"Leve","Média","Pesada","Leve · Livre","Média · Livre","Pesada · Livre")))</f>
        <v/>
      </c>
      <c r="PX40" s="152">
        <f>IF(OR($MN40=0,$NA40=0),"",IF($MC40=0,"−1 dado","−"&amp;INDEX($I$2:$N$8,MAX(1,$MC40),MAX(1,$NF40))&amp;" · "&amp;CHOOSE(MAX(1,$NF40),"Leve","Média","Pesada","Leve · Livre","Média · Livre","Pesada · Livre")))</f>
        <v/>
      </c>
      <c r="PY40" s="152">
        <f>IF(OR($MN40=0,$NB40=0),"",IF($MC40=0,"−1 dado","−"&amp;INDEX($I$2:$N$8,MAX(1,$MC40),MAX(1,$NG40))&amp;" · "&amp;CHOOSE(MAX(1,$NG40),"Leve","Média","Pesada","Leve · Livre","Média · Livre","Pesada · Livre")))</f>
        <v/>
      </c>
      <c r="PZ40" s="152">
        <f>IF(OR($MN40=0,$ML40=""),"",IF($MC40=0,"não devolve","+"&amp;IF($NR40=1,CEILING($MC40/2,1),$MC40)))</f>
        <v/>
      </c>
      <c r="QA40" s="152">
        <f>IF(OR($MN40=0,$MM40=""),"",IF($MC40=0,"não devolve","+"&amp;IF($NS40=1,CEILING($MC40/2,1),$MC40)))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JD41" s="152">
        <f>IF(OR($AW41="",COUNTIF($ED$2:$EH$2,$AW41)&gt;0),$AV41,"")</f>
        <v/>
      </c>
      <c r="JE41" s="152">
        <f>IF(AND($AX41=1,OR($AW41="",COUNTIF($ED$2:$EH$2,$AW41)&gt;0)),$AV41,"")</f>
        <v/>
      </c>
      <c r="JJ41" s="152">
        <f>IF(OR($AW41="",COUNTIF($ED$3:$EH$3,$AW41)&gt;0),$AV41,"")</f>
        <v/>
      </c>
      <c r="JK41" s="152">
        <f>IF(AND($AX41=1,OR($AW41="",COUNTIF($ED$3:$EH$3,$AW41)&gt;0)),$AV41,"")</f>
        <v/>
      </c>
      <c r="JP41" s="152">
        <f>IF(OR($AW41="",COUNTIF($ED$4:$EH$4,$AW41)&gt;0),$AV41,"")</f>
        <v/>
      </c>
      <c r="JQ41" s="152">
        <f>IF(AND($AX41=1,OR($AW41="",COUNTIF($ED$4:$EH$4,$AW41)&gt;0)),$AV41,"")</f>
        <v/>
      </c>
      <c r="JV41" s="152">
        <f>IF(OR($AW41="",COUNTIF($ED$5:$EH$5,$AW41)&gt;0),$AV41,"")</f>
        <v/>
      </c>
      <c r="JW41" s="152">
        <f>IF(AND($AX41=1,OR($AW41="",COUNTIF($ED$5:$EH$5,$AW41)&gt;0)),$AV41,"")</f>
        <v/>
      </c>
      <c r="KB41" s="152">
        <f>IF(OR($AW41="",COUNTIF($ED$6:$EH$6,$AW41)&gt;0),$AV41,"")</f>
        <v/>
      </c>
      <c r="KC41" s="152">
        <f>IF(AND($AX41=1,OR($AW41="",COUNTIF($ED$6:$EH$6,$AW41)&gt;0)),$AV41,"")</f>
        <v/>
      </c>
      <c r="KH41" s="152">
        <f>IF(OR($AW41="",COUNTIF($ED$7:$EH$7,$AW41)&gt;0),$AV41,"")</f>
        <v/>
      </c>
      <c r="KI41" s="152">
        <f>IF(AND($AX41=1,OR($AW41="",COUNTIF($ED$7:$EH$7,$AW41)&gt;0)),$AV41,"")</f>
        <v/>
      </c>
      <c r="KN41" s="152">
        <f>IF(OR($AW41="",COUNTIF($ED$8:$EH$8,$AW41)&gt;0),$AV41,"")</f>
        <v/>
      </c>
      <c r="KO41" s="152">
        <f>IF(AND($AX41=1,OR($AW41="",COUNTIF($ED$8:$EH$8,$AW41)&gt;0)),$AV41,"")</f>
        <v/>
      </c>
      <c r="KT41" s="152">
        <f>IF(OR($AW41="",COUNTIF($ED$9:$EH$9,$AW41)&gt;0),$AV41,"")</f>
        <v/>
      </c>
      <c r="KU41" s="152">
        <f>IF(AND($AX41=1,OR($AW41="",COUNTIF($ED$9:$EH$9,$AW41)&gt;0)),$AV41,"")</f>
        <v/>
      </c>
      <c r="KZ41" s="152">
        <f>IF(OR($AW41="",COUNTIF($ED$10:$EH$10,$AW41)&gt;0),$AV41,"")</f>
        <v/>
      </c>
      <c r="LA41" s="152">
        <f>IF(AND($AX41=1,OR($AW41="",COUNTIF($ED$10:$EH$10,$AW41)&gt;0)),$AV41,"")</f>
        <v/>
      </c>
      <c r="LF41" s="152">
        <f>IF(OR($AW41="",COUNTIF($ED$11:$EH$11,$AW41)&gt;0),$AV41,"")</f>
        <v/>
      </c>
      <c r="LG41" s="152">
        <f>IF(AND($AX41=1,OR($AW41="",COUNTIF($ED$11:$EH$11,$AW41)&gt;0)),$AV41,"")</f>
        <v/>
      </c>
      <c r="LL41" s="152">
        <f>IF(OR($AW41="",COUNTIF($ED$12:$EH$12,$AW41)&gt;0),$AV41,"")</f>
        <v/>
      </c>
      <c r="LM41" s="152">
        <f>IF(AND($AX41=1,OR($AW41="",COUNTIF($ED$12:$EH$12,$AW41)&gt;0)),$AV41,"")</f>
        <v/>
      </c>
      <c r="LR41" s="152">
        <f>IF(OR($AW41="",COUNTIF($ED$13:$EH$13,$AW41)&gt;0),$AV41,"")</f>
        <v/>
      </c>
      <c r="LS41" s="152">
        <f>IF(AND($AX41=1,OR($AW41="",COUNTIF($ED$13:$EH$13,$AW41)&gt;0)),$AV41,"")</f>
        <v/>
      </c>
      <c r="LX41" s="150" t="inlineStr">
        <is>
          <t>Ficha 4 · Básica 1</t>
        </is>
      </c>
      <c r="LY41" s="152" t="n">
        <v>4</v>
      </c>
      <c r="LZ41" s="152" t="n">
        <v>0</v>
      </c>
      <c r="MA41" s="152" t="n">
        <v>1</v>
      </c>
      <c r="MB41" s="150" t="inlineStr">
        <is>
          <t>BÁSICA 1</t>
        </is>
      </c>
      <c r="MC41" s="152" t="n">
        <v>0</v>
      </c>
      <c r="MD41" s="152">
        <f>'INVOCAÇÕES'!$J$652&amp;""</f>
        <v/>
      </c>
      <c r="ME41" s="152">
        <f>'INVOCAÇÕES'!$I$657&amp;""</f>
        <v/>
      </c>
      <c r="MF41" s="152">
        <f>'INVOCAÇÕES'!$I$658&amp;""</f>
        <v/>
      </c>
      <c r="MG41" s="152">
        <f>'INVOCAÇÕES'!$K$658&amp;""</f>
        <v/>
      </c>
      <c r="MH41" s="152">
        <f>'INVOCAÇÕES'!$J$661&amp;""</f>
        <v/>
      </c>
      <c r="MI41" s="152">
        <f>'INVOCAÇÕES'!$J$662&amp;""</f>
        <v/>
      </c>
      <c r="MJ41" s="152">
        <f>'INVOCAÇÕES'!$J$663&amp;""</f>
        <v/>
      </c>
      <c r="MK41" s="152">
        <f>'INVOCAÇÕES'!$J$664&amp;""</f>
        <v/>
      </c>
      <c r="ML41" s="152">
        <f>'INVOCAÇÕES'!$J$665&amp;""</f>
        <v/>
      </c>
      <c r="MM41" s="152">
        <f>'INVOCAÇÕES'!$J$666&amp;""</f>
        <v/>
      </c>
      <c r="MN41" s="152">
        <f>IF($MD41&lt;&gt;"",1,0)</f>
        <v/>
      </c>
      <c r="MO41" s="152">
        <f>INDEX($FG$2:$FG$13,$LY41)</f>
        <v/>
      </c>
      <c r="MP41" s="152">
        <f>INDEX($FH$2:$FH$13,$LY41)</f>
        <v/>
      </c>
      <c r="MQ41" s="152">
        <f>INDEX($FI$2:$FI$13,$LY41)</f>
        <v/>
      </c>
      <c r="MR41" s="152">
        <f>INDEX($FT$2:$FT$13,$LY41)</f>
        <v/>
      </c>
      <c r="MS41" s="152">
        <f>INDEX($FU$2:$FU$13,$LY41)</f>
        <v/>
      </c>
      <c r="MT41" s="152">
        <f>IFERROR(MATCH($ME41,$V$2:$V$11,0),0)</f>
        <v/>
      </c>
      <c r="MU41" s="152">
        <f>IFERROR(VLOOKUP($MH41,$AV$2:$AZ$84,2,FALSE),"")</f>
        <v/>
      </c>
      <c r="MV41" s="152">
        <f>IFERROR(VLOOKUP($MI41,$AV$2:$AZ$84,2,FALSE),"")</f>
        <v/>
      </c>
      <c r="MW41" s="152">
        <f>IFERROR(VLOOKUP($MJ41,$AV$2:$AZ$84,2,FALSE),"")</f>
        <v/>
      </c>
      <c r="MX41" s="152">
        <f>IFERROR(VLOOKUP($MK41,$AV$2:$AZ$84,2,FALSE),"")</f>
        <v/>
      </c>
      <c r="MY41" s="152">
        <f>IFERROR(VLOOKUP($MH41,$AV$2:$AZ$84,3,FALSE),0)</f>
        <v/>
      </c>
      <c r="MZ41" s="152">
        <f>IFERROR(VLOOKUP($MI41,$AV$2:$AZ$84,3,FALSE),0)</f>
        <v/>
      </c>
      <c r="NA41" s="152">
        <f>IFERROR(VLOOKUP($MJ41,$AV$2:$AZ$84,3,FALSE),0)</f>
        <v/>
      </c>
      <c r="NB41" s="152">
        <f>IFERROR(VLOOKUP($MK41,$AV$2:$AZ$84,3,FALSE),0)</f>
        <v/>
      </c>
      <c r="NC41" s="152">
        <f>IF($MC41=0,0,IF($MT41=0,0,INDEX($X$2:$X$11,$MT41)))</f>
        <v/>
      </c>
      <c r="ND41" s="152">
        <f>IF(OR($MY41=0,$MC41=0),0,$MY41+3*IF(AND($MU41&lt;&gt;"",OR($MU41=INDEX($ED$2:$ED$13,$LY41),$MU41=INDEX($EE$2:$EE$13,$LY41))),1,0))</f>
        <v/>
      </c>
      <c r="NE41" s="152">
        <f>IF(OR($MZ41=0,$MC41=0),0,$MZ41+3*IF(AND($MV41&lt;&gt;"",OR($MV41=INDEX($ED$2:$ED$13,$LY41),$MV41=INDEX($EE$2:$EE$13,$LY41))),1,0))</f>
        <v/>
      </c>
      <c r="NF41" s="152">
        <f>IF(OR($NA41=0,$MC41=0),0,$NA41+3*IF(AND($MW41&lt;&gt;"",OR($MW41=INDEX($ED$2:$ED$13,$LY41),$MW41=INDEX($EE$2:$EE$13,$LY41))),1,0))</f>
        <v/>
      </c>
      <c r="NG41" s="152">
        <f>IF(OR($NB41=0,$MC41=0),0,$NB41+3*IF(AND($MX41&lt;&gt;"",OR($MX41=INDEX($ED$2:$ED$13,$LY41),$MX41=INDEX($EE$2:$EE$13,$LY41))),1,0))</f>
        <v/>
      </c>
      <c r="NH41" s="152">
        <f>IF($MT41=0,0,IF(INDEX($W$2:$W$11,$MT41)="",0,IF(COUNTIF(INDEX($ED$2:$EH$13,$LY41,0),INDEX($W$2:$W$11,$MT41))=0,1,0)))</f>
        <v/>
      </c>
      <c r="NI41" s="152">
        <f>IF(OR($MY41=0,$MU41=""),0,IF(COUNTIF(INDEX($ED$2:$EH$13,$LY41,0),$MU41)=0,1,0))</f>
        <v/>
      </c>
      <c r="NJ41" s="152">
        <f>IF(OR($MZ41=0,$MV41=""),0,IF(COUNTIF(INDEX($ED$2:$EH$13,$LY41,0),$MV41)=0,1,0))</f>
        <v/>
      </c>
      <c r="NK41" s="152">
        <f>IF(OR($NA41=0,$MW41=""),0,IF(COUNTIF(INDEX($ED$2:$EH$13,$LY41,0),$MW41)=0,1,0))</f>
        <v/>
      </c>
      <c r="NL41" s="152">
        <f>IF(OR($NB41=0,$MX41=""),0,IF(COUNTIF(INDEX($ED$2:$EH$13,$LY41,0),$MX41)=0,1,0))</f>
        <v/>
      </c>
      <c r="NM41" s="152">
        <f>IFERROR(VLOOKUP($MH41,$AV$2:$AZ$84,4,FALSE),0)+IFERROR(VLOOKUP($MI41,$AV$2:$AZ$84,4,FALSE),0)+IFERROR(VLOOKUP($MJ41,$AV$2:$AZ$84,4,FALSE),0)+IFERROR(VLOOKUP($MK41,$AV$2:$AZ$84,4,FALSE),0)</f>
        <v/>
      </c>
      <c r="NN41" s="152">
        <f>TEXTJOIN(", ",TRUE,IF(IFERROR(VLOOKUP($MH41,$AV$2:$AZ$84,5,FALSE),0)=1,$MH41,""),IF(IFERROR(VLOOKUP($MI41,$AV$2:$AZ$84,5,FALSE),0)=1,$MI41,""),IF(IFERROR(VLOOKUP($MJ41,$AV$2:$AZ$84,5,FALSE),0)=1,$MJ41,""),IF(IFERROR(VLOOKUP($MK41,$AV$2:$AZ$84,5,FALSE),0)=1,$MK41,""))</f>
        <v/>
      </c>
      <c r="NO41" s="152">
        <f>IF($MT41=0,0,INDEX($Y$2:$Y$11,$MT41))</f>
        <v/>
      </c>
      <c r="NP41" s="152">
        <f>IF($MT41=0,0,INDEX($Z$2:$Z$11,$MT41))</f>
        <v/>
      </c>
      <c r="NQ41" s="152">
        <f>IF($MT41=0,0,INDEX($AB$2:$AB$11,$MT41))</f>
        <v/>
      </c>
      <c r="NR41" s="152">
        <f>IFERROR(VLOOKUP($ML41,$BB$2:$BF$24,3,FALSE),0)</f>
        <v/>
      </c>
      <c r="NS41" s="152">
        <f>IFERROR(VLOOKUP($MM41,$BB$2:$BF$24,3,FALSE),0)</f>
        <v/>
      </c>
      <c r="NT41" s="152">
        <f>IFERROR(VLOOKUP($ML41,$BB$2:$BF$24,2,FALSE),"")</f>
        <v/>
      </c>
      <c r="NU41" s="152">
        <f>IFERROR(VLOOKUP($MM41,$BB$2:$BF$24,2,FALSE),"")</f>
        <v/>
      </c>
      <c r="NV41" s="152">
        <f>COUNTIF($NC41:$NG41,1)</f>
        <v/>
      </c>
      <c r="NW41" s="152">
        <f>COUNTIF($NC41:$NG41,2)</f>
        <v/>
      </c>
      <c r="NX41" s="152">
        <f>COUNTIF($NC41:$NG41,3)</f>
        <v/>
      </c>
      <c r="NY41" s="152">
        <f>COUNTIF($NC41:$NG41,4)</f>
        <v/>
      </c>
      <c r="NZ41" s="152">
        <f>COUNTIF($NC41:$NG41,5)</f>
        <v/>
      </c>
      <c r="OA41" s="152">
        <f>COUNTIF($NC41:$NG41,6)</f>
        <v/>
      </c>
      <c r="OB41" s="152">
        <f>COUNTIF($NR41:$NS41,1)</f>
        <v/>
      </c>
      <c r="OC41" s="152">
        <f>COUNTIF($NR41:$NS41,2)+$NO41</f>
        <v/>
      </c>
      <c r="OD41" s="152">
        <f>COUNTIF($MH41:$MK41,"?*")</f>
        <v/>
      </c>
      <c r="OE41" s="152">
        <f>COUNTIF($ML41:$MM41,"?*")+$NO41</f>
        <v/>
      </c>
      <c r="OF41" s="152">
        <f>IF($MC41=0,0,SUMPRODUCT($NV41:$OA41,INDEX($I$2:$N$8,MAX(1,$MC41),0)))</f>
        <v/>
      </c>
      <c r="OG41" s="152">
        <f>IF($MC41=0,0,$OB41*CEILING($MC41/2,1)+$OC41*$MC41)</f>
        <v/>
      </c>
      <c r="OH41" s="152">
        <f>MIN(2*$MC41,$OG41)</f>
        <v/>
      </c>
      <c r="OI41" s="152">
        <f>MIN($OH41,$OF41)</f>
        <v/>
      </c>
      <c r="OJ41" s="152">
        <f>$OH41-$OI41</f>
        <v/>
      </c>
      <c r="OK41" s="152">
        <f>IF($MC41=0,0,INDEX($P$2:$P$8,MAX(1,$MC41)))</f>
        <v/>
      </c>
      <c r="OL41" s="152">
        <f>$OK41-$OF41+$OI41</f>
        <v/>
      </c>
      <c r="OM41" s="152">
        <f>IF($MC41=0,MAX(0,$MQ41-IF($OD41&gt;0,1,0)),MAX(0,$OL41))</f>
        <v/>
      </c>
      <c r="ON41" s="152">
        <f>IF($MC41=0,0,(IF(COUNTIF($MH41:$MK41,"Salto")&gt;0,1,0)+IF(COUNTIF($MH41:$MK41,"Queima")&gt;0,1,0)+IF(COUNTIF($MH41:$MK41,"Estilhaço")&gt;0,1,0))*FLOOR($OM41/2,1))</f>
        <v/>
      </c>
      <c r="OO41" s="152">
        <f>MAX(0,2-SUMPRODUCT($NV41:$OA41,$I$2:$N$2)+MIN(2,$OB41*1+$OC41*1,SUMPRODUCT($NV41:$OA41,$I$2:$N$2)))</f>
        <v/>
      </c>
      <c r="OP41" s="152">
        <f>MAX(0,4-SUMPRODUCT($NV41:$OA41,$I$3:$N$3)+MIN(4,$OB41*1+$OC41*2,SUMPRODUCT($NV41:$OA41,$I$3:$N$3)))</f>
        <v/>
      </c>
      <c r="OQ41" s="152">
        <f>MAX(0,6-SUMPRODUCT($NV41:$OA41,$I$4:$N$4)+MIN(6,$OB41*2+$OC41*3,SUMPRODUCT($NV41:$OA41,$I$4:$N$4)))</f>
        <v/>
      </c>
      <c r="OR41" s="152">
        <f>MAX(0,9-SUMPRODUCT($NV41:$OA41,$I$5:$N$5)+MIN(8,$OB41*2+$OC41*4,SUMPRODUCT($NV41:$OA41,$I$5:$N$5)))</f>
        <v/>
      </c>
      <c r="OS41" s="152">
        <f>MAX(0,11-SUMPRODUCT($NV41:$OA41,$I$6:$N$6)+MIN(10,$OB41*3+$OC41*5,SUMPRODUCT($NV41:$OA41,$I$6:$N$6)))</f>
        <v/>
      </c>
      <c r="OT41" s="152">
        <f>MAX(0,13-SUMPRODUCT($NV41:$OA41,$I$7:$N$7)+MIN(12,$OB41*3+$OC41*6,SUMPRODUCT($NV41:$OA41,$I$7:$N$7)))</f>
        <v/>
      </c>
      <c r="OU41" s="152">
        <f>MAX(0,16-SUMPRODUCT($NV41:$OA41,$I$8:$N$8)+MIN(14,$OB41*4+$OC41*7,SUMPRODUCT($NV41:$OA41,$I$8:$N$8)))</f>
        <v/>
      </c>
      <c r="OV41" s="152">
        <f>IF($NP41=2,3*$OO41&amp;" de vida temp.",IF($NP41=3,"sem dano",IF($OO41=0,IF($NP41=1,"sem cura","sem dano"),IF($NP41=1,"cura ","")&amp;$OO41&amp;"d8")))</f>
        <v/>
      </c>
      <c r="OW41" s="152">
        <f>IF($NP41=2,3*$OP41&amp;" de vida temp.",IF($NP41=3,"sem dano",IF($OP41=0,IF($NP41=1,"sem cura","sem dano"),IF($NP41=1,"cura ","")&amp;$OP41&amp;"d8")))</f>
        <v/>
      </c>
      <c r="OX41" s="152">
        <f>IF($NP41=2,3*$OQ41&amp;" de vida temp.",IF($NP41=3,"sem dano",IF($OQ41=0,IF($NP41=1,"sem cura","sem dano"),IF($NP41=1,"cura ","")&amp;$OQ41&amp;"d8")))</f>
        <v/>
      </c>
      <c r="OY41" s="152">
        <f>IF($NP41=2,3*$OR41&amp;" de vida temp.",IF($NP41=3,"sem dano",IF($OR41=0,IF($NP41=1,"sem cura","sem dano"),IF($NP41=1,"cura ","")&amp;$OR41&amp;"d8")))</f>
        <v/>
      </c>
      <c r="OZ41" s="152">
        <f>IF($NP41=2,3*$OS41&amp;" de vida temp.",IF($NP41=3,"sem dano",IF($OS41=0,IF($NP41=1,"sem cura","sem dano"),IF($NP41=1,"cura ","")&amp;$OS41&amp;"d8")))</f>
        <v/>
      </c>
      <c r="PA41" s="152">
        <f>IF($NP41=2,3*$OT41&amp;" de vida temp.",IF($NP41=3,"sem dano",IF($OT41=0,IF($NP41=1,"sem cura","sem dano"),IF($NP41=1,"cura ","")&amp;$OT41&amp;"d8")))</f>
        <v/>
      </c>
      <c r="PB41" s="152">
        <f>IF($NP41=2,3*$OU41&amp;" de vida temp.",IF($NP41=3,"sem dano",IF($OU41=0,IF($NP41=1,"sem cura","sem dano"),IF($NP41=1,"cura ","")&amp;$OU41&amp;"d8")))</f>
        <v/>
      </c>
      <c r="PC41" s="152">
        <f>IF($MN41=0,"",TEXTJOIN(" · ",TRUE,IF($MA41&gt;$MO41,"Este lugar abre no nível "&amp;$MA41,""),IF($MC41&gt;$MP41,"Classe "&amp;$MC41&amp;": o nível "&amp;$MO41&amp;" libera até a "&amp;$MP41,""),IF($NH41=1,"A Forma "&amp;$ME41&amp;" pede "&amp;INDEX($W$2:$W$11,$MT41)&amp;" aberta",""),IF(AND($MC41=0,$MT41&gt;0,IF($MT41=0,0,INDEX($AF$2:$AF$11,$MT41))=0),$ME41&amp;" não existe na Classe 0",""),IF($NI41=1,"Família Fechada: "&amp;$MH41,""),IF($NJ41=1,"Família Fechada: "&amp;$MI41,""),IF($NK41=1,"Família Fechada: "&amp;$MJ41,""),IF($NL41=1,"Família Fechada: "&amp;$MK41,""),IF(AND($MC41&gt;0,$OD41&gt;INDEX($O$2:$O$8,MAX(1,$MC41))),$OD41&amp;" Melhorias: a Classe "&amp;$MC41&amp;" aceita "&amp;INDEX($O$2:$O$8,MAX(1,$MC41)),""),IF(AND($MC41=0,$OD41&gt;1),"A básica aceita uma Melhoria",""),IF(AND($MC41=0,COUNTIF($MY41:$NB41,"&gt;1")&gt;0),"A básica só aceita Melhoria Leve",""),IF(AND($MC41&gt;0,$OE41&gt;2),$OE41&amp;" Restrições"&amp;IF($NO41=1,", contando a que a Forma "&amp;$ME41&amp;" já traz","")&amp;": o limite é 2",""),IF(AND($MC41=0,COUNTIF($ML41:$MM41,"?*")&gt;1),"A básica aceita uma Restrição Leve",""),IF(AND($MC41=0,COUNTIF($NR41:$NS41,2)&gt;0),"A básica só aceita Restrição Leve",""),IF(AND($MC41&gt;0,$OL41&lt;0),"Orçamento estourado: faltam "&amp;(-$OL41)&amp;IF($OL41&lt;-1," pontos"," ponto"),""),IF(IFERROR(VLOOKUP($ML41,$BB$2:$BF$24,4,FALSE),0)+IFERROR(VLOOKUP($MM41,$BB$2:$BF$24,4,FALSE),0)&gt;1,$NT41&amp;" e "&amp;$NU41&amp;" são as duas de frequência",""),IF(AND((COUNTIF($MH41:$MK41,"Rápido")+COUNTIF($NT41:$NU41,"Rápido"))&gt;0,(COUNTIF($MH41:$MK41,"Atrasar")+COUNTIF($NT41:$NU41,"Atrasar"))&gt;0),"Rápido não entra com Atrasar",""),IF(AND((COUNTIF($MH41:$MK41,"Reação")+COUNTIF($NT41:$NU41,"Reação"))&gt;0,(COUNTIF($MH41:$MK41,"Rápido")+COUNTIF($NT41:$NU41,"Rápido"))&gt;0),"Reação não entra com Rápido",""),IF(AND((COUNTIF($MH41:$MK41,"Reação")+COUNTIF($NT41:$NU41,"Reação"))&gt;0,(COUNTIF($MH41:$MK41,"Armado")+COUNTIF($NT41:$NU41,"Armado"))&gt;0),"Reação não entra com Armado",""),IF(AND((COUNTIF($MH41:$MK41,"Reação")+COUNTIF($NT41:$NU41,"Reação"))&gt;0,(COUNTIF($MH41:$MK41,"Atrasar")+COUNTIF($NT41:$NU41,"Atrasar"))&gt;0),"Reação não entra com Atrasar",""),IF(AND((COUNTIF($MH41:$MK41,"Reação")+COUNTIF($NT41:$NU41,"Reação"))&gt;0,(COUNTIF($MH41:$MK41,"Parado")+COUNTIF($NT41:$NU41,"Parado"))&gt;0),"Reação não entra com Parado",""),IF(AND((COUNTIF($MH41:$MK41,"Atrasar")+COUNTIF($NT41:$NU41,"Atrasar"))&gt;0,(COUNTIF($MH41:$MK41,"Parado")+COUNTIF($NT41:$NU41,"Parado"))&gt;0),"Atrasar não entra com Parado",""),IF(AND((COUNTIF($MH41:$MK41,"Armado")+COUNTIF($NT41:$NU41,"Armado"))&gt;0,(COUNTIF($MH41:$MK41,"Carregar")+COUNTIF($NT41:$NU41,"Carregar"))&gt;0),"Armado não entra com Carregar",""),IF(AND(COUNTIF($NT41:$NU41,"Corpo a Corpo")&gt;0,$NO41=0,OR($ME41="Cone",$ME41="Linha")),"Corpo a Corpo não entra em "&amp;$ME41,""),IF(AND(COUNTIF($NT41:$NU41,"Corpo a Corpo")&gt;0,$NO41=1),"A Forma "&amp;$ME41&amp;" já traz o Corpo a Corpo",""),IF(AND(COUNTIF($NT41:$NU41,"Tudo ou Nada")&gt;0,$NQ41=0),"Tudo ou Nada só entra em habilidade de Teste de Resistência",""),IF(AND(COUNTIF($MH41:$MK41,"Inescapável")&gt;0,OR($OD41&gt;1,$OE41&gt;0)),"Inescapável não aceita outra peça",""),IF(AND($MC41&gt;0,$OM41*IF(COUNTIF($MH41:$MK41,"Remate")&gt;0,1.25,1)+$ON41&gt;4*$MC41),($OM41*IF(COUNTIF($MH41:$MK41,"Remate")&gt;0,1.25,1)+$ON41)&amp;" dados somando repetições"&amp;IF(COUNTIF($MH41:$MK41,"Remate")&gt;0," e o Remate","")&amp;": o teto da Classe "&amp;$MC41&amp;" é "&amp;4*$MC41,"")))</f>
        <v/>
      </c>
      <c r="PD41" s="152">
        <f>IF($PC41="",0,(LEN($PC41)-LEN(SUBSTITUTE($PC41," · ","")))/3+1)</f>
        <v/>
      </c>
      <c r="PE41" s="152">
        <f>IF($MN41=0,"",TEXTJOIN(" · ",TRUE,IF($OG41&gt;2*$MC41,"A devolução parou no teto de "&amp;2*$MC41,""),IF($OJ41&gt;0,"Devolução perdida: "&amp;$OJ41&amp;IF($OJ41&gt;1," pontos"," ponto")&amp;" sem peça para pagar",""),IF(AND($NM41&gt;0,AND($MC41&gt;0,$NP41=0),$OM41=0),"Controle sem dano: uma rodada a mais e CD +2",""),IF(AND($NM41&gt;0,AND($MC41&gt;0,$NP41=0),$OM41&gt;0,$OM41&lt;=$MC41),"Controle com saldo até a Classe: uma rodada a mais",""),IF(AND($MC41&gt;0,$NN41&lt;&gt;""),"Efeito de "&amp;$NN41&amp;" pela Classe "&amp;MAX(1,$MC41-1),"")))</f>
        <v/>
      </c>
      <c r="PF41" s="152">
        <f>IF($PE41="",0,(LEN($PE41)-LEN(SUBSTITUTE($PE41," · ","")))/3+1)</f>
        <v/>
      </c>
      <c r="PG41" s="152">
        <f>IF($MN41=0,IF($OD41+COUNTIF($ML41:$MM41,"?*")&gt;0,"Dê um nome",""),IF($PD41&gt;0,"⚠ "&amp;$PD41&amp;IF($PD41&gt;1," erros"," erro"),IF($PF41&gt;0,"! "&amp;$PF41&amp;IF($PF41&gt;1," avisos"," aviso"),"Na regra")))</f>
        <v/>
      </c>
      <c r="PH41" s="152">
        <f>IF($MN41=0,"",IF($PD41+$PF41=0,"Dentro das regras que a ficha confere",$PC41&amp;IF(AND($PD41&gt;0,$PF41&gt;0)," · ","")&amp;$PE41))</f>
        <v/>
      </c>
      <c r="PI41" s="152">
        <f>IF($MA41&gt;$MO41,$MB41&amp;" · ABRE NO NÍVEL "&amp;$MA41,$MB41)</f>
        <v/>
      </c>
      <c r="PJ41" s="152">
        <f>IF($MN41=0,"",IF($MC41=0,"Sem PE",3*$MC41&amp;" PE"))</f>
        <v/>
      </c>
      <c r="PK41" s="152">
        <f>IF($MN41=0,"",IF($MC41=0,"A atuação básica dela",IF(COUNTIF($NT41:$NU41,"Atrasar")&gt;0,"Sua Ação Completa",IF(COUNTIF($MH41:$MK41,"Rápido")&gt;0,"Sua Bônus",IF(COUNTIF($MH41:$MK41,"Reação")&gt;0,"Sua Reação","Sua Padrão")))&amp;" + a básica dela"&amp;IF(COUNTIF($MH41:$MK41,"Reação")&gt;0," e a coletiva","")&amp;IF(COUNTIF($NT41:$NU41,"Carregar")&gt;0," · em dois turnos","")))</f>
        <v/>
      </c>
      <c r="PL41" s="152">
        <f>IF($MG41&lt;&gt;"",$MG41,IF($MT41=0,"",INDEX($AA$2:$AA$11,$MT41)))</f>
        <v/>
      </c>
      <c r="PM41" s="152">
        <f>IF(OR($MN41=0,$MT41=0),"",IF(COUNTIF($MH41:$MK41,"Inescapável")&gt;0,"Automático",IF($PL41="Ataque",IF($MR41="","Ataque","Ataque "&amp;IF(($MR41+2*IF(COUNTIF($MH41:$MK41,"Precisão")&gt;0,1,0))&gt;=0,"+","−")&amp;ABS(($MR41+2*IF(COUNTIF($MH41:$MK41,"Precisão")&gt;0,1,0)))),IF(LEFT($PL41,2)="TR",$PL41&amp;IF($MS41="",""," · CD "&amp;$MS41)&amp;IF(COUNTIF($MH41:$MK41,"Certeiro")&gt;0," · metade",""),"Sem rolagem"))))</f>
        <v/>
      </c>
      <c r="PN41" s="152">
        <f>IF(OR($MN41=0,$MT41=0),"",IF($MC41=0,IF(OR($NP41&gt;=1,$OM41=0),"Sem dano",$OM41&amp;"d6"&amp;IF($MF41="",""," "&amp;$MF41)),IF(OR($NP41&gt;=1,$OM41=0),UPPER(LEFT(INDEX($OV41:$PB41,1,MAX(1,$MC41)),1))&amp;MID(INDEX($OV41:$PB41,1,MAX(1,$MC41)),2,99),UPPER(LEFT(INDEX($OV41:$PB41,1,MAX(1,$MC41)),1))&amp;MID(INDEX($OV41:$PB41,1,MAX(1,$MC41)),2,99)&amp;IF($MF41="",""," "&amp;$MF41)&amp;IF($ON41&gt;0," · +"&amp;$ON41&amp;"d8",""))))</f>
        <v/>
      </c>
      <c r="PO41" s="152">
        <f>COUNTIF($MH41:$MK41,"Longe")+3*COUNTIF($MH41:$MK41,"Muito Longe")</f>
        <v/>
      </c>
      <c r="PP41" s="152">
        <f>COUNTIF($MH41:$MK41,"Maior")+3*COUNTIF($MH41:$MK41,"Muito Maior")</f>
        <v/>
      </c>
      <c r="PQ41" s="152">
        <f>IF($MT41=0,0,CHOOSE(1+INDEX($AC$2:$AC$11,$MT41),0,$PO41,$PP41,$PO41+$PP41))</f>
        <v/>
      </c>
      <c r="PR41" s="152">
        <f>IF($MT41=0,0,CHOOSE(1+INDEX($AD$2:$AD$11,$MT41),0,$PO41,$PP41,$PO41+$PP41))</f>
        <v/>
      </c>
      <c r="PS41" s="152">
        <f>IF(OR($MN41=0,$MT41=0),"",INDEX($AI$2:$AN$41,($MT41-1)*4+IF($MC41=0,1,IF($MC41&lt;=5,2,IF($MC41=6,3,4))),1+MIN(5,$PQ41))&amp;INDEX($AO$2:$AT$41,($MT41-1)*4+IF($MC41=0,1,IF($MC41&lt;=5,2,IF($MC41=6,3,4))),1+MIN(5,$PR41))&amp;IF(INDEX($AE$2:$AE$11,$MT41)=1,IF(COUNTIF($MH41:$MK41,"Mais Um")&gt;0," · +"&amp;COUNTIF($MH41:$MK41,"Mais Um")&amp;IF(COUNTIF($MH41:$MK41,"Mais Um")&gt;1," alvos"," alvo"),"")&amp;IF(COUNTIF($MH41:$MK41,"Rajada")&gt;0,IF($MC41=0," · 1 tiro"," · "&amp;(MAX(1,$MC41-1)+1)&amp;" tiros"),""),""))</f>
        <v/>
      </c>
      <c r="PT41" s="152">
        <f>IF($MN41=0,"",IF($MC41=0,$MQ41&amp;"d6"&amp;IF($OD41&gt;0," − 1 = "&amp;$OM41&amp;"d6"," da básica do nível "&amp;$MO41),$OK41&amp;" − "&amp;$OF41&amp;" + "&amp;$OI41&amp;" = "&amp;$OL41&amp;" · teto "&amp;4*$MC41&amp;"d8"&amp;IF($NO41=1," · a Forma devolve "&amp;$MC41,"")&amp;IF($OJ41&gt;0," · perde "&amp;$OJ41,"")))</f>
        <v/>
      </c>
      <c r="PU41" s="152">
        <f>IF($MN41=0,"",IF($MC41=0,"A básica não amplia: os dados dela sobem com o nível",IF($MC41&gt;=$MP41,"Já está na maior Classe que o nível liberou",TEXTJOIN(" · ",TRUE,IF(AND(2&gt;$MC41,2&lt;=$MP41),"2 → "&amp;$OW41&amp;", 6 PE",""),IF(AND(3&gt;$MC41,3&lt;=$MP41),"3 → "&amp;$OX41&amp;", 9 PE",""),IF(AND(4&gt;$MC41,4&lt;=$MP41),"4 → "&amp;$OY41&amp;", 12 PE",""),IF(AND(5&gt;$MC41,5&lt;=$MP41),"5 → "&amp;$OZ41&amp;", 15 PE",""),IF(AND(6&gt;$MC41,6&lt;=$MP41),"6 → "&amp;$PA41&amp;", 18 PE",""),IF(AND(7&gt;$MC41,7&lt;=$MP41),"7 → "&amp;$PB41&amp;", 21 PE","")))))</f>
        <v/>
      </c>
      <c r="PV41" s="152">
        <f>IF(OR($MN41=0,$MY41=0),"",IF($MC41=0,"−1 dado","−"&amp;INDEX($I$2:$N$8,MAX(1,$MC41),MAX(1,$ND41))&amp;" · "&amp;CHOOSE(MAX(1,$ND41),"Leve","Média","Pesada","Leve · Livre","Média · Livre","Pesada · Livre")))</f>
        <v/>
      </c>
      <c r="PW41" s="152">
        <f>IF(OR($MN41=0,$MZ41=0),"",IF($MC41=0,"−1 dado","−"&amp;INDEX($I$2:$N$8,MAX(1,$MC41),MAX(1,$NE41))&amp;" · "&amp;CHOOSE(MAX(1,$NE41),"Leve","Média","Pesada","Leve · Livre","Média · Livre","Pesada · Livre")))</f>
        <v/>
      </c>
      <c r="PX41" s="152">
        <f>IF(OR($MN41=0,$NA41=0),"",IF($MC41=0,"−1 dado","−"&amp;INDEX($I$2:$N$8,MAX(1,$MC41),MAX(1,$NF41))&amp;" · "&amp;CHOOSE(MAX(1,$NF41),"Leve","Média","Pesada","Leve · Livre","Média · Livre","Pesada · Livre")))</f>
        <v/>
      </c>
      <c r="PY41" s="152">
        <f>IF(OR($MN41=0,$NB41=0),"",IF($MC41=0,"−1 dado","−"&amp;INDEX($I$2:$N$8,MAX(1,$MC41),MAX(1,$NG41))&amp;" · "&amp;CHOOSE(MAX(1,$NG41),"Leve","Média","Pesada","Leve · Livre","Média · Livre","Pesada · Livre")))</f>
        <v/>
      </c>
      <c r="PZ41" s="152">
        <f>IF(OR($MN41=0,$ML41=""),"",IF($MC41=0,"não devolve","+"&amp;IF($NR41=1,CEILING($MC41/2,1),$MC41)))</f>
        <v/>
      </c>
      <c r="QA41" s="152">
        <f>IF(OR($MN41=0,$MM41=""),"",IF($MC41=0,"não devolve","+"&amp;IF($NS41=1,CEILING($MC41/2,1),$MC41)))</f>
        <v/>
      </c>
    </row>
    <row r="42">
      <c r="AV42" s="150" t="inlineStr">
        <is>
          <t>Prende</t>
        </is>
      </c>
      <c r="AW42" s="150" t="inlineStr">
        <is>
          <t>Controle</t>
        </is>
      </c>
      <c r="AX42" s="152" t="n">
        <v>2</v>
      </c>
      <c r="AY42" s="152" t="n">
        <v>1</v>
      </c>
      <c r="AZ42" s="152" t="n">
        <v>0</v>
      </c>
      <c r="JD42" s="152">
        <f>IF(OR($AW42="",COUNTIF($ED$2:$EH$2,$AW42)&gt;0),$AV42,"")</f>
        <v/>
      </c>
      <c r="JE42" s="152">
        <f>IF(AND($AX42=1,OR($AW42="",COUNTIF($ED$2:$EH$2,$AW42)&gt;0)),$AV42,"")</f>
        <v/>
      </c>
      <c r="JJ42" s="152">
        <f>IF(OR($AW42="",COUNTIF($ED$3:$EH$3,$AW42)&gt;0),$AV42,"")</f>
        <v/>
      </c>
      <c r="JK42" s="152">
        <f>IF(AND($AX42=1,OR($AW42="",COUNTIF($ED$3:$EH$3,$AW42)&gt;0)),$AV42,"")</f>
        <v/>
      </c>
      <c r="JP42" s="152">
        <f>IF(OR($AW42="",COUNTIF($ED$4:$EH$4,$AW42)&gt;0),$AV42,"")</f>
        <v/>
      </c>
      <c r="JQ42" s="152">
        <f>IF(AND($AX42=1,OR($AW42="",COUNTIF($ED$4:$EH$4,$AW42)&gt;0)),$AV42,"")</f>
        <v/>
      </c>
      <c r="JV42" s="152">
        <f>IF(OR($AW42="",COUNTIF($ED$5:$EH$5,$AW42)&gt;0),$AV42,"")</f>
        <v/>
      </c>
      <c r="JW42" s="152">
        <f>IF(AND($AX42=1,OR($AW42="",COUNTIF($ED$5:$EH$5,$AW42)&gt;0)),$AV42,"")</f>
        <v/>
      </c>
      <c r="KB42" s="152">
        <f>IF(OR($AW42="",COUNTIF($ED$6:$EH$6,$AW42)&gt;0),$AV42,"")</f>
        <v/>
      </c>
      <c r="KC42" s="152">
        <f>IF(AND($AX42=1,OR($AW42="",COUNTIF($ED$6:$EH$6,$AW42)&gt;0)),$AV42,"")</f>
        <v/>
      </c>
      <c r="KH42" s="152">
        <f>IF(OR($AW42="",COUNTIF($ED$7:$EH$7,$AW42)&gt;0),$AV42,"")</f>
        <v/>
      </c>
      <c r="KI42" s="152">
        <f>IF(AND($AX42=1,OR($AW42="",COUNTIF($ED$7:$EH$7,$AW42)&gt;0)),$AV42,"")</f>
        <v/>
      </c>
      <c r="KN42" s="152">
        <f>IF(OR($AW42="",COUNTIF($ED$8:$EH$8,$AW42)&gt;0),$AV42,"")</f>
        <v/>
      </c>
      <c r="KO42" s="152">
        <f>IF(AND($AX42=1,OR($AW42="",COUNTIF($ED$8:$EH$8,$AW42)&gt;0)),$AV42,"")</f>
        <v/>
      </c>
      <c r="KT42" s="152">
        <f>IF(OR($AW42="",COUNTIF($ED$9:$EH$9,$AW42)&gt;0),$AV42,"")</f>
        <v/>
      </c>
      <c r="KU42" s="152">
        <f>IF(AND($AX42=1,OR($AW42="",COUNTIF($ED$9:$EH$9,$AW42)&gt;0)),$AV42,"")</f>
        <v/>
      </c>
      <c r="KZ42" s="152">
        <f>IF(OR($AW42="",COUNTIF($ED$10:$EH$10,$AW42)&gt;0),$AV42,"")</f>
        <v/>
      </c>
      <c r="LA42" s="152">
        <f>IF(AND($AX42=1,OR($AW42="",COUNTIF($ED$10:$EH$10,$AW42)&gt;0)),$AV42,"")</f>
        <v/>
      </c>
      <c r="LF42" s="152">
        <f>IF(OR($AW42="",COUNTIF($ED$11:$EH$11,$AW42)&gt;0),$AV42,"")</f>
        <v/>
      </c>
      <c r="LG42" s="152">
        <f>IF(AND($AX42=1,OR($AW42="",COUNTIF($ED$11:$EH$11,$AW42)&gt;0)),$AV42,"")</f>
        <v/>
      </c>
      <c r="LL42" s="152">
        <f>IF(OR($AW42="",COUNTIF($ED$12:$EH$12,$AW42)&gt;0),$AV42,"")</f>
        <v/>
      </c>
      <c r="LM42" s="152">
        <f>IF(AND($AX42=1,OR($AW42="",COUNTIF($ED$12:$EH$12,$AW42)&gt;0)),$AV42,"")</f>
        <v/>
      </c>
      <c r="LR42" s="152">
        <f>IF(OR($AW42="",COUNTIF($ED$13:$EH$13,$AW42)&gt;0),$AV42,"")</f>
        <v/>
      </c>
      <c r="LS42" s="152">
        <f>IF(AND($AX42=1,OR($AW42="",COUNTIF($ED$13:$EH$13,$AW42)&gt;0)),$AV42,"")</f>
        <v/>
      </c>
      <c r="LX42" s="150" t="inlineStr">
        <is>
          <t>Ficha 4 · Especial 1</t>
        </is>
      </c>
      <c r="LY42" s="152" t="n">
        <v>4</v>
      </c>
      <c r="LZ42" s="152" t="n">
        <v>1</v>
      </c>
      <c r="MA42" s="152" t="n">
        <v>1</v>
      </c>
      <c r="MB42" s="150" t="inlineStr">
        <is>
          <t>ESPECIAL 1</t>
        </is>
      </c>
      <c r="MC42" s="152">
        <f>MAX(1,MIN(7,N('INVOCAÇÕES'!$O$652)))</f>
        <v/>
      </c>
      <c r="MD42" s="152">
        <f>'INVOCAÇÕES'!$P$652&amp;""</f>
        <v/>
      </c>
      <c r="ME42" s="152">
        <f>'INVOCAÇÕES'!$O$657&amp;""</f>
        <v/>
      </c>
      <c r="MF42" s="152">
        <f>'INVOCAÇÕES'!$O$658&amp;""</f>
        <v/>
      </c>
      <c r="MG42" s="152">
        <f>'INVOCAÇÕES'!$Q$658&amp;""</f>
        <v/>
      </c>
      <c r="MH42" s="152">
        <f>'INVOCAÇÕES'!$P$661&amp;""</f>
        <v/>
      </c>
      <c r="MI42" s="152">
        <f>'INVOCAÇÕES'!$P$662&amp;""</f>
        <v/>
      </c>
      <c r="MJ42" s="152">
        <f>'INVOCAÇÕES'!$P$663&amp;""</f>
        <v/>
      </c>
      <c r="MK42" s="152">
        <f>'INVOCAÇÕES'!$P$664&amp;""</f>
        <v/>
      </c>
      <c r="ML42" s="152">
        <f>'INVOCAÇÕES'!$P$665&amp;""</f>
        <v/>
      </c>
      <c r="MM42" s="152">
        <f>'INVOCAÇÕES'!$P$666&amp;""</f>
        <v/>
      </c>
      <c r="MN42" s="152">
        <f>IF($MD42&lt;&gt;"",1,0)</f>
        <v/>
      </c>
      <c r="MO42" s="152">
        <f>INDEX($FG$2:$FG$13,$LY42)</f>
        <v/>
      </c>
      <c r="MP42" s="152">
        <f>INDEX($FH$2:$FH$13,$LY42)</f>
        <v/>
      </c>
      <c r="MQ42" s="152">
        <f>INDEX($FI$2:$FI$13,$LY42)</f>
        <v/>
      </c>
      <c r="MR42" s="152">
        <f>INDEX($FT$2:$FT$13,$LY42)</f>
        <v/>
      </c>
      <c r="MS42" s="152">
        <f>INDEX($FU$2:$FU$13,$LY42)</f>
        <v/>
      </c>
      <c r="MT42" s="152">
        <f>IFERROR(MATCH($ME42,$V$2:$V$11,0),0)</f>
        <v/>
      </c>
      <c r="MU42" s="152">
        <f>IFERROR(VLOOKUP($MH42,$AV$2:$AZ$84,2,FALSE),"")</f>
        <v/>
      </c>
      <c r="MV42" s="152">
        <f>IFERROR(VLOOKUP($MI42,$AV$2:$AZ$84,2,FALSE),"")</f>
        <v/>
      </c>
      <c r="MW42" s="152">
        <f>IFERROR(VLOOKUP($MJ42,$AV$2:$AZ$84,2,FALSE),"")</f>
        <v/>
      </c>
      <c r="MX42" s="152">
        <f>IFERROR(VLOOKUP($MK42,$AV$2:$AZ$84,2,FALSE),"")</f>
        <v/>
      </c>
      <c r="MY42" s="152">
        <f>IFERROR(VLOOKUP($MH42,$AV$2:$AZ$84,3,FALSE),0)</f>
        <v/>
      </c>
      <c r="MZ42" s="152">
        <f>IFERROR(VLOOKUP($MI42,$AV$2:$AZ$84,3,FALSE),0)</f>
        <v/>
      </c>
      <c r="NA42" s="152">
        <f>IFERROR(VLOOKUP($MJ42,$AV$2:$AZ$84,3,FALSE),0)</f>
        <v/>
      </c>
      <c r="NB42" s="152">
        <f>IFERROR(VLOOKUP($MK42,$AV$2:$AZ$84,3,FALSE),0)</f>
        <v/>
      </c>
      <c r="NC42" s="152">
        <f>IF($MC42=0,0,IF($MT42=0,0,INDEX($X$2:$X$11,$MT42)))</f>
        <v/>
      </c>
      <c r="ND42" s="152">
        <f>IF(OR($MY42=0,$MC42=0),0,$MY42+3*IF(AND($MU42&lt;&gt;"",OR($MU42=INDEX($ED$2:$ED$13,$LY42),$MU42=INDEX($EE$2:$EE$13,$LY42))),1,0))</f>
        <v/>
      </c>
      <c r="NE42" s="152">
        <f>IF(OR($MZ42=0,$MC42=0),0,$MZ42+3*IF(AND($MV42&lt;&gt;"",OR($MV42=INDEX($ED$2:$ED$13,$LY42),$MV42=INDEX($EE$2:$EE$13,$LY42))),1,0))</f>
        <v/>
      </c>
      <c r="NF42" s="152">
        <f>IF(OR($NA42=0,$MC42=0),0,$NA42+3*IF(AND($MW42&lt;&gt;"",OR($MW42=INDEX($ED$2:$ED$13,$LY42),$MW42=INDEX($EE$2:$EE$13,$LY42))),1,0))</f>
        <v/>
      </c>
      <c r="NG42" s="152">
        <f>IF(OR($NB42=0,$MC42=0),0,$NB42+3*IF(AND($MX42&lt;&gt;"",OR($MX42=INDEX($ED$2:$ED$13,$LY42),$MX42=INDEX($EE$2:$EE$13,$LY42))),1,0))</f>
        <v/>
      </c>
      <c r="NH42" s="152">
        <f>IF($MT42=0,0,IF(INDEX($W$2:$W$11,$MT42)="",0,IF(COUNTIF(INDEX($ED$2:$EH$13,$LY42,0),INDEX($W$2:$W$11,$MT42))=0,1,0)))</f>
        <v/>
      </c>
      <c r="NI42" s="152">
        <f>IF(OR($MY42=0,$MU42=""),0,IF(COUNTIF(INDEX($ED$2:$EH$13,$LY42,0),$MU42)=0,1,0))</f>
        <v/>
      </c>
      <c r="NJ42" s="152">
        <f>IF(OR($MZ42=0,$MV42=""),0,IF(COUNTIF(INDEX($ED$2:$EH$13,$LY42,0),$MV42)=0,1,0))</f>
        <v/>
      </c>
      <c r="NK42" s="152">
        <f>IF(OR($NA42=0,$MW42=""),0,IF(COUNTIF(INDEX($ED$2:$EH$13,$LY42,0),$MW42)=0,1,0))</f>
        <v/>
      </c>
      <c r="NL42" s="152">
        <f>IF(OR($NB42=0,$MX42=""),0,IF(COUNTIF(INDEX($ED$2:$EH$13,$LY42,0),$MX42)=0,1,0))</f>
        <v/>
      </c>
      <c r="NM42" s="152">
        <f>IFERROR(VLOOKUP($MH42,$AV$2:$AZ$84,4,FALSE),0)+IFERROR(VLOOKUP($MI42,$AV$2:$AZ$84,4,FALSE),0)+IFERROR(VLOOKUP($MJ42,$AV$2:$AZ$84,4,FALSE),0)+IFERROR(VLOOKUP($MK42,$AV$2:$AZ$84,4,FALSE),0)</f>
        <v/>
      </c>
      <c r="NN42" s="152">
        <f>TEXTJOIN(", ",TRUE,IF(IFERROR(VLOOKUP($MH42,$AV$2:$AZ$84,5,FALSE),0)=1,$MH42,""),IF(IFERROR(VLOOKUP($MI42,$AV$2:$AZ$84,5,FALSE),0)=1,$MI42,""),IF(IFERROR(VLOOKUP($MJ42,$AV$2:$AZ$84,5,FALSE),0)=1,$MJ42,""),IF(IFERROR(VLOOKUP($MK42,$AV$2:$AZ$84,5,FALSE),0)=1,$MK42,""))</f>
        <v/>
      </c>
      <c r="NO42" s="152">
        <f>IF($MT42=0,0,INDEX($Y$2:$Y$11,$MT42))</f>
        <v/>
      </c>
      <c r="NP42" s="152">
        <f>IF($MT42=0,0,INDEX($Z$2:$Z$11,$MT42))</f>
        <v/>
      </c>
      <c r="NQ42" s="152">
        <f>IF($MT42=0,0,INDEX($AB$2:$AB$11,$MT42))</f>
        <v/>
      </c>
      <c r="NR42" s="152">
        <f>IFERROR(VLOOKUP($ML42,$BB$2:$BF$24,3,FALSE),0)</f>
        <v/>
      </c>
      <c r="NS42" s="152">
        <f>IFERROR(VLOOKUP($MM42,$BB$2:$BF$24,3,FALSE),0)</f>
        <v/>
      </c>
      <c r="NT42" s="152">
        <f>IFERROR(VLOOKUP($ML42,$BB$2:$BF$24,2,FALSE),"")</f>
        <v/>
      </c>
      <c r="NU42" s="152">
        <f>IFERROR(VLOOKUP($MM42,$BB$2:$BF$24,2,FALSE),"")</f>
        <v/>
      </c>
      <c r="NV42" s="152">
        <f>COUNTIF($NC42:$NG42,1)</f>
        <v/>
      </c>
      <c r="NW42" s="152">
        <f>COUNTIF($NC42:$NG42,2)</f>
        <v/>
      </c>
      <c r="NX42" s="152">
        <f>COUNTIF($NC42:$NG42,3)</f>
        <v/>
      </c>
      <c r="NY42" s="152">
        <f>COUNTIF($NC42:$NG42,4)</f>
        <v/>
      </c>
      <c r="NZ42" s="152">
        <f>COUNTIF($NC42:$NG42,5)</f>
        <v/>
      </c>
      <c r="OA42" s="152">
        <f>COUNTIF($NC42:$NG42,6)</f>
        <v/>
      </c>
      <c r="OB42" s="152">
        <f>COUNTIF($NR42:$NS42,1)</f>
        <v/>
      </c>
      <c r="OC42" s="152">
        <f>COUNTIF($NR42:$NS42,2)+$NO42</f>
        <v/>
      </c>
      <c r="OD42" s="152">
        <f>COUNTIF($MH42:$MK42,"?*")</f>
        <v/>
      </c>
      <c r="OE42" s="152">
        <f>COUNTIF($ML42:$MM42,"?*")+$NO42</f>
        <v/>
      </c>
      <c r="OF42" s="152">
        <f>IF($MC42=0,0,SUMPRODUCT($NV42:$OA42,INDEX($I$2:$N$8,MAX(1,$MC42),0)))</f>
        <v/>
      </c>
      <c r="OG42" s="152">
        <f>IF($MC42=0,0,$OB42*CEILING($MC42/2,1)+$OC42*$MC42)</f>
        <v/>
      </c>
      <c r="OH42" s="152">
        <f>MIN(2*$MC42,$OG42)</f>
        <v/>
      </c>
      <c r="OI42" s="152">
        <f>MIN($OH42,$OF42)</f>
        <v/>
      </c>
      <c r="OJ42" s="152">
        <f>$OH42-$OI42</f>
        <v/>
      </c>
      <c r="OK42" s="152">
        <f>IF($MC42=0,0,INDEX($P$2:$P$8,MAX(1,$MC42)))</f>
        <v/>
      </c>
      <c r="OL42" s="152">
        <f>$OK42-$OF42+$OI42</f>
        <v/>
      </c>
      <c r="OM42" s="152">
        <f>IF($MC42=0,MAX(0,$MQ42-IF($OD42&gt;0,1,0)),MAX(0,$OL42))</f>
        <v/>
      </c>
      <c r="ON42" s="152">
        <f>IF($MC42=0,0,(IF(COUNTIF($MH42:$MK42,"Salto")&gt;0,1,0)+IF(COUNTIF($MH42:$MK42,"Queima")&gt;0,1,0)+IF(COUNTIF($MH42:$MK42,"Estilhaço")&gt;0,1,0))*FLOOR($OM42/2,1))</f>
        <v/>
      </c>
      <c r="OO42" s="152">
        <f>MAX(0,2-SUMPRODUCT($NV42:$OA42,$I$2:$N$2)+MIN(2,$OB42*1+$OC42*1,SUMPRODUCT($NV42:$OA42,$I$2:$N$2)))</f>
        <v/>
      </c>
      <c r="OP42" s="152">
        <f>MAX(0,4-SUMPRODUCT($NV42:$OA42,$I$3:$N$3)+MIN(4,$OB42*1+$OC42*2,SUMPRODUCT($NV42:$OA42,$I$3:$N$3)))</f>
        <v/>
      </c>
      <c r="OQ42" s="152">
        <f>MAX(0,6-SUMPRODUCT($NV42:$OA42,$I$4:$N$4)+MIN(6,$OB42*2+$OC42*3,SUMPRODUCT($NV42:$OA42,$I$4:$N$4)))</f>
        <v/>
      </c>
      <c r="OR42" s="152">
        <f>MAX(0,9-SUMPRODUCT($NV42:$OA42,$I$5:$N$5)+MIN(8,$OB42*2+$OC42*4,SUMPRODUCT($NV42:$OA42,$I$5:$N$5)))</f>
        <v/>
      </c>
      <c r="OS42" s="152">
        <f>MAX(0,11-SUMPRODUCT($NV42:$OA42,$I$6:$N$6)+MIN(10,$OB42*3+$OC42*5,SUMPRODUCT($NV42:$OA42,$I$6:$N$6)))</f>
        <v/>
      </c>
      <c r="OT42" s="152">
        <f>MAX(0,13-SUMPRODUCT($NV42:$OA42,$I$7:$N$7)+MIN(12,$OB42*3+$OC42*6,SUMPRODUCT($NV42:$OA42,$I$7:$N$7)))</f>
        <v/>
      </c>
      <c r="OU42" s="152">
        <f>MAX(0,16-SUMPRODUCT($NV42:$OA42,$I$8:$N$8)+MIN(14,$OB42*4+$OC42*7,SUMPRODUCT($NV42:$OA42,$I$8:$N$8)))</f>
        <v/>
      </c>
      <c r="OV42" s="152">
        <f>IF($NP42=2,3*$OO42&amp;" de vida temp.",IF($NP42=3,"sem dano",IF($OO42=0,IF($NP42=1,"sem cura","sem dano"),IF($NP42=1,"cura ","")&amp;$OO42&amp;"d8")))</f>
        <v/>
      </c>
      <c r="OW42" s="152">
        <f>IF($NP42=2,3*$OP42&amp;" de vida temp.",IF($NP42=3,"sem dano",IF($OP42=0,IF($NP42=1,"sem cura","sem dano"),IF($NP42=1,"cura ","")&amp;$OP42&amp;"d8")))</f>
        <v/>
      </c>
      <c r="OX42" s="152">
        <f>IF($NP42=2,3*$OQ42&amp;" de vida temp.",IF($NP42=3,"sem dano",IF($OQ42=0,IF($NP42=1,"sem cura","sem dano"),IF($NP42=1,"cura ","")&amp;$OQ42&amp;"d8")))</f>
        <v/>
      </c>
      <c r="OY42" s="152">
        <f>IF($NP42=2,3*$OR42&amp;" de vida temp.",IF($NP42=3,"sem dano",IF($OR42=0,IF($NP42=1,"sem cura","sem dano"),IF($NP42=1,"cura ","")&amp;$OR42&amp;"d8")))</f>
        <v/>
      </c>
      <c r="OZ42" s="152">
        <f>IF($NP42=2,3*$OS42&amp;" de vida temp.",IF($NP42=3,"sem dano",IF($OS42=0,IF($NP42=1,"sem cura","sem dano"),IF($NP42=1,"cura ","")&amp;$OS42&amp;"d8")))</f>
        <v/>
      </c>
      <c r="PA42" s="152">
        <f>IF($NP42=2,3*$OT42&amp;" de vida temp.",IF($NP42=3,"sem dano",IF($OT42=0,IF($NP42=1,"sem cura","sem dano"),IF($NP42=1,"cura ","")&amp;$OT42&amp;"d8")))</f>
        <v/>
      </c>
      <c r="PB42" s="152">
        <f>IF($NP42=2,3*$OU42&amp;" de vida temp.",IF($NP42=3,"sem dano",IF($OU42=0,IF($NP42=1,"sem cura","sem dano"),IF($NP42=1,"cura ","")&amp;$OU42&amp;"d8")))</f>
        <v/>
      </c>
      <c r="PC42" s="152">
        <f>IF($MN42=0,"",TEXTJOIN(" · ",TRUE,IF($MA42&gt;$MO42,"Este lugar abre no nível "&amp;$MA42,""),IF($MC42&gt;$MP42,"Classe "&amp;$MC42&amp;": o nível "&amp;$MO42&amp;" libera até a "&amp;$MP42,""),IF($NH42=1,"A Forma "&amp;$ME42&amp;" pede "&amp;INDEX($W$2:$W$11,$MT42)&amp;" aberta",""),IF(AND($MC42=0,$MT42&gt;0,IF($MT42=0,0,INDEX($AF$2:$AF$11,$MT42))=0),$ME42&amp;" não existe na Classe 0",""),IF($NI42=1,"Família Fechada: "&amp;$MH42,""),IF($NJ42=1,"Família Fechada: "&amp;$MI42,""),IF($NK42=1,"Família Fechada: "&amp;$MJ42,""),IF($NL42=1,"Família Fechada: "&amp;$MK42,""),IF(AND($MC42&gt;0,$OD42&gt;INDEX($O$2:$O$8,MAX(1,$MC42))),$OD42&amp;" Melhorias: a Classe "&amp;$MC42&amp;" aceita "&amp;INDEX($O$2:$O$8,MAX(1,$MC42)),""),IF(AND($MC42=0,$OD42&gt;1),"A básica aceita uma Melhoria",""),IF(AND($MC42=0,COUNTIF($MY42:$NB42,"&gt;1")&gt;0),"A básica só aceita Melhoria Leve",""),IF(AND($MC42&gt;0,$OE42&gt;2),$OE42&amp;" Restrições"&amp;IF($NO42=1,", contando a que a Forma "&amp;$ME42&amp;" já traz","")&amp;": o limite é 2",""),IF(AND($MC42=0,COUNTIF($ML42:$MM42,"?*")&gt;1),"A básica aceita uma Restrição Leve",""),IF(AND($MC42=0,COUNTIF($NR42:$NS42,2)&gt;0),"A básica só aceita Restrição Leve",""),IF(AND($MC42&gt;0,$OL42&lt;0),"Orçamento estourado: faltam "&amp;(-$OL42)&amp;IF($OL42&lt;-1," pontos"," ponto"),""),IF(IFERROR(VLOOKUP($ML42,$BB$2:$BF$24,4,FALSE),0)+IFERROR(VLOOKUP($MM42,$BB$2:$BF$24,4,FALSE),0)&gt;1,$NT42&amp;" e "&amp;$NU42&amp;" são as duas de frequência",""),IF(AND((COUNTIF($MH42:$MK42,"Rápido")+COUNTIF($NT42:$NU42,"Rápido"))&gt;0,(COUNTIF($MH42:$MK42,"Atrasar")+COUNTIF($NT42:$NU42,"Atrasar"))&gt;0),"Rápido não entra com Atrasar",""),IF(AND((COUNTIF($MH42:$MK42,"Reação")+COUNTIF($NT42:$NU42,"Reação"))&gt;0,(COUNTIF($MH42:$MK42,"Rápido")+COUNTIF($NT42:$NU42,"Rápido"))&gt;0),"Reação não entra com Rápido",""),IF(AND((COUNTIF($MH42:$MK42,"Reação")+COUNTIF($NT42:$NU42,"Reação"))&gt;0,(COUNTIF($MH42:$MK42,"Armado")+COUNTIF($NT42:$NU42,"Armado"))&gt;0),"Reação não entra com Armado",""),IF(AND((COUNTIF($MH42:$MK42,"Reação")+COUNTIF($NT42:$NU42,"Reação"))&gt;0,(COUNTIF($MH42:$MK42,"Atrasar")+COUNTIF($NT42:$NU42,"Atrasar"))&gt;0),"Reação não entra com Atrasar",""),IF(AND((COUNTIF($MH42:$MK42,"Reação")+COUNTIF($NT42:$NU42,"Reação"))&gt;0,(COUNTIF($MH42:$MK42,"Parado")+COUNTIF($NT42:$NU42,"Parado"))&gt;0),"Reação não entra com Parado",""),IF(AND((COUNTIF($MH42:$MK42,"Atrasar")+COUNTIF($NT42:$NU42,"Atrasar"))&gt;0,(COUNTIF($MH42:$MK42,"Parado")+COUNTIF($NT42:$NU42,"Parado"))&gt;0),"Atrasar não entra com Parado",""),IF(AND((COUNTIF($MH42:$MK42,"Armado")+COUNTIF($NT42:$NU42,"Armado"))&gt;0,(COUNTIF($MH42:$MK42,"Carregar")+COUNTIF($NT42:$NU42,"Carregar"))&gt;0),"Armado não entra com Carregar",""),IF(AND(COUNTIF($NT42:$NU42,"Corpo a Corpo")&gt;0,$NO42=0,OR($ME42="Cone",$ME42="Linha")),"Corpo a Corpo não entra em "&amp;$ME42,""),IF(AND(COUNTIF($NT42:$NU42,"Corpo a Corpo")&gt;0,$NO42=1),"A Forma "&amp;$ME42&amp;" já traz o Corpo a Corpo",""),IF(AND(COUNTIF($NT42:$NU42,"Tudo ou Nada")&gt;0,$NQ42=0),"Tudo ou Nada só entra em habilidade de Teste de Resistência",""),IF(AND(COUNTIF($MH42:$MK42,"Inescapável")&gt;0,OR($OD42&gt;1,$OE42&gt;0)),"Inescapável não aceita outra peça",""),IF(AND($MC42&gt;0,$OM42*IF(COUNTIF($MH42:$MK42,"Remate")&gt;0,1.25,1)+$ON42&gt;4*$MC42),($OM42*IF(COUNTIF($MH42:$MK42,"Remate")&gt;0,1.25,1)+$ON42)&amp;" dados somando repetições"&amp;IF(COUNTIF($MH42:$MK42,"Remate")&gt;0," e o Remate","")&amp;": o teto da Classe "&amp;$MC42&amp;" é "&amp;4*$MC42,"")))</f>
        <v/>
      </c>
      <c r="PD42" s="152">
        <f>IF($PC42="",0,(LEN($PC42)-LEN(SUBSTITUTE($PC42," · ","")))/3+1)</f>
        <v/>
      </c>
      <c r="PE42" s="152">
        <f>IF($MN42=0,"",TEXTJOIN(" · ",TRUE,IF($OG42&gt;2*$MC42,"A devolução parou no teto de "&amp;2*$MC42,""),IF($OJ42&gt;0,"Devolução perdida: "&amp;$OJ42&amp;IF($OJ42&gt;1," pontos"," ponto")&amp;" sem peça para pagar",""),IF(AND($NM42&gt;0,AND($MC42&gt;0,$NP42=0),$OM42=0),"Controle sem dano: uma rodada a mais e CD +2",""),IF(AND($NM42&gt;0,AND($MC42&gt;0,$NP42=0),$OM42&gt;0,$OM42&lt;=$MC42),"Controle com saldo até a Classe: uma rodada a mais",""),IF(AND($MC42&gt;0,$NN42&lt;&gt;""),"Efeito de "&amp;$NN42&amp;" pela Classe "&amp;MAX(1,$MC42-1),"")))</f>
        <v/>
      </c>
      <c r="PF42" s="152">
        <f>IF($PE42="",0,(LEN($PE42)-LEN(SUBSTITUTE($PE42," · ","")))/3+1)</f>
        <v/>
      </c>
      <c r="PG42" s="152">
        <f>IF($MN42=0,IF($OD42+COUNTIF($ML42:$MM42,"?*")&gt;0,"Dê um nome",""),IF($PD42&gt;0,"⚠ "&amp;$PD42&amp;IF($PD42&gt;1," erros"," erro"),IF($PF42&gt;0,"! "&amp;$PF42&amp;IF($PF42&gt;1," avisos"," aviso"),"Na regra")))</f>
        <v/>
      </c>
      <c r="PH42" s="152">
        <f>IF($MN42=0,"",IF($PD42+$PF42=0,"Dentro das regras que a ficha confere",$PC42&amp;IF(AND($PD42&gt;0,$PF42&gt;0)," · ","")&amp;$PE42))</f>
        <v/>
      </c>
      <c r="PI42" s="152">
        <f>IF($MA42&gt;$MO42,$MB42&amp;" · ABRE NO NÍVEL "&amp;$MA42,$MB42)</f>
        <v/>
      </c>
      <c r="PJ42" s="152">
        <f>IF($MN42=0,"",IF($MC42=0,"Sem PE",3*$MC42&amp;" PE"))</f>
        <v/>
      </c>
      <c r="PK42" s="152">
        <f>IF($MN42=0,"",IF($MC42=0,"A atuação básica dela",IF(COUNTIF($NT42:$NU42,"Atrasar")&gt;0,"Sua Ação Completa",IF(COUNTIF($MH42:$MK42,"Rápido")&gt;0,"Sua Bônus",IF(COUNTIF($MH42:$MK42,"Reação")&gt;0,"Sua Reação","Sua Padrão")))&amp;" + a básica dela"&amp;IF(COUNTIF($MH42:$MK42,"Reação")&gt;0," e a coletiva","")&amp;IF(COUNTIF($NT42:$NU42,"Carregar")&gt;0," · em dois turnos","")))</f>
        <v/>
      </c>
      <c r="PL42" s="152">
        <f>IF($MG42&lt;&gt;"",$MG42,IF($MT42=0,"",INDEX($AA$2:$AA$11,$MT42)))</f>
        <v/>
      </c>
      <c r="PM42" s="152">
        <f>IF(OR($MN42=0,$MT42=0),"",IF(COUNTIF($MH42:$MK42,"Inescapável")&gt;0,"Automático",IF($PL42="Ataque",IF($MR42="","Ataque","Ataque "&amp;IF(($MR42+2*IF(COUNTIF($MH42:$MK42,"Precisão")&gt;0,1,0))&gt;=0,"+","−")&amp;ABS(($MR42+2*IF(COUNTIF($MH42:$MK42,"Precisão")&gt;0,1,0)))),IF(LEFT($PL42,2)="TR",$PL42&amp;IF($MS42="",""," · CD "&amp;$MS42)&amp;IF(COUNTIF($MH42:$MK42,"Certeiro")&gt;0," · metade",""),"Sem rolagem"))))</f>
        <v/>
      </c>
      <c r="PN42" s="152">
        <f>IF(OR($MN42=0,$MT42=0),"",IF($MC42=0,IF(OR($NP42&gt;=1,$OM42=0),"Sem dano",$OM42&amp;"d6"&amp;IF($MF42="",""," "&amp;$MF42)),IF(OR($NP42&gt;=1,$OM42=0),UPPER(LEFT(INDEX($OV42:$PB42,1,MAX(1,$MC42)),1))&amp;MID(INDEX($OV42:$PB42,1,MAX(1,$MC42)),2,99),UPPER(LEFT(INDEX($OV42:$PB42,1,MAX(1,$MC42)),1))&amp;MID(INDEX($OV42:$PB42,1,MAX(1,$MC42)),2,99)&amp;IF($MF42="",""," "&amp;$MF42)&amp;IF($ON42&gt;0," · +"&amp;$ON42&amp;"d8",""))))</f>
        <v/>
      </c>
      <c r="PO42" s="152">
        <f>COUNTIF($MH42:$MK42,"Longe")+3*COUNTIF($MH42:$MK42,"Muito Longe")</f>
        <v/>
      </c>
      <c r="PP42" s="152">
        <f>COUNTIF($MH42:$MK42,"Maior")+3*COUNTIF($MH42:$MK42,"Muito Maior")</f>
        <v/>
      </c>
      <c r="PQ42" s="152">
        <f>IF($MT42=0,0,CHOOSE(1+INDEX($AC$2:$AC$11,$MT42),0,$PO42,$PP42,$PO42+$PP42))</f>
        <v/>
      </c>
      <c r="PR42" s="152">
        <f>IF($MT42=0,0,CHOOSE(1+INDEX($AD$2:$AD$11,$MT42),0,$PO42,$PP42,$PO42+$PP42))</f>
        <v/>
      </c>
      <c r="PS42" s="152">
        <f>IF(OR($MN42=0,$MT42=0),"",INDEX($AI$2:$AN$41,($MT42-1)*4+IF($MC42=0,1,IF($MC42&lt;=5,2,IF($MC42=6,3,4))),1+MIN(5,$PQ42))&amp;INDEX($AO$2:$AT$41,($MT42-1)*4+IF($MC42=0,1,IF($MC42&lt;=5,2,IF($MC42=6,3,4))),1+MIN(5,$PR42))&amp;IF(INDEX($AE$2:$AE$11,$MT42)=1,IF(COUNTIF($MH42:$MK42,"Mais Um")&gt;0," · +"&amp;COUNTIF($MH42:$MK42,"Mais Um")&amp;IF(COUNTIF($MH42:$MK42,"Mais Um")&gt;1," alvos"," alvo"),"")&amp;IF(COUNTIF($MH42:$MK42,"Rajada")&gt;0,IF($MC42=0," · 1 tiro"," · "&amp;(MAX(1,$MC42-1)+1)&amp;" tiros"),""),""))</f>
        <v/>
      </c>
      <c r="PT42" s="152">
        <f>IF($MN42=0,"",IF($MC42=0,$MQ42&amp;"d6"&amp;IF($OD42&gt;0," − 1 = "&amp;$OM42&amp;"d6"," da básica do nível "&amp;$MO42),$OK42&amp;" − "&amp;$OF42&amp;" + "&amp;$OI42&amp;" = "&amp;$OL42&amp;" · teto "&amp;4*$MC42&amp;"d8"&amp;IF($NO42=1," · a Forma devolve "&amp;$MC42,"")&amp;IF($OJ42&gt;0," · perde "&amp;$OJ42,"")))</f>
        <v/>
      </c>
      <c r="PU42" s="152">
        <f>IF($MN42=0,"",IF($MC42=0,"A básica não amplia: os dados dela sobem com o nível",IF($MC42&gt;=$MP42,"Já está na maior Classe que o nível liberou",TEXTJOIN(" · ",TRUE,IF(AND(2&gt;$MC42,2&lt;=$MP42),"2 → "&amp;$OW42&amp;", 6 PE",""),IF(AND(3&gt;$MC42,3&lt;=$MP42),"3 → "&amp;$OX42&amp;", 9 PE",""),IF(AND(4&gt;$MC42,4&lt;=$MP42),"4 → "&amp;$OY42&amp;", 12 PE",""),IF(AND(5&gt;$MC42,5&lt;=$MP42),"5 → "&amp;$OZ42&amp;", 15 PE",""),IF(AND(6&gt;$MC42,6&lt;=$MP42),"6 → "&amp;$PA42&amp;", 18 PE",""),IF(AND(7&gt;$MC42,7&lt;=$MP42),"7 → "&amp;$PB42&amp;", 21 PE","")))))</f>
        <v/>
      </c>
      <c r="PV42" s="152">
        <f>IF(OR($MN42=0,$MY42=0),"",IF($MC42=0,"−1 dado","−"&amp;INDEX($I$2:$N$8,MAX(1,$MC42),MAX(1,$ND42))&amp;" · "&amp;CHOOSE(MAX(1,$ND42),"Leve","Média","Pesada","Leve · Livre","Média · Livre","Pesada · Livre")))</f>
        <v/>
      </c>
      <c r="PW42" s="152">
        <f>IF(OR($MN42=0,$MZ42=0),"",IF($MC42=0,"−1 dado","−"&amp;INDEX($I$2:$N$8,MAX(1,$MC42),MAX(1,$NE42))&amp;" · "&amp;CHOOSE(MAX(1,$NE42),"Leve","Média","Pesada","Leve · Livre","Média · Livre","Pesada · Livre")))</f>
        <v/>
      </c>
      <c r="PX42" s="152">
        <f>IF(OR($MN42=0,$NA42=0),"",IF($MC42=0,"−1 dado","−"&amp;INDEX($I$2:$N$8,MAX(1,$MC42),MAX(1,$NF42))&amp;" · "&amp;CHOOSE(MAX(1,$NF42),"Leve","Média","Pesada","Leve · Livre","Média · Livre","Pesada · Livre")))</f>
        <v/>
      </c>
      <c r="PY42" s="152">
        <f>IF(OR($MN42=0,$NB42=0),"",IF($MC42=0,"−1 dado","−"&amp;INDEX($I$2:$N$8,MAX(1,$MC42),MAX(1,$NG42))&amp;" · "&amp;CHOOSE(MAX(1,$NG42),"Leve","Média","Pesada","Leve · Livre","Média · Livre","Pesada · Livre")))</f>
        <v/>
      </c>
      <c r="PZ42" s="152">
        <f>IF(OR($MN42=0,$ML42=""),"",IF($MC42=0,"não devolve","+"&amp;IF($NR42=1,CEILING($MC42/2,1),$MC42)))</f>
        <v/>
      </c>
      <c r="QA42" s="152">
        <f>IF(OR($MN42=0,$MM42=""),"",IF($MC42=0,"não devolve","+"&amp;IF($NS42=1,CEILING($MC42/2,1),$MC42)))</f>
        <v/>
      </c>
    </row>
    <row r="43">
      <c r="AV43" s="150" t="inlineStr">
        <is>
          <t>Puxa</t>
        </is>
      </c>
      <c r="AW43" s="150" t="inlineStr">
        <is>
          <t>Controle</t>
        </is>
      </c>
      <c r="AX43" s="152" t="n">
        <v>2</v>
      </c>
      <c r="AY43" s="152" t="n">
        <v>1</v>
      </c>
      <c r="AZ43" s="152" t="n">
        <v>0</v>
      </c>
      <c r="JD43" s="152">
        <f>IF(OR($AW43="",COUNTIF($ED$2:$EH$2,$AW43)&gt;0),$AV43,"")</f>
        <v/>
      </c>
      <c r="JE43" s="152">
        <f>IF(AND($AX43=1,OR($AW43="",COUNTIF($ED$2:$EH$2,$AW43)&gt;0)),$AV43,"")</f>
        <v/>
      </c>
      <c r="JJ43" s="152">
        <f>IF(OR($AW43="",COUNTIF($ED$3:$EH$3,$AW43)&gt;0),$AV43,"")</f>
        <v/>
      </c>
      <c r="JK43" s="152">
        <f>IF(AND($AX43=1,OR($AW43="",COUNTIF($ED$3:$EH$3,$AW43)&gt;0)),$AV43,"")</f>
        <v/>
      </c>
      <c r="JP43" s="152">
        <f>IF(OR($AW43="",COUNTIF($ED$4:$EH$4,$AW43)&gt;0),$AV43,"")</f>
        <v/>
      </c>
      <c r="JQ43" s="152">
        <f>IF(AND($AX43=1,OR($AW43="",COUNTIF($ED$4:$EH$4,$AW43)&gt;0)),$AV43,"")</f>
        <v/>
      </c>
      <c r="JV43" s="152">
        <f>IF(OR($AW43="",COUNTIF($ED$5:$EH$5,$AW43)&gt;0),$AV43,"")</f>
        <v/>
      </c>
      <c r="JW43" s="152">
        <f>IF(AND($AX43=1,OR($AW43="",COUNTIF($ED$5:$EH$5,$AW43)&gt;0)),$AV43,"")</f>
        <v/>
      </c>
      <c r="KB43" s="152">
        <f>IF(OR($AW43="",COUNTIF($ED$6:$EH$6,$AW43)&gt;0),$AV43,"")</f>
        <v/>
      </c>
      <c r="KC43" s="152">
        <f>IF(AND($AX43=1,OR($AW43="",COUNTIF($ED$6:$EH$6,$AW43)&gt;0)),$AV43,"")</f>
        <v/>
      </c>
      <c r="KH43" s="152">
        <f>IF(OR($AW43="",COUNTIF($ED$7:$EH$7,$AW43)&gt;0),$AV43,"")</f>
        <v/>
      </c>
      <c r="KI43" s="152">
        <f>IF(AND($AX43=1,OR($AW43="",COUNTIF($ED$7:$EH$7,$AW43)&gt;0)),$AV43,"")</f>
        <v/>
      </c>
      <c r="KN43" s="152">
        <f>IF(OR($AW43="",COUNTIF($ED$8:$EH$8,$AW43)&gt;0),$AV43,"")</f>
        <v/>
      </c>
      <c r="KO43" s="152">
        <f>IF(AND($AX43=1,OR($AW43="",COUNTIF($ED$8:$EH$8,$AW43)&gt;0)),$AV43,"")</f>
        <v/>
      </c>
      <c r="KT43" s="152">
        <f>IF(OR($AW43="",COUNTIF($ED$9:$EH$9,$AW43)&gt;0),$AV43,"")</f>
        <v/>
      </c>
      <c r="KU43" s="152">
        <f>IF(AND($AX43=1,OR($AW43="",COUNTIF($ED$9:$EH$9,$AW43)&gt;0)),$AV43,"")</f>
        <v/>
      </c>
      <c r="KZ43" s="152">
        <f>IF(OR($AW43="",COUNTIF($ED$10:$EH$10,$AW43)&gt;0),$AV43,"")</f>
        <v/>
      </c>
      <c r="LA43" s="152">
        <f>IF(AND($AX43=1,OR($AW43="",COUNTIF($ED$10:$EH$10,$AW43)&gt;0)),$AV43,"")</f>
        <v/>
      </c>
      <c r="LF43" s="152">
        <f>IF(OR($AW43="",COUNTIF($ED$11:$EH$11,$AW43)&gt;0),$AV43,"")</f>
        <v/>
      </c>
      <c r="LG43" s="152">
        <f>IF(AND($AX43=1,OR($AW43="",COUNTIF($ED$11:$EH$11,$AW43)&gt;0)),$AV43,"")</f>
        <v/>
      </c>
      <c r="LL43" s="152">
        <f>IF(OR($AW43="",COUNTIF($ED$12:$EH$12,$AW43)&gt;0),$AV43,"")</f>
        <v/>
      </c>
      <c r="LM43" s="152">
        <f>IF(AND($AX43=1,OR($AW43="",COUNTIF($ED$12:$EH$12,$AW43)&gt;0)),$AV43,"")</f>
        <v/>
      </c>
      <c r="LR43" s="152">
        <f>IF(OR($AW43="",COUNTIF($ED$13:$EH$13,$AW43)&gt;0),$AV43,"")</f>
        <v/>
      </c>
      <c r="LS43" s="152">
        <f>IF(AND($AX43=1,OR($AW43="",COUNTIF($ED$13:$EH$13,$AW43)&gt;0)),$AV43,"")</f>
        <v/>
      </c>
      <c r="LX43" s="150" t="inlineStr">
        <is>
          <t>Ficha 4 · Especial 2</t>
        </is>
      </c>
      <c r="LY43" s="152" t="n">
        <v>4</v>
      </c>
      <c r="LZ43" s="152" t="n">
        <v>1</v>
      </c>
      <c r="MA43" s="152" t="n">
        <v>4</v>
      </c>
      <c r="MB43" s="150" t="inlineStr">
        <is>
          <t>ESPECIAL 2</t>
        </is>
      </c>
      <c r="MC43" s="152">
        <f>MAX(1,MIN(7,N('INVOCAÇÕES'!$U$652)))</f>
        <v/>
      </c>
      <c r="MD43" s="152">
        <f>'INVOCAÇÕES'!$V$652&amp;""</f>
        <v/>
      </c>
      <c r="ME43" s="152">
        <f>'INVOCAÇÕES'!$U$657&amp;""</f>
        <v/>
      </c>
      <c r="MF43" s="152">
        <f>'INVOCAÇÕES'!$U$658&amp;""</f>
        <v/>
      </c>
      <c r="MG43" s="152">
        <f>'INVOCAÇÕES'!$W$658&amp;""</f>
        <v/>
      </c>
      <c r="MH43" s="152">
        <f>'INVOCAÇÕES'!$V$661&amp;""</f>
        <v/>
      </c>
      <c r="MI43" s="152">
        <f>'INVOCAÇÕES'!$V$662&amp;""</f>
        <v/>
      </c>
      <c r="MJ43" s="152">
        <f>'INVOCAÇÕES'!$V$663&amp;""</f>
        <v/>
      </c>
      <c r="MK43" s="152">
        <f>'INVOCAÇÕES'!$V$664&amp;""</f>
        <v/>
      </c>
      <c r="ML43" s="152">
        <f>'INVOCAÇÕES'!$V$665&amp;""</f>
        <v/>
      </c>
      <c r="MM43" s="152">
        <f>'INVOCAÇÕES'!$V$666&amp;""</f>
        <v/>
      </c>
      <c r="MN43" s="152">
        <f>IF($MD43&lt;&gt;"",1,0)</f>
        <v/>
      </c>
      <c r="MO43" s="152">
        <f>INDEX($FG$2:$FG$13,$LY43)</f>
        <v/>
      </c>
      <c r="MP43" s="152">
        <f>INDEX($FH$2:$FH$13,$LY43)</f>
        <v/>
      </c>
      <c r="MQ43" s="152">
        <f>INDEX($FI$2:$FI$13,$LY43)</f>
        <v/>
      </c>
      <c r="MR43" s="152">
        <f>INDEX($FT$2:$FT$13,$LY43)</f>
        <v/>
      </c>
      <c r="MS43" s="152">
        <f>INDEX($FU$2:$FU$13,$LY43)</f>
        <v/>
      </c>
      <c r="MT43" s="152">
        <f>IFERROR(MATCH($ME43,$V$2:$V$11,0),0)</f>
        <v/>
      </c>
      <c r="MU43" s="152">
        <f>IFERROR(VLOOKUP($MH43,$AV$2:$AZ$84,2,FALSE),"")</f>
        <v/>
      </c>
      <c r="MV43" s="152">
        <f>IFERROR(VLOOKUP($MI43,$AV$2:$AZ$84,2,FALSE),"")</f>
        <v/>
      </c>
      <c r="MW43" s="152">
        <f>IFERROR(VLOOKUP($MJ43,$AV$2:$AZ$84,2,FALSE),"")</f>
        <v/>
      </c>
      <c r="MX43" s="152">
        <f>IFERROR(VLOOKUP($MK43,$AV$2:$AZ$84,2,FALSE),"")</f>
        <v/>
      </c>
      <c r="MY43" s="152">
        <f>IFERROR(VLOOKUP($MH43,$AV$2:$AZ$84,3,FALSE),0)</f>
        <v/>
      </c>
      <c r="MZ43" s="152">
        <f>IFERROR(VLOOKUP($MI43,$AV$2:$AZ$84,3,FALSE),0)</f>
        <v/>
      </c>
      <c r="NA43" s="152">
        <f>IFERROR(VLOOKUP($MJ43,$AV$2:$AZ$84,3,FALSE),0)</f>
        <v/>
      </c>
      <c r="NB43" s="152">
        <f>IFERROR(VLOOKUP($MK43,$AV$2:$AZ$84,3,FALSE),0)</f>
        <v/>
      </c>
      <c r="NC43" s="152">
        <f>IF($MC43=0,0,IF($MT43=0,0,INDEX($X$2:$X$11,$MT43)))</f>
        <v/>
      </c>
      <c r="ND43" s="152">
        <f>IF(OR($MY43=0,$MC43=0),0,$MY43+3*IF(AND($MU43&lt;&gt;"",OR($MU43=INDEX($ED$2:$ED$13,$LY43),$MU43=INDEX($EE$2:$EE$13,$LY43))),1,0))</f>
        <v/>
      </c>
      <c r="NE43" s="152">
        <f>IF(OR($MZ43=0,$MC43=0),0,$MZ43+3*IF(AND($MV43&lt;&gt;"",OR($MV43=INDEX($ED$2:$ED$13,$LY43),$MV43=INDEX($EE$2:$EE$13,$LY43))),1,0))</f>
        <v/>
      </c>
      <c r="NF43" s="152">
        <f>IF(OR($NA43=0,$MC43=0),0,$NA43+3*IF(AND($MW43&lt;&gt;"",OR($MW43=INDEX($ED$2:$ED$13,$LY43),$MW43=INDEX($EE$2:$EE$13,$LY43))),1,0))</f>
        <v/>
      </c>
      <c r="NG43" s="152">
        <f>IF(OR($NB43=0,$MC43=0),0,$NB43+3*IF(AND($MX43&lt;&gt;"",OR($MX43=INDEX($ED$2:$ED$13,$LY43),$MX43=INDEX($EE$2:$EE$13,$LY43))),1,0))</f>
        <v/>
      </c>
      <c r="NH43" s="152">
        <f>IF($MT43=0,0,IF(INDEX($W$2:$W$11,$MT43)="",0,IF(COUNTIF(INDEX($ED$2:$EH$13,$LY43,0),INDEX($W$2:$W$11,$MT43))=0,1,0)))</f>
        <v/>
      </c>
      <c r="NI43" s="152">
        <f>IF(OR($MY43=0,$MU43=""),0,IF(COUNTIF(INDEX($ED$2:$EH$13,$LY43,0),$MU43)=0,1,0))</f>
        <v/>
      </c>
      <c r="NJ43" s="152">
        <f>IF(OR($MZ43=0,$MV43=""),0,IF(COUNTIF(INDEX($ED$2:$EH$13,$LY43,0),$MV43)=0,1,0))</f>
        <v/>
      </c>
      <c r="NK43" s="152">
        <f>IF(OR($NA43=0,$MW43=""),0,IF(COUNTIF(INDEX($ED$2:$EH$13,$LY43,0),$MW43)=0,1,0))</f>
        <v/>
      </c>
      <c r="NL43" s="152">
        <f>IF(OR($NB43=0,$MX43=""),0,IF(COUNTIF(INDEX($ED$2:$EH$13,$LY43,0),$MX43)=0,1,0))</f>
        <v/>
      </c>
      <c r="NM43" s="152">
        <f>IFERROR(VLOOKUP($MH43,$AV$2:$AZ$84,4,FALSE),0)+IFERROR(VLOOKUP($MI43,$AV$2:$AZ$84,4,FALSE),0)+IFERROR(VLOOKUP($MJ43,$AV$2:$AZ$84,4,FALSE),0)+IFERROR(VLOOKUP($MK43,$AV$2:$AZ$84,4,FALSE),0)</f>
        <v/>
      </c>
      <c r="NN43" s="152">
        <f>TEXTJOIN(", ",TRUE,IF(IFERROR(VLOOKUP($MH43,$AV$2:$AZ$84,5,FALSE),0)=1,$MH43,""),IF(IFERROR(VLOOKUP($MI43,$AV$2:$AZ$84,5,FALSE),0)=1,$MI43,""),IF(IFERROR(VLOOKUP($MJ43,$AV$2:$AZ$84,5,FALSE),0)=1,$MJ43,""),IF(IFERROR(VLOOKUP($MK43,$AV$2:$AZ$84,5,FALSE),0)=1,$MK43,""))</f>
        <v/>
      </c>
      <c r="NO43" s="152">
        <f>IF($MT43=0,0,INDEX($Y$2:$Y$11,$MT43))</f>
        <v/>
      </c>
      <c r="NP43" s="152">
        <f>IF($MT43=0,0,INDEX($Z$2:$Z$11,$MT43))</f>
        <v/>
      </c>
      <c r="NQ43" s="152">
        <f>IF($MT43=0,0,INDEX($AB$2:$AB$11,$MT43))</f>
        <v/>
      </c>
      <c r="NR43" s="152">
        <f>IFERROR(VLOOKUP($ML43,$BB$2:$BF$24,3,FALSE),0)</f>
        <v/>
      </c>
      <c r="NS43" s="152">
        <f>IFERROR(VLOOKUP($MM43,$BB$2:$BF$24,3,FALSE),0)</f>
        <v/>
      </c>
      <c r="NT43" s="152">
        <f>IFERROR(VLOOKUP($ML43,$BB$2:$BF$24,2,FALSE),"")</f>
        <v/>
      </c>
      <c r="NU43" s="152">
        <f>IFERROR(VLOOKUP($MM43,$BB$2:$BF$24,2,FALSE),"")</f>
        <v/>
      </c>
      <c r="NV43" s="152">
        <f>COUNTIF($NC43:$NG43,1)</f>
        <v/>
      </c>
      <c r="NW43" s="152">
        <f>COUNTIF($NC43:$NG43,2)</f>
        <v/>
      </c>
      <c r="NX43" s="152">
        <f>COUNTIF($NC43:$NG43,3)</f>
        <v/>
      </c>
      <c r="NY43" s="152">
        <f>COUNTIF($NC43:$NG43,4)</f>
        <v/>
      </c>
      <c r="NZ43" s="152">
        <f>COUNTIF($NC43:$NG43,5)</f>
        <v/>
      </c>
      <c r="OA43" s="152">
        <f>COUNTIF($NC43:$NG43,6)</f>
        <v/>
      </c>
      <c r="OB43" s="152">
        <f>COUNTIF($NR43:$NS43,1)</f>
        <v/>
      </c>
      <c r="OC43" s="152">
        <f>COUNTIF($NR43:$NS43,2)+$NO43</f>
        <v/>
      </c>
      <c r="OD43" s="152">
        <f>COUNTIF($MH43:$MK43,"?*")</f>
        <v/>
      </c>
      <c r="OE43" s="152">
        <f>COUNTIF($ML43:$MM43,"?*")+$NO43</f>
        <v/>
      </c>
      <c r="OF43" s="152">
        <f>IF($MC43=0,0,SUMPRODUCT($NV43:$OA43,INDEX($I$2:$N$8,MAX(1,$MC43),0)))</f>
        <v/>
      </c>
      <c r="OG43" s="152">
        <f>IF($MC43=0,0,$OB43*CEILING($MC43/2,1)+$OC43*$MC43)</f>
        <v/>
      </c>
      <c r="OH43" s="152">
        <f>MIN(2*$MC43,$OG43)</f>
        <v/>
      </c>
      <c r="OI43" s="152">
        <f>MIN($OH43,$OF43)</f>
        <v/>
      </c>
      <c r="OJ43" s="152">
        <f>$OH43-$OI43</f>
        <v/>
      </c>
      <c r="OK43" s="152">
        <f>IF($MC43=0,0,INDEX($P$2:$P$8,MAX(1,$MC43)))</f>
        <v/>
      </c>
      <c r="OL43" s="152">
        <f>$OK43-$OF43+$OI43</f>
        <v/>
      </c>
      <c r="OM43" s="152">
        <f>IF($MC43=0,MAX(0,$MQ43-IF($OD43&gt;0,1,0)),MAX(0,$OL43))</f>
        <v/>
      </c>
      <c r="ON43" s="152">
        <f>IF($MC43=0,0,(IF(COUNTIF($MH43:$MK43,"Salto")&gt;0,1,0)+IF(COUNTIF($MH43:$MK43,"Queima")&gt;0,1,0)+IF(COUNTIF($MH43:$MK43,"Estilhaço")&gt;0,1,0))*FLOOR($OM43/2,1))</f>
        <v/>
      </c>
      <c r="OO43" s="152">
        <f>MAX(0,2-SUMPRODUCT($NV43:$OA43,$I$2:$N$2)+MIN(2,$OB43*1+$OC43*1,SUMPRODUCT($NV43:$OA43,$I$2:$N$2)))</f>
        <v/>
      </c>
      <c r="OP43" s="152">
        <f>MAX(0,4-SUMPRODUCT($NV43:$OA43,$I$3:$N$3)+MIN(4,$OB43*1+$OC43*2,SUMPRODUCT($NV43:$OA43,$I$3:$N$3)))</f>
        <v/>
      </c>
      <c r="OQ43" s="152">
        <f>MAX(0,6-SUMPRODUCT($NV43:$OA43,$I$4:$N$4)+MIN(6,$OB43*2+$OC43*3,SUMPRODUCT($NV43:$OA43,$I$4:$N$4)))</f>
        <v/>
      </c>
      <c r="OR43" s="152">
        <f>MAX(0,9-SUMPRODUCT($NV43:$OA43,$I$5:$N$5)+MIN(8,$OB43*2+$OC43*4,SUMPRODUCT($NV43:$OA43,$I$5:$N$5)))</f>
        <v/>
      </c>
      <c r="OS43" s="152">
        <f>MAX(0,11-SUMPRODUCT($NV43:$OA43,$I$6:$N$6)+MIN(10,$OB43*3+$OC43*5,SUMPRODUCT($NV43:$OA43,$I$6:$N$6)))</f>
        <v/>
      </c>
      <c r="OT43" s="152">
        <f>MAX(0,13-SUMPRODUCT($NV43:$OA43,$I$7:$N$7)+MIN(12,$OB43*3+$OC43*6,SUMPRODUCT($NV43:$OA43,$I$7:$N$7)))</f>
        <v/>
      </c>
      <c r="OU43" s="152">
        <f>MAX(0,16-SUMPRODUCT($NV43:$OA43,$I$8:$N$8)+MIN(14,$OB43*4+$OC43*7,SUMPRODUCT($NV43:$OA43,$I$8:$N$8)))</f>
        <v/>
      </c>
      <c r="OV43" s="152">
        <f>IF($NP43=2,3*$OO43&amp;" de vida temp.",IF($NP43=3,"sem dano",IF($OO43=0,IF($NP43=1,"sem cura","sem dano"),IF($NP43=1,"cura ","")&amp;$OO43&amp;"d8")))</f>
        <v/>
      </c>
      <c r="OW43" s="152">
        <f>IF($NP43=2,3*$OP43&amp;" de vida temp.",IF($NP43=3,"sem dano",IF($OP43=0,IF($NP43=1,"sem cura","sem dano"),IF($NP43=1,"cura ","")&amp;$OP43&amp;"d8")))</f>
        <v/>
      </c>
      <c r="OX43" s="152">
        <f>IF($NP43=2,3*$OQ43&amp;" de vida temp.",IF($NP43=3,"sem dano",IF($OQ43=0,IF($NP43=1,"sem cura","sem dano"),IF($NP43=1,"cura ","")&amp;$OQ43&amp;"d8")))</f>
        <v/>
      </c>
      <c r="OY43" s="152">
        <f>IF($NP43=2,3*$OR43&amp;" de vida temp.",IF($NP43=3,"sem dano",IF($OR43=0,IF($NP43=1,"sem cura","sem dano"),IF($NP43=1,"cura ","")&amp;$OR43&amp;"d8")))</f>
        <v/>
      </c>
      <c r="OZ43" s="152">
        <f>IF($NP43=2,3*$OS43&amp;" de vida temp.",IF($NP43=3,"sem dano",IF($OS43=0,IF($NP43=1,"sem cura","sem dano"),IF($NP43=1,"cura ","")&amp;$OS43&amp;"d8")))</f>
        <v/>
      </c>
      <c r="PA43" s="152">
        <f>IF($NP43=2,3*$OT43&amp;" de vida temp.",IF($NP43=3,"sem dano",IF($OT43=0,IF($NP43=1,"sem cura","sem dano"),IF($NP43=1,"cura ","")&amp;$OT43&amp;"d8")))</f>
        <v/>
      </c>
      <c r="PB43" s="152">
        <f>IF($NP43=2,3*$OU43&amp;" de vida temp.",IF($NP43=3,"sem dano",IF($OU43=0,IF($NP43=1,"sem cura","sem dano"),IF($NP43=1,"cura ","")&amp;$OU43&amp;"d8")))</f>
        <v/>
      </c>
      <c r="PC43" s="152">
        <f>IF($MN43=0,"",TEXTJOIN(" · ",TRUE,IF($MA43&gt;$MO43,"Este lugar abre no nível "&amp;$MA43,""),IF($MC43&gt;$MP43,"Classe "&amp;$MC43&amp;": o nível "&amp;$MO43&amp;" libera até a "&amp;$MP43,""),IF($NH43=1,"A Forma "&amp;$ME43&amp;" pede "&amp;INDEX($W$2:$W$11,$MT43)&amp;" aberta",""),IF(AND($MC43=0,$MT43&gt;0,IF($MT43=0,0,INDEX($AF$2:$AF$11,$MT43))=0),$ME43&amp;" não existe na Classe 0",""),IF($NI43=1,"Família Fechada: "&amp;$MH43,""),IF($NJ43=1,"Família Fechada: "&amp;$MI43,""),IF($NK43=1,"Família Fechada: "&amp;$MJ43,""),IF($NL43=1,"Família Fechada: "&amp;$MK43,""),IF(AND($MC43&gt;0,$OD43&gt;INDEX($O$2:$O$8,MAX(1,$MC43))),$OD43&amp;" Melhorias: a Classe "&amp;$MC43&amp;" aceita "&amp;INDEX($O$2:$O$8,MAX(1,$MC43)),""),IF(AND($MC43=0,$OD43&gt;1),"A básica aceita uma Melhoria",""),IF(AND($MC43=0,COUNTIF($MY43:$NB43,"&gt;1")&gt;0),"A básica só aceita Melhoria Leve",""),IF(AND($MC43&gt;0,$OE43&gt;2),$OE43&amp;" Restrições"&amp;IF($NO43=1,", contando a que a Forma "&amp;$ME43&amp;" já traz","")&amp;": o limite é 2",""),IF(AND($MC43=0,COUNTIF($ML43:$MM43,"?*")&gt;1),"A básica aceita uma Restrição Leve",""),IF(AND($MC43=0,COUNTIF($NR43:$NS43,2)&gt;0),"A básica só aceita Restrição Leve",""),IF(AND($MC43&gt;0,$OL43&lt;0),"Orçamento estourado: faltam "&amp;(-$OL43)&amp;IF($OL43&lt;-1," pontos"," ponto"),""),IF(IFERROR(VLOOKUP($ML43,$BB$2:$BF$24,4,FALSE),0)+IFERROR(VLOOKUP($MM43,$BB$2:$BF$24,4,FALSE),0)&gt;1,$NT43&amp;" e "&amp;$NU43&amp;" são as duas de frequência",""),IF(AND((COUNTIF($MH43:$MK43,"Rápido")+COUNTIF($NT43:$NU43,"Rápido"))&gt;0,(COUNTIF($MH43:$MK43,"Atrasar")+COUNTIF($NT43:$NU43,"Atrasar"))&gt;0),"Rápido não entra com Atrasar",""),IF(AND((COUNTIF($MH43:$MK43,"Reação")+COUNTIF($NT43:$NU43,"Reação"))&gt;0,(COUNTIF($MH43:$MK43,"Rápido")+COUNTIF($NT43:$NU43,"Rápido"))&gt;0),"Reação não entra com Rápido",""),IF(AND((COUNTIF($MH43:$MK43,"Reação")+COUNTIF($NT43:$NU43,"Reação"))&gt;0,(COUNTIF($MH43:$MK43,"Armado")+COUNTIF($NT43:$NU43,"Armado"))&gt;0),"Reação não entra com Armado",""),IF(AND((COUNTIF($MH43:$MK43,"Reação")+COUNTIF($NT43:$NU43,"Reação"))&gt;0,(COUNTIF($MH43:$MK43,"Atrasar")+COUNTIF($NT43:$NU43,"Atrasar"))&gt;0),"Reação não entra com Atrasar",""),IF(AND((COUNTIF($MH43:$MK43,"Reação")+COUNTIF($NT43:$NU43,"Reação"))&gt;0,(COUNTIF($MH43:$MK43,"Parado")+COUNTIF($NT43:$NU43,"Parado"))&gt;0),"Reação não entra com Parado",""),IF(AND((COUNTIF($MH43:$MK43,"Atrasar")+COUNTIF($NT43:$NU43,"Atrasar"))&gt;0,(COUNTIF($MH43:$MK43,"Parado")+COUNTIF($NT43:$NU43,"Parado"))&gt;0),"Atrasar não entra com Parado",""),IF(AND((COUNTIF($MH43:$MK43,"Armado")+COUNTIF($NT43:$NU43,"Armado"))&gt;0,(COUNTIF($MH43:$MK43,"Carregar")+COUNTIF($NT43:$NU43,"Carregar"))&gt;0),"Armado não entra com Carregar",""),IF(AND(COUNTIF($NT43:$NU43,"Corpo a Corpo")&gt;0,$NO43=0,OR($ME43="Cone",$ME43="Linha")),"Corpo a Corpo não entra em "&amp;$ME43,""),IF(AND(COUNTIF($NT43:$NU43,"Corpo a Corpo")&gt;0,$NO43=1),"A Forma "&amp;$ME43&amp;" já traz o Corpo a Corpo",""),IF(AND(COUNTIF($NT43:$NU43,"Tudo ou Nada")&gt;0,$NQ43=0),"Tudo ou Nada só entra em habilidade de Teste de Resistência",""),IF(AND(COUNTIF($MH43:$MK43,"Inescapável")&gt;0,OR($OD43&gt;1,$OE43&gt;0)),"Inescapável não aceita outra peça",""),IF(AND($MC43&gt;0,$OM43*IF(COUNTIF($MH43:$MK43,"Remate")&gt;0,1.25,1)+$ON43&gt;4*$MC43),($OM43*IF(COUNTIF($MH43:$MK43,"Remate")&gt;0,1.25,1)+$ON43)&amp;" dados somando repetições"&amp;IF(COUNTIF($MH43:$MK43,"Remate")&gt;0," e o Remate","")&amp;": o teto da Classe "&amp;$MC43&amp;" é "&amp;4*$MC43,"")))</f>
        <v/>
      </c>
      <c r="PD43" s="152">
        <f>IF($PC43="",0,(LEN($PC43)-LEN(SUBSTITUTE($PC43," · ","")))/3+1)</f>
        <v/>
      </c>
      <c r="PE43" s="152">
        <f>IF($MN43=0,"",TEXTJOIN(" · ",TRUE,IF($OG43&gt;2*$MC43,"A devolução parou no teto de "&amp;2*$MC43,""),IF($OJ43&gt;0,"Devolução perdida: "&amp;$OJ43&amp;IF($OJ43&gt;1," pontos"," ponto")&amp;" sem peça para pagar",""),IF(AND($NM43&gt;0,AND($MC43&gt;0,$NP43=0),$OM43=0),"Controle sem dano: uma rodada a mais e CD +2",""),IF(AND($NM43&gt;0,AND($MC43&gt;0,$NP43=0),$OM43&gt;0,$OM43&lt;=$MC43),"Controle com saldo até a Classe: uma rodada a mais",""),IF(AND($MC43&gt;0,$NN43&lt;&gt;""),"Efeito de "&amp;$NN43&amp;" pela Classe "&amp;MAX(1,$MC43-1),"")))</f>
        <v/>
      </c>
      <c r="PF43" s="152">
        <f>IF($PE43="",0,(LEN($PE43)-LEN(SUBSTITUTE($PE43," · ","")))/3+1)</f>
        <v/>
      </c>
      <c r="PG43" s="152">
        <f>IF($MN43=0,IF($OD43+COUNTIF($ML43:$MM43,"?*")&gt;0,"Dê um nome",""),IF($PD43&gt;0,"⚠ "&amp;$PD43&amp;IF($PD43&gt;1," erros"," erro"),IF($PF43&gt;0,"! "&amp;$PF43&amp;IF($PF43&gt;1," avisos"," aviso"),"Na regra")))</f>
        <v/>
      </c>
      <c r="PH43" s="152">
        <f>IF($MN43=0,"",IF($PD43+$PF43=0,"Dentro das regras que a ficha confere",$PC43&amp;IF(AND($PD43&gt;0,$PF43&gt;0)," · ","")&amp;$PE43))</f>
        <v/>
      </c>
      <c r="PI43" s="152">
        <f>IF($MA43&gt;$MO43,$MB43&amp;" · ABRE NO NÍVEL "&amp;$MA43,$MB43)</f>
        <v/>
      </c>
      <c r="PJ43" s="152">
        <f>IF($MN43=0,"",IF($MC43=0,"Sem PE",3*$MC43&amp;" PE"))</f>
        <v/>
      </c>
      <c r="PK43" s="152">
        <f>IF($MN43=0,"",IF($MC43=0,"A atuação básica dela",IF(COUNTIF($NT43:$NU43,"Atrasar")&gt;0,"Sua Ação Completa",IF(COUNTIF($MH43:$MK43,"Rápido")&gt;0,"Sua Bônus",IF(COUNTIF($MH43:$MK43,"Reação")&gt;0,"Sua Reação","Sua Padrão")))&amp;" + a básica dela"&amp;IF(COUNTIF($MH43:$MK43,"Reação")&gt;0," e a coletiva","")&amp;IF(COUNTIF($NT43:$NU43,"Carregar")&gt;0," · em dois turnos","")))</f>
        <v/>
      </c>
      <c r="PL43" s="152">
        <f>IF($MG43&lt;&gt;"",$MG43,IF($MT43=0,"",INDEX($AA$2:$AA$11,$MT43)))</f>
        <v/>
      </c>
      <c r="PM43" s="152">
        <f>IF(OR($MN43=0,$MT43=0),"",IF(COUNTIF($MH43:$MK43,"Inescapável")&gt;0,"Automático",IF($PL43="Ataque",IF($MR43="","Ataque","Ataque "&amp;IF(($MR43+2*IF(COUNTIF($MH43:$MK43,"Precisão")&gt;0,1,0))&gt;=0,"+","−")&amp;ABS(($MR43+2*IF(COUNTIF($MH43:$MK43,"Precisão")&gt;0,1,0)))),IF(LEFT($PL43,2)="TR",$PL43&amp;IF($MS43="",""," · CD "&amp;$MS43)&amp;IF(COUNTIF($MH43:$MK43,"Certeiro")&gt;0," · metade",""),"Sem rolagem"))))</f>
        <v/>
      </c>
      <c r="PN43" s="152">
        <f>IF(OR($MN43=0,$MT43=0),"",IF($MC43=0,IF(OR($NP43&gt;=1,$OM43=0),"Sem dano",$OM43&amp;"d6"&amp;IF($MF43="",""," "&amp;$MF43)),IF(OR($NP43&gt;=1,$OM43=0),UPPER(LEFT(INDEX($OV43:$PB43,1,MAX(1,$MC43)),1))&amp;MID(INDEX($OV43:$PB43,1,MAX(1,$MC43)),2,99),UPPER(LEFT(INDEX($OV43:$PB43,1,MAX(1,$MC43)),1))&amp;MID(INDEX($OV43:$PB43,1,MAX(1,$MC43)),2,99)&amp;IF($MF43="",""," "&amp;$MF43)&amp;IF($ON43&gt;0," · +"&amp;$ON43&amp;"d8",""))))</f>
        <v/>
      </c>
      <c r="PO43" s="152">
        <f>COUNTIF($MH43:$MK43,"Longe")+3*COUNTIF($MH43:$MK43,"Muito Longe")</f>
        <v/>
      </c>
      <c r="PP43" s="152">
        <f>COUNTIF($MH43:$MK43,"Maior")+3*COUNTIF($MH43:$MK43,"Muito Maior")</f>
        <v/>
      </c>
      <c r="PQ43" s="152">
        <f>IF($MT43=0,0,CHOOSE(1+INDEX($AC$2:$AC$11,$MT43),0,$PO43,$PP43,$PO43+$PP43))</f>
        <v/>
      </c>
      <c r="PR43" s="152">
        <f>IF($MT43=0,0,CHOOSE(1+INDEX($AD$2:$AD$11,$MT43),0,$PO43,$PP43,$PO43+$PP43))</f>
        <v/>
      </c>
      <c r="PS43" s="152">
        <f>IF(OR($MN43=0,$MT43=0),"",INDEX($AI$2:$AN$41,($MT43-1)*4+IF($MC43=0,1,IF($MC43&lt;=5,2,IF($MC43=6,3,4))),1+MIN(5,$PQ43))&amp;INDEX($AO$2:$AT$41,($MT43-1)*4+IF($MC43=0,1,IF($MC43&lt;=5,2,IF($MC43=6,3,4))),1+MIN(5,$PR43))&amp;IF(INDEX($AE$2:$AE$11,$MT43)=1,IF(COUNTIF($MH43:$MK43,"Mais Um")&gt;0," · +"&amp;COUNTIF($MH43:$MK43,"Mais Um")&amp;IF(COUNTIF($MH43:$MK43,"Mais Um")&gt;1," alvos"," alvo"),"")&amp;IF(COUNTIF($MH43:$MK43,"Rajada")&gt;0,IF($MC43=0," · 1 tiro"," · "&amp;(MAX(1,$MC43-1)+1)&amp;" tiros"),""),""))</f>
        <v/>
      </c>
      <c r="PT43" s="152">
        <f>IF($MN43=0,"",IF($MC43=0,$MQ43&amp;"d6"&amp;IF($OD43&gt;0," − 1 = "&amp;$OM43&amp;"d6"," da básica do nível "&amp;$MO43),$OK43&amp;" − "&amp;$OF43&amp;" + "&amp;$OI43&amp;" = "&amp;$OL43&amp;" · teto "&amp;4*$MC43&amp;"d8"&amp;IF($NO43=1," · a Forma devolve "&amp;$MC43,"")&amp;IF($OJ43&gt;0," · perde "&amp;$OJ43,"")))</f>
        <v/>
      </c>
      <c r="PU43" s="152">
        <f>IF($MN43=0,"",IF($MC43=0,"A básica não amplia: os dados dela sobem com o nível",IF($MC43&gt;=$MP43,"Já está na maior Classe que o nível liberou",TEXTJOIN(" · ",TRUE,IF(AND(2&gt;$MC43,2&lt;=$MP43),"2 → "&amp;$OW43&amp;", 6 PE",""),IF(AND(3&gt;$MC43,3&lt;=$MP43),"3 → "&amp;$OX43&amp;", 9 PE",""),IF(AND(4&gt;$MC43,4&lt;=$MP43),"4 → "&amp;$OY43&amp;", 12 PE",""),IF(AND(5&gt;$MC43,5&lt;=$MP43),"5 → "&amp;$OZ43&amp;", 15 PE",""),IF(AND(6&gt;$MC43,6&lt;=$MP43),"6 → "&amp;$PA43&amp;", 18 PE",""),IF(AND(7&gt;$MC43,7&lt;=$MP43),"7 → "&amp;$PB43&amp;", 21 PE","")))))</f>
        <v/>
      </c>
      <c r="PV43" s="152">
        <f>IF(OR($MN43=0,$MY43=0),"",IF($MC43=0,"−1 dado","−"&amp;INDEX($I$2:$N$8,MAX(1,$MC43),MAX(1,$ND43))&amp;" · "&amp;CHOOSE(MAX(1,$ND43),"Leve","Média","Pesada","Leve · Livre","Média · Livre","Pesada · Livre")))</f>
        <v/>
      </c>
      <c r="PW43" s="152">
        <f>IF(OR($MN43=0,$MZ43=0),"",IF($MC43=0,"−1 dado","−"&amp;INDEX($I$2:$N$8,MAX(1,$MC43),MAX(1,$NE43))&amp;" · "&amp;CHOOSE(MAX(1,$NE43),"Leve","Média","Pesada","Leve · Livre","Média · Livre","Pesada · Livre")))</f>
        <v/>
      </c>
      <c r="PX43" s="152">
        <f>IF(OR($MN43=0,$NA43=0),"",IF($MC43=0,"−1 dado","−"&amp;INDEX($I$2:$N$8,MAX(1,$MC43),MAX(1,$NF43))&amp;" · "&amp;CHOOSE(MAX(1,$NF43),"Leve","Média","Pesada","Leve · Livre","Média · Livre","Pesada · Livre")))</f>
        <v/>
      </c>
      <c r="PY43" s="152">
        <f>IF(OR($MN43=0,$NB43=0),"",IF($MC43=0,"−1 dado","−"&amp;INDEX($I$2:$N$8,MAX(1,$MC43),MAX(1,$NG43))&amp;" · "&amp;CHOOSE(MAX(1,$NG43),"Leve","Média","Pesada","Leve · Livre","Média · Livre","Pesada · Livre")))</f>
        <v/>
      </c>
      <c r="PZ43" s="152">
        <f>IF(OR($MN43=0,$ML43=""),"",IF($MC43=0,"não devolve","+"&amp;IF($NR43=1,CEILING($MC43/2,1),$MC43)))</f>
        <v/>
      </c>
      <c r="QA43" s="152">
        <f>IF(OR($MN43=0,$MM43=""),"",IF($MC43=0,"não devolve","+"&amp;IF($NS43=1,CEILING($MC43/2,1),$MC43)))</f>
        <v/>
      </c>
    </row>
    <row r="44">
      <c r="AV44" s="150" t="inlineStr">
        <is>
          <t>Impulso</t>
        </is>
      </c>
      <c r="AW44" s="150" t="inlineStr">
        <is>
          <t>Auxiliares</t>
        </is>
      </c>
      <c r="AX44" s="152" t="n">
        <v>1</v>
      </c>
      <c r="AY44" s="152" t="n">
        <v>0</v>
      </c>
      <c r="AZ44" s="152" t="n">
        <v>0</v>
      </c>
      <c r="JD44" s="152">
        <f>IF(OR($AW44="",COUNTIF($ED$2:$EH$2,$AW44)&gt;0),$AV44,"")</f>
        <v/>
      </c>
      <c r="JE44" s="152">
        <f>IF(AND($AX44=1,OR($AW44="",COUNTIF($ED$2:$EH$2,$AW44)&gt;0)),$AV44,"")</f>
        <v/>
      </c>
      <c r="JJ44" s="152">
        <f>IF(OR($AW44="",COUNTIF($ED$3:$EH$3,$AW44)&gt;0),$AV44,"")</f>
        <v/>
      </c>
      <c r="JK44" s="152">
        <f>IF(AND($AX44=1,OR($AW44="",COUNTIF($ED$3:$EH$3,$AW44)&gt;0)),$AV44,"")</f>
        <v/>
      </c>
      <c r="JP44" s="152">
        <f>IF(OR($AW44="",COUNTIF($ED$4:$EH$4,$AW44)&gt;0),$AV44,"")</f>
        <v/>
      </c>
      <c r="JQ44" s="152">
        <f>IF(AND($AX44=1,OR($AW44="",COUNTIF($ED$4:$EH$4,$AW44)&gt;0)),$AV44,"")</f>
        <v/>
      </c>
      <c r="JV44" s="152">
        <f>IF(OR($AW44="",COUNTIF($ED$5:$EH$5,$AW44)&gt;0),$AV44,"")</f>
        <v/>
      </c>
      <c r="JW44" s="152">
        <f>IF(AND($AX44=1,OR($AW44="",COUNTIF($ED$5:$EH$5,$AW44)&gt;0)),$AV44,"")</f>
        <v/>
      </c>
      <c r="KB44" s="152">
        <f>IF(OR($AW44="",COUNTIF($ED$6:$EH$6,$AW44)&gt;0),$AV44,"")</f>
        <v/>
      </c>
      <c r="KC44" s="152">
        <f>IF(AND($AX44=1,OR($AW44="",COUNTIF($ED$6:$EH$6,$AW44)&gt;0)),$AV44,"")</f>
        <v/>
      </c>
      <c r="KH44" s="152">
        <f>IF(OR($AW44="",COUNTIF($ED$7:$EH$7,$AW44)&gt;0),$AV44,"")</f>
        <v/>
      </c>
      <c r="KI44" s="152">
        <f>IF(AND($AX44=1,OR($AW44="",COUNTIF($ED$7:$EH$7,$AW44)&gt;0)),$AV44,"")</f>
        <v/>
      </c>
      <c r="KN44" s="152">
        <f>IF(OR($AW44="",COUNTIF($ED$8:$EH$8,$AW44)&gt;0),$AV44,"")</f>
        <v/>
      </c>
      <c r="KO44" s="152">
        <f>IF(AND($AX44=1,OR($AW44="",COUNTIF($ED$8:$EH$8,$AW44)&gt;0)),$AV44,"")</f>
        <v/>
      </c>
      <c r="KT44" s="152">
        <f>IF(OR($AW44="",COUNTIF($ED$9:$EH$9,$AW44)&gt;0),$AV44,"")</f>
        <v/>
      </c>
      <c r="KU44" s="152">
        <f>IF(AND($AX44=1,OR($AW44="",COUNTIF($ED$9:$EH$9,$AW44)&gt;0)),$AV44,"")</f>
        <v/>
      </c>
      <c r="KZ44" s="152">
        <f>IF(OR($AW44="",COUNTIF($ED$10:$EH$10,$AW44)&gt;0),$AV44,"")</f>
        <v/>
      </c>
      <c r="LA44" s="152">
        <f>IF(AND($AX44=1,OR($AW44="",COUNTIF($ED$10:$EH$10,$AW44)&gt;0)),$AV44,"")</f>
        <v/>
      </c>
      <c r="LF44" s="152">
        <f>IF(OR($AW44="",COUNTIF($ED$11:$EH$11,$AW44)&gt;0),$AV44,"")</f>
        <v/>
      </c>
      <c r="LG44" s="152">
        <f>IF(AND($AX44=1,OR($AW44="",COUNTIF($ED$11:$EH$11,$AW44)&gt;0)),$AV44,"")</f>
        <v/>
      </c>
      <c r="LL44" s="152">
        <f>IF(OR($AW44="",COUNTIF($ED$12:$EH$12,$AW44)&gt;0),$AV44,"")</f>
        <v/>
      </c>
      <c r="LM44" s="152">
        <f>IF(AND($AX44=1,OR($AW44="",COUNTIF($ED$12:$EH$12,$AW44)&gt;0)),$AV44,"")</f>
        <v/>
      </c>
      <c r="LR44" s="152">
        <f>IF(OR($AW44="",COUNTIF($ED$13:$EH$13,$AW44)&gt;0),$AV44,"")</f>
        <v/>
      </c>
      <c r="LS44" s="152">
        <f>IF(AND($AX44=1,OR($AW44="",COUNTIF($ED$13:$EH$13,$AW44)&gt;0)),$AV44,"")</f>
        <v/>
      </c>
      <c r="LX44" s="150" t="inlineStr">
        <is>
          <t>Ficha 4 · Básica 2</t>
        </is>
      </c>
      <c r="LY44" s="152" t="n">
        <v>4</v>
      </c>
      <c r="LZ44" s="152" t="n">
        <v>0</v>
      </c>
      <c r="MA44" s="152" t="n">
        <v>11</v>
      </c>
      <c r="MB44" s="150" t="inlineStr">
        <is>
          <t>BÁSICA 2</t>
        </is>
      </c>
      <c r="MC44" s="152" t="n">
        <v>0</v>
      </c>
      <c r="MD44" s="152">
        <f>'INVOCAÇÕES'!$J$686&amp;""</f>
        <v/>
      </c>
      <c r="ME44" s="152">
        <f>'INVOCAÇÕES'!$I$691&amp;""</f>
        <v/>
      </c>
      <c r="MF44" s="152">
        <f>'INVOCAÇÕES'!$I$692&amp;""</f>
        <v/>
      </c>
      <c r="MG44" s="152">
        <f>'INVOCAÇÕES'!$K$692&amp;""</f>
        <v/>
      </c>
      <c r="MH44" s="152">
        <f>'INVOCAÇÕES'!$J$695&amp;""</f>
        <v/>
      </c>
      <c r="MI44" s="152">
        <f>'INVOCAÇÕES'!$J$696&amp;""</f>
        <v/>
      </c>
      <c r="MJ44" s="152">
        <f>'INVOCAÇÕES'!$J$697&amp;""</f>
        <v/>
      </c>
      <c r="MK44" s="152">
        <f>'INVOCAÇÕES'!$J$698&amp;""</f>
        <v/>
      </c>
      <c r="ML44" s="152">
        <f>'INVOCAÇÕES'!$J$699&amp;""</f>
        <v/>
      </c>
      <c r="MM44" s="152">
        <f>'INVOCAÇÕES'!$J$700&amp;""</f>
        <v/>
      </c>
      <c r="MN44" s="152">
        <f>IF($MD44&lt;&gt;"",1,0)</f>
        <v/>
      </c>
      <c r="MO44" s="152">
        <f>INDEX($FG$2:$FG$13,$LY44)</f>
        <v/>
      </c>
      <c r="MP44" s="152">
        <f>INDEX($FH$2:$FH$13,$LY44)</f>
        <v/>
      </c>
      <c r="MQ44" s="152">
        <f>INDEX($FI$2:$FI$13,$LY44)</f>
        <v/>
      </c>
      <c r="MR44" s="152">
        <f>INDEX($FT$2:$FT$13,$LY44)</f>
        <v/>
      </c>
      <c r="MS44" s="152">
        <f>INDEX($FU$2:$FU$13,$LY44)</f>
        <v/>
      </c>
      <c r="MT44" s="152">
        <f>IFERROR(MATCH($ME44,$V$2:$V$11,0),0)</f>
        <v/>
      </c>
      <c r="MU44" s="152">
        <f>IFERROR(VLOOKUP($MH44,$AV$2:$AZ$84,2,FALSE),"")</f>
        <v/>
      </c>
      <c r="MV44" s="152">
        <f>IFERROR(VLOOKUP($MI44,$AV$2:$AZ$84,2,FALSE),"")</f>
        <v/>
      </c>
      <c r="MW44" s="152">
        <f>IFERROR(VLOOKUP($MJ44,$AV$2:$AZ$84,2,FALSE),"")</f>
        <v/>
      </c>
      <c r="MX44" s="152">
        <f>IFERROR(VLOOKUP($MK44,$AV$2:$AZ$84,2,FALSE),"")</f>
        <v/>
      </c>
      <c r="MY44" s="152">
        <f>IFERROR(VLOOKUP($MH44,$AV$2:$AZ$84,3,FALSE),0)</f>
        <v/>
      </c>
      <c r="MZ44" s="152">
        <f>IFERROR(VLOOKUP($MI44,$AV$2:$AZ$84,3,FALSE),0)</f>
        <v/>
      </c>
      <c r="NA44" s="152">
        <f>IFERROR(VLOOKUP($MJ44,$AV$2:$AZ$84,3,FALSE),0)</f>
        <v/>
      </c>
      <c r="NB44" s="152">
        <f>IFERROR(VLOOKUP($MK44,$AV$2:$AZ$84,3,FALSE),0)</f>
        <v/>
      </c>
      <c r="NC44" s="152">
        <f>IF($MC44=0,0,IF($MT44=0,0,INDEX($X$2:$X$11,$MT44)))</f>
        <v/>
      </c>
      <c r="ND44" s="152">
        <f>IF(OR($MY44=0,$MC44=0),0,$MY44+3*IF(AND($MU44&lt;&gt;"",OR($MU44=INDEX($ED$2:$ED$13,$LY44),$MU44=INDEX($EE$2:$EE$13,$LY44))),1,0))</f>
        <v/>
      </c>
      <c r="NE44" s="152">
        <f>IF(OR($MZ44=0,$MC44=0),0,$MZ44+3*IF(AND($MV44&lt;&gt;"",OR($MV44=INDEX($ED$2:$ED$13,$LY44),$MV44=INDEX($EE$2:$EE$13,$LY44))),1,0))</f>
        <v/>
      </c>
      <c r="NF44" s="152">
        <f>IF(OR($NA44=0,$MC44=0),0,$NA44+3*IF(AND($MW44&lt;&gt;"",OR($MW44=INDEX($ED$2:$ED$13,$LY44),$MW44=INDEX($EE$2:$EE$13,$LY44))),1,0))</f>
        <v/>
      </c>
      <c r="NG44" s="152">
        <f>IF(OR($NB44=0,$MC44=0),0,$NB44+3*IF(AND($MX44&lt;&gt;"",OR($MX44=INDEX($ED$2:$ED$13,$LY44),$MX44=INDEX($EE$2:$EE$13,$LY44))),1,0))</f>
        <v/>
      </c>
      <c r="NH44" s="152">
        <f>IF($MT44=0,0,IF(INDEX($W$2:$W$11,$MT44)="",0,IF(COUNTIF(INDEX($ED$2:$EH$13,$LY44,0),INDEX($W$2:$W$11,$MT44))=0,1,0)))</f>
        <v/>
      </c>
      <c r="NI44" s="152">
        <f>IF(OR($MY44=0,$MU44=""),0,IF(COUNTIF(INDEX($ED$2:$EH$13,$LY44,0),$MU44)=0,1,0))</f>
        <v/>
      </c>
      <c r="NJ44" s="152">
        <f>IF(OR($MZ44=0,$MV44=""),0,IF(COUNTIF(INDEX($ED$2:$EH$13,$LY44,0),$MV44)=0,1,0))</f>
        <v/>
      </c>
      <c r="NK44" s="152">
        <f>IF(OR($NA44=0,$MW44=""),0,IF(COUNTIF(INDEX($ED$2:$EH$13,$LY44,0),$MW44)=0,1,0))</f>
        <v/>
      </c>
      <c r="NL44" s="152">
        <f>IF(OR($NB44=0,$MX44=""),0,IF(COUNTIF(INDEX($ED$2:$EH$13,$LY44,0),$MX44)=0,1,0))</f>
        <v/>
      </c>
      <c r="NM44" s="152">
        <f>IFERROR(VLOOKUP($MH44,$AV$2:$AZ$84,4,FALSE),0)+IFERROR(VLOOKUP($MI44,$AV$2:$AZ$84,4,FALSE),0)+IFERROR(VLOOKUP($MJ44,$AV$2:$AZ$84,4,FALSE),0)+IFERROR(VLOOKUP($MK44,$AV$2:$AZ$84,4,FALSE),0)</f>
        <v/>
      </c>
      <c r="NN44" s="152">
        <f>TEXTJOIN(", ",TRUE,IF(IFERROR(VLOOKUP($MH44,$AV$2:$AZ$84,5,FALSE),0)=1,$MH44,""),IF(IFERROR(VLOOKUP($MI44,$AV$2:$AZ$84,5,FALSE),0)=1,$MI44,""),IF(IFERROR(VLOOKUP($MJ44,$AV$2:$AZ$84,5,FALSE),0)=1,$MJ44,""),IF(IFERROR(VLOOKUP($MK44,$AV$2:$AZ$84,5,FALSE),0)=1,$MK44,""))</f>
        <v/>
      </c>
      <c r="NO44" s="152">
        <f>IF($MT44=0,0,INDEX($Y$2:$Y$11,$MT44))</f>
        <v/>
      </c>
      <c r="NP44" s="152">
        <f>IF($MT44=0,0,INDEX($Z$2:$Z$11,$MT44))</f>
        <v/>
      </c>
      <c r="NQ44" s="152">
        <f>IF($MT44=0,0,INDEX($AB$2:$AB$11,$MT44))</f>
        <v/>
      </c>
      <c r="NR44" s="152">
        <f>IFERROR(VLOOKUP($ML44,$BB$2:$BF$24,3,FALSE),0)</f>
        <v/>
      </c>
      <c r="NS44" s="152">
        <f>IFERROR(VLOOKUP($MM44,$BB$2:$BF$24,3,FALSE),0)</f>
        <v/>
      </c>
      <c r="NT44" s="152">
        <f>IFERROR(VLOOKUP($ML44,$BB$2:$BF$24,2,FALSE),"")</f>
        <v/>
      </c>
      <c r="NU44" s="152">
        <f>IFERROR(VLOOKUP($MM44,$BB$2:$BF$24,2,FALSE),"")</f>
        <v/>
      </c>
      <c r="NV44" s="152">
        <f>COUNTIF($NC44:$NG44,1)</f>
        <v/>
      </c>
      <c r="NW44" s="152">
        <f>COUNTIF($NC44:$NG44,2)</f>
        <v/>
      </c>
      <c r="NX44" s="152">
        <f>COUNTIF($NC44:$NG44,3)</f>
        <v/>
      </c>
      <c r="NY44" s="152">
        <f>COUNTIF($NC44:$NG44,4)</f>
        <v/>
      </c>
      <c r="NZ44" s="152">
        <f>COUNTIF($NC44:$NG44,5)</f>
        <v/>
      </c>
      <c r="OA44" s="152">
        <f>COUNTIF($NC44:$NG44,6)</f>
        <v/>
      </c>
      <c r="OB44" s="152">
        <f>COUNTIF($NR44:$NS44,1)</f>
        <v/>
      </c>
      <c r="OC44" s="152">
        <f>COUNTIF($NR44:$NS44,2)+$NO44</f>
        <v/>
      </c>
      <c r="OD44" s="152">
        <f>COUNTIF($MH44:$MK44,"?*")</f>
        <v/>
      </c>
      <c r="OE44" s="152">
        <f>COUNTIF($ML44:$MM44,"?*")+$NO44</f>
        <v/>
      </c>
      <c r="OF44" s="152">
        <f>IF($MC44=0,0,SUMPRODUCT($NV44:$OA44,INDEX($I$2:$N$8,MAX(1,$MC44),0)))</f>
        <v/>
      </c>
      <c r="OG44" s="152">
        <f>IF($MC44=0,0,$OB44*CEILING($MC44/2,1)+$OC44*$MC44)</f>
        <v/>
      </c>
      <c r="OH44" s="152">
        <f>MIN(2*$MC44,$OG44)</f>
        <v/>
      </c>
      <c r="OI44" s="152">
        <f>MIN($OH44,$OF44)</f>
        <v/>
      </c>
      <c r="OJ44" s="152">
        <f>$OH44-$OI44</f>
        <v/>
      </c>
      <c r="OK44" s="152">
        <f>IF($MC44=0,0,INDEX($P$2:$P$8,MAX(1,$MC44)))</f>
        <v/>
      </c>
      <c r="OL44" s="152">
        <f>$OK44-$OF44+$OI44</f>
        <v/>
      </c>
      <c r="OM44" s="152">
        <f>IF($MC44=0,MAX(0,$MQ44-IF($OD44&gt;0,1,0)),MAX(0,$OL44))</f>
        <v/>
      </c>
      <c r="ON44" s="152">
        <f>IF($MC44=0,0,(IF(COUNTIF($MH44:$MK44,"Salto")&gt;0,1,0)+IF(COUNTIF($MH44:$MK44,"Queima")&gt;0,1,0)+IF(COUNTIF($MH44:$MK44,"Estilhaço")&gt;0,1,0))*FLOOR($OM44/2,1))</f>
        <v/>
      </c>
      <c r="OO44" s="152">
        <f>MAX(0,2-SUMPRODUCT($NV44:$OA44,$I$2:$N$2)+MIN(2,$OB44*1+$OC44*1,SUMPRODUCT($NV44:$OA44,$I$2:$N$2)))</f>
        <v/>
      </c>
      <c r="OP44" s="152">
        <f>MAX(0,4-SUMPRODUCT($NV44:$OA44,$I$3:$N$3)+MIN(4,$OB44*1+$OC44*2,SUMPRODUCT($NV44:$OA44,$I$3:$N$3)))</f>
        <v/>
      </c>
      <c r="OQ44" s="152">
        <f>MAX(0,6-SUMPRODUCT($NV44:$OA44,$I$4:$N$4)+MIN(6,$OB44*2+$OC44*3,SUMPRODUCT($NV44:$OA44,$I$4:$N$4)))</f>
        <v/>
      </c>
      <c r="OR44" s="152">
        <f>MAX(0,9-SUMPRODUCT($NV44:$OA44,$I$5:$N$5)+MIN(8,$OB44*2+$OC44*4,SUMPRODUCT($NV44:$OA44,$I$5:$N$5)))</f>
        <v/>
      </c>
      <c r="OS44" s="152">
        <f>MAX(0,11-SUMPRODUCT($NV44:$OA44,$I$6:$N$6)+MIN(10,$OB44*3+$OC44*5,SUMPRODUCT($NV44:$OA44,$I$6:$N$6)))</f>
        <v/>
      </c>
      <c r="OT44" s="152">
        <f>MAX(0,13-SUMPRODUCT($NV44:$OA44,$I$7:$N$7)+MIN(12,$OB44*3+$OC44*6,SUMPRODUCT($NV44:$OA44,$I$7:$N$7)))</f>
        <v/>
      </c>
      <c r="OU44" s="152">
        <f>MAX(0,16-SUMPRODUCT($NV44:$OA44,$I$8:$N$8)+MIN(14,$OB44*4+$OC44*7,SUMPRODUCT($NV44:$OA44,$I$8:$N$8)))</f>
        <v/>
      </c>
      <c r="OV44" s="152">
        <f>IF($NP44=2,3*$OO44&amp;" de vida temp.",IF($NP44=3,"sem dano",IF($OO44=0,IF($NP44=1,"sem cura","sem dano"),IF($NP44=1,"cura ","")&amp;$OO44&amp;"d8")))</f>
        <v/>
      </c>
      <c r="OW44" s="152">
        <f>IF($NP44=2,3*$OP44&amp;" de vida temp.",IF($NP44=3,"sem dano",IF($OP44=0,IF($NP44=1,"sem cura","sem dano"),IF($NP44=1,"cura ","")&amp;$OP44&amp;"d8")))</f>
        <v/>
      </c>
      <c r="OX44" s="152">
        <f>IF($NP44=2,3*$OQ44&amp;" de vida temp.",IF($NP44=3,"sem dano",IF($OQ44=0,IF($NP44=1,"sem cura","sem dano"),IF($NP44=1,"cura ","")&amp;$OQ44&amp;"d8")))</f>
        <v/>
      </c>
      <c r="OY44" s="152">
        <f>IF($NP44=2,3*$OR44&amp;" de vida temp.",IF($NP44=3,"sem dano",IF($OR44=0,IF($NP44=1,"sem cura","sem dano"),IF($NP44=1,"cura ","")&amp;$OR44&amp;"d8")))</f>
        <v/>
      </c>
      <c r="OZ44" s="152">
        <f>IF($NP44=2,3*$OS44&amp;" de vida temp.",IF($NP44=3,"sem dano",IF($OS44=0,IF($NP44=1,"sem cura","sem dano"),IF($NP44=1,"cura ","")&amp;$OS44&amp;"d8")))</f>
        <v/>
      </c>
      <c r="PA44" s="152">
        <f>IF($NP44=2,3*$OT44&amp;" de vida temp.",IF($NP44=3,"sem dano",IF($OT44=0,IF($NP44=1,"sem cura","sem dano"),IF($NP44=1,"cura ","")&amp;$OT44&amp;"d8")))</f>
        <v/>
      </c>
      <c r="PB44" s="152">
        <f>IF($NP44=2,3*$OU44&amp;" de vida temp.",IF($NP44=3,"sem dano",IF($OU44=0,IF($NP44=1,"sem cura","sem dano"),IF($NP44=1,"cura ","")&amp;$OU44&amp;"d8")))</f>
        <v/>
      </c>
      <c r="PC44" s="152">
        <f>IF($MN44=0,"",TEXTJOIN(" · ",TRUE,IF($MA44&gt;$MO44,"Este lugar abre no nível "&amp;$MA44,""),IF($MC44&gt;$MP44,"Classe "&amp;$MC44&amp;": o nível "&amp;$MO44&amp;" libera até a "&amp;$MP44,""),IF($NH44=1,"A Forma "&amp;$ME44&amp;" pede "&amp;INDEX($W$2:$W$11,$MT44)&amp;" aberta",""),IF(AND($MC44=0,$MT44&gt;0,IF($MT44=0,0,INDEX($AF$2:$AF$11,$MT44))=0),$ME44&amp;" não existe na Classe 0",""),IF($NI44=1,"Família Fechada: "&amp;$MH44,""),IF($NJ44=1,"Família Fechada: "&amp;$MI44,""),IF($NK44=1,"Família Fechada: "&amp;$MJ44,""),IF($NL44=1,"Família Fechada: "&amp;$MK44,""),IF(AND($MC44&gt;0,$OD44&gt;INDEX($O$2:$O$8,MAX(1,$MC44))),$OD44&amp;" Melhorias: a Classe "&amp;$MC44&amp;" aceita "&amp;INDEX($O$2:$O$8,MAX(1,$MC44)),""),IF(AND($MC44=0,$OD44&gt;1),"A básica aceita uma Melhoria",""),IF(AND($MC44=0,COUNTIF($MY44:$NB44,"&gt;1")&gt;0),"A básica só aceita Melhoria Leve",""),IF(AND($MC44&gt;0,$OE44&gt;2),$OE44&amp;" Restrições"&amp;IF($NO44=1,", contando a que a Forma "&amp;$ME44&amp;" já traz","")&amp;": o limite é 2",""),IF(AND($MC44=0,COUNTIF($ML44:$MM44,"?*")&gt;1),"A básica aceita uma Restrição Leve",""),IF(AND($MC44=0,COUNTIF($NR44:$NS44,2)&gt;0),"A básica só aceita Restrição Leve",""),IF(AND($MC44&gt;0,$OL44&lt;0),"Orçamento estourado: faltam "&amp;(-$OL44)&amp;IF($OL44&lt;-1," pontos"," ponto"),""),IF(IFERROR(VLOOKUP($ML44,$BB$2:$BF$24,4,FALSE),0)+IFERROR(VLOOKUP($MM44,$BB$2:$BF$24,4,FALSE),0)&gt;1,$NT44&amp;" e "&amp;$NU44&amp;" são as duas de frequência",""),IF(AND((COUNTIF($MH44:$MK44,"Rápido")+COUNTIF($NT44:$NU44,"Rápido"))&gt;0,(COUNTIF($MH44:$MK44,"Atrasar")+COUNTIF($NT44:$NU44,"Atrasar"))&gt;0),"Rápido não entra com Atrasar",""),IF(AND((COUNTIF($MH44:$MK44,"Reação")+COUNTIF($NT44:$NU44,"Reação"))&gt;0,(COUNTIF($MH44:$MK44,"Rápido")+COUNTIF($NT44:$NU44,"Rápido"))&gt;0),"Reação não entra com Rápido",""),IF(AND((COUNTIF($MH44:$MK44,"Reação")+COUNTIF($NT44:$NU44,"Reação"))&gt;0,(COUNTIF($MH44:$MK44,"Armado")+COUNTIF($NT44:$NU44,"Armado"))&gt;0),"Reação não entra com Armado",""),IF(AND((COUNTIF($MH44:$MK44,"Reação")+COUNTIF($NT44:$NU44,"Reação"))&gt;0,(COUNTIF($MH44:$MK44,"Atrasar")+COUNTIF($NT44:$NU44,"Atrasar"))&gt;0),"Reação não entra com Atrasar",""),IF(AND((COUNTIF($MH44:$MK44,"Reação")+COUNTIF($NT44:$NU44,"Reação"))&gt;0,(COUNTIF($MH44:$MK44,"Parado")+COUNTIF($NT44:$NU44,"Parado"))&gt;0),"Reação não entra com Parado",""),IF(AND((COUNTIF($MH44:$MK44,"Atrasar")+COUNTIF($NT44:$NU44,"Atrasar"))&gt;0,(COUNTIF($MH44:$MK44,"Parado")+COUNTIF($NT44:$NU44,"Parado"))&gt;0),"Atrasar não entra com Parado",""),IF(AND((COUNTIF($MH44:$MK44,"Armado")+COUNTIF($NT44:$NU44,"Armado"))&gt;0,(COUNTIF($MH44:$MK44,"Carregar")+COUNTIF($NT44:$NU44,"Carregar"))&gt;0),"Armado não entra com Carregar",""),IF(AND(COUNTIF($NT44:$NU44,"Corpo a Corpo")&gt;0,$NO44=0,OR($ME44="Cone",$ME44="Linha")),"Corpo a Corpo não entra em "&amp;$ME44,""),IF(AND(COUNTIF($NT44:$NU44,"Corpo a Corpo")&gt;0,$NO44=1),"A Forma "&amp;$ME44&amp;" já traz o Corpo a Corpo",""),IF(AND(COUNTIF($NT44:$NU44,"Tudo ou Nada")&gt;0,$NQ44=0),"Tudo ou Nada só entra em habilidade de Teste de Resistência",""),IF(AND(COUNTIF($MH44:$MK44,"Inescapável")&gt;0,OR($OD44&gt;1,$OE44&gt;0)),"Inescapável não aceita outra peça",""),IF(AND($MC44&gt;0,$OM44*IF(COUNTIF($MH44:$MK44,"Remate")&gt;0,1.25,1)+$ON44&gt;4*$MC44),($OM44*IF(COUNTIF($MH44:$MK44,"Remate")&gt;0,1.25,1)+$ON44)&amp;" dados somando repetições"&amp;IF(COUNTIF($MH44:$MK44,"Remate")&gt;0," e o Remate","")&amp;": o teto da Classe "&amp;$MC44&amp;" é "&amp;4*$MC44,"")))</f>
        <v/>
      </c>
      <c r="PD44" s="152">
        <f>IF($PC44="",0,(LEN($PC44)-LEN(SUBSTITUTE($PC44," · ","")))/3+1)</f>
        <v/>
      </c>
      <c r="PE44" s="152">
        <f>IF($MN44=0,"",TEXTJOIN(" · ",TRUE,IF($OG44&gt;2*$MC44,"A devolução parou no teto de "&amp;2*$MC44,""),IF($OJ44&gt;0,"Devolução perdida: "&amp;$OJ44&amp;IF($OJ44&gt;1," pontos"," ponto")&amp;" sem peça para pagar",""),IF(AND($NM44&gt;0,AND($MC44&gt;0,$NP44=0),$OM44=0),"Controle sem dano: uma rodada a mais e CD +2",""),IF(AND($NM44&gt;0,AND($MC44&gt;0,$NP44=0),$OM44&gt;0,$OM44&lt;=$MC44),"Controle com saldo até a Classe: uma rodada a mais",""),IF(AND($MC44&gt;0,$NN44&lt;&gt;""),"Efeito de "&amp;$NN44&amp;" pela Classe "&amp;MAX(1,$MC44-1),"")))</f>
        <v/>
      </c>
      <c r="PF44" s="152">
        <f>IF($PE44="",0,(LEN($PE44)-LEN(SUBSTITUTE($PE44," · ","")))/3+1)</f>
        <v/>
      </c>
      <c r="PG44" s="152">
        <f>IF($MN44=0,IF($OD44+COUNTIF($ML44:$MM44,"?*")&gt;0,"Dê um nome",""),IF($PD44&gt;0,"⚠ "&amp;$PD44&amp;IF($PD44&gt;1," erros"," erro"),IF($PF44&gt;0,"! "&amp;$PF44&amp;IF($PF44&gt;1," avisos"," aviso"),"Na regra")))</f>
        <v/>
      </c>
      <c r="PH44" s="152">
        <f>IF($MN44=0,"",IF($PD44+$PF44=0,"Dentro das regras que a ficha confere",$PC44&amp;IF(AND($PD44&gt;0,$PF44&gt;0)," · ","")&amp;$PE44))</f>
        <v/>
      </c>
      <c r="PI44" s="152">
        <f>IF($MA44&gt;$MO44,$MB44&amp;" · ABRE NO NÍVEL "&amp;$MA44,$MB44)</f>
        <v/>
      </c>
      <c r="PJ44" s="152">
        <f>IF($MN44=0,"",IF($MC44=0,"Sem PE",3*$MC44&amp;" PE"))</f>
        <v/>
      </c>
      <c r="PK44" s="152">
        <f>IF($MN44=0,"",IF($MC44=0,"A atuação básica dela",IF(COUNTIF($NT44:$NU44,"Atrasar")&gt;0,"Sua Ação Completa",IF(COUNTIF($MH44:$MK44,"Rápido")&gt;0,"Sua Bônus",IF(COUNTIF($MH44:$MK44,"Reação")&gt;0,"Sua Reação","Sua Padrão")))&amp;" + a básica dela"&amp;IF(COUNTIF($MH44:$MK44,"Reação")&gt;0," e a coletiva","")&amp;IF(COUNTIF($NT44:$NU44,"Carregar")&gt;0," · em dois turnos","")))</f>
        <v/>
      </c>
      <c r="PL44" s="152">
        <f>IF($MG44&lt;&gt;"",$MG44,IF($MT44=0,"",INDEX($AA$2:$AA$11,$MT44)))</f>
        <v/>
      </c>
      <c r="PM44" s="152">
        <f>IF(OR($MN44=0,$MT44=0),"",IF(COUNTIF($MH44:$MK44,"Inescapável")&gt;0,"Automático",IF($PL44="Ataque",IF($MR44="","Ataque","Ataque "&amp;IF(($MR44+2*IF(COUNTIF($MH44:$MK44,"Precisão")&gt;0,1,0))&gt;=0,"+","−")&amp;ABS(($MR44+2*IF(COUNTIF($MH44:$MK44,"Precisão")&gt;0,1,0)))),IF(LEFT($PL44,2)="TR",$PL44&amp;IF($MS44="",""," · CD "&amp;$MS44)&amp;IF(COUNTIF($MH44:$MK44,"Certeiro")&gt;0," · metade",""),"Sem rolagem"))))</f>
        <v/>
      </c>
      <c r="PN44" s="152">
        <f>IF(OR($MN44=0,$MT44=0),"",IF($MC44=0,IF(OR($NP44&gt;=1,$OM44=0),"Sem dano",$OM44&amp;"d6"&amp;IF($MF44="",""," "&amp;$MF44)),IF(OR($NP44&gt;=1,$OM44=0),UPPER(LEFT(INDEX($OV44:$PB44,1,MAX(1,$MC44)),1))&amp;MID(INDEX($OV44:$PB44,1,MAX(1,$MC44)),2,99),UPPER(LEFT(INDEX($OV44:$PB44,1,MAX(1,$MC44)),1))&amp;MID(INDEX($OV44:$PB44,1,MAX(1,$MC44)),2,99)&amp;IF($MF44="",""," "&amp;$MF44)&amp;IF($ON44&gt;0," · +"&amp;$ON44&amp;"d8",""))))</f>
        <v/>
      </c>
      <c r="PO44" s="152">
        <f>COUNTIF($MH44:$MK44,"Longe")+3*COUNTIF($MH44:$MK44,"Muito Longe")</f>
        <v/>
      </c>
      <c r="PP44" s="152">
        <f>COUNTIF($MH44:$MK44,"Maior")+3*COUNTIF($MH44:$MK44,"Muito Maior")</f>
        <v/>
      </c>
      <c r="PQ44" s="152">
        <f>IF($MT44=0,0,CHOOSE(1+INDEX($AC$2:$AC$11,$MT44),0,$PO44,$PP44,$PO44+$PP44))</f>
        <v/>
      </c>
      <c r="PR44" s="152">
        <f>IF($MT44=0,0,CHOOSE(1+INDEX($AD$2:$AD$11,$MT44),0,$PO44,$PP44,$PO44+$PP44))</f>
        <v/>
      </c>
      <c r="PS44" s="152">
        <f>IF(OR($MN44=0,$MT44=0),"",INDEX($AI$2:$AN$41,($MT44-1)*4+IF($MC44=0,1,IF($MC44&lt;=5,2,IF($MC44=6,3,4))),1+MIN(5,$PQ44))&amp;INDEX($AO$2:$AT$41,($MT44-1)*4+IF($MC44=0,1,IF($MC44&lt;=5,2,IF($MC44=6,3,4))),1+MIN(5,$PR44))&amp;IF(INDEX($AE$2:$AE$11,$MT44)=1,IF(COUNTIF($MH44:$MK44,"Mais Um")&gt;0," · +"&amp;COUNTIF($MH44:$MK44,"Mais Um")&amp;IF(COUNTIF($MH44:$MK44,"Mais Um")&gt;1," alvos"," alvo"),"")&amp;IF(COUNTIF($MH44:$MK44,"Rajada")&gt;0,IF($MC44=0," · 1 tiro"," · "&amp;(MAX(1,$MC44-1)+1)&amp;" tiros"),""),""))</f>
        <v/>
      </c>
      <c r="PT44" s="152">
        <f>IF($MN44=0,"",IF($MC44=0,$MQ44&amp;"d6"&amp;IF($OD44&gt;0," − 1 = "&amp;$OM44&amp;"d6"," da básica do nível "&amp;$MO44),$OK44&amp;" − "&amp;$OF44&amp;" + "&amp;$OI44&amp;" = "&amp;$OL44&amp;" · teto "&amp;4*$MC44&amp;"d8"&amp;IF($NO44=1," · a Forma devolve "&amp;$MC44,"")&amp;IF($OJ44&gt;0," · perde "&amp;$OJ44,"")))</f>
        <v/>
      </c>
      <c r="PU44" s="152">
        <f>IF($MN44=0,"",IF($MC44=0,"A básica não amplia: os dados dela sobem com o nível",IF($MC44&gt;=$MP44,"Já está na maior Classe que o nível liberou",TEXTJOIN(" · ",TRUE,IF(AND(2&gt;$MC44,2&lt;=$MP44),"2 → "&amp;$OW44&amp;", 6 PE",""),IF(AND(3&gt;$MC44,3&lt;=$MP44),"3 → "&amp;$OX44&amp;", 9 PE",""),IF(AND(4&gt;$MC44,4&lt;=$MP44),"4 → "&amp;$OY44&amp;", 12 PE",""),IF(AND(5&gt;$MC44,5&lt;=$MP44),"5 → "&amp;$OZ44&amp;", 15 PE",""),IF(AND(6&gt;$MC44,6&lt;=$MP44),"6 → "&amp;$PA44&amp;", 18 PE",""),IF(AND(7&gt;$MC44,7&lt;=$MP44),"7 → "&amp;$PB44&amp;", 21 PE","")))))</f>
        <v/>
      </c>
      <c r="PV44" s="152">
        <f>IF(OR($MN44=0,$MY44=0),"",IF($MC44=0,"−1 dado","−"&amp;INDEX($I$2:$N$8,MAX(1,$MC44),MAX(1,$ND44))&amp;" · "&amp;CHOOSE(MAX(1,$ND44),"Leve","Média","Pesada","Leve · Livre","Média · Livre","Pesada · Livre")))</f>
        <v/>
      </c>
      <c r="PW44" s="152">
        <f>IF(OR($MN44=0,$MZ44=0),"",IF($MC44=0,"−1 dado","−"&amp;INDEX($I$2:$N$8,MAX(1,$MC44),MAX(1,$NE44))&amp;" · "&amp;CHOOSE(MAX(1,$NE44),"Leve","Média","Pesada","Leve · Livre","Média · Livre","Pesada · Livre")))</f>
        <v/>
      </c>
      <c r="PX44" s="152">
        <f>IF(OR($MN44=0,$NA44=0),"",IF($MC44=0,"−1 dado","−"&amp;INDEX($I$2:$N$8,MAX(1,$MC44),MAX(1,$NF44))&amp;" · "&amp;CHOOSE(MAX(1,$NF44),"Leve","Média","Pesada","Leve · Livre","Média · Livre","Pesada · Livre")))</f>
        <v/>
      </c>
      <c r="PY44" s="152">
        <f>IF(OR($MN44=0,$NB44=0),"",IF($MC44=0,"−1 dado","−"&amp;INDEX($I$2:$N$8,MAX(1,$MC44),MAX(1,$NG44))&amp;" · "&amp;CHOOSE(MAX(1,$NG44),"Leve","Média","Pesada","Leve · Livre","Média · Livre","Pesada · Livre")))</f>
        <v/>
      </c>
      <c r="PZ44" s="152">
        <f>IF(OR($MN44=0,$ML44=""),"",IF($MC44=0,"não devolve","+"&amp;IF($NR44=1,CEILING($MC44/2,1),$MC44)))</f>
        <v/>
      </c>
      <c r="QA44" s="152">
        <f>IF(OR($MN44=0,$MM44=""),"",IF($MC44=0,"não devolve","+"&amp;IF($NS44=1,CEILING($MC44/2,1),$MC44)))</f>
        <v/>
      </c>
    </row>
    <row r="45">
      <c r="AV45" s="150" t="inlineStr">
        <is>
          <t>Trava</t>
        </is>
      </c>
      <c r="AW45" s="150" t="inlineStr">
        <is>
          <t>Auxiliares</t>
        </is>
      </c>
      <c r="AX45" s="152" t="n">
        <v>1</v>
      </c>
      <c r="AY45" s="152" t="n">
        <v>0</v>
      </c>
      <c r="AZ45" s="152" t="n">
        <v>0</v>
      </c>
      <c r="JD45" s="152">
        <f>IF(OR($AW45="",COUNTIF($ED$2:$EH$2,$AW45)&gt;0),$AV45,"")</f>
        <v/>
      </c>
      <c r="JE45" s="152">
        <f>IF(AND($AX45=1,OR($AW45="",COUNTIF($ED$2:$EH$2,$AW45)&gt;0)),$AV45,"")</f>
        <v/>
      </c>
      <c r="JJ45" s="152">
        <f>IF(OR($AW45="",COUNTIF($ED$3:$EH$3,$AW45)&gt;0),$AV45,"")</f>
        <v/>
      </c>
      <c r="JK45" s="152">
        <f>IF(AND($AX45=1,OR($AW45="",COUNTIF($ED$3:$EH$3,$AW45)&gt;0)),$AV45,"")</f>
        <v/>
      </c>
      <c r="JP45" s="152">
        <f>IF(OR($AW45="",COUNTIF($ED$4:$EH$4,$AW45)&gt;0),$AV45,"")</f>
        <v/>
      </c>
      <c r="JQ45" s="152">
        <f>IF(AND($AX45=1,OR($AW45="",COUNTIF($ED$4:$EH$4,$AW45)&gt;0)),$AV45,"")</f>
        <v/>
      </c>
      <c r="JV45" s="152">
        <f>IF(OR($AW45="",COUNTIF($ED$5:$EH$5,$AW45)&gt;0),$AV45,"")</f>
        <v/>
      </c>
      <c r="JW45" s="152">
        <f>IF(AND($AX45=1,OR($AW45="",COUNTIF($ED$5:$EH$5,$AW45)&gt;0)),$AV45,"")</f>
        <v/>
      </c>
      <c r="KB45" s="152">
        <f>IF(OR($AW45="",COUNTIF($ED$6:$EH$6,$AW45)&gt;0),$AV45,"")</f>
        <v/>
      </c>
      <c r="KC45" s="152">
        <f>IF(AND($AX45=1,OR($AW45="",COUNTIF($ED$6:$EH$6,$AW45)&gt;0)),$AV45,"")</f>
        <v/>
      </c>
      <c r="KH45" s="152">
        <f>IF(OR($AW45="",COUNTIF($ED$7:$EH$7,$AW45)&gt;0),$AV45,"")</f>
        <v/>
      </c>
      <c r="KI45" s="152">
        <f>IF(AND($AX45=1,OR($AW45="",COUNTIF($ED$7:$EH$7,$AW45)&gt;0)),$AV45,"")</f>
        <v/>
      </c>
      <c r="KN45" s="152">
        <f>IF(OR($AW45="",COUNTIF($ED$8:$EH$8,$AW45)&gt;0),$AV45,"")</f>
        <v/>
      </c>
      <c r="KO45" s="152">
        <f>IF(AND($AX45=1,OR($AW45="",COUNTIF($ED$8:$EH$8,$AW45)&gt;0)),$AV45,"")</f>
        <v/>
      </c>
      <c r="KT45" s="152">
        <f>IF(OR($AW45="",COUNTIF($ED$9:$EH$9,$AW45)&gt;0),$AV45,"")</f>
        <v/>
      </c>
      <c r="KU45" s="152">
        <f>IF(AND($AX45=1,OR($AW45="",COUNTIF($ED$9:$EH$9,$AW45)&gt;0)),$AV45,"")</f>
        <v/>
      </c>
      <c r="KZ45" s="152">
        <f>IF(OR($AW45="",COUNTIF($ED$10:$EH$10,$AW45)&gt;0),$AV45,"")</f>
        <v/>
      </c>
      <c r="LA45" s="152">
        <f>IF(AND($AX45=1,OR($AW45="",COUNTIF($ED$10:$EH$10,$AW45)&gt;0)),$AV45,"")</f>
        <v/>
      </c>
      <c r="LF45" s="152">
        <f>IF(OR($AW45="",COUNTIF($ED$11:$EH$11,$AW45)&gt;0),$AV45,"")</f>
        <v/>
      </c>
      <c r="LG45" s="152">
        <f>IF(AND($AX45=1,OR($AW45="",COUNTIF($ED$11:$EH$11,$AW45)&gt;0)),$AV45,"")</f>
        <v/>
      </c>
      <c r="LL45" s="152">
        <f>IF(OR($AW45="",COUNTIF($ED$12:$EH$12,$AW45)&gt;0),$AV45,"")</f>
        <v/>
      </c>
      <c r="LM45" s="152">
        <f>IF(AND($AX45=1,OR($AW45="",COUNTIF($ED$12:$EH$12,$AW45)&gt;0)),$AV45,"")</f>
        <v/>
      </c>
      <c r="LR45" s="152">
        <f>IF(OR($AW45="",COUNTIF($ED$13:$EH$13,$AW45)&gt;0),$AV45,"")</f>
        <v/>
      </c>
      <c r="LS45" s="152">
        <f>IF(AND($AX45=1,OR($AW45="",COUNTIF($ED$13:$EH$13,$AW45)&gt;0)),$AV45,"")</f>
        <v/>
      </c>
      <c r="LX45" s="150" t="inlineStr">
        <is>
          <t>Ficha 4 · Especial 3</t>
        </is>
      </c>
      <c r="LY45" s="152" t="n">
        <v>4</v>
      </c>
      <c r="LZ45" s="152" t="n">
        <v>1</v>
      </c>
      <c r="MA45" s="152" t="n">
        <v>8</v>
      </c>
      <c r="MB45" s="150" t="inlineStr">
        <is>
          <t>ESPECIAL 3</t>
        </is>
      </c>
      <c r="MC45" s="152">
        <f>MAX(1,MIN(7,N('INVOCAÇÕES'!$O$686)))</f>
        <v/>
      </c>
      <c r="MD45" s="152">
        <f>'INVOCAÇÕES'!$P$686&amp;""</f>
        <v/>
      </c>
      <c r="ME45" s="152">
        <f>'INVOCAÇÕES'!$O$691&amp;""</f>
        <v/>
      </c>
      <c r="MF45" s="152">
        <f>'INVOCAÇÕES'!$O$692&amp;""</f>
        <v/>
      </c>
      <c r="MG45" s="152">
        <f>'INVOCAÇÕES'!$Q$692&amp;""</f>
        <v/>
      </c>
      <c r="MH45" s="152">
        <f>'INVOCAÇÕES'!$P$695&amp;""</f>
        <v/>
      </c>
      <c r="MI45" s="152">
        <f>'INVOCAÇÕES'!$P$696&amp;""</f>
        <v/>
      </c>
      <c r="MJ45" s="152">
        <f>'INVOCAÇÕES'!$P$697&amp;""</f>
        <v/>
      </c>
      <c r="MK45" s="152">
        <f>'INVOCAÇÕES'!$P$698&amp;""</f>
        <v/>
      </c>
      <c r="ML45" s="152">
        <f>'INVOCAÇÕES'!$P$699&amp;""</f>
        <v/>
      </c>
      <c r="MM45" s="152">
        <f>'INVOCAÇÕES'!$P$700&amp;""</f>
        <v/>
      </c>
      <c r="MN45" s="152">
        <f>IF($MD45&lt;&gt;"",1,0)</f>
        <v/>
      </c>
      <c r="MO45" s="152">
        <f>INDEX($FG$2:$FG$13,$LY45)</f>
        <v/>
      </c>
      <c r="MP45" s="152">
        <f>INDEX($FH$2:$FH$13,$LY45)</f>
        <v/>
      </c>
      <c r="MQ45" s="152">
        <f>INDEX($FI$2:$FI$13,$LY45)</f>
        <v/>
      </c>
      <c r="MR45" s="152">
        <f>INDEX($FT$2:$FT$13,$LY45)</f>
        <v/>
      </c>
      <c r="MS45" s="152">
        <f>INDEX($FU$2:$FU$13,$LY45)</f>
        <v/>
      </c>
      <c r="MT45" s="152">
        <f>IFERROR(MATCH($ME45,$V$2:$V$11,0),0)</f>
        <v/>
      </c>
      <c r="MU45" s="152">
        <f>IFERROR(VLOOKUP($MH45,$AV$2:$AZ$84,2,FALSE),"")</f>
        <v/>
      </c>
      <c r="MV45" s="152">
        <f>IFERROR(VLOOKUP($MI45,$AV$2:$AZ$84,2,FALSE),"")</f>
        <v/>
      </c>
      <c r="MW45" s="152">
        <f>IFERROR(VLOOKUP($MJ45,$AV$2:$AZ$84,2,FALSE),"")</f>
        <v/>
      </c>
      <c r="MX45" s="152">
        <f>IFERROR(VLOOKUP($MK45,$AV$2:$AZ$84,2,FALSE),"")</f>
        <v/>
      </c>
      <c r="MY45" s="152">
        <f>IFERROR(VLOOKUP($MH45,$AV$2:$AZ$84,3,FALSE),0)</f>
        <v/>
      </c>
      <c r="MZ45" s="152">
        <f>IFERROR(VLOOKUP($MI45,$AV$2:$AZ$84,3,FALSE),0)</f>
        <v/>
      </c>
      <c r="NA45" s="152">
        <f>IFERROR(VLOOKUP($MJ45,$AV$2:$AZ$84,3,FALSE),0)</f>
        <v/>
      </c>
      <c r="NB45" s="152">
        <f>IFERROR(VLOOKUP($MK45,$AV$2:$AZ$84,3,FALSE),0)</f>
        <v/>
      </c>
      <c r="NC45" s="152">
        <f>IF($MC45=0,0,IF($MT45=0,0,INDEX($X$2:$X$11,$MT45)))</f>
        <v/>
      </c>
      <c r="ND45" s="152">
        <f>IF(OR($MY45=0,$MC45=0),0,$MY45+3*IF(AND($MU45&lt;&gt;"",OR($MU45=INDEX($ED$2:$ED$13,$LY45),$MU45=INDEX($EE$2:$EE$13,$LY45))),1,0))</f>
        <v/>
      </c>
      <c r="NE45" s="152">
        <f>IF(OR($MZ45=0,$MC45=0),0,$MZ45+3*IF(AND($MV45&lt;&gt;"",OR($MV45=INDEX($ED$2:$ED$13,$LY45),$MV45=INDEX($EE$2:$EE$13,$LY45))),1,0))</f>
        <v/>
      </c>
      <c r="NF45" s="152">
        <f>IF(OR($NA45=0,$MC45=0),0,$NA45+3*IF(AND($MW45&lt;&gt;"",OR($MW45=INDEX($ED$2:$ED$13,$LY45),$MW45=INDEX($EE$2:$EE$13,$LY45))),1,0))</f>
        <v/>
      </c>
      <c r="NG45" s="152">
        <f>IF(OR($NB45=0,$MC45=0),0,$NB45+3*IF(AND($MX45&lt;&gt;"",OR($MX45=INDEX($ED$2:$ED$13,$LY45),$MX45=INDEX($EE$2:$EE$13,$LY45))),1,0))</f>
        <v/>
      </c>
      <c r="NH45" s="152">
        <f>IF($MT45=0,0,IF(INDEX($W$2:$W$11,$MT45)="",0,IF(COUNTIF(INDEX($ED$2:$EH$13,$LY45,0),INDEX($W$2:$W$11,$MT45))=0,1,0)))</f>
        <v/>
      </c>
      <c r="NI45" s="152">
        <f>IF(OR($MY45=0,$MU45=""),0,IF(COUNTIF(INDEX($ED$2:$EH$13,$LY45,0),$MU45)=0,1,0))</f>
        <v/>
      </c>
      <c r="NJ45" s="152">
        <f>IF(OR($MZ45=0,$MV45=""),0,IF(COUNTIF(INDEX($ED$2:$EH$13,$LY45,0),$MV45)=0,1,0))</f>
        <v/>
      </c>
      <c r="NK45" s="152">
        <f>IF(OR($NA45=0,$MW45=""),0,IF(COUNTIF(INDEX($ED$2:$EH$13,$LY45,0),$MW45)=0,1,0))</f>
        <v/>
      </c>
      <c r="NL45" s="152">
        <f>IF(OR($NB45=0,$MX45=""),0,IF(COUNTIF(INDEX($ED$2:$EH$13,$LY45,0),$MX45)=0,1,0))</f>
        <v/>
      </c>
      <c r="NM45" s="152">
        <f>IFERROR(VLOOKUP($MH45,$AV$2:$AZ$84,4,FALSE),0)+IFERROR(VLOOKUP($MI45,$AV$2:$AZ$84,4,FALSE),0)+IFERROR(VLOOKUP($MJ45,$AV$2:$AZ$84,4,FALSE),0)+IFERROR(VLOOKUP($MK45,$AV$2:$AZ$84,4,FALSE),0)</f>
        <v/>
      </c>
      <c r="NN45" s="152">
        <f>TEXTJOIN(", ",TRUE,IF(IFERROR(VLOOKUP($MH45,$AV$2:$AZ$84,5,FALSE),0)=1,$MH45,""),IF(IFERROR(VLOOKUP($MI45,$AV$2:$AZ$84,5,FALSE),0)=1,$MI45,""),IF(IFERROR(VLOOKUP($MJ45,$AV$2:$AZ$84,5,FALSE),0)=1,$MJ45,""),IF(IFERROR(VLOOKUP($MK45,$AV$2:$AZ$84,5,FALSE),0)=1,$MK45,""))</f>
        <v/>
      </c>
      <c r="NO45" s="152">
        <f>IF($MT45=0,0,INDEX($Y$2:$Y$11,$MT45))</f>
        <v/>
      </c>
      <c r="NP45" s="152">
        <f>IF($MT45=0,0,INDEX($Z$2:$Z$11,$MT45))</f>
        <v/>
      </c>
      <c r="NQ45" s="152">
        <f>IF($MT45=0,0,INDEX($AB$2:$AB$11,$MT45))</f>
        <v/>
      </c>
      <c r="NR45" s="152">
        <f>IFERROR(VLOOKUP($ML45,$BB$2:$BF$24,3,FALSE),0)</f>
        <v/>
      </c>
      <c r="NS45" s="152">
        <f>IFERROR(VLOOKUP($MM45,$BB$2:$BF$24,3,FALSE),0)</f>
        <v/>
      </c>
      <c r="NT45" s="152">
        <f>IFERROR(VLOOKUP($ML45,$BB$2:$BF$24,2,FALSE),"")</f>
        <v/>
      </c>
      <c r="NU45" s="152">
        <f>IFERROR(VLOOKUP($MM45,$BB$2:$BF$24,2,FALSE),"")</f>
        <v/>
      </c>
      <c r="NV45" s="152">
        <f>COUNTIF($NC45:$NG45,1)</f>
        <v/>
      </c>
      <c r="NW45" s="152">
        <f>COUNTIF($NC45:$NG45,2)</f>
        <v/>
      </c>
      <c r="NX45" s="152">
        <f>COUNTIF($NC45:$NG45,3)</f>
        <v/>
      </c>
      <c r="NY45" s="152">
        <f>COUNTIF($NC45:$NG45,4)</f>
        <v/>
      </c>
      <c r="NZ45" s="152">
        <f>COUNTIF($NC45:$NG45,5)</f>
        <v/>
      </c>
      <c r="OA45" s="152">
        <f>COUNTIF($NC45:$NG45,6)</f>
        <v/>
      </c>
      <c r="OB45" s="152">
        <f>COUNTIF($NR45:$NS45,1)</f>
        <v/>
      </c>
      <c r="OC45" s="152">
        <f>COUNTIF($NR45:$NS45,2)+$NO45</f>
        <v/>
      </c>
      <c r="OD45" s="152">
        <f>COUNTIF($MH45:$MK45,"?*")</f>
        <v/>
      </c>
      <c r="OE45" s="152">
        <f>COUNTIF($ML45:$MM45,"?*")+$NO45</f>
        <v/>
      </c>
      <c r="OF45" s="152">
        <f>IF($MC45=0,0,SUMPRODUCT($NV45:$OA45,INDEX($I$2:$N$8,MAX(1,$MC45),0)))</f>
        <v/>
      </c>
      <c r="OG45" s="152">
        <f>IF($MC45=0,0,$OB45*CEILING($MC45/2,1)+$OC45*$MC45)</f>
        <v/>
      </c>
      <c r="OH45" s="152">
        <f>MIN(2*$MC45,$OG45)</f>
        <v/>
      </c>
      <c r="OI45" s="152">
        <f>MIN($OH45,$OF45)</f>
        <v/>
      </c>
      <c r="OJ45" s="152">
        <f>$OH45-$OI45</f>
        <v/>
      </c>
      <c r="OK45" s="152">
        <f>IF($MC45=0,0,INDEX($P$2:$P$8,MAX(1,$MC45)))</f>
        <v/>
      </c>
      <c r="OL45" s="152">
        <f>$OK45-$OF45+$OI45</f>
        <v/>
      </c>
      <c r="OM45" s="152">
        <f>IF($MC45=0,MAX(0,$MQ45-IF($OD45&gt;0,1,0)),MAX(0,$OL45))</f>
        <v/>
      </c>
      <c r="ON45" s="152">
        <f>IF($MC45=0,0,(IF(COUNTIF($MH45:$MK45,"Salto")&gt;0,1,0)+IF(COUNTIF($MH45:$MK45,"Queima")&gt;0,1,0)+IF(COUNTIF($MH45:$MK45,"Estilhaço")&gt;0,1,0))*FLOOR($OM45/2,1))</f>
        <v/>
      </c>
      <c r="OO45" s="152">
        <f>MAX(0,2-SUMPRODUCT($NV45:$OA45,$I$2:$N$2)+MIN(2,$OB45*1+$OC45*1,SUMPRODUCT($NV45:$OA45,$I$2:$N$2)))</f>
        <v/>
      </c>
      <c r="OP45" s="152">
        <f>MAX(0,4-SUMPRODUCT($NV45:$OA45,$I$3:$N$3)+MIN(4,$OB45*1+$OC45*2,SUMPRODUCT($NV45:$OA45,$I$3:$N$3)))</f>
        <v/>
      </c>
      <c r="OQ45" s="152">
        <f>MAX(0,6-SUMPRODUCT($NV45:$OA45,$I$4:$N$4)+MIN(6,$OB45*2+$OC45*3,SUMPRODUCT($NV45:$OA45,$I$4:$N$4)))</f>
        <v/>
      </c>
      <c r="OR45" s="152">
        <f>MAX(0,9-SUMPRODUCT($NV45:$OA45,$I$5:$N$5)+MIN(8,$OB45*2+$OC45*4,SUMPRODUCT($NV45:$OA45,$I$5:$N$5)))</f>
        <v/>
      </c>
      <c r="OS45" s="152">
        <f>MAX(0,11-SUMPRODUCT($NV45:$OA45,$I$6:$N$6)+MIN(10,$OB45*3+$OC45*5,SUMPRODUCT($NV45:$OA45,$I$6:$N$6)))</f>
        <v/>
      </c>
      <c r="OT45" s="152">
        <f>MAX(0,13-SUMPRODUCT($NV45:$OA45,$I$7:$N$7)+MIN(12,$OB45*3+$OC45*6,SUMPRODUCT($NV45:$OA45,$I$7:$N$7)))</f>
        <v/>
      </c>
      <c r="OU45" s="152">
        <f>MAX(0,16-SUMPRODUCT($NV45:$OA45,$I$8:$N$8)+MIN(14,$OB45*4+$OC45*7,SUMPRODUCT($NV45:$OA45,$I$8:$N$8)))</f>
        <v/>
      </c>
      <c r="OV45" s="152">
        <f>IF($NP45=2,3*$OO45&amp;" de vida temp.",IF($NP45=3,"sem dano",IF($OO45=0,IF($NP45=1,"sem cura","sem dano"),IF($NP45=1,"cura ","")&amp;$OO45&amp;"d8")))</f>
        <v/>
      </c>
      <c r="OW45" s="152">
        <f>IF($NP45=2,3*$OP45&amp;" de vida temp.",IF($NP45=3,"sem dano",IF($OP45=0,IF($NP45=1,"sem cura","sem dano"),IF($NP45=1,"cura ","")&amp;$OP45&amp;"d8")))</f>
        <v/>
      </c>
      <c r="OX45" s="152">
        <f>IF($NP45=2,3*$OQ45&amp;" de vida temp.",IF($NP45=3,"sem dano",IF($OQ45=0,IF($NP45=1,"sem cura","sem dano"),IF($NP45=1,"cura ","")&amp;$OQ45&amp;"d8")))</f>
        <v/>
      </c>
      <c r="OY45" s="152">
        <f>IF($NP45=2,3*$OR45&amp;" de vida temp.",IF($NP45=3,"sem dano",IF($OR45=0,IF($NP45=1,"sem cura","sem dano"),IF($NP45=1,"cura ","")&amp;$OR45&amp;"d8")))</f>
        <v/>
      </c>
      <c r="OZ45" s="152">
        <f>IF($NP45=2,3*$OS45&amp;" de vida temp.",IF($NP45=3,"sem dano",IF($OS45=0,IF($NP45=1,"sem cura","sem dano"),IF($NP45=1,"cura ","")&amp;$OS45&amp;"d8")))</f>
        <v/>
      </c>
      <c r="PA45" s="152">
        <f>IF($NP45=2,3*$OT45&amp;" de vida temp.",IF($NP45=3,"sem dano",IF($OT45=0,IF($NP45=1,"sem cura","sem dano"),IF($NP45=1,"cura ","")&amp;$OT45&amp;"d8")))</f>
        <v/>
      </c>
      <c r="PB45" s="152">
        <f>IF($NP45=2,3*$OU45&amp;" de vida temp.",IF($NP45=3,"sem dano",IF($OU45=0,IF($NP45=1,"sem cura","sem dano"),IF($NP45=1,"cura ","")&amp;$OU45&amp;"d8")))</f>
        <v/>
      </c>
      <c r="PC45" s="152">
        <f>IF($MN45=0,"",TEXTJOIN(" · ",TRUE,IF($MA45&gt;$MO45,"Este lugar abre no nível "&amp;$MA45,""),IF($MC45&gt;$MP45,"Classe "&amp;$MC45&amp;": o nível "&amp;$MO45&amp;" libera até a "&amp;$MP45,""),IF($NH45=1,"A Forma "&amp;$ME45&amp;" pede "&amp;INDEX($W$2:$W$11,$MT45)&amp;" aberta",""),IF(AND($MC45=0,$MT45&gt;0,IF($MT45=0,0,INDEX($AF$2:$AF$11,$MT45))=0),$ME45&amp;" não existe na Classe 0",""),IF($NI45=1,"Família Fechada: "&amp;$MH45,""),IF($NJ45=1,"Família Fechada: "&amp;$MI45,""),IF($NK45=1,"Família Fechada: "&amp;$MJ45,""),IF($NL45=1,"Família Fechada: "&amp;$MK45,""),IF(AND($MC45&gt;0,$OD45&gt;INDEX($O$2:$O$8,MAX(1,$MC45))),$OD45&amp;" Melhorias: a Classe "&amp;$MC45&amp;" aceita "&amp;INDEX($O$2:$O$8,MAX(1,$MC45)),""),IF(AND($MC45=0,$OD45&gt;1),"A básica aceita uma Melhoria",""),IF(AND($MC45=0,COUNTIF($MY45:$NB45,"&gt;1")&gt;0),"A básica só aceita Melhoria Leve",""),IF(AND($MC45&gt;0,$OE45&gt;2),$OE45&amp;" Restrições"&amp;IF($NO45=1,", contando a que a Forma "&amp;$ME45&amp;" já traz","")&amp;": o limite é 2",""),IF(AND($MC45=0,COUNTIF($ML45:$MM45,"?*")&gt;1),"A básica aceita uma Restrição Leve",""),IF(AND($MC45=0,COUNTIF($NR45:$NS45,2)&gt;0),"A básica só aceita Restrição Leve",""),IF(AND($MC45&gt;0,$OL45&lt;0),"Orçamento estourado: faltam "&amp;(-$OL45)&amp;IF($OL45&lt;-1," pontos"," ponto"),""),IF(IFERROR(VLOOKUP($ML45,$BB$2:$BF$24,4,FALSE),0)+IFERROR(VLOOKUP($MM45,$BB$2:$BF$24,4,FALSE),0)&gt;1,$NT45&amp;" e "&amp;$NU45&amp;" são as duas de frequência",""),IF(AND((COUNTIF($MH45:$MK45,"Rápido")+COUNTIF($NT45:$NU45,"Rápido"))&gt;0,(COUNTIF($MH45:$MK45,"Atrasar")+COUNTIF($NT45:$NU45,"Atrasar"))&gt;0),"Rápido não entra com Atrasar",""),IF(AND((COUNTIF($MH45:$MK45,"Reação")+COUNTIF($NT45:$NU45,"Reação"))&gt;0,(COUNTIF($MH45:$MK45,"Rápido")+COUNTIF($NT45:$NU45,"Rápido"))&gt;0),"Reação não entra com Rápido",""),IF(AND((COUNTIF($MH45:$MK45,"Reação")+COUNTIF($NT45:$NU45,"Reação"))&gt;0,(COUNTIF($MH45:$MK45,"Armado")+COUNTIF($NT45:$NU45,"Armado"))&gt;0),"Reação não entra com Armado",""),IF(AND((COUNTIF($MH45:$MK45,"Reação")+COUNTIF($NT45:$NU45,"Reação"))&gt;0,(COUNTIF($MH45:$MK45,"Atrasar")+COUNTIF($NT45:$NU45,"Atrasar"))&gt;0),"Reação não entra com Atrasar",""),IF(AND((COUNTIF($MH45:$MK45,"Reação")+COUNTIF($NT45:$NU45,"Reação"))&gt;0,(COUNTIF($MH45:$MK45,"Parado")+COUNTIF($NT45:$NU45,"Parado"))&gt;0),"Reação não entra com Parado",""),IF(AND((COUNTIF($MH45:$MK45,"Atrasar")+COUNTIF($NT45:$NU45,"Atrasar"))&gt;0,(COUNTIF($MH45:$MK45,"Parado")+COUNTIF($NT45:$NU45,"Parado"))&gt;0),"Atrasar não entra com Parado",""),IF(AND((COUNTIF($MH45:$MK45,"Armado")+COUNTIF($NT45:$NU45,"Armado"))&gt;0,(COUNTIF($MH45:$MK45,"Carregar")+COUNTIF($NT45:$NU45,"Carregar"))&gt;0),"Armado não entra com Carregar",""),IF(AND(COUNTIF($NT45:$NU45,"Corpo a Corpo")&gt;0,$NO45=0,OR($ME45="Cone",$ME45="Linha")),"Corpo a Corpo não entra em "&amp;$ME45,""),IF(AND(COUNTIF($NT45:$NU45,"Corpo a Corpo")&gt;0,$NO45=1),"A Forma "&amp;$ME45&amp;" já traz o Corpo a Corpo",""),IF(AND(COUNTIF($NT45:$NU45,"Tudo ou Nada")&gt;0,$NQ45=0),"Tudo ou Nada só entra em habilidade de Teste de Resistência",""),IF(AND(COUNTIF($MH45:$MK45,"Inescapável")&gt;0,OR($OD45&gt;1,$OE45&gt;0)),"Inescapável não aceita outra peça",""),IF(AND($MC45&gt;0,$OM45*IF(COUNTIF($MH45:$MK45,"Remate")&gt;0,1.25,1)+$ON45&gt;4*$MC45),($OM45*IF(COUNTIF($MH45:$MK45,"Remate")&gt;0,1.25,1)+$ON45)&amp;" dados somando repetições"&amp;IF(COUNTIF($MH45:$MK45,"Remate")&gt;0," e o Remate","")&amp;": o teto da Classe "&amp;$MC45&amp;" é "&amp;4*$MC45,"")))</f>
        <v/>
      </c>
      <c r="PD45" s="152">
        <f>IF($PC45="",0,(LEN($PC45)-LEN(SUBSTITUTE($PC45," · ","")))/3+1)</f>
        <v/>
      </c>
      <c r="PE45" s="152">
        <f>IF($MN45=0,"",TEXTJOIN(" · ",TRUE,IF($OG45&gt;2*$MC45,"A devolução parou no teto de "&amp;2*$MC45,""),IF($OJ45&gt;0,"Devolução perdida: "&amp;$OJ45&amp;IF($OJ45&gt;1," pontos"," ponto")&amp;" sem peça para pagar",""),IF(AND($NM45&gt;0,AND($MC45&gt;0,$NP45=0),$OM45=0),"Controle sem dano: uma rodada a mais e CD +2",""),IF(AND($NM45&gt;0,AND($MC45&gt;0,$NP45=0),$OM45&gt;0,$OM45&lt;=$MC45),"Controle com saldo até a Classe: uma rodada a mais",""),IF(AND($MC45&gt;0,$NN45&lt;&gt;""),"Efeito de "&amp;$NN45&amp;" pela Classe "&amp;MAX(1,$MC45-1),"")))</f>
        <v/>
      </c>
      <c r="PF45" s="152">
        <f>IF($PE45="",0,(LEN($PE45)-LEN(SUBSTITUTE($PE45," · ","")))/3+1)</f>
        <v/>
      </c>
      <c r="PG45" s="152">
        <f>IF($MN45=0,IF($OD45+COUNTIF($ML45:$MM45,"?*")&gt;0,"Dê um nome",""),IF($PD45&gt;0,"⚠ "&amp;$PD45&amp;IF($PD45&gt;1," erros"," erro"),IF($PF45&gt;0,"! "&amp;$PF45&amp;IF($PF45&gt;1," avisos"," aviso"),"Na regra")))</f>
        <v/>
      </c>
      <c r="PH45" s="152">
        <f>IF($MN45=0,"",IF($PD45+$PF45=0,"Dentro das regras que a ficha confere",$PC45&amp;IF(AND($PD45&gt;0,$PF45&gt;0)," · ","")&amp;$PE45))</f>
        <v/>
      </c>
      <c r="PI45" s="152">
        <f>IF($MA45&gt;$MO45,$MB45&amp;" · ABRE NO NÍVEL "&amp;$MA45,$MB45)</f>
        <v/>
      </c>
      <c r="PJ45" s="152">
        <f>IF($MN45=0,"",IF($MC45=0,"Sem PE",3*$MC45&amp;" PE"))</f>
        <v/>
      </c>
      <c r="PK45" s="152">
        <f>IF($MN45=0,"",IF($MC45=0,"A atuação básica dela",IF(COUNTIF($NT45:$NU45,"Atrasar")&gt;0,"Sua Ação Completa",IF(COUNTIF($MH45:$MK45,"Rápido")&gt;0,"Sua Bônus",IF(COUNTIF($MH45:$MK45,"Reação")&gt;0,"Sua Reação","Sua Padrão")))&amp;" + a básica dela"&amp;IF(COUNTIF($MH45:$MK45,"Reação")&gt;0," e a coletiva","")&amp;IF(COUNTIF($NT45:$NU45,"Carregar")&gt;0," · em dois turnos","")))</f>
        <v/>
      </c>
      <c r="PL45" s="152">
        <f>IF($MG45&lt;&gt;"",$MG45,IF($MT45=0,"",INDEX($AA$2:$AA$11,$MT45)))</f>
        <v/>
      </c>
      <c r="PM45" s="152">
        <f>IF(OR($MN45=0,$MT45=0),"",IF(COUNTIF($MH45:$MK45,"Inescapável")&gt;0,"Automático",IF($PL45="Ataque",IF($MR45="","Ataque","Ataque "&amp;IF(($MR45+2*IF(COUNTIF($MH45:$MK45,"Precisão")&gt;0,1,0))&gt;=0,"+","−")&amp;ABS(($MR45+2*IF(COUNTIF($MH45:$MK45,"Precisão")&gt;0,1,0)))),IF(LEFT($PL45,2)="TR",$PL45&amp;IF($MS45="",""," · CD "&amp;$MS45)&amp;IF(COUNTIF($MH45:$MK45,"Certeiro")&gt;0," · metade",""),"Sem rolagem"))))</f>
        <v/>
      </c>
      <c r="PN45" s="152">
        <f>IF(OR($MN45=0,$MT45=0),"",IF($MC45=0,IF(OR($NP45&gt;=1,$OM45=0),"Sem dano",$OM45&amp;"d6"&amp;IF($MF45="",""," "&amp;$MF45)),IF(OR($NP45&gt;=1,$OM45=0),UPPER(LEFT(INDEX($OV45:$PB45,1,MAX(1,$MC45)),1))&amp;MID(INDEX($OV45:$PB45,1,MAX(1,$MC45)),2,99),UPPER(LEFT(INDEX($OV45:$PB45,1,MAX(1,$MC45)),1))&amp;MID(INDEX($OV45:$PB45,1,MAX(1,$MC45)),2,99)&amp;IF($MF45="",""," "&amp;$MF45)&amp;IF($ON45&gt;0," · +"&amp;$ON45&amp;"d8",""))))</f>
        <v/>
      </c>
      <c r="PO45" s="152">
        <f>COUNTIF($MH45:$MK45,"Longe")+3*COUNTIF($MH45:$MK45,"Muito Longe")</f>
        <v/>
      </c>
      <c r="PP45" s="152">
        <f>COUNTIF($MH45:$MK45,"Maior")+3*COUNTIF($MH45:$MK45,"Muito Maior")</f>
        <v/>
      </c>
      <c r="PQ45" s="152">
        <f>IF($MT45=0,0,CHOOSE(1+INDEX($AC$2:$AC$11,$MT45),0,$PO45,$PP45,$PO45+$PP45))</f>
        <v/>
      </c>
      <c r="PR45" s="152">
        <f>IF($MT45=0,0,CHOOSE(1+INDEX($AD$2:$AD$11,$MT45),0,$PO45,$PP45,$PO45+$PP45))</f>
        <v/>
      </c>
      <c r="PS45" s="152">
        <f>IF(OR($MN45=0,$MT45=0),"",INDEX($AI$2:$AN$41,($MT45-1)*4+IF($MC45=0,1,IF($MC45&lt;=5,2,IF($MC45=6,3,4))),1+MIN(5,$PQ45))&amp;INDEX($AO$2:$AT$41,($MT45-1)*4+IF($MC45=0,1,IF($MC45&lt;=5,2,IF($MC45=6,3,4))),1+MIN(5,$PR45))&amp;IF(INDEX($AE$2:$AE$11,$MT45)=1,IF(COUNTIF($MH45:$MK45,"Mais Um")&gt;0," · +"&amp;COUNTIF($MH45:$MK45,"Mais Um")&amp;IF(COUNTIF($MH45:$MK45,"Mais Um")&gt;1," alvos"," alvo"),"")&amp;IF(COUNTIF($MH45:$MK45,"Rajada")&gt;0,IF($MC45=0," · 1 tiro"," · "&amp;(MAX(1,$MC45-1)+1)&amp;" tiros"),""),""))</f>
        <v/>
      </c>
      <c r="PT45" s="152">
        <f>IF($MN45=0,"",IF($MC45=0,$MQ45&amp;"d6"&amp;IF($OD45&gt;0," − 1 = "&amp;$OM45&amp;"d6"," da básica do nível "&amp;$MO45),$OK45&amp;" − "&amp;$OF45&amp;" + "&amp;$OI45&amp;" = "&amp;$OL45&amp;" · teto "&amp;4*$MC45&amp;"d8"&amp;IF($NO45=1," · a Forma devolve "&amp;$MC45,"")&amp;IF($OJ45&gt;0," · perde "&amp;$OJ45,"")))</f>
        <v/>
      </c>
      <c r="PU45" s="152">
        <f>IF($MN45=0,"",IF($MC45=0,"A básica não amplia: os dados dela sobem com o nível",IF($MC45&gt;=$MP45,"Já está na maior Classe que o nível liberou",TEXTJOIN(" · ",TRUE,IF(AND(2&gt;$MC45,2&lt;=$MP45),"2 → "&amp;$OW45&amp;", 6 PE",""),IF(AND(3&gt;$MC45,3&lt;=$MP45),"3 → "&amp;$OX45&amp;", 9 PE",""),IF(AND(4&gt;$MC45,4&lt;=$MP45),"4 → "&amp;$OY45&amp;", 12 PE",""),IF(AND(5&gt;$MC45,5&lt;=$MP45),"5 → "&amp;$OZ45&amp;", 15 PE",""),IF(AND(6&gt;$MC45,6&lt;=$MP45),"6 → "&amp;$PA45&amp;", 18 PE",""),IF(AND(7&gt;$MC45,7&lt;=$MP45),"7 → "&amp;$PB45&amp;", 21 PE","")))))</f>
        <v/>
      </c>
      <c r="PV45" s="152">
        <f>IF(OR($MN45=0,$MY45=0),"",IF($MC45=0,"−1 dado","−"&amp;INDEX($I$2:$N$8,MAX(1,$MC45),MAX(1,$ND45))&amp;" · "&amp;CHOOSE(MAX(1,$ND45),"Leve","Média","Pesada","Leve · Livre","Média · Livre","Pesada · Livre")))</f>
        <v/>
      </c>
      <c r="PW45" s="152">
        <f>IF(OR($MN45=0,$MZ45=0),"",IF($MC45=0,"−1 dado","−"&amp;INDEX($I$2:$N$8,MAX(1,$MC45),MAX(1,$NE45))&amp;" · "&amp;CHOOSE(MAX(1,$NE45),"Leve","Média","Pesada","Leve · Livre","Média · Livre","Pesada · Livre")))</f>
        <v/>
      </c>
      <c r="PX45" s="152">
        <f>IF(OR($MN45=0,$NA45=0),"",IF($MC45=0,"−1 dado","−"&amp;INDEX($I$2:$N$8,MAX(1,$MC45),MAX(1,$NF45))&amp;" · "&amp;CHOOSE(MAX(1,$NF45),"Leve","Média","Pesada","Leve · Livre","Média · Livre","Pesada · Livre")))</f>
        <v/>
      </c>
      <c r="PY45" s="152">
        <f>IF(OR($MN45=0,$NB45=0),"",IF($MC45=0,"−1 dado","−"&amp;INDEX($I$2:$N$8,MAX(1,$MC45),MAX(1,$NG45))&amp;" · "&amp;CHOOSE(MAX(1,$NG45),"Leve","Média","Pesada","Leve · Livre","Média · Livre","Pesada · Livre")))</f>
        <v/>
      </c>
      <c r="PZ45" s="152">
        <f>IF(OR($MN45=0,$ML45=""),"",IF($MC45=0,"não devolve","+"&amp;IF($NR45=1,CEILING($MC45/2,1),$MC45)))</f>
        <v/>
      </c>
      <c r="QA45" s="152">
        <f>IF(OR($MN45=0,$MM45=""),"",IF($MC45=0,"não devolve","+"&amp;IF($NS45=1,CEILING($MC45/2,1),$MC45)))</f>
        <v/>
      </c>
    </row>
    <row r="46">
      <c r="AV46" s="150" t="inlineStr">
        <is>
          <t>Abre Ferida</t>
        </is>
      </c>
      <c r="AW46" s="150" t="inlineStr">
        <is>
          <t>Auxiliares</t>
        </is>
      </c>
      <c r="AX46" s="152" t="n">
        <v>1</v>
      </c>
      <c r="AY46" s="152" t="n">
        <v>0</v>
      </c>
      <c r="AZ46" s="152" t="n">
        <v>0</v>
      </c>
      <c r="JD46" s="152">
        <f>IF(OR($AW46="",COUNTIF($ED$2:$EH$2,$AW46)&gt;0),$AV46,"")</f>
        <v/>
      </c>
      <c r="JE46" s="152">
        <f>IF(AND($AX46=1,OR($AW46="",COUNTIF($ED$2:$EH$2,$AW46)&gt;0)),$AV46,"")</f>
        <v/>
      </c>
      <c r="JJ46" s="152">
        <f>IF(OR($AW46="",COUNTIF($ED$3:$EH$3,$AW46)&gt;0),$AV46,"")</f>
        <v/>
      </c>
      <c r="JK46" s="152">
        <f>IF(AND($AX46=1,OR($AW46="",COUNTIF($ED$3:$EH$3,$AW46)&gt;0)),$AV46,"")</f>
        <v/>
      </c>
      <c r="JP46" s="152">
        <f>IF(OR($AW46="",COUNTIF($ED$4:$EH$4,$AW46)&gt;0),$AV46,"")</f>
        <v/>
      </c>
      <c r="JQ46" s="152">
        <f>IF(AND($AX46=1,OR($AW46="",COUNTIF($ED$4:$EH$4,$AW46)&gt;0)),$AV46,"")</f>
        <v/>
      </c>
      <c r="JV46" s="152">
        <f>IF(OR($AW46="",COUNTIF($ED$5:$EH$5,$AW46)&gt;0),$AV46,"")</f>
        <v/>
      </c>
      <c r="JW46" s="152">
        <f>IF(AND($AX46=1,OR($AW46="",COUNTIF($ED$5:$EH$5,$AW46)&gt;0)),$AV46,"")</f>
        <v/>
      </c>
      <c r="KB46" s="152">
        <f>IF(OR($AW46="",COUNTIF($ED$6:$EH$6,$AW46)&gt;0),$AV46,"")</f>
        <v/>
      </c>
      <c r="KC46" s="152">
        <f>IF(AND($AX46=1,OR($AW46="",COUNTIF($ED$6:$EH$6,$AW46)&gt;0)),$AV46,"")</f>
        <v/>
      </c>
      <c r="KH46" s="152">
        <f>IF(OR($AW46="",COUNTIF($ED$7:$EH$7,$AW46)&gt;0),$AV46,"")</f>
        <v/>
      </c>
      <c r="KI46" s="152">
        <f>IF(AND($AX46=1,OR($AW46="",COUNTIF($ED$7:$EH$7,$AW46)&gt;0)),$AV46,"")</f>
        <v/>
      </c>
      <c r="KN46" s="152">
        <f>IF(OR($AW46="",COUNTIF($ED$8:$EH$8,$AW46)&gt;0),$AV46,"")</f>
        <v/>
      </c>
      <c r="KO46" s="152">
        <f>IF(AND($AX46=1,OR($AW46="",COUNTIF($ED$8:$EH$8,$AW46)&gt;0)),$AV46,"")</f>
        <v/>
      </c>
      <c r="KT46" s="152">
        <f>IF(OR($AW46="",COUNTIF($ED$9:$EH$9,$AW46)&gt;0),$AV46,"")</f>
        <v/>
      </c>
      <c r="KU46" s="152">
        <f>IF(AND($AX46=1,OR($AW46="",COUNTIF($ED$9:$EH$9,$AW46)&gt;0)),$AV46,"")</f>
        <v/>
      </c>
      <c r="KZ46" s="152">
        <f>IF(OR($AW46="",COUNTIF($ED$10:$EH$10,$AW46)&gt;0),$AV46,"")</f>
        <v/>
      </c>
      <c r="LA46" s="152">
        <f>IF(AND($AX46=1,OR($AW46="",COUNTIF($ED$10:$EH$10,$AW46)&gt;0)),$AV46,"")</f>
        <v/>
      </c>
      <c r="LF46" s="152">
        <f>IF(OR($AW46="",COUNTIF($ED$11:$EH$11,$AW46)&gt;0),$AV46,"")</f>
        <v/>
      </c>
      <c r="LG46" s="152">
        <f>IF(AND($AX46=1,OR($AW46="",COUNTIF($ED$11:$EH$11,$AW46)&gt;0)),$AV46,"")</f>
        <v/>
      </c>
      <c r="LL46" s="152">
        <f>IF(OR($AW46="",COUNTIF($ED$12:$EH$12,$AW46)&gt;0),$AV46,"")</f>
        <v/>
      </c>
      <c r="LM46" s="152">
        <f>IF(AND($AX46=1,OR($AW46="",COUNTIF($ED$12:$EH$12,$AW46)&gt;0)),$AV46,"")</f>
        <v/>
      </c>
      <c r="LR46" s="152">
        <f>IF(OR($AW46="",COUNTIF($ED$13:$EH$13,$AW46)&gt;0),$AV46,"")</f>
        <v/>
      </c>
      <c r="LS46" s="152">
        <f>IF(AND($AX46=1,OR($AW46="",COUNTIF($ED$13:$EH$13,$AW46)&gt;0)),$AV46,"")</f>
        <v/>
      </c>
      <c r="LX46" s="150" t="inlineStr">
        <is>
          <t>Ficha 4 · Especial 4</t>
        </is>
      </c>
      <c r="LY46" s="152" t="n">
        <v>4</v>
      </c>
      <c r="LZ46" s="152" t="n">
        <v>1</v>
      </c>
      <c r="MA46" s="152" t="n">
        <v>12</v>
      </c>
      <c r="MB46" s="150" t="inlineStr">
        <is>
          <t>ESPECIAL 4</t>
        </is>
      </c>
      <c r="MC46" s="152">
        <f>MAX(1,MIN(7,N('INVOCAÇÕES'!$U$686)))</f>
        <v/>
      </c>
      <c r="MD46" s="152">
        <f>'INVOCAÇÕES'!$V$686&amp;""</f>
        <v/>
      </c>
      <c r="ME46" s="152">
        <f>'INVOCAÇÕES'!$U$691&amp;""</f>
        <v/>
      </c>
      <c r="MF46" s="152">
        <f>'INVOCAÇÕES'!$U$692&amp;""</f>
        <v/>
      </c>
      <c r="MG46" s="152">
        <f>'INVOCAÇÕES'!$W$692&amp;""</f>
        <v/>
      </c>
      <c r="MH46" s="152">
        <f>'INVOCAÇÕES'!$V$695&amp;""</f>
        <v/>
      </c>
      <c r="MI46" s="152">
        <f>'INVOCAÇÕES'!$V$696&amp;""</f>
        <v/>
      </c>
      <c r="MJ46" s="152">
        <f>'INVOCAÇÕES'!$V$697&amp;""</f>
        <v/>
      </c>
      <c r="MK46" s="152">
        <f>'INVOCAÇÕES'!$V$698&amp;""</f>
        <v/>
      </c>
      <c r="ML46" s="152">
        <f>'INVOCAÇÕES'!$V$699&amp;""</f>
        <v/>
      </c>
      <c r="MM46" s="152">
        <f>'INVOCAÇÕES'!$V$700&amp;""</f>
        <v/>
      </c>
      <c r="MN46" s="152">
        <f>IF($MD46&lt;&gt;"",1,0)</f>
        <v/>
      </c>
      <c r="MO46" s="152">
        <f>INDEX($FG$2:$FG$13,$LY46)</f>
        <v/>
      </c>
      <c r="MP46" s="152">
        <f>INDEX($FH$2:$FH$13,$LY46)</f>
        <v/>
      </c>
      <c r="MQ46" s="152">
        <f>INDEX($FI$2:$FI$13,$LY46)</f>
        <v/>
      </c>
      <c r="MR46" s="152">
        <f>INDEX($FT$2:$FT$13,$LY46)</f>
        <v/>
      </c>
      <c r="MS46" s="152">
        <f>INDEX($FU$2:$FU$13,$LY46)</f>
        <v/>
      </c>
      <c r="MT46" s="152">
        <f>IFERROR(MATCH($ME46,$V$2:$V$11,0),0)</f>
        <v/>
      </c>
      <c r="MU46" s="152">
        <f>IFERROR(VLOOKUP($MH46,$AV$2:$AZ$84,2,FALSE),"")</f>
        <v/>
      </c>
      <c r="MV46" s="152">
        <f>IFERROR(VLOOKUP($MI46,$AV$2:$AZ$84,2,FALSE),"")</f>
        <v/>
      </c>
      <c r="MW46" s="152">
        <f>IFERROR(VLOOKUP($MJ46,$AV$2:$AZ$84,2,FALSE),"")</f>
        <v/>
      </c>
      <c r="MX46" s="152">
        <f>IFERROR(VLOOKUP($MK46,$AV$2:$AZ$84,2,FALSE),"")</f>
        <v/>
      </c>
      <c r="MY46" s="152">
        <f>IFERROR(VLOOKUP($MH46,$AV$2:$AZ$84,3,FALSE),0)</f>
        <v/>
      </c>
      <c r="MZ46" s="152">
        <f>IFERROR(VLOOKUP($MI46,$AV$2:$AZ$84,3,FALSE),0)</f>
        <v/>
      </c>
      <c r="NA46" s="152">
        <f>IFERROR(VLOOKUP($MJ46,$AV$2:$AZ$84,3,FALSE),0)</f>
        <v/>
      </c>
      <c r="NB46" s="152">
        <f>IFERROR(VLOOKUP($MK46,$AV$2:$AZ$84,3,FALSE),0)</f>
        <v/>
      </c>
      <c r="NC46" s="152">
        <f>IF($MC46=0,0,IF($MT46=0,0,INDEX($X$2:$X$11,$MT46)))</f>
        <v/>
      </c>
      <c r="ND46" s="152">
        <f>IF(OR($MY46=0,$MC46=0),0,$MY46+3*IF(AND($MU46&lt;&gt;"",OR($MU46=INDEX($ED$2:$ED$13,$LY46),$MU46=INDEX($EE$2:$EE$13,$LY46))),1,0))</f>
        <v/>
      </c>
      <c r="NE46" s="152">
        <f>IF(OR($MZ46=0,$MC46=0),0,$MZ46+3*IF(AND($MV46&lt;&gt;"",OR($MV46=INDEX($ED$2:$ED$13,$LY46),$MV46=INDEX($EE$2:$EE$13,$LY46))),1,0))</f>
        <v/>
      </c>
      <c r="NF46" s="152">
        <f>IF(OR($NA46=0,$MC46=0),0,$NA46+3*IF(AND($MW46&lt;&gt;"",OR($MW46=INDEX($ED$2:$ED$13,$LY46),$MW46=INDEX($EE$2:$EE$13,$LY46))),1,0))</f>
        <v/>
      </c>
      <c r="NG46" s="152">
        <f>IF(OR($NB46=0,$MC46=0),0,$NB46+3*IF(AND($MX46&lt;&gt;"",OR($MX46=INDEX($ED$2:$ED$13,$LY46),$MX46=INDEX($EE$2:$EE$13,$LY46))),1,0))</f>
        <v/>
      </c>
      <c r="NH46" s="152">
        <f>IF($MT46=0,0,IF(INDEX($W$2:$W$11,$MT46)="",0,IF(COUNTIF(INDEX($ED$2:$EH$13,$LY46,0),INDEX($W$2:$W$11,$MT46))=0,1,0)))</f>
        <v/>
      </c>
      <c r="NI46" s="152">
        <f>IF(OR($MY46=0,$MU46=""),0,IF(COUNTIF(INDEX($ED$2:$EH$13,$LY46,0),$MU46)=0,1,0))</f>
        <v/>
      </c>
      <c r="NJ46" s="152">
        <f>IF(OR($MZ46=0,$MV46=""),0,IF(COUNTIF(INDEX($ED$2:$EH$13,$LY46,0),$MV46)=0,1,0))</f>
        <v/>
      </c>
      <c r="NK46" s="152">
        <f>IF(OR($NA46=0,$MW46=""),0,IF(COUNTIF(INDEX($ED$2:$EH$13,$LY46,0),$MW46)=0,1,0))</f>
        <v/>
      </c>
      <c r="NL46" s="152">
        <f>IF(OR($NB46=0,$MX46=""),0,IF(COUNTIF(INDEX($ED$2:$EH$13,$LY46,0),$MX46)=0,1,0))</f>
        <v/>
      </c>
      <c r="NM46" s="152">
        <f>IFERROR(VLOOKUP($MH46,$AV$2:$AZ$84,4,FALSE),0)+IFERROR(VLOOKUP($MI46,$AV$2:$AZ$84,4,FALSE),0)+IFERROR(VLOOKUP($MJ46,$AV$2:$AZ$84,4,FALSE),0)+IFERROR(VLOOKUP($MK46,$AV$2:$AZ$84,4,FALSE),0)</f>
        <v/>
      </c>
      <c r="NN46" s="152">
        <f>TEXTJOIN(", ",TRUE,IF(IFERROR(VLOOKUP($MH46,$AV$2:$AZ$84,5,FALSE),0)=1,$MH46,""),IF(IFERROR(VLOOKUP($MI46,$AV$2:$AZ$84,5,FALSE),0)=1,$MI46,""),IF(IFERROR(VLOOKUP($MJ46,$AV$2:$AZ$84,5,FALSE),0)=1,$MJ46,""),IF(IFERROR(VLOOKUP($MK46,$AV$2:$AZ$84,5,FALSE),0)=1,$MK46,""))</f>
        <v/>
      </c>
      <c r="NO46" s="152">
        <f>IF($MT46=0,0,INDEX($Y$2:$Y$11,$MT46))</f>
        <v/>
      </c>
      <c r="NP46" s="152">
        <f>IF($MT46=0,0,INDEX($Z$2:$Z$11,$MT46))</f>
        <v/>
      </c>
      <c r="NQ46" s="152">
        <f>IF($MT46=0,0,INDEX($AB$2:$AB$11,$MT46))</f>
        <v/>
      </c>
      <c r="NR46" s="152">
        <f>IFERROR(VLOOKUP($ML46,$BB$2:$BF$24,3,FALSE),0)</f>
        <v/>
      </c>
      <c r="NS46" s="152">
        <f>IFERROR(VLOOKUP($MM46,$BB$2:$BF$24,3,FALSE),0)</f>
        <v/>
      </c>
      <c r="NT46" s="152">
        <f>IFERROR(VLOOKUP($ML46,$BB$2:$BF$24,2,FALSE),"")</f>
        <v/>
      </c>
      <c r="NU46" s="152">
        <f>IFERROR(VLOOKUP($MM46,$BB$2:$BF$24,2,FALSE),"")</f>
        <v/>
      </c>
      <c r="NV46" s="152">
        <f>COUNTIF($NC46:$NG46,1)</f>
        <v/>
      </c>
      <c r="NW46" s="152">
        <f>COUNTIF($NC46:$NG46,2)</f>
        <v/>
      </c>
      <c r="NX46" s="152">
        <f>COUNTIF($NC46:$NG46,3)</f>
        <v/>
      </c>
      <c r="NY46" s="152">
        <f>COUNTIF($NC46:$NG46,4)</f>
        <v/>
      </c>
      <c r="NZ46" s="152">
        <f>COUNTIF($NC46:$NG46,5)</f>
        <v/>
      </c>
      <c r="OA46" s="152">
        <f>COUNTIF($NC46:$NG46,6)</f>
        <v/>
      </c>
      <c r="OB46" s="152">
        <f>COUNTIF($NR46:$NS46,1)</f>
        <v/>
      </c>
      <c r="OC46" s="152">
        <f>COUNTIF($NR46:$NS46,2)+$NO46</f>
        <v/>
      </c>
      <c r="OD46" s="152">
        <f>COUNTIF($MH46:$MK46,"?*")</f>
        <v/>
      </c>
      <c r="OE46" s="152">
        <f>COUNTIF($ML46:$MM46,"?*")+$NO46</f>
        <v/>
      </c>
      <c r="OF46" s="152">
        <f>IF($MC46=0,0,SUMPRODUCT($NV46:$OA46,INDEX($I$2:$N$8,MAX(1,$MC46),0)))</f>
        <v/>
      </c>
      <c r="OG46" s="152">
        <f>IF($MC46=0,0,$OB46*CEILING($MC46/2,1)+$OC46*$MC46)</f>
        <v/>
      </c>
      <c r="OH46" s="152">
        <f>MIN(2*$MC46,$OG46)</f>
        <v/>
      </c>
      <c r="OI46" s="152">
        <f>MIN($OH46,$OF46)</f>
        <v/>
      </c>
      <c r="OJ46" s="152">
        <f>$OH46-$OI46</f>
        <v/>
      </c>
      <c r="OK46" s="152">
        <f>IF($MC46=0,0,INDEX($P$2:$P$8,MAX(1,$MC46)))</f>
        <v/>
      </c>
      <c r="OL46" s="152">
        <f>$OK46-$OF46+$OI46</f>
        <v/>
      </c>
      <c r="OM46" s="152">
        <f>IF($MC46=0,MAX(0,$MQ46-IF($OD46&gt;0,1,0)),MAX(0,$OL46))</f>
        <v/>
      </c>
      <c r="ON46" s="152">
        <f>IF($MC46=0,0,(IF(COUNTIF($MH46:$MK46,"Salto")&gt;0,1,0)+IF(COUNTIF($MH46:$MK46,"Queima")&gt;0,1,0)+IF(COUNTIF($MH46:$MK46,"Estilhaço")&gt;0,1,0))*FLOOR($OM46/2,1))</f>
        <v/>
      </c>
      <c r="OO46" s="152">
        <f>MAX(0,2-SUMPRODUCT($NV46:$OA46,$I$2:$N$2)+MIN(2,$OB46*1+$OC46*1,SUMPRODUCT($NV46:$OA46,$I$2:$N$2)))</f>
        <v/>
      </c>
      <c r="OP46" s="152">
        <f>MAX(0,4-SUMPRODUCT($NV46:$OA46,$I$3:$N$3)+MIN(4,$OB46*1+$OC46*2,SUMPRODUCT($NV46:$OA46,$I$3:$N$3)))</f>
        <v/>
      </c>
      <c r="OQ46" s="152">
        <f>MAX(0,6-SUMPRODUCT($NV46:$OA46,$I$4:$N$4)+MIN(6,$OB46*2+$OC46*3,SUMPRODUCT($NV46:$OA46,$I$4:$N$4)))</f>
        <v/>
      </c>
      <c r="OR46" s="152">
        <f>MAX(0,9-SUMPRODUCT($NV46:$OA46,$I$5:$N$5)+MIN(8,$OB46*2+$OC46*4,SUMPRODUCT($NV46:$OA46,$I$5:$N$5)))</f>
        <v/>
      </c>
      <c r="OS46" s="152">
        <f>MAX(0,11-SUMPRODUCT($NV46:$OA46,$I$6:$N$6)+MIN(10,$OB46*3+$OC46*5,SUMPRODUCT($NV46:$OA46,$I$6:$N$6)))</f>
        <v/>
      </c>
      <c r="OT46" s="152">
        <f>MAX(0,13-SUMPRODUCT($NV46:$OA46,$I$7:$N$7)+MIN(12,$OB46*3+$OC46*6,SUMPRODUCT($NV46:$OA46,$I$7:$N$7)))</f>
        <v/>
      </c>
      <c r="OU46" s="152">
        <f>MAX(0,16-SUMPRODUCT($NV46:$OA46,$I$8:$N$8)+MIN(14,$OB46*4+$OC46*7,SUMPRODUCT($NV46:$OA46,$I$8:$N$8)))</f>
        <v/>
      </c>
      <c r="OV46" s="152">
        <f>IF($NP46=2,3*$OO46&amp;" de vida temp.",IF($NP46=3,"sem dano",IF($OO46=0,IF($NP46=1,"sem cura","sem dano"),IF($NP46=1,"cura ","")&amp;$OO46&amp;"d8")))</f>
        <v/>
      </c>
      <c r="OW46" s="152">
        <f>IF($NP46=2,3*$OP46&amp;" de vida temp.",IF($NP46=3,"sem dano",IF($OP46=0,IF($NP46=1,"sem cura","sem dano"),IF($NP46=1,"cura ","")&amp;$OP46&amp;"d8")))</f>
        <v/>
      </c>
      <c r="OX46" s="152">
        <f>IF($NP46=2,3*$OQ46&amp;" de vida temp.",IF($NP46=3,"sem dano",IF($OQ46=0,IF($NP46=1,"sem cura","sem dano"),IF($NP46=1,"cura ","")&amp;$OQ46&amp;"d8")))</f>
        <v/>
      </c>
      <c r="OY46" s="152">
        <f>IF($NP46=2,3*$OR46&amp;" de vida temp.",IF($NP46=3,"sem dano",IF($OR46=0,IF($NP46=1,"sem cura","sem dano"),IF($NP46=1,"cura ","")&amp;$OR46&amp;"d8")))</f>
        <v/>
      </c>
      <c r="OZ46" s="152">
        <f>IF($NP46=2,3*$OS46&amp;" de vida temp.",IF($NP46=3,"sem dano",IF($OS46=0,IF($NP46=1,"sem cura","sem dano"),IF($NP46=1,"cura ","")&amp;$OS46&amp;"d8")))</f>
        <v/>
      </c>
      <c r="PA46" s="152">
        <f>IF($NP46=2,3*$OT46&amp;" de vida temp.",IF($NP46=3,"sem dano",IF($OT46=0,IF($NP46=1,"sem cura","sem dano"),IF($NP46=1,"cura ","")&amp;$OT46&amp;"d8")))</f>
        <v/>
      </c>
      <c r="PB46" s="152">
        <f>IF($NP46=2,3*$OU46&amp;" de vida temp.",IF($NP46=3,"sem dano",IF($OU46=0,IF($NP46=1,"sem cura","sem dano"),IF($NP46=1,"cura ","")&amp;$OU46&amp;"d8")))</f>
        <v/>
      </c>
      <c r="PC46" s="152">
        <f>IF($MN46=0,"",TEXTJOIN(" · ",TRUE,IF($MA46&gt;$MO46,"Este lugar abre no nível "&amp;$MA46,""),IF($MC46&gt;$MP46,"Classe "&amp;$MC46&amp;": o nível "&amp;$MO46&amp;" libera até a "&amp;$MP46,""),IF($NH46=1,"A Forma "&amp;$ME46&amp;" pede "&amp;INDEX($W$2:$W$11,$MT46)&amp;" aberta",""),IF(AND($MC46=0,$MT46&gt;0,IF($MT46=0,0,INDEX($AF$2:$AF$11,$MT46))=0),$ME46&amp;" não existe na Classe 0",""),IF($NI46=1,"Família Fechada: "&amp;$MH46,""),IF($NJ46=1,"Família Fechada: "&amp;$MI46,""),IF($NK46=1,"Família Fechada: "&amp;$MJ46,""),IF($NL46=1,"Família Fechada: "&amp;$MK46,""),IF(AND($MC46&gt;0,$OD46&gt;INDEX($O$2:$O$8,MAX(1,$MC46))),$OD46&amp;" Melhorias: a Classe "&amp;$MC46&amp;" aceita "&amp;INDEX($O$2:$O$8,MAX(1,$MC46)),""),IF(AND($MC46=0,$OD46&gt;1),"A básica aceita uma Melhoria",""),IF(AND($MC46=0,COUNTIF($MY46:$NB46,"&gt;1")&gt;0),"A básica só aceita Melhoria Leve",""),IF(AND($MC46&gt;0,$OE46&gt;2),$OE46&amp;" Restrições"&amp;IF($NO46=1,", contando a que a Forma "&amp;$ME46&amp;" já traz","")&amp;": o limite é 2",""),IF(AND($MC46=0,COUNTIF($ML46:$MM46,"?*")&gt;1),"A básica aceita uma Restrição Leve",""),IF(AND($MC46=0,COUNTIF($NR46:$NS46,2)&gt;0),"A básica só aceita Restrição Leve",""),IF(AND($MC46&gt;0,$OL46&lt;0),"Orçamento estourado: faltam "&amp;(-$OL46)&amp;IF($OL46&lt;-1," pontos"," ponto"),""),IF(IFERROR(VLOOKUP($ML46,$BB$2:$BF$24,4,FALSE),0)+IFERROR(VLOOKUP($MM46,$BB$2:$BF$24,4,FALSE),0)&gt;1,$NT46&amp;" e "&amp;$NU46&amp;" são as duas de frequência",""),IF(AND((COUNTIF($MH46:$MK46,"Rápido")+COUNTIF($NT46:$NU46,"Rápido"))&gt;0,(COUNTIF($MH46:$MK46,"Atrasar")+COUNTIF($NT46:$NU46,"Atrasar"))&gt;0),"Rápido não entra com Atrasar",""),IF(AND((COUNTIF($MH46:$MK46,"Reação")+COUNTIF($NT46:$NU46,"Reação"))&gt;0,(COUNTIF($MH46:$MK46,"Rápido")+COUNTIF($NT46:$NU46,"Rápido"))&gt;0),"Reação não entra com Rápido",""),IF(AND((COUNTIF($MH46:$MK46,"Reação")+COUNTIF($NT46:$NU46,"Reação"))&gt;0,(COUNTIF($MH46:$MK46,"Armado")+COUNTIF($NT46:$NU46,"Armado"))&gt;0),"Reação não entra com Armado",""),IF(AND((COUNTIF($MH46:$MK46,"Reação")+COUNTIF($NT46:$NU46,"Reação"))&gt;0,(COUNTIF($MH46:$MK46,"Atrasar")+COUNTIF($NT46:$NU46,"Atrasar"))&gt;0),"Reação não entra com Atrasar",""),IF(AND((COUNTIF($MH46:$MK46,"Reação")+COUNTIF($NT46:$NU46,"Reação"))&gt;0,(COUNTIF($MH46:$MK46,"Parado")+COUNTIF($NT46:$NU46,"Parado"))&gt;0),"Reação não entra com Parado",""),IF(AND((COUNTIF($MH46:$MK46,"Atrasar")+COUNTIF($NT46:$NU46,"Atrasar"))&gt;0,(COUNTIF($MH46:$MK46,"Parado")+COUNTIF($NT46:$NU46,"Parado"))&gt;0),"Atrasar não entra com Parado",""),IF(AND((COUNTIF($MH46:$MK46,"Armado")+COUNTIF($NT46:$NU46,"Armado"))&gt;0,(COUNTIF($MH46:$MK46,"Carregar")+COUNTIF($NT46:$NU46,"Carregar"))&gt;0),"Armado não entra com Carregar",""),IF(AND(COUNTIF($NT46:$NU46,"Corpo a Corpo")&gt;0,$NO46=0,OR($ME46="Cone",$ME46="Linha")),"Corpo a Corpo não entra em "&amp;$ME46,""),IF(AND(COUNTIF($NT46:$NU46,"Corpo a Corpo")&gt;0,$NO46=1),"A Forma "&amp;$ME46&amp;" já traz o Corpo a Corpo",""),IF(AND(COUNTIF($NT46:$NU46,"Tudo ou Nada")&gt;0,$NQ46=0),"Tudo ou Nada só entra em habilidade de Teste de Resistência",""),IF(AND(COUNTIF($MH46:$MK46,"Inescapável")&gt;0,OR($OD46&gt;1,$OE46&gt;0)),"Inescapável não aceita outra peça",""),IF(AND($MC46&gt;0,$OM46*IF(COUNTIF($MH46:$MK46,"Remate")&gt;0,1.25,1)+$ON46&gt;4*$MC46),($OM46*IF(COUNTIF($MH46:$MK46,"Remate")&gt;0,1.25,1)+$ON46)&amp;" dados somando repetições"&amp;IF(COUNTIF($MH46:$MK46,"Remate")&gt;0," e o Remate","")&amp;": o teto da Classe "&amp;$MC46&amp;" é "&amp;4*$MC46,"")))</f>
        <v/>
      </c>
      <c r="PD46" s="152">
        <f>IF($PC46="",0,(LEN($PC46)-LEN(SUBSTITUTE($PC46," · ","")))/3+1)</f>
        <v/>
      </c>
      <c r="PE46" s="152">
        <f>IF($MN46=0,"",TEXTJOIN(" · ",TRUE,IF($OG46&gt;2*$MC46,"A devolução parou no teto de "&amp;2*$MC46,""),IF($OJ46&gt;0,"Devolução perdida: "&amp;$OJ46&amp;IF($OJ46&gt;1," pontos"," ponto")&amp;" sem peça para pagar",""),IF(AND($NM46&gt;0,AND($MC46&gt;0,$NP46=0),$OM46=0),"Controle sem dano: uma rodada a mais e CD +2",""),IF(AND($NM46&gt;0,AND($MC46&gt;0,$NP46=0),$OM46&gt;0,$OM46&lt;=$MC46),"Controle com saldo até a Classe: uma rodada a mais",""),IF(AND($MC46&gt;0,$NN46&lt;&gt;""),"Efeito de "&amp;$NN46&amp;" pela Classe "&amp;MAX(1,$MC46-1),"")))</f>
        <v/>
      </c>
      <c r="PF46" s="152">
        <f>IF($PE46="",0,(LEN($PE46)-LEN(SUBSTITUTE($PE46," · ","")))/3+1)</f>
        <v/>
      </c>
      <c r="PG46" s="152">
        <f>IF($MN46=0,IF($OD46+COUNTIF($ML46:$MM46,"?*")&gt;0,"Dê um nome",""),IF($PD46&gt;0,"⚠ "&amp;$PD46&amp;IF($PD46&gt;1," erros"," erro"),IF($PF46&gt;0,"! "&amp;$PF46&amp;IF($PF46&gt;1," avisos"," aviso"),"Na regra")))</f>
        <v/>
      </c>
      <c r="PH46" s="152">
        <f>IF($MN46=0,"",IF($PD46+$PF46=0,"Dentro das regras que a ficha confere",$PC46&amp;IF(AND($PD46&gt;0,$PF46&gt;0)," · ","")&amp;$PE46))</f>
        <v/>
      </c>
      <c r="PI46" s="152">
        <f>IF($MA46&gt;$MO46,$MB46&amp;" · ABRE NO NÍVEL "&amp;$MA46,$MB46)</f>
        <v/>
      </c>
      <c r="PJ46" s="152">
        <f>IF($MN46=0,"",IF($MC46=0,"Sem PE",3*$MC46&amp;" PE"))</f>
        <v/>
      </c>
      <c r="PK46" s="152">
        <f>IF($MN46=0,"",IF($MC46=0,"A atuação básica dela",IF(COUNTIF($NT46:$NU46,"Atrasar")&gt;0,"Sua Ação Completa",IF(COUNTIF($MH46:$MK46,"Rápido")&gt;0,"Sua Bônus",IF(COUNTIF($MH46:$MK46,"Reação")&gt;0,"Sua Reação","Sua Padrão")))&amp;" + a básica dela"&amp;IF(COUNTIF($MH46:$MK46,"Reação")&gt;0," e a coletiva","")&amp;IF(COUNTIF($NT46:$NU46,"Carregar")&gt;0," · em dois turnos","")))</f>
        <v/>
      </c>
      <c r="PL46" s="152">
        <f>IF($MG46&lt;&gt;"",$MG46,IF($MT46=0,"",INDEX($AA$2:$AA$11,$MT46)))</f>
        <v/>
      </c>
      <c r="PM46" s="152">
        <f>IF(OR($MN46=0,$MT46=0),"",IF(COUNTIF($MH46:$MK46,"Inescapável")&gt;0,"Automático",IF($PL46="Ataque",IF($MR46="","Ataque","Ataque "&amp;IF(($MR46+2*IF(COUNTIF($MH46:$MK46,"Precisão")&gt;0,1,0))&gt;=0,"+","−")&amp;ABS(($MR46+2*IF(COUNTIF($MH46:$MK46,"Precisão")&gt;0,1,0)))),IF(LEFT($PL46,2)="TR",$PL46&amp;IF($MS46="",""," · CD "&amp;$MS46)&amp;IF(COUNTIF($MH46:$MK46,"Certeiro")&gt;0," · metade",""),"Sem rolagem"))))</f>
        <v/>
      </c>
      <c r="PN46" s="152">
        <f>IF(OR($MN46=0,$MT46=0),"",IF($MC46=0,IF(OR($NP46&gt;=1,$OM46=0),"Sem dano",$OM46&amp;"d6"&amp;IF($MF46="",""," "&amp;$MF46)),IF(OR($NP46&gt;=1,$OM46=0),UPPER(LEFT(INDEX($OV46:$PB46,1,MAX(1,$MC46)),1))&amp;MID(INDEX($OV46:$PB46,1,MAX(1,$MC46)),2,99),UPPER(LEFT(INDEX($OV46:$PB46,1,MAX(1,$MC46)),1))&amp;MID(INDEX($OV46:$PB46,1,MAX(1,$MC46)),2,99)&amp;IF($MF46="",""," "&amp;$MF46)&amp;IF($ON46&gt;0," · +"&amp;$ON46&amp;"d8",""))))</f>
        <v/>
      </c>
      <c r="PO46" s="152">
        <f>COUNTIF($MH46:$MK46,"Longe")+3*COUNTIF($MH46:$MK46,"Muito Longe")</f>
        <v/>
      </c>
      <c r="PP46" s="152">
        <f>COUNTIF($MH46:$MK46,"Maior")+3*COUNTIF($MH46:$MK46,"Muito Maior")</f>
        <v/>
      </c>
      <c r="PQ46" s="152">
        <f>IF($MT46=0,0,CHOOSE(1+INDEX($AC$2:$AC$11,$MT46),0,$PO46,$PP46,$PO46+$PP46))</f>
        <v/>
      </c>
      <c r="PR46" s="152">
        <f>IF($MT46=0,0,CHOOSE(1+INDEX($AD$2:$AD$11,$MT46),0,$PO46,$PP46,$PO46+$PP46))</f>
        <v/>
      </c>
      <c r="PS46" s="152">
        <f>IF(OR($MN46=0,$MT46=0),"",INDEX($AI$2:$AN$41,($MT46-1)*4+IF($MC46=0,1,IF($MC46&lt;=5,2,IF($MC46=6,3,4))),1+MIN(5,$PQ46))&amp;INDEX($AO$2:$AT$41,($MT46-1)*4+IF($MC46=0,1,IF($MC46&lt;=5,2,IF($MC46=6,3,4))),1+MIN(5,$PR46))&amp;IF(INDEX($AE$2:$AE$11,$MT46)=1,IF(COUNTIF($MH46:$MK46,"Mais Um")&gt;0," · +"&amp;COUNTIF($MH46:$MK46,"Mais Um")&amp;IF(COUNTIF($MH46:$MK46,"Mais Um")&gt;1," alvos"," alvo"),"")&amp;IF(COUNTIF($MH46:$MK46,"Rajada")&gt;0,IF($MC46=0," · 1 tiro"," · "&amp;(MAX(1,$MC46-1)+1)&amp;" tiros"),""),""))</f>
        <v/>
      </c>
      <c r="PT46" s="152">
        <f>IF($MN46=0,"",IF($MC46=0,$MQ46&amp;"d6"&amp;IF($OD46&gt;0," − 1 = "&amp;$OM46&amp;"d6"," da básica do nível "&amp;$MO46),$OK46&amp;" − "&amp;$OF46&amp;" + "&amp;$OI46&amp;" = "&amp;$OL46&amp;" · teto "&amp;4*$MC46&amp;"d8"&amp;IF($NO46=1," · a Forma devolve "&amp;$MC46,"")&amp;IF($OJ46&gt;0," · perde "&amp;$OJ46,"")))</f>
        <v/>
      </c>
      <c r="PU46" s="152">
        <f>IF($MN46=0,"",IF($MC46=0,"A básica não amplia: os dados dela sobem com o nível",IF($MC46&gt;=$MP46,"Já está na maior Classe que o nível liberou",TEXTJOIN(" · ",TRUE,IF(AND(2&gt;$MC46,2&lt;=$MP46),"2 → "&amp;$OW46&amp;", 6 PE",""),IF(AND(3&gt;$MC46,3&lt;=$MP46),"3 → "&amp;$OX46&amp;", 9 PE",""),IF(AND(4&gt;$MC46,4&lt;=$MP46),"4 → "&amp;$OY46&amp;", 12 PE",""),IF(AND(5&gt;$MC46,5&lt;=$MP46),"5 → "&amp;$OZ46&amp;", 15 PE",""),IF(AND(6&gt;$MC46,6&lt;=$MP46),"6 → "&amp;$PA46&amp;", 18 PE",""),IF(AND(7&gt;$MC46,7&lt;=$MP46),"7 → "&amp;$PB46&amp;", 21 PE","")))))</f>
        <v/>
      </c>
      <c r="PV46" s="152">
        <f>IF(OR($MN46=0,$MY46=0),"",IF($MC46=0,"−1 dado","−"&amp;INDEX($I$2:$N$8,MAX(1,$MC46),MAX(1,$ND46))&amp;" · "&amp;CHOOSE(MAX(1,$ND46),"Leve","Média","Pesada","Leve · Livre","Média · Livre","Pesada · Livre")))</f>
        <v/>
      </c>
      <c r="PW46" s="152">
        <f>IF(OR($MN46=0,$MZ46=0),"",IF($MC46=0,"−1 dado","−"&amp;INDEX($I$2:$N$8,MAX(1,$MC46),MAX(1,$NE46))&amp;" · "&amp;CHOOSE(MAX(1,$NE46),"Leve","Média","Pesada","Leve · Livre","Média · Livre","Pesada · Livre")))</f>
        <v/>
      </c>
      <c r="PX46" s="152">
        <f>IF(OR($MN46=0,$NA46=0),"",IF($MC46=0,"−1 dado","−"&amp;INDEX($I$2:$N$8,MAX(1,$MC46),MAX(1,$NF46))&amp;" · "&amp;CHOOSE(MAX(1,$NF46),"Leve","Média","Pesada","Leve · Livre","Média · Livre","Pesada · Livre")))</f>
        <v/>
      </c>
      <c r="PY46" s="152">
        <f>IF(OR($MN46=0,$NB46=0),"",IF($MC46=0,"−1 dado","−"&amp;INDEX($I$2:$N$8,MAX(1,$MC46),MAX(1,$NG46))&amp;" · "&amp;CHOOSE(MAX(1,$NG46),"Leve","Média","Pesada","Leve · Livre","Média · Livre","Pesada · Livre")))</f>
        <v/>
      </c>
      <c r="PZ46" s="152">
        <f>IF(OR($MN46=0,$ML46=""),"",IF($MC46=0,"não devolve","+"&amp;IF($NR46=1,CEILING($MC46/2,1),$MC46)))</f>
        <v/>
      </c>
      <c r="QA46" s="152">
        <f>IF(OR($MN46=0,$MM46=""),"",IF($MC46=0,"não devolve","+"&amp;IF($NS46=1,CEILING($MC46/2,1),$MC46)))</f>
        <v/>
      </c>
    </row>
    <row r="47">
      <c r="AV47" s="150" t="inlineStr">
        <is>
          <t>Sobrecarga</t>
        </is>
      </c>
      <c r="AW47" s="150" t="inlineStr">
        <is>
          <t>Auxiliares</t>
        </is>
      </c>
      <c r="AX47" s="152" t="n">
        <v>1</v>
      </c>
      <c r="AY47" s="152" t="n">
        <v>0</v>
      </c>
      <c r="AZ47" s="152" t="n">
        <v>0</v>
      </c>
      <c r="JD47" s="152">
        <f>IF(OR($AW47="",COUNTIF($ED$2:$EH$2,$AW47)&gt;0),$AV47,"")</f>
        <v/>
      </c>
      <c r="JE47" s="152">
        <f>IF(AND($AX47=1,OR($AW47="",COUNTIF($ED$2:$EH$2,$AW47)&gt;0)),$AV47,"")</f>
        <v/>
      </c>
      <c r="JJ47" s="152">
        <f>IF(OR($AW47="",COUNTIF($ED$3:$EH$3,$AW47)&gt;0),$AV47,"")</f>
        <v/>
      </c>
      <c r="JK47" s="152">
        <f>IF(AND($AX47=1,OR($AW47="",COUNTIF($ED$3:$EH$3,$AW47)&gt;0)),$AV47,"")</f>
        <v/>
      </c>
      <c r="JP47" s="152">
        <f>IF(OR($AW47="",COUNTIF($ED$4:$EH$4,$AW47)&gt;0),$AV47,"")</f>
        <v/>
      </c>
      <c r="JQ47" s="152">
        <f>IF(AND($AX47=1,OR($AW47="",COUNTIF($ED$4:$EH$4,$AW47)&gt;0)),$AV47,"")</f>
        <v/>
      </c>
      <c r="JV47" s="152">
        <f>IF(OR($AW47="",COUNTIF($ED$5:$EH$5,$AW47)&gt;0),$AV47,"")</f>
        <v/>
      </c>
      <c r="JW47" s="152">
        <f>IF(AND($AX47=1,OR($AW47="",COUNTIF($ED$5:$EH$5,$AW47)&gt;0)),$AV47,"")</f>
        <v/>
      </c>
      <c r="KB47" s="152">
        <f>IF(OR($AW47="",COUNTIF($ED$6:$EH$6,$AW47)&gt;0),$AV47,"")</f>
        <v/>
      </c>
      <c r="KC47" s="152">
        <f>IF(AND($AX47=1,OR($AW47="",COUNTIF($ED$6:$EH$6,$AW47)&gt;0)),$AV47,"")</f>
        <v/>
      </c>
      <c r="KH47" s="152">
        <f>IF(OR($AW47="",COUNTIF($ED$7:$EH$7,$AW47)&gt;0),$AV47,"")</f>
        <v/>
      </c>
      <c r="KI47" s="152">
        <f>IF(AND($AX47=1,OR($AW47="",COUNTIF($ED$7:$EH$7,$AW47)&gt;0)),$AV47,"")</f>
        <v/>
      </c>
      <c r="KN47" s="152">
        <f>IF(OR($AW47="",COUNTIF($ED$8:$EH$8,$AW47)&gt;0),$AV47,"")</f>
        <v/>
      </c>
      <c r="KO47" s="152">
        <f>IF(AND($AX47=1,OR($AW47="",COUNTIF($ED$8:$EH$8,$AW47)&gt;0)),$AV47,"")</f>
        <v/>
      </c>
      <c r="KT47" s="152">
        <f>IF(OR($AW47="",COUNTIF($ED$9:$EH$9,$AW47)&gt;0),$AV47,"")</f>
        <v/>
      </c>
      <c r="KU47" s="152">
        <f>IF(AND($AX47=1,OR($AW47="",COUNTIF($ED$9:$EH$9,$AW47)&gt;0)),$AV47,"")</f>
        <v/>
      </c>
      <c r="KZ47" s="152">
        <f>IF(OR($AW47="",COUNTIF($ED$10:$EH$10,$AW47)&gt;0),$AV47,"")</f>
        <v/>
      </c>
      <c r="LA47" s="152">
        <f>IF(AND($AX47=1,OR($AW47="",COUNTIF($ED$10:$EH$10,$AW47)&gt;0)),$AV47,"")</f>
        <v/>
      </c>
      <c r="LF47" s="152">
        <f>IF(OR($AW47="",COUNTIF($ED$11:$EH$11,$AW47)&gt;0),$AV47,"")</f>
        <v/>
      </c>
      <c r="LG47" s="152">
        <f>IF(AND($AX47=1,OR($AW47="",COUNTIF($ED$11:$EH$11,$AW47)&gt;0)),$AV47,"")</f>
        <v/>
      </c>
      <c r="LL47" s="152">
        <f>IF(OR($AW47="",COUNTIF($ED$12:$EH$12,$AW47)&gt;0),$AV47,"")</f>
        <v/>
      </c>
      <c r="LM47" s="152">
        <f>IF(AND($AX47=1,OR($AW47="",COUNTIF($ED$12:$EH$12,$AW47)&gt;0)),$AV47,"")</f>
        <v/>
      </c>
      <c r="LR47" s="152">
        <f>IF(OR($AW47="",COUNTIF($ED$13:$EH$13,$AW47)&gt;0),$AV47,"")</f>
        <v/>
      </c>
      <c r="LS47" s="152">
        <f>IF(AND($AX47=1,OR($AW47="",COUNTIF($ED$13:$EH$13,$AW47)&gt;0)),$AV47,"")</f>
        <v/>
      </c>
      <c r="LX47" s="150" t="inlineStr">
        <is>
          <t>Ficha 4 · Especial 5</t>
        </is>
      </c>
      <c r="LY47" s="152" t="n">
        <v>4</v>
      </c>
      <c r="LZ47" s="152" t="n">
        <v>1</v>
      </c>
      <c r="MA47" s="152" t="n">
        <v>16</v>
      </c>
      <c r="MB47" s="150" t="inlineStr">
        <is>
          <t>ESPECIAL 5</t>
        </is>
      </c>
      <c r="MC47" s="152">
        <f>MAX(1,MIN(7,N('INVOCAÇÕES'!$I$708)))</f>
        <v/>
      </c>
      <c r="MD47" s="152">
        <f>'INVOCAÇÕES'!$J$708&amp;""</f>
        <v/>
      </c>
      <c r="ME47" s="152">
        <f>'INVOCAÇÕES'!$I$713&amp;""</f>
        <v/>
      </c>
      <c r="MF47" s="152">
        <f>'INVOCAÇÕES'!$I$714&amp;""</f>
        <v/>
      </c>
      <c r="MG47" s="152">
        <f>'INVOCAÇÕES'!$K$714&amp;""</f>
        <v/>
      </c>
      <c r="MH47" s="152">
        <f>'INVOCAÇÕES'!$J$717&amp;""</f>
        <v/>
      </c>
      <c r="MI47" s="152">
        <f>'INVOCAÇÕES'!$J$718&amp;""</f>
        <v/>
      </c>
      <c r="MJ47" s="152">
        <f>'INVOCAÇÕES'!$J$719&amp;""</f>
        <v/>
      </c>
      <c r="MK47" s="152">
        <f>'INVOCAÇÕES'!$J$720&amp;""</f>
        <v/>
      </c>
      <c r="ML47" s="152">
        <f>'INVOCAÇÕES'!$J$721&amp;""</f>
        <v/>
      </c>
      <c r="MM47" s="152">
        <f>'INVOCAÇÕES'!$J$722&amp;""</f>
        <v/>
      </c>
      <c r="MN47" s="152">
        <f>IF($MD47&lt;&gt;"",1,0)</f>
        <v/>
      </c>
      <c r="MO47" s="152">
        <f>INDEX($FG$2:$FG$13,$LY47)</f>
        <v/>
      </c>
      <c r="MP47" s="152">
        <f>INDEX($FH$2:$FH$13,$LY47)</f>
        <v/>
      </c>
      <c r="MQ47" s="152">
        <f>INDEX($FI$2:$FI$13,$LY47)</f>
        <v/>
      </c>
      <c r="MR47" s="152">
        <f>INDEX($FT$2:$FT$13,$LY47)</f>
        <v/>
      </c>
      <c r="MS47" s="152">
        <f>INDEX($FU$2:$FU$13,$LY47)</f>
        <v/>
      </c>
      <c r="MT47" s="152">
        <f>IFERROR(MATCH($ME47,$V$2:$V$11,0),0)</f>
        <v/>
      </c>
      <c r="MU47" s="152">
        <f>IFERROR(VLOOKUP($MH47,$AV$2:$AZ$84,2,FALSE),"")</f>
        <v/>
      </c>
      <c r="MV47" s="152">
        <f>IFERROR(VLOOKUP($MI47,$AV$2:$AZ$84,2,FALSE),"")</f>
        <v/>
      </c>
      <c r="MW47" s="152">
        <f>IFERROR(VLOOKUP($MJ47,$AV$2:$AZ$84,2,FALSE),"")</f>
        <v/>
      </c>
      <c r="MX47" s="152">
        <f>IFERROR(VLOOKUP($MK47,$AV$2:$AZ$84,2,FALSE),"")</f>
        <v/>
      </c>
      <c r="MY47" s="152">
        <f>IFERROR(VLOOKUP($MH47,$AV$2:$AZ$84,3,FALSE),0)</f>
        <v/>
      </c>
      <c r="MZ47" s="152">
        <f>IFERROR(VLOOKUP($MI47,$AV$2:$AZ$84,3,FALSE),0)</f>
        <v/>
      </c>
      <c r="NA47" s="152">
        <f>IFERROR(VLOOKUP($MJ47,$AV$2:$AZ$84,3,FALSE),0)</f>
        <v/>
      </c>
      <c r="NB47" s="152">
        <f>IFERROR(VLOOKUP($MK47,$AV$2:$AZ$84,3,FALSE),0)</f>
        <v/>
      </c>
      <c r="NC47" s="152">
        <f>IF($MC47=0,0,IF($MT47=0,0,INDEX($X$2:$X$11,$MT47)))</f>
        <v/>
      </c>
      <c r="ND47" s="152">
        <f>IF(OR($MY47=0,$MC47=0),0,$MY47+3*IF(AND($MU47&lt;&gt;"",OR($MU47=INDEX($ED$2:$ED$13,$LY47),$MU47=INDEX($EE$2:$EE$13,$LY47))),1,0))</f>
        <v/>
      </c>
      <c r="NE47" s="152">
        <f>IF(OR($MZ47=0,$MC47=0),0,$MZ47+3*IF(AND($MV47&lt;&gt;"",OR($MV47=INDEX($ED$2:$ED$13,$LY47),$MV47=INDEX($EE$2:$EE$13,$LY47))),1,0))</f>
        <v/>
      </c>
      <c r="NF47" s="152">
        <f>IF(OR($NA47=0,$MC47=0),0,$NA47+3*IF(AND($MW47&lt;&gt;"",OR($MW47=INDEX($ED$2:$ED$13,$LY47),$MW47=INDEX($EE$2:$EE$13,$LY47))),1,0))</f>
        <v/>
      </c>
      <c r="NG47" s="152">
        <f>IF(OR($NB47=0,$MC47=0),0,$NB47+3*IF(AND($MX47&lt;&gt;"",OR($MX47=INDEX($ED$2:$ED$13,$LY47),$MX47=INDEX($EE$2:$EE$13,$LY47))),1,0))</f>
        <v/>
      </c>
      <c r="NH47" s="152">
        <f>IF($MT47=0,0,IF(INDEX($W$2:$W$11,$MT47)="",0,IF(COUNTIF(INDEX($ED$2:$EH$13,$LY47,0),INDEX($W$2:$W$11,$MT47))=0,1,0)))</f>
        <v/>
      </c>
      <c r="NI47" s="152">
        <f>IF(OR($MY47=0,$MU47=""),0,IF(COUNTIF(INDEX($ED$2:$EH$13,$LY47,0),$MU47)=0,1,0))</f>
        <v/>
      </c>
      <c r="NJ47" s="152">
        <f>IF(OR($MZ47=0,$MV47=""),0,IF(COUNTIF(INDEX($ED$2:$EH$13,$LY47,0),$MV47)=0,1,0))</f>
        <v/>
      </c>
      <c r="NK47" s="152">
        <f>IF(OR($NA47=0,$MW47=""),0,IF(COUNTIF(INDEX($ED$2:$EH$13,$LY47,0),$MW47)=0,1,0))</f>
        <v/>
      </c>
      <c r="NL47" s="152">
        <f>IF(OR($NB47=0,$MX47=""),0,IF(COUNTIF(INDEX($ED$2:$EH$13,$LY47,0),$MX47)=0,1,0))</f>
        <v/>
      </c>
      <c r="NM47" s="152">
        <f>IFERROR(VLOOKUP($MH47,$AV$2:$AZ$84,4,FALSE),0)+IFERROR(VLOOKUP($MI47,$AV$2:$AZ$84,4,FALSE),0)+IFERROR(VLOOKUP($MJ47,$AV$2:$AZ$84,4,FALSE),0)+IFERROR(VLOOKUP($MK47,$AV$2:$AZ$84,4,FALSE),0)</f>
        <v/>
      </c>
      <c r="NN47" s="152">
        <f>TEXTJOIN(", ",TRUE,IF(IFERROR(VLOOKUP($MH47,$AV$2:$AZ$84,5,FALSE),0)=1,$MH47,""),IF(IFERROR(VLOOKUP($MI47,$AV$2:$AZ$84,5,FALSE),0)=1,$MI47,""),IF(IFERROR(VLOOKUP($MJ47,$AV$2:$AZ$84,5,FALSE),0)=1,$MJ47,""),IF(IFERROR(VLOOKUP($MK47,$AV$2:$AZ$84,5,FALSE),0)=1,$MK47,""))</f>
        <v/>
      </c>
      <c r="NO47" s="152">
        <f>IF($MT47=0,0,INDEX($Y$2:$Y$11,$MT47))</f>
        <v/>
      </c>
      <c r="NP47" s="152">
        <f>IF($MT47=0,0,INDEX($Z$2:$Z$11,$MT47))</f>
        <v/>
      </c>
      <c r="NQ47" s="152">
        <f>IF($MT47=0,0,INDEX($AB$2:$AB$11,$MT47))</f>
        <v/>
      </c>
      <c r="NR47" s="152">
        <f>IFERROR(VLOOKUP($ML47,$BB$2:$BF$24,3,FALSE),0)</f>
        <v/>
      </c>
      <c r="NS47" s="152">
        <f>IFERROR(VLOOKUP($MM47,$BB$2:$BF$24,3,FALSE),0)</f>
        <v/>
      </c>
      <c r="NT47" s="152">
        <f>IFERROR(VLOOKUP($ML47,$BB$2:$BF$24,2,FALSE),"")</f>
        <v/>
      </c>
      <c r="NU47" s="152">
        <f>IFERROR(VLOOKUP($MM47,$BB$2:$BF$24,2,FALSE),"")</f>
        <v/>
      </c>
      <c r="NV47" s="152">
        <f>COUNTIF($NC47:$NG47,1)</f>
        <v/>
      </c>
      <c r="NW47" s="152">
        <f>COUNTIF($NC47:$NG47,2)</f>
        <v/>
      </c>
      <c r="NX47" s="152">
        <f>COUNTIF($NC47:$NG47,3)</f>
        <v/>
      </c>
      <c r="NY47" s="152">
        <f>COUNTIF($NC47:$NG47,4)</f>
        <v/>
      </c>
      <c r="NZ47" s="152">
        <f>COUNTIF($NC47:$NG47,5)</f>
        <v/>
      </c>
      <c r="OA47" s="152">
        <f>COUNTIF($NC47:$NG47,6)</f>
        <v/>
      </c>
      <c r="OB47" s="152">
        <f>COUNTIF($NR47:$NS47,1)</f>
        <v/>
      </c>
      <c r="OC47" s="152">
        <f>COUNTIF($NR47:$NS47,2)+$NO47</f>
        <v/>
      </c>
      <c r="OD47" s="152">
        <f>COUNTIF($MH47:$MK47,"?*")</f>
        <v/>
      </c>
      <c r="OE47" s="152">
        <f>COUNTIF($ML47:$MM47,"?*")+$NO47</f>
        <v/>
      </c>
      <c r="OF47" s="152">
        <f>IF($MC47=0,0,SUMPRODUCT($NV47:$OA47,INDEX($I$2:$N$8,MAX(1,$MC47),0)))</f>
        <v/>
      </c>
      <c r="OG47" s="152">
        <f>IF($MC47=0,0,$OB47*CEILING($MC47/2,1)+$OC47*$MC47)</f>
        <v/>
      </c>
      <c r="OH47" s="152">
        <f>MIN(2*$MC47,$OG47)</f>
        <v/>
      </c>
      <c r="OI47" s="152">
        <f>MIN($OH47,$OF47)</f>
        <v/>
      </c>
      <c r="OJ47" s="152">
        <f>$OH47-$OI47</f>
        <v/>
      </c>
      <c r="OK47" s="152">
        <f>IF($MC47=0,0,INDEX($P$2:$P$8,MAX(1,$MC47)))</f>
        <v/>
      </c>
      <c r="OL47" s="152">
        <f>$OK47-$OF47+$OI47</f>
        <v/>
      </c>
      <c r="OM47" s="152">
        <f>IF($MC47=0,MAX(0,$MQ47-IF($OD47&gt;0,1,0)),MAX(0,$OL47))</f>
        <v/>
      </c>
      <c r="ON47" s="152">
        <f>IF($MC47=0,0,(IF(COUNTIF($MH47:$MK47,"Salto")&gt;0,1,0)+IF(COUNTIF($MH47:$MK47,"Queima")&gt;0,1,0)+IF(COUNTIF($MH47:$MK47,"Estilhaço")&gt;0,1,0))*FLOOR($OM47/2,1))</f>
        <v/>
      </c>
      <c r="OO47" s="152">
        <f>MAX(0,2-SUMPRODUCT($NV47:$OA47,$I$2:$N$2)+MIN(2,$OB47*1+$OC47*1,SUMPRODUCT($NV47:$OA47,$I$2:$N$2)))</f>
        <v/>
      </c>
      <c r="OP47" s="152">
        <f>MAX(0,4-SUMPRODUCT($NV47:$OA47,$I$3:$N$3)+MIN(4,$OB47*1+$OC47*2,SUMPRODUCT($NV47:$OA47,$I$3:$N$3)))</f>
        <v/>
      </c>
      <c r="OQ47" s="152">
        <f>MAX(0,6-SUMPRODUCT($NV47:$OA47,$I$4:$N$4)+MIN(6,$OB47*2+$OC47*3,SUMPRODUCT($NV47:$OA47,$I$4:$N$4)))</f>
        <v/>
      </c>
      <c r="OR47" s="152">
        <f>MAX(0,9-SUMPRODUCT($NV47:$OA47,$I$5:$N$5)+MIN(8,$OB47*2+$OC47*4,SUMPRODUCT($NV47:$OA47,$I$5:$N$5)))</f>
        <v/>
      </c>
      <c r="OS47" s="152">
        <f>MAX(0,11-SUMPRODUCT($NV47:$OA47,$I$6:$N$6)+MIN(10,$OB47*3+$OC47*5,SUMPRODUCT($NV47:$OA47,$I$6:$N$6)))</f>
        <v/>
      </c>
      <c r="OT47" s="152">
        <f>MAX(0,13-SUMPRODUCT($NV47:$OA47,$I$7:$N$7)+MIN(12,$OB47*3+$OC47*6,SUMPRODUCT($NV47:$OA47,$I$7:$N$7)))</f>
        <v/>
      </c>
      <c r="OU47" s="152">
        <f>MAX(0,16-SUMPRODUCT($NV47:$OA47,$I$8:$N$8)+MIN(14,$OB47*4+$OC47*7,SUMPRODUCT($NV47:$OA47,$I$8:$N$8)))</f>
        <v/>
      </c>
      <c r="OV47" s="152">
        <f>IF($NP47=2,3*$OO47&amp;" de vida temp.",IF($NP47=3,"sem dano",IF($OO47=0,IF($NP47=1,"sem cura","sem dano"),IF($NP47=1,"cura ","")&amp;$OO47&amp;"d8")))</f>
        <v/>
      </c>
      <c r="OW47" s="152">
        <f>IF($NP47=2,3*$OP47&amp;" de vida temp.",IF($NP47=3,"sem dano",IF($OP47=0,IF($NP47=1,"sem cura","sem dano"),IF($NP47=1,"cura ","")&amp;$OP47&amp;"d8")))</f>
        <v/>
      </c>
      <c r="OX47" s="152">
        <f>IF($NP47=2,3*$OQ47&amp;" de vida temp.",IF($NP47=3,"sem dano",IF($OQ47=0,IF($NP47=1,"sem cura","sem dano"),IF($NP47=1,"cura ","")&amp;$OQ47&amp;"d8")))</f>
        <v/>
      </c>
      <c r="OY47" s="152">
        <f>IF($NP47=2,3*$OR47&amp;" de vida temp.",IF($NP47=3,"sem dano",IF($OR47=0,IF($NP47=1,"sem cura","sem dano"),IF($NP47=1,"cura ","")&amp;$OR47&amp;"d8")))</f>
        <v/>
      </c>
      <c r="OZ47" s="152">
        <f>IF($NP47=2,3*$OS47&amp;" de vida temp.",IF($NP47=3,"sem dano",IF($OS47=0,IF($NP47=1,"sem cura","sem dano"),IF($NP47=1,"cura ","")&amp;$OS47&amp;"d8")))</f>
        <v/>
      </c>
      <c r="PA47" s="152">
        <f>IF($NP47=2,3*$OT47&amp;" de vida temp.",IF($NP47=3,"sem dano",IF($OT47=0,IF($NP47=1,"sem cura","sem dano"),IF($NP47=1,"cura ","")&amp;$OT47&amp;"d8")))</f>
        <v/>
      </c>
      <c r="PB47" s="152">
        <f>IF($NP47=2,3*$OU47&amp;" de vida temp.",IF($NP47=3,"sem dano",IF($OU47=0,IF($NP47=1,"sem cura","sem dano"),IF($NP47=1,"cura ","")&amp;$OU47&amp;"d8")))</f>
        <v/>
      </c>
      <c r="PC47" s="152">
        <f>IF($MN47=0,"",TEXTJOIN(" · ",TRUE,IF($MA47&gt;$MO47,"Este lugar abre no nível "&amp;$MA47,""),IF($MC47&gt;$MP47,"Classe "&amp;$MC47&amp;": o nível "&amp;$MO47&amp;" libera até a "&amp;$MP47,""),IF($NH47=1,"A Forma "&amp;$ME47&amp;" pede "&amp;INDEX($W$2:$W$11,$MT47)&amp;" aberta",""),IF(AND($MC47=0,$MT47&gt;0,IF($MT47=0,0,INDEX($AF$2:$AF$11,$MT47))=0),$ME47&amp;" não existe na Classe 0",""),IF($NI47=1,"Família Fechada: "&amp;$MH47,""),IF($NJ47=1,"Família Fechada: "&amp;$MI47,""),IF($NK47=1,"Família Fechada: "&amp;$MJ47,""),IF($NL47=1,"Família Fechada: "&amp;$MK47,""),IF(AND($MC47&gt;0,$OD47&gt;INDEX($O$2:$O$8,MAX(1,$MC47))),$OD47&amp;" Melhorias: a Classe "&amp;$MC47&amp;" aceita "&amp;INDEX($O$2:$O$8,MAX(1,$MC47)),""),IF(AND($MC47=0,$OD47&gt;1),"A básica aceita uma Melhoria",""),IF(AND($MC47=0,COUNTIF($MY47:$NB47,"&gt;1")&gt;0),"A básica só aceita Melhoria Leve",""),IF(AND($MC47&gt;0,$OE47&gt;2),$OE47&amp;" Restrições"&amp;IF($NO47=1,", contando a que a Forma "&amp;$ME47&amp;" já traz","")&amp;": o limite é 2",""),IF(AND($MC47=0,COUNTIF($ML47:$MM47,"?*")&gt;1),"A básica aceita uma Restrição Leve",""),IF(AND($MC47=0,COUNTIF($NR47:$NS47,2)&gt;0),"A básica só aceita Restrição Leve",""),IF(AND($MC47&gt;0,$OL47&lt;0),"Orçamento estourado: faltam "&amp;(-$OL47)&amp;IF($OL47&lt;-1," pontos"," ponto"),""),IF(IFERROR(VLOOKUP($ML47,$BB$2:$BF$24,4,FALSE),0)+IFERROR(VLOOKUP($MM47,$BB$2:$BF$24,4,FALSE),0)&gt;1,$NT47&amp;" e "&amp;$NU47&amp;" são as duas de frequência",""),IF(AND((COUNTIF($MH47:$MK47,"Rápido")+COUNTIF($NT47:$NU47,"Rápido"))&gt;0,(COUNTIF($MH47:$MK47,"Atrasar")+COUNTIF($NT47:$NU47,"Atrasar"))&gt;0),"Rápido não entra com Atrasar",""),IF(AND((COUNTIF($MH47:$MK47,"Reação")+COUNTIF($NT47:$NU47,"Reação"))&gt;0,(COUNTIF($MH47:$MK47,"Rápido")+COUNTIF($NT47:$NU47,"Rápido"))&gt;0),"Reação não entra com Rápido",""),IF(AND((COUNTIF($MH47:$MK47,"Reação")+COUNTIF($NT47:$NU47,"Reação"))&gt;0,(COUNTIF($MH47:$MK47,"Armado")+COUNTIF($NT47:$NU47,"Armado"))&gt;0),"Reação não entra com Armado",""),IF(AND((COUNTIF($MH47:$MK47,"Reação")+COUNTIF($NT47:$NU47,"Reação"))&gt;0,(COUNTIF($MH47:$MK47,"Atrasar")+COUNTIF($NT47:$NU47,"Atrasar"))&gt;0),"Reação não entra com Atrasar",""),IF(AND((COUNTIF($MH47:$MK47,"Reação")+COUNTIF($NT47:$NU47,"Reação"))&gt;0,(COUNTIF($MH47:$MK47,"Parado")+COUNTIF($NT47:$NU47,"Parado"))&gt;0),"Reação não entra com Parado",""),IF(AND((COUNTIF($MH47:$MK47,"Atrasar")+COUNTIF($NT47:$NU47,"Atrasar"))&gt;0,(COUNTIF($MH47:$MK47,"Parado")+COUNTIF($NT47:$NU47,"Parado"))&gt;0),"Atrasar não entra com Parado",""),IF(AND((COUNTIF($MH47:$MK47,"Armado")+COUNTIF($NT47:$NU47,"Armado"))&gt;0,(COUNTIF($MH47:$MK47,"Carregar")+COUNTIF($NT47:$NU47,"Carregar"))&gt;0),"Armado não entra com Carregar",""),IF(AND(COUNTIF($NT47:$NU47,"Corpo a Corpo")&gt;0,$NO47=0,OR($ME47="Cone",$ME47="Linha")),"Corpo a Corpo não entra em "&amp;$ME47,""),IF(AND(COUNTIF($NT47:$NU47,"Corpo a Corpo")&gt;0,$NO47=1),"A Forma "&amp;$ME47&amp;" já traz o Corpo a Corpo",""),IF(AND(COUNTIF($NT47:$NU47,"Tudo ou Nada")&gt;0,$NQ47=0),"Tudo ou Nada só entra em habilidade de Teste de Resistência",""),IF(AND(COUNTIF($MH47:$MK47,"Inescapável")&gt;0,OR($OD47&gt;1,$OE47&gt;0)),"Inescapável não aceita outra peça",""),IF(AND($MC47&gt;0,$OM47*IF(COUNTIF($MH47:$MK47,"Remate")&gt;0,1.25,1)+$ON47&gt;4*$MC47),($OM47*IF(COUNTIF($MH47:$MK47,"Remate")&gt;0,1.25,1)+$ON47)&amp;" dados somando repetições"&amp;IF(COUNTIF($MH47:$MK47,"Remate")&gt;0," e o Remate","")&amp;": o teto da Classe "&amp;$MC47&amp;" é "&amp;4*$MC47,"")))</f>
        <v/>
      </c>
      <c r="PD47" s="152">
        <f>IF($PC47="",0,(LEN($PC47)-LEN(SUBSTITUTE($PC47," · ","")))/3+1)</f>
        <v/>
      </c>
      <c r="PE47" s="152">
        <f>IF($MN47=0,"",TEXTJOIN(" · ",TRUE,IF($OG47&gt;2*$MC47,"A devolução parou no teto de "&amp;2*$MC47,""),IF($OJ47&gt;0,"Devolução perdida: "&amp;$OJ47&amp;IF($OJ47&gt;1," pontos"," ponto")&amp;" sem peça para pagar",""),IF(AND($NM47&gt;0,AND($MC47&gt;0,$NP47=0),$OM47=0),"Controle sem dano: uma rodada a mais e CD +2",""),IF(AND($NM47&gt;0,AND($MC47&gt;0,$NP47=0),$OM47&gt;0,$OM47&lt;=$MC47),"Controle com saldo até a Classe: uma rodada a mais",""),IF(AND($MC47&gt;0,$NN47&lt;&gt;""),"Efeito de "&amp;$NN47&amp;" pela Classe "&amp;MAX(1,$MC47-1),"")))</f>
        <v/>
      </c>
      <c r="PF47" s="152">
        <f>IF($PE47="",0,(LEN($PE47)-LEN(SUBSTITUTE($PE47," · ","")))/3+1)</f>
        <v/>
      </c>
      <c r="PG47" s="152">
        <f>IF($MN47=0,IF($OD47+COUNTIF($ML47:$MM47,"?*")&gt;0,"Dê um nome",""),IF($PD47&gt;0,"⚠ "&amp;$PD47&amp;IF($PD47&gt;1," erros"," erro"),IF($PF47&gt;0,"! "&amp;$PF47&amp;IF($PF47&gt;1," avisos"," aviso"),"Na regra")))</f>
        <v/>
      </c>
      <c r="PH47" s="152">
        <f>IF($MN47=0,"",IF($PD47+$PF47=0,"Dentro das regras que a ficha confere",$PC47&amp;IF(AND($PD47&gt;0,$PF47&gt;0)," · ","")&amp;$PE47))</f>
        <v/>
      </c>
      <c r="PI47" s="152">
        <f>IF($MA47&gt;$MO47,$MB47&amp;" · ABRE NO NÍVEL "&amp;$MA47,$MB47)</f>
        <v/>
      </c>
      <c r="PJ47" s="152">
        <f>IF($MN47=0,"",IF($MC47=0,"Sem PE",3*$MC47&amp;" PE"))</f>
        <v/>
      </c>
      <c r="PK47" s="152">
        <f>IF($MN47=0,"",IF($MC47=0,"A atuação básica dela",IF(COUNTIF($NT47:$NU47,"Atrasar")&gt;0,"Sua Ação Completa",IF(COUNTIF($MH47:$MK47,"Rápido")&gt;0,"Sua Bônus",IF(COUNTIF($MH47:$MK47,"Reação")&gt;0,"Sua Reação","Sua Padrão")))&amp;" + a básica dela"&amp;IF(COUNTIF($MH47:$MK47,"Reação")&gt;0," e a coletiva","")&amp;IF(COUNTIF($NT47:$NU47,"Carregar")&gt;0," · em dois turnos","")))</f>
        <v/>
      </c>
      <c r="PL47" s="152">
        <f>IF($MG47&lt;&gt;"",$MG47,IF($MT47=0,"",INDEX($AA$2:$AA$11,$MT47)))</f>
        <v/>
      </c>
      <c r="PM47" s="152">
        <f>IF(OR($MN47=0,$MT47=0),"",IF(COUNTIF($MH47:$MK47,"Inescapável")&gt;0,"Automático",IF($PL47="Ataque",IF($MR47="","Ataque","Ataque "&amp;IF(($MR47+2*IF(COUNTIF($MH47:$MK47,"Precisão")&gt;0,1,0))&gt;=0,"+","−")&amp;ABS(($MR47+2*IF(COUNTIF($MH47:$MK47,"Precisão")&gt;0,1,0)))),IF(LEFT($PL47,2)="TR",$PL47&amp;IF($MS47="",""," · CD "&amp;$MS47)&amp;IF(COUNTIF($MH47:$MK47,"Certeiro")&gt;0," · metade",""),"Sem rolagem"))))</f>
        <v/>
      </c>
      <c r="PN47" s="152">
        <f>IF(OR($MN47=0,$MT47=0),"",IF($MC47=0,IF(OR($NP47&gt;=1,$OM47=0),"Sem dano",$OM47&amp;"d6"&amp;IF($MF47="",""," "&amp;$MF47)),IF(OR($NP47&gt;=1,$OM47=0),UPPER(LEFT(INDEX($OV47:$PB47,1,MAX(1,$MC47)),1))&amp;MID(INDEX($OV47:$PB47,1,MAX(1,$MC47)),2,99),UPPER(LEFT(INDEX($OV47:$PB47,1,MAX(1,$MC47)),1))&amp;MID(INDEX($OV47:$PB47,1,MAX(1,$MC47)),2,99)&amp;IF($MF47="",""," "&amp;$MF47)&amp;IF($ON47&gt;0," · +"&amp;$ON47&amp;"d8",""))))</f>
        <v/>
      </c>
      <c r="PO47" s="152">
        <f>COUNTIF($MH47:$MK47,"Longe")+3*COUNTIF($MH47:$MK47,"Muito Longe")</f>
        <v/>
      </c>
      <c r="PP47" s="152">
        <f>COUNTIF($MH47:$MK47,"Maior")+3*COUNTIF($MH47:$MK47,"Muito Maior")</f>
        <v/>
      </c>
      <c r="PQ47" s="152">
        <f>IF($MT47=0,0,CHOOSE(1+INDEX($AC$2:$AC$11,$MT47),0,$PO47,$PP47,$PO47+$PP47))</f>
        <v/>
      </c>
      <c r="PR47" s="152">
        <f>IF($MT47=0,0,CHOOSE(1+INDEX($AD$2:$AD$11,$MT47),0,$PO47,$PP47,$PO47+$PP47))</f>
        <v/>
      </c>
      <c r="PS47" s="152">
        <f>IF(OR($MN47=0,$MT47=0),"",INDEX($AI$2:$AN$41,($MT47-1)*4+IF($MC47=0,1,IF($MC47&lt;=5,2,IF($MC47=6,3,4))),1+MIN(5,$PQ47))&amp;INDEX($AO$2:$AT$41,($MT47-1)*4+IF($MC47=0,1,IF($MC47&lt;=5,2,IF($MC47=6,3,4))),1+MIN(5,$PR47))&amp;IF(INDEX($AE$2:$AE$11,$MT47)=1,IF(COUNTIF($MH47:$MK47,"Mais Um")&gt;0," · +"&amp;COUNTIF($MH47:$MK47,"Mais Um")&amp;IF(COUNTIF($MH47:$MK47,"Mais Um")&gt;1," alvos"," alvo"),"")&amp;IF(COUNTIF($MH47:$MK47,"Rajada")&gt;0,IF($MC47=0," · 1 tiro"," · "&amp;(MAX(1,$MC47-1)+1)&amp;" tiros"),""),""))</f>
        <v/>
      </c>
      <c r="PT47" s="152">
        <f>IF($MN47=0,"",IF($MC47=0,$MQ47&amp;"d6"&amp;IF($OD47&gt;0," − 1 = "&amp;$OM47&amp;"d6"," da básica do nível "&amp;$MO47),$OK47&amp;" − "&amp;$OF47&amp;" + "&amp;$OI47&amp;" = "&amp;$OL47&amp;" · teto "&amp;4*$MC47&amp;"d8"&amp;IF($NO47=1," · a Forma devolve "&amp;$MC47,"")&amp;IF($OJ47&gt;0," · perde "&amp;$OJ47,"")))</f>
        <v/>
      </c>
      <c r="PU47" s="152">
        <f>IF($MN47=0,"",IF($MC47=0,"A básica não amplia: os dados dela sobem com o nível",IF($MC47&gt;=$MP47,"Já está na maior Classe que o nível liberou",TEXTJOIN(" · ",TRUE,IF(AND(2&gt;$MC47,2&lt;=$MP47),"2 → "&amp;$OW47&amp;", 6 PE",""),IF(AND(3&gt;$MC47,3&lt;=$MP47),"3 → "&amp;$OX47&amp;", 9 PE",""),IF(AND(4&gt;$MC47,4&lt;=$MP47),"4 → "&amp;$OY47&amp;", 12 PE",""),IF(AND(5&gt;$MC47,5&lt;=$MP47),"5 → "&amp;$OZ47&amp;", 15 PE",""),IF(AND(6&gt;$MC47,6&lt;=$MP47),"6 → "&amp;$PA47&amp;", 18 PE",""),IF(AND(7&gt;$MC47,7&lt;=$MP47),"7 → "&amp;$PB47&amp;", 21 PE","")))))</f>
        <v/>
      </c>
      <c r="PV47" s="152">
        <f>IF(OR($MN47=0,$MY47=0),"",IF($MC47=0,"−1 dado","−"&amp;INDEX($I$2:$N$8,MAX(1,$MC47),MAX(1,$ND47))&amp;" · "&amp;CHOOSE(MAX(1,$ND47),"Leve","Média","Pesada","Leve · Livre","Média · Livre","Pesada · Livre")))</f>
        <v/>
      </c>
      <c r="PW47" s="152">
        <f>IF(OR($MN47=0,$MZ47=0),"",IF($MC47=0,"−1 dado","−"&amp;INDEX($I$2:$N$8,MAX(1,$MC47),MAX(1,$NE47))&amp;" · "&amp;CHOOSE(MAX(1,$NE47),"Leve","Média","Pesada","Leve · Livre","Média · Livre","Pesada · Livre")))</f>
        <v/>
      </c>
      <c r="PX47" s="152">
        <f>IF(OR($MN47=0,$NA47=0),"",IF($MC47=0,"−1 dado","−"&amp;INDEX($I$2:$N$8,MAX(1,$MC47),MAX(1,$NF47))&amp;" · "&amp;CHOOSE(MAX(1,$NF47),"Leve","Média","Pesada","Leve · Livre","Média · Livre","Pesada · Livre")))</f>
        <v/>
      </c>
      <c r="PY47" s="152">
        <f>IF(OR($MN47=0,$NB47=0),"",IF($MC47=0,"−1 dado","−"&amp;INDEX($I$2:$N$8,MAX(1,$MC47),MAX(1,$NG47))&amp;" · "&amp;CHOOSE(MAX(1,$NG47),"Leve","Média","Pesada","Leve · Livre","Média · Livre","Pesada · Livre")))</f>
        <v/>
      </c>
      <c r="PZ47" s="152">
        <f>IF(OR($MN47=0,$ML47=""),"",IF($MC47=0,"não devolve","+"&amp;IF($NR47=1,CEILING($MC47/2,1),$MC47)))</f>
        <v/>
      </c>
      <c r="QA47" s="152">
        <f>IF(OR($MN47=0,$MM47=""),"",IF($MC47=0,"não devolve","+"&amp;IF($NS47=1,CEILING($MC47/2,1),$MC47)))</f>
        <v/>
      </c>
    </row>
    <row r="48">
      <c r="AV48" s="150" t="inlineStr">
        <is>
          <t>Firmeza</t>
        </is>
      </c>
      <c r="AW48" s="150" t="inlineStr">
        <is>
          <t>Auxiliares</t>
        </is>
      </c>
      <c r="AX48" s="152" t="n">
        <v>2</v>
      </c>
      <c r="AY48" s="152" t="n">
        <v>0</v>
      </c>
      <c r="AZ48" s="152" t="n">
        <v>0</v>
      </c>
      <c r="JD48" s="152">
        <f>IF(OR($AW48="",COUNTIF($ED$2:$EH$2,$AW48)&gt;0),$AV48,"")</f>
        <v/>
      </c>
      <c r="JE48" s="152">
        <f>IF(AND($AX48=1,OR($AW48="",COUNTIF($ED$2:$EH$2,$AW48)&gt;0)),$AV48,"")</f>
        <v/>
      </c>
      <c r="JJ48" s="152">
        <f>IF(OR($AW48="",COUNTIF($ED$3:$EH$3,$AW48)&gt;0),$AV48,"")</f>
        <v/>
      </c>
      <c r="JK48" s="152">
        <f>IF(AND($AX48=1,OR($AW48="",COUNTIF($ED$3:$EH$3,$AW48)&gt;0)),$AV48,"")</f>
        <v/>
      </c>
      <c r="JP48" s="152">
        <f>IF(OR($AW48="",COUNTIF($ED$4:$EH$4,$AW48)&gt;0),$AV48,"")</f>
        <v/>
      </c>
      <c r="JQ48" s="152">
        <f>IF(AND($AX48=1,OR($AW48="",COUNTIF($ED$4:$EH$4,$AW48)&gt;0)),$AV48,"")</f>
        <v/>
      </c>
      <c r="JV48" s="152">
        <f>IF(OR($AW48="",COUNTIF($ED$5:$EH$5,$AW48)&gt;0),$AV48,"")</f>
        <v/>
      </c>
      <c r="JW48" s="152">
        <f>IF(AND($AX48=1,OR($AW48="",COUNTIF($ED$5:$EH$5,$AW48)&gt;0)),$AV48,"")</f>
        <v/>
      </c>
      <c r="KB48" s="152">
        <f>IF(OR($AW48="",COUNTIF($ED$6:$EH$6,$AW48)&gt;0),$AV48,"")</f>
        <v/>
      </c>
      <c r="KC48" s="152">
        <f>IF(AND($AX48=1,OR($AW48="",COUNTIF($ED$6:$EH$6,$AW48)&gt;0)),$AV48,"")</f>
        <v/>
      </c>
      <c r="KH48" s="152">
        <f>IF(OR($AW48="",COUNTIF($ED$7:$EH$7,$AW48)&gt;0),$AV48,"")</f>
        <v/>
      </c>
      <c r="KI48" s="152">
        <f>IF(AND($AX48=1,OR($AW48="",COUNTIF($ED$7:$EH$7,$AW48)&gt;0)),$AV48,"")</f>
        <v/>
      </c>
      <c r="KN48" s="152">
        <f>IF(OR($AW48="",COUNTIF($ED$8:$EH$8,$AW48)&gt;0),$AV48,"")</f>
        <v/>
      </c>
      <c r="KO48" s="152">
        <f>IF(AND($AX48=1,OR($AW48="",COUNTIF($ED$8:$EH$8,$AW48)&gt;0)),$AV48,"")</f>
        <v/>
      </c>
      <c r="KT48" s="152">
        <f>IF(OR($AW48="",COUNTIF($ED$9:$EH$9,$AW48)&gt;0),$AV48,"")</f>
        <v/>
      </c>
      <c r="KU48" s="152">
        <f>IF(AND($AX48=1,OR($AW48="",COUNTIF($ED$9:$EH$9,$AW48)&gt;0)),$AV48,"")</f>
        <v/>
      </c>
      <c r="KZ48" s="152">
        <f>IF(OR($AW48="",COUNTIF($ED$10:$EH$10,$AW48)&gt;0),$AV48,"")</f>
        <v/>
      </c>
      <c r="LA48" s="152">
        <f>IF(AND($AX48=1,OR($AW48="",COUNTIF($ED$10:$EH$10,$AW48)&gt;0)),$AV48,"")</f>
        <v/>
      </c>
      <c r="LF48" s="152">
        <f>IF(OR($AW48="",COUNTIF($ED$11:$EH$11,$AW48)&gt;0),$AV48,"")</f>
        <v/>
      </c>
      <c r="LG48" s="152">
        <f>IF(AND($AX48=1,OR($AW48="",COUNTIF($ED$11:$EH$11,$AW48)&gt;0)),$AV48,"")</f>
        <v/>
      </c>
      <c r="LL48" s="152">
        <f>IF(OR($AW48="",COUNTIF($ED$12:$EH$12,$AW48)&gt;0),$AV48,"")</f>
        <v/>
      </c>
      <c r="LM48" s="152">
        <f>IF(AND($AX48=1,OR($AW48="",COUNTIF($ED$12:$EH$12,$AW48)&gt;0)),$AV48,"")</f>
        <v/>
      </c>
      <c r="LR48" s="152">
        <f>IF(OR($AW48="",COUNTIF($ED$13:$EH$13,$AW48)&gt;0),$AV48,"")</f>
        <v/>
      </c>
      <c r="LS48" s="152">
        <f>IF(AND($AX48=1,OR($AW48="",COUNTIF($ED$13:$EH$13,$AW48)&gt;0)),$AV48,"")</f>
        <v/>
      </c>
      <c r="LX48" s="150" t="inlineStr">
        <is>
          <t>Ficha 4 · Especial 6</t>
        </is>
      </c>
      <c r="LY48" s="152" t="n">
        <v>4</v>
      </c>
      <c r="LZ48" s="152" t="n">
        <v>1</v>
      </c>
      <c r="MA48" s="152" t="n">
        <v>20</v>
      </c>
      <c r="MB48" s="150" t="inlineStr">
        <is>
          <t>ESPECIAL 6</t>
        </is>
      </c>
      <c r="MC48" s="152">
        <f>MAX(1,MIN(7,N('INVOCAÇÕES'!$O$708)))</f>
        <v/>
      </c>
      <c r="MD48" s="152">
        <f>'INVOCAÇÕES'!$P$708&amp;""</f>
        <v/>
      </c>
      <c r="ME48" s="152">
        <f>'INVOCAÇÕES'!$O$713&amp;""</f>
        <v/>
      </c>
      <c r="MF48" s="152">
        <f>'INVOCAÇÕES'!$O$714&amp;""</f>
        <v/>
      </c>
      <c r="MG48" s="152">
        <f>'INVOCAÇÕES'!$Q$714&amp;""</f>
        <v/>
      </c>
      <c r="MH48" s="152">
        <f>'INVOCAÇÕES'!$P$717&amp;""</f>
        <v/>
      </c>
      <c r="MI48" s="152">
        <f>'INVOCAÇÕES'!$P$718&amp;""</f>
        <v/>
      </c>
      <c r="MJ48" s="152">
        <f>'INVOCAÇÕES'!$P$719&amp;""</f>
        <v/>
      </c>
      <c r="MK48" s="152">
        <f>'INVOCAÇÕES'!$P$720&amp;""</f>
        <v/>
      </c>
      <c r="ML48" s="152">
        <f>'INVOCAÇÕES'!$P$721&amp;""</f>
        <v/>
      </c>
      <c r="MM48" s="152">
        <f>'INVOCAÇÕES'!$P$722&amp;""</f>
        <v/>
      </c>
      <c r="MN48" s="152">
        <f>IF($MD48&lt;&gt;"",1,0)</f>
        <v/>
      </c>
      <c r="MO48" s="152">
        <f>INDEX($FG$2:$FG$13,$LY48)</f>
        <v/>
      </c>
      <c r="MP48" s="152">
        <f>INDEX($FH$2:$FH$13,$LY48)</f>
        <v/>
      </c>
      <c r="MQ48" s="152">
        <f>INDEX($FI$2:$FI$13,$LY48)</f>
        <v/>
      </c>
      <c r="MR48" s="152">
        <f>INDEX($FT$2:$FT$13,$LY48)</f>
        <v/>
      </c>
      <c r="MS48" s="152">
        <f>INDEX($FU$2:$FU$13,$LY48)</f>
        <v/>
      </c>
      <c r="MT48" s="152">
        <f>IFERROR(MATCH($ME48,$V$2:$V$11,0),0)</f>
        <v/>
      </c>
      <c r="MU48" s="152">
        <f>IFERROR(VLOOKUP($MH48,$AV$2:$AZ$84,2,FALSE),"")</f>
        <v/>
      </c>
      <c r="MV48" s="152">
        <f>IFERROR(VLOOKUP($MI48,$AV$2:$AZ$84,2,FALSE),"")</f>
        <v/>
      </c>
      <c r="MW48" s="152">
        <f>IFERROR(VLOOKUP($MJ48,$AV$2:$AZ$84,2,FALSE),"")</f>
        <v/>
      </c>
      <c r="MX48" s="152">
        <f>IFERROR(VLOOKUP($MK48,$AV$2:$AZ$84,2,FALSE),"")</f>
        <v/>
      </c>
      <c r="MY48" s="152">
        <f>IFERROR(VLOOKUP($MH48,$AV$2:$AZ$84,3,FALSE),0)</f>
        <v/>
      </c>
      <c r="MZ48" s="152">
        <f>IFERROR(VLOOKUP($MI48,$AV$2:$AZ$84,3,FALSE),0)</f>
        <v/>
      </c>
      <c r="NA48" s="152">
        <f>IFERROR(VLOOKUP($MJ48,$AV$2:$AZ$84,3,FALSE),0)</f>
        <v/>
      </c>
      <c r="NB48" s="152">
        <f>IFERROR(VLOOKUP($MK48,$AV$2:$AZ$84,3,FALSE),0)</f>
        <v/>
      </c>
      <c r="NC48" s="152">
        <f>IF($MC48=0,0,IF($MT48=0,0,INDEX($X$2:$X$11,$MT48)))</f>
        <v/>
      </c>
      <c r="ND48" s="152">
        <f>IF(OR($MY48=0,$MC48=0),0,$MY48+3*IF(AND($MU48&lt;&gt;"",OR($MU48=INDEX($ED$2:$ED$13,$LY48),$MU48=INDEX($EE$2:$EE$13,$LY48))),1,0))</f>
        <v/>
      </c>
      <c r="NE48" s="152">
        <f>IF(OR($MZ48=0,$MC48=0),0,$MZ48+3*IF(AND($MV48&lt;&gt;"",OR($MV48=INDEX($ED$2:$ED$13,$LY48),$MV48=INDEX($EE$2:$EE$13,$LY48))),1,0))</f>
        <v/>
      </c>
      <c r="NF48" s="152">
        <f>IF(OR($NA48=0,$MC48=0),0,$NA48+3*IF(AND($MW48&lt;&gt;"",OR($MW48=INDEX($ED$2:$ED$13,$LY48),$MW48=INDEX($EE$2:$EE$13,$LY48))),1,0))</f>
        <v/>
      </c>
      <c r="NG48" s="152">
        <f>IF(OR($NB48=0,$MC48=0),0,$NB48+3*IF(AND($MX48&lt;&gt;"",OR($MX48=INDEX($ED$2:$ED$13,$LY48),$MX48=INDEX($EE$2:$EE$13,$LY48))),1,0))</f>
        <v/>
      </c>
      <c r="NH48" s="152">
        <f>IF($MT48=0,0,IF(INDEX($W$2:$W$11,$MT48)="",0,IF(COUNTIF(INDEX($ED$2:$EH$13,$LY48,0),INDEX($W$2:$W$11,$MT48))=0,1,0)))</f>
        <v/>
      </c>
      <c r="NI48" s="152">
        <f>IF(OR($MY48=0,$MU48=""),0,IF(COUNTIF(INDEX($ED$2:$EH$13,$LY48,0),$MU48)=0,1,0))</f>
        <v/>
      </c>
      <c r="NJ48" s="152">
        <f>IF(OR($MZ48=0,$MV48=""),0,IF(COUNTIF(INDEX($ED$2:$EH$13,$LY48,0),$MV48)=0,1,0))</f>
        <v/>
      </c>
      <c r="NK48" s="152">
        <f>IF(OR($NA48=0,$MW48=""),0,IF(COUNTIF(INDEX($ED$2:$EH$13,$LY48,0),$MW48)=0,1,0))</f>
        <v/>
      </c>
      <c r="NL48" s="152">
        <f>IF(OR($NB48=0,$MX48=""),0,IF(COUNTIF(INDEX($ED$2:$EH$13,$LY48,0),$MX48)=0,1,0))</f>
        <v/>
      </c>
      <c r="NM48" s="152">
        <f>IFERROR(VLOOKUP($MH48,$AV$2:$AZ$84,4,FALSE),0)+IFERROR(VLOOKUP($MI48,$AV$2:$AZ$84,4,FALSE),0)+IFERROR(VLOOKUP($MJ48,$AV$2:$AZ$84,4,FALSE),0)+IFERROR(VLOOKUP($MK48,$AV$2:$AZ$84,4,FALSE),0)</f>
        <v/>
      </c>
      <c r="NN48" s="152">
        <f>TEXTJOIN(", ",TRUE,IF(IFERROR(VLOOKUP($MH48,$AV$2:$AZ$84,5,FALSE),0)=1,$MH48,""),IF(IFERROR(VLOOKUP($MI48,$AV$2:$AZ$84,5,FALSE),0)=1,$MI48,""),IF(IFERROR(VLOOKUP($MJ48,$AV$2:$AZ$84,5,FALSE),0)=1,$MJ48,""),IF(IFERROR(VLOOKUP($MK48,$AV$2:$AZ$84,5,FALSE),0)=1,$MK48,""))</f>
        <v/>
      </c>
      <c r="NO48" s="152">
        <f>IF($MT48=0,0,INDEX($Y$2:$Y$11,$MT48))</f>
        <v/>
      </c>
      <c r="NP48" s="152">
        <f>IF($MT48=0,0,INDEX($Z$2:$Z$11,$MT48))</f>
        <v/>
      </c>
      <c r="NQ48" s="152">
        <f>IF($MT48=0,0,INDEX($AB$2:$AB$11,$MT48))</f>
        <v/>
      </c>
      <c r="NR48" s="152">
        <f>IFERROR(VLOOKUP($ML48,$BB$2:$BF$24,3,FALSE),0)</f>
        <v/>
      </c>
      <c r="NS48" s="152">
        <f>IFERROR(VLOOKUP($MM48,$BB$2:$BF$24,3,FALSE),0)</f>
        <v/>
      </c>
      <c r="NT48" s="152">
        <f>IFERROR(VLOOKUP($ML48,$BB$2:$BF$24,2,FALSE),"")</f>
        <v/>
      </c>
      <c r="NU48" s="152">
        <f>IFERROR(VLOOKUP($MM48,$BB$2:$BF$24,2,FALSE),"")</f>
        <v/>
      </c>
      <c r="NV48" s="152">
        <f>COUNTIF($NC48:$NG48,1)</f>
        <v/>
      </c>
      <c r="NW48" s="152">
        <f>COUNTIF($NC48:$NG48,2)</f>
        <v/>
      </c>
      <c r="NX48" s="152">
        <f>COUNTIF($NC48:$NG48,3)</f>
        <v/>
      </c>
      <c r="NY48" s="152">
        <f>COUNTIF($NC48:$NG48,4)</f>
        <v/>
      </c>
      <c r="NZ48" s="152">
        <f>COUNTIF($NC48:$NG48,5)</f>
        <v/>
      </c>
      <c r="OA48" s="152">
        <f>COUNTIF($NC48:$NG48,6)</f>
        <v/>
      </c>
      <c r="OB48" s="152">
        <f>COUNTIF($NR48:$NS48,1)</f>
        <v/>
      </c>
      <c r="OC48" s="152">
        <f>COUNTIF($NR48:$NS48,2)+$NO48</f>
        <v/>
      </c>
      <c r="OD48" s="152">
        <f>COUNTIF($MH48:$MK48,"?*")</f>
        <v/>
      </c>
      <c r="OE48" s="152">
        <f>COUNTIF($ML48:$MM48,"?*")+$NO48</f>
        <v/>
      </c>
      <c r="OF48" s="152">
        <f>IF($MC48=0,0,SUMPRODUCT($NV48:$OA48,INDEX($I$2:$N$8,MAX(1,$MC48),0)))</f>
        <v/>
      </c>
      <c r="OG48" s="152">
        <f>IF($MC48=0,0,$OB48*CEILING($MC48/2,1)+$OC48*$MC48)</f>
        <v/>
      </c>
      <c r="OH48" s="152">
        <f>MIN(2*$MC48,$OG48)</f>
        <v/>
      </c>
      <c r="OI48" s="152">
        <f>MIN($OH48,$OF48)</f>
        <v/>
      </c>
      <c r="OJ48" s="152">
        <f>$OH48-$OI48</f>
        <v/>
      </c>
      <c r="OK48" s="152">
        <f>IF($MC48=0,0,INDEX($P$2:$P$8,MAX(1,$MC48)))</f>
        <v/>
      </c>
      <c r="OL48" s="152">
        <f>$OK48-$OF48+$OI48</f>
        <v/>
      </c>
      <c r="OM48" s="152">
        <f>IF($MC48=0,MAX(0,$MQ48-IF($OD48&gt;0,1,0)),MAX(0,$OL48))</f>
        <v/>
      </c>
      <c r="ON48" s="152">
        <f>IF($MC48=0,0,(IF(COUNTIF($MH48:$MK48,"Salto")&gt;0,1,0)+IF(COUNTIF($MH48:$MK48,"Queima")&gt;0,1,0)+IF(COUNTIF($MH48:$MK48,"Estilhaço")&gt;0,1,0))*FLOOR($OM48/2,1))</f>
        <v/>
      </c>
      <c r="OO48" s="152">
        <f>MAX(0,2-SUMPRODUCT($NV48:$OA48,$I$2:$N$2)+MIN(2,$OB48*1+$OC48*1,SUMPRODUCT($NV48:$OA48,$I$2:$N$2)))</f>
        <v/>
      </c>
      <c r="OP48" s="152">
        <f>MAX(0,4-SUMPRODUCT($NV48:$OA48,$I$3:$N$3)+MIN(4,$OB48*1+$OC48*2,SUMPRODUCT($NV48:$OA48,$I$3:$N$3)))</f>
        <v/>
      </c>
      <c r="OQ48" s="152">
        <f>MAX(0,6-SUMPRODUCT($NV48:$OA48,$I$4:$N$4)+MIN(6,$OB48*2+$OC48*3,SUMPRODUCT($NV48:$OA48,$I$4:$N$4)))</f>
        <v/>
      </c>
      <c r="OR48" s="152">
        <f>MAX(0,9-SUMPRODUCT($NV48:$OA48,$I$5:$N$5)+MIN(8,$OB48*2+$OC48*4,SUMPRODUCT($NV48:$OA48,$I$5:$N$5)))</f>
        <v/>
      </c>
      <c r="OS48" s="152">
        <f>MAX(0,11-SUMPRODUCT($NV48:$OA48,$I$6:$N$6)+MIN(10,$OB48*3+$OC48*5,SUMPRODUCT($NV48:$OA48,$I$6:$N$6)))</f>
        <v/>
      </c>
      <c r="OT48" s="152">
        <f>MAX(0,13-SUMPRODUCT($NV48:$OA48,$I$7:$N$7)+MIN(12,$OB48*3+$OC48*6,SUMPRODUCT($NV48:$OA48,$I$7:$N$7)))</f>
        <v/>
      </c>
      <c r="OU48" s="152">
        <f>MAX(0,16-SUMPRODUCT($NV48:$OA48,$I$8:$N$8)+MIN(14,$OB48*4+$OC48*7,SUMPRODUCT($NV48:$OA48,$I$8:$N$8)))</f>
        <v/>
      </c>
      <c r="OV48" s="152">
        <f>IF($NP48=2,3*$OO48&amp;" de vida temp.",IF($NP48=3,"sem dano",IF($OO48=0,IF($NP48=1,"sem cura","sem dano"),IF($NP48=1,"cura ","")&amp;$OO48&amp;"d8")))</f>
        <v/>
      </c>
      <c r="OW48" s="152">
        <f>IF($NP48=2,3*$OP48&amp;" de vida temp.",IF($NP48=3,"sem dano",IF($OP48=0,IF($NP48=1,"sem cura","sem dano"),IF($NP48=1,"cura ","")&amp;$OP48&amp;"d8")))</f>
        <v/>
      </c>
      <c r="OX48" s="152">
        <f>IF($NP48=2,3*$OQ48&amp;" de vida temp.",IF($NP48=3,"sem dano",IF($OQ48=0,IF($NP48=1,"sem cura","sem dano"),IF($NP48=1,"cura ","")&amp;$OQ48&amp;"d8")))</f>
        <v/>
      </c>
      <c r="OY48" s="152">
        <f>IF($NP48=2,3*$OR48&amp;" de vida temp.",IF($NP48=3,"sem dano",IF($OR48=0,IF($NP48=1,"sem cura","sem dano"),IF($NP48=1,"cura ","")&amp;$OR48&amp;"d8")))</f>
        <v/>
      </c>
      <c r="OZ48" s="152">
        <f>IF($NP48=2,3*$OS48&amp;" de vida temp.",IF($NP48=3,"sem dano",IF($OS48=0,IF($NP48=1,"sem cura","sem dano"),IF($NP48=1,"cura ","")&amp;$OS48&amp;"d8")))</f>
        <v/>
      </c>
      <c r="PA48" s="152">
        <f>IF($NP48=2,3*$OT48&amp;" de vida temp.",IF($NP48=3,"sem dano",IF($OT48=0,IF($NP48=1,"sem cura","sem dano"),IF($NP48=1,"cura ","")&amp;$OT48&amp;"d8")))</f>
        <v/>
      </c>
      <c r="PB48" s="152">
        <f>IF($NP48=2,3*$OU48&amp;" de vida temp.",IF($NP48=3,"sem dano",IF($OU48=0,IF($NP48=1,"sem cura","sem dano"),IF($NP48=1,"cura ","")&amp;$OU48&amp;"d8")))</f>
        <v/>
      </c>
      <c r="PC48" s="152">
        <f>IF($MN48=0,"",TEXTJOIN(" · ",TRUE,IF($MA48&gt;$MO48,"Este lugar abre no nível "&amp;$MA48,""),IF($MC48&gt;$MP48,"Classe "&amp;$MC48&amp;": o nível "&amp;$MO48&amp;" libera até a "&amp;$MP48,""),IF($NH48=1,"A Forma "&amp;$ME48&amp;" pede "&amp;INDEX($W$2:$W$11,$MT48)&amp;" aberta",""),IF(AND($MC48=0,$MT48&gt;0,IF($MT48=0,0,INDEX($AF$2:$AF$11,$MT48))=0),$ME48&amp;" não existe na Classe 0",""),IF($NI48=1,"Família Fechada: "&amp;$MH48,""),IF($NJ48=1,"Família Fechada: "&amp;$MI48,""),IF($NK48=1,"Família Fechada: "&amp;$MJ48,""),IF($NL48=1,"Família Fechada: "&amp;$MK48,""),IF(AND($MC48&gt;0,$OD48&gt;INDEX($O$2:$O$8,MAX(1,$MC48))),$OD48&amp;" Melhorias: a Classe "&amp;$MC48&amp;" aceita "&amp;INDEX($O$2:$O$8,MAX(1,$MC48)),""),IF(AND($MC48=0,$OD48&gt;1),"A básica aceita uma Melhoria",""),IF(AND($MC48=0,COUNTIF($MY48:$NB48,"&gt;1")&gt;0),"A básica só aceita Melhoria Leve",""),IF(AND($MC48&gt;0,$OE48&gt;2),$OE48&amp;" Restrições"&amp;IF($NO48=1,", contando a que a Forma "&amp;$ME48&amp;" já traz","")&amp;": o limite é 2",""),IF(AND($MC48=0,COUNTIF($ML48:$MM48,"?*")&gt;1),"A básica aceita uma Restrição Leve",""),IF(AND($MC48=0,COUNTIF($NR48:$NS48,2)&gt;0),"A básica só aceita Restrição Leve",""),IF(AND($MC48&gt;0,$OL48&lt;0),"Orçamento estourado: faltam "&amp;(-$OL48)&amp;IF($OL48&lt;-1," pontos"," ponto"),""),IF(IFERROR(VLOOKUP($ML48,$BB$2:$BF$24,4,FALSE),0)+IFERROR(VLOOKUP($MM48,$BB$2:$BF$24,4,FALSE),0)&gt;1,$NT48&amp;" e "&amp;$NU48&amp;" são as duas de frequência",""),IF(AND((COUNTIF($MH48:$MK48,"Rápido")+COUNTIF($NT48:$NU48,"Rápido"))&gt;0,(COUNTIF($MH48:$MK48,"Atrasar")+COUNTIF($NT48:$NU48,"Atrasar"))&gt;0),"Rápido não entra com Atrasar",""),IF(AND((COUNTIF($MH48:$MK48,"Reação")+COUNTIF($NT48:$NU48,"Reação"))&gt;0,(COUNTIF($MH48:$MK48,"Rápido")+COUNTIF($NT48:$NU48,"Rápido"))&gt;0),"Reação não entra com Rápido",""),IF(AND((COUNTIF($MH48:$MK48,"Reação")+COUNTIF($NT48:$NU48,"Reação"))&gt;0,(COUNTIF($MH48:$MK48,"Armado")+COUNTIF($NT48:$NU48,"Armado"))&gt;0),"Reação não entra com Armado",""),IF(AND((COUNTIF($MH48:$MK48,"Reação")+COUNTIF($NT48:$NU48,"Reação"))&gt;0,(COUNTIF($MH48:$MK48,"Atrasar")+COUNTIF($NT48:$NU48,"Atrasar"))&gt;0),"Reação não entra com Atrasar",""),IF(AND((COUNTIF($MH48:$MK48,"Reação")+COUNTIF($NT48:$NU48,"Reação"))&gt;0,(COUNTIF($MH48:$MK48,"Parado")+COUNTIF($NT48:$NU48,"Parado"))&gt;0),"Reação não entra com Parado",""),IF(AND((COUNTIF($MH48:$MK48,"Atrasar")+COUNTIF($NT48:$NU48,"Atrasar"))&gt;0,(COUNTIF($MH48:$MK48,"Parado")+COUNTIF($NT48:$NU48,"Parado"))&gt;0),"Atrasar não entra com Parado",""),IF(AND((COUNTIF($MH48:$MK48,"Armado")+COUNTIF($NT48:$NU48,"Armado"))&gt;0,(COUNTIF($MH48:$MK48,"Carregar")+COUNTIF($NT48:$NU48,"Carregar"))&gt;0),"Armado não entra com Carregar",""),IF(AND(COUNTIF($NT48:$NU48,"Corpo a Corpo")&gt;0,$NO48=0,OR($ME48="Cone",$ME48="Linha")),"Corpo a Corpo não entra em "&amp;$ME48,""),IF(AND(COUNTIF($NT48:$NU48,"Corpo a Corpo")&gt;0,$NO48=1),"A Forma "&amp;$ME48&amp;" já traz o Corpo a Corpo",""),IF(AND(COUNTIF($NT48:$NU48,"Tudo ou Nada")&gt;0,$NQ48=0),"Tudo ou Nada só entra em habilidade de Teste de Resistência",""),IF(AND(COUNTIF($MH48:$MK48,"Inescapável")&gt;0,OR($OD48&gt;1,$OE48&gt;0)),"Inescapável não aceita outra peça",""),IF(AND($MC48&gt;0,$OM48*IF(COUNTIF($MH48:$MK48,"Remate")&gt;0,1.25,1)+$ON48&gt;4*$MC48),($OM48*IF(COUNTIF($MH48:$MK48,"Remate")&gt;0,1.25,1)+$ON48)&amp;" dados somando repetições"&amp;IF(COUNTIF($MH48:$MK48,"Remate")&gt;0," e o Remate","")&amp;": o teto da Classe "&amp;$MC48&amp;" é "&amp;4*$MC48,"")))</f>
        <v/>
      </c>
      <c r="PD48" s="152">
        <f>IF($PC48="",0,(LEN($PC48)-LEN(SUBSTITUTE($PC48," · ","")))/3+1)</f>
        <v/>
      </c>
      <c r="PE48" s="152">
        <f>IF($MN48=0,"",TEXTJOIN(" · ",TRUE,IF($OG48&gt;2*$MC48,"A devolução parou no teto de "&amp;2*$MC48,""),IF($OJ48&gt;0,"Devolução perdida: "&amp;$OJ48&amp;IF($OJ48&gt;1," pontos"," ponto")&amp;" sem peça para pagar",""),IF(AND($NM48&gt;0,AND($MC48&gt;0,$NP48=0),$OM48=0),"Controle sem dano: uma rodada a mais e CD +2",""),IF(AND($NM48&gt;0,AND($MC48&gt;0,$NP48=0),$OM48&gt;0,$OM48&lt;=$MC48),"Controle com saldo até a Classe: uma rodada a mais",""),IF(AND($MC48&gt;0,$NN48&lt;&gt;""),"Efeito de "&amp;$NN48&amp;" pela Classe "&amp;MAX(1,$MC48-1),"")))</f>
        <v/>
      </c>
      <c r="PF48" s="152">
        <f>IF($PE48="",0,(LEN($PE48)-LEN(SUBSTITUTE($PE48," · ","")))/3+1)</f>
        <v/>
      </c>
      <c r="PG48" s="152">
        <f>IF($MN48=0,IF($OD48+COUNTIF($ML48:$MM48,"?*")&gt;0,"Dê um nome",""),IF($PD48&gt;0,"⚠ "&amp;$PD48&amp;IF($PD48&gt;1," erros"," erro"),IF($PF48&gt;0,"! "&amp;$PF48&amp;IF($PF48&gt;1," avisos"," aviso"),"Na regra")))</f>
        <v/>
      </c>
      <c r="PH48" s="152">
        <f>IF($MN48=0,"",IF($PD48+$PF48=0,"Dentro das regras que a ficha confere",$PC48&amp;IF(AND($PD48&gt;0,$PF48&gt;0)," · ","")&amp;$PE48))</f>
        <v/>
      </c>
      <c r="PI48" s="152">
        <f>IF($MA48&gt;$MO48,$MB48&amp;" · ABRE NO NÍVEL "&amp;$MA48,$MB48)</f>
        <v/>
      </c>
      <c r="PJ48" s="152">
        <f>IF($MN48=0,"",IF($MC48=0,"Sem PE",3*$MC48&amp;" PE"))</f>
        <v/>
      </c>
      <c r="PK48" s="152">
        <f>IF($MN48=0,"",IF($MC48=0,"A atuação básica dela",IF(COUNTIF($NT48:$NU48,"Atrasar")&gt;0,"Sua Ação Completa",IF(COUNTIF($MH48:$MK48,"Rápido")&gt;0,"Sua Bônus",IF(COUNTIF($MH48:$MK48,"Reação")&gt;0,"Sua Reação","Sua Padrão")))&amp;" + a básica dela"&amp;IF(COUNTIF($MH48:$MK48,"Reação")&gt;0," e a coletiva","")&amp;IF(COUNTIF($NT48:$NU48,"Carregar")&gt;0," · em dois turnos","")))</f>
        <v/>
      </c>
      <c r="PL48" s="152">
        <f>IF($MG48&lt;&gt;"",$MG48,IF($MT48=0,"",INDEX($AA$2:$AA$11,$MT48)))</f>
        <v/>
      </c>
      <c r="PM48" s="152">
        <f>IF(OR($MN48=0,$MT48=0),"",IF(COUNTIF($MH48:$MK48,"Inescapável")&gt;0,"Automático",IF($PL48="Ataque",IF($MR48="","Ataque","Ataque "&amp;IF(($MR48+2*IF(COUNTIF($MH48:$MK48,"Precisão")&gt;0,1,0))&gt;=0,"+","−")&amp;ABS(($MR48+2*IF(COUNTIF($MH48:$MK48,"Precisão")&gt;0,1,0)))),IF(LEFT($PL48,2)="TR",$PL48&amp;IF($MS48="",""," · CD "&amp;$MS48)&amp;IF(COUNTIF($MH48:$MK48,"Certeiro")&gt;0," · metade",""),"Sem rolagem"))))</f>
        <v/>
      </c>
      <c r="PN48" s="152">
        <f>IF(OR($MN48=0,$MT48=0),"",IF($MC48=0,IF(OR($NP48&gt;=1,$OM48=0),"Sem dano",$OM48&amp;"d6"&amp;IF($MF48="",""," "&amp;$MF48)),IF(OR($NP48&gt;=1,$OM48=0),UPPER(LEFT(INDEX($OV48:$PB48,1,MAX(1,$MC48)),1))&amp;MID(INDEX($OV48:$PB48,1,MAX(1,$MC48)),2,99),UPPER(LEFT(INDEX($OV48:$PB48,1,MAX(1,$MC48)),1))&amp;MID(INDEX($OV48:$PB48,1,MAX(1,$MC48)),2,99)&amp;IF($MF48="",""," "&amp;$MF48)&amp;IF($ON48&gt;0," · +"&amp;$ON48&amp;"d8",""))))</f>
        <v/>
      </c>
      <c r="PO48" s="152">
        <f>COUNTIF($MH48:$MK48,"Longe")+3*COUNTIF($MH48:$MK48,"Muito Longe")</f>
        <v/>
      </c>
      <c r="PP48" s="152">
        <f>COUNTIF($MH48:$MK48,"Maior")+3*COUNTIF($MH48:$MK48,"Muito Maior")</f>
        <v/>
      </c>
      <c r="PQ48" s="152">
        <f>IF($MT48=0,0,CHOOSE(1+INDEX($AC$2:$AC$11,$MT48),0,$PO48,$PP48,$PO48+$PP48))</f>
        <v/>
      </c>
      <c r="PR48" s="152">
        <f>IF($MT48=0,0,CHOOSE(1+INDEX($AD$2:$AD$11,$MT48),0,$PO48,$PP48,$PO48+$PP48))</f>
        <v/>
      </c>
      <c r="PS48" s="152">
        <f>IF(OR($MN48=0,$MT48=0),"",INDEX($AI$2:$AN$41,($MT48-1)*4+IF($MC48=0,1,IF($MC48&lt;=5,2,IF($MC48=6,3,4))),1+MIN(5,$PQ48))&amp;INDEX($AO$2:$AT$41,($MT48-1)*4+IF($MC48=0,1,IF($MC48&lt;=5,2,IF($MC48=6,3,4))),1+MIN(5,$PR48))&amp;IF(INDEX($AE$2:$AE$11,$MT48)=1,IF(COUNTIF($MH48:$MK48,"Mais Um")&gt;0," · +"&amp;COUNTIF($MH48:$MK48,"Mais Um")&amp;IF(COUNTIF($MH48:$MK48,"Mais Um")&gt;1," alvos"," alvo"),"")&amp;IF(COUNTIF($MH48:$MK48,"Rajada")&gt;0,IF($MC48=0," · 1 tiro"," · "&amp;(MAX(1,$MC48-1)+1)&amp;" tiros"),""),""))</f>
        <v/>
      </c>
      <c r="PT48" s="152">
        <f>IF($MN48=0,"",IF($MC48=0,$MQ48&amp;"d6"&amp;IF($OD48&gt;0," − 1 = "&amp;$OM48&amp;"d6"," da básica do nível "&amp;$MO48),$OK48&amp;" − "&amp;$OF48&amp;" + "&amp;$OI48&amp;" = "&amp;$OL48&amp;" · teto "&amp;4*$MC48&amp;"d8"&amp;IF($NO48=1," · a Forma devolve "&amp;$MC48,"")&amp;IF($OJ48&gt;0," · perde "&amp;$OJ48,"")))</f>
        <v/>
      </c>
      <c r="PU48" s="152">
        <f>IF($MN48=0,"",IF($MC48=0,"A básica não amplia: os dados dela sobem com o nível",IF($MC48&gt;=$MP48,"Já está na maior Classe que o nível liberou",TEXTJOIN(" · ",TRUE,IF(AND(2&gt;$MC48,2&lt;=$MP48),"2 → "&amp;$OW48&amp;", 6 PE",""),IF(AND(3&gt;$MC48,3&lt;=$MP48),"3 → "&amp;$OX48&amp;", 9 PE",""),IF(AND(4&gt;$MC48,4&lt;=$MP48),"4 → "&amp;$OY48&amp;", 12 PE",""),IF(AND(5&gt;$MC48,5&lt;=$MP48),"5 → "&amp;$OZ48&amp;", 15 PE",""),IF(AND(6&gt;$MC48,6&lt;=$MP48),"6 → "&amp;$PA48&amp;", 18 PE",""),IF(AND(7&gt;$MC48,7&lt;=$MP48),"7 → "&amp;$PB48&amp;", 21 PE","")))))</f>
        <v/>
      </c>
      <c r="PV48" s="152">
        <f>IF(OR($MN48=0,$MY48=0),"",IF($MC48=0,"−1 dado","−"&amp;INDEX($I$2:$N$8,MAX(1,$MC48),MAX(1,$ND48))&amp;" · "&amp;CHOOSE(MAX(1,$ND48),"Leve","Média","Pesada","Leve · Livre","Média · Livre","Pesada · Livre")))</f>
        <v/>
      </c>
      <c r="PW48" s="152">
        <f>IF(OR($MN48=0,$MZ48=0),"",IF($MC48=0,"−1 dado","−"&amp;INDEX($I$2:$N$8,MAX(1,$MC48),MAX(1,$NE48))&amp;" · "&amp;CHOOSE(MAX(1,$NE48),"Leve","Média","Pesada","Leve · Livre","Média · Livre","Pesada · Livre")))</f>
        <v/>
      </c>
      <c r="PX48" s="152">
        <f>IF(OR($MN48=0,$NA48=0),"",IF($MC48=0,"−1 dado","−"&amp;INDEX($I$2:$N$8,MAX(1,$MC48),MAX(1,$NF48))&amp;" · "&amp;CHOOSE(MAX(1,$NF48),"Leve","Média","Pesada","Leve · Livre","Média · Livre","Pesada · Livre")))</f>
        <v/>
      </c>
      <c r="PY48" s="152">
        <f>IF(OR($MN48=0,$NB48=0),"",IF($MC48=0,"−1 dado","−"&amp;INDEX($I$2:$N$8,MAX(1,$MC48),MAX(1,$NG48))&amp;" · "&amp;CHOOSE(MAX(1,$NG48),"Leve","Média","Pesada","Leve · Livre","Média · Livre","Pesada · Livre")))</f>
        <v/>
      </c>
      <c r="PZ48" s="152">
        <f>IF(OR($MN48=0,$ML48=""),"",IF($MC48=0,"não devolve","+"&amp;IF($NR48=1,CEILING($MC48/2,1),$MC48)))</f>
        <v/>
      </c>
      <c r="QA48" s="152">
        <f>IF(OR($MN48=0,$MM48=""),"",IF($MC48=0,"não devolve","+"&amp;IF($NS48=1,CEILING($MC48/2,1),$MC48)))</f>
        <v/>
      </c>
    </row>
    <row r="49">
      <c r="AV49" s="150" t="inlineStr">
        <is>
          <t>Guarda</t>
        </is>
      </c>
      <c r="AW49" s="150" t="inlineStr">
        <is>
          <t>Auxiliares</t>
        </is>
      </c>
      <c r="AX49" s="152" t="n">
        <v>2</v>
      </c>
      <c r="AY49" s="152" t="n">
        <v>0</v>
      </c>
      <c r="AZ49" s="152" t="n">
        <v>0</v>
      </c>
      <c r="JD49" s="152">
        <f>IF(OR($AW49="",COUNTIF($ED$2:$EH$2,$AW49)&gt;0),$AV49,"")</f>
        <v/>
      </c>
      <c r="JE49" s="152">
        <f>IF(AND($AX49=1,OR($AW49="",COUNTIF($ED$2:$EH$2,$AW49)&gt;0)),$AV49,"")</f>
        <v/>
      </c>
      <c r="JJ49" s="152">
        <f>IF(OR($AW49="",COUNTIF($ED$3:$EH$3,$AW49)&gt;0),$AV49,"")</f>
        <v/>
      </c>
      <c r="JK49" s="152">
        <f>IF(AND($AX49=1,OR($AW49="",COUNTIF($ED$3:$EH$3,$AW49)&gt;0)),$AV49,"")</f>
        <v/>
      </c>
      <c r="JP49" s="152">
        <f>IF(OR($AW49="",COUNTIF($ED$4:$EH$4,$AW49)&gt;0),$AV49,"")</f>
        <v/>
      </c>
      <c r="JQ49" s="152">
        <f>IF(AND($AX49=1,OR($AW49="",COUNTIF($ED$4:$EH$4,$AW49)&gt;0)),$AV49,"")</f>
        <v/>
      </c>
      <c r="JV49" s="152">
        <f>IF(OR($AW49="",COUNTIF($ED$5:$EH$5,$AW49)&gt;0),$AV49,"")</f>
        <v/>
      </c>
      <c r="JW49" s="152">
        <f>IF(AND($AX49=1,OR($AW49="",COUNTIF($ED$5:$EH$5,$AW49)&gt;0)),$AV49,"")</f>
        <v/>
      </c>
      <c r="KB49" s="152">
        <f>IF(OR($AW49="",COUNTIF($ED$6:$EH$6,$AW49)&gt;0),$AV49,"")</f>
        <v/>
      </c>
      <c r="KC49" s="152">
        <f>IF(AND($AX49=1,OR($AW49="",COUNTIF($ED$6:$EH$6,$AW49)&gt;0)),$AV49,"")</f>
        <v/>
      </c>
      <c r="KH49" s="152">
        <f>IF(OR($AW49="",COUNTIF($ED$7:$EH$7,$AW49)&gt;0),$AV49,"")</f>
        <v/>
      </c>
      <c r="KI49" s="152">
        <f>IF(AND($AX49=1,OR($AW49="",COUNTIF($ED$7:$EH$7,$AW49)&gt;0)),$AV49,"")</f>
        <v/>
      </c>
      <c r="KN49" s="152">
        <f>IF(OR($AW49="",COUNTIF($ED$8:$EH$8,$AW49)&gt;0),$AV49,"")</f>
        <v/>
      </c>
      <c r="KO49" s="152">
        <f>IF(AND($AX49=1,OR($AW49="",COUNTIF($ED$8:$EH$8,$AW49)&gt;0)),$AV49,"")</f>
        <v/>
      </c>
      <c r="KT49" s="152">
        <f>IF(OR($AW49="",COUNTIF($ED$9:$EH$9,$AW49)&gt;0),$AV49,"")</f>
        <v/>
      </c>
      <c r="KU49" s="152">
        <f>IF(AND($AX49=1,OR($AW49="",COUNTIF($ED$9:$EH$9,$AW49)&gt;0)),$AV49,"")</f>
        <v/>
      </c>
      <c r="KZ49" s="152">
        <f>IF(OR($AW49="",COUNTIF($ED$10:$EH$10,$AW49)&gt;0),$AV49,"")</f>
        <v/>
      </c>
      <c r="LA49" s="152">
        <f>IF(AND($AX49=1,OR($AW49="",COUNTIF($ED$10:$EH$10,$AW49)&gt;0)),$AV49,"")</f>
        <v/>
      </c>
      <c r="LF49" s="152">
        <f>IF(OR($AW49="",COUNTIF($ED$11:$EH$11,$AW49)&gt;0),$AV49,"")</f>
        <v/>
      </c>
      <c r="LG49" s="152">
        <f>IF(AND($AX49=1,OR($AW49="",COUNTIF($ED$11:$EH$11,$AW49)&gt;0)),$AV49,"")</f>
        <v/>
      </c>
      <c r="LL49" s="152">
        <f>IF(OR($AW49="",COUNTIF($ED$12:$EH$12,$AW49)&gt;0),$AV49,"")</f>
        <v/>
      </c>
      <c r="LM49" s="152">
        <f>IF(AND($AX49=1,OR($AW49="",COUNTIF($ED$12:$EH$12,$AW49)&gt;0)),$AV49,"")</f>
        <v/>
      </c>
      <c r="LR49" s="152">
        <f>IF(OR($AW49="",COUNTIF($ED$13:$EH$13,$AW49)&gt;0),$AV49,"")</f>
        <v/>
      </c>
      <c r="LS49" s="152">
        <f>IF(AND($AX49=1,OR($AW49="",COUNTIF($ED$13:$EH$13,$AW49)&gt;0)),$AV49,"")</f>
        <v/>
      </c>
      <c r="LX49" s="150" t="inlineStr">
        <is>
          <t>Ficha 4 · Especial 7</t>
        </is>
      </c>
      <c r="LY49" s="152" t="n">
        <v>4</v>
      </c>
      <c r="LZ49" s="152" t="n">
        <v>1</v>
      </c>
      <c r="MA49" s="152" t="n">
        <v>24</v>
      </c>
      <c r="MB49" s="150" t="inlineStr">
        <is>
          <t>ESPECIAL 7</t>
        </is>
      </c>
      <c r="MC49" s="152">
        <f>MAX(1,MIN(7,N('INVOCAÇÕES'!$U$708)))</f>
        <v/>
      </c>
      <c r="MD49" s="152">
        <f>'INVOCAÇÕES'!$V$708&amp;""</f>
        <v/>
      </c>
      <c r="ME49" s="152">
        <f>'INVOCAÇÕES'!$U$713&amp;""</f>
        <v/>
      </c>
      <c r="MF49" s="152">
        <f>'INVOCAÇÕES'!$U$714&amp;""</f>
        <v/>
      </c>
      <c r="MG49" s="152">
        <f>'INVOCAÇÕES'!$W$714&amp;""</f>
        <v/>
      </c>
      <c r="MH49" s="152">
        <f>'INVOCAÇÕES'!$V$717&amp;""</f>
        <v/>
      </c>
      <c r="MI49" s="152">
        <f>'INVOCAÇÕES'!$V$718&amp;""</f>
        <v/>
      </c>
      <c r="MJ49" s="152">
        <f>'INVOCAÇÕES'!$V$719&amp;""</f>
        <v/>
      </c>
      <c r="MK49" s="152">
        <f>'INVOCAÇÕES'!$V$720&amp;""</f>
        <v/>
      </c>
      <c r="ML49" s="152">
        <f>'INVOCAÇÕES'!$V$721&amp;""</f>
        <v/>
      </c>
      <c r="MM49" s="152">
        <f>'INVOCAÇÕES'!$V$722&amp;""</f>
        <v/>
      </c>
      <c r="MN49" s="152">
        <f>IF($MD49&lt;&gt;"",1,0)</f>
        <v/>
      </c>
      <c r="MO49" s="152">
        <f>INDEX($FG$2:$FG$13,$LY49)</f>
        <v/>
      </c>
      <c r="MP49" s="152">
        <f>INDEX($FH$2:$FH$13,$LY49)</f>
        <v/>
      </c>
      <c r="MQ49" s="152">
        <f>INDEX($FI$2:$FI$13,$LY49)</f>
        <v/>
      </c>
      <c r="MR49" s="152">
        <f>INDEX($FT$2:$FT$13,$LY49)</f>
        <v/>
      </c>
      <c r="MS49" s="152">
        <f>INDEX($FU$2:$FU$13,$LY49)</f>
        <v/>
      </c>
      <c r="MT49" s="152">
        <f>IFERROR(MATCH($ME49,$V$2:$V$11,0),0)</f>
        <v/>
      </c>
      <c r="MU49" s="152">
        <f>IFERROR(VLOOKUP($MH49,$AV$2:$AZ$84,2,FALSE),"")</f>
        <v/>
      </c>
      <c r="MV49" s="152">
        <f>IFERROR(VLOOKUP($MI49,$AV$2:$AZ$84,2,FALSE),"")</f>
        <v/>
      </c>
      <c r="MW49" s="152">
        <f>IFERROR(VLOOKUP($MJ49,$AV$2:$AZ$84,2,FALSE),"")</f>
        <v/>
      </c>
      <c r="MX49" s="152">
        <f>IFERROR(VLOOKUP($MK49,$AV$2:$AZ$84,2,FALSE),"")</f>
        <v/>
      </c>
      <c r="MY49" s="152">
        <f>IFERROR(VLOOKUP($MH49,$AV$2:$AZ$84,3,FALSE),0)</f>
        <v/>
      </c>
      <c r="MZ49" s="152">
        <f>IFERROR(VLOOKUP($MI49,$AV$2:$AZ$84,3,FALSE),0)</f>
        <v/>
      </c>
      <c r="NA49" s="152">
        <f>IFERROR(VLOOKUP($MJ49,$AV$2:$AZ$84,3,FALSE),0)</f>
        <v/>
      </c>
      <c r="NB49" s="152">
        <f>IFERROR(VLOOKUP($MK49,$AV$2:$AZ$84,3,FALSE),0)</f>
        <v/>
      </c>
      <c r="NC49" s="152">
        <f>IF($MC49=0,0,IF($MT49=0,0,INDEX($X$2:$X$11,$MT49)))</f>
        <v/>
      </c>
      <c r="ND49" s="152">
        <f>IF(OR($MY49=0,$MC49=0),0,$MY49+3*IF(AND($MU49&lt;&gt;"",OR($MU49=INDEX($ED$2:$ED$13,$LY49),$MU49=INDEX($EE$2:$EE$13,$LY49))),1,0))</f>
        <v/>
      </c>
      <c r="NE49" s="152">
        <f>IF(OR($MZ49=0,$MC49=0),0,$MZ49+3*IF(AND($MV49&lt;&gt;"",OR($MV49=INDEX($ED$2:$ED$13,$LY49),$MV49=INDEX($EE$2:$EE$13,$LY49))),1,0))</f>
        <v/>
      </c>
      <c r="NF49" s="152">
        <f>IF(OR($NA49=0,$MC49=0),0,$NA49+3*IF(AND($MW49&lt;&gt;"",OR($MW49=INDEX($ED$2:$ED$13,$LY49),$MW49=INDEX($EE$2:$EE$13,$LY49))),1,0))</f>
        <v/>
      </c>
      <c r="NG49" s="152">
        <f>IF(OR($NB49=0,$MC49=0),0,$NB49+3*IF(AND($MX49&lt;&gt;"",OR($MX49=INDEX($ED$2:$ED$13,$LY49),$MX49=INDEX($EE$2:$EE$13,$LY49))),1,0))</f>
        <v/>
      </c>
      <c r="NH49" s="152">
        <f>IF($MT49=0,0,IF(INDEX($W$2:$W$11,$MT49)="",0,IF(COUNTIF(INDEX($ED$2:$EH$13,$LY49,0),INDEX($W$2:$W$11,$MT49))=0,1,0)))</f>
        <v/>
      </c>
      <c r="NI49" s="152">
        <f>IF(OR($MY49=0,$MU49=""),0,IF(COUNTIF(INDEX($ED$2:$EH$13,$LY49,0),$MU49)=0,1,0))</f>
        <v/>
      </c>
      <c r="NJ49" s="152">
        <f>IF(OR($MZ49=0,$MV49=""),0,IF(COUNTIF(INDEX($ED$2:$EH$13,$LY49,0),$MV49)=0,1,0))</f>
        <v/>
      </c>
      <c r="NK49" s="152">
        <f>IF(OR($NA49=0,$MW49=""),0,IF(COUNTIF(INDEX($ED$2:$EH$13,$LY49,0),$MW49)=0,1,0))</f>
        <v/>
      </c>
      <c r="NL49" s="152">
        <f>IF(OR($NB49=0,$MX49=""),0,IF(COUNTIF(INDEX($ED$2:$EH$13,$LY49,0),$MX49)=0,1,0))</f>
        <v/>
      </c>
      <c r="NM49" s="152">
        <f>IFERROR(VLOOKUP($MH49,$AV$2:$AZ$84,4,FALSE),0)+IFERROR(VLOOKUP($MI49,$AV$2:$AZ$84,4,FALSE),0)+IFERROR(VLOOKUP($MJ49,$AV$2:$AZ$84,4,FALSE),0)+IFERROR(VLOOKUP($MK49,$AV$2:$AZ$84,4,FALSE),0)</f>
        <v/>
      </c>
      <c r="NN49" s="152">
        <f>TEXTJOIN(", ",TRUE,IF(IFERROR(VLOOKUP($MH49,$AV$2:$AZ$84,5,FALSE),0)=1,$MH49,""),IF(IFERROR(VLOOKUP($MI49,$AV$2:$AZ$84,5,FALSE),0)=1,$MI49,""),IF(IFERROR(VLOOKUP($MJ49,$AV$2:$AZ$84,5,FALSE),0)=1,$MJ49,""),IF(IFERROR(VLOOKUP($MK49,$AV$2:$AZ$84,5,FALSE),0)=1,$MK49,""))</f>
        <v/>
      </c>
      <c r="NO49" s="152">
        <f>IF($MT49=0,0,INDEX($Y$2:$Y$11,$MT49))</f>
        <v/>
      </c>
      <c r="NP49" s="152">
        <f>IF($MT49=0,0,INDEX($Z$2:$Z$11,$MT49))</f>
        <v/>
      </c>
      <c r="NQ49" s="152">
        <f>IF($MT49=0,0,INDEX($AB$2:$AB$11,$MT49))</f>
        <v/>
      </c>
      <c r="NR49" s="152">
        <f>IFERROR(VLOOKUP($ML49,$BB$2:$BF$24,3,FALSE),0)</f>
        <v/>
      </c>
      <c r="NS49" s="152">
        <f>IFERROR(VLOOKUP($MM49,$BB$2:$BF$24,3,FALSE),0)</f>
        <v/>
      </c>
      <c r="NT49" s="152">
        <f>IFERROR(VLOOKUP($ML49,$BB$2:$BF$24,2,FALSE),"")</f>
        <v/>
      </c>
      <c r="NU49" s="152">
        <f>IFERROR(VLOOKUP($MM49,$BB$2:$BF$24,2,FALSE),"")</f>
        <v/>
      </c>
      <c r="NV49" s="152">
        <f>COUNTIF($NC49:$NG49,1)</f>
        <v/>
      </c>
      <c r="NW49" s="152">
        <f>COUNTIF($NC49:$NG49,2)</f>
        <v/>
      </c>
      <c r="NX49" s="152">
        <f>COUNTIF($NC49:$NG49,3)</f>
        <v/>
      </c>
      <c r="NY49" s="152">
        <f>COUNTIF($NC49:$NG49,4)</f>
        <v/>
      </c>
      <c r="NZ49" s="152">
        <f>COUNTIF($NC49:$NG49,5)</f>
        <v/>
      </c>
      <c r="OA49" s="152">
        <f>COUNTIF($NC49:$NG49,6)</f>
        <v/>
      </c>
      <c r="OB49" s="152">
        <f>COUNTIF($NR49:$NS49,1)</f>
        <v/>
      </c>
      <c r="OC49" s="152">
        <f>COUNTIF($NR49:$NS49,2)+$NO49</f>
        <v/>
      </c>
      <c r="OD49" s="152">
        <f>COUNTIF($MH49:$MK49,"?*")</f>
        <v/>
      </c>
      <c r="OE49" s="152">
        <f>COUNTIF($ML49:$MM49,"?*")+$NO49</f>
        <v/>
      </c>
      <c r="OF49" s="152">
        <f>IF($MC49=0,0,SUMPRODUCT($NV49:$OA49,INDEX($I$2:$N$8,MAX(1,$MC49),0)))</f>
        <v/>
      </c>
      <c r="OG49" s="152">
        <f>IF($MC49=0,0,$OB49*CEILING($MC49/2,1)+$OC49*$MC49)</f>
        <v/>
      </c>
      <c r="OH49" s="152">
        <f>MIN(2*$MC49,$OG49)</f>
        <v/>
      </c>
      <c r="OI49" s="152">
        <f>MIN($OH49,$OF49)</f>
        <v/>
      </c>
      <c r="OJ49" s="152">
        <f>$OH49-$OI49</f>
        <v/>
      </c>
      <c r="OK49" s="152">
        <f>IF($MC49=0,0,INDEX($P$2:$P$8,MAX(1,$MC49)))</f>
        <v/>
      </c>
      <c r="OL49" s="152">
        <f>$OK49-$OF49+$OI49</f>
        <v/>
      </c>
      <c r="OM49" s="152">
        <f>IF($MC49=0,MAX(0,$MQ49-IF($OD49&gt;0,1,0)),MAX(0,$OL49))</f>
        <v/>
      </c>
      <c r="ON49" s="152">
        <f>IF($MC49=0,0,(IF(COUNTIF($MH49:$MK49,"Salto")&gt;0,1,0)+IF(COUNTIF($MH49:$MK49,"Queima")&gt;0,1,0)+IF(COUNTIF($MH49:$MK49,"Estilhaço")&gt;0,1,0))*FLOOR($OM49/2,1))</f>
        <v/>
      </c>
      <c r="OO49" s="152">
        <f>MAX(0,2-SUMPRODUCT($NV49:$OA49,$I$2:$N$2)+MIN(2,$OB49*1+$OC49*1,SUMPRODUCT($NV49:$OA49,$I$2:$N$2)))</f>
        <v/>
      </c>
      <c r="OP49" s="152">
        <f>MAX(0,4-SUMPRODUCT($NV49:$OA49,$I$3:$N$3)+MIN(4,$OB49*1+$OC49*2,SUMPRODUCT($NV49:$OA49,$I$3:$N$3)))</f>
        <v/>
      </c>
      <c r="OQ49" s="152">
        <f>MAX(0,6-SUMPRODUCT($NV49:$OA49,$I$4:$N$4)+MIN(6,$OB49*2+$OC49*3,SUMPRODUCT($NV49:$OA49,$I$4:$N$4)))</f>
        <v/>
      </c>
      <c r="OR49" s="152">
        <f>MAX(0,9-SUMPRODUCT($NV49:$OA49,$I$5:$N$5)+MIN(8,$OB49*2+$OC49*4,SUMPRODUCT($NV49:$OA49,$I$5:$N$5)))</f>
        <v/>
      </c>
      <c r="OS49" s="152">
        <f>MAX(0,11-SUMPRODUCT($NV49:$OA49,$I$6:$N$6)+MIN(10,$OB49*3+$OC49*5,SUMPRODUCT($NV49:$OA49,$I$6:$N$6)))</f>
        <v/>
      </c>
      <c r="OT49" s="152">
        <f>MAX(0,13-SUMPRODUCT($NV49:$OA49,$I$7:$N$7)+MIN(12,$OB49*3+$OC49*6,SUMPRODUCT($NV49:$OA49,$I$7:$N$7)))</f>
        <v/>
      </c>
      <c r="OU49" s="152">
        <f>MAX(0,16-SUMPRODUCT($NV49:$OA49,$I$8:$N$8)+MIN(14,$OB49*4+$OC49*7,SUMPRODUCT($NV49:$OA49,$I$8:$N$8)))</f>
        <v/>
      </c>
      <c r="OV49" s="152">
        <f>IF($NP49=2,3*$OO49&amp;" de vida temp.",IF($NP49=3,"sem dano",IF($OO49=0,IF($NP49=1,"sem cura","sem dano"),IF($NP49=1,"cura ","")&amp;$OO49&amp;"d8")))</f>
        <v/>
      </c>
      <c r="OW49" s="152">
        <f>IF($NP49=2,3*$OP49&amp;" de vida temp.",IF($NP49=3,"sem dano",IF($OP49=0,IF($NP49=1,"sem cura","sem dano"),IF($NP49=1,"cura ","")&amp;$OP49&amp;"d8")))</f>
        <v/>
      </c>
      <c r="OX49" s="152">
        <f>IF($NP49=2,3*$OQ49&amp;" de vida temp.",IF($NP49=3,"sem dano",IF($OQ49=0,IF($NP49=1,"sem cura","sem dano"),IF($NP49=1,"cura ","")&amp;$OQ49&amp;"d8")))</f>
        <v/>
      </c>
      <c r="OY49" s="152">
        <f>IF($NP49=2,3*$OR49&amp;" de vida temp.",IF($NP49=3,"sem dano",IF($OR49=0,IF($NP49=1,"sem cura","sem dano"),IF($NP49=1,"cura ","")&amp;$OR49&amp;"d8")))</f>
        <v/>
      </c>
      <c r="OZ49" s="152">
        <f>IF($NP49=2,3*$OS49&amp;" de vida temp.",IF($NP49=3,"sem dano",IF($OS49=0,IF($NP49=1,"sem cura","sem dano"),IF($NP49=1,"cura ","")&amp;$OS49&amp;"d8")))</f>
        <v/>
      </c>
      <c r="PA49" s="152">
        <f>IF($NP49=2,3*$OT49&amp;" de vida temp.",IF($NP49=3,"sem dano",IF($OT49=0,IF($NP49=1,"sem cura","sem dano"),IF($NP49=1,"cura ","")&amp;$OT49&amp;"d8")))</f>
        <v/>
      </c>
      <c r="PB49" s="152">
        <f>IF($NP49=2,3*$OU49&amp;" de vida temp.",IF($NP49=3,"sem dano",IF($OU49=0,IF($NP49=1,"sem cura","sem dano"),IF($NP49=1,"cura ","")&amp;$OU49&amp;"d8")))</f>
        <v/>
      </c>
      <c r="PC49" s="152">
        <f>IF($MN49=0,"",TEXTJOIN(" · ",TRUE,IF($MA49&gt;$MO49,"Este lugar abre no nível "&amp;$MA49,""),IF($MC49&gt;$MP49,"Classe "&amp;$MC49&amp;": o nível "&amp;$MO49&amp;" libera até a "&amp;$MP49,""),IF($NH49=1,"A Forma "&amp;$ME49&amp;" pede "&amp;INDEX($W$2:$W$11,$MT49)&amp;" aberta",""),IF(AND($MC49=0,$MT49&gt;0,IF($MT49=0,0,INDEX($AF$2:$AF$11,$MT49))=0),$ME49&amp;" não existe na Classe 0",""),IF($NI49=1,"Família Fechada: "&amp;$MH49,""),IF($NJ49=1,"Família Fechada: "&amp;$MI49,""),IF($NK49=1,"Família Fechada: "&amp;$MJ49,""),IF($NL49=1,"Família Fechada: "&amp;$MK49,""),IF(AND($MC49&gt;0,$OD49&gt;INDEX($O$2:$O$8,MAX(1,$MC49))),$OD49&amp;" Melhorias: a Classe "&amp;$MC49&amp;" aceita "&amp;INDEX($O$2:$O$8,MAX(1,$MC49)),""),IF(AND($MC49=0,$OD49&gt;1),"A básica aceita uma Melhoria",""),IF(AND($MC49=0,COUNTIF($MY49:$NB49,"&gt;1")&gt;0),"A básica só aceita Melhoria Leve",""),IF(AND($MC49&gt;0,$OE49&gt;2),$OE49&amp;" Restrições"&amp;IF($NO49=1,", contando a que a Forma "&amp;$ME49&amp;" já traz","")&amp;": o limite é 2",""),IF(AND($MC49=0,COUNTIF($ML49:$MM49,"?*")&gt;1),"A básica aceita uma Restrição Leve",""),IF(AND($MC49=0,COUNTIF($NR49:$NS49,2)&gt;0),"A básica só aceita Restrição Leve",""),IF(AND($MC49&gt;0,$OL49&lt;0),"Orçamento estourado: faltam "&amp;(-$OL49)&amp;IF($OL49&lt;-1," pontos"," ponto"),""),IF(IFERROR(VLOOKUP($ML49,$BB$2:$BF$24,4,FALSE),0)+IFERROR(VLOOKUP($MM49,$BB$2:$BF$24,4,FALSE),0)&gt;1,$NT49&amp;" e "&amp;$NU49&amp;" são as duas de frequência",""),IF(AND((COUNTIF($MH49:$MK49,"Rápido")+COUNTIF($NT49:$NU49,"Rápido"))&gt;0,(COUNTIF($MH49:$MK49,"Atrasar")+COUNTIF($NT49:$NU49,"Atrasar"))&gt;0),"Rápido não entra com Atrasar",""),IF(AND((COUNTIF($MH49:$MK49,"Reação")+COUNTIF($NT49:$NU49,"Reação"))&gt;0,(COUNTIF($MH49:$MK49,"Rápido")+COUNTIF($NT49:$NU49,"Rápido"))&gt;0),"Reação não entra com Rápido",""),IF(AND((COUNTIF($MH49:$MK49,"Reação")+COUNTIF($NT49:$NU49,"Reação"))&gt;0,(COUNTIF($MH49:$MK49,"Armado")+COUNTIF($NT49:$NU49,"Armado"))&gt;0),"Reação não entra com Armado",""),IF(AND((COUNTIF($MH49:$MK49,"Reação")+COUNTIF($NT49:$NU49,"Reação"))&gt;0,(COUNTIF($MH49:$MK49,"Atrasar")+COUNTIF($NT49:$NU49,"Atrasar"))&gt;0),"Reação não entra com Atrasar",""),IF(AND((COUNTIF($MH49:$MK49,"Reação")+COUNTIF($NT49:$NU49,"Reação"))&gt;0,(COUNTIF($MH49:$MK49,"Parado")+COUNTIF($NT49:$NU49,"Parado"))&gt;0),"Reação não entra com Parado",""),IF(AND((COUNTIF($MH49:$MK49,"Atrasar")+COUNTIF($NT49:$NU49,"Atrasar"))&gt;0,(COUNTIF($MH49:$MK49,"Parado")+COUNTIF($NT49:$NU49,"Parado"))&gt;0),"Atrasar não entra com Parado",""),IF(AND((COUNTIF($MH49:$MK49,"Armado")+COUNTIF($NT49:$NU49,"Armado"))&gt;0,(COUNTIF($MH49:$MK49,"Carregar")+COUNTIF($NT49:$NU49,"Carregar"))&gt;0),"Armado não entra com Carregar",""),IF(AND(COUNTIF($NT49:$NU49,"Corpo a Corpo")&gt;0,$NO49=0,OR($ME49="Cone",$ME49="Linha")),"Corpo a Corpo não entra em "&amp;$ME49,""),IF(AND(COUNTIF($NT49:$NU49,"Corpo a Corpo")&gt;0,$NO49=1),"A Forma "&amp;$ME49&amp;" já traz o Corpo a Corpo",""),IF(AND(COUNTIF($NT49:$NU49,"Tudo ou Nada")&gt;0,$NQ49=0),"Tudo ou Nada só entra em habilidade de Teste de Resistência",""),IF(AND(COUNTIF($MH49:$MK49,"Inescapável")&gt;0,OR($OD49&gt;1,$OE49&gt;0)),"Inescapável não aceita outra peça",""),IF(AND($MC49&gt;0,$OM49*IF(COUNTIF($MH49:$MK49,"Remate")&gt;0,1.25,1)+$ON49&gt;4*$MC49),($OM49*IF(COUNTIF($MH49:$MK49,"Remate")&gt;0,1.25,1)+$ON49)&amp;" dados somando repetições"&amp;IF(COUNTIF($MH49:$MK49,"Remate")&gt;0," e o Remate","")&amp;": o teto da Classe "&amp;$MC49&amp;" é "&amp;4*$MC49,"")))</f>
        <v/>
      </c>
      <c r="PD49" s="152">
        <f>IF($PC49="",0,(LEN($PC49)-LEN(SUBSTITUTE($PC49," · ","")))/3+1)</f>
        <v/>
      </c>
      <c r="PE49" s="152">
        <f>IF($MN49=0,"",TEXTJOIN(" · ",TRUE,IF($OG49&gt;2*$MC49,"A devolução parou no teto de "&amp;2*$MC49,""),IF($OJ49&gt;0,"Devolução perdida: "&amp;$OJ49&amp;IF($OJ49&gt;1," pontos"," ponto")&amp;" sem peça para pagar",""),IF(AND($NM49&gt;0,AND($MC49&gt;0,$NP49=0),$OM49=0),"Controle sem dano: uma rodada a mais e CD +2",""),IF(AND($NM49&gt;0,AND($MC49&gt;0,$NP49=0),$OM49&gt;0,$OM49&lt;=$MC49),"Controle com saldo até a Classe: uma rodada a mais",""),IF(AND($MC49&gt;0,$NN49&lt;&gt;""),"Efeito de "&amp;$NN49&amp;" pela Classe "&amp;MAX(1,$MC49-1),"")))</f>
        <v/>
      </c>
      <c r="PF49" s="152">
        <f>IF($PE49="",0,(LEN($PE49)-LEN(SUBSTITUTE($PE49," · ","")))/3+1)</f>
        <v/>
      </c>
      <c r="PG49" s="152">
        <f>IF($MN49=0,IF($OD49+COUNTIF($ML49:$MM49,"?*")&gt;0,"Dê um nome",""),IF($PD49&gt;0,"⚠ "&amp;$PD49&amp;IF($PD49&gt;1," erros"," erro"),IF($PF49&gt;0,"! "&amp;$PF49&amp;IF($PF49&gt;1," avisos"," aviso"),"Na regra")))</f>
        <v/>
      </c>
      <c r="PH49" s="152">
        <f>IF($MN49=0,"",IF($PD49+$PF49=0,"Dentro das regras que a ficha confere",$PC49&amp;IF(AND($PD49&gt;0,$PF49&gt;0)," · ","")&amp;$PE49))</f>
        <v/>
      </c>
      <c r="PI49" s="152">
        <f>IF($MA49&gt;$MO49,$MB49&amp;" · ABRE NO NÍVEL "&amp;$MA49,$MB49)</f>
        <v/>
      </c>
      <c r="PJ49" s="152">
        <f>IF($MN49=0,"",IF($MC49=0,"Sem PE",3*$MC49&amp;" PE"))</f>
        <v/>
      </c>
      <c r="PK49" s="152">
        <f>IF($MN49=0,"",IF($MC49=0,"A atuação básica dela",IF(COUNTIF($NT49:$NU49,"Atrasar")&gt;0,"Sua Ação Completa",IF(COUNTIF($MH49:$MK49,"Rápido")&gt;0,"Sua Bônus",IF(COUNTIF($MH49:$MK49,"Reação")&gt;0,"Sua Reação","Sua Padrão")))&amp;" + a básica dela"&amp;IF(COUNTIF($MH49:$MK49,"Reação")&gt;0," e a coletiva","")&amp;IF(COUNTIF($NT49:$NU49,"Carregar")&gt;0," · em dois turnos","")))</f>
        <v/>
      </c>
      <c r="PL49" s="152">
        <f>IF($MG49&lt;&gt;"",$MG49,IF($MT49=0,"",INDEX($AA$2:$AA$11,$MT49)))</f>
        <v/>
      </c>
      <c r="PM49" s="152">
        <f>IF(OR($MN49=0,$MT49=0),"",IF(COUNTIF($MH49:$MK49,"Inescapável")&gt;0,"Automático",IF($PL49="Ataque",IF($MR49="","Ataque","Ataque "&amp;IF(($MR49+2*IF(COUNTIF($MH49:$MK49,"Precisão")&gt;0,1,0))&gt;=0,"+","−")&amp;ABS(($MR49+2*IF(COUNTIF($MH49:$MK49,"Precisão")&gt;0,1,0)))),IF(LEFT($PL49,2)="TR",$PL49&amp;IF($MS49="",""," · CD "&amp;$MS49)&amp;IF(COUNTIF($MH49:$MK49,"Certeiro")&gt;0," · metade",""),"Sem rolagem"))))</f>
        <v/>
      </c>
      <c r="PN49" s="152">
        <f>IF(OR($MN49=0,$MT49=0),"",IF($MC49=0,IF(OR($NP49&gt;=1,$OM49=0),"Sem dano",$OM49&amp;"d6"&amp;IF($MF49="",""," "&amp;$MF49)),IF(OR($NP49&gt;=1,$OM49=0),UPPER(LEFT(INDEX($OV49:$PB49,1,MAX(1,$MC49)),1))&amp;MID(INDEX($OV49:$PB49,1,MAX(1,$MC49)),2,99),UPPER(LEFT(INDEX($OV49:$PB49,1,MAX(1,$MC49)),1))&amp;MID(INDEX($OV49:$PB49,1,MAX(1,$MC49)),2,99)&amp;IF($MF49="",""," "&amp;$MF49)&amp;IF($ON49&gt;0," · +"&amp;$ON49&amp;"d8",""))))</f>
        <v/>
      </c>
      <c r="PO49" s="152">
        <f>COUNTIF($MH49:$MK49,"Longe")+3*COUNTIF($MH49:$MK49,"Muito Longe")</f>
        <v/>
      </c>
      <c r="PP49" s="152">
        <f>COUNTIF($MH49:$MK49,"Maior")+3*COUNTIF($MH49:$MK49,"Muito Maior")</f>
        <v/>
      </c>
      <c r="PQ49" s="152">
        <f>IF($MT49=0,0,CHOOSE(1+INDEX($AC$2:$AC$11,$MT49),0,$PO49,$PP49,$PO49+$PP49))</f>
        <v/>
      </c>
      <c r="PR49" s="152">
        <f>IF($MT49=0,0,CHOOSE(1+INDEX($AD$2:$AD$11,$MT49),0,$PO49,$PP49,$PO49+$PP49))</f>
        <v/>
      </c>
      <c r="PS49" s="152">
        <f>IF(OR($MN49=0,$MT49=0),"",INDEX($AI$2:$AN$41,($MT49-1)*4+IF($MC49=0,1,IF($MC49&lt;=5,2,IF($MC49=6,3,4))),1+MIN(5,$PQ49))&amp;INDEX($AO$2:$AT$41,($MT49-1)*4+IF($MC49=0,1,IF($MC49&lt;=5,2,IF($MC49=6,3,4))),1+MIN(5,$PR49))&amp;IF(INDEX($AE$2:$AE$11,$MT49)=1,IF(COUNTIF($MH49:$MK49,"Mais Um")&gt;0," · +"&amp;COUNTIF($MH49:$MK49,"Mais Um")&amp;IF(COUNTIF($MH49:$MK49,"Mais Um")&gt;1," alvos"," alvo"),"")&amp;IF(COUNTIF($MH49:$MK49,"Rajada")&gt;0,IF($MC49=0," · 1 tiro"," · "&amp;(MAX(1,$MC49-1)+1)&amp;" tiros"),""),""))</f>
        <v/>
      </c>
      <c r="PT49" s="152">
        <f>IF($MN49=0,"",IF($MC49=0,$MQ49&amp;"d6"&amp;IF($OD49&gt;0," − 1 = "&amp;$OM49&amp;"d6"," da básica do nível "&amp;$MO49),$OK49&amp;" − "&amp;$OF49&amp;" + "&amp;$OI49&amp;" = "&amp;$OL49&amp;" · teto "&amp;4*$MC49&amp;"d8"&amp;IF($NO49=1," · a Forma devolve "&amp;$MC49,"")&amp;IF($OJ49&gt;0," · perde "&amp;$OJ49,"")))</f>
        <v/>
      </c>
      <c r="PU49" s="152">
        <f>IF($MN49=0,"",IF($MC49=0,"A básica não amplia: os dados dela sobem com o nível",IF($MC49&gt;=$MP49,"Já está na maior Classe que o nível liberou",TEXTJOIN(" · ",TRUE,IF(AND(2&gt;$MC49,2&lt;=$MP49),"2 → "&amp;$OW49&amp;", 6 PE",""),IF(AND(3&gt;$MC49,3&lt;=$MP49),"3 → "&amp;$OX49&amp;", 9 PE",""),IF(AND(4&gt;$MC49,4&lt;=$MP49),"4 → "&amp;$OY49&amp;", 12 PE",""),IF(AND(5&gt;$MC49,5&lt;=$MP49),"5 → "&amp;$OZ49&amp;", 15 PE",""),IF(AND(6&gt;$MC49,6&lt;=$MP49),"6 → "&amp;$PA49&amp;", 18 PE",""),IF(AND(7&gt;$MC49,7&lt;=$MP49),"7 → "&amp;$PB49&amp;", 21 PE","")))))</f>
        <v/>
      </c>
      <c r="PV49" s="152">
        <f>IF(OR($MN49=0,$MY49=0),"",IF($MC49=0,"−1 dado","−"&amp;INDEX($I$2:$N$8,MAX(1,$MC49),MAX(1,$ND49))&amp;" · "&amp;CHOOSE(MAX(1,$ND49),"Leve","Média","Pesada","Leve · Livre","Média · Livre","Pesada · Livre")))</f>
        <v/>
      </c>
      <c r="PW49" s="152">
        <f>IF(OR($MN49=0,$MZ49=0),"",IF($MC49=0,"−1 dado","−"&amp;INDEX($I$2:$N$8,MAX(1,$MC49),MAX(1,$NE49))&amp;" · "&amp;CHOOSE(MAX(1,$NE49),"Leve","Média","Pesada","Leve · Livre","Média · Livre","Pesada · Livre")))</f>
        <v/>
      </c>
      <c r="PX49" s="152">
        <f>IF(OR($MN49=0,$NA49=0),"",IF($MC49=0,"−1 dado","−"&amp;INDEX($I$2:$N$8,MAX(1,$MC49),MAX(1,$NF49))&amp;" · "&amp;CHOOSE(MAX(1,$NF49),"Leve","Média","Pesada","Leve · Livre","Média · Livre","Pesada · Livre")))</f>
        <v/>
      </c>
      <c r="PY49" s="152">
        <f>IF(OR($MN49=0,$NB49=0),"",IF($MC49=0,"−1 dado","−"&amp;INDEX($I$2:$N$8,MAX(1,$MC49),MAX(1,$NG49))&amp;" · "&amp;CHOOSE(MAX(1,$NG49),"Leve","Média","Pesada","Leve · Livre","Média · Livre","Pesada · Livre")))</f>
        <v/>
      </c>
      <c r="PZ49" s="152">
        <f>IF(OR($MN49=0,$ML49=""),"",IF($MC49=0,"não devolve","+"&amp;IF($NR49=1,CEILING($MC49/2,1),$MC49)))</f>
        <v/>
      </c>
      <c r="QA49" s="152">
        <f>IF(OR($MN49=0,$MM49=""),"",IF($MC49=0,"não devolve","+"&amp;IF($NS49=1,CEILING($MC49/2,1),$MC49)))</f>
        <v/>
      </c>
    </row>
    <row r="50">
      <c r="AV50" s="150" t="inlineStr">
        <is>
          <t>Pressa</t>
        </is>
      </c>
      <c r="AW50" s="150" t="inlineStr">
        <is>
          <t>Auxiliares</t>
        </is>
      </c>
      <c r="AX50" s="152" t="n">
        <v>2</v>
      </c>
      <c r="AY50" s="152" t="n">
        <v>0</v>
      </c>
      <c r="AZ50" s="152" t="n">
        <v>0</v>
      </c>
      <c r="JD50" s="152">
        <f>IF(OR($AW50="",COUNTIF($ED$2:$EH$2,$AW50)&gt;0),$AV50,"")</f>
        <v/>
      </c>
      <c r="JE50" s="152">
        <f>IF(AND($AX50=1,OR($AW50="",COUNTIF($ED$2:$EH$2,$AW50)&gt;0)),$AV50,"")</f>
        <v/>
      </c>
      <c r="JJ50" s="152">
        <f>IF(OR($AW50="",COUNTIF($ED$3:$EH$3,$AW50)&gt;0),$AV50,"")</f>
        <v/>
      </c>
      <c r="JK50" s="152">
        <f>IF(AND($AX50=1,OR($AW50="",COUNTIF($ED$3:$EH$3,$AW50)&gt;0)),$AV50,"")</f>
        <v/>
      </c>
      <c r="JP50" s="152">
        <f>IF(OR($AW50="",COUNTIF($ED$4:$EH$4,$AW50)&gt;0),$AV50,"")</f>
        <v/>
      </c>
      <c r="JQ50" s="152">
        <f>IF(AND($AX50=1,OR($AW50="",COUNTIF($ED$4:$EH$4,$AW50)&gt;0)),$AV50,"")</f>
        <v/>
      </c>
      <c r="JV50" s="152">
        <f>IF(OR($AW50="",COUNTIF($ED$5:$EH$5,$AW50)&gt;0),$AV50,"")</f>
        <v/>
      </c>
      <c r="JW50" s="152">
        <f>IF(AND($AX50=1,OR($AW50="",COUNTIF($ED$5:$EH$5,$AW50)&gt;0)),$AV50,"")</f>
        <v/>
      </c>
      <c r="KB50" s="152">
        <f>IF(OR($AW50="",COUNTIF($ED$6:$EH$6,$AW50)&gt;0),$AV50,"")</f>
        <v/>
      </c>
      <c r="KC50" s="152">
        <f>IF(AND($AX50=1,OR($AW50="",COUNTIF($ED$6:$EH$6,$AW50)&gt;0)),$AV50,"")</f>
        <v/>
      </c>
      <c r="KH50" s="152">
        <f>IF(OR($AW50="",COUNTIF($ED$7:$EH$7,$AW50)&gt;0),$AV50,"")</f>
        <v/>
      </c>
      <c r="KI50" s="152">
        <f>IF(AND($AX50=1,OR($AW50="",COUNTIF($ED$7:$EH$7,$AW50)&gt;0)),$AV50,"")</f>
        <v/>
      </c>
      <c r="KN50" s="152">
        <f>IF(OR($AW50="",COUNTIF($ED$8:$EH$8,$AW50)&gt;0),$AV50,"")</f>
        <v/>
      </c>
      <c r="KO50" s="152">
        <f>IF(AND($AX50=1,OR($AW50="",COUNTIF($ED$8:$EH$8,$AW50)&gt;0)),$AV50,"")</f>
        <v/>
      </c>
      <c r="KT50" s="152">
        <f>IF(OR($AW50="",COUNTIF($ED$9:$EH$9,$AW50)&gt;0),$AV50,"")</f>
        <v/>
      </c>
      <c r="KU50" s="152">
        <f>IF(AND($AX50=1,OR($AW50="",COUNTIF($ED$9:$EH$9,$AW50)&gt;0)),$AV50,"")</f>
        <v/>
      </c>
      <c r="KZ50" s="152">
        <f>IF(OR($AW50="",COUNTIF($ED$10:$EH$10,$AW50)&gt;0),$AV50,"")</f>
        <v/>
      </c>
      <c r="LA50" s="152">
        <f>IF(AND($AX50=1,OR($AW50="",COUNTIF($ED$10:$EH$10,$AW50)&gt;0)),$AV50,"")</f>
        <v/>
      </c>
      <c r="LF50" s="152">
        <f>IF(OR($AW50="",COUNTIF($ED$11:$EH$11,$AW50)&gt;0),$AV50,"")</f>
        <v/>
      </c>
      <c r="LG50" s="152">
        <f>IF(AND($AX50=1,OR($AW50="",COUNTIF($ED$11:$EH$11,$AW50)&gt;0)),$AV50,"")</f>
        <v/>
      </c>
      <c r="LL50" s="152">
        <f>IF(OR($AW50="",COUNTIF($ED$12:$EH$12,$AW50)&gt;0),$AV50,"")</f>
        <v/>
      </c>
      <c r="LM50" s="152">
        <f>IF(AND($AX50=1,OR($AW50="",COUNTIF($ED$12:$EH$12,$AW50)&gt;0)),$AV50,"")</f>
        <v/>
      </c>
      <c r="LR50" s="152">
        <f>IF(OR($AW50="",COUNTIF($ED$13:$EH$13,$AW50)&gt;0),$AV50,"")</f>
        <v/>
      </c>
      <c r="LS50" s="152">
        <f>IF(AND($AX50=1,OR($AW50="",COUNTIF($ED$13:$EH$13,$AW50)&gt;0)),$AV50,"")</f>
        <v/>
      </c>
      <c r="LX50" s="150" t="inlineStr">
        <is>
          <t>Ficha 4 · Especial 8</t>
        </is>
      </c>
      <c r="LY50" s="152" t="n">
        <v>4</v>
      </c>
      <c r="LZ50" s="152" t="n">
        <v>1</v>
      </c>
      <c r="MA50" s="152" t="n">
        <v>28</v>
      </c>
      <c r="MB50" s="150" t="inlineStr">
        <is>
          <t>ESPECIAL 8</t>
        </is>
      </c>
      <c r="MC50" s="152">
        <f>MAX(1,MIN(7,N('INVOCAÇÕES'!$I$730)))</f>
        <v/>
      </c>
      <c r="MD50" s="152">
        <f>'INVOCAÇÕES'!$J$730&amp;""</f>
        <v/>
      </c>
      <c r="ME50" s="152">
        <f>'INVOCAÇÕES'!$I$735&amp;""</f>
        <v/>
      </c>
      <c r="MF50" s="152">
        <f>'INVOCAÇÕES'!$I$736&amp;""</f>
        <v/>
      </c>
      <c r="MG50" s="152">
        <f>'INVOCAÇÕES'!$K$736&amp;""</f>
        <v/>
      </c>
      <c r="MH50" s="152">
        <f>'INVOCAÇÕES'!$J$739&amp;""</f>
        <v/>
      </c>
      <c r="MI50" s="152">
        <f>'INVOCAÇÕES'!$J$740&amp;""</f>
        <v/>
      </c>
      <c r="MJ50" s="152">
        <f>'INVOCAÇÕES'!$J$741&amp;""</f>
        <v/>
      </c>
      <c r="MK50" s="152">
        <f>'INVOCAÇÕES'!$J$742&amp;""</f>
        <v/>
      </c>
      <c r="ML50" s="152">
        <f>'INVOCAÇÕES'!$J$743&amp;""</f>
        <v/>
      </c>
      <c r="MM50" s="152">
        <f>'INVOCAÇÕES'!$J$744&amp;""</f>
        <v/>
      </c>
      <c r="MN50" s="152">
        <f>IF($MD50&lt;&gt;"",1,0)</f>
        <v/>
      </c>
      <c r="MO50" s="152">
        <f>INDEX($FG$2:$FG$13,$LY50)</f>
        <v/>
      </c>
      <c r="MP50" s="152">
        <f>INDEX($FH$2:$FH$13,$LY50)</f>
        <v/>
      </c>
      <c r="MQ50" s="152">
        <f>INDEX($FI$2:$FI$13,$LY50)</f>
        <v/>
      </c>
      <c r="MR50" s="152">
        <f>INDEX($FT$2:$FT$13,$LY50)</f>
        <v/>
      </c>
      <c r="MS50" s="152">
        <f>INDEX($FU$2:$FU$13,$LY50)</f>
        <v/>
      </c>
      <c r="MT50" s="152">
        <f>IFERROR(MATCH($ME50,$V$2:$V$11,0),0)</f>
        <v/>
      </c>
      <c r="MU50" s="152">
        <f>IFERROR(VLOOKUP($MH50,$AV$2:$AZ$84,2,FALSE),"")</f>
        <v/>
      </c>
      <c r="MV50" s="152">
        <f>IFERROR(VLOOKUP($MI50,$AV$2:$AZ$84,2,FALSE),"")</f>
        <v/>
      </c>
      <c r="MW50" s="152">
        <f>IFERROR(VLOOKUP($MJ50,$AV$2:$AZ$84,2,FALSE),"")</f>
        <v/>
      </c>
      <c r="MX50" s="152">
        <f>IFERROR(VLOOKUP($MK50,$AV$2:$AZ$84,2,FALSE),"")</f>
        <v/>
      </c>
      <c r="MY50" s="152">
        <f>IFERROR(VLOOKUP($MH50,$AV$2:$AZ$84,3,FALSE),0)</f>
        <v/>
      </c>
      <c r="MZ50" s="152">
        <f>IFERROR(VLOOKUP($MI50,$AV$2:$AZ$84,3,FALSE),0)</f>
        <v/>
      </c>
      <c r="NA50" s="152">
        <f>IFERROR(VLOOKUP($MJ50,$AV$2:$AZ$84,3,FALSE),0)</f>
        <v/>
      </c>
      <c r="NB50" s="152">
        <f>IFERROR(VLOOKUP($MK50,$AV$2:$AZ$84,3,FALSE),0)</f>
        <v/>
      </c>
      <c r="NC50" s="152">
        <f>IF($MC50=0,0,IF($MT50=0,0,INDEX($X$2:$X$11,$MT50)))</f>
        <v/>
      </c>
      <c r="ND50" s="152">
        <f>IF(OR($MY50=0,$MC50=0),0,$MY50+3*IF(AND($MU50&lt;&gt;"",OR($MU50=INDEX($ED$2:$ED$13,$LY50),$MU50=INDEX($EE$2:$EE$13,$LY50))),1,0))</f>
        <v/>
      </c>
      <c r="NE50" s="152">
        <f>IF(OR($MZ50=0,$MC50=0),0,$MZ50+3*IF(AND($MV50&lt;&gt;"",OR($MV50=INDEX($ED$2:$ED$13,$LY50),$MV50=INDEX($EE$2:$EE$13,$LY50))),1,0))</f>
        <v/>
      </c>
      <c r="NF50" s="152">
        <f>IF(OR($NA50=0,$MC50=0),0,$NA50+3*IF(AND($MW50&lt;&gt;"",OR($MW50=INDEX($ED$2:$ED$13,$LY50),$MW50=INDEX($EE$2:$EE$13,$LY50))),1,0))</f>
        <v/>
      </c>
      <c r="NG50" s="152">
        <f>IF(OR($NB50=0,$MC50=0),0,$NB50+3*IF(AND($MX50&lt;&gt;"",OR($MX50=INDEX($ED$2:$ED$13,$LY50),$MX50=INDEX($EE$2:$EE$13,$LY50))),1,0))</f>
        <v/>
      </c>
      <c r="NH50" s="152">
        <f>IF($MT50=0,0,IF(INDEX($W$2:$W$11,$MT50)="",0,IF(COUNTIF(INDEX($ED$2:$EH$13,$LY50,0),INDEX($W$2:$W$11,$MT50))=0,1,0)))</f>
        <v/>
      </c>
      <c r="NI50" s="152">
        <f>IF(OR($MY50=0,$MU50=""),0,IF(COUNTIF(INDEX($ED$2:$EH$13,$LY50,0),$MU50)=0,1,0))</f>
        <v/>
      </c>
      <c r="NJ50" s="152">
        <f>IF(OR($MZ50=0,$MV50=""),0,IF(COUNTIF(INDEX($ED$2:$EH$13,$LY50,0),$MV50)=0,1,0))</f>
        <v/>
      </c>
      <c r="NK50" s="152">
        <f>IF(OR($NA50=0,$MW50=""),0,IF(COUNTIF(INDEX($ED$2:$EH$13,$LY50,0),$MW50)=0,1,0))</f>
        <v/>
      </c>
      <c r="NL50" s="152">
        <f>IF(OR($NB50=0,$MX50=""),0,IF(COUNTIF(INDEX($ED$2:$EH$13,$LY50,0),$MX50)=0,1,0))</f>
        <v/>
      </c>
      <c r="NM50" s="152">
        <f>IFERROR(VLOOKUP($MH50,$AV$2:$AZ$84,4,FALSE),0)+IFERROR(VLOOKUP($MI50,$AV$2:$AZ$84,4,FALSE),0)+IFERROR(VLOOKUP($MJ50,$AV$2:$AZ$84,4,FALSE),0)+IFERROR(VLOOKUP($MK50,$AV$2:$AZ$84,4,FALSE),0)</f>
        <v/>
      </c>
      <c r="NN50" s="152">
        <f>TEXTJOIN(", ",TRUE,IF(IFERROR(VLOOKUP($MH50,$AV$2:$AZ$84,5,FALSE),0)=1,$MH50,""),IF(IFERROR(VLOOKUP($MI50,$AV$2:$AZ$84,5,FALSE),0)=1,$MI50,""),IF(IFERROR(VLOOKUP($MJ50,$AV$2:$AZ$84,5,FALSE),0)=1,$MJ50,""),IF(IFERROR(VLOOKUP($MK50,$AV$2:$AZ$84,5,FALSE),0)=1,$MK50,""))</f>
        <v/>
      </c>
      <c r="NO50" s="152">
        <f>IF($MT50=0,0,INDEX($Y$2:$Y$11,$MT50))</f>
        <v/>
      </c>
      <c r="NP50" s="152">
        <f>IF($MT50=0,0,INDEX($Z$2:$Z$11,$MT50))</f>
        <v/>
      </c>
      <c r="NQ50" s="152">
        <f>IF($MT50=0,0,INDEX($AB$2:$AB$11,$MT50))</f>
        <v/>
      </c>
      <c r="NR50" s="152">
        <f>IFERROR(VLOOKUP($ML50,$BB$2:$BF$24,3,FALSE),0)</f>
        <v/>
      </c>
      <c r="NS50" s="152">
        <f>IFERROR(VLOOKUP($MM50,$BB$2:$BF$24,3,FALSE),0)</f>
        <v/>
      </c>
      <c r="NT50" s="152">
        <f>IFERROR(VLOOKUP($ML50,$BB$2:$BF$24,2,FALSE),"")</f>
        <v/>
      </c>
      <c r="NU50" s="152">
        <f>IFERROR(VLOOKUP($MM50,$BB$2:$BF$24,2,FALSE),"")</f>
        <v/>
      </c>
      <c r="NV50" s="152">
        <f>COUNTIF($NC50:$NG50,1)</f>
        <v/>
      </c>
      <c r="NW50" s="152">
        <f>COUNTIF($NC50:$NG50,2)</f>
        <v/>
      </c>
      <c r="NX50" s="152">
        <f>COUNTIF($NC50:$NG50,3)</f>
        <v/>
      </c>
      <c r="NY50" s="152">
        <f>COUNTIF($NC50:$NG50,4)</f>
        <v/>
      </c>
      <c r="NZ50" s="152">
        <f>COUNTIF($NC50:$NG50,5)</f>
        <v/>
      </c>
      <c r="OA50" s="152">
        <f>COUNTIF($NC50:$NG50,6)</f>
        <v/>
      </c>
      <c r="OB50" s="152">
        <f>COUNTIF($NR50:$NS50,1)</f>
        <v/>
      </c>
      <c r="OC50" s="152">
        <f>COUNTIF($NR50:$NS50,2)+$NO50</f>
        <v/>
      </c>
      <c r="OD50" s="152">
        <f>COUNTIF($MH50:$MK50,"?*")</f>
        <v/>
      </c>
      <c r="OE50" s="152">
        <f>COUNTIF($ML50:$MM50,"?*")+$NO50</f>
        <v/>
      </c>
      <c r="OF50" s="152">
        <f>IF($MC50=0,0,SUMPRODUCT($NV50:$OA50,INDEX($I$2:$N$8,MAX(1,$MC50),0)))</f>
        <v/>
      </c>
      <c r="OG50" s="152">
        <f>IF($MC50=0,0,$OB50*CEILING($MC50/2,1)+$OC50*$MC50)</f>
        <v/>
      </c>
      <c r="OH50" s="152">
        <f>MIN(2*$MC50,$OG50)</f>
        <v/>
      </c>
      <c r="OI50" s="152">
        <f>MIN($OH50,$OF50)</f>
        <v/>
      </c>
      <c r="OJ50" s="152">
        <f>$OH50-$OI50</f>
        <v/>
      </c>
      <c r="OK50" s="152">
        <f>IF($MC50=0,0,INDEX($P$2:$P$8,MAX(1,$MC50)))</f>
        <v/>
      </c>
      <c r="OL50" s="152">
        <f>$OK50-$OF50+$OI50</f>
        <v/>
      </c>
      <c r="OM50" s="152">
        <f>IF($MC50=0,MAX(0,$MQ50-IF($OD50&gt;0,1,0)),MAX(0,$OL50))</f>
        <v/>
      </c>
      <c r="ON50" s="152">
        <f>IF($MC50=0,0,(IF(COUNTIF($MH50:$MK50,"Salto")&gt;0,1,0)+IF(COUNTIF($MH50:$MK50,"Queima")&gt;0,1,0)+IF(COUNTIF($MH50:$MK50,"Estilhaço")&gt;0,1,0))*FLOOR($OM50/2,1))</f>
        <v/>
      </c>
      <c r="OO50" s="152">
        <f>MAX(0,2-SUMPRODUCT($NV50:$OA50,$I$2:$N$2)+MIN(2,$OB50*1+$OC50*1,SUMPRODUCT($NV50:$OA50,$I$2:$N$2)))</f>
        <v/>
      </c>
      <c r="OP50" s="152">
        <f>MAX(0,4-SUMPRODUCT($NV50:$OA50,$I$3:$N$3)+MIN(4,$OB50*1+$OC50*2,SUMPRODUCT($NV50:$OA50,$I$3:$N$3)))</f>
        <v/>
      </c>
      <c r="OQ50" s="152">
        <f>MAX(0,6-SUMPRODUCT($NV50:$OA50,$I$4:$N$4)+MIN(6,$OB50*2+$OC50*3,SUMPRODUCT($NV50:$OA50,$I$4:$N$4)))</f>
        <v/>
      </c>
      <c r="OR50" s="152">
        <f>MAX(0,9-SUMPRODUCT($NV50:$OA50,$I$5:$N$5)+MIN(8,$OB50*2+$OC50*4,SUMPRODUCT($NV50:$OA50,$I$5:$N$5)))</f>
        <v/>
      </c>
      <c r="OS50" s="152">
        <f>MAX(0,11-SUMPRODUCT($NV50:$OA50,$I$6:$N$6)+MIN(10,$OB50*3+$OC50*5,SUMPRODUCT($NV50:$OA50,$I$6:$N$6)))</f>
        <v/>
      </c>
      <c r="OT50" s="152">
        <f>MAX(0,13-SUMPRODUCT($NV50:$OA50,$I$7:$N$7)+MIN(12,$OB50*3+$OC50*6,SUMPRODUCT($NV50:$OA50,$I$7:$N$7)))</f>
        <v/>
      </c>
      <c r="OU50" s="152">
        <f>MAX(0,16-SUMPRODUCT($NV50:$OA50,$I$8:$N$8)+MIN(14,$OB50*4+$OC50*7,SUMPRODUCT($NV50:$OA50,$I$8:$N$8)))</f>
        <v/>
      </c>
      <c r="OV50" s="152">
        <f>IF($NP50=2,3*$OO50&amp;" de vida temp.",IF($NP50=3,"sem dano",IF($OO50=0,IF($NP50=1,"sem cura","sem dano"),IF($NP50=1,"cura ","")&amp;$OO50&amp;"d8")))</f>
        <v/>
      </c>
      <c r="OW50" s="152">
        <f>IF($NP50=2,3*$OP50&amp;" de vida temp.",IF($NP50=3,"sem dano",IF($OP50=0,IF($NP50=1,"sem cura","sem dano"),IF($NP50=1,"cura ","")&amp;$OP50&amp;"d8")))</f>
        <v/>
      </c>
      <c r="OX50" s="152">
        <f>IF($NP50=2,3*$OQ50&amp;" de vida temp.",IF($NP50=3,"sem dano",IF($OQ50=0,IF($NP50=1,"sem cura","sem dano"),IF($NP50=1,"cura ","")&amp;$OQ50&amp;"d8")))</f>
        <v/>
      </c>
      <c r="OY50" s="152">
        <f>IF($NP50=2,3*$OR50&amp;" de vida temp.",IF($NP50=3,"sem dano",IF($OR50=0,IF($NP50=1,"sem cura","sem dano"),IF($NP50=1,"cura ","")&amp;$OR50&amp;"d8")))</f>
        <v/>
      </c>
      <c r="OZ50" s="152">
        <f>IF($NP50=2,3*$OS50&amp;" de vida temp.",IF($NP50=3,"sem dano",IF($OS50=0,IF($NP50=1,"sem cura","sem dano"),IF($NP50=1,"cura ","")&amp;$OS50&amp;"d8")))</f>
        <v/>
      </c>
      <c r="PA50" s="152">
        <f>IF($NP50=2,3*$OT50&amp;" de vida temp.",IF($NP50=3,"sem dano",IF($OT50=0,IF($NP50=1,"sem cura","sem dano"),IF($NP50=1,"cura ","")&amp;$OT50&amp;"d8")))</f>
        <v/>
      </c>
      <c r="PB50" s="152">
        <f>IF($NP50=2,3*$OU50&amp;" de vida temp.",IF($NP50=3,"sem dano",IF($OU50=0,IF($NP50=1,"sem cura","sem dano"),IF($NP50=1,"cura ","")&amp;$OU50&amp;"d8")))</f>
        <v/>
      </c>
      <c r="PC50" s="152">
        <f>IF($MN50=0,"",TEXTJOIN(" · ",TRUE,IF($MA50&gt;$MO50,"Este lugar abre no nível "&amp;$MA50,""),IF($MC50&gt;$MP50,"Classe "&amp;$MC50&amp;": o nível "&amp;$MO50&amp;" libera até a "&amp;$MP50,""),IF($NH50=1,"A Forma "&amp;$ME50&amp;" pede "&amp;INDEX($W$2:$W$11,$MT50)&amp;" aberta",""),IF(AND($MC50=0,$MT50&gt;0,IF($MT50=0,0,INDEX($AF$2:$AF$11,$MT50))=0),$ME50&amp;" não existe na Classe 0",""),IF($NI50=1,"Família Fechada: "&amp;$MH50,""),IF($NJ50=1,"Família Fechada: "&amp;$MI50,""),IF($NK50=1,"Família Fechada: "&amp;$MJ50,""),IF($NL50=1,"Família Fechada: "&amp;$MK50,""),IF(AND($MC50&gt;0,$OD50&gt;INDEX($O$2:$O$8,MAX(1,$MC50))),$OD50&amp;" Melhorias: a Classe "&amp;$MC50&amp;" aceita "&amp;INDEX($O$2:$O$8,MAX(1,$MC50)),""),IF(AND($MC50=0,$OD50&gt;1),"A básica aceita uma Melhoria",""),IF(AND($MC50=0,COUNTIF($MY50:$NB50,"&gt;1")&gt;0),"A básica só aceita Melhoria Leve",""),IF(AND($MC50&gt;0,$OE50&gt;2),$OE50&amp;" Restrições"&amp;IF($NO50=1,", contando a que a Forma "&amp;$ME50&amp;" já traz","")&amp;": o limite é 2",""),IF(AND($MC50=0,COUNTIF($ML50:$MM50,"?*")&gt;1),"A básica aceita uma Restrição Leve",""),IF(AND($MC50=0,COUNTIF($NR50:$NS50,2)&gt;0),"A básica só aceita Restrição Leve",""),IF(AND($MC50&gt;0,$OL50&lt;0),"Orçamento estourado: faltam "&amp;(-$OL50)&amp;IF($OL50&lt;-1," pontos"," ponto"),""),IF(IFERROR(VLOOKUP($ML50,$BB$2:$BF$24,4,FALSE),0)+IFERROR(VLOOKUP($MM50,$BB$2:$BF$24,4,FALSE),0)&gt;1,$NT50&amp;" e "&amp;$NU50&amp;" são as duas de frequência",""),IF(AND((COUNTIF($MH50:$MK50,"Rápido")+COUNTIF($NT50:$NU50,"Rápido"))&gt;0,(COUNTIF($MH50:$MK50,"Atrasar")+COUNTIF($NT50:$NU50,"Atrasar"))&gt;0),"Rápido não entra com Atrasar",""),IF(AND((COUNTIF($MH50:$MK50,"Reação")+COUNTIF($NT50:$NU50,"Reação"))&gt;0,(COUNTIF($MH50:$MK50,"Rápido")+COUNTIF($NT50:$NU50,"Rápido"))&gt;0),"Reação não entra com Rápido",""),IF(AND((COUNTIF($MH50:$MK50,"Reação")+COUNTIF($NT50:$NU50,"Reação"))&gt;0,(COUNTIF($MH50:$MK50,"Armado")+COUNTIF($NT50:$NU50,"Armado"))&gt;0),"Reação não entra com Armado",""),IF(AND((COUNTIF($MH50:$MK50,"Reação")+COUNTIF($NT50:$NU50,"Reação"))&gt;0,(COUNTIF($MH50:$MK50,"Atrasar")+COUNTIF($NT50:$NU50,"Atrasar"))&gt;0),"Reação não entra com Atrasar",""),IF(AND((COUNTIF($MH50:$MK50,"Reação")+COUNTIF($NT50:$NU50,"Reação"))&gt;0,(COUNTIF($MH50:$MK50,"Parado")+COUNTIF($NT50:$NU50,"Parado"))&gt;0),"Reação não entra com Parado",""),IF(AND((COUNTIF($MH50:$MK50,"Atrasar")+COUNTIF($NT50:$NU50,"Atrasar"))&gt;0,(COUNTIF($MH50:$MK50,"Parado")+COUNTIF($NT50:$NU50,"Parado"))&gt;0),"Atrasar não entra com Parado",""),IF(AND((COUNTIF($MH50:$MK50,"Armado")+COUNTIF($NT50:$NU50,"Armado"))&gt;0,(COUNTIF($MH50:$MK50,"Carregar")+COUNTIF($NT50:$NU50,"Carregar"))&gt;0),"Armado não entra com Carregar",""),IF(AND(COUNTIF($NT50:$NU50,"Corpo a Corpo")&gt;0,$NO50=0,OR($ME50="Cone",$ME50="Linha")),"Corpo a Corpo não entra em "&amp;$ME50,""),IF(AND(COUNTIF($NT50:$NU50,"Corpo a Corpo")&gt;0,$NO50=1),"A Forma "&amp;$ME50&amp;" já traz o Corpo a Corpo",""),IF(AND(COUNTIF($NT50:$NU50,"Tudo ou Nada")&gt;0,$NQ50=0),"Tudo ou Nada só entra em habilidade de Teste de Resistência",""),IF(AND(COUNTIF($MH50:$MK50,"Inescapável")&gt;0,OR($OD50&gt;1,$OE50&gt;0)),"Inescapável não aceita outra peça",""),IF(AND($MC50&gt;0,$OM50*IF(COUNTIF($MH50:$MK50,"Remate")&gt;0,1.25,1)+$ON50&gt;4*$MC50),($OM50*IF(COUNTIF($MH50:$MK50,"Remate")&gt;0,1.25,1)+$ON50)&amp;" dados somando repetições"&amp;IF(COUNTIF($MH50:$MK50,"Remate")&gt;0," e o Remate","")&amp;": o teto da Classe "&amp;$MC50&amp;" é "&amp;4*$MC50,"")))</f>
        <v/>
      </c>
      <c r="PD50" s="152">
        <f>IF($PC50="",0,(LEN($PC50)-LEN(SUBSTITUTE($PC50," · ","")))/3+1)</f>
        <v/>
      </c>
      <c r="PE50" s="152">
        <f>IF($MN50=0,"",TEXTJOIN(" · ",TRUE,IF($OG50&gt;2*$MC50,"A devolução parou no teto de "&amp;2*$MC50,""),IF($OJ50&gt;0,"Devolução perdida: "&amp;$OJ50&amp;IF($OJ50&gt;1," pontos"," ponto")&amp;" sem peça para pagar",""),IF(AND($NM50&gt;0,AND($MC50&gt;0,$NP50=0),$OM50=0),"Controle sem dano: uma rodada a mais e CD +2",""),IF(AND($NM50&gt;0,AND($MC50&gt;0,$NP50=0),$OM50&gt;0,$OM50&lt;=$MC50),"Controle com saldo até a Classe: uma rodada a mais",""),IF(AND($MC50&gt;0,$NN50&lt;&gt;""),"Efeito de "&amp;$NN50&amp;" pela Classe "&amp;MAX(1,$MC50-1),"")))</f>
        <v/>
      </c>
      <c r="PF50" s="152">
        <f>IF($PE50="",0,(LEN($PE50)-LEN(SUBSTITUTE($PE50," · ","")))/3+1)</f>
        <v/>
      </c>
      <c r="PG50" s="152">
        <f>IF($MN50=0,IF($OD50+COUNTIF($ML50:$MM50,"?*")&gt;0,"Dê um nome",""),IF($PD50&gt;0,"⚠ "&amp;$PD50&amp;IF($PD50&gt;1," erros"," erro"),IF($PF50&gt;0,"! "&amp;$PF50&amp;IF($PF50&gt;1," avisos"," aviso"),"Na regra")))</f>
        <v/>
      </c>
      <c r="PH50" s="152">
        <f>IF($MN50=0,"",IF($PD50+$PF50=0,"Dentro das regras que a ficha confere",$PC50&amp;IF(AND($PD50&gt;0,$PF50&gt;0)," · ","")&amp;$PE50))</f>
        <v/>
      </c>
      <c r="PI50" s="152">
        <f>IF($MA50&gt;$MO50,$MB50&amp;" · ABRE NO NÍVEL "&amp;$MA50,$MB50)</f>
        <v/>
      </c>
      <c r="PJ50" s="152">
        <f>IF($MN50=0,"",IF($MC50=0,"Sem PE",3*$MC50&amp;" PE"))</f>
        <v/>
      </c>
      <c r="PK50" s="152">
        <f>IF($MN50=0,"",IF($MC50=0,"A atuação básica dela",IF(COUNTIF($NT50:$NU50,"Atrasar")&gt;0,"Sua Ação Completa",IF(COUNTIF($MH50:$MK50,"Rápido")&gt;0,"Sua Bônus",IF(COUNTIF($MH50:$MK50,"Reação")&gt;0,"Sua Reação","Sua Padrão")))&amp;" + a básica dela"&amp;IF(COUNTIF($MH50:$MK50,"Reação")&gt;0," e a coletiva","")&amp;IF(COUNTIF($NT50:$NU50,"Carregar")&gt;0," · em dois turnos","")))</f>
        <v/>
      </c>
      <c r="PL50" s="152">
        <f>IF($MG50&lt;&gt;"",$MG50,IF($MT50=0,"",INDEX($AA$2:$AA$11,$MT50)))</f>
        <v/>
      </c>
      <c r="PM50" s="152">
        <f>IF(OR($MN50=0,$MT50=0),"",IF(COUNTIF($MH50:$MK50,"Inescapável")&gt;0,"Automático",IF($PL50="Ataque",IF($MR50="","Ataque","Ataque "&amp;IF(($MR50+2*IF(COUNTIF($MH50:$MK50,"Precisão")&gt;0,1,0))&gt;=0,"+","−")&amp;ABS(($MR50+2*IF(COUNTIF($MH50:$MK50,"Precisão")&gt;0,1,0)))),IF(LEFT($PL50,2)="TR",$PL50&amp;IF($MS50="",""," · CD "&amp;$MS50)&amp;IF(COUNTIF($MH50:$MK50,"Certeiro")&gt;0," · metade",""),"Sem rolagem"))))</f>
        <v/>
      </c>
      <c r="PN50" s="152">
        <f>IF(OR($MN50=0,$MT50=0),"",IF($MC50=0,IF(OR($NP50&gt;=1,$OM50=0),"Sem dano",$OM50&amp;"d6"&amp;IF($MF50="",""," "&amp;$MF50)),IF(OR($NP50&gt;=1,$OM50=0),UPPER(LEFT(INDEX($OV50:$PB50,1,MAX(1,$MC50)),1))&amp;MID(INDEX($OV50:$PB50,1,MAX(1,$MC50)),2,99),UPPER(LEFT(INDEX($OV50:$PB50,1,MAX(1,$MC50)),1))&amp;MID(INDEX($OV50:$PB50,1,MAX(1,$MC50)),2,99)&amp;IF($MF50="",""," "&amp;$MF50)&amp;IF($ON50&gt;0," · +"&amp;$ON50&amp;"d8",""))))</f>
        <v/>
      </c>
      <c r="PO50" s="152">
        <f>COUNTIF($MH50:$MK50,"Longe")+3*COUNTIF($MH50:$MK50,"Muito Longe")</f>
        <v/>
      </c>
      <c r="PP50" s="152">
        <f>COUNTIF($MH50:$MK50,"Maior")+3*COUNTIF($MH50:$MK50,"Muito Maior")</f>
        <v/>
      </c>
      <c r="PQ50" s="152">
        <f>IF($MT50=0,0,CHOOSE(1+INDEX($AC$2:$AC$11,$MT50),0,$PO50,$PP50,$PO50+$PP50))</f>
        <v/>
      </c>
      <c r="PR50" s="152">
        <f>IF($MT50=0,0,CHOOSE(1+INDEX($AD$2:$AD$11,$MT50),0,$PO50,$PP50,$PO50+$PP50))</f>
        <v/>
      </c>
      <c r="PS50" s="152">
        <f>IF(OR($MN50=0,$MT50=0),"",INDEX($AI$2:$AN$41,($MT50-1)*4+IF($MC50=0,1,IF($MC50&lt;=5,2,IF($MC50=6,3,4))),1+MIN(5,$PQ50))&amp;INDEX($AO$2:$AT$41,($MT50-1)*4+IF($MC50=0,1,IF($MC50&lt;=5,2,IF($MC50=6,3,4))),1+MIN(5,$PR50))&amp;IF(INDEX($AE$2:$AE$11,$MT50)=1,IF(COUNTIF($MH50:$MK50,"Mais Um")&gt;0," · +"&amp;COUNTIF($MH50:$MK50,"Mais Um")&amp;IF(COUNTIF($MH50:$MK50,"Mais Um")&gt;1," alvos"," alvo"),"")&amp;IF(COUNTIF($MH50:$MK50,"Rajada")&gt;0,IF($MC50=0," · 1 tiro"," · "&amp;(MAX(1,$MC50-1)+1)&amp;" tiros"),""),""))</f>
        <v/>
      </c>
      <c r="PT50" s="152">
        <f>IF($MN50=0,"",IF($MC50=0,$MQ50&amp;"d6"&amp;IF($OD50&gt;0," − 1 = "&amp;$OM50&amp;"d6"," da básica do nível "&amp;$MO50),$OK50&amp;" − "&amp;$OF50&amp;" + "&amp;$OI50&amp;" = "&amp;$OL50&amp;" · teto "&amp;4*$MC50&amp;"d8"&amp;IF($NO50=1," · a Forma devolve "&amp;$MC50,"")&amp;IF($OJ50&gt;0," · perde "&amp;$OJ50,"")))</f>
        <v/>
      </c>
      <c r="PU50" s="152">
        <f>IF($MN50=0,"",IF($MC50=0,"A básica não amplia: os dados dela sobem com o nível",IF($MC50&gt;=$MP50,"Já está na maior Classe que o nível liberou",TEXTJOIN(" · ",TRUE,IF(AND(2&gt;$MC50,2&lt;=$MP50),"2 → "&amp;$OW50&amp;", 6 PE",""),IF(AND(3&gt;$MC50,3&lt;=$MP50),"3 → "&amp;$OX50&amp;", 9 PE",""),IF(AND(4&gt;$MC50,4&lt;=$MP50),"4 → "&amp;$OY50&amp;", 12 PE",""),IF(AND(5&gt;$MC50,5&lt;=$MP50),"5 → "&amp;$OZ50&amp;", 15 PE",""),IF(AND(6&gt;$MC50,6&lt;=$MP50),"6 → "&amp;$PA50&amp;", 18 PE",""),IF(AND(7&gt;$MC50,7&lt;=$MP50),"7 → "&amp;$PB50&amp;", 21 PE","")))))</f>
        <v/>
      </c>
      <c r="PV50" s="152">
        <f>IF(OR($MN50=0,$MY50=0),"",IF($MC50=0,"−1 dado","−"&amp;INDEX($I$2:$N$8,MAX(1,$MC50),MAX(1,$ND50))&amp;" · "&amp;CHOOSE(MAX(1,$ND50),"Leve","Média","Pesada","Leve · Livre","Média · Livre","Pesada · Livre")))</f>
        <v/>
      </c>
      <c r="PW50" s="152">
        <f>IF(OR($MN50=0,$MZ50=0),"",IF($MC50=0,"−1 dado","−"&amp;INDEX($I$2:$N$8,MAX(1,$MC50),MAX(1,$NE50))&amp;" · "&amp;CHOOSE(MAX(1,$NE50),"Leve","Média","Pesada","Leve · Livre","Média · Livre","Pesada · Livre")))</f>
        <v/>
      </c>
      <c r="PX50" s="152">
        <f>IF(OR($MN50=0,$NA50=0),"",IF($MC50=0,"−1 dado","−"&amp;INDEX($I$2:$N$8,MAX(1,$MC50),MAX(1,$NF50))&amp;" · "&amp;CHOOSE(MAX(1,$NF50),"Leve","Média","Pesada","Leve · Livre","Média · Livre","Pesada · Livre")))</f>
        <v/>
      </c>
      <c r="PY50" s="152">
        <f>IF(OR($MN50=0,$NB50=0),"",IF($MC50=0,"−1 dado","−"&amp;INDEX($I$2:$N$8,MAX(1,$MC50),MAX(1,$NG50))&amp;" · "&amp;CHOOSE(MAX(1,$NG50),"Leve","Média","Pesada","Leve · Livre","Média · Livre","Pesada · Livre")))</f>
        <v/>
      </c>
      <c r="PZ50" s="152">
        <f>IF(OR($MN50=0,$ML50=""),"",IF($MC50=0,"não devolve","+"&amp;IF($NR50=1,CEILING($MC50/2,1),$MC50)))</f>
        <v/>
      </c>
      <c r="QA50" s="152">
        <f>IF(OR($MN50=0,$MM50=""),"",IF($MC50=0,"não devolve","+"&amp;IF($NS50=1,CEILING($MC50/2,1),$MC50)))</f>
        <v/>
      </c>
    </row>
    <row r="51">
      <c r="AV51" s="150" t="inlineStr">
        <is>
          <t>Enfraquece</t>
        </is>
      </c>
      <c r="AW51" s="150" t="inlineStr">
        <is>
          <t>Auxiliares</t>
        </is>
      </c>
      <c r="AX51" s="152" t="n">
        <v>2</v>
      </c>
      <c r="AY51" s="152" t="n">
        <v>0</v>
      </c>
      <c r="AZ51" s="152" t="n">
        <v>0</v>
      </c>
      <c r="JD51" s="152">
        <f>IF(OR($AW51="",COUNTIF($ED$2:$EH$2,$AW51)&gt;0),$AV51,"")</f>
        <v/>
      </c>
      <c r="JE51" s="152">
        <f>IF(AND($AX51=1,OR($AW51="",COUNTIF($ED$2:$EH$2,$AW51)&gt;0)),$AV51,"")</f>
        <v/>
      </c>
      <c r="JJ51" s="152">
        <f>IF(OR($AW51="",COUNTIF($ED$3:$EH$3,$AW51)&gt;0),$AV51,"")</f>
        <v/>
      </c>
      <c r="JK51" s="152">
        <f>IF(AND($AX51=1,OR($AW51="",COUNTIF($ED$3:$EH$3,$AW51)&gt;0)),$AV51,"")</f>
        <v/>
      </c>
      <c r="JP51" s="152">
        <f>IF(OR($AW51="",COUNTIF($ED$4:$EH$4,$AW51)&gt;0),$AV51,"")</f>
        <v/>
      </c>
      <c r="JQ51" s="152">
        <f>IF(AND($AX51=1,OR($AW51="",COUNTIF($ED$4:$EH$4,$AW51)&gt;0)),$AV51,"")</f>
        <v/>
      </c>
      <c r="JV51" s="152">
        <f>IF(OR($AW51="",COUNTIF($ED$5:$EH$5,$AW51)&gt;0),$AV51,"")</f>
        <v/>
      </c>
      <c r="JW51" s="152">
        <f>IF(AND($AX51=1,OR($AW51="",COUNTIF($ED$5:$EH$5,$AW51)&gt;0)),$AV51,"")</f>
        <v/>
      </c>
      <c r="KB51" s="152">
        <f>IF(OR($AW51="",COUNTIF($ED$6:$EH$6,$AW51)&gt;0),$AV51,"")</f>
        <v/>
      </c>
      <c r="KC51" s="152">
        <f>IF(AND($AX51=1,OR($AW51="",COUNTIF($ED$6:$EH$6,$AW51)&gt;0)),$AV51,"")</f>
        <v/>
      </c>
      <c r="KH51" s="152">
        <f>IF(OR($AW51="",COUNTIF($ED$7:$EH$7,$AW51)&gt;0),$AV51,"")</f>
        <v/>
      </c>
      <c r="KI51" s="152">
        <f>IF(AND($AX51=1,OR($AW51="",COUNTIF($ED$7:$EH$7,$AW51)&gt;0)),$AV51,"")</f>
        <v/>
      </c>
      <c r="KN51" s="152">
        <f>IF(OR($AW51="",COUNTIF($ED$8:$EH$8,$AW51)&gt;0),$AV51,"")</f>
        <v/>
      </c>
      <c r="KO51" s="152">
        <f>IF(AND($AX51=1,OR($AW51="",COUNTIF($ED$8:$EH$8,$AW51)&gt;0)),$AV51,"")</f>
        <v/>
      </c>
      <c r="KT51" s="152">
        <f>IF(OR($AW51="",COUNTIF($ED$9:$EH$9,$AW51)&gt;0),$AV51,"")</f>
        <v/>
      </c>
      <c r="KU51" s="152">
        <f>IF(AND($AX51=1,OR($AW51="",COUNTIF($ED$9:$EH$9,$AW51)&gt;0)),$AV51,"")</f>
        <v/>
      </c>
      <c r="KZ51" s="152">
        <f>IF(OR($AW51="",COUNTIF($ED$10:$EH$10,$AW51)&gt;0),$AV51,"")</f>
        <v/>
      </c>
      <c r="LA51" s="152">
        <f>IF(AND($AX51=1,OR($AW51="",COUNTIF($ED$10:$EH$10,$AW51)&gt;0)),$AV51,"")</f>
        <v/>
      </c>
      <c r="LF51" s="152">
        <f>IF(OR($AW51="",COUNTIF($ED$11:$EH$11,$AW51)&gt;0),$AV51,"")</f>
        <v/>
      </c>
      <c r="LG51" s="152">
        <f>IF(AND($AX51=1,OR($AW51="",COUNTIF($ED$11:$EH$11,$AW51)&gt;0)),$AV51,"")</f>
        <v/>
      </c>
      <c r="LL51" s="152">
        <f>IF(OR($AW51="",COUNTIF($ED$12:$EH$12,$AW51)&gt;0),$AV51,"")</f>
        <v/>
      </c>
      <c r="LM51" s="152">
        <f>IF(AND($AX51=1,OR($AW51="",COUNTIF($ED$12:$EH$12,$AW51)&gt;0)),$AV51,"")</f>
        <v/>
      </c>
      <c r="LR51" s="152">
        <f>IF(OR($AW51="",COUNTIF($ED$13:$EH$13,$AW51)&gt;0),$AV51,"")</f>
        <v/>
      </c>
      <c r="LS51" s="152">
        <f>IF(AND($AX51=1,OR($AW51="",COUNTIF($ED$13:$EH$13,$AW51)&gt;0)),$AV51,"")</f>
        <v/>
      </c>
      <c r="LX51" s="150" t="inlineStr">
        <is>
          <t>Ficha 4 · Escolha da trilha 1</t>
        </is>
      </c>
      <c r="LY51" s="152" t="n">
        <v>4</v>
      </c>
      <c r="LZ51" s="152" t="n">
        <v>2</v>
      </c>
      <c r="MA51" s="152" t="n">
        <v>0</v>
      </c>
      <c r="MB51" s="150" t="inlineStr">
        <is>
          <t>ESCOLHA DA TRILHA 1</t>
        </is>
      </c>
      <c r="MC51" s="152">
        <f>MAX(0,MIN(7,N('INVOCAÇÕES'!$I$754)))</f>
        <v/>
      </c>
      <c r="MD51" s="152">
        <f>'INVOCAÇÕES'!$J$754&amp;""</f>
        <v/>
      </c>
      <c r="ME51" s="152">
        <f>'INVOCAÇÕES'!$I$759&amp;""</f>
        <v/>
      </c>
      <c r="MF51" s="152">
        <f>'INVOCAÇÕES'!$I$760&amp;""</f>
        <v/>
      </c>
      <c r="MG51" s="152">
        <f>'INVOCAÇÕES'!$K$760&amp;""</f>
        <v/>
      </c>
      <c r="MH51" s="152">
        <f>'INVOCAÇÕES'!$J$763&amp;""</f>
        <v/>
      </c>
      <c r="MI51" s="152">
        <f>'INVOCAÇÕES'!$J$764&amp;""</f>
        <v/>
      </c>
      <c r="MJ51" s="152">
        <f>'INVOCAÇÕES'!$J$765&amp;""</f>
        <v/>
      </c>
      <c r="MK51" s="152">
        <f>'INVOCAÇÕES'!$J$766&amp;""</f>
        <v/>
      </c>
      <c r="ML51" s="152">
        <f>'INVOCAÇÕES'!$J$767&amp;""</f>
        <v/>
      </c>
      <c r="MM51" s="152">
        <f>'INVOCAÇÕES'!$J$768&amp;""</f>
        <v/>
      </c>
      <c r="MN51" s="152">
        <f>IF($MD51&lt;&gt;"",1,0)</f>
        <v/>
      </c>
      <c r="MO51" s="152">
        <f>INDEX($FG$2:$FG$13,$LY51)</f>
        <v/>
      </c>
      <c r="MP51" s="152">
        <f>INDEX($FH$2:$FH$13,$LY51)</f>
        <v/>
      </c>
      <c r="MQ51" s="152">
        <f>INDEX($FI$2:$FI$13,$LY51)</f>
        <v/>
      </c>
      <c r="MR51" s="152">
        <f>INDEX($FT$2:$FT$13,$LY51)</f>
        <v/>
      </c>
      <c r="MS51" s="152">
        <f>INDEX($FU$2:$FU$13,$LY51)</f>
        <v/>
      </c>
      <c r="MT51" s="152">
        <f>IFERROR(MATCH($ME51,$V$2:$V$11,0),0)</f>
        <v/>
      </c>
      <c r="MU51" s="152">
        <f>IFERROR(VLOOKUP($MH51,$AV$2:$AZ$84,2,FALSE),"")</f>
        <v/>
      </c>
      <c r="MV51" s="152">
        <f>IFERROR(VLOOKUP($MI51,$AV$2:$AZ$84,2,FALSE),"")</f>
        <v/>
      </c>
      <c r="MW51" s="152">
        <f>IFERROR(VLOOKUP($MJ51,$AV$2:$AZ$84,2,FALSE),"")</f>
        <v/>
      </c>
      <c r="MX51" s="152">
        <f>IFERROR(VLOOKUP($MK51,$AV$2:$AZ$84,2,FALSE),"")</f>
        <v/>
      </c>
      <c r="MY51" s="152">
        <f>IFERROR(VLOOKUP($MH51,$AV$2:$AZ$84,3,FALSE),0)</f>
        <v/>
      </c>
      <c r="MZ51" s="152">
        <f>IFERROR(VLOOKUP($MI51,$AV$2:$AZ$84,3,FALSE),0)</f>
        <v/>
      </c>
      <c r="NA51" s="152">
        <f>IFERROR(VLOOKUP($MJ51,$AV$2:$AZ$84,3,FALSE),0)</f>
        <v/>
      </c>
      <c r="NB51" s="152">
        <f>IFERROR(VLOOKUP($MK51,$AV$2:$AZ$84,3,FALSE),0)</f>
        <v/>
      </c>
      <c r="NC51" s="152">
        <f>IF($MC51=0,0,IF($MT51=0,0,INDEX($X$2:$X$11,$MT51)))</f>
        <v/>
      </c>
      <c r="ND51" s="152">
        <f>IF(OR($MY51=0,$MC51=0),0,$MY51+3*IF(AND($MU51&lt;&gt;"",OR($MU51=INDEX($ED$2:$ED$13,$LY51),$MU51=INDEX($EE$2:$EE$13,$LY51))),1,0))</f>
        <v/>
      </c>
      <c r="NE51" s="152">
        <f>IF(OR($MZ51=0,$MC51=0),0,$MZ51+3*IF(AND($MV51&lt;&gt;"",OR($MV51=INDEX($ED$2:$ED$13,$LY51),$MV51=INDEX($EE$2:$EE$13,$LY51))),1,0))</f>
        <v/>
      </c>
      <c r="NF51" s="152">
        <f>IF(OR($NA51=0,$MC51=0),0,$NA51+3*IF(AND($MW51&lt;&gt;"",OR($MW51=INDEX($ED$2:$ED$13,$LY51),$MW51=INDEX($EE$2:$EE$13,$LY51))),1,0))</f>
        <v/>
      </c>
      <c r="NG51" s="152">
        <f>IF(OR($NB51=0,$MC51=0),0,$NB51+3*IF(AND($MX51&lt;&gt;"",OR($MX51=INDEX($ED$2:$ED$13,$LY51),$MX51=INDEX($EE$2:$EE$13,$LY51))),1,0))</f>
        <v/>
      </c>
      <c r="NH51" s="152">
        <f>IF($MT51=0,0,IF(INDEX($W$2:$W$11,$MT51)="",0,IF(COUNTIF(INDEX($ED$2:$EH$13,$LY51,0),INDEX($W$2:$W$11,$MT51))=0,1,0)))</f>
        <v/>
      </c>
      <c r="NI51" s="152">
        <f>IF(OR($MY51=0,$MU51=""),0,IF(COUNTIF(INDEX($ED$2:$EH$13,$LY51,0),$MU51)=0,1,0))</f>
        <v/>
      </c>
      <c r="NJ51" s="152">
        <f>IF(OR($MZ51=0,$MV51=""),0,IF(COUNTIF(INDEX($ED$2:$EH$13,$LY51,0),$MV51)=0,1,0))</f>
        <v/>
      </c>
      <c r="NK51" s="152">
        <f>IF(OR($NA51=0,$MW51=""),0,IF(COUNTIF(INDEX($ED$2:$EH$13,$LY51,0),$MW51)=0,1,0))</f>
        <v/>
      </c>
      <c r="NL51" s="152">
        <f>IF(OR($NB51=0,$MX51=""),0,IF(COUNTIF(INDEX($ED$2:$EH$13,$LY51,0),$MX51)=0,1,0))</f>
        <v/>
      </c>
      <c r="NM51" s="152">
        <f>IFERROR(VLOOKUP($MH51,$AV$2:$AZ$84,4,FALSE),0)+IFERROR(VLOOKUP($MI51,$AV$2:$AZ$84,4,FALSE),0)+IFERROR(VLOOKUP($MJ51,$AV$2:$AZ$84,4,FALSE),0)+IFERROR(VLOOKUP($MK51,$AV$2:$AZ$84,4,FALSE),0)</f>
        <v/>
      </c>
      <c r="NN51" s="152">
        <f>TEXTJOIN(", ",TRUE,IF(IFERROR(VLOOKUP($MH51,$AV$2:$AZ$84,5,FALSE),0)=1,$MH51,""),IF(IFERROR(VLOOKUP($MI51,$AV$2:$AZ$84,5,FALSE),0)=1,$MI51,""),IF(IFERROR(VLOOKUP($MJ51,$AV$2:$AZ$84,5,FALSE),0)=1,$MJ51,""),IF(IFERROR(VLOOKUP($MK51,$AV$2:$AZ$84,5,FALSE),0)=1,$MK51,""))</f>
        <v/>
      </c>
      <c r="NO51" s="152">
        <f>IF($MT51=0,0,INDEX($Y$2:$Y$11,$MT51))</f>
        <v/>
      </c>
      <c r="NP51" s="152">
        <f>IF($MT51=0,0,INDEX($Z$2:$Z$11,$MT51))</f>
        <v/>
      </c>
      <c r="NQ51" s="152">
        <f>IF($MT51=0,0,INDEX($AB$2:$AB$11,$MT51))</f>
        <v/>
      </c>
      <c r="NR51" s="152">
        <f>IFERROR(VLOOKUP($ML51,$BB$2:$BF$24,3,FALSE),0)</f>
        <v/>
      </c>
      <c r="NS51" s="152">
        <f>IFERROR(VLOOKUP($MM51,$BB$2:$BF$24,3,FALSE),0)</f>
        <v/>
      </c>
      <c r="NT51" s="152">
        <f>IFERROR(VLOOKUP($ML51,$BB$2:$BF$24,2,FALSE),"")</f>
        <v/>
      </c>
      <c r="NU51" s="152">
        <f>IFERROR(VLOOKUP($MM51,$BB$2:$BF$24,2,FALSE),"")</f>
        <v/>
      </c>
      <c r="NV51" s="152">
        <f>COUNTIF($NC51:$NG51,1)</f>
        <v/>
      </c>
      <c r="NW51" s="152">
        <f>COUNTIF($NC51:$NG51,2)</f>
        <v/>
      </c>
      <c r="NX51" s="152">
        <f>COUNTIF($NC51:$NG51,3)</f>
        <v/>
      </c>
      <c r="NY51" s="152">
        <f>COUNTIF($NC51:$NG51,4)</f>
        <v/>
      </c>
      <c r="NZ51" s="152">
        <f>COUNTIF($NC51:$NG51,5)</f>
        <v/>
      </c>
      <c r="OA51" s="152">
        <f>COUNTIF($NC51:$NG51,6)</f>
        <v/>
      </c>
      <c r="OB51" s="152">
        <f>COUNTIF($NR51:$NS51,1)</f>
        <v/>
      </c>
      <c r="OC51" s="152">
        <f>COUNTIF($NR51:$NS51,2)+$NO51</f>
        <v/>
      </c>
      <c r="OD51" s="152">
        <f>COUNTIF($MH51:$MK51,"?*")</f>
        <v/>
      </c>
      <c r="OE51" s="152">
        <f>COUNTIF($ML51:$MM51,"?*")+$NO51</f>
        <v/>
      </c>
      <c r="OF51" s="152">
        <f>IF($MC51=0,0,SUMPRODUCT($NV51:$OA51,INDEX($I$2:$N$8,MAX(1,$MC51),0)))</f>
        <v/>
      </c>
      <c r="OG51" s="152">
        <f>IF($MC51=0,0,$OB51*CEILING($MC51/2,1)+$OC51*$MC51)</f>
        <v/>
      </c>
      <c r="OH51" s="152">
        <f>MIN(2*$MC51,$OG51)</f>
        <v/>
      </c>
      <c r="OI51" s="152">
        <f>MIN($OH51,$OF51)</f>
        <v/>
      </c>
      <c r="OJ51" s="152">
        <f>$OH51-$OI51</f>
        <v/>
      </c>
      <c r="OK51" s="152">
        <f>IF($MC51=0,0,INDEX($P$2:$P$8,MAX(1,$MC51)))</f>
        <v/>
      </c>
      <c r="OL51" s="152">
        <f>$OK51-$OF51+$OI51</f>
        <v/>
      </c>
      <c r="OM51" s="152">
        <f>IF($MC51=0,MAX(0,$MQ51-IF($OD51&gt;0,1,0)),MAX(0,$OL51))</f>
        <v/>
      </c>
      <c r="ON51" s="152">
        <f>IF($MC51=0,0,(IF(COUNTIF($MH51:$MK51,"Salto")&gt;0,1,0)+IF(COUNTIF($MH51:$MK51,"Queima")&gt;0,1,0)+IF(COUNTIF($MH51:$MK51,"Estilhaço")&gt;0,1,0))*FLOOR($OM51/2,1))</f>
        <v/>
      </c>
      <c r="OO51" s="152">
        <f>MAX(0,2-SUMPRODUCT($NV51:$OA51,$I$2:$N$2)+MIN(2,$OB51*1+$OC51*1,SUMPRODUCT($NV51:$OA51,$I$2:$N$2)))</f>
        <v/>
      </c>
      <c r="OP51" s="152">
        <f>MAX(0,4-SUMPRODUCT($NV51:$OA51,$I$3:$N$3)+MIN(4,$OB51*1+$OC51*2,SUMPRODUCT($NV51:$OA51,$I$3:$N$3)))</f>
        <v/>
      </c>
      <c r="OQ51" s="152">
        <f>MAX(0,6-SUMPRODUCT($NV51:$OA51,$I$4:$N$4)+MIN(6,$OB51*2+$OC51*3,SUMPRODUCT($NV51:$OA51,$I$4:$N$4)))</f>
        <v/>
      </c>
      <c r="OR51" s="152">
        <f>MAX(0,9-SUMPRODUCT($NV51:$OA51,$I$5:$N$5)+MIN(8,$OB51*2+$OC51*4,SUMPRODUCT($NV51:$OA51,$I$5:$N$5)))</f>
        <v/>
      </c>
      <c r="OS51" s="152">
        <f>MAX(0,11-SUMPRODUCT($NV51:$OA51,$I$6:$N$6)+MIN(10,$OB51*3+$OC51*5,SUMPRODUCT($NV51:$OA51,$I$6:$N$6)))</f>
        <v/>
      </c>
      <c r="OT51" s="152">
        <f>MAX(0,13-SUMPRODUCT($NV51:$OA51,$I$7:$N$7)+MIN(12,$OB51*3+$OC51*6,SUMPRODUCT($NV51:$OA51,$I$7:$N$7)))</f>
        <v/>
      </c>
      <c r="OU51" s="152">
        <f>MAX(0,16-SUMPRODUCT($NV51:$OA51,$I$8:$N$8)+MIN(14,$OB51*4+$OC51*7,SUMPRODUCT($NV51:$OA51,$I$8:$N$8)))</f>
        <v/>
      </c>
      <c r="OV51" s="152">
        <f>IF($NP51=2,3*$OO51&amp;" de vida temp.",IF($NP51=3,"sem dano",IF($OO51=0,IF($NP51=1,"sem cura","sem dano"),IF($NP51=1,"cura ","")&amp;$OO51&amp;"d8")))</f>
        <v/>
      </c>
      <c r="OW51" s="152">
        <f>IF($NP51=2,3*$OP51&amp;" de vida temp.",IF($NP51=3,"sem dano",IF($OP51=0,IF($NP51=1,"sem cura","sem dano"),IF($NP51=1,"cura ","")&amp;$OP51&amp;"d8")))</f>
        <v/>
      </c>
      <c r="OX51" s="152">
        <f>IF($NP51=2,3*$OQ51&amp;" de vida temp.",IF($NP51=3,"sem dano",IF($OQ51=0,IF($NP51=1,"sem cura","sem dano"),IF($NP51=1,"cura ","")&amp;$OQ51&amp;"d8")))</f>
        <v/>
      </c>
      <c r="OY51" s="152">
        <f>IF($NP51=2,3*$OR51&amp;" de vida temp.",IF($NP51=3,"sem dano",IF($OR51=0,IF($NP51=1,"sem cura","sem dano"),IF($NP51=1,"cura ","")&amp;$OR51&amp;"d8")))</f>
        <v/>
      </c>
      <c r="OZ51" s="152">
        <f>IF($NP51=2,3*$OS51&amp;" de vida temp.",IF($NP51=3,"sem dano",IF($OS51=0,IF($NP51=1,"sem cura","sem dano"),IF($NP51=1,"cura ","")&amp;$OS51&amp;"d8")))</f>
        <v/>
      </c>
      <c r="PA51" s="152">
        <f>IF($NP51=2,3*$OT51&amp;" de vida temp.",IF($NP51=3,"sem dano",IF($OT51=0,IF($NP51=1,"sem cura","sem dano"),IF($NP51=1,"cura ","")&amp;$OT51&amp;"d8")))</f>
        <v/>
      </c>
      <c r="PB51" s="152">
        <f>IF($NP51=2,3*$OU51&amp;" de vida temp.",IF($NP51=3,"sem dano",IF($OU51=0,IF($NP51=1,"sem cura","sem dano"),IF($NP51=1,"cura ","")&amp;$OU51&amp;"d8")))</f>
        <v/>
      </c>
      <c r="PC51" s="152">
        <f>IF($MN51=0,"",TEXTJOIN(" · ",TRUE,IF($MA51&gt;$MO51,"Este lugar abre no nível "&amp;$MA51,""),IF($MC51&gt;$MP51,"Classe "&amp;$MC51&amp;": o nível "&amp;$MO51&amp;" libera até a "&amp;$MP51,""),IF($NH51=1,"A Forma "&amp;$ME51&amp;" pede "&amp;INDEX($W$2:$W$11,$MT51)&amp;" aberta",""),IF(AND($MC51=0,$MT51&gt;0,IF($MT51=0,0,INDEX($AF$2:$AF$11,$MT51))=0),$ME51&amp;" não existe na Classe 0",""),IF($NI51=1,"Família Fechada: "&amp;$MH51,""),IF($NJ51=1,"Família Fechada: "&amp;$MI51,""),IF($NK51=1,"Família Fechada: "&amp;$MJ51,""),IF($NL51=1,"Família Fechada: "&amp;$MK51,""),IF(AND($MC51&gt;0,$OD51&gt;INDEX($O$2:$O$8,MAX(1,$MC51))),$OD51&amp;" Melhorias: a Classe "&amp;$MC51&amp;" aceita "&amp;INDEX($O$2:$O$8,MAX(1,$MC51)),""),IF(AND($MC51=0,$OD51&gt;1),"A básica aceita uma Melhoria",""),IF(AND($MC51=0,COUNTIF($MY51:$NB51,"&gt;1")&gt;0),"A básica só aceita Melhoria Leve",""),IF(AND($MC51&gt;0,$OE51&gt;2),$OE51&amp;" Restrições"&amp;IF($NO51=1,", contando a que a Forma "&amp;$ME51&amp;" já traz","")&amp;": o limite é 2",""),IF(AND($MC51=0,COUNTIF($ML51:$MM51,"?*")&gt;1),"A básica aceita uma Restrição Leve",""),IF(AND($MC51=0,COUNTIF($NR51:$NS51,2)&gt;0),"A básica só aceita Restrição Leve",""),IF(AND($MC51&gt;0,$OL51&lt;0),"Orçamento estourado: faltam "&amp;(-$OL51)&amp;IF($OL51&lt;-1," pontos"," ponto"),""),IF(IFERROR(VLOOKUP($ML51,$BB$2:$BF$24,4,FALSE),0)+IFERROR(VLOOKUP($MM51,$BB$2:$BF$24,4,FALSE),0)&gt;1,$NT51&amp;" e "&amp;$NU51&amp;" são as duas de frequência",""),IF(AND((COUNTIF($MH51:$MK51,"Rápido")+COUNTIF($NT51:$NU51,"Rápido"))&gt;0,(COUNTIF($MH51:$MK51,"Atrasar")+COUNTIF($NT51:$NU51,"Atrasar"))&gt;0),"Rápido não entra com Atrasar",""),IF(AND((COUNTIF($MH51:$MK51,"Reação")+COUNTIF($NT51:$NU51,"Reação"))&gt;0,(COUNTIF($MH51:$MK51,"Rápido")+COUNTIF($NT51:$NU51,"Rápido"))&gt;0),"Reação não entra com Rápido",""),IF(AND((COUNTIF($MH51:$MK51,"Reação")+COUNTIF($NT51:$NU51,"Reação"))&gt;0,(COUNTIF($MH51:$MK51,"Armado")+COUNTIF($NT51:$NU51,"Armado"))&gt;0),"Reação não entra com Armado",""),IF(AND((COUNTIF($MH51:$MK51,"Reação")+COUNTIF($NT51:$NU51,"Reação"))&gt;0,(COUNTIF($MH51:$MK51,"Atrasar")+COUNTIF($NT51:$NU51,"Atrasar"))&gt;0),"Reação não entra com Atrasar",""),IF(AND((COUNTIF($MH51:$MK51,"Reação")+COUNTIF($NT51:$NU51,"Reação"))&gt;0,(COUNTIF($MH51:$MK51,"Parado")+COUNTIF($NT51:$NU51,"Parado"))&gt;0),"Reação não entra com Parado",""),IF(AND((COUNTIF($MH51:$MK51,"Atrasar")+COUNTIF($NT51:$NU51,"Atrasar"))&gt;0,(COUNTIF($MH51:$MK51,"Parado")+COUNTIF($NT51:$NU51,"Parado"))&gt;0),"Atrasar não entra com Parado",""),IF(AND((COUNTIF($MH51:$MK51,"Armado")+COUNTIF($NT51:$NU51,"Armado"))&gt;0,(COUNTIF($MH51:$MK51,"Carregar")+COUNTIF($NT51:$NU51,"Carregar"))&gt;0),"Armado não entra com Carregar",""),IF(AND(COUNTIF($NT51:$NU51,"Corpo a Corpo")&gt;0,$NO51=0,OR($ME51="Cone",$ME51="Linha")),"Corpo a Corpo não entra em "&amp;$ME51,""),IF(AND(COUNTIF($NT51:$NU51,"Corpo a Corpo")&gt;0,$NO51=1),"A Forma "&amp;$ME51&amp;" já traz o Corpo a Corpo",""),IF(AND(COUNTIF($NT51:$NU51,"Tudo ou Nada")&gt;0,$NQ51=0),"Tudo ou Nada só entra em habilidade de Teste de Resistência",""),IF(AND(COUNTIF($MH51:$MK51,"Inescapável")&gt;0,OR($OD51&gt;1,$OE51&gt;0)),"Inescapável não aceita outra peça",""),IF(AND($MC51&gt;0,$OM51*IF(COUNTIF($MH51:$MK51,"Remate")&gt;0,1.25,1)+$ON51&gt;4*$MC51),($OM51*IF(COUNTIF($MH51:$MK51,"Remate")&gt;0,1.25,1)+$ON51)&amp;" dados somando repetições"&amp;IF(COUNTIF($MH51:$MK51,"Remate")&gt;0," e o Remate","")&amp;": o teto da Classe "&amp;$MC51&amp;" é "&amp;4*$MC51,"")))</f>
        <v/>
      </c>
      <c r="PD51" s="152">
        <f>IF($PC51="",0,(LEN($PC51)-LEN(SUBSTITUTE($PC51," · ","")))/3+1)</f>
        <v/>
      </c>
      <c r="PE51" s="152">
        <f>IF($MN51=0,"",TEXTJOIN(" · ",TRUE,IF($OG51&gt;2*$MC51,"A devolução parou no teto de "&amp;2*$MC51,""),IF($OJ51&gt;0,"Devolução perdida: "&amp;$OJ51&amp;IF($OJ51&gt;1," pontos"," ponto")&amp;" sem peça para pagar",""),IF(AND($NM51&gt;0,AND($MC51&gt;0,$NP51=0),$OM51=0),"Controle sem dano: uma rodada a mais e CD +2",""),IF(AND($NM51&gt;0,AND($MC51&gt;0,$NP51=0),$OM51&gt;0,$OM51&lt;=$MC51),"Controle com saldo até a Classe: uma rodada a mais",""),IF(AND($MC51&gt;0,$NN51&lt;&gt;""),"Efeito de "&amp;$NN51&amp;" pela Classe "&amp;MAX(1,$MC51-1),"")))</f>
        <v/>
      </c>
      <c r="PF51" s="152">
        <f>IF($PE51="",0,(LEN($PE51)-LEN(SUBSTITUTE($PE51," · ","")))/3+1)</f>
        <v/>
      </c>
      <c r="PG51" s="152">
        <f>IF($MN51=0,IF($OD51+COUNTIF($ML51:$MM51,"?*")&gt;0,"Dê um nome",""),IF($PD51&gt;0,"⚠ "&amp;$PD51&amp;IF($PD51&gt;1," erros"," erro"),IF($PF51&gt;0,"! "&amp;$PF51&amp;IF($PF51&gt;1," avisos"," aviso"),"Na regra")))</f>
        <v/>
      </c>
      <c r="PH51" s="152">
        <f>IF($MN51=0,"",IF($PD51+$PF51=0,"Dentro das regras que a ficha confere",$PC51&amp;IF(AND($PD51&gt;0,$PF51&gt;0)," · ","")&amp;$PE51))</f>
        <v/>
      </c>
      <c r="PI51" s="152">
        <f>IF($MA51&gt;$MO51,$MB51&amp;" · ABRE NO NÍVEL "&amp;$MA51,$MB51)</f>
        <v/>
      </c>
      <c r="PJ51" s="152">
        <f>IF($MN51=0,"",IF($MC51=0,"Sem PE",3*$MC51&amp;" PE"))</f>
        <v/>
      </c>
      <c r="PK51" s="152">
        <f>IF($MN51=0,"",IF($MC51=0,"A atuação básica dela",IF(COUNTIF($NT51:$NU51,"Atrasar")&gt;0,"Sua Ação Completa",IF(COUNTIF($MH51:$MK51,"Rápido")&gt;0,"Sua Bônus",IF(COUNTIF($MH51:$MK51,"Reação")&gt;0,"Sua Reação","Sua Padrão")))&amp;" + a básica dela"&amp;IF(COUNTIF($MH51:$MK51,"Reação")&gt;0," e a coletiva","")&amp;IF(COUNTIF($NT51:$NU51,"Carregar")&gt;0," · em dois turnos","")))</f>
        <v/>
      </c>
      <c r="PL51" s="152">
        <f>IF($MG51&lt;&gt;"",$MG51,IF($MT51=0,"",INDEX($AA$2:$AA$11,$MT51)))</f>
        <v/>
      </c>
      <c r="PM51" s="152">
        <f>IF(OR($MN51=0,$MT51=0),"",IF(COUNTIF($MH51:$MK51,"Inescapável")&gt;0,"Automático",IF($PL51="Ataque",IF($MR51="","Ataque","Ataque "&amp;IF(($MR51+2*IF(COUNTIF($MH51:$MK51,"Precisão")&gt;0,1,0))&gt;=0,"+","−")&amp;ABS(($MR51+2*IF(COUNTIF($MH51:$MK51,"Precisão")&gt;0,1,0)))),IF(LEFT($PL51,2)="TR",$PL51&amp;IF($MS51="",""," · CD "&amp;$MS51)&amp;IF(COUNTIF($MH51:$MK51,"Certeiro")&gt;0," · metade",""),"Sem rolagem"))))</f>
        <v/>
      </c>
      <c r="PN51" s="152">
        <f>IF(OR($MN51=0,$MT51=0),"",IF($MC51=0,IF(OR($NP51&gt;=1,$OM51=0),"Sem dano",$OM51&amp;"d6"&amp;IF($MF51="",""," "&amp;$MF51)),IF(OR($NP51&gt;=1,$OM51=0),UPPER(LEFT(INDEX($OV51:$PB51,1,MAX(1,$MC51)),1))&amp;MID(INDEX($OV51:$PB51,1,MAX(1,$MC51)),2,99),UPPER(LEFT(INDEX($OV51:$PB51,1,MAX(1,$MC51)),1))&amp;MID(INDEX($OV51:$PB51,1,MAX(1,$MC51)),2,99)&amp;IF($MF51="",""," "&amp;$MF51)&amp;IF($ON51&gt;0," · +"&amp;$ON51&amp;"d8",""))))</f>
        <v/>
      </c>
      <c r="PO51" s="152">
        <f>COUNTIF($MH51:$MK51,"Longe")+3*COUNTIF($MH51:$MK51,"Muito Longe")</f>
        <v/>
      </c>
      <c r="PP51" s="152">
        <f>COUNTIF($MH51:$MK51,"Maior")+3*COUNTIF($MH51:$MK51,"Muito Maior")</f>
        <v/>
      </c>
      <c r="PQ51" s="152">
        <f>IF($MT51=0,0,CHOOSE(1+INDEX($AC$2:$AC$11,$MT51),0,$PO51,$PP51,$PO51+$PP51))</f>
        <v/>
      </c>
      <c r="PR51" s="152">
        <f>IF($MT51=0,0,CHOOSE(1+INDEX($AD$2:$AD$11,$MT51),0,$PO51,$PP51,$PO51+$PP51))</f>
        <v/>
      </c>
      <c r="PS51" s="152">
        <f>IF(OR($MN51=0,$MT51=0),"",INDEX($AI$2:$AN$41,($MT51-1)*4+IF($MC51=0,1,IF($MC51&lt;=5,2,IF($MC51=6,3,4))),1+MIN(5,$PQ51))&amp;INDEX($AO$2:$AT$41,($MT51-1)*4+IF($MC51=0,1,IF($MC51&lt;=5,2,IF($MC51=6,3,4))),1+MIN(5,$PR51))&amp;IF(INDEX($AE$2:$AE$11,$MT51)=1,IF(COUNTIF($MH51:$MK51,"Mais Um")&gt;0," · +"&amp;COUNTIF($MH51:$MK51,"Mais Um")&amp;IF(COUNTIF($MH51:$MK51,"Mais Um")&gt;1," alvos"," alvo"),"")&amp;IF(COUNTIF($MH51:$MK51,"Rajada")&gt;0,IF($MC51=0," · 1 tiro"," · "&amp;(MAX(1,$MC51-1)+1)&amp;" tiros"),""),""))</f>
        <v/>
      </c>
      <c r="PT51" s="152">
        <f>IF($MN51=0,"",IF($MC51=0,$MQ51&amp;"d6"&amp;IF($OD51&gt;0," − 1 = "&amp;$OM51&amp;"d6"," da básica do nível "&amp;$MO51),$OK51&amp;" − "&amp;$OF51&amp;" + "&amp;$OI51&amp;" = "&amp;$OL51&amp;" · teto "&amp;4*$MC51&amp;"d8"&amp;IF($NO51=1," · a Forma devolve "&amp;$MC51,"")&amp;IF($OJ51&gt;0," · perde "&amp;$OJ51,"")))</f>
        <v/>
      </c>
      <c r="PU51" s="152">
        <f>IF($MN51=0,"",IF($MC51=0,"A básica não amplia: os dados dela sobem com o nível",IF($MC51&gt;=$MP51,"Já está na maior Classe que o nível liberou",TEXTJOIN(" · ",TRUE,IF(AND(2&gt;$MC51,2&lt;=$MP51),"2 → "&amp;$OW51&amp;", 6 PE",""),IF(AND(3&gt;$MC51,3&lt;=$MP51),"3 → "&amp;$OX51&amp;", 9 PE",""),IF(AND(4&gt;$MC51,4&lt;=$MP51),"4 → "&amp;$OY51&amp;", 12 PE",""),IF(AND(5&gt;$MC51,5&lt;=$MP51),"5 → "&amp;$OZ51&amp;", 15 PE",""),IF(AND(6&gt;$MC51,6&lt;=$MP51),"6 → "&amp;$PA51&amp;", 18 PE",""),IF(AND(7&gt;$MC51,7&lt;=$MP51),"7 → "&amp;$PB51&amp;", 21 PE","")))))</f>
        <v/>
      </c>
      <c r="PV51" s="152">
        <f>IF(OR($MN51=0,$MY51=0),"",IF($MC51=0,"−1 dado","−"&amp;INDEX($I$2:$N$8,MAX(1,$MC51),MAX(1,$ND51))&amp;" · "&amp;CHOOSE(MAX(1,$ND51),"Leve","Média","Pesada","Leve · Livre","Média · Livre","Pesada · Livre")))</f>
        <v/>
      </c>
      <c r="PW51" s="152">
        <f>IF(OR($MN51=0,$MZ51=0),"",IF($MC51=0,"−1 dado","−"&amp;INDEX($I$2:$N$8,MAX(1,$MC51),MAX(1,$NE51))&amp;" · "&amp;CHOOSE(MAX(1,$NE51),"Leve","Média","Pesada","Leve · Livre","Média · Livre","Pesada · Livre")))</f>
        <v/>
      </c>
      <c r="PX51" s="152">
        <f>IF(OR($MN51=0,$NA51=0),"",IF($MC51=0,"−1 dado","−"&amp;INDEX($I$2:$N$8,MAX(1,$MC51),MAX(1,$NF51))&amp;" · "&amp;CHOOSE(MAX(1,$NF51),"Leve","Média","Pesada","Leve · Livre","Média · Livre","Pesada · Livre")))</f>
        <v/>
      </c>
      <c r="PY51" s="152">
        <f>IF(OR($MN51=0,$NB51=0),"",IF($MC51=0,"−1 dado","−"&amp;INDEX($I$2:$N$8,MAX(1,$MC51),MAX(1,$NG51))&amp;" · "&amp;CHOOSE(MAX(1,$NG51),"Leve","Média","Pesada","Leve · Livre","Média · Livre","Pesada · Livre")))</f>
        <v/>
      </c>
      <c r="PZ51" s="152">
        <f>IF(OR($MN51=0,$ML51=""),"",IF($MC51=0,"não devolve","+"&amp;IF($NR51=1,CEILING($MC51/2,1),$MC51)))</f>
        <v/>
      </c>
      <c r="QA51" s="152">
        <f>IF(OR($MN51=0,$MM51=""),"",IF($MC51=0,"não devolve","+"&amp;IF($NS51=1,CEILING($MC51/2,1),$MC51)))</f>
        <v/>
      </c>
    </row>
    <row r="52">
      <c r="AV52" s="150" t="inlineStr">
        <is>
          <t>Ecoa</t>
        </is>
      </c>
      <c r="AW52" s="150" t="inlineStr">
        <is>
          <t>Auxiliares</t>
        </is>
      </c>
      <c r="AX52" s="152" t="n">
        <v>2</v>
      </c>
      <c r="AY52" s="152" t="n">
        <v>0</v>
      </c>
      <c r="AZ52" s="152" t="n">
        <v>0</v>
      </c>
      <c r="JD52" s="152">
        <f>IF(OR($AW52="",COUNTIF($ED$2:$EH$2,$AW52)&gt;0),$AV52,"")</f>
        <v/>
      </c>
      <c r="JE52" s="152">
        <f>IF(AND($AX52=1,OR($AW52="",COUNTIF($ED$2:$EH$2,$AW52)&gt;0)),$AV52,"")</f>
        <v/>
      </c>
      <c r="JJ52" s="152">
        <f>IF(OR($AW52="",COUNTIF($ED$3:$EH$3,$AW52)&gt;0),$AV52,"")</f>
        <v/>
      </c>
      <c r="JK52" s="152">
        <f>IF(AND($AX52=1,OR($AW52="",COUNTIF($ED$3:$EH$3,$AW52)&gt;0)),$AV52,"")</f>
        <v/>
      </c>
      <c r="JP52" s="152">
        <f>IF(OR($AW52="",COUNTIF($ED$4:$EH$4,$AW52)&gt;0),$AV52,"")</f>
        <v/>
      </c>
      <c r="JQ52" s="152">
        <f>IF(AND($AX52=1,OR($AW52="",COUNTIF($ED$4:$EH$4,$AW52)&gt;0)),$AV52,"")</f>
        <v/>
      </c>
      <c r="JV52" s="152">
        <f>IF(OR($AW52="",COUNTIF($ED$5:$EH$5,$AW52)&gt;0),$AV52,"")</f>
        <v/>
      </c>
      <c r="JW52" s="152">
        <f>IF(AND($AX52=1,OR($AW52="",COUNTIF($ED$5:$EH$5,$AW52)&gt;0)),$AV52,"")</f>
        <v/>
      </c>
      <c r="KB52" s="152">
        <f>IF(OR($AW52="",COUNTIF($ED$6:$EH$6,$AW52)&gt;0),$AV52,"")</f>
        <v/>
      </c>
      <c r="KC52" s="152">
        <f>IF(AND($AX52=1,OR($AW52="",COUNTIF($ED$6:$EH$6,$AW52)&gt;0)),$AV52,"")</f>
        <v/>
      </c>
      <c r="KH52" s="152">
        <f>IF(OR($AW52="",COUNTIF($ED$7:$EH$7,$AW52)&gt;0),$AV52,"")</f>
        <v/>
      </c>
      <c r="KI52" s="152">
        <f>IF(AND($AX52=1,OR($AW52="",COUNTIF($ED$7:$EH$7,$AW52)&gt;0)),$AV52,"")</f>
        <v/>
      </c>
      <c r="KN52" s="152">
        <f>IF(OR($AW52="",COUNTIF($ED$8:$EH$8,$AW52)&gt;0),$AV52,"")</f>
        <v/>
      </c>
      <c r="KO52" s="152">
        <f>IF(AND($AX52=1,OR($AW52="",COUNTIF($ED$8:$EH$8,$AW52)&gt;0)),$AV52,"")</f>
        <v/>
      </c>
      <c r="KT52" s="152">
        <f>IF(OR($AW52="",COUNTIF($ED$9:$EH$9,$AW52)&gt;0),$AV52,"")</f>
        <v/>
      </c>
      <c r="KU52" s="152">
        <f>IF(AND($AX52=1,OR($AW52="",COUNTIF($ED$9:$EH$9,$AW52)&gt;0)),$AV52,"")</f>
        <v/>
      </c>
      <c r="KZ52" s="152">
        <f>IF(OR($AW52="",COUNTIF($ED$10:$EH$10,$AW52)&gt;0),$AV52,"")</f>
        <v/>
      </c>
      <c r="LA52" s="152">
        <f>IF(AND($AX52=1,OR($AW52="",COUNTIF($ED$10:$EH$10,$AW52)&gt;0)),$AV52,"")</f>
        <v/>
      </c>
      <c r="LF52" s="152">
        <f>IF(OR($AW52="",COUNTIF($ED$11:$EH$11,$AW52)&gt;0),$AV52,"")</f>
        <v/>
      </c>
      <c r="LG52" s="152">
        <f>IF(AND($AX52=1,OR($AW52="",COUNTIF($ED$11:$EH$11,$AW52)&gt;0)),$AV52,"")</f>
        <v/>
      </c>
      <c r="LL52" s="152">
        <f>IF(OR($AW52="",COUNTIF($ED$12:$EH$12,$AW52)&gt;0),$AV52,"")</f>
        <v/>
      </c>
      <c r="LM52" s="152">
        <f>IF(AND($AX52=1,OR($AW52="",COUNTIF($ED$12:$EH$12,$AW52)&gt;0)),$AV52,"")</f>
        <v/>
      </c>
      <c r="LR52" s="152">
        <f>IF(OR($AW52="",COUNTIF($ED$13:$EH$13,$AW52)&gt;0),$AV52,"")</f>
        <v/>
      </c>
      <c r="LS52" s="152">
        <f>IF(AND($AX52=1,OR($AW52="",COUNTIF($ED$13:$EH$13,$AW52)&gt;0)),$AV52,"")</f>
        <v/>
      </c>
      <c r="LX52" s="150" t="inlineStr">
        <is>
          <t>Ficha 4 · Escolha da trilha 2</t>
        </is>
      </c>
      <c r="LY52" s="152" t="n">
        <v>4</v>
      </c>
      <c r="LZ52" s="152" t="n">
        <v>2</v>
      </c>
      <c r="MA52" s="152" t="n">
        <v>0</v>
      </c>
      <c r="MB52" s="150" t="inlineStr">
        <is>
          <t>ESCOLHA DA TRILHA 2</t>
        </is>
      </c>
      <c r="MC52" s="152">
        <f>MAX(0,MIN(7,N('INVOCAÇÕES'!$O$754)))</f>
        <v/>
      </c>
      <c r="MD52" s="152">
        <f>'INVOCAÇÕES'!$P$754&amp;""</f>
        <v/>
      </c>
      <c r="ME52" s="152">
        <f>'INVOCAÇÕES'!$O$759&amp;""</f>
        <v/>
      </c>
      <c r="MF52" s="152">
        <f>'INVOCAÇÕES'!$O$760&amp;""</f>
        <v/>
      </c>
      <c r="MG52" s="152">
        <f>'INVOCAÇÕES'!$Q$760&amp;""</f>
        <v/>
      </c>
      <c r="MH52" s="152">
        <f>'INVOCAÇÕES'!$P$763&amp;""</f>
        <v/>
      </c>
      <c r="MI52" s="152">
        <f>'INVOCAÇÕES'!$P$764&amp;""</f>
        <v/>
      </c>
      <c r="MJ52" s="152">
        <f>'INVOCAÇÕES'!$P$765&amp;""</f>
        <v/>
      </c>
      <c r="MK52" s="152">
        <f>'INVOCAÇÕES'!$P$766&amp;""</f>
        <v/>
      </c>
      <c r="ML52" s="152">
        <f>'INVOCAÇÕES'!$P$767&amp;""</f>
        <v/>
      </c>
      <c r="MM52" s="152">
        <f>'INVOCAÇÕES'!$P$768&amp;""</f>
        <v/>
      </c>
      <c r="MN52" s="152">
        <f>IF($MD52&lt;&gt;"",1,0)</f>
        <v/>
      </c>
      <c r="MO52" s="152">
        <f>INDEX($FG$2:$FG$13,$LY52)</f>
        <v/>
      </c>
      <c r="MP52" s="152">
        <f>INDEX($FH$2:$FH$13,$LY52)</f>
        <v/>
      </c>
      <c r="MQ52" s="152">
        <f>INDEX($FI$2:$FI$13,$LY52)</f>
        <v/>
      </c>
      <c r="MR52" s="152">
        <f>INDEX($FT$2:$FT$13,$LY52)</f>
        <v/>
      </c>
      <c r="MS52" s="152">
        <f>INDEX($FU$2:$FU$13,$LY52)</f>
        <v/>
      </c>
      <c r="MT52" s="152">
        <f>IFERROR(MATCH($ME52,$V$2:$V$11,0),0)</f>
        <v/>
      </c>
      <c r="MU52" s="152">
        <f>IFERROR(VLOOKUP($MH52,$AV$2:$AZ$84,2,FALSE),"")</f>
        <v/>
      </c>
      <c r="MV52" s="152">
        <f>IFERROR(VLOOKUP($MI52,$AV$2:$AZ$84,2,FALSE),"")</f>
        <v/>
      </c>
      <c r="MW52" s="152">
        <f>IFERROR(VLOOKUP($MJ52,$AV$2:$AZ$84,2,FALSE),"")</f>
        <v/>
      </c>
      <c r="MX52" s="152">
        <f>IFERROR(VLOOKUP($MK52,$AV$2:$AZ$84,2,FALSE),"")</f>
        <v/>
      </c>
      <c r="MY52" s="152">
        <f>IFERROR(VLOOKUP($MH52,$AV$2:$AZ$84,3,FALSE),0)</f>
        <v/>
      </c>
      <c r="MZ52" s="152">
        <f>IFERROR(VLOOKUP($MI52,$AV$2:$AZ$84,3,FALSE),0)</f>
        <v/>
      </c>
      <c r="NA52" s="152">
        <f>IFERROR(VLOOKUP($MJ52,$AV$2:$AZ$84,3,FALSE),0)</f>
        <v/>
      </c>
      <c r="NB52" s="152">
        <f>IFERROR(VLOOKUP($MK52,$AV$2:$AZ$84,3,FALSE),0)</f>
        <v/>
      </c>
      <c r="NC52" s="152">
        <f>IF($MC52=0,0,IF($MT52=0,0,INDEX($X$2:$X$11,$MT52)))</f>
        <v/>
      </c>
      <c r="ND52" s="152">
        <f>IF(OR($MY52=0,$MC52=0),0,$MY52+3*IF(AND($MU52&lt;&gt;"",OR($MU52=INDEX($ED$2:$ED$13,$LY52),$MU52=INDEX($EE$2:$EE$13,$LY52))),1,0))</f>
        <v/>
      </c>
      <c r="NE52" s="152">
        <f>IF(OR($MZ52=0,$MC52=0),0,$MZ52+3*IF(AND($MV52&lt;&gt;"",OR($MV52=INDEX($ED$2:$ED$13,$LY52),$MV52=INDEX($EE$2:$EE$13,$LY52))),1,0))</f>
        <v/>
      </c>
      <c r="NF52" s="152">
        <f>IF(OR($NA52=0,$MC52=0),0,$NA52+3*IF(AND($MW52&lt;&gt;"",OR($MW52=INDEX($ED$2:$ED$13,$LY52),$MW52=INDEX($EE$2:$EE$13,$LY52))),1,0))</f>
        <v/>
      </c>
      <c r="NG52" s="152">
        <f>IF(OR($NB52=0,$MC52=0),0,$NB52+3*IF(AND($MX52&lt;&gt;"",OR($MX52=INDEX($ED$2:$ED$13,$LY52),$MX52=INDEX($EE$2:$EE$13,$LY52))),1,0))</f>
        <v/>
      </c>
      <c r="NH52" s="152">
        <f>IF($MT52=0,0,IF(INDEX($W$2:$W$11,$MT52)="",0,IF(COUNTIF(INDEX($ED$2:$EH$13,$LY52,0),INDEX($W$2:$W$11,$MT52))=0,1,0)))</f>
        <v/>
      </c>
      <c r="NI52" s="152">
        <f>IF(OR($MY52=0,$MU52=""),0,IF(COUNTIF(INDEX($ED$2:$EH$13,$LY52,0),$MU52)=0,1,0))</f>
        <v/>
      </c>
      <c r="NJ52" s="152">
        <f>IF(OR($MZ52=0,$MV52=""),0,IF(COUNTIF(INDEX($ED$2:$EH$13,$LY52,0),$MV52)=0,1,0))</f>
        <v/>
      </c>
      <c r="NK52" s="152">
        <f>IF(OR($NA52=0,$MW52=""),0,IF(COUNTIF(INDEX($ED$2:$EH$13,$LY52,0),$MW52)=0,1,0))</f>
        <v/>
      </c>
      <c r="NL52" s="152">
        <f>IF(OR($NB52=0,$MX52=""),0,IF(COUNTIF(INDEX($ED$2:$EH$13,$LY52,0),$MX52)=0,1,0))</f>
        <v/>
      </c>
      <c r="NM52" s="152">
        <f>IFERROR(VLOOKUP($MH52,$AV$2:$AZ$84,4,FALSE),0)+IFERROR(VLOOKUP($MI52,$AV$2:$AZ$84,4,FALSE),0)+IFERROR(VLOOKUP($MJ52,$AV$2:$AZ$84,4,FALSE),0)+IFERROR(VLOOKUP($MK52,$AV$2:$AZ$84,4,FALSE),0)</f>
        <v/>
      </c>
      <c r="NN52" s="152">
        <f>TEXTJOIN(", ",TRUE,IF(IFERROR(VLOOKUP($MH52,$AV$2:$AZ$84,5,FALSE),0)=1,$MH52,""),IF(IFERROR(VLOOKUP($MI52,$AV$2:$AZ$84,5,FALSE),0)=1,$MI52,""),IF(IFERROR(VLOOKUP($MJ52,$AV$2:$AZ$84,5,FALSE),0)=1,$MJ52,""),IF(IFERROR(VLOOKUP($MK52,$AV$2:$AZ$84,5,FALSE),0)=1,$MK52,""))</f>
        <v/>
      </c>
      <c r="NO52" s="152">
        <f>IF($MT52=0,0,INDEX($Y$2:$Y$11,$MT52))</f>
        <v/>
      </c>
      <c r="NP52" s="152">
        <f>IF($MT52=0,0,INDEX($Z$2:$Z$11,$MT52))</f>
        <v/>
      </c>
      <c r="NQ52" s="152">
        <f>IF($MT52=0,0,INDEX($AB$2:$AB$11,$MT52))</f>
        <v/>
      </c>
      <c r="NR52" s="152">
        <f>IFERROR(VLOOKUP($ML52,$BB$2:$BF$24,3,FALSE),0)</f>
        <v/>
      </c>
      <c r="NS52" s="152">
        <f>IFERROR(VLOOKUP($MM52,$BB$2:$BF$24,3,FALSE),0)</f>
        <v/>
      </c>
      <c r="NT52" s="152">
        <f>IFERROR(VLOOKUP($ML52,$BB$2:$BF$24,2,FALSE),"")</f>
        <v/>
      </c>
      <c r="NU52" s="152">
        <f>IFERROR(VLOOKUP($MM52,$BB$2:$BF$24,2,FALSE),"")</f>
        <v/>
      </c>
      <c r="NV52" s="152">
        <f>COUNTIF($NC52:$NG52,1)</f>
        <v/>
      </c>
      <c r="NW52" s="152">
        <f>COUNTIF($NC52:$NG52,2)</f>
        <v/>
      </c>
      <c r="NX52" s="152">
        <f>COUNTIF($NC52:$NG52,3)</f>
        <v/>
      </c>
      <c r="NY52" s="152">
        <f>COUNTIF($NC52:$NG52,4)</f>
        <v/>
      </c>
      <c r="NZ52" s="152">
        <f>COUNTIF($NC52:$NG52,5)</f>
        <v/>
      </c>
      <c r="OA52" s="152">
        <f>COUNTIF($NC52:$NG52,6)</f>
        <v/>
      </c>
      <c r="OB52" s="152">
        <f>COUNTIF($NR52:$NS52,1)</f>
        <v/>
      </c>
      <c r="OC52" s="152">
        <f>COUNTIF($NR52:$NS52,2)+$NO52</f>
        <v/>
      </c>
      <c r="OD52" s="152">
        <f>COUNTIF($MH52:$MK52,"?*")</f>
        <v/>
      </c>
      <c r="OE52" s="152">
        <f>COUNTIF($ML52:$MM52,"?*")+$NO52</f>
        <v/>
      </c>
      <c r="OF52" s="152">
        <f>IF($MC52=0,0,SUMPRODUCT($NV52:$OA52,INDEX($I$2:$N$8,MAX(1,$MC52),0)))</f>
        <v/>
      </c>
      <c r="OG52" s="152">
        <f>IF($MC52=0,0,$OB52*CEILING($MC52/2,1)+$OC52*$MC52)</f>
        <v/>
      </c>
      <c r="OH52" s="152">
        <f>MIN(2*$MC52,$OG52)</f>
        <v/>
      </c>
      <c r="OI52" s="152">
        <f>MIN($OH52,$OF52)</f>
        <v/>
      </c>
      <c r="OJ52" s="152">
        <f>$OH52-$OI52</f>
        <v/>
      </c>
      <c r="OK52" s="152">
        <f>IF($MC52=0,0,INDEX($P$2:$P$8,MAX(1,$MC52)))</f>
        <v/>
      </c>
      <c r="OL52" s="152">
        <f>$OK52-$OF52+$OI52</f>
        <v/>
      </c>
      <c r="OM52" s="152">
        <f>IF($MC52=0,MAX(0,$MQ52-IF($OD52&gt;0,1,0)),MAX(0,$OL52))</f>
        <v/>
      </c>
      <c r="ON52" s="152">
        <f>IF($MC52=0,0,(IF(COUNTIF($MH52:$MK52,"Salto")&gt;0,1,0)+IF(COUNTIF($MH52:$MK52,"Queima")&gt;0,1,0)+IF(COUNTIF($MH52:$MK52,"Estilhaço")&gt;0,1,0))*FLOOR($OM52/2,1))</f>
        <v/>
      </c>
      <c r="OO52" s="152">
        <f>MAX(0,2-SUMPRODUCT($NV52:$OA52,$I$2:$N$2)+MIN(2,$OB52*1+$OC52*1,SUMPRODUCT($NV52:$OA52,$I$2:$N$2)))</f>
        <v/>
      </c>
      <c r="OP52" s="152">
        <f>MAX(0,4-SUMPRODUCT($NV52:$OA52,$I$3:$N$3)+MIN(4,$OB52*1+$OC52*2,SUMPRODUCT($NV52:$OA52,$I$3:$N$3)))</f>
        <v/>
      </c>
      <c r="OQ52" s="152">
        <f>MAX(0,6-SUMPRODUCT($NV52:$OA52,$I$4:$N$4)+MIN(6,$OB52*2+$OC52*3,SUMPRODUCT($NV52:$OA52,$I$4:$N$4)))</f>
        <v/>
      </c>
      <c r="OR52" s="152">
        <f>MAX(0,9-SUMPRODUCT($NV52:$OA52,$I$5:$N$5)+MIN(8,$OB52*2+$OC52*4,SUMPRODUCT($NV52:$OA52,$I$5:$N$5)))</f>
        <v/>
      </c>
      <c r="OS52" s="152">
        <f>MAX(0,11-SUMPRODUCT($NV52:$OA52,$I$6:$N$6)+MIN(10,$OB52*3+$OC52*5,SUMPRODUCT($NV52:$OA52,$I$6:$N$6)))</f>
        <v/>
      </c>
      <c r="OT52" s="152">
        <f>MAX(0,13-SUMPRODUCT($NV52:$OA52,$I$7:$N$7)+MIN(12,$OB52*3+$OC52*6,SUMPRODUCT($NV52:$OA52,$I$7:$N$7)))</f>
        <v/>
      </c>
      <c r="OU52" s="152">
        <f>MAX(0,16-SUMPRODUCT($NV52:$OA52,$I$8:$N$8)+MIN(14,$OB52*4+$OC52*7,SUMPRODUCT($NV52:$OA52,$I$8:$N$8)))</f>
        <v/>
      </c>
      <c r="OV52" s="152">
        <f>IF($NP52=2,3*$OO52&amp;" de vida temp.",IF($NP52=3,"sem dano",IF($OO52=0,IF($NP52=1,"sem cura","sem dano"),IF($NP52=1,"cura ","")&amp;$OO52&amp;"d8")))</f>
        <v/>
      </c>
      <c r="OW52" s="152">
        <f>IF($NP52=2,3*$OP52&amp;" de vida temp.",IF($NP52=3,"sem dano",IF($OP52=0,IF($NP52=1,"sem cura","sem dano"),IF($NP52=1,"cura ","")&amp;$OP52&amp;"d8")))</f>
        <v/>
      </c>
      <c r="OX52" s="152">
        <f>IF($NP52=2,3*$OQ52&amp;" de vida temp.",IF($NP52=3,"sem dano",IF($OQ52=0,IF($NP52=1,"sem cura","sem dano"),IF($NP52=1,"cura ","")&amp;$OQ52&amp;"d8")))</f>
        <v/>
      </c>
      <c r="OY52" s="152">
        <f>IF($NP52=2,3*$OR52&amp;" de vida temp.",IF($NP52=3,"sem dano",IF($OR52=0,IF($NP52=1,"sem cura","sem dano"),IF($NP52=1,"cura ","")&amp;$OR52&amp;"d8")))</f>
        <v/>
      </c>
      <c r="OZ52" s="152">
        <f>IF($NP52=2,3*$OS52&amp;" de vida temp.",IF($NP52=3,"sem dano",IF($OS52=0,IF($NP52=1,"sem cura","sem dano"),IF($NP52=1,"cura ","")&amp;$OS52&amp;"d8")))</f>
        <v/>
      </c>
      <c r="PA52" s="152">
        <f>IF($NP52=2,3*$OT52&amp;" de vida temp.",IF($NP52=3,"sem dano",IF($OT52=0,IF($NP52=1,"sem cura","sem dano"),IF($NP52=1,"cura ","")&amp;$OT52&amp;"d8")))</f>
        <v/>
      </c>
      <c r="PB52" s="152">
        <f>IF($NP52=2,3*$OU52&amp;" de vida temp.",IF($NP52=3,"sem dano",IF($OU52=0,IF($NP52=1,"sem cura","sem dano"),IF($NP52=1,"cura ","")&amp;$OU52&amp;"d8")))</f>
        <v/>
      </c>
      <c r="PC52" s="152">
        <f>IF($MN52=0,"",TEXTJOIN(" · ",TRUE,IF($MA52&gt;$MO52,"Este lugar abre no nível "&amp;$MA52,""),IF($MC52&gt;$MP52,"Classe "&amp;$MC52&amp;": o nível "&amp;$MO52&amp;" libera até a "&amp;$MP52,""),IF($NH52=1,"A Forma "&amp;$ME52&amp;" pede "&amp;INDEX($W$2:$W$11,$MT52)&amp;" aberta",""),IF(AND($MC52=0,$MT52&gt;0,IF($MT52=0,0,INDEX($AF$2:$AF$11,$MT52))=0),$ME52&amp;" não existe na Classe 0",""),IF($NI52=1,"Família Fechada: "&amp;$MH52,""),IF($NJ52=1,"Família Fechada: "&amp;$MI52,""),IF($NK52=1,"Família Fechada: "&amp;$MJ52,""),IF($NL52=1,"Família Fechada: "&amp;$MK52,""),IF(AND($MC52&gt;0,$OD52&gt;INDEX($O$2:$O$8,MAX(1,$MC52))),$OD52&amp;" Melhorias: a Classe "&amp;$MC52&amp;" aceita "&amp;INDEX($O$2:$O$8,MAX(1,$MC52)),""),IF(AND($MC52=0,$OD52&gt;1),"A básica aceita uma Melhoria",""),IF(AND($MC52=0,COUNTIF($MY52:$NB52,"&gt;1")&gt;0),"A básica só aceita Melhoria Leve",""),IF(AND($MC52&gt;0,$OE52&gt;2),$OE52&amp;" Restrições"&amp;IF($NO52=1,", contando a que a Forma "&amp;$ME52&amp;" já traz","")&amp;": o limite é 2",""),IF(AND($MC52=0,COUNTIF($ML52:$MM52,"?*")&gt;1),"A básica aceita uma Restrição Leve",""),IF(AND($MC52=0,COUNTIF($NR52:$NS52,2)&gt;0),"A básica só aceita Restrição Leve",""),IF(AND($MC52&gt;0,$OL52&lt;0),"Orçamento estourado: faltam "&amp;(-$OL52)&amp;IF($OL52&lt;-1," pontos"," ponto"),""),IF(IFERROR(VLOOKUP($ML52,$BB$2:$BF$24,4,FALSE),0)+IFERROR(VLOOKUP($MM52,$BB$2:$BF$24,4,FALSE),0)&gt;1,$NT52&amp;" e "&amp;$NU52&amp;" são as duas de frequência",""),IF(AND((COUNTIF($MH52:$MK52,"Rápido")+COUNTIF($NT52:$NU52,"Rápido"))&gt;0,(COUNTIF($MH52:$MK52,"Atrasar")+COUNTIF($NT52:$NU52,"Atrasar"))&gt;0),"Rápido não entra com Atrasar",""),IF(AND((COUNTIF($MH52:$MK52,"Reação")+COUNTIF($NT52:$NU52,"Reação"))&gt;0,(COUNTIF($MH52:$MK52,"Rápido")+COUNTIF($NT52:$NU52,"Rápido"))&gt;0),"Reação não entra com Rápido",""),IF(AND((COUNTIF($MH52:$MK52,"Reação")+COUNTIF($NT52:$NU52,"Reação"))&gt;0,(COUNTIF($MH52:$MK52,"Armado")+COUNTIF($NT52:$NU52,"Armado"))&gt;0),"Reação não entra com Armado",""),IF(AND((COUNTIF($MH52:$MK52,"Reação")+COUNTIF($NT52:$NU52,"Reação"))&gt;0,(COUNTIF($MH52:$MK52,"Atrasar")+COUNTIF($NT52:$NU52,"Atrasar"))&gt;0),"Reação não entra com Atrasar",""),IF(AND((COUNTIF($MH52:$MK52,"Reação")+COUNTIF($NT52:$NU52,"Reação"))&gt;0,(COUNTIF($MH52:$MK52,"Parado")+COUNTIF($NT52:$NU52,"Parado"))&gt;0),"Reação não entra com Parado",""),IF(AND((COUNTIF($MH52:$MK52,"Atrasar")+COUNTIF($NT52:$NU52,"Atrasar"))&gt;0,(COUNTIF($MH52:$MK52,"Parado")+COUNTIF($NT52:$NU52,"Parado"))&gt;0),"Atrasar não entra com Parado",""),IF(AND((COUNTIF($MH52:$MK52,"Armado")+COUNTIF($NT52:$NU52,"Armado"))&gt;0,(COUNTIF($MH52:$MK52,"Carregar")+COUNTIF($NT52:$NU52,"Carregar"))&gt;0),"Armado não entra com Carregar",""),IF(AND(COUNTIF($NT52:$NU52,"Corpo a Corpo")&gt;0,$NO52=0,OR($ME52="Cone",$ME52="Linha")),"Corpo a Corpo não entra em "&amp;$ME52,""),IF(AND(COUNTIF($NT52:$NU52,"Corpo a Corpo")&gt;0,$NO52=1),"A Forma "&amp;$ME52&amp;" já traz o Corpo a Corpo",""),IF(AND(COUNTIF($NT52:$NU52,"Tudo ou Nada")&gt;0,$NQ52=0),"Tudo ou Nada só entra em habilidade de Teste de Resistência",""),IF(AND(COUNTIF($MH52:$MK52,"Inescapável")&gt;0,OR($OD52&gt;1,$OE52&gt;0)),"Inescapável não aceita outra peça",""),IF(AND($MC52&gt;0,$OM52*IF(COUNTIF($MH52:$MK52,"Remate")&gt;0,1.25,1)+$ON52&gt;4*$MC52),($OM52*IF(COUNTIF($MH52:$MK52,"Remate")&gt;0,1.25,1)+$ON52)&amp;" dados somando repetições"&amp;IF(COUNTIF($MH52:$MK52,"Remate")&gt;0," e o Remate","")&amp;": o teto da Classe "&amp;$MC52&amp;" é "&amp;4*$MC52,"")))</f>
        <v/>
      </c>
      <c r="PD52" s="152">
        <f>IF($PC52="",0,(LEN($PC52)-LEN(SUBSTITUTE($PC52," · ","")))/3+1)</f>
        <v/>
      </c>
      <c r="PE52" s="152">
        <f>IF($MN52=0,"",TEXTJOIN(" · ",TRUE,IF($OG52&gt;2*$MC52,"A devolução parou no teto de "&amp;2*$MC52,""),IF($OJ52&gt;0,"Devolução perdida: "&amp;$OJ52&amp;IF($OJ52&gt;1," pontos"," ponto")&amp;" sem peça para pagar",""),IF(AND($NM52&gt;0,AND($MC52&gt;0,$NP52=0),$OM52=0),"Controle sem dano: uma rodada a mais e CD +2",""),IF(AND($NM52&gt;0,AND($MC52&gt;0,$NP52=0),$OM52&gt;0,$OM52&lt;=$MC52),"Controle com saldo até a Classe: uma rodada a mais",""),IF(AND($MC52&gt;0,$NN52&lt;&gt;""),"Efeito de "&amp;$NN52&amp;" pela Classe "&amp;MAX(1,$MC52-1),"")))</f>
        <v/>
      </c>
      <c r="PF52" s="152">
        <f>IF($PE52="",0,(LEN($PE52)-LEN(SUBSTITUTE($PE52," · ","")))/3+1)</f>
        <v/>
      </c>
      <c r="PG52" s="152">
        <f>IF($MN52=0,IF($OD52+COUNTIF($ML52:$MM52,"?*")&gt;0,"Dê um nome",""),IF($PD52&gt;0,"⚠ "&amp;$PD52&amp;IF($PD52&gt;1," erros"," erro"),IF($PF52&gt;0,"! "&amp;$PF52&amp;IF($PF52&gt;1," avisos"," aviso"),"Na regra")))</f>
        <v/>
      </c>
      <c r="PH52" s="152">
        <f>IF($MN52=0,"",IF($PD52+$PF52=0,"Dentro das regras que a ficha confere",$PC52&amp;IF(AND($PD52&gt;0,$PF52&gt;0)," · ","")&amp;$PE52))</f>
        <v/>
      </c>
      <c r="PI52" s="152">
        <f>IF($MA52&gt;$MO52,$MB52&amp;" · ABRE NO NÍVEL "&amp;$MA52,$MB52)</f>
        <v/>
      </c>
      <c r="PJ52" s="152">
        <f>IF($MN52=0,"",IF($MC52=0,"Sem PE",3*$MC52&amp;" PE"))</f>
        <v/>
      </c>
      <c r="PK52" s="152">
        <f>IF($MN52=0,"",IF($MC52=0,"A atuação básica dela",IF(COUNTIF($NT52:$NU52,"Atrasar")&gt;0,"Sua Ação Completa",IF(COUNTIF($MH52:$MK52,"Rápido")&gt;0,"Sua Bônus",IF(COUNTIF($MH52:$MK52,"Reação")&gt;0,"Sua Reação","Sua Padrão")))&amp;" + a básica dela"&amp;IF(COUNTIF($MH52:$MK52,"Reação")&gt;0," e a coletiva","")&amp;IF(COUNTIF($NT52:$NU52,"Carregar")&gt;0," · em dois turnos","")))</f>
        <v/>
      </c>
      <c r="PL52" s="152">
        <f>IF($MG52&lt;&gt;"",$MG52,IF($MT52=0,"",INDEX($AA$2:$AA$11,$MT52)))</f>
        <v/>
      </c>
      <c r="PM52" s="152">
        <f>IF(OR($MN52=0,$MT52=0),"",IF(COUNTIF($MH52:$MK52,"Inescapável")&gt;0,"Automático",IF($PL52="Ataque",IF($MR52="","Ataque","Ataque "&amp;IF(($MR52+2*IF(COUNTIF($MH52:$MK52,"Precisão")&gt;0,1,0))&gt;=0,"+","−")&amp;ABS(($MR52+2*IF(COUNTIF($MH52:$MK52,"Precisão")&gt;0,1,0)))),IF(LEFT($PL52,2)="TR",$PL52&amp;IF($MS52="",""," · CD "&amp;$MS52)&amp;IF(COUNTIF($MH52:$MK52,"Certeiro")&gt;0," · metade",""),"Sem rolagem"))))</f>
        <v/>
      </c>
      <c r="PN52" s="152">
        <f>IF(OR($MN52=0,$MT52=0),"",IF($MC52=0,IF(OR($NP52&gt;=1,$OM52=0),"Sem dano",$OM52&amp;"d6"&amp;IF($MF52="",""," "&amp;$MF52)),IF(OR($NP52&gt;=1,$OM52=0),UPPER(LEFT(INDEX($OV52:$PB52,1,MAX(1,$MC52)),1))&amp;MID(INDEX($OV52:$PB52,1,MAX(1,$MC52)),2,99),UPPER(LEFT(INDEX($OV52:$PB52,1,MAX(1,$MC52)),1))&amp;MID(INDEX($OV52:$PB52,1,MAX(1,$MC52)),2,99)&amp;IF($MF52="",""," "&amp;$MF52)&amp;IF($ON52&gt;0," · +"&amp;$ON52&amp;"d8",""))))</f>
        <v/>
      </c>
      <c r="PO52" s="152">
        <f>COUNTIF($MH52:$MK52,"Longe")+3*COUNTIF($MH52:$MK52,"Muito Longe")</f>
        <v/>
      </c>
      <c r="PP52" s="152">
        <f>COUNTIF($MH52:$MK52,"Maior")+3*COUNTIF($MH52:$MK52,"Muito Maior")</f>
        <v/>
      </c>
      <c r="PQ52" s="152">
        <f>IF($MT52=0,0,CHOOSE(1+INDEX($AC$2:$AC$11,$MT52),0,$PO52,$PP52,$PO52+$PP52))</f>
        <v/>
      </c>
      <c r="PR52" s="152">
        <f>IF($MT52=0,0,CHOOSE(1+INDEX($AD$2:$AD$11,$MT52),0,$PO52,$PP52,$PO52+$PP52))</f>
        <v/>
      </c>
      <c r="PS52" s="152">
        <f>IF(OR($MN52=0,$MT52=0),"",INDEX($AI$2:$AN$41,($MT52-1)*4+IF($MC52=0,1,IF($MC52&lt;=5,2,IF($MC52=6,3,4))),1+MIN(5,$PQ52))&amp;INDEX($AO$2:$AT$41,($MT52-1)*4+IF($MC52=0,1,IF($MC52&lt;=5,2,IF($MC52=6,3,4))),1+MIN(5,$PR52))&amp;IF(INDEX($AE$2:$AE$11,$MT52)=1,IF(COUNTIF($MH52:$MK52,"Mais Um")&gt;0," · +"&amp;COUNTIF($MH52:$MK52,"Mais Um")&amp;IF(COUNTIF($MH52:$MK52,"Mais Um")&gt;1," alvos"," alvo"),"")&amp;IF(COUNTIF($MH52:$MK52,"Rajada")&gt;0,IF($MC52=0," · 1 tiro"," · "&amp;(MAX(1,$MC52-1)+1)&amp;" tiros"),""),""))</f>
        <v/>
      </c>
      <c r="PT52" s="152">
        <f>IF($MN52=0,"",IF($MC52=0,$MQ52&amp;"d6"&amp;IF($OD52&gt;0," − 1 = "&amp;$OM52&amp;"d6"," da básica do nível "&amp;$MO52),$OK52&amp;" − "&amp;$OF52&amp;" + "&amp;$OI52&amp;" = "&amp;$OL52&amp;" · teto "&amp;4*$MC52&amp;"d8"&amp;IF($NO52=1," · a Forma devolve "&amp;$MC52,"")&amp;IF($OJ52&gt;0," · perde "&amp;$OJ52,"")))</f>
        <v/>
      </c>
      <c r="PU52" s="152">
        <f>IF($MN52=0,"",IF($MC52=0,"A básica não amplia: os dados dela sobem com o nível",IF($MC52&gt;=$MP52,"Já está na maior Classe que o nível liberou",TEXTJOIN(" · ",TRUE,IF(AND(2&gt;$MC52,2&lt;=$MP52),"2 → "&amp;$OW52&amp;", 6 PE",""),IF(AND(3&gt;$MC52,3&lt;=$MP52),"3 → "&amp;$OX52&amp;", 9 PE",""),IF(AND(4&gt;$MC52,4&lt;=$MP52),"4 → "&amp;$OY52&amp;", 12 PE",""),IF(AND(5&gt;$MC52,5&lt;=$MP52),"5 → "&amp;$OZ52&amp;", 15 PE",""),IF(AND(6&gt;$MC52,6&lt;=$MP52),"6 → "&amp;$PA52&amp;", 18 PE",""),IF(AND(7&gt;$MC52,7&lt;=$MP52),"7 → "&amp;$PB52&amp;", 21 PE","")))))</f>
        <v/>
      </c>
      <c r="PV52" s="152">
        <f>IF(OR($MN52=0,$MY52=0),"",IF($MC52=0,"−1 dado","−"&amp;INDEX($I$2:$N$8,MAX(1,$MC52),MAX(1,$ND52))&amp;" · "&amp;CHOOSE(MAX(1,$ND52),"Leve","Média","Pesada","Leve · Livre","Média · Livre","Pesada · Livre")))</f>
        <v/>
      </c>
      <c r="PW52" s="152">
        <f>IF(OR($MN52=0,$MZ52=0),"",IF($MC52=0,"−1 dado","−"&amp;INDEX($I$2:$N$8,MAX(1,$MC52),MAX(1,$NE52))&amp;" · "&amp;CHOOSE(MAX(1,$NE52),"Leve","Média","Pesada","Leve · Livre","Média · Livre","Pesada · Livre")))</f>
        <v/>
      </c>
      <c r="PX52" s="152">
        <f>IF(OR($MN52=0,$NA52=0),"",IF($MC52=0,"−1 dado","−"&amp;INDEX($I$2:$N$8,MAX(1,$MC52),MAX(1,$NF52))&amp;" · "&amp;CHOOSE(MAX(1,$NF52),"Leve","Média","Pesada","Leve · Livre","Média · Livre","Pesada · Livre")))</f>
        <v/>
      </c>
      <c r="PY52" s="152">
        <f>IF(OR($MN52=0,$NB52=0),"",IF($MC52=0,"−1 dado","−"&amp;INDEX($I$2:$N$8,MAX(1,$MC52),MAX(1,$NG52))&amp;" · "&amp;CHOOSE(MAX(1,$NG52),"Leve","Média","Pesada","Leve · Livre","Média · Livre","Pesada · Livre")))</f>
        <v/>
      </c>
      <c r="PZ52" s="152">
        <f>IF(OR($MN52=0,$ML52=""),"",IF($MC52=0,"não devolve","+"&amp;IF($NR52=1,CEILING($MC52/2,1),$MC52)))</f>
        <v/>
      </c>
      <c r="QA52" s="152">
        <f>IF(OR($MN52=0,$MM52=""),"",IF($MC52=0,"não devolve","+"&amp;IF($NS52=1,CEILING($MC52/2,1),$MC52)))</f>
        <v/>
      </c>
    </row>
    <row r="53">
      <c r="AV53" s="150" t="inlineStr">
        <is>
          <t>Queima</t>
        </is>
      </c>
      <c r="AW53" s="150" t="inlineStr">
        <is>
          <t>Castigo</t>
        </is>
      </c>
      <c r="AX53" s="152" t="n">
        <v>2</v>
      </c>
      <c r="AY53" s="152" t="n">
        <v>0</v>
      </c>
      <c r="AZ53" s="152" t="n">
        <v>0</v>
      </c>
      <c r="JD53" s="152">
        <f>IF(OR($AW53="",COUNTIF($ED$2:$EH$2,$AW53)&gt;0),$AV53,"")</f>
        <v/>
      </c>
      <c r="JE53" s="152">
        <f>IF(AND($AX53=1,OR($AW53="",COUNTIF($ED$2:$EH$2,$AW53)&gt;0)),$AV53,"")</f>
        <v/>
      </c>
      <c r="JJ53" s="152">
        <f>IF(OR($AW53="",COUNTIF($ED$3:$EH$3,$AW53)&gt;0),$AV53,"")</f>
        <v/>
      </c>
      <c r="JK53" s="152">
        <f>IF(AND($AX53=1,OR($AW53="",COUNTIF($ED$3:$EH$3,$AW53)&gt;0)),$AV53,"")</f>
        <v/>
      </c>
      <c r="JP53" s="152">
        <f>IF(OR($AW53="",COUNTIF($ED$4:$EH$4,$AW53)&gt;0),$AV53,"")</f>
        <v/>
      </c>
      <c r="JQ53" s="152">
        <f>IF(AND($AX53=1,OR($AW53="",COUNTIF($ED$4:$EH$4,$AW53)&gt;0)),$AV53,"")</f>
        <v/>
      </c>
      <c r="JV53" s="152">
        <f>IF(OR($AW53="",COUNTIF($ED$5:$EH$5,$AW53)&gt;0),$AV53,"")</f>
        <v/>
      </c>
      <c r="JW53" s="152">
        <f>IF(AND($AX53=1,OR($AW53="",COUNTIF($ED$5:$EH$5,$AW53)&gt;0)),$AV53,"")</f>
        <v/>
      </c>
      <c r="KB53" s="152">
        <f>IF(OR($AW53="",COUNTIF($ED$6:$EH$6,$AW53)&gt;0),$AV53,"")</f>
        <v/>
      </c>
      <c r="KC53" s="152">
        <f>IF(AND($AX53=1,OR($AW53="",COUNTIF($ED$6:$EH$6,$AW53)&gt;0)),$AV53,"")</f>
        <v/>
      </c>
      <c r="KH53" s="152">
        <f>IF(OR($AW53="",COUNTIF($ED$7:$EH$7,$AW53)&gt;0),$AV53,"")</f>
        <v/>
      </c>
      <c r="KI53" s="152">
        <f>IF(AND($AX53=1,OR($AW53="",COUNTIF($ED$7:$EH$7,$AW53)&gt;0)),$AV53,"")</f>
        <v/>
      </c>
      <c r="KN53" s="152">
        <f>IF(OR($AW53="",COUNTIF($ED$8:$EH$8,$AW53)&gt;0),$AV53,"")</f>
        <v/>
      </c>
      <c r="KO53" s="152">
        <f>IF(AND($AX53=1,OR($AW53="",COUNTIF($ED$8:$EH$8,$AW53)&gt;0)),$AV53,"")</f>
        <v/>
      </c>
      <c r="KT53" s="152">
        <f>IF(OR($AW53="",COUNTIF($ED$9:$EH$9,$AW53)&gt;0),$AV53,"")</f>
        <v/>
      </c>
      <c r="KU53" s="152">
        <f>IF(AND($AX53=1,OR($AW53="",COUNTIF($ED$9:$EH$9,$AW53)&gt;0)),$AV53,"")</f>
        <v/>
      </c>
      <c r="KZ53" s="152">
        <f>IF(OR($AW53="",COUNTIF($ED$10:$EH$10,$AW53)&gt;0),$AV53,"")</f>
        <v/>
      </c>
      <c r="LA53" s="152">
        <f>IF(AND($AX53=1,OR($AW53="",COUNTIF($ED$10:$EH$10,$AW53)&gt;0)),$AV53,"")</f>
        <v/>
      </c>
      <c r="LF53" s="152">
        <f>IF(OR($AW53="",COUNTIF($ED$11:$EH$11,$AW53)&gt;0),$AV53,"")</f>
        <v/>
      </c>
      <c r="LG53" s="152">
        <f>IF(AND($AX53=1,OR($AW53="",COUNTIF($ED$11:$EH$11,$AW53)&gt;0)),$AV53,"")</f>
        <v/>
      </c>
      <c r="LL53" s="152">
        <f>IF(OR($AW53="",COUNTIF($ED$12:$EH$12,$AW53)&gt;0),$AV53,"")</f>
        <v/>
      </c>
      <c r="LM53" s="152">
        <f>IF(AND($AX53=1,OR($AW53="",COUNTIF($ED$12:$EH$12,$AW53)&gt;0)),$AV53,"")</f>
        <v/>
      </c>
      <c r="LR53" s="152">
        <f>IF(OR($AW53="",COUNTIF($ED$13:$EH$13,$AW53)&gt;0),$AV53,"")</f>
        <v/>
      </c>
      <c r="LS53" s="152">
        <f>IF(AND($AX53=1,OR($AW53="",COUNTIF($ED$13:$EH$13,$AW53)&gt;0)),$AV53,"")</f>
        <v/>
      </c>
      <c r="LX53" s="150" t="inlineStr">
        <is>
          <t>Ficha 4 · Escolha da trilha 3</t>
        </is>
      </c>
      <c r="LY53" s="152" t="n">
        <v>4</v>
      </c>
      <c r="LZ53" s="152" t="n">
        <v>2</v>
      </c>
      <c r="MA53" s="152" t="n">
        <v>0</v>
      </c>
      <c r="MB53" s="150" t="inlineStr">
        <is>
          <t>ESCOLHA DA TRILHA 3</t>
        </is>
      </c>
      <c r="MC53" s="152">
        <f>MAX(0,MIN(7,N('INVOCAÇÕES'!$U$754)))</f>
        <v/>
      </c>
      <c r="MD53" s="152">
        <f>'INVOCAÇÕES'!$V$754&amp;""</f>
        <v/>
      </c>
      <c r="ME53" s="152">
        <f>'INVOCAÇÕES'!$U$759&amp;""</f>
        <v/>
      </c>
      <c r="MF53" s="152">
        <f>'INVOCAÇÕES'!$U$760&amp;""</f>
        <v/>
      </c>
      <c r="MG53" s="152">
        <f>'INVOCAÇÕES'!$W$760&amp;""</f>
        <v/>
      </c>
      <c r="MH53" s="152">
        <f>'INVOCAÇÕES'!$V$763&amp;""</f>
        <v/>
      </c>
      <c r="MI53" s="152">
        <f>'INVOCAÇÕES'!$V$764&amp;""</f>
        <v/>
      </c>
      <c r="MJ53" s="152">
        <f>'INVOCAÇÕES'!$V$765&amp;""</f>
        <v/>
      </c>
      <c r="MK53" s="152">
        <f>'INVOCAÇÕES'!$V$766&amp;""</f>
        <v/>
      </c>
      <c r="ML53" s="152">
        <f>'INVOCAÇÕES'!$V$767&amp;""</f>
        <v/>
      </c>
      <c r="MM53" s="152">
        <f>'INVOCAÇÕES'!$V$768&amp;""</f>
        <v/>
      </c>
      <c r="MN53" s="152">
        <f>IF($MD53&lt;&gt;"",1,0)</f>
        <v/>
      </c>
      <c r="MO53" s="152">
        <f>INDEX($FG$2:$FG$13,$LY53)</f>
        <v/>
      </c>
      <c r="MP53" s="152">
        <f>INDEX($FH$2:$FH$13,$LY53)</f>
        <v/>
      </c>
      <c r="MQ53" s="152">
        <f>INDEX($FI$2:$FI$13,$LY53)</f>
        <v/>
      </c>
      <c r="MR53" s="152">
        <f>INDEX($FT$2:$FT$13,$LY53)</f>
        <v/>
      </c>
      <c r="MS53" s="152">
        <f>INDEX($FU$2:$FU$13,$LY53)</f>
        <v/>
      </c>
      <c r="MT53" s="152">
        <f>IFERROR(MATCH($ME53,$V$2:$V$11,0),0)</f>
        <v/>
      </c>
      <c r="MU53" s="152">
        <f>IFERROR(VLOOKUP($MH53,$AV$2:$AZ$84,2,FALSE),"")</f>
        <v/>
      </c>
      <c r="MV53" s="152">
        <f>IFERROR(VLOOKUP($MI53,$AV$2:$AZ$84,2,FALSE),"")</f>
        <v/>
      </c>
      <c r="MW53" s="152">
        <f>IFERROR(VLOOKUP($MJ53,$AV$2:$AZ$84,2,FALSE),"")</f>
        <v/>
      </c>
      <c r="MX53" s="152">
        <f>IFERROR(VLOOKUP($MK53,$AV$2:$AZ$84,2,FALSE),"")</f>
        <v/>
      </c>
      <c r="MY53" s="152">
        <f>IFERROR(VLOOKUP($MH53,$AV$2:$AZ$84,3,FALSE),0)</f>
        <v/>
      </c>
      <c r="MZ53" s="152">
        <f>IFERROR(VLOOKUP($MI53,$AV$2:$AZ$84,3,FALSE),0)</f>
        <v/>
      </c>
      <c r="NA53" s="152">
        <f>IFERROR(VLOOKUP($MJ53,$AV$2:$AZ$84,3,FALSE),0)</f>
        <v/>
      </c>
      <c r="NB53" s="152">
        <f>IFERROR(VLOOKUP($MK53,$AV$2:$AZ$84,3,FALSE),0)</f>
        <v/>
      </c>
      <c r="NC53" s="152">
        <f>IF($MC53=0,0,IF($MT53=0,0,INDEX($X$2:$X$11,$MT53)))</f>
        <v/>
      </c>
      <c r="ND53" s="152">
        <f>IF(OR($MY53=0,$MC53=0),0,$MY53+3*IF(AND($MU53&lt;&gt;"",OR($MU53=INDEX($ED$2:$ED$13,$LY53),$MU53=INDEX($EE$2:$EE$13,$LY53))),1,0))</f>
        <v/>
      </c>
      <c r="NE53" s="152">
        <f>IF(OR($MZ53=0,$MC53=0),0,$MZ53+3*IF(AND($MV53&lt;&gt;"",OR($MV53=INDEX($ED$2:$ED$13,$LY53),$MV53=INDEX($EE$2:$EE$13,$LY53))),1,0))</f>
        <v/>
      </c>
      <c r="NF53" s="152">
        <f>IF(OR($NA53=0,$MC53=0),0,$NA53+3*IF(AND($MW53&lt;&gt;"",OR($MW53=INDEX($ED$2:$ED$13,$LY53),$MW53=INDEX($EE$2:$EE$13,$LY53))),1,0))</f>
        <v/>
      </c>
      <c r="NG53" s="152">
        <f>IF(OR($NB53=0,$MC53=0),0,$NB53+3*IF(AND($MX53&lt;&gt;"",OR($MX53=INDEX($ED$2:$ED$13,$LY53),$MX53=INDEX($EE$2:$EE$13,$LY53))),1,0))</f>
        <v/>
      </c>
      <c r="NH53" s="152">
        <f>IF($MT53=0,0,IF(INDEX($W$2:$W$11,$MT53)="",0,IF(COUNTIF(INDEX($ED$2:$EH$13,$LY53,0),INDEX($W$2:$W$11,$MT53))=0,1,0)))</f>
        <v/>
      </c>
      <c r="NI53" s="152">
        <f>IF(OR($MY53=0,$MU53=""),0,IF(COUNTIF(INDEX($ED$2:$EH$13,$LY53,0),$MU53)=0,1,0))</f>
        <v/>
      </c>
      <c r="NJ53" s="152">
        <f>IF(OR($MZ53=0,$MV53=""),0,IF(COUNTIF(INDEX($ED$2:$EH$13,$LY53,0),$MV53)=0,1,0))</f>
        <v/>
      </c>
      <c r="NK53" s="152">
        <f>IF(OR($NA53=0,$MW53=""),0,IF(COUNTIF(INDEX($ED$2:$EH$13,$LY53,0),$MW53)=0,1,0))</f>
        <v/>
      </c>
      <c r="NL53" s="152">
        <f>IF(OR($NB53=0,$MX53=""),0,IF(COUNTIF(INDEX($ED$2:$EH$13,$LY53,0),$MX53)=0,1,0))</f>
        <v/>
      </c>
      <c r="NM53" s="152">
        <f>IFERROR(VLOOKUP($MH53,$AV$2:$AZ$84,4,FALSE),0)+IFERROR(VLOOKUP($MI53,$AV$2:$AZ$84,4,FALSE),0)+IFERROR(VLOOKUP($MJ53,$AV$2:$AZ$84,4,FALSE),0)+IFERROR(VLOOKUP($MK53,$AV$2:$AZ$84,4,FALSE),0)</f>
        <v/>
      </c>
      <c r="NN53" s="152">
        <f>TEXTJOIN(", ",TRUE,IF(IFERROR(VLOOKUP($MH53,$AV$2:$AZ$84,5,FALSE),0)=1,$MH53,""),IF(IFERROR(VLOOKUP($MI53,$AV$2:$AZ$84,5,FALSE),0)=1,$MI53,""),IF(IFERROR(VLOOKUP($MJ53,$AV$2:$AZ$84,5,FALSE),0)=1,$MJ53,""),IF(IFERROR(VLOOKUP($MK53,$AV$2:$AZ$84,5,FALSE),0)=1,$MK53,""))</f>
        <v/>
      </c>
      <c r="NO53" s="152">
        <f>IF($MT53=0,0,INDEX($Y$2:$Y$11,$MT53))</f>
        <v/>
      </c>
      <c r="NP53" s="152">
        <f>IF($MT53=0,0,INDEX($Z$2:$Z$11,$MT53))</f>
        <v/>
      </c>
      <c r="NQ53" s="152">
        <f>IF($MT53=0,0,INDEX($AB$2:$AB$11,$MT53))</f>
        <v/>
      </c>
      <c r="NR53" s="152">
        <f>IFERROR(VLOOKUP($ML53,$BB$2:$BF$24,3,FALSE),0)</f>
        <v/>
      </c>
      <c r="NS53" s="152">
        <f>IFERROR(VLOOKUP($MM53,$BB$2:$BF$24,3,FALSE),0)</f>
        <v/>
      </c>
      <c r="NT53" s="152">
        <f>IFERROR(VLOOKUP($ML53,$BB$2:$BF$24,2,FALSE),"")</f>
        <v/>
      </c>
      <c r="NU53" s="152">
        <f>IFERROR(VLOOKUP($MM53,$BB$2:$BF$24,2,FALSE),"")</f>
        <v/>
      </c>
      <c r="NV53" s="152">
        <f>COUNTIF($NC53:$NG53,1)</f>
        <v/>
      </c>
      <c r="NW53" s="152">
        <f>COUNTIF($NC53:$NG53,2)</f>
        <v/>
      </c>
      <c r="NX53" s="152">
        <f>COUNTIF($NC53:$NG53,3)</f>
        <v/>
      </c>
      <c r="NY53" s="152">
        <f>COUNTIF($NC53:$NG53,4)</f>
        <v/>
      </c>
      <c r="NZ53" s="152">
        <f>COUNTIF($NC53:$NG53,5)</f>
        <v/>
      </c>
      <c r="OA53" s="152">
        <f>COUNTIF($NC53:$NG53,6)</f>
        <v/>
      </c>
      <c r="OB53" s="152">
        <f>COUNTIF($NR53:$NS53,1)</f>
        <v/>
      </c>
      <c r="OC53" s="152">
        <f>COUNTIF($NR53:$NS53,2)+$NO53</f>
        <v/>
      </c>
      <c r="OD53" s="152">
        <f>COUNTIF($MH53:$MK53,"?*")</f>
        <v/>
      </c>
      <c r="OE53" s="152">
        <f>COUNTIF($ML53:$MM53,"?*")+$NO53</f>
        <v/>
      </c>
      <c r="OF53" s="152">
        <f>IF($MC53=0,0,SUMPRODUCT($NV53:$OA53,INDEX($I$2:$N$8,MAX(1,$MC53),0)))</f>
        <v/>
      </c>
      <c r="OG53" s="152">
        <f>IF($MC53=0,0,$OB53*CEILING($MC53/2,1)+$OC53*$MC53)</f>
        <v/>
      </c>
      <c r="OH53" s="152">
        <f>MIN(2*$MC53,$OG53)</f>
        <v/>
      </c>
      <c r="OI53" s="152">
        <f>MIN($OH53,$OF53)</f>
        <v/>
      </c>
      <c r="OJ53" s="152">
        <f>$OH53-$OI53</f>
        <v/>
      </c>
      <c r="OK53" s="152">
        <f>IF($MC53=0,0,INDEX($P$2:$P$8,MAX(1,$MC53)))</f>
        <v/>
      </c>
      <c r="OL53" s="152">
        <f>$OK53-$OF53+$OI53</f>
        <v/>
      </c>
      <c r="OM53" s="152">
        <f>IF($MC53=0,MAX(0,$MQ53-IF($OD53&gt;0,1,0)),MAX(0,$OL53))</f>
        <v/>
      </c>
      <c r="ON53" s="152">
        <f>IF($MC53=0,0,(IF(COUNTIF($MH53:$MK53,"Salto")&gt;0,1,0)+IF(COUNTIF($MH53:$MK53,"Queima")&gt;0,1,0)+IF(COUNTIF($MH53:$MK53,"Estilhaço")&gt;0,1,0))*FLOOR($OM53/2,1))</f>
        <v/>
      </c>
      <c r="OO53" s="152">
        <f>MAX(0,2-SUMPRODUCT($NV53:$OA53,$I$2:$N$2)+MIN(2,$OB53*1+$OC53*1,SUMPRODUCT($NV53:$OA53,$I$2:$N$2)))</f>
        <v/>
      </c>
      <c r="OP53" s="152">
        <f>MAX(0,4-SUMPRODUCT($NV53:$OA53,$I$3:$N$3)+MIN(4,$OB53*1+$OC53*2,SUMPRODUCT($NV53:$OA53,$I$3:$N$3)))</f>
        <v/>
      </c>
      <c r="OQ53" s="152">
        <f>MAX(0,6-SUMPRODUCT($NV53:$OA53,$I$4:$N$4)+MIN(6,$OB53*2+$OC53*3,SUMPRODUCT($NV53:$OA53,$I$4:$N$4)))</f>
        <v/>
      </c>
      <c r="OR53" s="152">
        <f>MAX(0,9-SUMPRODUCT($NV53:$OA53,$I$5:$N$5)+MIN(8,$OB53*2+$OC53*4,SUMPRODUCT($NV53:$OA53,$I$5:$N$5)))</f>
        <v/>
      </c>
      <c r="OS53" s="152">
        <f>MAX(0,11-SUMPRODUCT($NV53:$OA53,$I$6:$N$6)+MIN(10,$OB53*3+$OC53*5,SUMPRODUCT($NV53:$OA53,$I$6:$N$6)))</f>
        <v/>
      </c>
      <c r="OT53" s="152">
        <f>MAX(0,13-SUMPRODUCT($NV53:$OA53,$I$7:$N$7)+MIN(12,$OB53*3+$OC53*6,SUMPRODUCT($NV53:$OA53,$I$7:$N$7)))</f>
        <v/>
      </c>
      <c r="OU53" s="152">
        <f>MAX(0,16-SUMPRODUCT($NV53:$OA53,$I$8:$N$8)+MIN(14,$OB53*4+$OC53*7,SUMPRODUCT($NV53:$OA53,$I$8:$N$8)))</f>
        <v/>
      </c>
      <c r="OV53" s="152">
        <f>IF($NP53=2,3*$OO53&amp;" de vida temp.",IF($NP53=3,"sem dano",IF($OO53=0,IF($NP53=1,"sem cura","sem dano"),IF($NP53=1,"cura ","")&amp;$OO53&amp;"d8")))</f>
        <v/>
      </c>
      <c r="OW53" s="152">
        <f>IF($NP53=2,3*$OP53&amp;" de vida temp.",IF($NP53=3,"sem dano",IF($OP53=0,IF($NP53=1,"sem cura","sem dano"),IF($NP53=1,"cura ","")&amp;$OP53&amp;"d8")))</f>
        <v/>
      </c>
      <c r="OX53" s="152">
        <f>IF($NP53=2,3*$OQ53&amp;" de vida temp.",IF($NP53=3,"sem dano",IF($OQ53=0,IF($NP53=1,"sem cura","sem dano"),IF($NP53=1,"cura ","")&amp;$OQ53&amp;"d8")))</f>
        <v/>
      </c>
      <c r="OY53" s="152">
        <f>IF($NP53=2,3*$OR53&amp;" de vida temp.",IF($NP53=3,"sem dano",IF($OR53=0,IF($NP53=1,"sem cura","sem dano"),IF($NP53=1,"cura ","")&amp;$OR53&amp;"d8")))</f>
        <v/>
      </c>
      <c r="OZ53" s="152">
        <f>IF($NP53=2,3*$OS53&amp;" de vida temp.",IF($NP53=3,"sem dano",IF($OS53=0,IF($NP53=1,"sem cura","sem dano"),IF($NP53=1,"cura ","")&amp;$OS53&amp;"d8")))</f>
        <v/>
      </c>
      <c r="PA53" s="152">
        <f>IF($NP53=2,3*$OT53&amp;" de vida temp.",IF($NP53=3,"sem dano",IF($OT53=0,IF($NP53=1,"sem cura","sem dano"),IF($NP53=1,"cura ","")&amp;$OT53&amp;"d8")))</f>
        <v/>
      </c>
      <c r="PB53" s="152">
        <f>IF($NP53=2,3*$OU53&amp;" de vida temp.",IF($NP53=3,"sem dano",IF($OU53=0,IF($NP53=1,"sem cura","sem dano"),IF($NP53=1,"cura ","")&amp;$OU53&amp;"d8")))</f>
        <v/>
      </c>
      <c r="PC53" s="152">
        <f>IF($MN53=0,"",TEXTJOIN(" · ",TRUE,IF($MA53&gt;$MO53,"Este lugar abre no nível "&amp;$MA53,""),IF($MC53&gt;$MP53,"Classe "&amp;$MC53&amp;": o nível "&amp;$MO53&amp;" libera até a "&amp;$MP53,""),IF($NH53=1,"A Forma "&amp;$ME53&amp;" pede "&amp;INDEX($W$2:$W$11,$MT53)&amp;" aberta",""),IF(AND($MC53=0,$MT53&gt;0,IF($MT53=0,0,INDEX($AF$2:$AF$11,$MT53))=0),$ME53&amp;" não existe na Classe 0",""),IF($NI53=1,"Família Fechada: "&amp;$MH53,""),IF($NJ53=1,"Família Fechada: "&amp;$MI53,""),IF($NK53=1,"Família Fechada: "&amp;$MJ53,""),IF($NL53=1,"Família Fechada: "&amp;$MK53,""),IF(AND($MC53&gt;0,$OD53&gt;INDEX($O$2:$O$8,MAX(1,$MC53))),$OD53&amp;" Melhorias: a Classe "&amp;$MC53&amp;" aceita "&amp;INDEX($O$2:$O$8,MAX(1,$MC53)),""),IF(AND($MC53=0,$OD53&gt;1),"A básica aceita uma Melhoria",""),IF(AND($MC53=0,COUNTIF($MY53:$NB53,"&gt;1")&gt;0),"A básica só aceita Melhoria Leve",""),IF(AND($MC53&gt;0,$OE53&gt;2),$OE53&amp;" Restrições"&amp;IF($NO53=1,", contando a que a Forma "&amp;$ME53&amp;" já traz","")&amp;": o limite é 2",""),IF(AND($MC53=0,COUNTIF($ML53:$MM53,"?*")&gt;1),"A básica aceita uma Restrição Leve",""),IF(AND($MC53=0,COUNTIF($NR53:$NS53,2)&gt;0),"A básica só aceita Restrição Leve",""),IF(AND($MC53&gt;0,$OL53&lt;0),"Orçamento estourado: faltam "&amp;(-$OL53)&amp;IF($OL53&lt;-1," pontos"," ponto"),""),IF(IFERROR(VLOOKUP($ML53,$BB$2:$BF$24,4,FALSE),0)+IFERROR(VLOOKUP($MM53,$BB$2:$BF$24,4,FALSE),0)&gt;1,$NT53&amp;" e "&amp;$NU53&amp;" são as duas de frequência",""),IF(AND((COUNTIF($MH53:$MK53,"Rápido")+COUNTIF($NT53:$NU53,"Rápido"))&gt;0,(COUNTIF($MH53:$MK53,"Atrasar")+COUNTIF($NT53:$NU53,"Atrasar"))&gt;0),"Rápido não entra com Atrasar",""),IF(AND((COUNTIF($MH53:$MK53,"Reação")+COUNTIF($NT53:$NU53,"Reação"))&gt;0,(COUNTIF($MH53:$MK53,"Rápido")+COUNTIF($NT53:$NU53,"Rápido"))&gt;0),"Reação não entra com Rápido",""),IF(AND((COUNTIF($MH53:$MK53,"Reação")+COUNTIF($NT53:$NU53,"Reação"))&gt;0,(COUNTIF($MH53:$MK53,"Armado")+COUNTIF($NT53:$NU53,"Armado"))&gt;0),"Reação não entra com Armado",""),IF(AND((COUNTIF($MH53:$MK53,"Reação")+COUNTIF($NT53:$NU53,"Reação"))&gt;0,(COUNTIF($MH53:$MK53,"Atrasar")+COUNTIF($NT53:$NU53,"Atrasar"))&gt;0),"Reação não entra com Atrasar",""),IF(AND((COUNTIF($MH53:$MK53,"Reação")+COUNTIF($NT53:$NU53,"Reação"))&gt;0,(COUNTIF($MH53:$MK53,"Parado")+COUNTIF($NT53:$NU53,"Parado"))&gt;0),"Reação não entra com Parado",""),IF(AND((COUNTIF($MH53:$MK53,"Atrasar")+COUNTIF($NT53:$NU53,"Atrasar"))&gt;0,(COUNTIF($MH53:$MK53,"Parado")+COUNTIF($NT53:$NU53,"Parado"))&gt;0),"Atrasar não entra com Parado",""),IF(AND((COUNTIF($MH53:$MK53,"Armado")+COUNTIF($NT53:$NU53,"Armado"))&gt;0,(COUNTIF($MH53:$MK53,"Carregar")+COUNTIF($NT53:$NU53,"Carregar"))&gt;0),"Armado não entra com Carregar",""),IF(AND(COUNTIF($NT53:$NU53,"Corpo a Corpo")&gt;0,$NO53=0,OR($ME53="Cone",$ME53="Linha")),"Corpo a Corpo não entra em "&amp;$ME53,""),IF(AND(COUNTIF($NT53:$NU53,"Corpo a Corpo")&gt;0,$NO53=1),"A Forma "&amp;$ME53&amp;" já traz o Corpo a Corpo",""),IF(AND(COUNTIF($NT53:$NU53,"Tudo ou Nada")&gt;0,$NQ53=0),"Tudo ou Nada só entra em habilidade de Teste de Resistência",""),IF(AND(COUNTIF($MH53:$MK53,"Inescapável")&gt;0,OR($OD53&gt;1,$OE53&gt;0)),"Inescapável não aceita outra peça",""),IF(AND($MC53&gt;0,$OM53*IF(COUNTIF($MH53:$MK53,"Remate")&gt;0,1.25,1)+$ON53&gt;4*$MC53),($OM53*IF(COUNTIF($MH53:$MK53,"Remate")&gt;0,1.25,1)+$ON53)&amp;" dados somando repetições"&amp;IF(COUNTIF($MH53:$MK53,"Remate")&gt;0," e o Remate","")&amp;": o teto da Classe "&amp;$MC53&amp;" é "&amp;4*$MC53,"")))</f>
        <v/>
      </c>
      <c r="PD53" s="152">
        <f>IF($PC53="",0,(LEN($PC53)-LEN(SUBSTITUTE($PC53," · ","")))/3+1)</f>
        <v/>
      </c>
      <c r="PE53" s="152">
        <f>IF($MN53=0,"",TEXTJOIN(" · ",TRUE,IF($OG53&gt;2*$MC53,"A devolução parou no teto de "&amp;2*$MC53,""),IF($OJ53&gt;0,"Devolução perdida: "&amp;$OJ53&amp;IF($OJ53&gt;1," pontos"," ponto")&amp;" sem peça para pagar",""),IF(AND($NM53&gt;0,AND($MC53&gt;0,$NP53=0),$OM53=0),"Controle sem dano: uma rodada a mais e CD +2",""),IF(AND($NM53&gt;0,AND($MC53&gt;0,$NP53=0),$OM53&gt;0,$OM53&lt;=$MC53),"Controle com saldo até a Classe: uma rodada a mais",""),IF(AND($MC53&gt;0,$NN53&lt;&gt;""),"Efeito de "&amp;$NN53&amp;" pela Classe "&amp;MAX(1,$MC53-1),"")))</f>
        <v/>
      </c>
      <c r="PF53" s="152">
        <f>IF($PE53="",0,(LEN($PE53)-LEN(SUBSTITUTE($PE53," · ","")))/3+1)</f>
        <v/>
      </c>
      <c r="PG53" s="152">
        <f>IF($MN53=0,IF($OD53+COUNTIF($ML53:$MM53,"?*")&gt;0,"Dê um nome",""),IF($PD53&gt;0,"⚠ "&amp;$PD53&amp;IF($PD53&gt;1," erros"," erro"),IF($PF53&gt;0,"! "&amp;$PF53&amp;IF($PF53&gt;1," avisos"," aviso"),"Na regra")))</f>
        <v/>
      </c>
      <c r="PH53" s="152">
        <f>IF($MN53=0,"",IF($PD53+$PF53=0,"Dentro das regras que a ficha confere",$PC53&amp;IF(AND($PD53&gt;0,$PF53&gt;0)," · ","")&amp;$PE53))</f>
        <v/>
      </c>
      <c r="PI53" s="152">
        <f>IF($MA53&gt;$MO53,$MB53&amp;" · ABRE NO NÍVEL "&amp;$MA53,$MB53)</f>
        <v/>
      </c>
      <c r="PJ53" s="152">
        <f>IF($MN53=0,"",IF($MC53=0,"Sem PE",3*$MC53&amp;" PE"))</f>
        <v/>
      </c>
      <c r="PK53" s="152">
        <f>IF($MN53=0,"",IF($MC53=0,"A atuação básica dela",IF(COUNTIF($NT53:$NU53,"Atrasar")&gt;0,"Sua Ação Completa",IF(COUNTIF($MH53:$MK53,"Rápido")&gt;0,"Sua Bônus",IF(COUNTIF($MH53:$MK53,"Reação")&gt;0,"Sua Reação","Sua Padrão")))&amp;" + a básica dela"&amp;IF(COUNTIF($MH53:$MK53,"Reação")&gt;0," e a coletiva","")&amp;IF(COUNTIF($NT53:$NU53,"Carregar")&gt;0," · em dois turnos","")))</f>
        <v/>
      </c>
      <c r="PL53" s="152">
        <f>IF($MG53&lt;&gt;"",$MG53,IF($MT53=0,"",INDEX($AA$2:$AA$11,$MT53)))</f>
        <v/>
      </c>
      <c r="PM53" s="152">
        <f>IF(OR($MN53=0,$MT53=0),"",IF(COUNTIF($MH53:$MK53,"Inescapável")&gt;0,"Automático",IF($PL53="Ataque",IF($MR53="","Ataque","Ataque "&amp;IF(($MR53+2*IF(COUNTIF($MH53:$MK53,"Precisão")&gt;0,1,0))&gt;=0,"+","−")&amp;ABS(($MR53+2*IF(COUNTIF($MH53:$MK53,"Precisão")&gt;0,1,0)))),IF(LEFT($PL53,2)="TR",$PL53&amp;IF($MS53="",""," · CD "&amp;$MS53)&amp;IF(COUNTIF($MH53:$MK53,"Certeiro")&gt;0," · metade",""),"Sem rolagem"))))</f>
        <v/>
      </c>
      <c r="PN53" s="152">
        <f>IF(OR($MN53=0,$MT53=0),"",IF($MC53=0,IF(OR($NP53&gt;=1,$OM53=0),"Sem dano",$OM53&amp;"d6"&amp;IF($MF53="",""," "&amp;$MF53)),IF(OR($NP53&gt;=1,$OM53=0),UPPER(LEFT(INDEX($OV53:$PB53,1,MAX(1,$MC53)),1))&amp;MID(INDEX($OV53:$PB53,1,MAX(1,$MC53)),2,99),UPPER(LEFT(INDEX($OV53:$PB53,1,MAX(1,$MC53)),1))&amp;MID(INDEX($OV53:$PB53,1,MAX(1,$MC53)),2,99)&amp;IF($MF53="",""," "&amp;$MF53)&amp;IF($ON53&gt;0," · +"&amp;$ON53&amp;"d8",""))))</f>
        <v/>
      </c>
      <c r="PO53" s="152">
        <f>COUNTIF($MH53:$MK53,"Longe")+3*COUNTIF($MH53:$MK53,"Muito Longe")</f>
        <v/>
      </c>
      <c r="PP53" s="152">
        <f>COUNTIF($MH53:$MK53,"Maior")+3*COUNTIF($MH53:$MK53,"Muito Maior")</f>
        <v/>
      </c>
      <c r="PQ53" s="152">
        <f>IF($MT53=0,0,CHOOSE(1+INDEX($AC$2:$AC$11,$MT53),0,$PO53,$PP53,$PO53+$PP53))</f>
        <v/>
      </c>
      <c r="PR53" s="152">
        <f>IF($MT53=0,0,CHOOSE(1+INDEX($AD$2:$AD$11,$MT53),0,$PO53,$PP53,$PO53+$PP53))</f>
        <v/>
      </c>
      <c r="PS53" s="152">
        <f>IF(OR($MN53=0,$MT53=0),"",INDEX($AI$2:$AN$41,($MT53-1)*4+IF($MC53=0,1,IF($MC53&lt;=5,2,IF($MC53=6,3,4))),1+MIN(5,$PQ53))&amp;INDEX($AO$2:$AT$41,($MT53-1)*4+IF($MC53=0,1,IF($MC53&lt;=5,2,IF($MC53=6,3,4))),1+MIN(5,$PR53))&amp;IF(INDEX($AE$2:$AE$11,$MT53)=1,IF(COUNTIF($MH53:$MK53,"Mais Um")&gt;0," · +"&amp;COUNTIF($MH53:$MK53,"Mais Um")&amp;IF(COUNTIF($MH53:$MK53,"Mais Um")&gt;1," alvos"," alvo"),"")&amp;IF(COUNTIF($MH53:$MK53,"Rajada")&gt;0,IF($MC53=0," · 1 tiro"," · "&amp;(MAX(1,$MC53-1)+1)&amp;" tiros"),""),""))</f>
        <v/>
      </c>
      <c r="PT53" s="152">
        <f>IF($MN53=0,"",IF($MC53=0,$MQ53&amp;"d6"&amp;IF($OD53&gt;0," − 1 = "&amp;$OM53&amp;"d6"," da básica do nível "&amp;$MO53),$OK53&amp;" − "&amp;$OF53&amp;" + "&amp;$OI53&amp;" = "&amp;$OL53&amp;" · teto "&amp;4*$MC53&amp;"d8"&amp;IF($NO53=1," · a Forma devolve "&amp;$MC53,"")&amp;IF($OJ53&gt;0," · perde "&amp;$OJ53,"")))</f>
        <v/>
      </c>
      <c r="PU53" s="152">
        <f>IF($MN53=0,"",IF($MC53=0,"A básica não amplia: os dados dela sobem com o nível",IF($MC53&gt;=$MP53,"Já está na maior Classe que o nível liberou",TEXTJOIN(" · ",TRUE,IF(AND(2&gt;$MC53,2&lt;=$MP53),"2 → "&amp;$OW53&amp;", 6 PE",""),IF(AND(3&gt;$MC53,3&lt;=$MP53),"3 → "&amp;$OX53&amp;", 9 PE",""),IF(AND(4&gt;$MC53,4&lt;=$MP53),"4 → "&amp;$OY53&amp;", 12 PE",""),IF(AND(5&gt;$MC53,5&lt;=$MP53),"5 → "&amp;$OZ53&amp;", 15 PE",""),IF(AND(6&gt;$MC53,6&lt;=$MP53),"6 → "&amp;$PA53&amp;", 18 PE",""),IF(AND(7&gt;$MC53,7&lt;=$MP53),"7 → "&amp;$PB53&amp;", 21 PE","")))))</f>
        <v/>
      </c>
      <c r="PV53" s="152">
        <f>IF(OR($MN53=0,$MY53=0),"",IF($MC53=0,"−1 dado","−"&amp;INDEX($I$2:$N$8,MAX(1,$MC53),MAX(1,$ND53))&amp;" · "&amp;CHOOSE(MAX(1,$ND53),"Leve","Média","Pesada","Leve · Livre","Média · Livre","Pesada · Livre")))</f>
        <v/>
      </c>
      <c r="PW53" s="152">
        <f>IF(OR($MN53=0,$MZ53=0),"",IF($MC53=0,"−1 dado","−"&amp;INDEX($I$2:$N$8,MAX(1,$MC53),MAX(1,$NE53))&amp;" · "&amp;CHOOSE(MAX(1,$NE53),"Leve","Média","Pesada","Leve · Livre","Média · Livre","Pesada · Livre")))</f>
        <v/>
      </c>
      <c r="PX53" s="152">
        <f>IF(OR($MN53=0,$NA53=0),"",IF($MC53=0,"−1 dado","−"&amp;INDEX($I$2:$N$8,MAX(1,$MC53),MAX(1,$NF53))&amp;" · "&amp;CHOOSE(MAX(1,$NF53),"Leve","Média","Pesada","Leve · Livre","Média · Livre","Pesada · Livre")))</f>
        <v/>
      </c>
      <c r="PY53" s="152">
        <f>IF(OR($MN53=0,$NB53=0),"",IF($MC53=0,"−1 dado","−"&amp;INDEX($I$2:$N$8,MAX(1,$MC53),MAX(1,$NG53))&amp;" · "&amp;CHOOSE(MAX(1,$NG53),"Leve","Média","Pesada","Leve · Livre","Média · Livre","Pesada · Livre")))</f>
        <v/>
      </c>
      <c r="PZ53" s="152">
        <f>IF(OR($MN53=0,$ML53=""),"",IF($MC53=0,"não devolve","+"&amp;IF($NR53=1,CEILING($MC53/2,1),$MC53)))</f>
        <v/>
      </c>
      <c r="QA53" s="152">
        <f>IF(OR($MN53=0,$MM53=""),"",IF($MC53=0,"não devolve","+"&amp;IF($NS53=1,CEILING($MC53/2,1),$MC53)))</f>
        <v/>
      </c>
    </row>
    <row r="54">
      <c r="AV54" s="150" t="inlineStr">
        <is>
          <t>Acúmulo</t>
        </is>
      </c>
      <c r="AW54" s="150" t="inlineStr">
        <is>
          <t>Castigo</t>
        </is>
      </c>
      <c r="AX54" s="152" t="n">
        <v>2</v>
      </c>
      <c r="AY54" s="152" t="n">
        <v>0</v>
      </c>
      <c r="AZ54" s="152" t="n">
        <v>0</v>
      </c>
      <c r="JD54" s="152">
        <f>IF(OR($AW54="",COUNTIF($ED$2:$EH$2,$AW54)&gt;0),$AV54,"")</f>
        <v/>
      </c>
      <c r="JE54" s="152">
        <f>IF(AND($AX54=1,OR($AW54="",COUNTIF($ED$2:$EH$2,$AW54)&gt;0)),$AV54,"")</f>
        <v/>
      </c>
      <c r="JJ54" s="152">
        <f>IF(OR($AW54="",COUNTIF($ED$3:$EH$3,$AW54)&gt;0),$AV54,"")</f>
        <v/>
      </c>
      <c r="JK54" s="152">
        <f>IF(AND($AX54=1,OR($AW54="",COUNTIF($ED$3:$EH$3,$AW54)&gt;0)),$AV54,"")</f>
        <v/>
      </c>
      <c r="JP54" s="152">
        <f>IF(OR($AW54="",COUNTIF($ED$4:$EH$4,$AW54)&gt;0),$AV54,"")</f>
        <v/>
      </c>
      <c r="JQ54" s="152">
        <f>IF(AND($AX54=1,OR($AW54="",COUNTIF($ED$4:$EH$4,$AW54)&gt;0)),$AV54,"")</f>
        <v/>
      </c>
      <c r="JV54" s="152">
        <f>IF(OR($AW54="",COUNTIF($ED$5:$EH$5,$AW54)&gt;0),$AV54,"")</f>
        <v/>
      </c>
      <c r="JW54" s="152">
        <f>IF(AND($AX54=1,OR($AW54="",COUNTIF($ED$5:$EH$5,$AW54)&gt;0)),$AV54,"")</f>
        <v/>
      </c>
      <c r="KB54" s="152">
        <f>IF(OR($AW54="",COUNTIF($ED$6:$EH$6,$AW54)&gt;0),$AV54,"")</f>
        <v/>
      </c>
      <c r="KC54" s="152">
        <f>IF(AND($AX54=1,OR($AW54="",COUNTIF($ED$6:$EH$6,$AW54)&gt;0)),$AV54,"")</f>
        <v/>
      </c>
      <c r="KH54" s="152">
        <f>IF(OR($AW54="",COUNTIF($ED$7:$EH$7,$AW54)&gt;0),$AV54,"")</f>
        <v/>
      </c>
      <c r="KI54" s="152">
        <f>IF(AND($AX54=1,OR($AW54="",COUNTIF($ED$7:$EH$7,$AW54)&gt;0)),$AV54,"")</f>
        <v/>
      </c>
      <c r="KN54" s="152">
        <f>IF(OR($AW54="",COUNTIF($ED$8:$EH$8,$AW54)&gt;0),$AV54,"")</f>
        <v/>
      </c>
      <c r="KO54" s="152">
        <f>IF(AND($AX54=1,OR($AW54="",COUNTIF($ED$8:$EH$8,$AW54)&gt;0)),$AV54,"")</f>
        <v/>
      </c>
      <c r="KT54" s="152">
        <f>IF(OR($AW54="",COUNTIF($ED$9:$EH$9,$AW54)&gt;0),$AV54,"")</f>
        <v/>
      </c>
      <c r="KU54" s="152">
        <f>IF(AND($AX54=1,OR($AW54="",COUNTIF($ED$9:$EH$9,$AW54)&gt;0)),$AV54,"")</f>
        <v/>
      </c>
      <c r="KZ54" s="152">
        <f>IF(OR($AW54="",COUNTIF($ED$10:$EH$10,$AW54)&gt;0),$AV54,"")</f>
        <v/>
      </c>
      <c r="LA54" s="152">
        <f>IF(AND($AX54=1,OR($AW54="",COUNTIF($ED$10:$EH$10,$AW54)&gt;0)),$AV54,"")</f>
        <v/>
      </c>
      <c r="LF54" s="152">
        <f>IF(OR($AW54="",COUNTIF($ED$11:$EH$11,$AW54)&gt;0),$AV54,"")</f>
        <v/>
      </c>
      <c r="LG54" s="152">
        <f>IF(AND($AX54=1,OR($AW54="",COUNTIF($ED$11:$EH$11,$AW54)&gt;0)),$AV54,"")</f>
        <v/>
      </c>
      <c r="LL54" s="152">
        <f>IF(OR($AW54="",COUNTIF($ED$12:$EH$12,$AW54)&gt;0),$AV54,"")</f>
        <v/>
      </c>
      <c r="LM54" s="152">
        <f>IF(AND($AX54=1,OR($AW54="",COUNTIF($ED$12:$EH$12,$AW54)&gt;0)),$AV54,"")</f>
        <v/>
      </c>
      <c r="LR54" s="152">
        <f>IF(OR($AW54="",COUNTIF($ED$13:$EH$13,$AW54)&gt;0),$AV54,"")</f>
        <v/>
      </c>
      <c r="LS54" s="152">
        <f>IF(AND($AX54=1,OR($AW54="",COUNTIF($ED$13:$EH$13,$AW54)&gt;0)),$AV54,"")</f>
        <v/>
      </c>
      <c r="LX54" s="150" t="inlineStr">
        <is>
          <t>Ficha 5 · Básica 1</t>
        </is>
      </c>
      <c r="LY54" s="152" t="n">
        <v>5</v>
      </c>
      <c r="LZ54" s="152" t="n">
        <v>0</v>
      </c>
      <c r="MA54" s="152" t="n">
        <v>1</v>
      </c>
      <c r="MB54" s="150" t="inlineStr">
        <is>
          <t>BÁSICA 1</t>
        </is>
      </c>
      <c r="MC54" s="152" t="n">
        <v>0</v>
      </c>
      <c r="MD54" s="152">
        <f>'INVOCAÇÕES'!$J$850&amp;""</f>
        <v/>
      </c>
      <c r="ME54" s="152">
        <f>'INVOCAÇÕES'!$I$855&amp;""</f>
        <v/>
      </c>
      <c r="MF54" s="152">
        <f>'INVOCAÇÕES'!$I$856&amp;""</f>
        <v/>
      </c>
      <c r="MG54" s="152">
        <f>'INVOCAÇÕES'!$K$856&amp;""</f>
        <v/>
      </c>
      <c r="MH54" s="152">
        <f>'INVOCAÇÕES'!$J$859&amp;""</f>
        <v/>
      </c>
      <c r="MI54" s="152">
        <f>'INVOCAÇÕES'!$J$860&amp;""</f>
        <v/>
      </c>
      <c r="MJ54" s="152">
        <f>'INVOCAÇÕES'!$J$861&amp;""</f>
        <v/>
      </c>
      <c r="MK54" s="152">
        <f>'INVOCAÇÕES'!$J$862&amp;""</f>
        <v/>
      </c>
      <c r="ML54" s="152">
        <f>'INVOCAÇÕES'!$J$863&amp;""</f>
        <v/>
      </c>
      <c r="MM54" s="152">
        <f>'INVOCAÇÕES'!$J$864&amp;""</f>
        <v/>
      </c>
      <c r="MN54" s="152">
        <f>IF($MD54&lt;&gt;"",1,0)</f>
        <v/>
      </c>
      <c r="MO54" s="152">
        <f>INDEX($FG$2:$FG$13,$LY54)</f>
        <v/>
      </c>
      <c r="MP54" s="152">
        <f>INDEX($FH$2:$FH$13,$LY54)</f>
        <v/>
      </c>
      <c r="MQ54" s="152">
        <f>INDEX($FI$2:$FI$13,$LY54)</f>
        <v/>
      </c>
      <c r="MR54" s="152">
        <f>INDEX($FT$2:$FT$13,$LY54)</f>
        <v/>
      </c>
      <c r="MS54" s="152">
        <f>INDEX($FU$2:$FU$13,$LY54)</f>
        <v/>
      </c>
      <c r="MT54" s="152">
        <f>IFERROR(MATCH($ME54,$V$2:$V$11,0),0)</f>
        <v/>
      </c>
      <c r="MU54" s="152">
        <f>IFERROR(VLOOKUP($MH54,$AV$2:$AZ$84,2,FALSE),"")</f>
        <v/>
      </c>
      <c r="MV54" s="152">
        <f>IFERROR(VLOOKUP($MI54,$AV$2:$AZ$84,2,FALSE),"")</f>
        <v/>
      </c>
      <c r="MW54" s="152">
        <f>IFERROR(VLOOKUP($MJ54,$AV$2:$AZ$84,2,FALSE),"")</f>
        <v/>
      </c>
      <c r="MX54" s="152">
        <f>IFERROR(VLOOKUP($MK54,$AV$2:$AZ$84,2,FALSE),"")</f>
        <v/>
      </c>
      <c r="MY54" s="152">
        <f>IFERROR(VLOOKUP($MH54,$AV$2:$AZ$84,3,FALSE),0)</f>
        <v/>
      </c>
      <c r="MZ54" s="152">
        <f>IFERROR(VLOOKUP($MI54,$AV$2:$AZ$84,3,FALSE),0)</f>
        <v/>
      </c>
      <c r="NA54" s="152">
        <f>IFERROR(VLOOKUP($MJ54,$AV$2:$AZ$84,3,FALSE),0)</f>
        <v/>
      </c>
      <c r="NB54" s="152">
        <f>IFERROR(VLOOKUP($MK54,$AV$2:$AZ$84,3,FALSE),0)</f>
        <v/>
      </c>
      <c r="NC54" s="152">
        <f>IF($MC54=0,0,IF($MT54=0,0,INDEX($X$2:$X$11,$MT54)))</f>
        <v/>
      </c>
      <c r="ND54" s="152">
        <f>IF(OR($MY54=0,$MC54=0),0,$MY54+3*IF(AND($MU54&lt;&gt;"",OR($MU54=INDEX($ED$2:$ED$13,$LY54),$MU54=INDEX($EE$2:$EE$13,$LY54))),1,0))</f>
        <v/>
      </c>
      <c r="NE54" s="152">
        <f>IF(OR($MZ54=0,$MC54=0),0,$MZ54+3*IF(AND($MV54&lt;&gt;"",OR($MV54=INDEX($ED$2:$ED$13,$LY54),$MV54=INDEX($EE$2:$EE$13,$LY54))),1,0))</f>
        <v/>
      </c>
      <c r="NF54" s="152">
        <f>IF(OR($NA54=0,$MC54=0),0,$NA54+3*IF(AND($MW54&lt;&gt;"",OR($MW54=INDEX($ED$2:$ED$13,$LY54),$MW54=INDEX($EE$2:$EE$13,$LY54))),1,0))</f>
        <v/>
      </c>
      <c r="NG54" s="152">
        <f>IF(OR($NB54=0,$MC54=0),0,$NB54+3*IF(AND($MX54&lt;&gt;"",OR($MX54=INDEX($ED$2:$ED$13,$LY54),$MX54=INDEX($EE$2:$EE$13,$LY54))),1,0))</f>
        <v/>
      </c>
      <c r="NH54" s="152">
        <f>IF($MT54=0,0,IF(INDEX($W$2:$W$11,$MT54)="",0,IF(COUNTIF(INDEX($ED$2:$EH$13,$LY54,0),INDEX($W$2:$W$11,$MT54))=0,1,0)))</f>
        <v/>
      </c>
      <c r="NI54" s="152">
        <f>IF(OR($MY54=0,$MU54=""),0,IF(COUNTIF(INDEX($ED$2:$EH$13,$LY54,0),$MU54)=0,1,0))</f>
        <v/>
      </c>
      <c r="NJ54" s="152">
        <f>IF(OR($MZ54=0,$MV54=""),0,IF(COUNTIF(INDEX($ED$2:$EH$13,$LY54,0),$MV54)=0,1,0))</f>
        <v/>
      </c>
      <c r="NK54" s="152">
        <f>IF(OR($NA54=0,$MW54=""),0,IF(COUNTIF(INDEX($ED$2:$EH$13,$LY54,0),$MW54)=0,1,0))</f>
        <v/>
      </c>
      <c r="NL54" s="152">
        <f>IF(OR($NB54=0,$MX54=""),0,IF(COUNTIF(INDEX($ED$2:$EH$13,$LY54,0),$MX54)=0,1,0))</f>
        <v/>
      </c>
      <c r="NM54" s="152">
        <f>IFERROR(VLOOKUP($MH54,$AV$2:$AZ$84,4,FALSE),0)+IFERROR(VLOOKUP($MI54,$AV$2:$AZ$84,4,FALSE),0)+IFERROR(VLOOKUP($MJ54,$AV$2:$AZ$84,4,FALSE),0)+IFERROR(VLOOKUP($MK54,$AV$2:$AZ$84,4,FALSE),0)</f>
        <v/>
      </c>
      <c r="NN54" s="152">
        <f>TEXTJOIN(", ",TRUE,IF(IFERROR(VLOOKUP($MH54,$AV$2:$AZ$84,5,FALSE),0)=1,$MH54,""),IF(IFERROR(VLOOKUP($MI54,$AV$2:$AZ$84,5,FALSE),0)=1,$MI54,""),IF(IFERROR(VLOOKUP($MJ54,$AV$2:$AZ$84,5,FALSE),0)=1,$MJ54,""),IF(IFERROR(VLOOKUP($MK54,$AV$2:$AZ$84,5,FALSE),0)=1,$MK54,""))</f>
        <v/>
      </c>
      <c r="NO54" s="152">
        <f>IF($MT54=0,0,INDEX($Y$2:$Y$11,$MT54))</f>
        <v/>
      </c>
      <c r="NP54" s="152">
        <f>IF($MT54=0,0,INDEX($Z$2:$Z$11,$MT54))</f>
        <v/>
      </c>
      <c r="NQ54" s="152">
        <f>IF($MT54=0,0,INDEX($AB$2:$AB$11,$MT54))</f>
        <v/>
      </c>
      <c r="NR54" s="152">
        <f>IFERROR(VLOOKUP($ML54,$BB$2:$BF$24,3,FALSE),0)</f>
        <v/>
      </c>
      <c r="NS54" s="152">
        <f>IFERROR(VLOOKUP($MM54,$BB$2:$BF$24,3,FALSE),0)</f>
        <v/>
      </c>
      <c r="NT54" s="152">
        <f>IFERROR(VLOOKUP($ML54,$BB$2:$BF$24,2,FALSE),"")</f>
        <v/>
      </c>
      <c r="NU54" s="152">
        <f>IFERROR(VLOOKUP($MM54,$BB$2:$BF$24,2,FALSE),"")</f>
        <v/>
      </c>
      <c r="NV54" s="152">
        <f>COUNTIF($NC54:$NG54,1)</f>
        <v/>
      </c>
      <c r="NW54" s="152">
        <f>COUNTIF($NC54:$NG54,2)</f>
        <v/>
      </c>
      <c r="NX54" s="152">
        <f>COUNTIF($NC54:$NG54,3)</f>
        <v/>
      </c>
      <c r="NY54" s="152">
        <f>COUNTIF($NC54:$NG54,4)</f>
        <v/>
      </c>
      <c r="NZ54" s="152">
        <f>COUNTIF($NC54:$NG54,5)</f>
        <v/>
      </c>
      <c r="OA54" s="152">
        <f>COUNTIF($NC54:$NG54,6)</f>
        <v/>
      </c>
      <c r="OB54" s="152">
        <f>COUNTIF($NR54:$NS54,1)</f>
        <v/>
      </c>
      <c r="OC54" s="152">
        <f>COUNTIF($NR54:$NS54,2)+$NO54</f>
        <v/>
      </c>
      <c r="OD54" s="152">
        <f>COUNTIF($MH54:$MK54,"?*")</f>
        <v/>
      </c>
      <c r="OE54" s="152">
        <f>COUNTIF($ML54:$MM54,"?*")+$NO54</f>
        <v/>
      </c>
      <c r="OF54" s="152">
        <f>IF($MC54=0,0,SUMPRODUCT($NV54:$OA54,INDEX($I$2:$N$8,MAX(1,$MC54),0)))</f>
        <v/>
      </c>
      <c r="OG54" s="152">
        <f>IF($MC54=0,0,$OB54*CEILING($MC54/2,1)+$OC54*$MC54)</f>
        <v/>
      </c>
      <c r="OH54" s="152">
        <f>MIN(2*$MC54,$OG54)</f>
        <v/>
      </c>
      <c r="OI54" s="152">
        <f>MIN($OH54,$OF54)</f>
        <v/>
      </c>
      <c r="OJ54" s="152">
        <f>$OH54-$OI54</f>
        <v/>
      </c>
      <c r="OK54" s="152">
        <f>IF($MC54=0,0,INDEX($P$2:$P$8,MAX(1,$MC54)))</f>
        <v/>
      </c>
      <c r="OL54" s="152">
        <f>$OK54-$OF54+$OI54</f>
        <v/>
      </c>
      <c r="OM54" s="152">
        <f>IF($MC54=0,MAX(0,$MQ54-IF($OD54&gt;0,1,0)),MAX(0,$OL54))</f>
        <v/>
      </c>
      <c r="ON54" s="152">
        <f>IF($MC54=0,0,(IF(COUNTIF($MH54:$MK54,"Salto")&gt;0,1,0)+IF(COUNTIF($MH54:$MK54,"Queima")&gt;0,1,0)+IF(COUNTIF($MH54:$MK54,"Estilhaço")&gt;0,1,0))*FLOOR($OM54/2,1))</f>
        <v/>
      </c>
      <c r="OO54" s="152">
        <f>MAX(0,2-SUMPRODUCT($NV54:$OA54,$I$2:$N$2)+MIN(2,$OB54*1+$OC54*1,SUMPRODUCT($NV54:$OA54,$I$2:$N$2)))</f>
        <v/>
      </c>
      <c r="OP54" s="152">
        <f>MAX(0,4-SUMPRODUCT($NV54:$OA54,$I$3:$N$3)+MIN(4,$OB54*1+$OC54*2,SUMPRODUCT($NV54:$OA54,$I$3:$N$3)))</f>
        <v/>
      </c>
      <c r="OQ54" s="152">
        <f>MAX(0,6-SUMPRODUCT($NV54:$OA54,$I$4:$N$4)+MIN(6,$OB54*2+$OC54*3,SUMPRODUCT($NV54:$OA54,$I$4:$N$4)))</f>
        <v/>
      </c>
      <c r="OR54" s="152">
        <f>MAX(0,9-SUMPRODUCT($NV54:$OA54,$I$5:$N$5)+MIN(8,$OB54*2+$OC54*4,SUMPRODUCT($NV54:$OA54,$I$5:$N$5)))</f>
        <v/>
      </c>
      <c r="OS54" s="152">
        <f>MAX(0,11-SUMPRODUCT($NV54:$OA54,$I$6:$N$6)+MIN(10,$OB54*3+$OC54*5,SUMPRODUCT($NV54:$OA54,$I$6:$N$6)))</f>
        <v/>
      </c>
      <c r="OT54" s="152">
        <f>MAX(0,13-SUMPRODUCT($NV54:$OA54,$I$7:$N$7)+MIN(12,$OB54*3+$OC54*6,SUMPRODUCT($NV54:$OA54,$I$7:$N$7)))</f>
        <v/>
      </c>
      <c r="OU54" s="152">
        <f>MAX(0,16-SUMPRODUCT($NV54:$OA54,$I$8:$N$8)+MIN(14,$OB54*4+$OC54*7,SUMPRODUCT($NV54:$OA54,$I$8:$N$8)))</f>
        <v/>
      </c>
      <c r="OV54" s="152">
        <f>IF($NP54=2,3*$OO54&amp;" de vida temp.",IF($NP54=3,"sem dano",IF($OO54=0,IF($NP54=1,"sem cura","sem dano"),IF($NP54=1,"cura ","")&amp;$OO54&amp;"d8")))</f>
        <v/>
      </c>
      <c r="OW54" s="152">
        <f>IF($NP54=2,3*$OP54&amp;" de vida temp.",IF($NP54=3,"sem dano",IF($OP54=0,IF($NP54=1,"sem cura","sem dano"),IF($NP54=1,"cura ","")&amp;$OP54&amp;"d8")))</f>
        <v/>
      </c>
      <c r="OX54" s="152">
        <f>IF($NP54=2,3*$OQ54&amp;" de vida temp.",IF($NP54=3,"sem dano",IF($OQ54=0,IF($NP54=1,"sem cura","sem dano"),IF($NP54=1,"cura ","")&amp;$OQ54&amp;"d8")))</f>
        <v/>
      </c>
      <c r="OY54" s="152">
        <f>IF($NP54=2,3*$OR54&amp;" de vida temp.",IF($NP54=3,"sem dano",IF($OR54=0,IF($NP54=1,"sem cura","sem dano"),IF($NP54=1,"cura ","")&amp;$OR54&amp;"d8")))</f>
        <v/>
      </c>
      <c r="OZ54" s="152">
        <f>IF($NP54=2,3*$OS54&amp;" de vida temp.",IF($NP54=3,"sem dano",IF($OS54=0,IF($NP54=1,"sem cura","sem dano"),IF($NP54=1,"cura ","")&amp;$OS54&amp;"d8")))</f>
        <v/>
      </c>
      <c r="PA54" s="152">
        <f>IF($NP54=2,3*$OT54&amp;" de vida temp.",IF($NP54=3,"sem dano",IF($OT54=0,IF($NP54=1,"sem cura","sem dano"),IF($NP54=1,"cura ","")&amp;$OT54&amp;"d8")))</f>
        <v/>
      </c>
      <c r="PB54" s="152">
        <f>IF($NP54=2,3*$OU54&amp;" de vida temp.",IF($NP54=3,"sem dano",IF($OU54=0,IF($NP54=1,"sem cura","sem dano"),IF($NP54=1,"cura ","")&amp;$OU54&amp;"d8")))</f>
        <v/>
      </c>
      <c r="PC54" s="152">
        <f>IF($MN54=0,"",TEXTJOIN(" · ",TRUE,IF($MA54&gt;$MO54,"Este lugar abre no nível "&amp;$MA54,""),IF($MC54&gt;$MP54,"Classe "&amp;$MC54&amp;": o nível "&amp;$MO54&amp;" libera até a "&amp;$MP54,""),IF($NH54=1,"A Forma "&amp;$ME54&amp;" pede "&amp;INDEX($W$2:$W$11,$MT54)&amp;" aberta",""),IF(AND($MC54=0,$MT54&gt;0,IF($MT54=0,0,INDEX($AF$2:$AF$11,$MT54))=0),$ME54&amp;" não existe na Classe 0",""),IF($NI54=1,"Família Fechada: "&amp;$MH54,""),IF($NJ54=1,"Família Fechada: "&amp;$MI54,""),IF($NK54=1,"Família Fechada: "&amp;$MJ54,""),IF($NL54=1,"Família Fechada: "&amp;$MK54,""),IF(AND($MC54&gt;0,$OD54&gt;INDEX($O$2:$O$8,MAX(1,$MC54))),$OD54&amp;" Melhorias: a Classe "&amp;$MC54&amp;" aceita "&amp;INDEX($O$2:$O$8,MAX(1,$MC54)),""),IF(AND($MC54=0,$OD54&gt;1),"A básica aceita uma Melhoria",""),IF(AND($MC54=0,COUNTIF($MY54:$NB54,"&gt;1")&gt;0),"A básica só aceita Melhoria Leve",""),IF(AND($MC54&gt;0,$OE54&gt;2),$OE54&amp;" Restrições"&amp;IF($NO54=1,", contando a que a Forma "&amp;$ME54&amp;" já traz","")&amp;": o limite é 2",""),IF(AND($MC54=0,COUNTIF($ML54:$MM54,"?*")&gt;1),"A básica aceita uma Restrição Leve",""),IF(AND($MC54=0,COUNTIF($NR54:$NS54,2)&gt;0),"A básica só aceita Restrição Leve",""),IF(AND($MC54&gt;0,$OL54&lt;0),"Orçamento estourado: faltam "&amp;(-$OL54)&amp;IF($OL54&lt;-1," pontos"," ponto"),""),IF(IFERROR(VLOOKUP($ML54,$BB$2:$BF$24,4,FALSE),0)+IFERROR(VLOOKUP($MM54,$BB$2:$BF$24,4,FALSE),0)&gt;1,$NT54&amp;" e "&amp;$NU54&amp;" são as duas de frequência",""),IF(AND((COUNTIF($MH54:$MK54,"Rápido")+COUNTIF($NT54:$NU54,"Rápido"))&gt;0,(COUNTIF($MH54:$MK54,"Atrasar")+COUNTIF($NT54:$NU54,"Atrasar"))&gt;0),"Rápido não entra com Atrasar",""),IF(AND((COUNTIF($MH54:$MK54,"Reação")+COUNTIF($NT54:$NU54,"Reação"))&gt;0,(COUNTIF($MH54:$MK54,"Rápido")+COUNTIF($NT54:$NU54,"Rápido"))&gt;0),"Reação não entra com Rápido",""),IF(AND((COUNTIF($MH54:$MK54,"Reação")+COUNTIF($NT54:$NU54,"Reação"))&gt;0,(COUNTIF($MH54:$MK54,"Armado")+COUNTIF($NT54:$NU54,"Armado"))&gt;0),"Reação não entra com Armado",""),IF(AND((COUNTIF($MH54:$MK54,"Reação")+COUNTIF($NT54:$NU54,"Reação"))&gt;0,(COUNTIF($MH54:$MK54,"Atrasar")+COUNTIF($NT54:$NU54,"Atrasar"))&gt;0),"Reação não entra com Atrasar",""),IF(AND((COUNTIF($MH54:$MK54,"Reação")+COUNTIF($NT54:$NU54,"Reação"))&gt;0,(COUNTIF($MH54:$MK54,"Parado")+COUNTIF($NT54:$NU54,"Parado"))&gt;0),"Reação não entra com Parado",""),IF(AND((COUNTIF($MH54:$MK54,"Atrasar")+COUNTIF($NT54:$NU54,"Atrasar"))&gt;0,(COUNTIF($MH54:$MK54,"Parado")+COUNTIF($NT54:$NU54,"Parado"))&gt;0),"Atrasar não entra com Parado",""),IF(AND((COUNTIF($MH54:$MK54,"Armado")+COUNTIF($NT54:$NU54,"Armado"))&gt;0,(COUNTIF($MH54:$MK54,"Carregar")+COUNTIF($NT54:$NU54,"Carregar"))&gt;0),"Armado não entra com Carregar",""),IF(AND(COUNTIF($NT54:$NU54,"Corpo a Corpo")&gt;0,$NO54=0,OR($ME54="Cone",$ME54="Linha")),"Corpo a Corpo não entra em "&amp;$ME54,""),IF(AND(COUNTIF($NT54:$NU54,"Corpo a Corpo")&gt;0,$NO54=1),"A Forma "&amp;$ME54&amp;" já traz o Corpo a Corpo",""),IF(AND(COUNTIF($NT54:$NU54,"Tudo ou Nada")&gt;0,$NQ54=0),"Tudo ou Nada só entra em habilidade de Teste de Resistência",""),IF(AND(COUNTIF($MH54:$MK54,"Inescapável")&gt;0,OR($OD54&gt;1,$OE54&gt;0)),"Inescapável não aceita outra peça",""),IF(AND($MC54&gt;0,$OM54*IF(COUNTIF($MH54:$MK54,"Remate")&gt;0,1.25,1)+$ON54&gt;4*$MC54),($OM54*IF(COUNTIF($MH54:$MK54,"Remate")&gt;0,1.25,1)+$ON54)&amp;" dados somando repetições"&amp;IF(COUNTIF($MH54:$MK54,"Remate")&gt;0," e o Remate","")&amp;": o teto da Classe "&amp;$MC54&amp;" é "&amp;4*$MC54,"")))</f>
        <v/>
      </c>
      <c r="PD54" s="152">
        <f>IF($PC54="",0,(LEN($PC54)-LEN(SUBSTITUTE($PC54," · ","")))/3+1)</f>
        <v/>
      </c>
      <c r="PE54" s="152">
        <f>IF($MN54=0,"",TEXTJOIN(" · ",TRUE,IF($OG54&gt;2*$MC54,"A devolução parou no teto de "&amp;2*$MC54,""),IF($OJ54&gt;0,"Devolução perdida: "&amp;$OJ54&amp;IF($OJ54&gt;1," pontos"," ponto")&amp;" sem peça para pagar",""),IF(AND($NM54&gt;0,AND($MC54&gt;0,$NP54=0),$OM54=0),"Controle sem dano: uma rodada a mais e CD +2",""),IF(AND($NM54&gt;0,AND($MC54&gt;0,$NP54=0),$OM54&gt;0,$OM54&lt;=$MC54),"Controle com saldo até a Classe: uma rodada a mais",""),IF(AND($MC54&gt;0,$NN54&lt;&gt;""),"Efeito de "&amp;$NN54&amp;" pela Classe "&amp;MAX(1,$MC54-1),"")))</f>
        <v/>
      </c>
      <c r="PF54" s="152">
        <f>IF($PE54="",0,(LEN($PE54)-LEN(SUBSTITUTE($PE54," · ","")))/3+1)</f>
        <v/>
      </c>
      <c r="PG54" s="152">
        <f>IF($MN54=0,IF($OD54+COUNTIF($ML54:$MM54,"?*")&gt;0,"Dê um nome",""),IF($PD54&gt;0,"⚠ "&amp;$PD54&amp;IF($PD54&gt;1," erros"," erro"),IF($PF54&gt;0,"! "&amp;$PF54&amp;IF($PF54&gt;1," avisos"," aviso"),"Na regra")))</f>
        <v/>
      </c>
      <c r="PH54" s="152">
        <f>IF($MN54=0,"",IF($PD54+$PF54=0,"Dentro das regras que a ficha confere",$PC54&amp;IF(AND($PD54&gt;0,$PF54&gt;0)," · ","")&amp;$PE54))</f>
        <v/>
      </c>
      <c r="PI54" s="152">
        <f>IF($MA54&gt;$MO54,$MB54&amp;" · ABRE NO NÍVEL "&amp;$MA54,$MB54)</f>
        <v/>
      </c>
      <c r="PJ54" s="152">
        <f>IF($MN54=0,"",IF($MC54=0,"Sem PE",3*$MC54&amp;" PE"))</f>
        <v/>
      </c>
      <c r="PK54" s="152">
        <f>IF($MN54=0,"",IF($MC54=0,"A atuação básica dela",IF(COUNTIF($NT54:$NU54,"Atrasar")&gt;0,"Sua Ação Completa",IF(COUNTIF($MH54:$MK54,"Rápido")&gt;0,"Sua Bônus",IF(COUNTIF($MH54:$MK54,"Reação")&gt;0,"Sua Reação","Sua Padrão")))&amp;" + a básica dela"&amp;IF(COUNTIF($MH54:$MK54,"Reação")&gt;0," e a coletiva","")&amp;IF(COUNTIF($NT54:$NU54,"Carregar")&gt;0," · em dois turnos","")))</f>
        <v/>
      </c>
      <c r="PL54" s="152">
        <f>IF($MG54&lt;&gt;"",$MG54,IF($MT54=0,"",INDEX($AA$2:$AA$11,$MT54)))</f>
        <v/>
      </c>
      <c r="PM54" s="152">
        <f>IF(OR($MN54=0,$MT54=0),"",IF(COUNTIF($MH54:$MK54,"Inescapável")&gt;0,"Automático",IF($PL54="Ataque",IF($MR54="","Ataque","Ataque "&amp;IF(($MR54+2*IF(COUNTIF($MH54:$MK54,"Precisão")&gt;0,1,0))&gt;=0,"+","−")&amp;ABS(($MR54+2*IF(COUNTIF($MH54:$MK54,"Precisão")&gt;0,1,0)))),IF(LEFT($PL54,2)="TR",$PL54&amp;IF($MS54="",""," · CD "&amp;$MS54)&amp;IF(COUNTIF($MH54:$MK54,"Certeiro")&gt;0," · metade",""),"Sem rolagem"))))</f>
        <v/>
      </c>
      <c r="PN54" s="152">
        <f>IF(OR($MN54=0,$MT54=0),"",IF($MC54=0,IF(OR($NP54&gt;=1,$OM54=0),"Sem dano",$OM54&amp;"d6"&amp;IF($MF54="",""," "&amp;$MF54)),IF(OR($NP54&gt;=1,$OM54=0),UPPER(LEFT(INDEX($OV54:$PB54,1,MAX(1,$MC54)),1))&amp;MID(INDEX($OV54:$PB54,1,MAX(1,$MC54)),2,99),UPPER(LEFT(INDEX($OV54:$PB54,1,MAX(1,$MC54)),1))&amp;MID(INDEX($OV54:$PB54,1,MAX(1,$MC54)),2,99)&amp;IF($MF54="",""," "&amp;$MF54)&amp;IF($ON54&gt;0," · +"&amp;$ON54&amp;"d8",""))))</f>
        <v/>
      </c>
      <c r="PO54" s="152">
        <f>COUNTIF($MH54:$MK54,"Longe")+3*COUNTIF($MH54:$MK54,"Muito Longe")</f>
        <v/>
      </c>
      <c r="PP54" s="152">
        <f>COUNTIF($MH54:$MK54,"Maior")+3*COUNTIF($MH54:$MK54,"Muito Maior")</f>
        <v/>
      </c>
      <c r="PQ54" s="152">
        <f>IF($MT54=0,0,CHOOSE(1+INDEX($AC$2:$AC$11,$MT54),0,$PO54,$PP54,$PO54+$PP54))</f>
        <v/>
      </c>
      <c r="PR54" s="152">
        <f>IF($MT54=0,0,CHOOSE(1+INDEX($AD$2:$AD$11,$MT54),0,$PO54,$PP54,$PO54+$PP54))</f>
        <v/>
      </c>
      <c r="PS54" s="152">
        <f>IF(OR($MN54=0,$MT54=0),"",INDEX($AI$2:$AN$41,($MT54-1)*4+IF($MC54=0,1,IF($MC54&lt;=5,2,IF($MC54=6,3,4))),1+MIN(5,$PQ54))&amp;INDEX($AO$2:$AT$41,($MT54-1)*4+IF($MC54=0,1,IF($MC54&lt;=5,2,IF($MC54=6,3,4))),1+MIN(5,$PR54))&amp;IF(INDEX($AE$2:$AE$11,$MT54)=1,IF(COUNTIF($MH54:$MK54,"Mais Um")&gt;0," · +"&amp;COUNTIF($MH54:$MK54,"Mais Um")&amp;IF(COUNTIF($MH54:$MK54,"Mais Um")&gt;1," alvos"," alvo"),"")&amp;IF(COUNTIF($MH54:$MK54,"Rajada")&gt;0,IF($MC54=0," · 1 tiro"," · "&amp;(MAX(1,$MC54-1)+1)&amp;" tiros"),""),""))</f>
        <v/>
      </c>
      <c r="PT54" s="152">
        <f>IF($MN54=0,"",IF($MC54=0,$MQ54&amp;"d6"&amp;IF($OD54&gt;0," − 1 = "&amp;$OM54&amp;"d6"," da básica do nível "&amp;$MO54),$OK54&amp;" − "&amp;$OF54&amp;" + "&amp;$OI54&amp;" = "&amp;$OL54&amp;" · teto "&amp;4*$MC54&amp;"d8"&amp;IF($NO54=1," · a Forma devolve "&amp;$MC54,"")&amp;IF($OJ54&gt;0," · perde "&amp;$OJ54,"")))</f>
        <v/>
      </c>
      <c r="PU54" s="152">
        <f>IF($MN54=0,"",IF($MC54=0,"A básica não amplia: os dados dela sobem com o nível",IF($MC54&gt;=$MP54,"Já está na maior Classe que o nível liberou",TEXTJOIN(" · ",TRUE,IF(AND(2&gt;$MC54,2&lt;=$MP54),"2 → "&amp;$OW54&amp;", 6 PE",""),IF(AND(3&gt;$MC54,3&lt;=$MP54),"3 → "&amp;$OX54&amp;", 9 PE",""),IF(AND(4&gt;$MC54,4&lt;=$MP54),"4 → "&amp;$OY54&amp;", 12 PE",""),IF(AND(5&gt;$MC54,5&lt;=$MP54),"5 → "&amp;$OZ54&amp;", 15 PE",""),IF(AND(6&gt;$MC54,6&lt;=$MP54),"6 → "&amp;$PA54&amp;", 18 PE",""),IF(AND(7&gt;$MC54,7&lt;=$MP54),"7 → "&amp;$PB54&amp;", 21 PE","")))))</f>
        <v/>
      </c>
      <c r="PV54" s="152">
        <f>IF(OR($MN54=0,$MY54=0),"",IF($MC54=0,"−1 dado","−"&amp;INDEX($I$2:$N$8,MAX(1,$MC54),MAX(1,$ND54))&amp;" · "&amp;CHOOSE(MAX(1,$ND54),"Leve","Média","Pesada","Leve · Livre","Média · Livre","Pesada · Livre")))</f>
        <v/>
      </c>
      <c r="PW54" s="152">
        <f>IF(OR($MN54=0,$MZ54=0),"",IF($MC54=0,"−1 dado","−"&amp;INDEX($I$2:$N$8,MAX(1,$MC54),MAX(1,$NE54))&amp;" · "&amp;CHOOSE(MAX(1,$NE54),"Leve","Média","Pesada","Leve · Livre","Média · Livre","Pesada · Livre")))</f>
        <v/>
      </c>
      <c r="PX54" s="152">
        <f>IF(OR($MN54=0,$NA54=0),"",IF($MC54=0,"−1 dado","−"&amp;INDEX($I$2:$N$8,MAX(1,$MC54),MAX(1,$NF54))&amp;" · "&amp;CHOOSE(MAX(1,$NF54),"Leve","Média","Pesada","Leve · Livre","Média · Livre","Pesada · Livre")))</f>
        <v/>
      </c>
      <c r="PY54" s="152">
        <f>IF(OR($MN54=0,$NB54=0),"",IF($MC54=0,"−1 dado","−"&amp;INDEX($I$2:$N$8,MAX(1,$MC54),MAX(1,$NG54))&amp;" · "&amp;CHOOSE(MAX(1,$NG54),"Leve","Média","Pesada","Leve · Livre","Média · Livre","Pesada · Livre")))</f>
        <v/>
      </c>
      <c r="PZ54" s="152">
        <f>IF(OR($MN54=0,$ML54=""),"",IF($MC54=0,"não devolve","+"&amp;IF($NR54=1,CEILING($MC54/2,1),$MC54)))</f>
        <v/>
      </c>
      <c r="QA54" s="152">
        <f>IF(OR($MN54=0,$MM54=""),"",IF($MC54=0,"não devolve","+"&amp;IF($NS54=1,CEILING($MC54/2,1),$MC54)))</f>
        <v/>
      </c>
    </row>
    <row r="55">
      <c r="AV55" s="150" t="inlineStr">
        <is>
          <t>Remate</t>
        </is>
      </c>
      <c r="AW55" s="150" t="inlineStr">
        <is>
          <t>Castigo</t>
        </is>
      </c>
      <c r="AX55" s="152" t="n">
        <v>2</v>
      </c>
      <c r="AY55" s="152" t="n">
        <v>0</v>
      </c>
      <c r="AZ55" s="152" t="n">
        <v>0</v>
      </c>
      <c r="JD55" s="152">
        <f>IF(OR($AW55="",COUNTIF($ED$2:$EH$2,$AW55)&gt;0),$AV55,"")</f>
        <v/>
      </c>
      <c r="JE55" s="152">
        <f>IF(AND($AX55=1,OR($AW55="",COUNTIF($ED$2:$EH$2,$AW55)&gt;0)),$AV55,"")</f>
        <v/>
      </c>
      <c r="JJ55" s="152">
        <f>IF(OR($AW55="",COUNTIF($ED$3:$EH$3,$AW55)&gt;0),$AV55,"")</f>
        <v/>
      </c>
      <c r="JK55" s="152">
        <f>IF(AND($AX55=1,OR($AW55="",COUNTIF($ED$3:$EH$3,$AW55)&gt;0)),$AV55,"")</f>
        <v/>
      </c>
      <c r="JP55" s="152">
        <f>IF(OR($AW55="",COUNTIF($ED$4:$EH$4,$AW55)&gt;0),$AV55,"")</f>
        <v/>
      </c>
      <c r="JQ55" s="152">
        <f>IF(AND($AX55=1,OR($AW55="",COUNTIF($ED$4:$EH$4,$AW55)&gt;0)),$AV55,"")</f>
        <v/>
      </c>
      <c r="JV55" s="152">
        <f>IF(OR($AW55="",COUNTIF($ED$5:$EH$5,$AW55)&gt;0),$AV55,"")</f>
        <v/>
      </c>
      <c r="JW55" s="152">
        <f>IF(AND($AX55=1,OR($AW55="",COUNTIF($ED$5:$EH$5,$AW55)&gt;0)),$AV55,"")</f>
        <v/>
      </c>
      <c r="KB55" s="152">
        <f>IF(OR($AW55="",COUNTIF($ED$6:$EH$6,$AW55)&gt;0),$AV55,"")</f>
        <v/>
      </c>
      <c r="KC55" s="152">
        <f>IF(AND($AX55=1,OR($AW55="",COUNTIF($ED$6:$EH$6,$AW55)&gt;0)),$AV55,"")</f>
        <v/>
      </c>
      <c r="KH55" s="152">
        <f>IF(OR($AW55="",COUNTIF($ED$7:$EH$7,$AW55)&gt;0),$AV55,"")</f>
        <v/>
      </c>
      <c r="KI55" s="152">
        <f>IF(AND($AX55=1,OR($AW55="",COUNTIF($ED$7:$EH$7,$AW55)&gt;0)),$AV55,"")</f>
        <v/>
      </c>
      <c r="KN55" s="152">
        <f>IF(OR($AW55="",COUNTIF($ED$8:$EH$8,$AW55)&gt;0),$AV55,"")</f>
        <v/>
      </c>
      <c r="KO55" s="152">
        <f>IF(AND($AX55=1,OR($AW55="",COUNTIF($ED$8:$EH$8,$AW55)&gt;0)),$AV55,"")</f>
        <v/>
      </c>
      <c r="KT55" s="152">
        <f>IF(OR($AW55="",COUNTIF($ED$9:$EH$9,$AW55)&gt;0),$AV55,"")</f>
        <v/>
      </c>
      <c r="KU55" s="152">
        <f>IF(AND($AX55=1,OR($AW55="",COUNTIF($ED$9:$EH$9,$AW55)&gt;0)),$AV55,"")</f>
        <v/>
      </c>
      <c r="KZ55" s="152">
        <f>IF(OR($AW55="",COUNTIF($ED$10:$EH$10,$AW55)&gt;0),$AV55,"")</f>
        <v/>
      </c>
      <c r="LA55" s="152">
        <f>IF(AND($AX55=1,OR($AW55="",COUNTIF($ED$10:$EH$10,$AW55)&gt;0)),$AV55,"")</f>
        <v/>
      </c>
      <c r="LF55" s="152">
        <f>IF(OR($AW55="",COUNTIF($ED$11:$EH$11,$AW55)&gt;0),$AV55,"")</f>
        <v/>
      </c>
      <c r="LG55" s="152">
        <f>IF(AND($AX55=1,OR($AW55="",COUNTIF($ED$11:$EH$11,$AW55)&gt;0)),$AV55,"")</f>
        <v/>
      </c>
      <c r="LL55" s="152">
        <f>IF(OR($AW55="",COUNTIF($ED$12:$EH$12,$AW55)&gt;0),$AV55,"")</f>
        <v/>
      </c>
      <c r="LM55" s="152">
        <f>IF(AND($AX55=1,OR($AW55="",COUNTIF($ED$12:$EH$12,$AW55)&gt;0)),$AV55,"")</f>
        <v/>
      </c>
      <c r="LR55" s="152">
        <f>IF(OR($AW55="",COUNTIF($ED$13:$EH$13,$AW55)&gt;0),$AV55,"")</f>
        <v/>
      </c>
      <c r="LS55" s="152">
        <f>IF(AND($AX55=1,OR($AW55="",COUNTIF($ED$13:$EH$13,$AW55)&gt;0)),$AV55,"")</f>
        <v/>
      </c>
      <c r="LX55" s="150" t="inlineStr">
        <is>
          <t>Ficha 5 · Especial 1</t>
        </is>
      </c>
      <c r="LY55" s="152" t="n">
        <v>5</v>
      </c>
      <c r="LZ55" s="152" t="n">
        <v>1</v>
      </c>
      <c r="MA55" s="152" t="n">
        <v>1</v>
      </c>
      <c r="MB55" s="150" t="inlineStr">
        <is>
          <t>ESPECIAL 1</t>
        </is>
      </c>
      <c r="MC55" s="152">
        <f>MAX(1,MIN(7,N('INVOCAÇÕES'!$O$850)))</f>
        <v/>
      </c>
      <c r="MD55" s="152">
        <f>'INVOCAÇÕES'!$P$850&amp;""</f>
        <v/>
      </c>
      <c r="ME55" s="152">
        <f>'INVOCAÇÕES'!$O$855&amp;""</f>
        <v/>
      </c>
      <c r="MF55" s="152">
        <f>'INVOCAÇÕES'!$O$856&amp;""</f>
        <v/>
      </c>
      <c r="MG55" s="152">
        <f>'INVOCAÇÕES'!$Q$856&amp;""</f>
        <v/>
      </c>
      <c r="MH55" s="152">
        <f>'INVOCAÇÕES'!$P$859&amp;""</f>
        <v/>
      </c>
      <c r="MI55" s="152">
        <f>'INVOCAÇÕES'!$P$860&amp;""</f>
        <v/>
      </c>
      <c r="MJ55" s="152">
        <f>'INVOCAÇÕES'!$P$861&amp;""</f>
        <v/>
      </c>
      <c r="MK55" s="152">
        <f>'INVOCAÇÕES'!$P$862&amp;""</f>
        <v/>
      </c>
      <c r="ML55" s="152">
        <f>'INVOCAÇÕES'!$P$863&amp;""</f>
        <v/>
      </c>
      <c r="MM55" s="152">
        <f>'INVOCAÇÕES'!$P$864&amp;""</f>
        <v/>
      </c>
      <c r="MN55" s="152">
        <f>IF($MD55&lt;&gt;"",1,0)</f>
        <v/>
      </c>
      <c r="MO55" s="152">
        <f>INDEX($FG$2:$FG$13,$LY55)</f>
        <v/>
      </c>
      <c r="MP55" s="152">
        <f>INDEX($FH$2:$FH$13,$LY55)</f>
        <v/>
      </c>
      <c r="MQ55" s="152">
        <f>INDEX($FI$2:$FI$13,$LY55)</f>
        <v/>
      </c>
      <c r="MR55" s="152">
        <f>INDEX($FT$2:$FT$13,$LY55)</f>
        <v/>
      </c>
      <c r="MS55" s="152">
        <f>INDEX($FU$2:$FU$13,$LY55)</f>
        <v/>
      </c>
      <c r="MT55" s="152">
        <f>IFERROR(MATCH($ME55,$V$2:$V$11,0),0)</f>
        <v/>
      </c>
      <c r="MU55" s="152">
        <f>IFERROR(VLOOKUP($MH55,$AV$2:$AZ$84,2,FALSE),"")</f>
        <v/>
      </c>
      <c r="MV55" s="152">
        <f>IFERROR(VLOOKUP($MI55,$AV$2:$AZ$84,2,FALSE),"")</f>
        <v/>
      </c>
      <c r="MW55" s="152">
        <f>IFERROR(VLOOKUP($MJ55,$AV$2:$AZ$84,2,FALSE),"")</f>
        <v/>
      </c>
      <c r="MX55" s="152">
        <f>IFERROR(VLOOKUP($MK55,$AV$2:$AZ$84,2,FALSE),"")</f>
        <v/>
      </c>
      <c r="MY55" s="152">
        <f>IFERROR(VLOOKUP($MH55,$AV$2:$AZ$84,3,FALSE),0)</f>
        <v/>
      </c>
      <c r="MZ55" s="152">
        <f>IFERROR(VLOOKUP($MI55,$AV$2:$AZ$84,3,FALSE),0)</f>
        <v/>
      </c>
      <c r="NA55" s="152">
        <f>IFERROR(VLOOKUP($MJ55,$AV$2:$AZ$84,3,FALSE),0)</f>
        <v/>
      </c>
      <c r="NB55" s="152">
        <f>IFERROR(VLOOKUP($MK55,$AV$2:$AZ$84,3,FALSE),0)</f>
        <v/>
      </c>
      <c r="NC55" s="152">
        <f>IF($MC55=0,0,IF($MT55=0,0,INDEX($X$2:$X$11,$MT55)))</f>
        <v/>
      </c>
      <c r="ND55" s="152">
        <f>IF(OR($MY55=0,$MC55=0),0,$MY55+3*IF(AND($MU55&lt;&gt;"",OR($MU55=INDEX($ED$2:$ED$13,$LY55),$MU55=INDEX($EE$2:$EE$13,$LY55))),1,0))</f>
        <v/>
      </c>
      <c r="NE55" s="152">
        <f>IF(OR($MZ55=0,$MC55=0),0,$MZ55+3*IF(AND($MV55&lt;&gt;"",OR($MV55=INDEX($ED$2:$ED$13,$LY55),$MV55=INDEX($EE$2:$EE$13,$LY55))),1,0))</f>
        <v/>
      </c>
      <c r="NF55" s="152">
        <f>IF(OR($NA55=0,$MC55=0),0,$NA55+3*IF(AND($MW55&lt;&gt;"",OR($MW55=INDEX($ED$2:$ED$13,$LY55),$MW55=INDEX($EE$2:$EE$13,$LY55))),1,0))</f>
        <v/>
      </c>
      <c r="NG55" s="152">
        <f>IF(OR($NB55=0,$MC55=0),0,$NB55+3*IF(AND($MX55&lt;&gt;"",OR($MX55=INDEX($ED$2:$ED$13,$LY55),$MX55=INDEX($EE$2:$EE$13,$LY55))),1,0))</f>
        <v/>
      </c>
      <c r="NH55" s="152">
        <f>IF($MT55=0,0,IF(INDEX($W$2:$W$11,$MT55)="",0,IF(COUNTIF(INDEX($ED$2:$EH$13,$LY55,0),INDEX($W$2:$W$11,$MT55))=0,1,0)))</f>
        <v/>
      </c>
      <c r="NI55" s="152">
        <f>IF(OR($MY55=0,$MU55=""),0,IF(COUNTIF(INDEX($ED$2:$EH$13,$LY55,0),$MU55)=0,1,0))</f>
        <v/>
      </c>
      <c r="NJ55" s="152">
        <f>IF(OR($MZ55=0,$MV55=""),0,IF(COUNTIF(INDEX($ED$2:$EH$13,$LY55,0),$MV55)=0,1,0))</f>
        <v/>
      </c>
      <c r="NK55" s="152">
        <f>IF(OR($NA55=0,$MW55=""),0,IF(COUNTIF(INDEX($ED$2:$EH$13,$LY55,0),$MW55)=0,1,0))</f>
        <v/>
      </c>
      <c r="NL55" s="152">
        <f>IF(OR($NB55=0,$MX55=""),0,IF(COUNTIF(INDEX($ED$2:$EH$13,$LY55,0),$MX55)=0,1,0))</f>
        <v/>
      </c>
      <c r="NM55" s="152">
        <f>IFERROR(VLOOKUP($MH55,$AV$2:$AZ$84,4,FALSE),0)+IFERROR(VLOOKUP($MI55,$AV$2:$AZ$84,4,FALSE),0)+IFERROR(VLOOKUP($MJ55,$AV$2:$AZ$84,4,FALSE),0)+IFERROR(VLOOKUP($MK55,$AV$2:$AZ$84,4,FALSE),0)</f>
        <v/>
      </c>
      <c r="NN55" s="152">
        <f>TEXTJOIN(", ",TRUE,IF(IFERROR(VLOOKUP($MH55,$AV$2:$AZ$84,5,FALSE),0)=1,$MH55,""),IF(IFERROR(VLOOKUP($MI55,$AV$2:$AZ$84,5,FALSE),0)=1,$MI55,""),IF(IFERROR(VLOOKUP($MJ55,$AV$2:$AZ$84,5,FALSE),0)=1,$MJ55,""),IF(IFERROR(VLOOKUP($MK55,$AV$2:$AZ$84,5,FALSE),0)=1,$MK55,""))</f>
        <v/>
      </c>
      <c r="NO55" s="152">
        <f>IF($MT55=0,0,INDEX($Y$2:$Y$11,$MT55))</f>
        <v/>
      </c>
      <c r="NP55" s="152">
        <f>IF($MT55=0,0,INDEX($Z$2:$Z$11,$MT55))</f>
        <v/>
      </c>
      <c r="NQ55" s="152">
        <f>IF($MT55=0,0,INDEX($AB$2:$AB$11,$MT55))</f>
        <v/>
      </c>
      <c r="NR55" s="152">
        <f>IFERROR(VLOOKUP($ML55,$BB$2:$BF$24,3,FALSE),0)</f>
        <v/>
      </c>
      <c r="NS55" s="152">
        <f>IFERROR(VLOOKUP($MM55,$BB$2:$BF$24,3,FALSE),0)</f>
        <v/>
      </c>
      <c r="NT55" s="152">
        <f>IFERROR(VLOOKUP($ML55,$BB$2:$BF$24,2,FALSE),"")</f>
        <v/>
      </c>
      <c r="NU55" s="152">
        <f>IFERROR(VLOOKUP($MM55,$BB$2:$BF$24,2,FALSE),"")</f>
        <v/>
      </c>
      <c r="NV55" s="152">
        <f>COUNTIF($NC55:$NG55,1)</f>
        <v/>
      </c>
      <c r="NW55" s="152">
        <f>COUNTIF($NC55:$NG55,2)</f>
        <v/>
      </c>
      <c r="NX55" s="152">
        <f>COUNTIF($NC55:$NG55,3)</f>
        <v/>
      </c>
      <c r="NY55" s="152">
        <f>COUNTIF($NC55:$NG55,4)</f>
        <v/>
      </c>
      <c r="NZ55" s="152">
        <f>COUNTIF($NC55:$NG55,5)</f>
        <v/>
      </c>
      <c r="OA55" s="152">
        <f>COUNTIF($NC55:$NG55,6)</f>
        <v/>
      </c>
      <c r="OB55" s="152">
        <f>COUNTIF($NR55:$NS55,1)</f>
        <v/>
      </c>
      <c r="OC55" s="152">
        <f>COUNTIF($NR55:$NS55,2)+$NO55</f>
        <v/>
      </c>
      <c r="OD55" s="152">
        <f>COUNTIF($MH55:$MK55,"?*")</f>
        <v/>
      </c>
      <c r="OE55" s="152">
        <f>COUNTIF($ML55:$MM55,"?*")+$NO55</f>
        <v/>
      </c>
      <c r="OF55" s="152">
        <f>IF($MC55=0,0,SUMPRODUCT($NV55:$OA55,INDEX($I$2:$N$8,MAX(1,$MC55),0)))</f>
        <v/>
      </c>
      <c r="OG55" s="152">
        <f>IF($MC55=0,0,$OB55*CEILING($MC55/2,1)+$OC55*$MC55)</f>
        <v/>
      </c>
      <c r="OH55" s="152">
        <f>MIN(2*$MC55,$OG55)</f>
        <v/>
      </c>
      <c r="OI55" s="152">
        <f>MIN($OH55,$OF55)</f>
        <v/>
      </c>
      <c r="OJ55" s="152">
        <f>$OH55-$OI55</f>
        <v/>
      </c>
      <c r="OK55" s="152">
        <f>IF($MC55=0,0,INDEX($P$2:$P$8,MAX(1,$MC55)))</f>
        <v/>
      </c>
      <c r="OL55" s="152">
        <f>$OK55-$OF55+$OI55</f>
        <v/>
      </c>
      <c r="OM55" s="152">
        <f>IF($MC55=0,MAX(0,$MQ55-IF($OD55&gt;0,1,0)),MAX(0,$OL55))</f>
        <v/>
      </c>
      <c r="ON55" s="152">
        <f>IF($MC55=0,0,(IF(COUNTIF($MH55:$MK55,"Salto")&gt;0,1,0)+IF(COUNTIF($MH55:$MK55,"Queima")&gt;0,1,0)+IF(COUNTIF($MH55:$MK55,"Estilhaço")&gt;0,1,0))*FLOOR($OM55/2,1))</f>
        <v/>
      </c>
      <c r="OO55" s="152">
        <f>MAX(0,2-SUMPRODUCT($NV55:$OA55,$I$2:$N$2)+MIN(2,$OB55*1+$OC55*1,SUMPRODUCT($NV55:$OA55,$I$2:$N$2)))</f>
        <v/>
      </c>
      <c r="OP55" s="152">
        <f>MAX(0,4-SUMPRODUCT($NV55:$OA55,$I$3:$N$3)+MIN(4,$OB55*1+$OC55*2,SUMPRODUCT($NV55:$OA55,$I$3:$N$3)))</f>
        <v/>
      </c>
      <c r="OQ55" s="152">
        <f>MAX(0,6-SUMPRODUCT($NV55:$OA55,$I$4:$N$4)+MIN(6,$OB55*2+$OC55*3,SUMPRODUCT($NV55:$OA55,$I$4:$N$4)))</f>
        <v/>
      </c>
      <c r="OR55" s="152">
        <f>MAX(0,9-SUMPRODUCT($NV55:$OA55,$I$5:$N$5)+MIN(8,$OB55*2+$OC55*4,SUMPRODUCT($NV55:$OA55,$I$5:$N$5)))</f>
        <v/>
      </c>
      <c r="OS55" s="152">
        <f>MAX(0,11-SUMPRODUCT($NV55:$OA55,$I$6:$N$6)+MIN(10,$OB55*3+$OC55*5,SUMPRODUCT($NV55:$OA55,$I$6:$N$6)))</f>
        <v/>
      </c>
      <c r="OT55" s="152">
        <f>MAX(0,13-SUMPRODUCT($NV55:$OA55,$I$7:$N$7)+MIN(12,$OB55*3+$OC55*6,SUMPRODUCT($NV55:$OA55,$I$7:$N$7)))</f>
        <v/>
      </c>
      <c r="OU55" s="152">
        <f>MAX(0,16-SUMPRODUCT($NV55:$OA55,$I$8:$N$8)+MIN(14,$OB55*4+$OC55*7,SUMPRODUCT($NV55:$OA55,$I$8:$N$8)))</f>
        <v/>
      </c>
      <c r="OV55" s="152">
        <f>IF($NP55=2,3*$OO55&amp;" de vida temp.",IF($NP55=3,"sem dano",IF($OO55=0,IF($NP55=1,"sem cura","sem dano"),IF($NP55=1,"cura ","")&amp;$OO55&amp;"d8")))</f>
        <v/>
      </c>
      <c r="OW55" s="152">
        <f>IF($NP55=2,3*$OP55&amp;" de vida temp.",IF($NP55=3,"sem dano",IF($OP55=0,IF($NP55=1,"sem cura","sem dano"),IF($NP55=1,"cura ","")&amp;$OP55&amp;"d8")))</f>
        <v/>
      </c>
      <c r="OX55" s="152">
        <f>IF($NP55=2,3*$OQ55&amp;" de vida temp.",IF($NP55=3,"sem dano",IF($OQ55=0,IF($NP55=1,"sem cura","sem dano"),IF($NP55=1,"cura ","")&amp;$OQ55&amp;"d8")))</f>
        <v/>
      </c>
      <c r="OY55" s="152">
        <f>IF($NP55=2,3*$OR55&amp;" de vida temp.",IF($NP55=3,"sem dano",IF($OR55=0,IF($NP55=1,"sem cura","sem dano"),IF($NP55=1,"cura ","")&amp;$OR55&amp;"d8")))</f>
        <v/>
      </c>
      <c r="OZ55" s="152">
        <f>IF($NP55=2,3*$OS55&amp;" de vida temp.",IF($NP55=3,"sem dano",IF($OS55=0,IF($NP55=1,"sem cura","sem dano"),IF($NP55=1,"cura ","")&amp;$OS55&amp;"d8")))</f>
        <v/>
      </c>
      <c r="PA55" s="152">
        <f>IF($NP55=2,3*$OT55&amp;" de vida temp.",IF($NP55=3,"sem dano",IF($OT55=0,IF($NP55=1,"sem cura","sem dano"),IF($NP55=1,"cura ","")&amp;$OT55&amp;"d8")))</f>
        <v/>
      </c>
      <c r="PB55" s="152">
        <f>IF($NP55=2,3*$OU55&amp;" de vida temp.",IF($NP55=3,"sem dano",IF($OU55=0,IF($NP55=1,"sem cura","sem dano"),IF($NP55=1,"cura ","")&amp;$OU55&amp;"d8")))</f>
        <v/>
      </c>
      <c r="PC55" s="152">
        <f>IF($MN55=0,"",TEXTJOIN(" · ",TRUE,IF($MA55&gt;$MO55,"Este lugar abre no nível "&amp;$MA55,""),IF($MC55&gt;$MP55,"Classe "&amp;$MC55&amp;": o nível "&amp;$MO55&amp;" libera até a "&amp;$MP55,""),IF($NH55=1,"A Forma "&amp;$ME55&amp;" pede "&amp;INDEX($W$2:$W$11,$MT55)&amp;" aberta",""),IF(AND($MC55=0,$MT55&gt;0,IF($MT55=0,0,INDEX($AF$2:$AF$11,$MT55))=0),$ME55&amp;" não existe na Classe 0",""),IF($NI55=1,"Família Fechada: "&amp;$MH55,""),IF($NJ55=1,"Família Fechada: "&amp;$MI55,""),IF($NK55=1,"Família Fechada: "&amp;$MJ55,""),IF($NL55=1,"Família Fechada: "&amp;$MK55,""),IF(AND($MC55&gt;0,$OD55&gt;INDEX($O$2:$O$8,MAX(1,$MC55))),$OD55&amp;" Melhorias: a Classe "&amp;$MC55&amp;" aceita "&amp;INDEX($O$2:$O$8,MAX(1,$MC55)),""),IF(AND($MC55=0,$OD55&gt;1),"A básica aceita uma Melhoria",""),IF(AND($MC55=0,COUNTIF($MY55:$NB55,"&gt;1")&gt;0),"A básica só aceita Melhoria Leve",""),IF(AND($MC55&gt;0,$OE55&gt;2),$OE55&amp;" Restrições"&amp;IF($NO55=1,", contando a que a Forma "&amp;$ME55&amp;" já traz","")&amp;": o limite é 2",""),IF(AND($MC55=0,COUNTIF($ML55:$MM55,"?*")&gt;1),"A básica aceita uma Restrição Leve",""),IF(AND($MC55=0,COUNTIF($NR55:$NS55,2)&gt;0),"A básica só aceita Restrição Leve",""),IF(AND($MC55&gt;0,$OL55&lt;0),"Orçamento estourado: faltam "&amp;(-$OL55)&amp;IF($OL55&lt;-1," pontos"," ponto"),""),IF(IFERROR(VLOOKUP($ML55,$BB$2:$BF$24,4,FALSE),0)+IFERROR(VLOOKUP($MM55,$BB$2:$BF$24,4,FALSE),0)&gt;1,$NT55&amp;" e "&amp;$NU55&amp;" são as duas de frequência",""),IF(AND((COUNTIF($MH55:$MK55,"Rápido")+COUNTIF($NT55:$NU55,"Rápido"))&gt;0,(COUNTIF($MH55:$MK55,"Atrasar")+COUNTIF($NT55:$NU55,"Atrasar"))&gt;0),"Rápido não entra com Atrasar",""),IF(AND((COUNTIF($MH55:$MK55,"Reação")+COUNTIF($NT55:$NU55,"Reação"))&gt;0,(COUNTIF($MH55:$MK55,"Rápido")+COUNTIF($NT55:$NU55,"Rápido"))&gt;0),"Reação não entra com Rápido",""),IF(AND((COUNTIF($MH55:$MK55,"Reação")+COUNTIF($NT55:$NU55,"Reação"))&gt;0,(COUNTIF($MH55:$MK55,"Armado")+COUNTIF($NT55:$NU55,"Armado"))&gt;0),"Reação não entra com Armado",""),IF(AND((COUNTIF($MH55:$MK55,"Reação")+COUNTIF($NT55:$NU55,"Reação"))&gt;0,(COUNTIF($MH55:$MK55,"Atrasar")+COUNTIF($NT55:$NU55,"Atrasar"))&gt;0),"Reação não entra com Atrasar",""),IF(AND((COUNTIF($MH55:$MK55,"Reação")+COUNTIF($NT55:$NU55,"Reação"))&gt;0,(COUNTIF($MH55:$MK55,"Parado")+COUNTIF($NT55:$NU55,"Parado"))&gt;0),"Reação não entra com Parado",""),IF(AND((COUNTIF($MH55:$MK55,"Atrasar")+COUNTIF($NT55:$NU55,"Atrasar"))&gt;0,(COUNTIF($MH55:$MK55,"Parado")+COUNTIF($NT55:$NU55,"Parado"))&gt;0),"Atrasar não entra com Parado",""),IF(AND((COUNTIF($MH55:$MK55,"Armado")+COUNTIF($NT55:$NU55,"Armado"))&gt;0,(COUNTIF($MH55:$MK55,"Carregar")+COUNTIF($NT55:$NU55,"Carregar"))&gt;0),"Armado não entra com Carregar",""),IF(AND(COUNTIF($NT55:$NU55,"Corpo a Corpo")&gt;0,$NO55=0,OR($ME55="Cone",$ME55="Linha")),"Corpo a Corpo não entra em "&amp;$ME55,""),IF(AND(COUNTIF($NT55:$NU55,"Corpo a Corpo")&gt;0,$NO55=1),"A Forma "&amp;$ME55&amp;" já traz o Corpo a Corpo",""),IF(AND(COUNTIF($NT55:$NU55,"Tudo ou Nada")&gt;0,$NQ55=0),"Tudo ou Nada só entra em habilidade de Teste de Resistência",""),IF(AND(COUNTIF($MH55:$MK55,"Inescapável")&gt;0,OR($OD55&gt;1,$OE55&gt;0)),"Inescapável não aceita outra peça",""),IF(AND($MC55&gt;0,$OM55*IF(COUNTIF($MH55:$MK55,"Remate")&gt;0,1.25,1)+$ON55&gt;4*$MC55),($OM55*IF(COUNTIF($MH55:$MK55,"Remate")&gt;0,1.25,1)+$ON55)&amp;" dados somando repetições"&amp;IF(COUNTIF($MH55:$MK55,"Remate")&gt;0," e o Remate","")&amp;": o teto da Classe "&amp;$MC55&amp;" é "&amp;4*$MC55,"")))</f>
        <v/>
      </c>
      <c r="PD55" s="152">
        <f>IF($PC55="",0,(LEN($PC55)-LEN(SUBSTITUTE($PC55," · ","")))/3+1)</f>
        <v/>
      </c>
      <c r="PE55" s="152">
        <f>IF($MN55=0,"",TEXTJOIN(" · ",TRUE,IF($OG55&gt;2*$MC55,"A devolução parou no teto de "&amp;2*$MC55,""),IF($OJ55&gt;0,"Devolução perdida: "&amp;$OJ55&amp;IF($OJ55&gt;1," pontos"," ponto")&amp;" sem peça para pagar",""),IF(AND($NM55&gt;0,AND($MC55&gt;0,$NP55=0),$OM55=0),"Controle sem dano: uma rodada a mais e CD +2",""),IF(AND($NM55&gt;0,AND($MC55&gt;0,$NP55=0),$OM55&gt;0,$OM55&lt;=$MC55),"Controle com saldo até a Classe: uma rodada a mais",""),IF(AND($MC55&gt;0,$NN55&lt;&gt;""),"Efeito de "&amp;$NN55&amp;" pela Classe "&amp;MAX(1,$MC55-1),"")))</f>
        <v/>
      </c>
      <c r="PF55" s="152">
        <f>IF($PE55="",0,(LEN($PE55)-LEN(SUBSTITUTE($PE55," · ","")))/3+1)</f>
        <v/>
      </c>
      <c r="PG55" s="152">
        <f>IF($MN55=0,IF($OD55+COUNTIF($ML55:$MM55,"?*")&gt;0,"Dê um nome",""),IF($PD55&gt;0,"⚠ "&amp;$PD55&amp;IF($PD55&gt;1," erros"," erro"),IF($PF55&gt;0,"! "&amp;$PF55&amp;IF($PF55&gt;1," avisos"," aviso"),"Na regra")))</f>
        <v/>
      </c>
      <c r="PH55" s="152">
        <f>IF($MN55=0,"",IF($PD55+$PF55=0,"Dentro das regras que a ficha confere",$PC55&amp;IF(AND($PD55&gt;0,$PF55&gt;0)," · ","")&amp;$PE55))</f>
        <v/>
      </c>
      <c r="PI55" s="152">
        <f>IF($MA55&gt;$MO55,$MB55&amp;" · ABRE NO NÍVEL "&amp;$MA55,$MB55)</f>
        <v/>
      </c>
      <c r="PJ55" s="152">
        <f>IF($MN55=0,"",IF($MC55=0,"Sem PE",3*$MC55&amp;" PE"))</f>
        <v/>
      </c>
      <c r="PK55" s="152">
        <f>IF($MN55=0,"",IF($MC55=0,"A atuação básica dela",IF(COUNTIF($NT55:$NU55,"Atrasar")&gt;0,"Sua Ação Completa",IF(COUNTIF($MH55:$MK55,"Rápido")&gt;0,"Sua Bônus",IF(COUNTIF($MH55:$MK55,"Reação")&gt;0,"Sua Reação","Sua Padrão")))&amp;" + a básica dela"&amp;IF(COUNTIF($MH55:$MK55,"Reação")&gt;0," e a coletiva","")&amp;IF(COUNTIF($NT55:$NU55,"Carregar")&gt;0," · em dois turnos","")))</f>
        <v/>
      </c>
      <c r="PL55" s="152">
        <f>IF($MG55&lt;&gt;"",$MG55,IF($MT55=0,"",INDEX($AA$2:$AA$11,$MT55)))</f>
        <v/>
      </c>
      <c r="PM55" s="152">
        <f>IF(OR($MN55=0,$MT55=0),"",IF(COUNTIF($MH55:$MK55,"Inescapável")&gt;0,"Automático",IF($PL55="Ataque",IF($MR55="","Ataque","Ataque "&amp;IF(($MR55+2*IF(COUNTIF($MH55:$MK55,"Precisão")&gt;0,1,0))&gt;=0,"+","−")&amp;ABS(($MR55+2*IF(COUNTIF($MH55:$MK55,"Precisão")&gt;0,1,0)))),IF(LEFT($PL55,2)="TR",$PL55&amp;IF($MS55="",""," · CD "&amp;$MS55)&amp;IF(COUNTIF($MH55:$MK55,"Certeiro")&gt;0," · metade",""),"Sem rolagem"))))</f>
        <v/>
      </c>
      <c r="PN55" s="152">
        <f>IF(OR($MN55=0,$MT55=0),"",IF($MC55=0,IF(OR($NP55&gt;=1,$OM55=0),"Sem dano",$OM55&amp;"d6"&amp;IF($MF55="",""," "&amp;$MF55)),IF(OR($NP55&gt;=1,$OM55=0),UPPER(LEFT(INDEX($OV55:$PB55,1,MAX(1,$MC55)),1))&amp;MID(INDEX($OV55:$PB55,1,MAX(1,$MC55)),2,99),UPPER(LEFT(INDEX($OV55:$PB55,1,MAX(1,$MC55)),1))&amp;MID(INDEX($OV55:$PB55,1,MAX(1,$MC55)),2,99)&amp;IF($MF55="",""," "&amp;$MF55)&amp;IF($ON55&gt;0," · +"&amp;$ON55&amp;"d8",""))))</f>
        <v/>
      </c>
      <c r="PO55" s="152">
        <f>COUNTIF($MH55:$MK55,"Longe")+3*COUNTIF($MH55:$MK55,"Muito Longe")</f>
        <v/>
      </c>
      <c r="PP55" s="152">
        <f>COUNTIF($MH55:$MK55,"Maior")+3*COUNTIF($MH55:$MK55,"Muito Maior")</f>
        <v/>
      </c>
      <c r="PQ55" s="152">
        <f>IF($MT55=0,0,CHOOSE(1+INDEX($AC$2:$AC$11,$MT55),0,$PO55,$PP55,$PO55+$PP55))</f>
        <v/>
      </c>
      <c r="PR55" s="152">
        <f>IF($MT55=0,0,CHOOSE(1+INDEX($AD$2:$AD$11,$MT55),0,$PO55,$PP55,$PO55+$PP55))</f>
        <v/>
      </c>
      <c r="PS55" s="152">
        <f>IF(OR($MN55=0,$MT55=0),"",INDEX($AI$2:$AN$41,($MT55-1)*4+IF($MC55=0,1,IF($MC55&lt;=5,2,IF($MC55=6,3,4))),1+MIN(5,$PQ55))&amp;INDEX($AO$2:$AT$41,($MT55-1)*4+IF($MC55=0,1,IF($MC55&lt;=5,2,IF($MC55=6,3,4))),1+MIN(5,$PR55))&amp;IF(INDEX($AE$2:$AE$11,$MT55)=1,IF(COUNTIF($MH55:$MK55,"Mais Um")&gt;0," · +"&amp;COUNTIF($MH55:$MK55,"Mais Um")&amp;IF(COUNTIF($MH55:$MK55,"Mais Um")&gt;1," alvos"," alvo"),"")&amp;IF(COUNTIF($MH55:$MK55,"Rajada")&gt;0,IF($MC55=0," · 1 tiro"," · "&amp;(MAX(1,$MC55-1)+1)&amp;" tiros"),""),""))</f>
        <v/>
      </c>
      <c r="PT55" s="152">
        <f>IF($MN55=0,"",IF($MC55=0,$MQ55&amp;"d6"&amp;IF($OD55&gt;0," − 1 = "&amp;$OM55&amp;"d6"," da básica do nível "&amp;$MO55),$OK55&amp;" − "&amp;$OF55&amp;" + "&amp;$OI55&amp;" = "&amp;$OL55&amp;" · teto "&amp;4*$MC55&amp;"d8"&amp;IF($NO55=1," · a Forma devolve "&amp;$MC55,"")&amp;IF($OJ55&gt;0," · perde "&amp;$OJ55,"")))</f>
        <v/>
      </c>
      <c r="PU55" s="152">
        <f>IF($MN55=0,"",IF($MC55=0,"A básica não amplia: os dados dela sobem com o nível",IF($MC55&gt;=$MP55,"Já está na maior Classe que o nível liberou",TEXTJOIN(" · ",TRUE,IF(AND(2&gt;$MC55,2&lt;=$MP55),"2 → "&amp;$OW55&amp;", 6 PE",""),IF(AND(3&gt;$MC55,3&lt;=$MP55),"3 → "&amp;$OX55&amp;", 9 PE",""),IF(AND(4&gt;$MC55,4&lt;=$MP55),"4 → "&amp;$OY55&amp;", 12 PE",""),IF(AND(5&gt;$MC55,5&lt;=$MP55),"5 → "&amp;$OZ55&amp;", 15 PE",""),IF(AND(6&gt;$MC55,6&lt;=$MP55),"6 → "&amp;$PA55&amp;", 18 PE",""),IF(AND(7&gt;$MC55,7&lt;=$MP55),"7 → "&amp;$PB55&amp;", 21 PE","")))))</f>
        <v/>
      </c>
      <c r="PV55" s="152">
        <f>IF(OR($MN55=0,$MY55=0),"",IF($MC55=0,"−1 dado","−"&amp;INDEX($I$2:$N$8,MAX(1,$MC55),MAX(1,$ND55))&amp;" · "&amp;CHOOSE(MAX(1,$ND55),"Leve","Média","Pesada","Leve · Livre","Média · Livre","Pesada · Livre")))</f>
        <v/>
      </c>
      <c r="PW55" s="152">
        <f>IF(OR($MN55=0,$MZ55=0),"",IF($MC55=0,"−1 dado","−"&amp;INDEX($I$2:$N$8,MAX(1,$MC55),MAX(1,$NE55))&amp;" · "&amp;CHOOSE(MAX(1,$NE55),"Leve","Média","Pesada","Leve · Livre","Média · Livre","Pesada · Livre")))</f>
        <v/>
      </c>
      <c r="PX55" s="152">
        <f>IF(OR($MN55=0,$NA55=0),"",IF($MC55=0,"−1 dado","−"&amp;INDEX($I$2:$N$8,MAX(1,$MC55),MAX(1,$NF55))&amp;" · "&amp;CHOOSE(MAX(1,$NF55),"Leve","Média","Pesada","Leve · Livre","Média · Livre","Pesada · Livre")))</f>
        <v/>
      </c>
      <c r="PY55" s="152">
        <f>IF(OR($MN55=0,$NB55=0),"",IF($MC55=0,"−1 dado","−"&amp;INDEX($I$2:$N$8,MAX(1,$MC55),MAX(1,$NG55))&amp;" · "&amp;CHOOSE(MAX(1,$NG55),"Leve","Média","Pesada","Leve · Livre","Média · Livre","Pesada · Livre")))</f>
        <v/>
      </c>
      <c r="PZ55" s="152">
        <f>IF(OR($MN55=0,$ML55=""),"",IF($MC55=0,"não devolve","+"&amp;IF($NR55=1,CEILING($MC55/2,1),$MC55)))</f>
        <v/>
      </c>
      <c r="QA55" s="152">
        <f>IF(OR($MN55=0,$MM55=""),"",IF($MC55=0,"não devolve","+"&amp;IF($NS55=1,CEILING($MC55/2,1),$MC55)))</f>
        <v/>
      </c>
    </row>
    <row r="56">
      <c r="AV56" s="150" t="inlineStr">
        <is>
          <t>Estilhaço</t>
        </is>
      </c>
      <c r="AW56" s="150" t="inlineStr">
        <is>
          <t>Castigo</t>
        </is>
      </c>
      <c r="AX56" s="152" t="n">
        <v>1</v>
      </c>
      <c r="AY56" s="152" t="n">
        <v>0</v>
      </c>
      <c r="AZ56" s="152" t="n">
        <v>0</v>
      </c>
      <c r="JD56" s="152">
        <f>IF(OR($AW56="",COUNTIF($ED$2:$EH$2,$AW56)&gt;0),$AV56,"")</f>
        <v/>
      </c>
      <c r="JE56" s="152">
        <f>IF(AND($AX56=1,OR($AW56="",COUNTIF($ED$2:$EH$2,$AW56)&gt;0)),$AV56,"")</f>
        <v/>
      </c>
      <c r="JJ56" s="152">
        <f>IF(OR($AW56="",COUNTIF($ED$3:$EH$3,$AW56)&gt;0),$AV56,"")</f>
        <v/>
      </c>
      <c r="JK56" s="152">
        <f>IF(AND($AX56=1,OR($AW56="",COUNTIF($ED$3:$EH$3,$AW56)&gt;0)),$AV56,"")</f>
        <v/>
      </c>
      <c r="JP56" s="152">
        <f>IF(OR($AW56="",COUNTIF($ED$4:$EH$4,$AW56)&gt;0),$AV56,"")</f>
        <v/>
      </c>
      <c r="JQ56" s="152">
        <f>IF(AND($AX56=1,OR($AW56="",COUNTIF($ED$4:$EH$4,$AW56)&gt;0)),$AV56,"")</f>
        <v/>
      </c>
      <c r="JV56" s="152">
        <f>IF(OR($AW56="",COUNTIF($ED$5:$EH$5,$AW56)&gt;0),$AV56,"")</f>
        <v/>
      </c>
      <c r="JW56" s="152">
        <f>IF(AND($AX56=1,OR($AW56="",COUNTIF($ED$5:$EH$5,$AW56)&gt;0)),$AV56,"")</f>
        <v/>
      </c>
      <c r="KB56" s="152">
        <f>IF(OR($AW56="",COUNTIF($ED$6:$EH$6,$AW56)&gt;0),$AV56,"")</f>
        <v/>
      </c>
      <c r="KC56" s="152">
        <f>IF(AND($AX56=1,OR($AW56="",COUNTIF($ED$6:$EH$6,$AW56)&gt;0)),$AV56,"")</f>
        <v/>
      </c>
      <c r="KH56" s="152">
        <f>IF(OR($AW56="",COUNTIF($ED$7:$EH$7,$AW56)&gt;0),$AV56,"")</f>
        <v/>
      </c>
      <c r="KI56" s="152">
        <f>IF(AND($AX56=1,OR($AW56="",COUNTIF($ED$7:$EH$7,$AW56)&gt;0)),$AV56,"")</f>
        <v/>
      </c>
      <c r="KN56" s="152">
        <f>IF(OR($AW56="",COUNTIF($ED$8:$EH$8,$AW56)&gt;0),$AV56,"")</f>
        <v/>
      </c>
      <c r="KO56" s="152">
        <f>IF(AND($AX56=1,OR($AW56="",COUNTIF($ED$8:$EH$8,$AW56)&gt;0)),$AV56,"")</f>
        <v/>
      </c>
      <c r="KT56" s="152">
        <f>IF(OR($AW56="",COUNTIF($ED$9:$EH$9,$AW56)&gt;0),$AV56,"")</f>
        <v/>
      </c>
      <c r="KU56" s="152">
        <f>IF(AND($AX56=1,OR($AW56="",COUNTIF($ED$9:$EH$9,$AW56)&gt;0)),$AV56,"")</f>
        <v/>
      </c>
      <c r="KZ56" s="152">
        <f>IF(OR($AW56="",COUNTIF($ED$10:$EH$10,$AW56)&gt;0),$AV56,"")</f>
        <v/>
      </c>
      <c r="LA56" s="152">
        <f>IF(AND($AX56=1,OR($AW56="",COUNTIF($ED$10:$EH$10,$AW56)&gt;0)),$AV56,"")</f>
        <v/>
      </c>
      <c r="LF56" s="152">
        <f>IF(OR($AW56="",COUNTIF($ED$11:$EH$11,$AW56)&gt;0),$AV56,"")</f>
        <v/>
      </c>
      <c r="LG56" s="152">
        <f>IF(AND($AX56=1,OR($AW56="",COUNTIF($ED$11:$EH$11,$AW56)&gt;0)),$AV56,"")</f>
        <v/>
      </c>
      <c r="LL56" s="152">
        <f>IF(OR($AW56="",COUNTIF($ED$12:$EH$12,$AW56)&gt;0),$AV56,"")</f>
        <v/>
      </c>
      <c r="LM56" s="152">
        <f>IF(AND($AX56=1,OR($AW56="",COUNTIF($ED$12:$EH$12,$AW56)&gt;0)),$AV56,"")</f>
        <v/>
      </c>
      <c r="LR56" s="152">
        <f>IF(OR($AW56="",COUNTIF($ED$13:$EH$13,$AW56)&gt;0),$AV56,"")</f>
        <v/>
      </c>
      <c r="LS56" s="152">
        <f>IF(AND($AX56=1,OR($AW56="",COUNTIF($ED$13:$EH$13,$AW56)&gt;0)),$AV56,"")</f>
        <v/>
      </c>
      <c r="LX56" s="150" t="inlineStr">
        <is>
          <t>Ficha 5 · Especial 2</t>
        </is>
      </c>
      <c r="LY56" s="152" t="n">
        <v>5</v>
      </c>
      <c r="LZ56" s="152" t="n">
        <v>1</v>
      </c>
      <c r="MA56" s="152" t="n">
        <v>4</v>
      </c>
      <c r="MB56" s="150" t="inlineStr">
        <is>
          <t>ESPECIAL 2</t>
        </is>
      </c>
      <c r="MC56" s="152">
        <f>MAX(1,MIN(7,N('INVOCAÇÕES'!$U$850)))</f>
        <v/>
      </c>
      <c r="MD56" s="152">
        <f>'INVOCAÇÕES'!$V$850&amp;""</f>
        <v/>
      </c>
      <c r="ME56" s="152">
        <f>'INVOCAÇÕES'!$U$855&amp;""</f>
        <v/>
      </c>
      <c r="MF56" s="152">
        <f>'INVOCAÇÕES'!$U$856&amp;""</f>
        <v/>
      </c>
      <c r="MG56" s="152">
        <f>'INVOCAÇÕES'!$W$856&amp;""</f>
        <v/>
      </c>
      <c r="MH56" s="152">
        <f>'INVOCAÇÕES'!$V$859&amp;""</f>
        <v/>
      </c>
      <c r="MI56" s="152">
        <f>'INVOCAÇÕES'!$V$860&amp;""</f>
        <v/>
      </c>
      <c r="MJ56" s="152">
        <f>'INVOCAÇÕES'!$V$861&amp;""</f>
        <v/>
      </c>
      <c r="MK56" s="152">
        <f>'INVOCAÇÕES'!$V$862&amp;""</f>
        <v/>
      </c>
      <c r="ML56" s="152">
        <f>'INVOCAÇÕES'!$V$863&amp;""</f>
        <v/>
      </c>
      <c r="MM56" s="152">
        <f>'INVOCAÇÕES'!$V$864&amp;""</f>
        <v/>
      </c>
      <c r="MN56" s="152">
        <f>IF($MD56&lt;&gt;"",1,0)</f>
        <v/>
      </c>
      <c r="MO56" s="152">
        <f>INDEX($FG$2:$FG$13,$LY56)</f>
        <v/>
      </c>
      <c r="MP56" s="152">
        <f>INDEX($FH$2:$FH$13,$LY56)</f>
        <v/>
      </c>
      <c r="MQ56" s="152">
        <f>INDEX($FI$2:$FI$13,$LY56)</f>
        <v/>
      </c>
      <c r="MR56" s="152">
        <f>INDEX($FT$2:$FT$13,$LY56)</f>
        <v/>
      </c>
      <c r="MS56" s="152">
        <f>INDEX($FU$2:$FU$13,$LY56)</f>
        <v/>
      </c>
      <c r="MT56" s="152">
        <f>IFERROR(MATCH($ME56,$V$2:$V$11,0),0)</f>
        <v/>
      </c>
      <c r="MU56" s="152">
        <f>IFERROR(VLOOKUP($MH56,$AV$2:$AZ$84,2,FALSE),"")</f>
        <v/>
      </c>
      <c r="MV56" s="152">
        <f>IFERROR(VLOOKUP($MI56,$AV$2:$AZ$84,2,FALSE),"")</f>
        <v/>
      </c>
      <c r="MW56" s="152">
        <f>IFERROR(VLOOKUP($MJ56,$AV$2:$AZ$84,2,FALSE),"")</f>
        <v/>
      </c>
      <c r="MX56" s="152">
        <f>IFERROR(VLOOKUP($MK56,$AV$2:$AZ$84,2,FALSE),"")</f>
        <v/>
      </c>
      <c r="MY56" s="152">
        <f>IFERROR(VLOOKUP($MH56,$AV$2:$AZ$84,3,FALSE),0)</f>
        <v/>
      </c>
      <c r="MZ56" s="152">
        <f>IFERROR(VLOOKUP($MI56,$AV$2:$AZ$84,3,FALSE),0)</f>
        <v/>
      </c>
      <c r="NA56" s="152">
        <f>IFERROR(VLOOKUP($MJ56,$AV$2:$AZ$84,3,FALSE),0)</f>
        <v/>
      </c>
      <c r="NB56" s="152">
        <f>IFERROR(VLOOKUP($MK56,$AV$2:$AZ$84,3,FALSE),0)</f>
        <v/>
      </c>
      <c r="NC56" s="152">
        <f>IF($MC56=0,0,IF($MT56=0,0,INDEX($X$2:$X$11,$MT56)))</f>
        <v/>
      </c>
      <c r="ND56" s="152">
        <f>IF(OR($MY56=0,$MC56=0),0,$MY56+3*IF(AND($MU56&lt;&gt;"",OR($MU56=INDEX($ED$2:$ED$13,$LY56),$MU56=INDEX($EE$2:$EE$13,$LY56))),1,0))</f>
        <v/>
      </c>
      <c r="NE56" s="152">
        <f>IF(OR($MZ56=0,$MC56=0),0,$MZ56+3*IF(AND($MV56&lt;&gt;"",OR($MV56=INDEX($ED$2:$ED$13,$LY56),$MV56=INDEX($EE$2:$EE$13,$LY56))),1,0))</f>
        <v/>
      </c>
      <c r="NF56" s="152">
        <f>IF(OR($NA56=0,$MC56=0),0,$NA56+3*IF(AND($MW56&lt;&gt;"",OR($MW56=INDEX($ED$2:$ED$13,$LY56),$MW56=INDEX($EE$2:$EE$13,$LY56))),1,0))</f>
        <v/>
      </c>
      <c r="NG56" s="152">
        <f>IF(OR($NB56=0,$MC56=0),0,$NB56+3*IF(AND($MX56&lt;&gt;"",OR($MX56=INDEX($ED$2:$ED$13,$LY56),$MX56=INDEX($EE$2:$EE$13,$LY56))),1,0))</f>
        <v/>
      </c>
      <c r="NH56" s="152">
        <f>IF($MT56=0,0,IF(INDEX($W$2:$W$11,$MT56)="",0,IF(COUNTIF(INDEX($ED$2:$EH$13,$LY56,0),INDEX($W$2:$W$11,$MT56))=0,1,0)))</f>
        <v/>
      </c>
      <c r="NI56" s="152">
        <f>IF(OR($MY56=0,$MU56=""),0,IF(COUNTIF(INDEX($ED$2:$EH$13,$LY56,0),$MU56)=0,1,0))</f>
        <v/>
      </c>
      <c r="NJ56" s="152">
        <f>IF(OR($MZ56=0,$MV56=""),0,IF(COUNTIF(INDEX($ED$2:$EH$13,$LY56,0),$MV56)=0,1,0))</f>
        <v/>
      </c>
      <c r="NK56" s="152">
        <f>IF(OR($NA56=0,$MW56=""),0,IF(COUNTIF(INDEX($ED$2:$EH$13,$LY56,0),$MW56)=0,1,0))</f>
        <v/>
      </c>
      <c r="NL56" s="152">
        <f>IF(OR($NB56=0,$MX56=""),0,IF(COUNTIF(INDEX($ED$2:$EH$13,$LY56,0),$MX56)=0,1,0))</f>
        <v/>
      </c>
      <c r="NM56" s="152">
        <f>IFERROR(VLOOKUP($MH56,$AV$2:$AZ$84,4,FALSE),0)+IFERROR(VLOOKUP($MI56,$AV$2:$AZ$84,4,FALSE),0)+IFERROR(VLOOKUP($MJ56,$AV$2:$AZ$84,4,FALSE),0)+IFERROR(VLOOKUP($MK56,$AV$2:$AZ$84,4,FALSE),0)</f>
        <v/>
      </c>
      <c r="NN56" s="152">
        <f>TEXTJOIN(", ",TRUE,IF(IFERROR(VLOOKUP($MH56,$AV$2:$AZ$84,5,FALSE),0)=1,$MH56,""),IF(IFERROR(VLOOKUP($MI56,$AV$2:$AZ$84,5,FALSE),0)=1,$MI56,""),IF(IFERROR(VLOOKUP($MJ56,$AV$2:$AZ$84,5,FALSE),0)=1,$MJ56,""),IF(IFERROR(VLOOKUP($MK56,$AV$2:$AZ$84,5,FALSE),0)=1,$MK56,""))</f>
        <v/>
      </c>
      <c r="NO56" s="152">
        <f>IF($MT56=0,0,INDEX($Y$2:$Y$11,$MT56))</f>
        <v/>
      </c>
      <c r="NP56" s="152">
        <f>IF($MT56=0,0,INDEX($Z$2:$Z$11,$MT56))</f>
        <v/>
      </c>
      <c r="NQ56" s="152">
        <f>IF($MT56=0,0,INDEX($AB$2:$AB$11,$MT56))</f>
        <v/>
      </c>
      <c r="NR56" s="152">
        <f>IFERROR(VLOOKUP($ML56,$BB$2:$BF$24,3,FALSE),0)</f>
        <v/>
      </c>
      <c r="NS56" s="152">
        <f>IFERROR(VLOOKUP($MM56,$BB$2:$BF$24,3,FALSE),0)</f>
        <v/>
      </c>
      <c r="NT56" s="152">
        <f>IFERROR(VLOOKUP($ML56,$BB$2:$BF$24,2,FALSE),"")</f>
        <v/>
      </c>
      <c r="NU56" s="152">
        <f>IFERROR(VLOOKUP($MM56,$BB$2:$BF$24,2,FALSE),"")</f>
        <v/>
      </c>
      <c r="NV56" s="152">
        <f>COUNTIF($NC56:$NG56,1)</f>
        <v/>
      </c>
      <c r="NW56" s="152">
        <f>COUNTIF($NC56:$NG56,2)</f>
        <v/>
      </c>
      <c r="NX56" s="152">
        <f>COUNTIF($NC56:$NG56,3)</f>
        <v/>
      </c>
      <c r="NY56" s="152">
        <f>COUNTIF($NC56:$NG56,4)</f>
        <v/>
      </c>
      <c r="NZ56" s="152">
        <f>COUNTIF($NC56:$NG56,5)</f>
        <v/>
      </c>
      <c r="OA56" s="152">
        <f>COUNTIF($NC56:$NG56,6)</f>
        <v/>
      </c>
      <c r="OB56" s="152">
        <f>COUNTIF($NR56:$NS56,1)</f>
        <v/>
      </c>
      <c r="OC56" s="152">
        <f>COUNTIF($NR56:$NS56,2)+$NO56</f>
        <v/>
      </c>
      <c r="OD56" s="152">
        <f>COUNTIF($MH56:$MK56,"?*")</f>
        <v/>
      </c>
      <c r="OE56" s="152">
        <f>COUNTIF($ML56:$MM56,"?*")+$NO56</f>
        <v/>
      </c>
      <c r="OF56" s="152">
        <f>IF($MC56=0,0,SUMPRODUCT($NV56:$OA56,INDEX($I$2:$N$8,MAX(1,$MC56),0)))</f>
        <v/>
      </c>
      <c r="OG56" s="152">
        <f>IF($MC56=0,0,$OB56*CEILING($MC56/2,1)+$OC56*$MC56)</f>
        <v/>
      </c>
      <c r="OH56" s="152">
        <f>MIN(2*$MC56,$OG56)</f>
        <v/>
      </c>
      <c r="OI56" s="152">
        <f>MIN($OH56,$OF56)</f>
        <v/>
      </c>
      <c r="OJ56" s="152">
        <f>$OH56-$OI56</f>
        <v/>
      </c>
      <c r="OK56" s="152">
        <f>IF($MC56=0,0,INDEX($P$2:$P$8,MAX(1,$MC56)))</f>
        <v/>
      </c>
      <c r="OL56" s="152">
        <f>$OK56-$OF56+$OI56</f>
        <v/>
      </c>
      <c r="OM56" s="152">
        <f>IF($MC56=0,MAX(0,$MQ56-IF($OD56&gt;0,1,0)),MAX(0,$OL56))</f>
        <v/>
      </c>
      <c r="ON56" s="152">
        <f>IF($MC56=0,0,(IF(COUNTIF($MH56:$MK56,"Salto")&gt;0,1,0)+IF(COUNTIF($MH56:$MK56,"Queima")&gt;0,1,0)+IF(COUNTIF($MH56:$MK56,"Estilhaço")&gt;0,1,0))*FLOOR($OM56/2,1))</f>
        <v/>
      </c>
      <c r="OO56" s="152">
        <f>MAX(0,2-SUMPRODUCT($NV56:$OA56,$I$2:$N$2)+MIN(2,$OB56*1+$OC56*1,SUMPRODUCT($NV56:$OA56,$I$2:$N$2)))</f>
        <v/>
      </c>
      <c r="OP56" s="152">
        <f>MAX(0,4-SUMPRODUCT($NV56:$OA56,$I$3:$N$3)+MIN(4,$OB56*1+$OC56*2,SUMPRODUCT($NV56:$OA56,$I$3:$N$3)))</f>
        <v/>
      </c>
      <c r="OQ56" s="152">
        <f>MAX(0,6-SUMPRODUCT($NV56:$OA56,$I$4:$N$4)+MIN(6,$OB56*2+$OC56*3,SUMPRODUCT($NV56:$OA56,$I$4:$N$4)))</f>
        <v/>
      </c>
      <c r="OR56" s="152">
        <f>MAX(0,9-SUMPRODUCT($NV56:$OA56,$I$5:$N$5)+MIN(8,$OB56*2+$OC56*4,SUMPRODUCT($NV56:$OA56,$I$5:$N$5)))</f>
        <v/>
      </c>
      <c r="OS56" s="152">
        <f>MAX(0,11-SUMPRODUCT($NV56:$OA56,$I$6:$N$6)+MIN(10,$OB56*3+$OC56*5,SUMPRODUCT($NV56:$OA56,$I$6:$N$6)))</f>
        <v/>
      </c>
      <c r="OT56" s="152">
        <f>MAX(0,13-SUMPRODUCT($NV56:$OA56,$I$7:$N$7)+MIN(12,$OB56*3+$OC56*6,SUMPRODUCT($NV56:$OA56,$I$7:$N$7)))</f>
        <v/>
      </c>
      <c r="OU56" s="152">
        <f>MAX(0,16-SUMPRODUCT($NV56:$OA56,$I$8:$N$8)+MIN(14,$OB56*4+$OC56*7,SUMPRODUCT($NV56:$OA56,$I$8:$N$8)))</f>
        <v/>
      </c>
      <c r="OV56" s="152">
        <f>IF($NP56=2,3*$OO56&amp;" de vida temp.",IF($NP56=3,"sem dano",IF($OO56=0,IF($NP56=1,"sem cura","sem dano"),IF($NP56=1,"cura ","")&amp;$OO56&amp;"d8")))</f>
        <v/>
      </c>
      <c r="OW56" s="152">
        <f>IF($NP56=2,3*$OP56&amp;" de vida temp.",IF($NP56=3,"sem dano",IF($OP56=0,IF($NP56=1,"sem cura","sem dano"),IF($NP56=1,"cura ","")&amp;$OP56&amp;"d8")))</f>
        <v/>
      </c>
      <c r="OX56" s="152">
        <f>IF($NP56=2,3*$OQ56&amp;" de vida temp.",IF($NP56=3,"sem dano",IF($OQ56=0,IF($NP56=1,"sem cura","sem dano"),IF($NP56=1,"cura ","")&amp;$OQ56&amp;"d8")))</f>
        <v/>
      </c>
      <c r="OY56" s="152">
        <f>IF($NP56=2,3*$OR56&amp;" de vida temp.",IF($NP56=3,"sem dano",IF($OR56=0,IF($NP56=1,"sem cura","sem dano"),IF($NP56=1,"cura ","")&amp;$OR56&amp;"d8")))</f>
        <v/>
      </c>
      <c r="OZ56" s="152">
        <f>IF($NP56=2,3*$OS56&amp;" de vida temp.",IF($NP56=3,"sem dano",IF($OS56=0,IF($NP56=1,"sem cura","sem dano"),IF($NP56=1,"cura ","")&amp;$OS56&amp;"d8")))</f>
        <v/>
      </c>
      <c r="PA56" s="152">
        <f>IF($NP56=2,3*$OT56&amp;" de vida temp.",IF($NP56=3,"sem dano",IF($OT56=0,IF($NP56=1,"sem cura","sem dano"),IF($NP56=1,"cura ","")&amp;$OT56&amp;"d8")))</f>
        <v/>
      </c>
      <c r="PB56" s="152">
        <f>IF($NP56=2,3*$OU56&amp;" de vida temp.",IF($NP56=3,"sem dano",IF($OU56=0,IF($NP56=1,"sem cura","sem dano"),IF($NP56=1,"cura ","")&amp;$OU56&amp;"d8")))</f>
        <v/>
      </c>
      <c r="PC56" s="152">
        <f>IF($MN56=0,"",TEXTJOIN(" · ",TRUE,IF($MA56&gt;$MO56,"Este lugar abre no nível "&amp;$MA56,""),IF($MC56&gt;$MP56,"Classe "&amp;$MC56&amp;": o nível "&amp;$MO56&amp;" libera até a "&amp;$MP56,""),IF($NH56=1,"A Forma "&amp;$ME56&amp;" pede "&amp;INDEX($W$2:$W$11,$MT56)&amp;" aberta",""),IF(AND($MC56=0,$MT56&gt;0,IF($MT56=0,0,INDEX($AF$2:$AF$11,$MT56))=0),$ME56&amp;" não existe na Classe 0",""),IF($NI56=1,"Família Fechada: "&amp;$MH56,""),IF($NJ56=1,"Família Fechada: "&amp;$MI56,""),IF($NK56=1,"Família Fechada: "&amp;$MJ56,""),IF($NL56=1,"Família Fechada: "&amp;$MK56,""),IF(AND($MC56&gt;0,$OD56&gt;INDEX($O$2:$O$8,MAX(1,$MC56))),$OD56&amp;" Melhorias: a Classe "&amp;$MC56&amp;" aceita "&amp;INDEX($O$2:$O$8,MAX(1,$MC56)),""),IF(AND($MC56=0,$OD56&gt;1),"A básica aceita uma Melhoria",""),IF(AND($MC56=0,COUNTIF($MY56:$NB56,"&gt;1")&gt;0),"A básica só aceita Melhoria Leve",""),IF(AND($MC56&gt;0,$OE56&gt;2),$OE56&amp;" Restrições"&amp;IF($NO56=1,", contando a que a Forma "&amp;$ME56&amp;" já traz","")&amp;": o limite é 2",""),IF(AND($MC56=0,COUNTIF($ML56:$MM56,"?*")&gt;1),"A básica aceita uma Restrição Leve",""),IF(AND($MC56=0,COUNTIF($NR56:$NS56,2)&gt;0),"A básica só aceita Restrição Leve",""),IF(AND($MC56&gt;0,$OL56&lt;0),"Orçamento estourado: faltam "&amp;(-$OL56)&amp;IF($OL56&lt;-1," pontos"," ponto"),""),IF(IFERROR(VLOOKUP($ML56,$BB$2:$BF$24,4,FALSE),0)+IFERROR(VLOOKUP($MM56,$BB$2:$BF$24,4,FALSE),0)&gt;1,$NT56&amp;" e "&amp;$NU56&amp;" são as duas de frequência",""),IF(AND((COUNTIF($MH56:$MK56,"Rápido")+COUNTIF($NT56:$NU56,"Rápido"))&gt;0,(COUNTIF($MH56:$MK56,"Atrasar")+COUNTIF($NT56:$NU56,"Atrasar"))&gt;0),"Rápido não entra com Atrasar",""),IF(AND((COUNTIF($MH56:$MK56,"Reação")+COUNTIF($NT56:$NU56,"Reação"))&gt;0,(COUNTIF($MH56:$MK56,"Rápido")+COUNTIF($NT56:$NU56,"Rápido"))&gt;0),"Reação não entra com Rápido",""),IF(AND((COUNTIF($MH56:$MK56,"Reação")+COUNTIF($NT56:$NU56,"Reação"))&gt;0,(COUNTIF($MH56:$MK56,"Armado")+COUNTIF($NT56:$NU56,"Armado"))&gt;0),"Reação não entra com Armado",""),IF(AND((COUNTIF($MH56:$MK56,"Reação")+COUNTIF($NT56:$NU56,"Reação"))&gt;0,(COUNTIF($MH56:$MK56,"Atrasar")+COUNTIF($NT56:$NU56,"Atrasar"))&gt;0),"Reação não entra com Atrasar",""),IF(AND((COUNTIF($MH56:$MK56,"Reação")+COUNTIF($NT56:$NU56,"Reação"))&gt;0,(COUNTIF($MH56:$MK56,"Parado")+COUNTIF($NT56:$NU56,"Parado"))&gt;0),"Reação não entra com Parado",""),IF(AND((COUNTIF($MH56:$MK56,"Atrasar")+COUNTIF($NT56:$NU56,"Atrasar"))&gt;0,(COUNTIF($MH56:$MK56,"Parado")+COUNTIF($NT56:$NU56,"Parado"))&gt;0),"Atrasar não entra com Parado",""),IF(AND((COUNTIF($MH56:$MK56,"Armado")+COUNTIF($NT56:$NU56,"Armado"))&gt;0,(COUNTIF($MH56:$MK56,"Carregar")+COUNTIF($NT56:$NU56,"Carregar"))&gt;0),"Armado não entra com Carregar",""),IF(AND(COUNTIF($NT56:$NU56,"Corpo a Corpo")&gt;0,$NO56=0,OR($ME56="Cone",$ME56="Linha")),"Corpo a Corpo não entra em "&amp;$ME56,""),IF(AND(COUNTIF($NT56:$NU56,"Corpo a Corpo")&gt;0,$NO56=1),"A Forma "&amp;$ME56&amp;" já traz o Corpo a Corpo",""),IF(AND(COUNTIF($NT56:$NU56,"Tudo ou Nada")&gt;0,$NQ56=0),"Tudo ou Nada só entra em habilidade de Teste de Resistência",""),IF(AND(COUNTIF($MH56:$MK56,"Inescapável")&gt;0,OR($OD56&gt;1,$OE56&gt;0)),"Inescapável não aceita outra peça",""),IF(AND($MC56&gt;0,$OM56*IF(COUNTIF($MH56:$MK56,"Remate")&gt;0,1.25,1)+$ON56&gt;4*$MC56),($OM56*IF(COUNTIF($MH56:$MK56,"Remate")&gt;0,1.25,1)+$ON56)&amp;" dados somando repetições"&amp;IF(COUNTIF($MH56:$MK56,"Remate")&gt;0," e o Remate","")&amp;": o teto da Classe "&amp;$MC56&amp;" é "&amp;4*$MC56,"")))</f>
        <v/>
      </c>
      <c r="PD56" s="152">
        <f>IF($PC56="",0,(LEN($PC56)-LEN(SUBSTITUTE($PC56," · ","")))/3+1)</f>
        <v/>
      </c>
      <c r="PE56" s="152">
        <f>IF($MN56=0,"",TEXTJOIN(" · ",TRUE,IF($OG56&gt;2*$MC56,"A devolução parou no teto de "&amp;2*$MC56,""),IF($OJ56&gt;0,"Devolução perdida: "&amp;$OJ56&amp;IF($OJ56&gt;1," pontos"," ponto")&amp;" sem peça para pagar",""),IF(AND($NM56&gt;0,AND($MC56&gt;0,$NP56=0),$OM56=0),"Controle sem dano: uma rodada a mais e CD +2",""),IF(AND($NM56&gt;0,AND($MC56&gt;0,$NP56=0),$OM56&gt;0,$OM56&lt;=$MC56),"Controle com saldo até a Classe: uma rodada a mais",""),IF(AND($MC56&gt;0,$NN56&lt;&gt;""),"Efeito de "&amp;$NN56&amp;" pela Classe "&amp;MAX(1,$MC56-1),"")))</f>
        <v/>
      </c>
      <c r="PF56" s="152">
        <f>IF($PE56="",0,(LEN($PE56)-LEN(SUBSTITUTE($PE56," · ","")))/3+1)</f>
        <v/>
      </c>
      <c r="PG56" s="152">
        <f>IF($MN56=0,IF($OD56+COUNTIF($ML56:$MM56,"?*")&gt;0,"Dê um nome",""),IF($PD56&gt;0,"⚠ "&amp;$PD56&amp;IF($PD56&gt;1," erros"," erro"),IF($PF56&gt;0,"! "&amp;$PF56&amp;IF($PF56&gt;1," avisos"," aviso"),"Na regra")))</f>
        <v/>
      </c>
      <c r="PH56" s="152">
        <f>IF($MN56=0,"",IF($PD56+$PF56=0,"Dentro das regras que a ficha confere",$PC56&amp;IF(AND($PD56&gt;0,$PF56&gt;0)," · ","")&amp;$PE56))</f>
        <v/>
      </c>
      <c r="PI56" s="152">
        <f>IF($MA56&gt;$MO56,$MB56&amp;" · ABRE NO NÍVEL "&amp;$MA56,$MB56)</f>
        <v/>
      </c>
      <c r="PJ56" s="152">
        <f>IF($MN56=0,"",IF($MC56=0,"Sem PE",3*$MC56&amp;" PE"))</f>
        <v/>
      </c>
      <c r="PK56" s="152">
        <f>IF($MN56=0,"",IF($MC56=0,"A atuação básica dela",IF(COUNTIF($NT56:$NU56,"Atrasar")&gt;0,"Sua Ação Completa",IF(COUNTIF($MH56:$MK56,"Rápido")&gt;0,"Sua Bônus",IF(COUNTIF($MH56:$MK56,"Reação")&gt;0,"Sua Reação","Sua Padrão")))&amp;" + a básica dela"&amp;IF(COUNTIF($MH56:$MK56,"Reação")&gt;0," e a coletiva","")&amp;IF(COUNTIF($NT56:$NU56,"Carregar")&gt;0," · em dois turnos","")))</f>
        <v/>
      </c>
      <c r="PL56" s="152">
        <f>IF($MG56&lt;&gt;"",$MG56,IF($MT56=0,"",INDEX($AA$2:$AA$11,$MT56)))</f>
        <v/>
      </c>
      <c r="PM56" s="152">
        <f>IF(OR($MN56=0,$MT56=0),"",IF(COUNTIF($MH56:$MK56,"Inescapável")&gt;0,"Automático",IF($PL56="Ataque",IF($MR56="","Ataque","Ataque "&amp;IF(($MR56+2*IF(COUNTIF($MH56:$MK56,"Precisão")&gt;0,1,0))&gt;=0,"+","−")&amp;ABS(($MR56+2*IF(COUNTIF($MH56:$MK56,"Precisão")&gt;0,1,0)))),IF(LEFT($PL56,2)="TR",$PL56&amp;IF($MS56="",""," · CD "&amp;$MS56)&amp;IF(COUNTIF($MH56:$MK56,"Certeiro")&gt;0," · metade",""),"Sem rolagem"))))</f>
        <v/>
      </c>
      <c r="PN56" s="152">
        <f>IF(OR($MN56=0,$MT56=0),"",IF($MC56=0,IF(OR($NP56&gt;=1,$OM56=0),"Sem dano",$OM56&amp;"d6"&amp;IF($MF56="",""," "&amp;$MF56)),IF(OR($NP56&gt;=1,$OM56=0),UPPER(LEFT(INDEX($OV56:$PB56,1,MAX(1,$MC56)),1))&amp;MID(INDEX($OV56:$PB56,1,MAX(1,$MC56)),2,99),UPPER(LEFT(INDEX($OV56:$PB56,1,MAX(1,$MC56)),1))&amp;MID(INDEX($OV56:$PB56,1,MAX(1,$MC56)),2,99)&amp;IF($MF56="",""," "&amp;$MF56)&amp;IF($ON56&gt;0," · +"&amp;$ON56&amp;"d8",""))))</f>
        <v/>
      </c>
      <c r="PO56" s="152">
        <f>COUNTIF($MH56:$MK56,"Longe")+3*COUNTIF($MH56:$MK56,"Muito Longe")</f>
        <v/>
      </c>
      <c r="PP56" s="152">
        <f>COUNTIF($MH56:$MK56,"Maior")+3*COUNTIF($MH56:$MK56,"Muito Maior")</f>
        <v/>
      </c>
      <c r="PQ56" s="152">
        <f>IF($MT56=0,0,CHOOSE(1+INDEX($AC$2:$AC$11,$MT56),0,$PO56,$PP56,$PO56+$PP56))</f>
        <v/>
      </c>
      <c r="PR56" s="152">
        <f>IF($MT56=0,0,CHOOSE(1+INDEX($AD$2:$AD$11,$MT56),0,$PO56,$PP56,$PO56+$PP56))</f>
        <v/>
      </c>
      <c r="PS56" s="152">
        <f>IF(OR($MN56=0,$MT56=0),"",INDEX($AI$2:$AN$41,($MT56-1)*4+IF($MC56=0,1,IF($MC56&lt;=5,2,IF($MC56=6,3,4))),1+MIN(5,$PQ56))&amp;INDEX($AO$2:$AT$41,($MT56-1)*4+IF($MC56=0,1,IF($MC56&lt;=5,2,IF($MC56=6,3,4))),1+MIN(5,$PR56))&amp;IF(INDEX($AE$2:$AE$11,$MT56)=1,IF(COUNTIF($MH56:$MK56,"Mais Um")&gt;0," · +"&amp;COUNTIF($MH56:$MK56,"Mais Um")&amp;IF(COUNTIF($MH56:$MK56,"Mais Um")&gt;1," alvos"," alvo"),"")&amp;IF(COUNTIF($MH56:$MK56,"Rajada")&gt;0,IF($MC56=0," · 1 tiro"," · "&amp;(MAX(1,$MC56-1)+1)&amp;" tiros"),""),""))</f>
        <v/>
      </c>
      <c r="PT56" s="152">
        <f>IF($MN56=0,"",IF($MC56=0,$MQ56&amp;"d6"&amp;IF($OD56&gt;0," − 1 = "&amp;$OM56&amp;"d6"," da básica do nível "&amp;$MO56),$OK56&amp;" − "&amp;$OF56&amp;" + "&amp;$OI56&amp;" = "&amp;$OL56&amp;" · teto "&amp;4*$MC56&amp;"d8"&amp;IF($NO56=1," · a Forma devolve "&amp;$MC56,"")&amp;IF($OJ56&gt;0," · perde "&amp;$OJ56,"")))</f>
        <v/>
      </c>
      <c r="PU56" s="152">
        <f>IF($MN56=0,"",IF($MC56=0,"A básica não amplia: os dados dela sobem com o nível",IF($MC56&gt;=$MP56,"Já está na maior Classe que o nível liberou",TEXTJOIN(" · ",TRUE,IF(AND(2&gt;$MC56,2&lt;=$MP56),"2 → "&amp;$OW56&amp;", 6 PE",""),IF(AND(3&gt;$MC56,3&lt;=$MP56),"3 → "&amp;$OX56&amp;", 9 PE",""),IF(AND(4&gt;$MC56,4&lt;=$MP56),"4 → "&amp;$OY56&amp;", 12 PE",""),IF(AND(5&gt;$MC56,5&lt;=$MP56),"5 → "&amp;$OZ56&amp;", 15 PE",""),IF(AND(6&gt;$MC56,6&lt;=$MP56),"6 → "&amp;$PA56&amp;", 18 PE",""),IF(AND(7&gt;$MC56,7&lt;=$MP56),"7 → "&amp;$PB56&amp;", 21 PE","")))))</f>
        <v/>
      </c>
      <c r="PV56" s="152">
        <f>IF(OR($MN56=0,$MY56=0),"",IF($MC56=0,"−1 dado","−"&amp;INDEX($I$2:$N$8,MAX(1,$MC56),MAX(1,$ND56))&amp;" · "&amp;CHOOSE(MAX(1,$ND56),"Leve","Média","Pesada","Leve · Livre","Média · Livre","Pesada · Livre")))</f>
        <v/>
      </c>
      <c r="PW56" s="152">
        <f>IF(OR($MN56=0,$MZ56=0),"",IF($MC56=0,"−1 dado","−"&amp;INDEX($I$2:$N$8,MAX(1,$MC56),MAX(1,$NE56))&amp;" · "&amp;CHOOSE(MAX(1,$NE56),"Leve","Média","Pesada","Leve · Livre","Média · Livre","Pesada · Livre")))</f>
        <v/>
      </c>
      <c r="PX56" s="152">
        <f>IF(OR($MN56=0,$NA56=0),"",IF($MC56=0,"−1 dado","−"&amp;INDEX($I$2:$N$8,MAX(1,$MC56),MAX(1,$NF56))&amp;" · "&amp;CHOOSE(MAX(1,$NF56),"Leve","Média","Pesada","Leve · Livre","Média · Livre","Pesada · Livre")))</f>
        <v/>
      </c>
      <c r="PY56" s="152">
        <f>IF(OR($MN56=0,$NB56=0),"",IF($MC56=0,"−1 dado","−"&amp;INDEX($I$2:$N$8,MAX(1,$MC56),MAX(1,$NG56))&amp;" · "&amp;CHOOSE(MAX(1,$NG56),"Leve","Média","Pesada","Leve · Livre","Média · Livre","Pesada · Livre")))</f>
        <v/>
      </c>
      <c r="PZ56" s="152">
        <f>IF(OR($MN56=0,$ML56=""),"",IF($MC56=0,"não devolve","+"&amp;IF($NR56=1,CEILING($MC56/2,1),$MC56)))</f>
        <v/>
      </c>
      <c r="QA56" s="152">
        <f>IF(OR($MN56=0,$MM56=""),"",IF($MC56=0,"não devolve","+"&amp;IF($NS56=1,CEILING($MC56/2,1),$MC56)))</f>
        <v/>
      </c>
    </row>
    <row r="57">
      <c r="AV57" s="150" t="inlineStr">
        <is>
          <t>Quebra Coisa</t>
        </is>
      </c>
      <c r="AW57" s="150" t="inlineStr">
        <is>
          <t>Castigo</t>
        </is>
      </c>
      <c r="AX57" s="152" t="n">
        <v>1</v>
      </c>
      <c r="AY57" s="152" t="n">
        <v>0</v>
      </c>
      <c r="AZ57" s="152" t="n">
        <v>0</v>
      </c>
      <c r="JD57" s="152">
        <f>IF(OR($AW57="",COUNTIF($ED$2:$EH$2,$AW57)&gt;0),$AV57,"")</f>
        <v/>
      </c>
      <c r="JE57" s="152">
        <f>IF(AND($AX57=1,OR($AW57="",COUNTIF($ED$2:$EH$2,$AW57)&gt;0)),$AV57,"")</f>
        <v/>
      </c>
      <c r="JJ57" s="152">
        <f>IF(OR($AW57="",COUNTIF($ED$3:$EH$3,$AW57)&gt;0),$AV57,"")</f>
        <v/>
      </c>
      <c r="JK57" s="152">
        <f>IF(AND($AX57=1,OR($AW57="",COUNTIF($ED$3:$EH$3,$AW57)&gt;0)),$AV57,"")</f>
        <v/>
      </c>
      <c r="JP57" s="152">
        <f>IF(OR($AW57="",COUNTIF($ED$4:$EH$4,$AW57)&gt;0),$AV57,"")</f>
        <v/>
      </c>
      <c r="JQ57" s="152">
        <f>IF(AND($AX57=1,OR($AW57="",COUNTIF($ED$4:$EH$4,$AW57)&gt;0)),$AV57,"")</f>
        <v/>
      </c>
      <c r="JV57" s="152">
        <f>IF(OR($AW57="",COUNTIF($ED$5:$EH$5,$AW57)&gt;0),$AV57,"")</f>
        <v/>
      </c>
      <c r="JW57" s="152">
        <f>IF(AND($AX57=1,OR($AW57="",COUNTIF($ED$5:$EH$5,$AW57)&gt;0)),$AV57,"")</f>
        <v/>
      </c>
      <c r="KB57" s="152">
        <f>IF(OR($AW57="",COUNTIF($ED$6:$EH$6,$AW57)&gt;0),$AV57,"")</f>
        <v/>
      </c>
      <c r="KC57" s="152">
        <f>IF(AND($AX57=1,OR($AW57="",COUNTIF($ED$6:$EH$6,$AW57)&gt;0)),$AV57,"")</f>
        <v/>
      </c>
      <c r="KH57" s="152">
        <f>IF(OR($AW57="",COUNTIF($ED$7:$EH$7,$AW57)&gt;0),$AV57,"")</f>
        <v/>
      </c>
      <c r="KI57" s="152">
        <f>IF(AND($AX57=1,OR($AW57="",COUNTIF($ED$7:$EH$7,$AW57)&gt;0)),$AV57,"")</f>
        <v/>
      </c>
      <c r="KN57" s="152">
        <f>IF(OR($AW57="",COUNTIF($ED$8:$EH$8,$AW57)&gt;0),$AV57,"")</f>
        <v/>
      </c>
      <c r="KO57" s="152">
        <f>IF(AND($AX57=1,OR($AW57="",COUNTIF($ED$8:$EH$8,$AW57)&gt;0)),$AV57,"")</f>
        <v/>
      </c>
      <c r="KT57" s="152">
        <f>IF(OR($AW57="",COUNTIF($ED$9:$EH$9,$AW57)&gt;0),$AV57,"")</f>
        <v/>
      </c>
      <c r="KU57" s="152">
        <f>IF(AND($AX57=1,OR($AW57="",COUNTIF($ED$9:$EH$9,$AW57)&gt;0)),$AV57,"")</f>
        <v/>
      </c>
      <c r="KZ57" s="152">
        <f>IF(OR($AW57="",COUNTIF($ED$10:$EH$10,$AW57)&gt;0),$AV57,"")</f>
        <v/>
      </c>
      <c r="LA57" s="152">
        <f>IF(AND($AX57=1,OR($AW57="",COUNTIF($ED$10:$EH$10,$AW57)&gt;0)),$AV57,"")</f>
        <v/>
      </c>
      <c r="LF57" s="152">
        <f>IF(OR($AW57="",COUNTIF($ED$11:$EH$11,$AW57)&gt;0),$AV57,"")</f>
        <v/>
      </c>
      <c r="LG57" s="152">
        <f>IF(AND($AX57=1,OR($AW57="",COUNTIF($ED$11:$EH$11,$AW57)&gt;0)),$AV57,"")</f>
        <v/>
      </c>
      <c r="LL57" s="152">
        <f>IF(OR($AW57="",COUNTIF($ED$12:$EH$12,$AW57)&gt;0),$AV57,"")</f>
        <v/>
      </c>
      <c r="LM57" s="152">
        <f>IF(AND($AX57=1,OR($AW57="",COUNTIF($ED$12:$EH$12,$AW57)&gt;0)),$AV57,"")</f>
        <v/>
      </c>
      <c r="LR57" s="152">
        <f>IF(OR($AW57="",COUNTIF($ED$13:$EH$13,$AW57)&gt;0),$AV57,"")</f>
        <v/>
      </c>
      <c r="LS57" s="152">
        <f>IF(AND($AX57=1,OR($AW57="",COUNTIF($ED$13:$EH$13,$AW57)&gt;0)),$AV57,"")</f>
        <v/>
      </c>
      <c r="LX57" s="150" t="inlineStr">
        <is>
          <t>Ficha 5 · Básica 2</t>
        </is>
      </c>
      <c r="LY57" s="152" t="n">
        <v>5</v>
      </c>
      <c r="LZ57" s="152" t="n">
        <v>0</v>
      </c>
      <c r="MA57" s="152" t="n">
        <v>11</v>
      </c>
      <c r="MB57" s="150" t="inlineStr">
        <is>
          <t>BÁSICA 2</t>
        </is>
      </c>
      <c r="MC57" s="152" t="n">
        <v>0</v>
      </c>
      <c r="MD57" s="152">
        <f>'INVOCAÇÕES'!$J$884&amp;""</f>
        <v/>
      </c>
      <c r="ME57" s="152">
        <f>'INVOCAÇÕES'!$I$889&amp;""</f>
        <v/>
      </c>
      <c r="MF57" s="152">
        <f>'INVOCAÇÕES'!$I$890&amp;""</f>
        <v/>
      </c>
      <c r="MG57" s="152">
        <f>'INVOCAÇÕES'!$K$890&amp;""</f>
        <v/>
      </c>
      <c r="MH57" s="152">
        <f>'INVOCAÇÕES'!$J$893&amp;""</f>
        <v/>
      </c>
      <c r="MI57" s="152">
        <f>'INVOCAÇÕES'!$J$894&amp;""</f>
        <v/>
      </c>
      <c r="MJ57" s="152">
        <f>'INVOCAÇÕES'!$J$895&amp;""</f>
        <v/>
      </c>
      <c r="MK57" s="152">
        <f>'INVOCAÇÕES'!$J$896&amp;""</f>
        <v/>
      </c>
      <c r="ML57" s="152">
        <f>'INVOCAÇÕES'!$J$897&amp;""</f>
        <v/>
      </c>
      <c r="MM57" s="152">
        <f>'INVOCAÇÕES'!$J$898&amp;""</f>
        <v/>
      </c>
      <c r="MN57" s="152">
        <f>IF($MD57&lt;&gt;"",1,0)</f>
        <v/>
      </c>
      <c r="MO57" s="152">
        <f>INDEX($FG$2:$FG$13,$LY57)</f>
        <v/>
      </c>
      <c r="MP57" s="152">
        <f>INDEX($FH$2:$FH$13,$LY57)</f>
        <v/>
      </c>
      <c r="MQ57" s="152">
        <f>INDEX($FI$2:$FI$13,$LY57)</f>
        <v/>
      </c>
      <c r="MR57" s="152">
        <f>INDEX($FT$2:$FT$13,$LY57)</f>
        <v/>
      </c>
      <c r="MS57" s="152">
        <f>INDEX($FU$2:$FU$13,$LY57)</f>
        <v/>
      </c>
      <c r="MT57" s="152">
        <f>IFERROR(MATCH($ME57,$V$2:$V$11,0),0)</f>
        <v/>
      </c>
      <c r="MU57" s="152">
        <f>IFERROR(VLOOKUP($MH57,$AV$2:$AZ$84,2,FALSE),"")</f>
        <v/>
      </c>
      <c r="MV57" s="152">
        <f>IFERROR(VLOOKUP($MI57,$AV$2:$AZ$84,2,FALSE),"")</f>
        <v/>
      </c>
      <c r="MW57" s="152">
        <f>IFERROR(VLOOKUP($MJ57,$AV$2:$AZ$84,2,FALSE),"")</f>
        <v/>
      </c>
      <c r="MX57" s="152">
        <f>IFERROR(VLOOKUP($MK57,$AV$2:$AZ$84,2,FALSE),"")</f>
        <v/>
      </c>
      <c r="MY57" s="152">
        <f>IFERROR(VLOOKUP($MH57,$AV$2:$AZ$84,3,FALSE),0)</f>
        <v/>
      </c>
      <c r="MZ57" s="152">
        <f>IFERROR(VLOOKUP($MI57,$AV$2:$AZ$84,3,FALSE),0)</f>
        <v/>
      </c>
      <c r="NA57" s="152">
        <f>IFERROR(VLOOKUP($MJ57,$AV$2:$AZ$84,3,FALSE),0)</f>
        <v/>
      </c>
      <c r="NB57" s="152">
        <f>IFERROR(VLOOKUP($MK57,$AV$2:$AZ$84,3,FALSE),0)</f>
        <v/>
      </c>
      <c r="NC57" s="152">
        <f>IF($MC57=0,0,IF($MT57=0,0,INDEX($X$2:$X$11,$MT57)))</f>
        <v/>
      </c>
      <c r="ND57" s="152">
        <f>IF(OR($MY57=0,$MC57=0),0,$MY57+3*IF(AND($MU57&lt;&gt;"",OR($MU57=INDEX($ED$2:$ED$13,$LY57),$MU57=INDEX($EE$2:$EE$13,$LY57))),1,0))</f>
        <v/>
      </c>
      <c r="NE57" s="152">
        <f>IF(OR($MZ57=0,$MC57=0),0,$MZ57+3*IF(AND($MV57&lt;&gt;"",OR($MV57=INDEX($ED$2:$ED$13,$LY57),$MV57=INDEX($EE$2:$EE$13,$LY57))),1,0))</f>
        <v/>
      </c>
      <c r="NF57" s="152">
        <f>IF(OR($NA57=0,$MC57=0),0,$NA57+3*IF(AND($MW57&lt;&gt;"",OR($MW57=INDEX($ED$2:$ED$13,$LY57),$MW57=INDEX($EE$2:$EE$13,$LY57))),1,0))</f>
        <v/>
      </c>
      <c r="NG57" s="152">
        <f>IF(OR($NB57=0,$MC57=0),0,$NB57+3*IF(AND($MX57&lt;&gt;"",OR($MX57=INDEX($ED$2:$ED$13,$LY57),$MX57=INDEX($EE$2:$EE$13,$LY57))),1,0))</f>
        <v/>
      </c>
      <c r="NH57" s="152">
        <f>IF($MT57=0,0,IF(INDEX($W$2:$W$11,$MT57)="",0,IF(COUNTIF(INDEX($ED$2:$EH$13,$LY57,0),INDEX($W$2:$W$11,$MT57))=0,1,0)))</f>
        <v/>
      </c>
      <c r="NI57" s="152">
        <f>IF(OR($MY57=0,$MU57=""),0,IF(COUNTIF(INDEX($ED$2:$EH$13,$LY57,0),$MU57)=0,1,0))</f>
        <v/>
      </c>
      <c r="NJ57" s="152">
        <f>IF(OR($MZ57=0,$MV57=""),0,IF(COUNTIF(INDEX($ED$2:$EH$13,$LY57,0),$MV57)=0,1,0))</f>
        <v/>
      </c>
      <c r="NK57" s="152">
        <f>IF(OR($NA57=0,$MW57=""),0,IF(COUNTIF(INDEX($ED$2:$EH$13,$LY57,0),$MW57)=0,1,0))</f>
        <v/>
      </c>
      <c r="NL57" s="152">
        <f>IF(OR($NB57=0,$MX57=""),0,IF(COUNTIF(INDEX($ED$2:$EH$13,$LY57,0),$MX57)=0,1,0))</f>
        <v/>
      </c>
      <c r="NM57" s="152">
        <f>IFERROR(VLOOKUP($MH57,$AV$2:$AZ$84,4,FALSE),0)+IFERROR(VLOOKUP($MI57,$AV$2:$AZ$84,4,FALSE),0)+IFERROR(VLOOKUP($MJ57,$AV$2:$AZ$84,4,FALSE),0)+IFERROR(VLOOKUP($MK57,$AV$2:$AZ$84,4,FALSE),0)</f>
        <v/>
      </c>
      <c r="NN57" s="152">
        <f>TEXTJOIN(", ",TRUE,IF(IFERROR(VLOOKUP($MH57,$AV$2:$AZ$84,5,FALSE),0)=1,$MH57,""),IF(IFERROR(VLOOKUP($MI57,$AV$2:$AZ$84,5,FALSE),0)=1,$MI57,""),IF(IFERROR(VLOOKUP($MJ57,$AV$2:$AZ$84,5,FALSE),0)=1,$MJ57,""),IF(IFERROR(VLOOKUP($MK57,$AV$2:$AZ$84,5,FALSE),0)=1,$MK57,""))</f>
        <v/>
      </c>
      <c r="NO57" s="152">
        <f>IF($MT57=0,0,INDEX($Y$2:$Y$11,$MT57))</f>
        <v/>
      </c>
      <c r="NP57" s="152">
        <f>IF($MT57=0,0,INDEX($Z$2:$Z$11,$MT57))</f>
        <v/>
      </c>
      <c r="NQ57" s="152">
        <f>IF($MT57=0,0,INDEX($AB$2:$AB$11,$MT57))</f>
        <v/>
      </c>
      <c r="NR57" s="152">
        <f>IFERROR(VLOOKUP($ML57,$BB$2:$BF$24,3,FALSE),0)</f>
        <v/>
      </c>
      <c r="NS57" s="152">
        <f>IFERROR(VLOOKUP($MM57,$BB$2:$BF$24,3,FALSE),0)</f>
        <v/>
      </c>
      <c r="NT57" s="152">
        <f>IFERROR(VLOOKUP($ML57,$BB$2:$BF$24,2,FALSE),"")</f>
        <v/>
      </c>
      <c r="NU57" s="152">
        <f>IFERROR(VLOOKUP($MM57,$BB$2:$BF$24,2,FALSE),"")</f>
        <v/>
      </c>
      <c r="NV57" s="152">
        <f>COUNTIF($NC57:$NG57,1)</f>
        <v/>
      </c>
      <c r="NW57" s="152">
        <f>COUNTIF($NC57:$NG57,2)</f>
        <v/>
      </c>
      <c r="NX57" s="152">
        <f>COUNTIF($NC57:$NG57,3)</f>
        <v/>
      </c>
      <c r="NY57" s="152">
        <f>COUNTIF($NC57:$NG57,4)</f>
        <v/>
      </c>
      <c r="NZ57" s="152">
        <f>COUNTIF($NC57:$NG57,5)</f>
        <v/>
      </c>
      <c r="OA57" s="152">
        <f>COUNTIF($NC57:$NG57,6)</f>
        <v/>
      </c>
      <c r="OB57" s="152">
        <f>COUNTIF($NR57:$NS57,1)</f>
        <v/>
      </c>
      <c r="OC57" s="152">
        <f>COUNTIF($NR57:$NS57,2)+$NO57</f>
        <v/>
      </c>
      <c r="OD57" s="152">
        <f>COUNTIF($MH57:$MK57,"?*")</f>
        <v/>
      </c>
      <c r="OE57" s="152">
        <f>COUNTIF($ML57:$MM57,"?*")+$NO57</f>
        <v/>
      </c>
      <c r="OF57" s="152">
        <f>IF($MC57=0,0,SUMPRODUCT($NV57:$OA57,INDEX($I$2:$N$8,MAX(1,$MC57),0)))</f>
        <v/>
      </c>
      <c r="OG57" s="152">
        <f>IF($MC57=0,0,$OB57*CEILING($MC57/2,1)+$OC57*$MC57)</f>
        <v/>
      </c>
      <c r="OH57" s="152">
        <f>MIN(2*$MC57,$OG57)</f>
        <v/>
      </c>
      <c r="OI57" s="152">
        <f>MIN($OH57,$OF57)</f>
        <v/>
      </c>
      <c r="OJ57" s="152">
        <f>$OH57-$OI57</f>
        <v/>
      </c>
      <c r="OK57" s="152">
        <f>IF($MC57=0,0,INDEX($P$2:$P$8,MAX(1,$MC57)))</f>
        <v/>
      </c>
      <c r="OL57" s="152">
        <f>$OK57-$OF57+$OI57</f>
        <v/>
      </c>
      <c r="OM57" s="152">
        <f>IF($MC57=0,MAX(0,$MQ57-IF($OD57&gt;0,1,0)),MAX(0,$OL57))</f>
        <v/>
      </c>
      <c r="ON57" s="152">
        <f>IF($MC57=0,0,(IF(COUNTIF($MH57:$MK57,"Salto")&gt;0,1,0)+IF(COUNTIF($MH57:$MK57,"Queima")&gt;0,1,0)+IF(COUNTIF($MH57:$MK57,"Estilhaço")&gt;0,1,0))*FLOOR($OM57/2,1))</f>
        <v/>
      </c>
      <c r="OO57" s="152">
        <f>MAX(0,2-SUMPRODUCT($NV57:$OA57,$I$2:$N$2)+MIN(2,$OB57*1+$OC57*1,SUMPRODUCT($NV57:$OA57,$I$2:$N$2)))</f>
        <v/>
      </c>
      <c r="OP57" s="152">
        <f>MAX(0,4-SUMPRODUCT($NV57:$OA57,$I$3:$N$3)+MIN(4,$OB57*1+$OC57*2,SUMPRODUCT($NV57:$OA57,$I$3:$N$3)))</f>
        <v/>
      </c>
      <c r="OQ57" s="152">
        <f>MAX(0,6-SUMPRODUCT($NV57:$OA57,$I$4:$N$4)+MIN(6,$OB57*2+$OC57*3,SUMPRODUCT($NV57:$OA57,$I$4:$N$4)))</f>
        <v/>
      </c>
      <c r="OR57" s="152">
        <f>MAX(0,9-SUMPRODUCT($NV57:$OA57,$I$5:$N$5)+MIN(8,$OB57*2+$OC57*4,SUMPRODUCT($NV57:$OA57,$I$5:$N$5)))</f>
        <v/>
      </c>
      <c r="OS57" s="152">
        <f>MAX(0,11-SUMPRODUCT($NV57:$OA57,$I$6:$N$6)+MIN(10,$OB57*3+$OC57*5,SUMPRODUCT($NV57:$OA57,$I$6:$N$6)))</f>
        <v/>
      </c>
      <c r="OT57" s="152">
        <f>MAX(0,13-SUMPRODUCT($NV57:$OA57,$I$7:$N$7)+MIN(12,$OB57*3+$OC57*6,SUMPRODUCT($NV57:$OA57,$I$7:$N$7)))</f>
        <v/>
      </c>
      <c r="OU57" s="152">
        <f>MAX(0,16-SUMPRODUCT($NV57:$OA57,$I$8:$N$8)+MIN(14,$OB57*4+$OC57*7,SUMPRODUCT($NV57:$OA57,$I$8:$N$8)))</f>
        <v/>
      </c>
      <c r="OV57" s="152">
        <f>IF($NP57=2,3*$OO57&amp;" de vida temp.",IF($NP57=3,"sem dano",IF($OO57=0,IF($NP57=1,"sem cura","sem dano"),IF($NP57=1,"cura ","")&amp;$OO57&amp;"d8")))</f>
        <v/>
      </c>
      <c r="OW57" s="152">
        <f>IF($NP57=2,3*$OP57&amp;" de vida temp.",IF($NP57=3,"sem dano",IF($OP57=0,IF($NP57=1,"sem cura","sem dano"),IF($NP57=1,"cura ","")&amp;$OP57&amp;"d8")))</f>
        <v/>
      </c>
      <c r="OX57" s="152">
        <f>IF($NP57=2,3*$OQ57&amp;" de vida temp.",IF($NP57=3,"sem dano",IF($OQ57=0,IF($NP57=1,"sem cura","sem dano"),IF($NP57=1,"cura ","")&amp;$OQ57&amp;"d8")))</f>
        <v/>
      </c>
      <c r="OY57" s="152">
        <f>IF($NP57=2,3*$OR57&amp;" de vida temp.",IF($NP57=3,"sem dano",IF($OR57=0,IF($NP57=1,"sem cura","sem dano"),IF($NP57=1,"cura ","")&amp;$OR57&amp;"d8")))</f>
        <v/>
      </c>
      <c r="OZ57" s="152">
        <f>IF($NP57=2,3*$OS57&amp;" de vida temp.",IF($NP57=3,"sem dano",IF($OS57=0,IF($NP57=1,"sem cura","sem dano"),IF($NP57=1,"cura ","")&amp;$OS57&amp;"d8")))</f>
        <v/>
      </c>
      <c r="PA57" s="152">
        <f>IF($NP57=2,3*$OT57&amp;" de vida temp.",IF($NP57=3,"sem dano",IF($OT57=0,IF($NP57=1,"sem cura","sem dano"),IF($NP57=1,"cura ","")&amp;$OT57&amp;"d8")))</f>
        <v/>
      </c>
      <c r="PB57" s="152">
        <f>IF($NP57=2,3*$OU57&amp;" de vida temp.",IF($NP57=3,"sem dano",IF($OU57=0,IF($NP57=1,"sem cura","sem dano"),IF($NP57=1,"cura ","")&amp;$OU57&amp;"d8")))</f>
        <v/>
      </c>
      <c r="PC57" s="152">
        <f>IF($MN57=0,"",TEXTJOIN(" · ",TRUE,IF($MA57&gt;$MO57,"Este lugar abre no nível "&amp;$MA57,""),IF($MC57&gt;$MP57,"Classe "&amp;$MC57&amp;": o nível "&amp;$MO57&amp;" libera até a "&amp;$MP57,""),IF($NH57=1,"A Forma "&amp;$ME57&amp;" pede "&amp;INDEX($W$2:$W$11,$MT57)&amp;" aberta",""),IF(AND($MC57=0,$MT57&gt;0,IF($MT57=0,0,INDEX($AF$2:$AF$11,$MT57))=0),$ME57&amp;" não existe na Classe 0",""),IF($NI57=1,"Família Fechada: "&amp;$MH57,""),IF($NJ57=1,"Família Fechada: "&amp;$MI57,""),IF($NK57=1,"Família Fechada: "&amp;$MJ57,""),IF($NL57=1,"Família Fechada: "&amp;$MK57,""),IF(AND($MC57&gt;0,$OD57&gt;INDEX($O$2:$O$8,MAX(1,$MC57))),$OD57&amp;" Melhorias: a Classe "&amp;$MC57&amp;" aceita "&amp;INDEX($O$2:$O$8,MAX(1,$MC57)),""),IF(AND($MC57=0,$OD57&gt;1),"A básica aceita uma Melhoria",""),IF(AND($MC57=0,COUNTIF($MY57:$NB57,"&gt;1")&gt;0),"A básica só aceita Melhoria Leve",""),IF(AND($MC57&gt;0,$OE57&gt;2),$OE57&amp;" Restrições"&amp;IF($NO57=1,", contando a que a Forma "&amp;$ME57&amp;" já traz","")&amp;": o limite é 2",""),IF(AND($MC57=0,COUNTIF($ML57:$MM57,"?*")&gt;1),"A básica aceita uma Restrição Leve",""),IF(AND($MC57=0,COUNTIF($NR57:$NS57,2)&gt;0),"A básica só aceita Restrição Leve",""),IF(AND($MC57&gt;0,$OL57&lt;0),"Orçamento estourado: faltam "&amp;(-$OL57)&amp;IF($OL57&lt;-1," pontos"," ponto"),""),IF(IFERROR(VLOOKUP($ML57,$BB$2:$BF$24,4,FALSE),0)+IFERROR(VLOOKUP($MM57,$BB$2:$BF$24,4,FALSE),0)&gt;1,$NT57&amp;" e "&amp;$NU57&amp;" são as duas de frequência",""),IF(AND((COUNTIF($MH57:$MK57,"Rápido")+COUNTIF($NT57:$NU57,"Rápido"))&gt;0,(COUNTIF($MH57:$MK57,"Atrasar")+COUNTIF($NT57:$NU57,"Atrasar"))&gt;0),"Rápido não entra com Atrasar",""),IF(AND((COUNTIF($MH57:$MK57,"Reação")+COUNTIF($NT57:$NU57,"Reação"))&gt;0,(COUNTIF($MH57:$MK57,"Rápido")+COUNTIF($NT57:$NU57,"Rápido"))&gt;0),"Reação não entra com Rápido",""),IF(AND((COUNTIF($MH57:$MK57,"Reação")+COUNTIF($NT57:$NU57,"Reação"))&gt;0,(COUNTIF($MH57:$MK57,"Armado")+COUNTIF($NT57:$NU57,"Armado"))&gt;0),"Reação não entra com Armado",""),IF(AND((COUNTIF($MH57:$MK57,"Reação")+COUNTIF($NT57:$NU57,"Reação"))&gt;0,(COUNTIF($MH57:$MK57,"Atrasar")+COUNTIF($NT57:$NU57,"Atrasar"))&gt;0),"Reação não entra com Atrasar",""),IF(AND((COUNTIF($MH57:$MK57,"Reação")+COUNTIF($NT57:$NU57,"Reação"))&gt;0,(COUNTIF($MH57:$MK57,"Parado")+COUNTIF($NT57:$NU57,"Parado"))&gt;0),"Reação não entra com Parado",""),IF(AND((COUNTIF($MH57:$MK57,"Atrasar")+COUNTIF($NT57:$NU57,"Atrasar"))&gt;0,(COUNTIF($MH57:$MK57,"Parado")+COUNTIF($NT57:$NU57,"Parado"))&gt;0),"Atrasar não entra com Parado",""),IF(AND((COUNTIF($MH57:$MK57,"Armado")+COUNTIF($NT57:$NU57,"Armado"))&gt;0,(COUNTIF($MH57:$MK57,"Carregar")+COUNTIF($NT57:$NU57,"Carregar"))&gt;0),"Armado não entra com Carregar",""),IF(AND(COUNTIF($NT57:$NU57,"Corpo a Corpo")&gt;0,$NO57=0,OR($ME57="Cone",$ME57="Linha")),"Corpo a Corpo não entra em "&amp;$ME57,""),IF(AND(COUNTIF($NT57:$NU57,"Corpo a Corpo")&gt;0,$NO57=1),"A Forma "&amp;$ME57&amp;" já traz o Corpo a Corpo",""),IF(AND(COUNTIF($NT57:$NU57,"Tudo ou Nada")&gt;0,$NQ57=0),"Tudo ou Nada só entra em habilidade de Teste de Resistência",""),IF(AND(COUNTIF($MH57:$MK57,"Inescapável")&gt;0,OR($OD57&gt;1,$OE57&gt;0)),"Inescapável não aceita outra peça",""),IF(AND($MC57&gt;0,$OM57*IF(COUNTIF($MH57:$MK57,"Remate")&gt;0,1.25,1)+$ON57&gt;4*$MC57),($OM57*IF(COUNTIF($MH57:$MK57,"Remate")&gt;0,1.25,1)+$ON57)&amp;" dados somando repetições"&amp;IF(COUNTIF($MH57:$MK57,"Remate")&gt;0," e o Remate","")&amp;": o teto da Classe "&amp;$MC57&amp;" é "&amp;4*$MC57,"")))</f>
        <v/>
      </c>
      <c r="PD57" s="152">
        <f>IF($PC57="",0,(LEN($PC57)-LEN(SUBSTITUTE($PC57," · ","")))/3+1)</f>
        <v/>
      </c>
      <c r="PE57" s="152">
        <f>IF($MN57=0,"",TEXTJOIN(" · ",TRUE,IF($OG57&gt;2*$MC57,"A devolução parou no teto de "&amp;2*$MC57,""),IF($OJ57&gt;0,"Devolução perdida: "&amp;$OJ57&amp;IF($OJ57&gt;1," pontos"," ponto")&amp;" sem peça para pagar",""),IF(AND($NM57&gt;0,AND($MC57&gt;0,$NP57=0),$OM57=0),"Controle sem dano: uma rodada a mais e CD +2",""),IF(AND($NM57&gt;0,AND($MC57&gt;0,$NP57=0),$OM57&gt;0,$OM57&lt;=$MC57),"Controle com saldo até a Classe: uma rodada a mais",""),IF(AND($MC57&gt;0,$NN57&lt;&gt;""),"Efeito de "&amp;$NN57&amp;" pela Classe "&amp;MAX(1,$MC57-1),"")))</f>
        <v/>
      </c>
      <c r="PF57" s="152">
        <f>IF($PE57="",0,(LEN($PE57)-LEN(SUBSTITUTE($PE57," · ","")))/3+1)</f>
        <v/>
      </c>
      <c r="PG57" s="152">
        <f>IF($MN57=0,IF($OD57+COUNTIF($ML57:$MM57,"?*")&gt;0,"Dê um nome",""),IF($PD57&gt;0,"⚠ "&amp;$PD57&amp;IF($PD57&gt;1," erros"," erro"),IF($PF57&gt;0,"! "&amp;$PF57&amp;IF($PF57&gt;1," avisos"," aviso"),"Na regra")))</f>
        <v/>
      </c>
      <c r="PH57" s="152">
        <f>IF($MN57=0,"",IF($PD57+$PF57=0,"Dentro das regras que a ficha confere",$PC57&amp;IF(AND($PD57&gt;0,$PF57&gt;0)," · ","")&amp;$PE57))</f>
        <v/>
      </c>
      <c r="PI57" s="152">
        <f>IF($MA57&gt;$MO57,$MB57&amp;" · ABRE NO NÍVEL "&amp;$MA57,$MB57)</f>
        <v/>
      </c>
      <c r="PJ57" s="152">
        <f>IF($MN57=0,"",IF($MC57=0,"Sem PE",3*$MC57&amp;" PE"))</f>
        <v/>
      </c>
      <c r="PK57" s="152">
        <f>IF($MN57=0,"",IF($MC57=0,"A atuação básica dela",IF(COUNTIF($NT57:$NU57,"Atrasar")&gt;0,"Sua Ação Completa",IF(COUNTIF($MH57:$MK57,"Rápido")&gt;0,"Sua Bônus",IF(COUNTIF($MH57:$MK57,"Reação")&gt;0,"Sua Reação","Sua Padrão")))&amp;" + a básica dela"&amp;IF(COUNTIF($MH57:$MK57,"Reação")&gt;0," e a coletiva","")&amp;IF(COUNTIF($NT57:$NU57,"Carregar")&gt;0," · em dois turnos","")))</f>
        <v/>
      </c>
      <c r="PL57" s="152">
        <f>IF($MG57&lt;&gt;"",$MG57,IF($MT57=0,"",INDEX($AA$2:$AA$11,$MT57)))</f>
        <v/>
      </c>
      <c r="PM57" s="152">
        <f>IF(OR($MN57=0,$MT57=0),"",IF(COUNTIF($MH57:$MK57,"Inescapável")&gt;0,"Automático",IF($PL57="Ataque",IF($MR57="","Ataque","Ataque "&amp;IF(($MR57+2*IF(COUNTIF($MH57:$MK57,"Precisão")&gt;0,1,0))&gt;=0,"+","−")&amp;ABS(($MR57+2*IF(COUNTIF($MH57:$MK57,"Precisão")&gt;0,1,0)))),IF(LEFT($PL57,2)="TR",$PL57&amp;IF($MS57="",""," · CD "&amp;$MS57)&amp;IF(COUNTIF($MH57:$MK57,"Certeiro")&gt;0," · metade",""),"Sem rolagem"))))</f>
        <v/>
      </c>
      <c r="PN57" s="152">
        <f>IF(OR($MN57=0,$MT57=0),"",IF($MC57=0,IF(OR($NP57&gt;=1,$OM57=0),"Sem dano",$OM57&amp;"d6"&amp;IF($MF57="",""," "&amp;$MF57)),IF(OR($NP57&gt;=1,$OM57=0),UPPER(LEFT(INDEX($OV57:$PB57,1,MAX(1,$MC57)),1))&amp;MID(INDEX($OV57:$PB57,1,MAX(1,$MC57)),2,99),UPPER(LEFT(INDEX($OV57:$PB57,1,MAX(1,$MC57)),1))&amp;MID(INDEX($OV57:$PB57,1,MAX(1,$MC57)),2,99)&amp;IF($MF57="",""," "&amp;$MF57)&amp;IF($ON57&gt;0," · +"&amp;$ON57&amp;"d8",""))))</f>
        <v/>
      </c>
      <c r="PO57" s="152">
        <f>COUNTIF($MH57:$MK57,"Longe")+3*COUNTIF($MH57:$MK57,"Muito Longe")</f>
        <v/>
      </c>
      <c r="PP57" s="152">
        <f>COUNTIF($MH57:$MK57,"Maior")+3*COUNTIF($MH57:$MK57,"Muito Maior")</f>
        <v/>
      </c>
      <c r="PQ57" s="152">
        <f>IF($MT57=0,0,CHOOSE(1+INDEX($AC$2:$AC$11,$MT57),0,$PO57,$PP57,$PO57+$PP57))</f>
        <v/>
      </c>
      <c r="PR57" s="152">
        <f>IF($MT57=0,0,CHOOSE(1+INDEX($AD$2:$AD$11,$MT57),0,$PO57,$PP57,$PO57+$PP57))</f>
        <v/>
      </c>
      <c r="PS57" s="152">
        <f>IF(OR($MN57=0,$MT57=0),"",INDEX($AI$2:$AN$41,($MT57-1)*4+IF($MC57=0,1,IF($MC57&lt;=5,2,IF($MC57=6,3,4))),1+MIN(5,$PQ57))&amp;INDEX($AO$2:$AT$41,($MT57-1)*4+IF($MC57=0,1,IF($MC57&lt;=5,2,IF($MC57=6,3,4))),1+MIN(5,$PR57))&amp;IF(INDEX($AE$2:$AE$11,$MT57)=1,IF(COUNTIF($MH57:$MK57,"Mais Um")&gt;0," · +"&amp;COUNTIF($MH57:$MK57,"Mais Um")&amp;IF(COUNTIF($MH57:$MK57,"Mais Um")&gt;1," alvos"," alvo"),"")&amp;IF(COUNTIF($MH57:$MK57,"Rajada")&gt;0,IF($MC57=0," · 1 tiro"," · "&amp;(MAX(1,$MC57-1)+1)&amp;" tiros"),""),""))</f>
        <v/>
      </c>
      <c r="PT57" s="152">
        <f>IF($MN57=0,"",IF($MC57=0,$MQ57&amp;"d6"&amp;IF($OD57&gt;0," − 1 = "&amp;$OM57&amp;"d6"," da básica do nível "&amp;$MO57),$OK57&amp;" − "&amp;$OF57&amp;" + "&amp;$OI57&amp;" = "&amp;$OL57&amp;" · teto "&amp;4*$MC57&amp;"d8"&amp;IF($NO57=1," · a Forma devolve "&amp;$MC57,"")&amp;IF($OJ57&gt;0," · perde "&amp;$OJ57,"")))</f>
        <v/>
      </c>
      <c r="PU57" s="152">
        <f>IF($MN57=0,"",IF($MC57=0,"A básica não amplia: os dados dela sobem com o nível",IF($MC57&gt;=$MP57,"Já está na maior Classe que o nível liberou",TEXTJOIN(" · ",TRUE,IF(AND(2&gt;$MC57,2&lt;=$MP57),"2 → "&amp;$OW57&amp;", 6 PE",""),IF(AND(3&gt;$MC57,3&lt;=$MP57),"3 → "&amp;$OX57&amp;", 9 PE",""),IF(AND(4&gt;$MC57,4&lt;=$MP57),"4 → "&amp;$OY57&amp;", 12 PE",""),IF(AND(5&gt;$MC57,5&lt;=$MP57),"5 → "&amp;$OZ57&amp;", 15 PE",""),IF(AND(6&gt;$MC57,6&lt;=$MP57),"6 → "&amp;$PA57&amp;", 18 PE",""),IF(AND(7&gt;$MC57,7&lt;=$MP57),"7 → "&amp;$PB57&amp;", 21 PE","")))))</f>
        <v/>
      </c>
      <c r="PV57" s="152">
        <f>IF(OR($MN57=0,$MY57=0),"",IF($MC57=0,"−1 dado","−"&amp;INDEX($I$2:$N$8,MAX(1,$MC57),MAX(1,$ND57))&amp;" · "&amp;CHOOSE(MAX(1,$ND57),"Leve","Média","Pesada","Leve · Livre","Média · Livre","Pesada · Livre")))</f>
        <v/>
      </c>
      <c r="PW57" s="152">
        <f>IF(OR($MN57=0,$MZ57=0),"",IF($MC57=0,"−1 dado","−"&amp;INDEX($I$2:$N$8,MAX(1,$MC57),MAX(1,$NE57))&amp;" · "&amp;CHOOSE(MAX(1,$NE57),"Leve","Média","Pesada","Leve · Livre","Média · Livre","Pesada · Livre")))</f>
        <v/>
      </c>
      <c r="PX57" s="152">
        <f>IF(OR($MN57=0,$NA57=0),"",IF($MC57=0,"−1 dado","−"&amp;INDEX($I$2:$N$8,MAX(1,$MC57),MAX(1,$NF57))&amp;" · "&amp;CHOOSE(MAX(1,$NF57),"Leve","Média","Pesada","Leve · Livre","Média · Livre","Pesada · Livre")))</f>
        <v/>
      </c>
      <c r="PY57" s="152">
        <f>IF(OR($MN57=0,$NB57=0),"",IF($MC57=0,"−1 dado","−"&amp;INDEX($I$2:$N$8,MAX(1,$MC57),MAX(1,$NG57))&amp;" · "&amp;CHOOSE(MAX(1,$NG57),"Leve","Média","Pesada","Leve · Livre","Média · Livre","Pesada · Livre")))</f>
        <v/>
      </c>
      <c r="PZ57" s="152">
        <f>IF(OR($MN57=0,$ML57=""),"",IF($MC57=0,"não devolve","+"&amp;IF($NR57=1,CEILING($MC57/2,1),$MC57)))</f>
        <v/>
      </c>
      <c r="QA57" s="152">
        <f>IF(OR($MN57=0,$MM57=""),"",IF($MC57=0,"não devolve","+"&amp;IF($NS57=1,CEILING($MC57/2,1),$MC57)))</f>
        <v/>
      </c>
    </row>
    <row r="58">
      <c r="AV58" s="150" t="inlineStr">
        <is>
          <t>Rasga Escudo</t>
        </is>
      </c>
      <c r="AW58" s="150" t="inlineStr">
        <is>
          <t>Castigo</t>
        </is>
      </c>
      <c r="AX58" s="152" t="n">
        <v>2</v>
      </c>
      <c r="AY58" s="152" t="n">
        <v>0</v>
      </c>
      <c r="AZ58" s="152" t="n">
        <v>0</v>
      </c>
      <c r="JD58" s="152">
        <f>IF(OR($AW58="",COUNTIF($ED$2:$EH$2,$AW58)&gt;0),$AV58,"")</f>
        <v/>
      </c>
      <c r="JE58" s="152">
        <f>IF(AND($AX58=1,OR($AW58="",COUNTIF($ED$2:$EH$2,$AW58)&gt;0)),$AV58,"")</f>
        <v/>
      </c>
      <c r="JJ58" s="152">
        <f>IF(OR($AW58="",COUNTIF($ED$3:$EH$3,$AW58)&gt;0),$AV58,"")</f>
        <v/>
      </c>
      <c r="JK58" s="152">
        <f>IF(AND($AX58=1,OR($AW58="",COUNTIF($ED$3:$EH$3,$AW58)&gt;0)),$AV58,"")</f>
        <v/>
      </c>
      <c r="JP58" s="152">
        <f>IF(OR($AW58="",COUNTIF($ED$4:$EH$4,$AW58)&gt;0),$AV58,"")</f>
        <v/>
      </c>
      <c r="JQ58" s="152">
        <f>IF(AND($AX58=1,OR($AW58="",COUNTIF($ED$4:$EH$4,$AW58)&gt;0)),$AV58,"")</f>
        <v/>
      </c>
      <c r="JV58" s="152">
        <f>IF(OR($AW58="",COUNTIF($ED$5:$EH$5,$AW58)&gt;0),$AV58,"")</f>
        <v/>
      </c>
      <c r="JW58" s="152">
        <f>IF(AND($AX58=1,OR($AW58="",COUNTIF($ED$5:$EH$5,$AW58)&gt;0)),$AV58,"")</f>
        <v/>
      </c>
      <c r="KB58" s="152">
        <f>IF(OR($AW58="",COUNTIF($ED$6:$EH$6,$AW58)&gt;0),$AV58,"")</f>
        <v/>
      </c>
      <c r="KC58" s="152">
        <f>IF(AND($AX58=1,OR($AW58="",COUNTIF($ED$6:$EH$6,$AW58)&gt;0)),$AV58,"")</f>
        <v/>
      </c>
      <c r="KH58" s="152">
        <f>IF(OR($AW58="",COUNTIF($ED$7:$EH$7,$AW58)&gt;0),$AV58,"")</f>
        <v/>
      </c>
      <c r="KI58" s="152">
        <f>IF(AND($AX58=1,OR($AW58="",COUNTIF($ED$7:$EH$7,$AW58)&gt;0)),$AV58,"")</f>
        <v/>
      </c>
      <c r="KN58" s="152">
        <f>IF(OR($AW58="",COUNTIF($ED$8:$EH$8,$AW58)&gt;0),$AV58,"")</f>
        <v/>
      </c>
      <c r="KO58" s="152">
        <f>IF(AND($AX58=1,OR($AW58="",COUNTIF($ED$8:$EH$8,$AW58)&gt;0)),$AV58,"")</f>
        <v/>
      </c>
      <c r="KT58" s="152">
        <f>IF(OR($AW58="",COUNTIF($ED$9:$EH$9,$AW58)&gt;0),$AV58,"")</f>
        <v/>
      </c>
      <c r="KU58" s="152">
        <f>IF(AND($AX58=1,OR($AW58="",COUNTIF($ED$9:$EH$9,$AW58)&gt;0)),$AV58,"")</f>
        <v/>
      </c>
      <c r="KZ58" s="152">
        <f>IF(OR($AW58="",COUNTIF($ED$10:$EH$10,$AW58)&gt;0),$AV58,"")</f>
        <v/>
      </c>
      <c r="LA58" s="152">
        <f>IF(AND($AX58=1,OR($AW58="",COUNTIF($ED$10:$EH$10,$AW58)&gt;0)),$AV58,"")</f>
        <v/>
      </c>
      <c r="LF58" s="152">
        <f>IF(OR($AW58="",COUNTIF($ED$11:$EH$11,$AW58)&gt;0),$AV58,"")</f>
        <v/>
      </c>
      <c r="LG58" s="152">
        <f>IF(AND($AX58=1,OR($AW58="",COUNTIF($ED$11:$EH$11,$AW58)&gt;0)),$AV58,"")</f>
        <v/>
      </c>
      <c r="LL58" s="152">
        <f>IF(OR($AW58="",COUNTIF($ED$12:$EH$12,$AW58)&gt;0),$AV58,"")</f>
        <v/>
      </c>
      <c r="LM58" s="152">
        <f>IF(AND($AX58=1,OR($AW58="",COUNTIF($ED$12:$EH$12,$AW58)&gt;0)),$AV58,"")</f>
        <v/>
      </c>
      <c r="LR58" s="152">
        <f>IF(OR($AW58="",COUNTIF($ED$13:$EH$13,$AW58)&gt;0),$AV58,"")</f>
        <v/>
      </c>
      <c r="LS58" s="152">
        <f>IF(AND($AX58=1,OR($AW58="",COUNTIF($ED$13:$EH$13,$AW58)&gt;0)),$AV58,"")</f>
        <v/>
      </c>
      <c r="LX58" s="150" t="inlineStr">
        <is>
          <t>Ficha 5 · Especial 3</t>
        </is>
      </c>
      <c r="LY58" s="152" t="n">
        <v>5</v>
      </c>
      <c r="LZ58" s="152" t="n">
        <v>1</v>
      </c>
      <c r="MA58" s="152" t="n">
        <v>8</v>
      </c>
      <c r="MB58" s="150" t="inlineStr">
        <is>
          <t>ESPECIAL 3</t>
        </is>
      </c>
      <c r="MC58" s="152">
        <f>MAX(1,MIN(7,N('INVOCAÇÕES'!$O$884)))</f>
        <v/>
      </c>
      <c r="MD58" s="152">
        <f>'INVOCAÇÕES'!$P$884&amp;""</f>
        <v/>
      </c>
      <c r="ME58" s="152">
        <f>'INVOCAÇÕES'!$O$889&amp;""</f>
        <v/>
      </c>
      <c r="MF58" s="152">
        <f>'INVOCAÇÕES'!$O$890&amp;""</f>
        <v/>
      </c>
      <c r="MG58" s="152">
        <f>'INVOCAÇÕES'!$Q$890&amp;""</f>
        <v/>
      </c>
      <c r="MH58" s="152">
        <f>'INVOCAÇÕES'!$P$893&amp;""</f>
        <v/>
      </c>
      <c r="MI58" s="152">
        <f>'INVOCAÇÕES'!$P$894&amp;""</f>
        <v/>
      </c>
      <c r="MJ58" s="152">
        <f>'INVOCAÇÕES'!$P$895&amp;""</f>
        <v/>
      </c>
      <c r="MK58" s="152">
        <f>'INVOCAÇÕES'!$P$896&amp;""</f>
        <v/>
      </c>
      <c r="ML58" s="152">
        <f>'INVOCAÇÕES'!$P$897&amp;""</f>
        <v/>
      </c>
      <c r="MM58" s="152">
        <f>'INVOCAÇÕES'!$P$898&amp;""</f>
        <v/>
      </c>
      <c r="MN58" s="152">
        <f>IF($MD58&lt;&gt;"",1,0)</f>
        <v/>
      </c>
      <c r="MO58" s="152">
        <f>INDEX($FG$2:$FG$13,$LY58)</f>
        <v/>
      </c>
      <c r="MP58" s="152">
        <f>INDEX($FH$2:$FH$13,$LY58)</f>
        <v/>
      </c>
      <c r="MQ58" s="152">
        <f>INDEX($FI$2:$FI$13,$LY58)</f>
        <v/>
      </c>
      <c r="MR58" s="152">
        <f>INDEX($FT$2:$FT$13,$LY58)</f>
        <v/>
      </c>
      <c r="MS58" s="152">
        <f>INDEX($FU$2:$FU$13,$LY58)</f>
        <v/>
      </c>
      <c r="MT58" s="152">
        <f>IFERROR(MATCH($ME58,$V$2:$V$11,0),0)</f>
        <v/>
      </c>
      <c r="MU58" s="152">
        <f>IFERROR(VLOOKUP($MH58,$AV$2:$AZ$84,2,FALSE),"")</f>
        <v/>
      </c>
      <c r="MV58" s="152">
        <f>IFERROR(VLOOKUP($MI58,$AV$2:$AZ$84,2,FALSE),"")</f>
        <v/>
      </c>
      <c r="MW58" s="152">
        <f>IFERROR(VLOOKUP($MJ58,$AV$2:$AZ$84,2,FALSE),"")</f>
        <v/>
      </c>
      <c r="MX58" s="152">
        <f>IFERROR(VLOOKUP($MK58,$AV$2:$AZ$84,2,FALSE),"")</f>
        <v/>
      </c>
      <c r="MY58" s="152">
        <f>IFERROR(VLOOKUP($MH58,$AV$2:$AZ$84,3,FALSE),0)</f>
        <v/>
      </c>
      <c r="MZ58" s="152">
        <f>IFERROR(VLOOKUP($MI58,$AV$2:$AZ$84,3,FALSE),0)</f>
        <v/>
      </c>
      <c r="NA58" s="152">
        <f>IFERROR(VLOOKUP($MJ58,$AV$2:$AZ$84,3,FALSE),0)</f>
        <v/>
      </c>
      <c r="NB58" s="152">
        <f>IFERROR(VLOOKUP($MK58,$AV$2:$AZ$84,3,FALSE),0)</f>
        <v/>
      </c>
      <c r="NC58" s="152">
        <f>IF($MC58=0,0,IF($MT58=0,0,INDEX($X$2:$X$11,$MT58)))</f>
        <v/>
      </c>
      <c r="ND58" s="152">
        <f>IF(OR($MY58=0,$MC58=0),0,$MY58+3*IF(AND($MU58&lt;&gt;"",OR($MU58=INDEX($ED$2:$ED$13,$LY58),$MU58=INDEX($EE$2:$EE$13,$LY58))),1,0))</f>
        <v/>
      </c>
      <c r="NE58" s="152">
        <f>IF(OR($MZ58=0,$MC58=0),0,$MZ58+3*IF(AND($MV58&lt;&gt;"",OR($MV58=INDEX($ED$2:$ED$13,$LY58),$MV58=INDEX($EE$2:$EE$13,$LY58))),1,0))</f>
        <v/>
      </c>
      <c r="NF58" s="152">
        <f>IF(OR($NA58=0,$MC58=0),0,$NA58+3*IF(AND($MW58&lt;&gt;"",OR($MW58=INDEX($ED$2:$ED$13,$LY58),$MW58=INDEX($EE$2:$EE$13,$LY58))),1,0))</f>
        <v/>
      </c>
      <c r="NG58" s="152">
        <f>IF(OR($NB58=0,$MC58=0),0,$NB58+3*IF(AND($MX58&lt;&gt;"",OR($MX58=INDEX($ED$2:$ED$13,$LY58),$MX58=INDEX($EE$2:$EE$13,$LY58))),1,0))</f>
        <v/>
      </c>
      <c r="NH58" s="152">
        <f>IF($MT58=0,0,IF(INDEX($W$2:$W$11,$MT58)="",0,IF(COUNTIF(INDEX($ED$2:$EH$13,$LY58,0),INDEX($W$2:$W$11,$MT58))=0,1,0)))</f>
        <v/>
      </c>
      <c r="NI58" s="152">
        <f>IF(OR($MY58=0,$MU58=""),0,IF(COUNTIF(INDEX($ED$2:$EH$13,$LY58,0),$MU58)=0,1,0))</f>
        <v/>
      </c>
      <c r="NJ58" s="152">
        <f>IF(OR($MZ58=0,$MV58=""),0,IF(COUNTIF(INDEX($ED$2:$EH$13,$LY58,0),$MV58)=0,1,0))</f>
        <v/>
      </c>
      <c r="NK58" s="152">
        <f>IF(OR($NA58=0,$MW58=""),0,IF(COUNTIF(INDEX($ED$2:$EH$13,$LY58,0),$MW58)=0,1,0))</f>
        <v/>
      </c>
      <c r="NL58" s="152">
        <f>IF(OR($NB58=0,$MX58=""),0,IF(COUNTIF(INDEX($ED$2:$EH$13,$LY58,0),$MX58)=0,1,0))</f>
        <v/>
      </c>
      <c r="NM58" s="152">
        <f>IFERROR(VLOOKUP($MH58,$AV$2:$AZ$84,4,FALSE),0)+IFERROR(VLOOKUP($MI58,$AV$2:$AZ$84,4,FALSE),0)+IFERROR(VLOOKUP($MJ58,$AV$2:$AZ$84,4,FALSE),0)+IFERROR(VLOOKUP($MK58,$AV$2:$AZ$84,4,FALSE),0)</f>
        <v/>
      </c>
      <c r="NN58" s="152">
        <f>TEXTJOIN(", ",TRUE,IF(IFERROR(VLOOKUP($MH58,$AV$2:$AZ$84,5,FALSE),0)=1,$MH58,""),IF(IFERROR(VLOOKUP($MI58,$AV$2:$AZ$84,5,FALSE),0)=1,$MI58,""),IF(IFERROR(VLOOKUP($MJ58,$AV$2:$AZ$84,5,FALSE),0)=1,$MJ58,""),IF(IFERROR(VLOOKUP($MK58,$AV$2:$AZ$84,5,FALSE),0)=1,$MK58,""))</f>
        <v/>
      </c>
      <c r="NO58" s="152">
        <f>IF($MT58=0,0,INDEX($Y$2:$Y$11,$MT58))</f>
        <v/>
      </c>
      <c r="NP58" s="152">
        <f>IF($MT58=0,0,INDEX($Z$2:$Z$11,$MT58))</f>
        <v/>
      </c>
      <c r="NQ58" s="152">
        <f>IF($MT58=0,0,INDEX($AB$2:$AB$11,$MT58))</f>
        <v/>
      </c>
      <c r="NR58" s="152">
        <f>IFERROR(VLOOKUP($ML58,$BB$2:$BF$24,3,FALSE),0)</f>
        <v/>
      </c>
      <c r="NS58" s="152">
        <f>IFERROR(VLOOKUP($MM58,$BB$2:$BF$24,3,FALSE),0)</f>
        <v/>
      </c>
      <c r="NT58" s="152">
        <f>IFERROR(VLOOKUP($ML58,$BB$2:$BF$24,2,FALSE),"")</f>
        <v/>
      </c>
      <c r="NU58" s="152">
        <f>IFERROR(VLOOKUP($MM58,$BB$2:$BF$24,2,FALSE),"")</f>
        <v/>
      </c>
      <c r="NV58" s="152">
        <f>COUNTIF($NC58:$NG58,1)</f>
        <v/>
      </c>
      <c r="NW58" s="152">
        <f>COUNTIF($NC58:$NG58,2)</f>
        <v/>
      </c>
      <c r="NX58" s="152">
        <f>COUNTIF($NC58:$NG58,3)</f>
        <v/>
      </c>
      <c r="NY58" s="152">
        <f>COUNTIF($NC58:$NG58,4)</f>
        <v/>
      </c>
      <c r="NZ58" s="152">
        <f>COUNTIF($NC58:$NG58,5)</f>
        <v/>
      </c>
      <c r="OA58" s="152">
        <f>COUNTIF($NC58:$NG58,6)</f>
        <v/>
      </c>
      <c r="OB58" s="152">
        <f>COUNTIF($NR58:$NS58,1)</f>
        <v/>
      </c>
      <c r="OC58" s="152">
        <f>COUNTIF($NR58:$NS58,2)+$NO58</f>
        <v/>
      </c>
      <c r="OD58" s="152">
        <f>COUNTIF($MH58:$MK58,"?*")</f>
        <v/>
      </c>
      <c r="OE58" s="152">
        <f>COUNTIF($ML58:$MM58,"?*")+$NO58</f>
        <v/>
      </c>
      <c r="OF58" s="152">
        <f>IF($MC58=0,0,SUMPRODUCT($NV58:$OA58,INDEX($I$2:$N$8,MAX(1,$MC58),0)))</f>
        <v/>
      </c>
      <c r="OG58" s="152">
        <f>IF($MC58=0,0,$OB58*CEILING($MC58/2,1)+$OC58*$MC58)</f>
        <v/>
      </c>
      <c r="OH58" s="152">
        <f>MIN(2*$MC58,$OG58)</f>
        <v/>
      </c>
      <c r="OI58" s="152">
        <f>MIN($OH58,$OF58)</f>
        <v/>
      </c>
      <c r="OJ58" s="152">
        <f>$OH58-$OI58</f>
        <v/>
      </c>
      <c r="OK58" s="152">
        <f>IF($MC58=0,0,INDEX($P$2:$P$8,MAX(1,$MC58)))</f>
        <v/>
      </c>
      <c r="OL58" s="152">
        <f>$OK58-$OF58+$OI58</f>
        <v/>
      </c>
      <c r="OM58" s="152">
        <f>IF($MC58=0,MAX(0,$MQ58-IF($OD58&gt;0,1,0)),MAX(0,$OL58))</f>
        <v/>
      </c>
      <c r="ON58" s="152">
        <f>IF($MC58=0,0,(IF(COUNTIF($MH58:$MK58,"Salto")&gt;0,1,0)+IF(COUNTIF($MH58:$MK58,"Queima")&gt;0,1,0)+IF(COUNTIF($MH58:$MK58,"Estilhaço")&gt;0,1,0))*FLOOR($OM58/2,1))</f>
        <v/>
      </c>
      <c r="OO58" s="152">
        <f>MAX(0,2-SUMPRODUCT($NV58:$OA58,$I$2:$N$2)+MIN(2,$OB58*1+$OC58*1,SUMPRODUCT($NV58:$OA58,$I$2:$N$2)))</f>
        <v/>
      </c>
      <c r="OP58" s="152">
        <f>MAX(0,4-SUMPRODUCT($NV58:$OA58,$I$3:$N$3)+MIN(4,$OB58*1+$OC58*2,SUMPRODUCT($NV58:$OA58,$I$3:$N$3)))</f>
        <v/>
      </c>
      <c r="OQ58" s="152">
        <f>MAX(0,6-SUMPRODUCT($NV58:$OA58,$I$4:$N$4)+MIN(6,$OB58*2+$OC58*3,SUMPRODUCT($NV58:$OA58,$I$4:$N$4)))</f>
        <v/>
      </c>
      <c r="OR58" s="152">
        <f>MAX(0,9-SUMPRODUCT($NV58:$OA58,$I$5:$N$5)+MIN(8,$OB58*2+$OC58*4,SUMPRODUCT($NV58:$OA58,$I$5:$N$5)))</f>
        <v/>
      </c>
      <c r="OS58" s="152">
        <f>MAX(0,11-SUMPRODUCT($NV58:$OA58,$I$6:$N$6)+MIN(10,$OB58*3+$OC58*5,SUMPRODUCT($NV58:$OA58,$I$6:$N$6)))</f>
        <v/>
      </c>
      <c r="OT58" s="152">
        <f>MAX(0,13-SUMPRODUCT($NV58:$OA58,$I$7:$N$7)+MIN(12,$OB58*3+$OC58*6,SUMPRODUCT($NV58:$OA58,$I$7:$N$7)))</f>
        <v/>
      </c>
      <c r="OU58" s="152">
        <f>MAX(0,16-SUMPRODUCT($NV58:$OA58,$I$8:$N$8)+MIN(14,$OB58*4+$OC58*7,SUMPRODUCT($NV58:$OA58,$I$8:$N$8)))</f>
        <v/>
      </c>
      <c r="OV58" s="152">
        <f>IF($NP58=2,3*$OO58&amp;" de vida temp.",IF($NP58=3,"sem dano",IF($OO58=0,IF($NP58=1,"sem cura","sem dano"),IF($NP58=1,"cura ","")&amp;$OO58&amp;"d8")))</f>
        <v/>
      </c>
      <c r="OW58" s="152">
        <f>IF($NP58=2,3*$OP58&amp;" de vida temp.",IF($NP58=3,"sem dano",IF($OP58=0,IF($NP58=1,"sem cura","sem dano"),IF($NP58=1,"cura ","")&amp;$OP58&amp;"d8")))</f>
        <v/>
      </c>
      <c r="OX58" s="152">
        <f>IF($NP58=2,3*$OQ58&amp;" de vida temp.",IF($NP58=3,"sem dano",IF($OQ58=0,IF($NP58=1,"sem cura","sem dano"),IF($NP58=1,"cura ","")&amp;$OQ58&amp;"d8")))</f>
        <v/>
      </c>
      <c r="OY58" s="152">
        <f>IF($NP58=2,3*$OR58&amp;" de vida temp.",IF($NP58=3,"sem dano",IF($OR58=0,IF($NP58=1,"sem cura","sem dano"),IF($NP58=1,"cura ","")&amp;$OR58&amp;"d8")))</f>
        <v/>
      </c>
      <c r="OZ58" s="152">
        <f>IF($NP58=2,3*$OS58&amp;" de vida temp.",IF($NP58=3,"sem dano",IF($OS58=0,IF($NP58=1,"sem cura","sem dano"),IF($NP58=1,"cura ","")&amp;$OS58&amp;"d8")))</f>
        <v/>
      </c>
      <c r="PA58" s="152">
        <f>IF($NP58=2,3*$OT58&amp;" de vida temp.",IF($NP58=3,"sem dano",IF($OT58=0,IF($NP58=1,"sem cura","sem dano"),IF($NP58=1,"cura ","")&amp;$OT58&amp;"d8")))</f>
        <v/>
      </c>
      <c r="PB58" s="152">
        <f>IF($NP58=2,3*$OU58&amp;" de vida temp.",IF($NP58=3,"sem dano",IF($OU58=0,IF($NP58=1,"sem cura","sem dano"),IF($NP58=1,"cura ","")&amp;$OU58&amp;"d8")))</f>
        <v/>
      </c>
      <c r="PC58" s="152">
        <f>IF($MN58=0,"",TEXTJOIN(" · ",TRUE,IF($MA58&gt;$MO58,"Este lugar abre no nível "&amp;$MA58,""),IF($MC58&gt;$MP58,"Classe "&amp;$MC58&amp;": o nível "&amp;$MO58&amp;" libera até a "&amp;$MP58,""),IF($NH58=1,"A Forma "&amp;$ME58&amp;" pede "&amp;INDEX($W$2:$W$11,$MT58)&amp;" aberta",""),IF(AND($MC58=0,$MT58&gt;0,IF($MT58=0,0,INDEX($AF$2:$AF$11,$MT58))=0),$ME58&amp;" não existe na Classe 0",""),IF($NI58=1,"Família Fechada: "&amp;$MH58,""),IF($NJ58=1,"Família Fechada: "&amp;$MI58,""),IF($NK58=1,"Família Fechada: "&amp;$MJ58,""),IF($NL58=1,"Família Fechada: "&amp;$MK58,""),IF(AND($MC58&gt;0,$OD58&gt;INDEX($O$2:$O$8,MAX(1,$MC58))),$OD58&amp;" Melhorias: a Classe "&amp;$MC58&amp;" aceita "&amp;INDEX($O$2:$O$8,MAX(1,$MC58)),""),IF(AND($MC58=0,$OD58&gt;1),"A básica aceita uma Melhoria",""),IF(AND($MC58=0,COUNTIF($MY58:$NB58,"&gt;1")&gt;0),"A básica só aceita Melhoria Leve",""),IF(AND($MC58&gt;0,$OE58&gt;2),$OE58&amp;" Restrições"&amp;IF($NO58=1,", contando a que a Forma "&amp;$ME58&amp;" já traz","")&amp;": o limite é 2",""),IF(AND($MC58=0,COUNTIF($ML58:$MM58,"?*")&gt;1),"A básica aceita uma Restrição Leve",""),IF(AND($MC58=0,COUNTIF($NR58:$NS58,2)&gt;0),"A básica só aceita Restrição Leve",""),IF(AND($MC58&gt;0,$OL58&lt;0),"Orçamento estourado: faltam "&amp;(-$OL58)&amp;IF($OL58&lt;-1," pontos"," ponto"),""),IF(IFERROR(VLOOKUP($ML58,$BB$2:$BF$24,4,FALSE),0)+IFERROR(VLOOKUP($MM58,$BB$2:$BF$24,4,FALSE),0)&gt;1,$NT58&amp;" e "&amp;$NU58&amp;" são as duas de frequência",""),IF(AND((COUNTIF($MH58:$MK58,"Rápido")+COUNTIF($NT58:$NU58,"Rápido"))&gt;0,(COUNTIF($MH58:$MK58,"Atrasar")+COUNTIF($NT58:$NU58,"Atrasar"))&gt;0),"Rápido não entra com Atrasar",""),IF(AND((COUNTIF($MH58:$MK58,"Reação")+COUNTIF($NT58:$NU58,"Reação"))&gt;0,(COUNTIF($MH58:$MK58,"Rápido")+COUNTIF($NT58:$NU58,"Rápido"))&gt;0),"Reação não entra com Rápido",""),IF(AND((COUNTIF($MH58:$MK58,"Reação")+COUNTIF($NT58:$NU58,"Reação"))&gt;0,(COUNTIF($MH58:$MK58,"Armado")+COUNTIF($NT58:$NU58,"Armado"))&gt;0),"Reação não entra com Armado",""),IF(AND((COUNTIF($MH58:$MK58,"Reação")+COUNTIF($NT58:$NU58,"Reação"))&gt;0,(COUNTIF($MH58:$MK58,"Atrasar")+COUNTIF($NT58:$NU58,"Atrasar"))&gt;0),"Reação não entra com Atrasar",""),IF(AND((COUNTIF($MH58:$MK58,"Reação")+COUNTIF($NT58:$NU58,"Reação"))&gt;0,(COUNTIF($MH58:$MK58,"Parado")+COUNTIF($NT58:$NU58,"Parado"))&gt;0),"Reação não entra com Parado",""),IF(AND((COUNTIF($MH58:$MK58,"Atrasar")+COUNTIF($NT58:$NU58,"Atrasar"))&gt;0,(COUNTIF($MH58:$MK58,"Parado")+COUNTIF($NT58:$NU58,"Parado"))&gt;0),"Atrasar não entra com Parado",""),IF(AND((COUNTIF($MH58:$MK58,"Armado")+COUNTIF($NT58:$NU58,"Armado"))&gt;0,(COUNTIF($MH58:$MK58,"Carregar")+COUNTIF($NT58:$NU58,"Carregar"))&gt;0),"Armado não entra com Carregar",""),IF(AND(COUNTIF($NT58:$NU58,"Corpo a Corpo")&gt;0,$NO58=0,OR($ME58="Cone",$ME58="Linha")),"Corpo a Corpo não entra em "&amp;$ME58,""),IF(AND(COUNTIF($NT58:$NU58,"Corpo a Corpo")&gt;0,$NO58=1),"A Forma "&amp;$ME58&amp;" já traz o Corpo a Corpo",""),IF(AND(COUNTIF($NT58:$NU58,"Tudo ou Nada")&gt;0,$NQ58=0),"Tudo ou Nada só entra em habilidade de Teste de Resistência",""),IF(AND(COUNTIF($MH58:$MK58,"Inescapável")&gt;0,OR($OD58&gt;1,$OE58&gt;0)),"Inescapável não aceita outra peça",""),IF(AND($MC58&gt;0,$OM58*IF(COUNTIF($MH58:$MK58,"Remate")&gt;0,1.25,1)+$ON58&gt;4*$MC58),($OM58*IF(COUNTIF($MH58:$MK58,"Remate")&gt;0,1.25,1)+$ON58)&amp;" dados somando repetições"&amp;IF(COUNTIF($MH58:$MK58,"Remate")&gt;0," e o Remate","")&amp;": o teto da Classe "&amp;$MC58&amp;" é "&amp;4*$MC58,"")))</f>
        <v/>
      </c>
      <c r="PD58" s="152">
        <f>IF($PC58="",0,(LEN($PC58)-LEN(SUBSTITUTE($PC58," · ","")))/3+1)</f>
        <v/>
      </c>
      <c r="PE58" s="152">
        <f>IF($MN58=0,"",TEXTJOIN(" · ",TRUE,IF($OG58&gt;2*$MC58,"A devolução parou no teto de "&amp;2*$MC58,""),IF($OJ58&gt;0,"Devolução perdida: "&amp;$OJ58&amp;IF($OJ58&gt;1," pontos"," ponto")&amp;" sem peça para pagar",""),IF(AND($NM58&gt;0,AND($MC58&gt;0,$NP58=0),$OM58=0),"Controle sem dano: uma rodada a mais e CD +2",""),IF(AND($NM58&gt;0,AND($MC58&gt;0,$NP58=0),$OM58&gt;0,$OM58&lt;=$MC58),"Controle com saldo até a Classe: uma rodada a mais",""),IF(AND($MC58&gt;0,$NN58&lt;&gt;""),"Efeito de "&amp;$NN58&amp;" pela Classe "&amp;MAX(1,$MC58-1),"")))</f>
        <v/>
      </c>
      <c r="PF58" s="152">
        <f>IF($PE58="",0,(LEN($PE58)-LEN(SUBSTITUTE($PE58," · ","")))/3+1)</f>
        <v/>
      </c>
      <c r="PG58" s="152">
        <f>IF($MN58=0,IF($OD58+COUNTIF($ML58:$MM58,"?*")&gt;0,"Dê um nome",""),IF($PD58&gt;0,"⚠ "&amp;$PD58&amp;IF($PD58&gt;1," erros"," erro"),IF($PF58&gt;0,"! "&amp;$PF58&amp;IF($PF58&gt;1," avisos"," aviso"),"Na regra")))</f>
        <v/>
      </c>
      <c r="PH58" s="152">
        <f>IF($MN58=0,"",IF($PD58+$PF58=0,"Dentro das regras que a ficha confere",$PC58&amp;IF(AND($PD58&gt;0,$PF58&gt;0)," · ","")&amp;$PE58))</f>
        <v/>
      </c>
      <c r="PI58" s="152">
        <f>IF($MA58&gt;$MO58,$MB58&amp;" · ABRE NO NÍVEL "&amp;$MA58,$MB58)</f>
        <v/>
      </c>
      <c r="PJ58" s="152">
        <f>IF($MN58=0,"",IF($MC58=0,"Sem PE",3*$MC58&amp;" PE"))</f>
        <v/>
      </c>
      <c r="PK58" s="152">
        <f>IF($MN58=0,"",IF($MC58=0,"A atuação básica dela",IF(COUNTIF($NT58:$NU58,"Atrasar")&gt;0,"Sua Ação Completa",IF(COUNTIF($MH58:$MK58,"Rápido")&gt;0,"Sua Bônus",IF(COUNTIF($MH58:$MK58,"Reação")&gt;0,"Sua Reação","Sua Padrão")))&amp;" + a básica dela"&amp;IF(COUNTIF($MH58:$MK58,"Reação")&gt;0," e a coletiva","")&amp;IF(COUNTIF($NT58:$NU58,"Carregar")&gt;0," · em dois turnos","")))</f>
        <v/>
      </c>
      <c r="PL58" s="152">
        <f>IF($MG58&lt;&gt;"",$MG58,IF($MT58=0,"",INDEX($AA$2:$AA$11,$MT58)))</f>
        <v/>
      </c>
      <c r="PM58" s="152">
        <f>IF(OR($MN58=0,$MT58=0),"",IF(COUNTIF($MH58:$MK58,"Inescapável")&gt;0,"Automático",IF($PL58="Ataque",IF($MR58="","Ataque","Ataque "&amp;IF(($MR58+2*IF(COUNTIF($MH58:$MK58,"Precisão")&gt;0,1,0))&gt;=0,"+","−")&amp;ABS(($MR58+2*IF(COUNTIF($MH58:$MK58,"Precisão")&gt;0,1,0)))),IF(LEFT($PL58,2)="TR",$PL58&amp;IF($MS58="",""," · CD "&amp;$MS58)&amp;IF(COUNTIF($MH58:$MK58,"Certeiro")&gt;0," · metade",""),"Sem rolagem"))))</f>
        <v/>
      </c>
      <c r="PN58" s="152">
        <f>IF(OR($MN58=0,$MT58=0),"",IF($MC58=0,IF(OR($NP58&gt;=1,$OM58=0),"Sem dano",$OM58&amp;"d6"&amp;IF($MF58="",""," "&amp;$MF58)),IF(OR($NP58&gt;=1,$OM58=0),UPPER(LEFT(INDEX($OV58:$PB58,1,MAX(1,$MC58)),1))&amp;MID(INDEX($OV58:$PB58,1,MAX(1,$MC58)),2,99),UPPER(LEFT(INDEX($OV58:$PB58,1,MAX(1,$MC58)),1))&amp;MID(INDEX($OV58:$PB58,1,MAX(1,$MC58)),2,99)&amp;IF($MF58="",""," "&amp;$MF58)&amp;IF($ON58&gt;0," · +"&amp;$ON58&amp;"d8",""))))</f>
        <v/>
      </c>
      <c r="PO58" s="152">
        <f>COUNTIF($MH58:$MK58,"Longe")+3*COUNTIF($MH58:$MK58,"Muito Longe")</f>
        <v/>
      </c>
      <c r="PP58" s="152">
        <f>COUNTIF($MH58:$MK58,"Maior")+3*COUNTIF($MH58:$MK58,"Muito Maior")</f>
        <v/>
      </c>
      <c r="PQ58" s="152">
        <f>IF($MT58=0,0,CHOOSE(1+INDEX($AC$2:$AC$11,$MT58),0,$PO58,$PP58,$PO58+$PP58))</f>
        <v/>
      </c>
      <c r="PR58" s="152">
        <f>IF($MT58=0,0,CHOOSE(1+INDEX($AD$2:$AD$11,$MT58),0,$PO58,$PP58,$PO58+$PP58))</f>
        <v/>
      </c>
      <c r="PS58" s="152">
        <f>IF(OR($MN58=0,$MT58=0),"",INDEX($AI$2:$AN$41,($MT58-1)*4+IF($MC58=0,1,IF($MC58&lt;=5,2,IF($MC58=6,3,4))),1+MIN(5,$PQ58))&amp;INDEX($AO$2:$AT$41,($MT58-1)*4+IF($MC58=0,1,IF($MC58&lt;=5,2,IF($MC58=6,3,4))),1+MIN(5,$PR58))&amp;IF(INDEX($AE$2:$AE$11,$MT58)=1,IF(COUNTIF($MH58:$MK58,"Mais Um")&gt;0," · +"&amp;COUNTIF($MH58:$MK58,"Mais Um")&amp;IF(COUNTIF($MH58:$MK58,"Mais Um")&gt;1," alvos"," alvo"),"")&amp;IF(COUNTIF($MH58:$MK58,"Rajada")&gt;0,IF($MC58=0," · 1 tiro"," · "&amp;(MAX(1,$MC58-1)+1)&amp;" tiros"),""),""))</f>
        <v/>
      </c>
      <c r="PT58" s="152">
        <f>IF($MN58=0,"",IF($MC58=0,$MQ58&amp;"d6"&amp;IF($OD58&gt;0," − 1 = "&amp;$OM58&amp;"d6"," da básica do nível "&amp;$MO58),$OK58&amp;" − "&amp;$OF58&amp;" + "&amp;$OI58&amp;" = "&amp;$OL58&amp;" · teto "&amp;4*$MC58&amp;"d8"&amp;IF($NO58=1," · a Forma devolve "&amp;$MC58,"")&amp;IF($OJ58&gt;0," · perde "&amp;$OJ58,"")))</f>
        <v/>
      </c>
      <c r="PU58" s="152">
        <f>IF($MN58=0,"",IF($MC58=0,"A básica não amplia: os dados dela sobem com o nível",IF($MC58&gt;=$MP58,"Já está na maior Classe que o nível liberou",TEXTJOIN(" · ",TRUE,IF(AND(2&gt;$MC58,2&lt;=$MP58),"2 → "&amp;$OW58&amp;", 6 PE",""),IF(AND(3&gt;$MC58,3&lt;=$MP58),"3 → "&amp;$OX58&amp;", 9 PE",""),IF(AND(4&gt;$MC58,4&lt;=$MP58),"4 → "&amp;$OY58&amp;", 12 PE",""),IF(AND(5&gt;$MC58,5&lt;=$MP58),"5 → "&amp;$OZ58&amp;", 15 PE",""),IF(AND(6&gt;$MC58,6&lt;=$MP58),"6 → "&amp;$PA58&amp;", 18 PE",""),IF(AND(7&gt;$MC58,7&lt;=$MP58),"7 → "&amp;$PB58&amp;", 21 PE","")))))</f>
        <v/>
      </c>
      <c r="PV58" s="152">
        <f>IF(OR($MN58=0,$MY58=0),"",IF($MC58=0,"−1 dado","−"&amp;INDEX($I$2:$N$8,MAX(1,$MC58),MAX(1,$ND58))&amp;" · "&amp;CHOOSE(MAX(1,$ND58),"Leve","Média","Pesada","Leve · Livre","Média · Livre","Pesada · Livre")))</f>
        <v/>
      </c>
      <c r="PW58" s="152">
        <f>IF(OR($MN58=0,$MZ58=0),"",IF($MC58=0,"−1 dado","−"&amp;INDEX($I$2:$N$8,MAX(1,$MC58),MAX(1,$NE58))&amp;" · "&amp;CHOOSE(MAX(1,$NE58),"Leve","Média","Pesada","Leve · Livre","Média · Livre","Pesada · Livre")))</f>
        <v/>
      </c>
      <c r="PX58" s="152">
        <f>IF(OR($MN58=0,$NA58=0),"",IF($MC58=0,"−1 dado","−"&amp;INDEX($I$2:$N$8,MAX(1,$MC58),MAX(1,$NF58))&amp;" · "&amp;CHOOSE(MAX(1,$NF58),"Leve","Média","Pesada","Leve · Livre","Média · Livre","Pesada · Livre")))</f>
        <v/>
      </c>
      <c r="PY58" s="152">
        <f>IF(OR($MN58=0,$NB58=0),"",IF($MC58=0,"−1 dado","−"&amp;INDEX($I$2:$N$8,MAX(1,$MC58),MAX(1,$NG58))&amp;" · "&amp;CHOOSE(MAX(1,$NG58),"Leve","Média","Pesada","Leve · Livre","Média · Livre","Pesada · Livre")))</f>
        <v/>
      </c>
      <c r="PZ58" s="152">
        <f>IF(OR($MN58=0,$ML58=""),"",IF($MC58=0,"não devolve","+"&amp;IF($NR58=1,CEILING($MC58/2,1),$MC58)))</f>
        <v/>
      </c>
      <c r="QA58" s="152">
        <f>IF(OR($MN58=0,$MM58=""),"",IF($MC58=0,"não devolve","+"&amp;IF($NS58=1,CEILING($MC58/2,1),$MC58)))</f>
        <v/>
      </c>
    </row>
    <row r="59">
      <c r="AV59" s="150" t="inlineStr">
        <is>
          <t>Sem Cura</t>
        </is>
      </c>
      <c r="AW59" s="150" t="inlineStr">
        <is>
          <t>Castigo</t>
        </is>
      </c>
      <c r="AX59" s="152" t="n">
        <v>2</v>
      </c>
      <c r="AY59" s="152" t="n">
        <v>0</v>
      </c>
      <c r="AZ59" s="152" t="n">
        <v>0</v>
      </c>
      <c r="JD59" s="152">
        <f>IF(OR($AW59="",COUNTIF($ED$2:$EH$2,$AW59)&gt;0),$AV59,"")</f>
        <v/>
      </c>
      <c r="JE59" s="152">
        <f>IF(AND($AX59=1,OR($AW59="",COUNTIF($ED$2:$EH$2,$AW59)&gt;0)),$AV59,"")</f>
        <v/>
      </c>
      <c r="JJ59" s="152">
        <f>IF(OR($AW59="",COUNTIF($ED$3:$EH$3,$AW59)&gt;0),$AV59,"")</f>
        <v/>
      </c>
      <c r="JK59" s="152">
        <f>IF(AND($AX59=1,OR($AW59="",COUNTIF($ED$3:$EH$3,$AW59)&gt;0)),$AV59,"")</f>
        <v/>
      </c>
      <c r="JP59" s="152">
        <f>IF(OR($AW59="",COUNTIF($ED$4:$EH$4,$AW59)&gt;0),$AV59,"")</f>
        <v/>
      </c>
      <c r="JQ59" s="152">
        <f>IF(AND($AX59=1,OR($AW59="",COUNTIF($ED$4:$EH$4,$AW59)&gt;0)),$AV59,"")</f>
        <v/>
      </c>
      <c r="JV59" s="152">
        <f>IF(OR($AW59="",COUNTIF($ED$5:$EH$5,$AW59)&gt;0),$AV59,"")</f>
        <v/>
      </c>
      <c r="JW59" s="152">
        <f>IF(AND($AX59=1,OR($AW59="",COUNTIF($ED$5:$EH$5,$AW59)&gt;0)),$AV59,"")</f>
        <v/>
      </c>
      <c r="KB59" s="152">
        <f>IF(OR($AW59="",COUNTIF($ED$6:$EH$6,$AW59)&gt;0),$AV59,"")</f>
        <v/>
      </c>
      <c r="KC59" s="152">
        <f>IF(AND($AX59=1,OR($AW59="",COUNTIF($ED$6:$EH$6,$AW59)&gt;0)),$AV59,"")</f>
        <v/>
      </c>
      <c r="KH59" s="152">
        <f>IF(OR($AW59="",COUNTIF($ED$7:$EH$7,$AW59)&gt;0),$AV59,"")</f>
        <v/>
      </c>
      <c r="KI59" s="152">
        <f>IF(AND($AX59=1,OR($AW59="",COUNTIF($ED$7:$EH$7,$AW59)&gt;0)),$AV59,"")</f>
        <v/>
      </c>
      <c r="KN59" s="152">
        <f>IF(OR($AW59="",COUNTIF($ED$8:$EH$8,$AW59)&gt;0),$AV59,"")</f>
        <v/>
      </c>
      <c r="KO59" s="152">
        <f>IF(AND($AX59=1,OR($AW59="",COUNTIF($ED$8:$EH$8,$AW59)&gt;0)),$AV59,"")</f>
        <v/>
      </c>
      <c r="KT59" s="152">
        <f>IF(OR($AW59="",COUNTIF($ED$9:$EH$9,$AW59)&gt;0),$AV59,"")</f>
        <v/>
      </c>
      <c r="KU59" s="152">
        <f>IF(AND($AX59=1,OR($AW59="",COUNTIF($ED$9:$EH$9,$AW59)&gt;0)),$AV59,"")</f>
        <v/>
      </c>
      <c r="KZ59" s="152">
        <f>IF(OR($AW59="",COUNTIF($ED$10:$EH$10,$AW59)&gt;0),$AV59,"")</f>
        <v/>
      </c>
      <c r="LA59" s="152">
        <f>IF(AND($AX59=1,OR($AW59="",COUNTIF($ED$10:$EH$10,$AW59)&gt;0)),$AV59,"")</f>
        <v/>
      </c>
      <c r="LF59" s="152">
        <f>IF(OR($AW59="",COUNTIF($ED$11:$EH$11,$AW59)&gt;0),$AV59,"")</f>
        <v/>
      </c>
      <c r="LG59" s="152">
        <f>IF(AND($AX59=1,OR($AW59="",COUNTIF($ED$11:$EH$11,$AW59)&gt;0)),$AV59,"")</f>
        <v/>
      </c>
      <c r="LL59" s="152">
        <f>IF(OR($AW59="",COUNTIF($ED$12:$EH$12,$AW59)&gt;0),$AV59,"")</f>
        <v/>
      </c>
      <c r="LM59" s="152">
        <f>IF(AND($AX59=1,OR($AW59="",COUNTIF($ED$12:$EH$12,$AW59)&gt;0)),$AV59,"")</f>
        <v/>
      </c>
      <c r="LR59" s="152">
        <f>IF(OR($AW59="",COUNTIF($ED$13:$EH$13,$AW59)&gt;0),$AV59,"")</f>
        <v/>
      </c>
      <c r="LS59" s="152">
        <f>IF(AND($AX59=1,OR($AW59="",COUNTIF($ED$13:$EH$13,$AW59)&gt;0)),$AV59,"")</f>
        <v/>
      </c>
      <c r="LX59" s="150" t="inlineStr">
        <is>
          <t>Ficha 5 · Especial 4</t>
        </is>
      </c>
      <c r="LY59" s="152" t="n">
        <v>5</v>
      </c>
      <c r="LZ59" s="152" t="n">
        <v>1</v>
      </c>
      <c r="MA59" s="152" t="n">
        <v>12</v>
      </c>
      <c r="MB59" s="150" t="inlineStr">
        <is>
          <t>ESPECIAL 4</t>
        </is>
      </c>
      <c r="MC59" s="152">
        <f>MAX(1,MIN(7,N('INVOCAÇÕES'!$U$884)))</f>
        <v/>
      </c>
      <c r="MD59" s="152">
        <f>'INVOCAÇÕES'!$V$884&amp;""</f>
        <v/>
      </c>
      <c r="ME59" s="152">
        <f>'INVOCAÇÕES'!$U$889&amp;""</f>
        <v/>
      </c>
      <c r="MF59" s="152">
        <f>'INVOCAÇÕES'!$U$890&amp;""</f>
        <v/>
      </c>
      <c r="MG59" s="152">
        <f>'INVOCAÇÕES'!$W$890&amp;""</f>
        <v/>
      </c>
      <c r="MH59" s="152">
        <f>'INVOCAÇÕES'!$V$893&amp;""</f>
        <v/>
      </c>
      <c r="MI59" s="152">
        <f>'INVOCAÇÕES'!$V$894&amp;""</f>
        <v/>
      </c>
      <c r="MJ59" s="152">
        <f>'INVOCAÇÕES'!$V$895&amp;""</f>
        <v/>
      </c>
      <c r="MK59" s="152">
        <f>'INVOCAÇÕES'!$V$896&amp;""</f>
        <v/>
      </c>
      <c r="ML59" s="152">
        <f>'INVOCAÇÕES'!$V$897&amp;""</f>
        <v/>
      </c>
      <c r="MM59" s="152">
        <f>'INVOCAÇÕES'!$V$898&amp;""</f>
        <v/>
      </c>
      <c r="MN59" s="152">
        <f>IF($MD59&lt;&gt;"",1,0)</f>
        <v/>
      </c>
      <c r="MO59" s="152">
        <f>INDEX($FG$2:$FG$13,$LY59)</f>
        <v/>
      </c>
      <c r="MP59" s="152">
        <f>INDEX($FH$2:$FH$13,$LY59)</f>
        <v/>
      </c>
      <c r="MQ59" s="152">
        <f>INDEX($FI$2:$FI$13,$LY59)</f>
        <v/>
      </c>
      <c r="MR59" s="152">
        <f>INDEX($FT$2:$FT$13,$LY59)</f>
        <v/>
      </c>
      <c r="MS59" s="152">
        <f>INDEX($FU$2:$FU$13,$LY59)</f>
        <v/>
      </c>
      <c r="MT59" s="152">
        <f>IFERROR(MATCH($ME59,$V$2:$V$11,0),0)</f>
        <v/>
      </c>
      <c r="MU59" s="152">
        <f>IFERROR(VLOOKUP($MH59,$AV$2:$AZ$84,2,FALSE),"")</f>
        <v/>
      </c>
      <c r="MV59" s="152">
        <f>IFERROR(VLOOKUP($MI59,$AV$2:$AZ$84,2,FALSE),"")</f>
        <v/>
      </c>
      <c r="MW59" s="152">
        <f>IFERROR(VLOOKUP($MJ59,$AV$2:$AZ$84,2,FALSE),"")</f>
        <v/>
      </c>
      <c r="MX59" s="152">
        <f>IFERROR(VLOOKUP($MK59,$AV$2:$AZ$84,2,FALSE),"")</f>
        <v/>
      </c>
      <c r="MY59" s="152">
        <f>IFERROR(VLOOKUP($MH59,$AV$2:$AZ$84,3,FALSE),0)</f>
        <v/>
      </c>
      <c r="MZ59" s="152">
        <f>IFERROR(VLOOKUP($MI59,$AV$2:$AZ$84,3,FALSE),0)</f>
        <v/>
      </c>
      <c r="NA59" s="152">
        <f>IFERROR(VLOOKUP($MJ59,$AV$2:$AZ$84,3,FALSE),0)</f>
        <v/>
      </c>
      <c r="NB59" s="152">
        <f>IFERROR(VLOOKUP($MK59,$AV$2:$AZ$84,3,FALSE),0)</f>
        <v/>
      </c>
      <c r="NC59" s="152">
        <f>IF($MC59=0,0,IF($MT59=0,0,INDEX($X$2:$X$11,$MT59)))</f>
        <v/>
      </c>
      <c r="ND59" s="152">
        <f>IF(OR($MY59=0,$MC59=0),0,$MY59+3*IF(AND($MU59&lt;&gt;"",OR($MU59=INDEX($ED$2:$ED$13,$LY59),$MU59=INDEX($EE$2:$EE$13,$LY59))),1,0))</f>
        <v/>
      </c>
      <c r="NE59" s="152">
        <f>IF(OR($MZ59=0,$MC59=0),0,$MZ59+3*IF(AND($MV59&lt;&gt;"",OR($MV59=INDEX($ED$2:$ED$13,$LY59),$MV59=INDEX($EE$2:$EE$13,$LY59))),1,0))</f>
        <v/>
      </c>
      <c r="NF59" s="152">
        <f>IF(OR($NA59=0,$MC59=0),0,$NA59+3*IF(AND($MW59&lt;&gt;"",OR($MW59=INDEX($ED$2:$ED$13,$LY59),$MW59=INDEX($EE$2:$EE$13,$LY59))),1,0))</f>
        <v/>
      </c>
      <c r="NG59" s="152">
        <f>IF(OR($NB59=0,$MC59=0),0,$NB59+3*IF(AND($MX59&lt;&gt;"",OR($MX59=INDEX($ED$2:$ED$13,$LY59),$MX59=INDEX($EE$2:$EE$13,$LY59))),1,0))</f>
        <v/>
      </c>
      <c r="NH59" s="152">
        <f>IF($MT59=0,0,IF(INDEX($W$2:$W$11,$MT59)="",0,IF(COUNTIF(INDEX($ED$2:$EH$13,$LY59,0),INDEX($W$2:$W$11,$MT59))=0,1,0)))</f>
        <v/>
      </c>
      <c r="NI59" s="152">
        <f>IF(OR($MY59=0,$MU59=""),0,IF(COUNTIF(INDEX($ED$2:$EH$13,$LY59,0),$MU59)=0,1,0))</f>
        <v/>
      </c>
      <c r="NJ59" s="152">
        <f>IF(OR($MZ59=0,$MV59=""),0,IF(COUNTIF(INDEX($ED$2:$EH$13,$LY59,0),$MV59)=0,1,0))</f>
        <v/>
      </c>
      <c r="NK59" s="152">
        <f>IF(OR($NA59=0,$MW59=""),0,IF(COUNTIF(INDEX($ED$2:$EH$13,$LY59,0),$MW59)=0,1,0))</f>
        <v/>
      </c>
      <c r="NL59" s="152">
        <f>IF(OR($NB59=0,$MX59=""),0,IF(COUNTIF(INDEX($ED$2:$EH$13,$LY59,0),$MX59)=0,1,0))</f>
        <v/>
      </c>
      <c r="NM59" s="152">
        <f>IFERROR(VLOOKUP($MH59,$AV$2:$AZ$84,4,FALSE),0)+IFERROR(VLOOKUP($MI59,$AV$2:$AZ$84,4,FALSE),0)+IFERROR(VLOOKUP($MJ59,$AV$2:$AZ$84,4,FALSE),0)+IFERROR(VLOOKUP($MK59,$AV$2:$AZ$84,4,FALSE),0)</f>
        <v/>
      </c>
      <c r="NN59" s="152">
        <f>TEXTJOIN(", ",TRUE,IF(IFERROR(VLOOKUP($MH59,$AV$2:$AZ$84,5,FALSE),0)=1,$MH59,""),IF(IFERROR(VLOOKUP($MI59,$AV$2:$AZ$84,5,FALSE),0)=1,$MI59,""),IF(IFERROR(VLOOKUP($MJ59,$AV$2:$AZ$84,5,FALSE),0)=1,$MJ59,""),IF(IFERROR(VLOOKUP($MK59,$AV$2:$AZ$84,5,FALSE),0)=1,$MK59,""))</f>
        <v/>
      </c>
      <c r="NO59" s="152">
        <f>IF($MT59=0,0,INDEX($Y$2:$Y$11,$MT59))</f>
        <v/>
      </c>
      <c r="NP59" s="152">
        <f>IF($MT59=0,0,INDEX($Z$2:$Z$11,$MT59))</f>
        <v/>
      </c>
      <c r="NQ59" s="152">
        <f>IF($MT59=0,0,INDEX($AB$2:$AB$11,$MT59))</f>
        <v/>
      </c>
      <c r="NR59" s="152">
        <f>IFERROR(VLOOKUP($ML59,$BB$2:$BF$24,3,FALSE),0)</f>
        <v/>
      </c>
      <c r="NS59" s="152">
        <f>IFERROR(VLOOKUP($MM59,$BB$2:$BF$24,3,FALSE),0)</f>
        <v/>
      </c>
      <c r="NT59" s="152">
        <f>IFERROR(VLOOKUP($ML59,$BB$2:$BF$24,2,FALSE),"")</f>
        <v/>
      </c>
      <c r="NU59" s="152">
        <f>IFERROR(VLOOKUP($MM59,$BB$2:$BF$24,2,FALSE),"")</f>
        <v/>
      </c>
      <c r="NV59" s="152">
        <f>COUNTIF($NC59:$NG59,1)</f>
        <v/>
      </c>
      <c r="NW59" s="152">
        <f>COUNTIF($NC59:$NG59,2)</f>
        <v/>
      </c>
      <c r="NX59" s="152">
        <f>COUNTIF($NC59:$NG59,3)</f>
        <v/>
      </c>
      <c r="NY59" s="152">
        <f>COUNTIF($NC59:$NG59,4)</f>
        <v/>
      </c>
      <c r="NZ59" s="152">
        <f>COUNTIF($NC59:$NG59,5)</f>
        <v/>
      </c>
      <c r="OA59" s="152">
        <f>COUNTIF($NC59:$NG59,6)</f>
        <v/>
      </c>
      <c r="OB59" s="152">
        <f>COUNTIF($NR59:$NS59,1)</f>
        <v/>
      </c>
      <c r="OC59" s="152">
        <f>COUNTIF($NR59:$NS59,2)+$NO59</f>
        <v/>
      </c>
      <c r="OD59" s="152">
        <f>COUNTIF($MH59:$MK59,"?*")</f>
        <v/>
      </c>
      <c r="OE59" s="152">
        <f>COUNTIF($ML59:$MM59,"?*")+$NO59</f>
        <v/>
      </c>
      <c r="OF59" s="152">
        <f>IF($MC59=0,0,SUMPRODUCT($NV59:$OA59,INDEX($I$2:$N$8,MAX(1,$MC59),0)))</f>
        <v/>
      </c>
      <c r="OG59" s="152">
        <f>IF($MC59=0,0,$OB59*CEILING($MC59/2,1)+$OC59*$MC59)</f>
        <v/>
      </c>
      <c r="OH59" s="152">
        <f>MIN(2*$MC59,$OG59)</f>
        <v/>
      </c>
      <c r="OI59" s="152">
        <f>MIN($OH59,$OF59)</f>
        <v/>
      </c>
      <c r="OJ59" s="152">
        <f>$OH59-$OI59</f>
        <v/>
      </c>
      <c r="OK59" s="152">
        <f>IF($MC59=0,0,INDEX($P$2:$P$8,MAX(1,$MC59)))</f>
        <v/>
      </c>
      <c r="OL59" s="152">
        <f>$OK59-$OF59+$OI59</f>
        <v/>
      </c>
      <c r="OM59" s="152">
        <f>IF($MC59=0,MAX(0,$MQ59-IF($OD59&gt;0,1,0)),MAX(0,$OL59))</f>
        <v/>
      </c>
      <c r="ON59" s="152">
        <f>IF($MC59=0,0,(IF(COUNTIF($MH59:$MK59,"Salto")&gt;0,1,0)+IF(COUNTIF($MH59:$MK59,"Queima")&gt;0,1,0)+IF(COUNTIF($MH59:$MK59,"Estilhaço")&gt;0,1,0))*FLOOR($OM59/2,1))</f>
        <v/>
      </c>
      <c r="OO59" s="152">
        <f>MAX(0,2-SUMPRODUCT($NV59:$OA59,$I$2:$N$2)+MIN(2,$OB59*1+$OC59*1,SUMPRODUCT($NV59:$OA59,$I$2:$N$2)))</f>
        <v/>
      </c>
      <c r="OP59" s="152">
        <f>MAX(0,4-SUMPRODUCT($NV59:$OA59,$I$3:$N$3)+MIN(4,$OB59*1+$OC59*2,SUMPRODUCT($NV59:$OA59,$I$3:$N$3)))</f>
        <v/>
      </c>
      <c r="OQ59" s="152">
        <f>MAX(0,6-SUMPRODUCT($NV59:$OA59,$I$4:$N$4)+MIN(6,$OB59*2+$OC59*3,SUMPRODUCT($NV59:$OA59,$I$4:$N$4)))</f>
        <v/>
      </c>
      <c r="OR59" s="152">
        <f>MAX(0,9-SUMPRODUCT($NV59:$OA59,$I$5:$N$5)+MIN(8,$OB59*2+$OC59*4,SUMPRODUCT($NV59:$OA59,$I$5:$N$5)))</f>
        <v/>
      </c>
      <c r="OS59" s="152">
        <f>MAX(0,11-SUMPRODUCT($NV59:$OA59,$I$6:$N$6)+MIN(10,$OB59*3+$OC59*5,SUMPRODUCT($NV59:$OA59,$I$6:$N$6)))</f>
        <v/>
      </c>
      <c r="OT59" s="152">
        <f>MAX(0,13-SUMPRODUCT($NV59:$OA59,$I$7:$N$7)+MIN(12,$OB59*3+$OC59*6,SUMPRODUCT($NV59:$OA59,$I$7:$N$7)))</f>
        <v/>
      </c>
      <c r="OU59" s="152">
        <f>MAX(0,16-SUMPRODUCT($NV59:$OA59,$I$8:$N$8)+MIN(14,$OB59*4+$OC59*7,SUMPRODUCT($NV59:$OA59,$I$8:$N$8)))</f>
        <v/>
      </c>
      <c r="OV59" s="152">
        <f>IF($NP59=2,3*$OO59&amp;" de vida temp.",IF($NP59=3,"sem dano",IF($OO59=0,IF($NP59=1,"sem cura","sem dano"),IF($NP59=1,"cura ","")&amp;$OO59&amp;"d8")))</f>
        <v/>
      </c>
      <c r="OW59" s="152">
        <f>IF($NP59=2,3*$OP59&amp;" de vida temp.",IF($NP59=3,"sem dano",IF($OP59=0,IF($NP59=1,"sem cura","sem dano"),IF($NP59=1,"cura ","")&amp;$OP59&amp;"d8")))</f>
        <v/>
      </c>
      <c r="OX59" s="152">
        <f>IF($NP59=2,3*$OQ59&amp;" de vida temp.",IF($NP59=3,"sem dano",IF($OQ59=0,IF($NP59=1,"sem cura","sem dano"),IF($NP59=1,"cura ","")&amp;$OQ59&amp;"d8")))</f>
        <v/>
      </c>
      <c r="OY59" s="152">
        <f>IF($NP59=2,3*$OR59&amp;" de vida temp.",IF($NP59=3,"sem dano",IF($OR59=0,IF($NP59=1,"sem cura","sem dano"),IF($NP59=1,"cura ","")&amp;$OR59&amp;"d8")))</f>
        <v/>
      </c>
      <c r="OZ59" s="152">
        <f>IF($NP59=2,3*$OS59&amp;" de vida temp.",IF($NP59=3,"sem dano",IF($OS59=0,IF($NP59=1,"sem cura","sem dano"),IF($NP59=1,"cura ","")&amp;$OS59&amp;"d8")))</f>
        <v/>
      </c>
      <c r="PA59" s="152">
        <f>IF($NP59=2,3*$OT59&amp;" de vida temp.",IF($NP59=3,"sem dano",IF($OT59=0,IF($NP59=1,"sem cura","sem dano"),IF($NP59=1,"cura ","")&amp;$OT59&amp;"d8")))</f>
        <v/>
      </c>
      <c r="PB59" s="152">
        <f>IF($NP59=2,3*$OU59&amp;" de vida temp.",IF($NP59=3,"sem dano",IF($OU59=0,IF($NP59=1,"sem cura","sem dano"),IF($NP59=1,"cura ","")&amp;$OU59&amp;"d8")))</f>
        <v/>
      </c>
      <c r="PC59" s="152">
        <f>IF($MN59=0,"",TEXTJOIN(" · ",TRUE,IF($MA59&gt;$MO59,"Este lugar abre no nível "&amp;$MA59,""),IF($MC59&gt;$MP59,"Classe "&amp;$MC59&amp;": o nível "&amp;$MO59&amp;" libera até a "&amp;$MP59,""),IF($NH59=1,"A Forma "&amp;$ME59&amp;" pede "&amp;INDEX($W$2:$W$11,$MT59)&amp;" aberta",""),IF(AND($MC59=0,$MT59&gt;0,IF($MT59=0,0,INDEX($AF$2:$AF$11,$MT59))=0),$ME59&amp;" não existe na Classe 0",""),IF($NI59=1,"Família Fechada: "&amp;$MH59,""),IF($NJ59=1,"Família Fechada: "&amp;$MI59,""),IF($NK59=1,"Família Fechada: "&amp;$MJ59,""),IF($NL59=1,"Família Fechada: "&amp;$MK59,""),IF(AND($MC59&gt;0,$OD59&gt;INDEX($O$2:$O$8,MAX(1,$MC59))),$OD59&amp;" Melhorias: a Classe "&amp;$MC59&amp;" aceita "&amp;INDEX($O$2:$O$8,MAX(1,$MC59)),""),IF(AND($MC59=0,$OD59&gt;1),"A básica aceita uma Melhoria",""),IF(AND($MC59=0,COUNTIF($MY59:$NB59,"&gt;1")&gt;0),"A básica só aceita Melhoria Leve",""),IF(AND($MC59&gt;0,$OE59&gt;2),$OE59&amp;" Restrições"&amp;IF($NO59=1,", contando a que a Forma "&amp;$ME59&amp;" já traz","")&amp;": o limite é 2",""),IF(AND($MC59=0,COUNTIF($ML59:$MM59,"?*")&gt;1),"A básica aceita uma Restrição Leve",""),IF(AND($MC59=0,COUNTIF($NR59:$NS59,2)&gt;0),"A básica só aceita Restrição Leve",""),IF(AND($MC59&gt;0,$OL59&lt;0),"Orçamento estourado: faltam "&amp;(-$OL59)&amp;IF($OL59&lt;-1," pontos"," ponto"),""),IF(IFERROR(VLOOKUP($ML59,$BB$2:$BF$24,4,FALSE),0)+IFERROR(VLOOKUP($MM59,$BB$2:$BF$24,4,FALSE),0)&gt;1,$NT59&amp;" e "&amp;$NU59&amp;" são as duas de frequência",""),IF(AND((COUNTIF($MH59:$MK59,"Rápido")+COUNTIF($NT59:$NU59,"Rápido"))&gt;0,(COUNTIF($MH59:$MK59,"Atrasar")+COUNTIF($NT59:$NU59,"Atrasar"))&gt;0),"Rápido não entra com Atrasar",""),IF(AND((COUNTIF($MH59:$MK59,"Reação")+COUNTIF($NT59:$NU59,"Reação"))&gt;0,(COUNTIF($MH59:$MK59,"Rápido")+COUNTIF($NT59:$NU59,"Rápido"))&gt;0),"Reação não entra com Rápido",""),IF(AND((COUNTIF($MH59:$MK59,"Reação")+COUNTIF($NT59:$NU59,"Reação"))&gt;0,(COUNTIF($MH59:$MK59,"Armado")+COUNTIF($NT59:$NU59,"Armado"))&gt;0),"Reação não entra com Armado",""),IF(AND((COUNTIF($MH59:$MK59,"Reação")+COUNTIF($NT59:$NU59,"Reação"))&gt;0,(COUNTIF($MH59:$MK59,"Atrasar")+COUNTIF($NT59:$NU59,"Atrasar"))&gt;0),"Reação não entra com Atrasar",""),IF(AND((COUNTIF($MH59:$MK59,"Reação")+COUNTIF($NT59:$NU59,"Reação"))&gt;0,(COUNTIF($MH59:$MK59,"Parado")+COUNTIF($NT59:$NU59,"Parado"))&gt;0),"Reação não entra com Parado",""),IF(AND((COUNTIF($MH59:$MK59,"Atrasar")+COUNTIF($NT59:$NU59,"Atrasar"))&gt;0,(COUNTIF($MH59:$MK59,"Parado")+COUNTIF($NT59:$NU59,"Parado"))&gt;0),"Atrasar não entra com Parado",""),IF(AND((COUNTIF($MH59:$MK59,"Armado")+COUNTIF($NT59:$NU59,"Armado"))&gt;0,(COUNTIF($MH59:$MK59,"Carregar")+COUNTIF($NT59:$NU59,"Carregar"))&gt;0),"Armado não entra com Carregar",""),IF(AND(COUNTIF($NT59:$NU59,"Corpo a Corpo")&gt;0,$NO59=0,OR($ME59="Cone",$ME59="Linha")),"Corpo a Corpo não entra em "&amp;$ME59,""),IF(AND(COUNTIF($NT59:$NU59,"Corpo a Corpo")&gt;0,$NO59=1),"A Forma "&amp;$ME59&amp;" já traz o Corpo a Corpo",""),IF(AND(COUNTIF($NT59:$NU59,"Tudo ou Nada")&gt;0,$NQ59=0),"Tudo ou Nada só entra em habilidade de Teste de Resistência",""),IF(AND(COUNTIF($MH59:$MK59,"Inescapável")&gt;0,OR($OD59&gt;1,$OE59&gt;0)),"Inescapável não aceita outra peça",""),IF(AND($MC59&gt;0,$OM59*IF(COUNTIF($MH59:$MK59,"Remate")&gt;0,1.25,1)+$ON59&gt;4*$MC59),($OM59*IF(COUNTIF($MH59:$MK59,"Remate")&gt;0,1.25,1)+$ON59)&amp;" dados somando repetições"&amp;IF(COUNTIF($MH59:$MK59,"Remate")&gt;0," e o Remate","")&amp;": o teto da Classe "&amp;$MC59&amp;" é "&amp;4*$MC59,"")))</f>
        <v/>
      </c>
      <c r="PD59" s="152">
        <f>IF($PC59="",0,(LEN($PC59)-LEN(SUBSTITUTE($PC59," · ","")))/3+1)</f>
        <v/>
      </c>
      <c r="PE59" s="152">
        <f>IF($MN59=0,"",TEXTJOIN(" · ",TRUE,IF($OG59&gt;2*$MC59,"A devolução parou no teto de "&amp;2*$MC59,""),IF($OJ59&gt;0,"Devolução perdida: "&amp;$OJ59&amp;IF($OJ59&gt;1," pontos"," ponto")&amp;" sem peça para pagar",""),IF(AND($NM59&gt;0,AND($MC59&gt;0,$NP59=0),$OM59=0),"Controle sem dano: uma rodada a mais e CD +2",""),IF(AND($NM59&gt;0,AND($MC59&gt;0,$NP59=0),$OM59&gt;0,$OM59&lt;=$MC59),"Controle com saldo até a Classe: uma rodada a mais",""),IF(AND($MC59&gt;0,$NN59&lt;&gt;""),"Efeito de "&amp;$NN59&amp;" pela Classe "&amp;MAX(1,$MC59-1),"")))</f>
        <v/>
      </c>
      <c r="PF59" s="152">
        <f>IF($PE59="",0,(LEN($PE59)-LEN(SUBSTITUTE($PE59," · ","")))/3+1)</f>
        <v/>
      </c>
      <c r="PG59" s="152">
        <f>IF($MN59=0,IF($OD59+COUNTIF($ML59:$MM59,"?*")&gt;0,"Dê um nome",""),IF($PD59&gt;0,"⚠ "&amp;$PD59&amp;IF($PD59&gt;1," erros"," erro"),IF($PF59&gt;0,"! "&amp;$PF59&amp;IF($PF59&gt;1," avisos"," aviso"),"Na regra")))</f>
        <v/>
      </c>
      <c r="PH59" s="152">
        <f>IF($MN59=0,"",IF($PD59+$PF59=0,"Dentro das regras que a ficha confere",$PC59&amp;IF(AND($PD59&gt;0,$PF59&gt;0)," · ","")&amp;$PE59))</f>
        <v/>
      </c>
      <c r="PI59" s="152">
        <f>IF($MA59&gt;$MO59,$MB59&amp;" · ABRE NO NÍVEL "&amp;$MA59,$MB59)</f>
        <v/>
      </c>
      <c r="PJ59" s="152">
        <f>IF($MN59=0,"",IF($MC59=0,"Sem PE",3*$MC59&amp;" PE"))</f>
        <v/>
      </c>
      <c r="PK59" s="152">
        <f>IF($MN59=0,"",IF($MC59=0,"A atuação básica dela",IF(COUNTIF($NT59:$NU59,"Atrasar")&gt;0,"Sua Ação Completa",IF(COUNTIF($MH59:$MK59,"Rápido")&gt;0,"Sua Bônus",IF(COUNTIF($MH59:$MK59,"Reação")&gt;0,"Sua Reação","Sua Padrão")))&amp;" + a básica dela"&amp;IF(COUNTIF($MH59:$MK59,"Reação")&gt;0," e a coletiva","")&amp;IF(COUNTIF($NT59:$NU59,"Carregar")&gt;0," · em dois turnos","")))</f>
        <v/>
      </c>
      <c r="PL59" s="152">
        <f>IF($MG59&lt;&gt;"",$MG59,IF($MT59=0,"",INDEX($AA$2:$AA$11,$MT59)))</f>
        <v/>
      </c>
      <c r="PM59" s="152">
        <f>IF(OR($MN59=0,$MT59=0),"",IF(COUNTIF($MH59:$MK59,"Inescapável")&gt;0,"Automático",IF($PL59="Ataque",IF($MR59="","Ataque","Ataque "&amp;IF(($MR59+2*IF(COUNTIF($MH59:$MK59,"Precisão")&gt;0,1,0))&gt;=0,"+","−")&amp;ABS(($MR59+2*IF(COUNTIF($MH59:$MK59,"Precisão")&gt;0,1,0)))),IF(LEFT($PL59,2)="TR",$PL59&amp;IF($MS59="",""," · CD "&amp;$MS59)&amp;IF(COUNTIF($MH59:$MK59,"Certeiro")&gt;0," · metade",""),"Sem rolagem"))))</f>
        <v/>
      </c>
      <c r="PN59" s="152">
        <f>IF(OR($MN59=0,$MT59=0),"",IF($MC59=0,IF(OR($NP59&gt;=1,$OM59=0),"Sem dano",$OM59&amp;"d6"&amp;IF($MF59="",""," "&amp;$MF59)),IF(OR($NP59&gt;=1,$OM59=0),UPPER(LEFT(INDEX($OV59:$PB59,1,MAX(1,$MC59)),1))&amp;MID(INDEX($OV59:$PB59,1,MAX(1,$MC59)),2,99),UPPER(LEFT(INDEX($OV59:$PB59,1,MAX(1,$MC59)),1))&amp;MID(INDEX($OV59:$PB59,1,MAX(1,$MC59)),2,99)&amp;IF($MF59="",""," "&amp;$MF59)&amp;IF($ON59&gt;0," · +"&amp;$ON59&amp;"d8",""))))</f>
        <v/>
      </c>
      <c r="PO59" s="152">
        <f>COUNTIF($MH59:$MK59,"Longe")+3*COUNTIF($MH59:$MK59,"Muito Longe")</f>
        <v/>
      </c>
      <c r="PP59" s="152">
        <f>COUNTIF($MH59:$MK59,"Maior")+3*COUNTIF($MH59:$MK59,"Muito Maior")</f>
        <v/>
      </c>
      <c r="PQ59" s="152">
        <f>IF($MT59=0,0,CHOOSE(1+INDEX($AC$2:$AC$11,$MT59),0,$PO59,$PP59,$PO59+$PP59))</f>
        <v/>
      </c>
      <c r="PR59" s="152">
        <f>IF($MT59=0,0,CHOOSE(1+INDEX($AD$2:$AD$11,$MT59),0,$PO59,$PP59,$PO59+$PP59))</f>
        <v/>
      </c>
      <c r="PS59" s="152">
        <f>IF(OR($MN59=0,$MT59=0),"",INDEX($AI$2:$AN$41,($MT59-1)*4+IF($MC59=0,1,IF($MC59&lt;=5,2,IF($MC59=6,3,4))),1+MIN(5,$PQ59))&amp;INDEX($AO$2:$AT$41,($MT59-1)*4+IF($MC59=0,1,IF($MC59&lt;=5,2,IF($MC59=6,3,4))),1+MIN(5,$PR59))&amp;IF(INDEX($AE$2:$AE$11,$MT59)=1,IF(COUNTIF($MH59:$MK59,"Mais Um")&gt;0," · +"&amp;COUNTIF($MH59:$MK59,"Mais Um")&amp;IF(COUNTIF($MH59:$MK59,"Mais Um")&gt;1," alvos"," alvo"),"")&amp;IF(COUNTIF($MH59:$MK59,"Rajada")&gt;0,IF($MC59=0," · 1 tiro"," · "&amp;(MAX(1,$MC59-1)+1)&amp;" tiros"),""),""))</f>
        <v/>
      </c>
      <c r="PT59" s="152">
        <f>IF($MN59=0,"",IF($MC59=0,$MQ59&amp;"d6"&amp;IF($OD59&gt;0," − 1 = "&amp;$OM59&amp;"d6"," da básica do nível "&amp;$MO59),$OK59&amp;" − "&amp;$OF59&amp;" + "&amp;$OI59&amp;" = "&amp;$OL59&amp;" · teto "&amp;4*$MC59&amp;"d8"&amp;IF($NO59=1," · a Forma devolve "&amp;$MC59,"")&amp;IF($OJ59&gt;0," · perde "&amp;$OJ59,"")))</f>
        <v/>
      </c>
      <c r="PU59" s="152">
        <f>IF($MN59=0,"",IF($MC59=0,"A básica não amplia: os dados dela sobem com o nível",IF($MC59&gt;=$MP59,"Já está na maior Classe que o nível liberou",TEXTJOIN(" · ",TRUE,IF(AND(2&gt;$MC59,2&lt;=$MP59),"2 → "&amp;$OW59&amp;", 6 PE",""),IF(AND(3&gt;$MC59,3&lt;=$MP59),"3 → "&amp;$OX59&amp;", 9 PE",""),IF(AND(4&gt;$MC59,4&lt;=$MP59),"4 → "&amp;$OY59&amp;", 12 PE",""),IF(AND(5&gt;$MC59,5&lt;=$MP59),"5 → "&amp;$OZ59&amp;", 15 PE",""),IF(AND(6&gt;$MC59,6&lt;=$MP59),"6 → "&amp;$PA59&amp;", 18 PE",""),IF(AND(7&gt;$MC59,7&lt;=$MP59),"7 → "&amp;$PB59&amp;", 21 PE","")))))</f>
        <v/>
      </c>
      <c r="PV59" s="152">
        <f>IF(OR($MN59=0,$MY59=0),"",IF($MC59=0,"−1 dado","−"&amp;INDEX($I$2:$N$8,MAX(1,$MC59),MAX(1,$ND59))&amp;" · "&amp;CHOOSE(MAX(1,$ND59),"Leve","Média","Pesada","Leve · Livre","Média · Livre","Pesada · Livre")))</f>
        <v/>
      </c>
      <c r="PW59" s="152">
        <f>IF(OR($MN59=0,$MZ59=0),"",IF($MC59=0,"−1 dado","−"&amp;INDEX($I$2:$N$8,MAX(1,$MC59),MAX(1,$NE59))&amp;" · "&amp;CHOOSE(MAX(1,$NE59),"Leve","Média","Pesada","Leve · Livre","Média · Livre","Pesada · Livre")))</f>
        <v/>
      </c>
      <c r="PX59" s="152">
        <f>IF(OR($MN59=0,$NA59=0),"",IF($MC59=0,"−1 dado","−"&amp;INDEX($I$2:$N$8,MAX(1,$MC59),MAX(1,$NF59))&amp;" · "&amp;CHOOSE(MAX(1,$NF59),"Leve","Média","Pesada","Leve · Livre","Média · Livre","Pesada · Livre")))</f>
        <v/>
      </c>
      <c r="PY59" s="152">
        <f>IF(OR($MN59=0,$NB59=0),"",IF($MC59=0,"−1 dado","−"&amp;INDEX($I$2:$N$8,MAX(1,$MC59),MAX(1,$NG59))&amp;" · "&amp;CHOOSE(MAX(1,$NG59),"Leve","Média","Pesada","Leve · Livre","Média · Livre","Pesada · Livre")))</f>
        <v/>
      </c>
      <c r="PZ59" s="152">
        <f>IF(OR($MN59=0,$ML59=""),"",IF($MC59=0,"não devolve","+"&amp;IF($NR59=1,CEILING($MC59/2,1),$MC59)))</f>
        <v/>
      </c>
      <c r="QA59" s="152">
        <f>IF(OR($MN59=0,$MM59=""),"",IF($MC59=0,"não devolve","+"&amp;IF($NS59=1,CEILING($MC59/2,1),$MC59)))</f>
        <v/>
      </c>
    </row>
    <row r="60">
      <c r="AV60" s="150" t="inlineStr">
        <is>
          <t>Rápido</t>
        </is>
      </c>
      <c r="AW60" s="150" t="inlineStr">
        <is>
          <t>Tempo</t>
        </is>
      </c>
      <c r="AX60" s="152" t="n">
        <v>3</v>
      </c>
      <c r="AY60" s="152" t="n">
        <v>0</v>
      </c>
      <c r="AZ60" s="152" t="n">
        <v>0</v>
      </c>
      <c r="JD60" s="152">
        <f>IF(OR($AW60="",COUNTIF($ED$2:$EH$2,$AW60)&gt;0),$AV60,"")</f>
        <v/>
      </c>
      <c r="JE60" s="152">
        <f>IF(AND($AX60=1,OR($AW60="",COUNTIF($ED$2:$EH$2,$AW60)&gt;0)),$AV60,"")</f>
        <v/>
      </c>
      <c r="JJ60" s="152">
        <f>IF(OR($AW60="",COUNTIF($ED$3:$EH$3,$AW60)&gt;0),$AV60,"")</f>
        <v/>
      </c>
      <c r="JK60" s="152">
        <f>IF(AND($AX60=1,OR($AW60="",COUNTIF($ED$3:$EH$3,$AW60)&gt;0)),$AV60,"")</f>
        <v/>
      </c>
      <c r="JP60" s="152">
        <f>IF(OR($AW60="",COUNTIF($ED$4:$EH$4,$AW60)&gt;0),$AV60,"")</f>
        <v/>
      </c>
      <c r="JQ60" s="152">
        <f>IF(AND($AX60=1,OR($AW60="",COUNTIF($ED$4:$EH$4,$AW60)&gt;0)),$AV60,"")</f>
        <v/>
      </c>
      <c r="JV60" s="152">
        <f>IF(OR($AW60="",COUNTIF($ED$5:$EH$5,$AW60)&gt;0),$AV60,"")</f>
        <v/>
      </c>
      <c r="JW60" s="152">
        <f>IF(AND($AX60=1,OR($AW60="",COUNTIF($ED$5:$EH$5,$AW60)&gt;0)),$AV60,"")</f>
        <v/>
      </c>
      <c r="KB60" s="152">
        <f>IF(OR($AW60="",COUNTIF($ED$6:$EH$6,$AW60)&gt;0),$AV60,"")</f>
        <v/>
      </c>
      <c r="KC60" s="152">
        <f>IF(AND($AX60=1,OR($AW60="",COUNTIF($ED$6:$EH$6,$AW60)&gt;0)),$AV60,"")</f>
        <v/>
      </c>
      <c r="KH60" s="152">
        <f>IF(OR($AW60="",COUNTIF($ED$7:$EH$7,$AW60)&gt;0),$AV60,"")</f>
        <v/>
      </c>
      <c r="KI60" s="152">
        <f>IF(AND($AX60=1,OR($AW60="",COUNTIF($ED$7:$EH$7,$AW60)&gt;0)),$AV60,"")</f>
        <v/>
      </c>
      <c r="KN60" s="152">
        <f>IF(OR($AW60="",COUNTIF($ED$8:$EH$8,$AW60)&gt;0),$AV60,"")</f>
        <v/>
      </c>
      <c r="KO60" s="152">
        <f>IF(AND($AX60=1,OR($AW60="",COUNTIF($ED$8:$EH$8,$AW60)&gt;0)),$AV60,"")</f>
        <v/>
      </c>
      <c r="KT60" s="152">
        <f>IF(OR($AW60="",COUNTIF($ED$9:$EH$9,$AW60)&gt;0),$AV60,"")</f>
        <v/>
      </c>
      <c r="KU60" s="152">
        <f>IF(AND($AX60=1,OR($AW60="",COUNTIF($ED$9:$EH$9,$AW60)&gt;0)),$AV60,"")</f>
        <v/>
      </c>
      <c r="KZ60" s="152">
        <f>IF(OR($AW60="",COUNTIF($ED$10:$EH$10,$AW60)&gt;0),$AV60,"")</f>
        <v/>
      </c>
      <c r="LA60" s="152">
        <f>IF(AND($AX60=1,OR($AW60="",COUNTIF($ED$10:$EH$10,$AW60)&gt;0)),$AV60,"")</f>
        <v/>
      </c>
      <c r="LF60" s="152">
        <f>IF(OR($AW60="",COUNTIF($ED$11:$EH$11,$AW60)&gt;0),$AV60,"")</f>
        <v/>
      </c>
      <c r="LG60" s="152">
        <f>IF(AND($AX60=1,OR($AW60="",COUNTIF($ED$11:$EH$11,$AW60)&gt;0)),$AV60,"")</f>
        <v/>
      </c>
      <c r="LL60" s="152">
        <f>IF(OR($AW60="",COUNTIF($ED$12:$EH$12,$AW60)&gt;0),$AV60,"")</f>
        <v/>
      </c>
      <c r="LM60" s="152">
        <f>IF(AND($AX60=1,OR($AW60="",COUNTIF($ED$12:$EH$12,$AW60)&gt;0)),$AV60,"")</f>
        <v/>
      </c>
      <c r="LR60" s="152">
        <f>IF(OR($AW60="",COUNTIF($ED$13:$EH$13,$AW60)&gt;0),$AV60,"")</f>
        <v/>
      </c>
      <c r="LS60" s="152">
        <f>IF(AND($AX60=1,OR($AW60="",COUNTIF($ED$13:$EH$13,$AW60)&gt;0)),$AV60,"")</f>
        <v/>
      </c>
      <c r="LX60" s="150" t="inlineStr">
        <is>
          <t>Ficha 5 · Especial 5</t>
        </is>
      </c>
      <c r="LY60" s="152" t="n">
        <v>5</v>
      </c>
      <c r="LZ60" s="152" t="n">
        <v>1</v>
      </c>
      <c r="MA60" s="152" t="n">
        <v>16</v>
      </c>
      <c r="MB60" s="150" t="inlineStr">
        <is>
          <t>ESPECIAL 5</t>
        </is>
      </c>
      <c r="MC60" s="152">
        <f>MAX(1,MIN(7,N('INVOCAÇÕES'!$I$906)))</f>
        <v/>
      </c>
      <c r="MD60" s="152">
        <f>'INVOCAÇÕES'!$J$906&amp;""</f>
        <v/>
      </c>
      <c r="ME60" s="152">
        <f>'INVOCAÇÕES'!$I$911&amp;""</f>
        <v/>
      </c>
      <c r="MF60" s="152">
        <f>'INVOCAÇÕES'!$I$912&amp;""</f>
        <v/>
      </c>
      <c r="MG60" s="152">
        <f>'INVOCAÇÕES'!$K$912&amp;""</f>
        <v/>
      </c>
      <c r="MH60" s="152">
        <f>'INVOCAÇÕES'!$J$915&amp;""</f>
        <v/>
      </c>
      <c r="MI60" s="152">
        <f>'INVOCAÇÕES'!$J$916&amp;""</f>
        <v/>
      </c>
      <c r="MJ60" s="152">
        <f>'INVOCAÇÕES'!$J$917&amp;""</f>
        <v/>
      </c>
      <c r="MK60" s="152">
        <f>'INVOCAÇÕES'!$J$918&amp;""</f>
        <v/>
      </c>
      <c r="ML60" s="152">
        <f>'INVOCAÇÕES'!$J$919&amp;""</f>
        <v/>
      </c>
      <c r="MM60" s="152">
        <f>'INVOCAÇÕES'!$J$920&amp;""</f>
        <v/>
      </c>
      <c r="MN60" s="152">
        <f>IF($MD60&lt;&gt;"",1,0)</f>
        <v/>
      </c>
      <c r="MO60" s="152">
        <f>INDEX($FG$2:$FG$13,$LY60)</f>
        <v/>
      </c>
      <c r="MP60" s="152">
        <f>INDEX($FH$2:$FH$13,$LY60)</f>
        <v/>
      </c>
      <c r="MQ60" s="152">
        <f>INDEX($FI$2:$FI$13,$LY60)</f>
        <v/>
      </c>
      <c r="MR60" s="152">
        <f>INDEX($FT$2:$FT$13,$LY60)</f>
        <v/>
      </c>
      <c r="MS60" s="152">
        <f>INDEX($FU$2:$FU$13,$LY60)</f>
        <v/>
      </c>
      <c r="MT60" s="152">
        <f>IFERROR(MATCH($ME60,$V$2:$V$11,0),0)</f>
        <v/>
      </c>
      <c r="MU60" s="152">
        <f>IFERROR(VLOOKUP($MH60,$AV$2:$AZ$84,2,FALSE),"")</f>
        <v/>
      </c>
      <c r="MV60" s="152">
        <f>IFERROR(VLOOKUP($MI60,$AV$2:$AZ$84,2,FALSE),"")</f>
        <v/>
      </c>
      <c r="MW60" s="152">
        <f>IFERROR(VLOOKUP($MJ60,$AV$2:$AZ$84,2,FALSE),"")</f>
        <v/>
      </c>
      <c r="MX60" s="152">
        <f>IFERROR(VLOOKUP($MK60,$AV$2:$AZ$84,2,FALSE),"")</f>
        <v/>
      </c>
      <c r="MY60" s="152">
        <f>IFERROR(VLOOKUP($MH60,$AV$2:$AZ$84,3,FALSE),0)</f>
        <v/>
      </c>
      <c r="MZ60" s="152">
        <f>IFERROR(VLOOKUP($MI60,$AV$2:$AZ$84,3,FALSE),0)</f>
        <v/>
      </c>
      <c r="NA60" s="152">
        <f>IFERROR(VLOOKUP($MJ60,$AV$2:$AZ$84,3,FALSE),0)</f>
        <v/>
      </c>
      <c r="NB60" s="152">
        <f>IFERROR(VLOOKUP($MK60,$AV$2:$AZ$84,3,FALSE),0)</f>
        <v/>
      </c>
      <c r="NC60" s="152">
        <f>IF($MC60=0,0,IF($MT60=0,0,INDEX($X$2:$X$11,$MT60)))</f>
        <v/>
      </c>
      <c r="ND60" s="152">
        <f>IF(OR($MY60=0,$MC60=0),0,$MY60+3*IF(AND($MU60&lt;&gt;"",OR($MU60=INDEX($ED$2:$ED$13,$LY60),$MU60=INDEX($EE$2:$EE$13,$LY60))),1,0))</f>
        <v/>
      </c>
      <c r="NE60" s="152">
        <f>IF(OR($MZ60=0,$MC60=0),0,$MZ60+3*IF(AND($MV60&lt;&gt;"",OR($MV60=INDEX($ED$2:$ED$13,$LY60),$MV60=INDEX($EE$2:$EE$13,$LY60))),1,0))</f>
        <v/>
      </c>
      <c r="NF60" s="152">
        <f>IF(OR($NA60=0,$MC60=0),0,$NA60+3*IF(AND($MW60&lt;&gt;"",OR($MW60=INDEX($ED$2:$ED$13,$LY60),$MW60=INDEX($EE$2:$EE$13,$LY60))),1,0))</f>
        <v/>
      </c>
      <c r="NG60" s="152">
        <f>IF(OR($NB60=0,$MC60=0),0,$NB60+3*IF(AND($MX60&lt;&gt;"",OR($MX60=INDEX($ED$2:$ED$13,$LY60),$MX60=INDEX($EE$2:$EE$13,$LY60))),1,0))</f>
        <v/>
      </c>
      <c r="NH60" s="152">
        <f>IF($MT60=0,0,IF(INDEX($W$2:$W$11,$MT60)="",0,IF(COUNTIF(INDEX($ED$2:$EH$13,$LY60,0),INDEX($W$2:$W$11,$MT60))=0,1,0)))</f>
        <v/>
      </c>
      <c r="NI60" s="152">
        <f>IF(OR($MY60=0,$MU60=""),0,IF(COUNTIF(INDEX($ED$2:$EH$13,$LY60,0),$MU60)=0,1,0))</f>
        <v/>
      </c>
      <c r="NJ60" s="152">
        <f>IF(OR($MZ60=0,$MV60=""),0,IF(COUNTIF(INDEX($ED$2:$EH$13,$LY60,0),$MV60)=0,1,0))</f>
        <v/>
      </c>
      <c r="NK60" s="152">
        <f>IF(OR($NA60=0,$MW60=""),0,IF(COUNTIF(INDEX($ED$2:$EH$13,$LY60,0),$MW60)=0,1,0))</f>
        <v/>
      </c>
      <c r="NL60" s="152">
        <f>IF(OR($NB60=0,$MX60=""),0,IF(COUNTIF(INDEX($ED$2:$EH$13,$LY60,0),$MX60)=0,1,0))</f>
        <v/>
      </c>
      <c r="NM60" s="152">
        <f>IFERROR(VLOOKUP($MH60,$AV$2:$AZ$84,4,FALSE),0)+IFERROR(VLOOKUP($MI60,$AV$2:$AZ$84,4,FALSE),0)+IFERROR(VLOOKUP($MJ60,$AV$2:$AZ$84,4,FALSE),0)+IFERROR(VLOOKUP($MK60,$AV$2:$AZ$84,4,FALSE),0)</f>
        <v/>
      </c>
      <c r="NN60" s="152">
        <f>TEXTJOIN(", ",TRUE,IF(IFERROR(VLOOKUP($MH60,$AV$2:$AZ$84,5,FALSE),0)=1,$MH60,""),IF(IFERROR(VLOOKUP($MI60,$AV$2:$AZ$84,5,FALSE),0)=1,$MI60,""),IF(IFERROR(VLOOKUP($MJ60,$AV$2:$AZ$84,5,FALSE),0)=1,$MJ60,""),IF(IFERROR(VLOOKUP($MK60,$AV$2:$AZ$84,5,FALSE),0)=1,$MK60,""))</f>
        <v/>
      </c>
      <c r="NO60" s="152">
        <f>IF($MT60=0,0,INDEX($Y$2:$Y$11,$MT60))</f>
        <v/>
      </c>
      <c r="NP60" s="152">
        <f>IF($MT60=0,0,INDEX($Z$2:$Z$11,$MT60))</f>
        <v/>
      </c>
      <c r="NQ60" s="152">
        <f>IF($MT60=0,0,INDEX($AB$2:$AB$11,$MT60))</f>
        <v/>
      </c>
      <c r="NR60" s="152">
        <f>IFERROR(VLOOKUP($ML60,$BB$2:$BF$24,3,FALSE),0)</f>
        <v/>
      </c>
      <c r="NS60" s="152">
        <f>IFERROR(VLOOKUP($MM60,$BB$2:$BF$24,3,FALSE),0)</f>
        <v/>
      </c>
      <c r="NT60" s="152">
        <f>IFERROR(VLOOKUP($ML60,$BB$2:$BF$24,2,FALSE),"")</f>
        <v/>
      </c>
      <c r="NU60" s="152">
        <f>IFERROR(VLOOKUP($MM60,$BB$2:$BF$24,2,FALSE),"")</f>
        <v/>
      </c>
      <c r="NV60" s="152">
        <f>COUNTIF($NC60:$NG60,1)</f>
        <v/>
      </c>
      <c r="NW60" s="152">
        <f>COUNTIF($NC60:$NG60,2)</f>
        <v/>
      </c>
      <c r="NX60" s="152">
        <f>COUNTIF($NC60:$NG60,3)</f>
        <v/>
      </c>
      <c r="NY60" s="152">
        <f>COUNTIF($NC60:$NG60,4)</f>
        <v/>
      </c>
      <c r="NZ60" s="152">
        <f>COUNTIF($NC60:$NG60,5)</f>
        <v/>
      </c>
      <c r="OA60" s="152">
        <f>COUNTIF($NC60:$NG60,6)</f>
        <v/>
      </c>
      <c r="OB60" s="152">
        <f>COUNTIF($NR60:$NS60,1)</f>
        <v/>
      </c>
      <c r="OC60" s="152">
        <f>COUNTIF($NR60:$NS60,2)+$NO60</f>
        <v/>
      </c>
      <c r="OD60" s="152">
        <f>COUNTIF($MH60:$MK60,"?*")</f>
        <v/>
      </c>
      <c r="OE60" s="152">
        <f>COUNTIF($ML60:$MM60,"?*")+$NO60</f>
        <v/>
      </c>
      <c r="OF60" s="152">
        <f>IF($MC60=0,0,SUMPRODUCT($NV60:$OA60,INDEX($I$2:$N$8,MAX(1,$MC60),0)))</f>
        <v/>
      </c>
      <c r="OG60" s="152">
        <f>IF($MC60=0,0,$OB60*CEILING($MC60/2,1)+$OC60*$MC60)</f>
        <v/>
      </c>
      <c r="OH60" s="152">
        <f>MIN(2*$MC60,$OG60)</f>
        <v/>
      </c>
      <c r="OI60" s="152">
        <f>MIN($OH60,$OF60)</f>
        <v/>
      </c>
      <c r="OJ60" s="152">
        <f>$OH60-$OI60</f>
        <v/>
      </c>
      <c r="OK60" s="152">
        <f>IF($MC60=0,0,INDEX($P$2:$P$8,MAX(1,$MC60)))</f>
        <v/>
      </c>
      <c r="OL60" s="152">
        <f>$OK60-$OF60+$OI60</f>
        <v/>
      </c>
      <c r="OM60" s="152">
        <f>IF($MC60=0,MAX(0,$MQ60-IF($OD60&gt;0,1,0)),MAX(0,$OL60))</f>
        <v/>
      </c>
      <c r="ON60" s="152">
        <f>IF($MC60=0,0,(IF(COUNTIF($MH60:$MK60,"Salto")&gt;0,1,0)+IF(COUNTIF($MH60:$MK60,"Queima")&gt;0,1,0)+IF(COUNTIF($MH60:$MK60,"Estilhaço")&gt;0,1,0))*FLOOR($OM60/2,1))</f>
        <v/>
      </c>
      <c r="OO60" s="152">
        <f>MAX(0,2-SUMPRODUCT($NV60:$OA60,$I$2:$N$2)+MIN(2,$OB60*1+$OC60*1,SUMPRODUCT($NV60:$OA60,$I$2:$N$2)))</f>
        <v/>
      </c>
      <c r="OP60" s="152">
        <f>MAX(0,4-SUMPRODUCT($NV60:$OA60,$I$3:$N$3)+MIN(4,$OB60*1+$OC60*2,SUMPRODUCT($NV60:$OA60,$I$3:$N$3)))</f>
        <v/>
      </c>
      <c r="OQ60" s="152">
        <f>MAX(0,6-SUMPRODUCT($NV60:$OA60,$I$4:$N$4)+MIN(6,$OB60*2+$OC60*3,SUMPRODUCT($NV60:$OA60,$I$4:$N$4)))</f>
        <v/>
      </c>
      <c r="OR60" s="152">
        <f>MAX(0,9-SUMPRODUCT($NV60:$OA60,$I$5:$N$5)+MIN(8,$OB60*2+$OC60*4,SUMPRODUCT($NV60:$OA60,$I$5:$N$5)))</f>
        <v/>
      </c>
      <c r="OS60" s="152">
        <f>MAX(0,11-SUMPRODUCT($NV60:$OA60,$I$6:$N$6)+MIN(10,$OB60*3+$OC60*5,SUMPRODUCT($NV60:$OA60,$I$6:$N$6)))</f>
        <v/>
      </c>
      <c r="OT60" s="152">
        <f>MAX(0,13-SUMPRODUCT($NV60:$OA60,$I$7:$N$7)+MIN(12,$OB60*3+$OC60*6,SUMPRODUCT($NV60:$OA60,$I$7:$N$7)))</f>
        <v/>
      </c>
      <c r="OU60" s="152">
        <f>MAX(0,16-SUMPRODUCT($NV60:$OA60,$I$8:$N$8)+MIN(14,$OB60*4+$OC60*7,SUMPRODUCT($NV60:$OA60,$I$8:$N$8)))</f>
        <v/>
      </c>
      <c r="OV60" s="152">
        <f>IF($NP60=2,3*$OO60&amp;" de vida temp.",IF($NP60=3,"sem dano",IF($OO60=0,IF($NP60=1,"sem cura","sem dano"),IF($NP60=1,"cura ","")&amp;$OO60&amp;"d8")))</f>
        <v/>
      </c>
      <c r="OW60" s="152">
        <f>IF($NP60=2,3*$OP60&amp;" de vida temp.",IF($NP60=3,"sem dano",IF($OP60=0,IF($NP60=1,"sem cura","sem dano"),IF($NP60=1,"cura ","")&amp;$OP60&amp;"d8")))</f>
        <v/>
      </c>
      <c r="OX60" s="152">
        <f>IF($NP60=2,3*$OQ60&amp;" de vida temp.",IF($NP60=3,"sem dano",IF($OQ60=0,IF($NP60=1,"sem cura","sem dano"),IF($NP60=1,"cura ","")&amp;$OQ60&amp;"d8")))</f>
        <v/>
      </c>
      <c r="OY60" s="152">
        <f>IF($NP60=2,3*$OR60&amp;" de vida temp.",IF($NP60=3,"sem dano",IF($OR60=0,IF($NP60=1,"sem cura","sem dano"),IF($NP60=1,"cura ","")&amp;$OR60&amp;"d8")))</f>
        <v/>
      </c>
      <c r="OZ60" s="152">
        <f>IF($NP60=2,3*$OS60&amp;" de vida temp.",IF($NP60=3,"sem dano",IF($OS60=0,IF($NP60=1,"sem cura","sem dano"),IF($NP60=1,"cura ","")&amp;$OS60&amp;"d8")))</f>
        <v/>
      </c>
      <c r="PA60" s="152">
        <f>IF($NP60=2,3*$OT60&amp;" de vida temp.",IF($NP60=3,"sem dano",IF($OT60=0,IF($NP60=1,"sem cura","sem dano"),IF($NP60=1,"cura ","")&amp;$OT60&amp;"d8")))</f>
        <v/>
      </c>
      <c r="PB60" s="152">
        <f>IF($NP60=2,3*$OU60&amp;" de vida temp.",IF($NP60=3,"sem dano",IF($OU60=0,IF($NP60=1,"sem cura","sem dano"),IF($NP60=1,"cura ","")&amp;$OU60&amp;"d8")))</f>
        <v/>
      </c>
      <c r="PC60" s="152">
        <f>IF($MN60=0,"",TEXTJOIN(" · ",TRUE,IF($MA60&gt;$MO60,"Este lugar abre no nível "&amp;$MA60,""),IF($MC60&gt;$MP60,"Classe "&amp;$MC60&amp;": o nível "&amp;$MO60&amp;" libera até a "&amp;$MP60,""),IF($NH60=1,"A Forma "&amp;$ME60&amp;" pede "&amp;INDEX($W$2:$W$11,$MT60)&amp;" aberta",""),IF(AND($MC60=0,$MT60&gt;0,IF($MT60=0,0,INDEX($AF$2:$AF$11,$MT60))=0),$ME60&amp;" não existe na Classe 0",""),IF($NI60=1,"Família Fechada: "&amp;$MH60,""),IF($NJ60=1,"Família Fechada: "&amp;$MI60,""),IF($NK60=1,"Família Fechada: "&amp;$MJ60,""),IF($NL60=1,"Família Fechada: "&amp;$MK60,""),IF(AND($MC60&gt;0,$OD60&gt;INDEX($O$2:$O$8,MAX(1,$MC60))),$OD60&amp;" Melhorias: a Classe "&amp;$MC60&amp;" aceita "&amp;INDEX($O$2:$O$8,MAX(1,$MC60)),""),IF(AND($MC60=0,$OD60&gt;1),"A básica aceita uma Melhoria",""),IF(AND($MC60=0,COUNTIF($MY60:$NB60,"&gt;1")&gt;0),"A básica só aceita Melhoria Leve",""),IF(AND($MC60&gt;0,$OE60&gt;2),$OE60&amp;" Restrições"&amp;IF($NO60=1,", contando a que a Forma "&amp;$ME60&amp;" já traz","")&amp;": o limite é 2",""),IF(AND($MC60=0,COUNTIF($ML60:$MM60,"?*")&gt;1),"A básica aceita uma Restrição Leve",""),IF(AND($MC60=0,COUNTIF($NR60:$NS60,2)&gt;0),"A básica só aceita Restrição Leve",""),IF(AND($MC60&gt;0,$OL60&lt;0),"Orçamento estourado: faltam "&amp;(-$OL60)&amp;IF($OL60&lt;-1," pontos"," ponto"),""),IF(IFERROR(VLOOKUP($ML60,$BB$2:$BF$24,4,FALSE),0)+IFERROR(VLOOKUP($MM60,$BB$2:$BF$24,4,FALSE),0)&gt;1,$NT60&amp;" e "&amp;$NU60&amp;" são as duas de frequência",""),IF(AND((COUNTIF($MH60:$MK60,"Rápido")+COUNTIF($NT60:$NU60,"Rápido"))&gt;0,(COUNTIF($MH60:$MK60,"Atrasar")+COUNTIF($NT60:$NU60,"Atrasar"))&gt;0),"Rápido não entra com Atrasar",""),IF(AND((COUNTIF($MH60:$MK60,"Reação")+COUNTIF($NT60:$NU60,"Reação"))&gt;0,(COUNTIF($MH60:$MK60,"Rápido")+COUNTIF($NT60:$NU60,"Rápido"))&gt;0),"Reação não entra com Rápido",""),IF(AND((COUNTIF($MH60:$MK60,"Reação")+COUNTIF($NT60:$NU60,"Reação"))&gt;0,(COUNTIF($MH60:$MK60,"Armado")+COUNTIF($NT60:$NU60,"Armado"))&gt;0),"Reação não entra com Armado",""),IF(AND((COUNTIF($MH60:$MK60,"Reação")+COUNTIF($NT60:$NU60,"Reação"))&gt;0,(COUNTIF($MH60:$MK60,"Atrasar")+COUNTIF($NT60:$NU60,"Atrasar"))&gt;0),"Reação não entra com Atrasar",""),IF(AND((COUNTIF($MH60:$MK60,"Reação")+COUNTIF($NT60:$NU60,"Reação"))&gt;0,(COUNTIF($MH60:$MK60,"Parado")+COUNTIF($NT60:$NU60,"Parado"))&gt;0),"Reação não entra com Parado",""),IF(AND((COUNTIF($MH60:$MK60,"Atrasar")+COUNTIF($NT60:$NU60,"Atrasar"))&gt;0,(COUNTIF($MH60:$MK60,"Parado")+COUNTIF($NT60:$NU60,"Parado"))&gt;0),"Atrasar não entra com Parado",""),IF(AND((COUNTIF($MH60:$MK60,"Armado")+COUNTIF($NT60:$NU60,"Armado"))&gt;0,(COUNTIF($MH60:$MK60,"Carregar")+COUNTIF($NT60:$NU60,"Carregar"))&gt;0),"Armado não entra com Carregar",""),IF(AND(COUNTIF($NT60:$NU60,"Corpo a Corpo")&gt;0,$NO60=0,OR($ME60="Cone",$ME60="Linha")),"Corpo a Corpo não entra em "&amp;$ME60,""),IF(AND(COUNTIF($NT60:$NU60,"Corpo a Corpo")&gt;0,$NO60=1),"A Forma "&amp;$ME60&amp;" já traz o Corpo a Corpo",""),IF(AND(COUNTIF($NT60:$NU60,"Tudo ou Nada")&gt;0,$NQ60=0),"Tudo ou Nada só entra em habilidade de Teste de Resistência",""),IF(AND(COUNTIF($MH60:$MK60,"Inescapável")&gt;0,OR($OD60&gt;1,$OE60&gt;0)),"Inescapável não aceita outra peça",""),IF(AND($MC60&gt;0,$OM60*IF(COUNTIF($MH60:$MK60,"Remate")&gt;0,1.25,1)+$ON60&gt;4*$MC60),($OM60*IF(COUNTIF($MH60:$MK60,"Remate")&gt;0,1.25,1)+$ON60)&amp;" dados somando repetições"&amp;IF(COUNTIF($MH60:$MK60,"Remate")&gt;0," e o Remate","")&amp;": o teto da Classe "&amp;$MC60&amp;" é "&amp;4*$MC60,"")))</f>
        <v/>
      </c>
      <c r="PD60" s="152">
        <f>IF($PC60="",0,(LEN($PC60)-LEN(SUBSTITUTE($PC60," · ","")))/3+1)</f>
        <v/>
      </c>
      <c r="PE60" s="152">
        <f>IF($MN60=0,"",TEXTJOIN(" · ",TRUE,IF($OG60&gt;2*$MC60,"A devolução parou no teto de "&amp;2*$MC60,""),IF($OJ60&gt;0,"Devolução perdida: "&amp;$OJ60&amp;IF($OJ60&gt;1," pontos"," ponto")&amp;" sem peça para pagar",""),IF(AND($NM60&gt;0,AND($MC60&gt;0,$NP60=0),$OM60=0),"Controle sem dano: uma rodada a mais e CD +2",""),IF(AND($NM60&gt;0,AND($MC60&gt;0,$NP60=0),$OM60&gt;0,$OM60&lt;=$MC60),"Controle com saldo até a Classe: uma rodada a mais",""),IF(AND($MC60&gt;0,$NN60&lt;&gt;""),"Efeito de "&amp;$NN60&amp;" pela Classe "&amp;MAX(1,$MC60-1),"")))</f>
        <v/>
      </c>
      <c r="PF60" s="152">
        <f>IF($PE60="",0,(LEN($PE60)-LEN(SUBSTITUTE($PE60," · ","")))/3+1)</f>
        <v/>
      </c>
      <c r="PG60" s="152">
        <f>IF($MN60=0,IF($OD60+COUNTIF($ML60:$MM60,"?*")&gt;0,"Dê um nome",""),IF($PD60&gt;0,"⚠ "&amp;$PD60&amp;IF($PD60&gt;1," erros"," erro"),IF($PF60&gt;0,"! "&amp;$PF60&amp;IF($PF60&gt;1," avisos"," aviso"),"Na regra")))</f>
        <v/>
      </c>
      <c r="PH60" s="152">
        <f>IF($MN60=0,"",IF($PD60+$PF60=0,"Dentro das regras que a ficha confere",$PC60&amp;IF(AND($PD60&gt;0,$PF60&gt;0)," · ","")&amp;$PE60))</f>
        <v/>
      </c>
      <c r="PI60" s="152">
        <f>IF($MA60&gt;$MO60,$MB60&amp;" · ABRE NO NÍVEL "&amp;$MA60,$MB60)</f>
        <v/>
      </c>
      <c r="PJ60" s="152">
        <f>IF($MN60=0,"",IF($MC60=0,"Sem PE",3*$MC60&amp;" PE"))</f>
        <v/>
      </c>
      <c r="PK60" s="152">
        <f>IF($MN60=0,"",IF($MC60=0,"A atuação básica dela",IF(COUNTIF($NT60:$NU60,"Atrasar")&gt;0,"Sua Ação Completa",IF(COUNTIF($MH60:$MK60,"Rápido")&gt;0,"Sua Bônus",IF(COUNTIF($MH60:$MK60,"Reação")&gt;0,"Sua Reação","Sua Padrão")))&amp;" + a básica dela"&amp;IF(COUNTIF($MH60:$MK60,"Reação")&gt;0," e a coletiva","")&amp;IF(COUNTIF($NT60:$NU60,"Carregar")&gt;0," · em dois turnos","")))</f>
        <v/>
      </c>
      <c r="PL60" s="152">
        <f>IF($MG60&lt;&gt;"",$MG60,IF($MT60=0,"",INDEX($AA$2:$AA$11,$MT60)))</f>
        <v/>
      </c>
      <c r="PM60" s="152">
        <f>IF(OR($MN60=0,$MT60=0),"",IF(COUNTIF($MH60:$MK60,"Inescapável")&gt;0,"Automático",IF($PL60="Ataque",IF($MR60="","Ataque","Ataque "&amp;IF(($MR60+2*IF(COUNTIF($MH60:$MK60,"Precisão")&gt;0,1,0))&gt;=0,"+","−")&amp;ABS(($MR60+2*IF(COUNTIF($MH60:$MK60,"Precisão")&gt;0,1,0)))),IF(LEFT($PL60,2)="TR",$PL60&amp;IF($MS60="",""," · CD "&amp;$MS60)&amp;IF(COUNTIF($MH60:$MK60,"Certeiro")&gt;0," · metade",""),"Sem rolagem"))))</f>
        <v/>
      </c>
      <c r="PN60" s="152">
        <f>IF(OR($MN60=0,$MT60=0),"",IF($MC60=0,IF(OR($NP60&gt;=1,$OM60=0),"Sem dano",$OM60&amp;"d6"&amp;IF($MF60="",""," "&amp;$MF60)),IF(OR($NP60&gt;=1,$OM60=0),UPPER(LEFT(INDEX($OV60:$PB60,1,MAX(1,$MC60)),1))&amp;MID(INDEX($OV60:$PB60,1,MAX(1,$MC60)),2,99),UPPER(LEFT(INDEX($OV60:$PB60,1,MAX(1,$MC60)),1))&amp;MID(INDEX($OV60:$PB60,1,MAX(1,$MC60)),2,99)&amp;IF($MF60="",""," "&amp;$MF60)&amp;IF($ON60&gt;0," · +"&amp;$ON60&amp;"d8",""))))</f>
        <v/>
      </c>
      <c r="PO60" s="152">
        <f>COUNTIF($MH60:$MK60,"Longe")+3*COUNTIF($MH60:$MK60,"Muito Longe")</f>
        <v/>
      </c>
      <c r="PP60" s="152">
        <f>COUNTIF($MH60:$MK60,"Maior")+3*COUNTIF($MH60:$MK60,"Muito Maior")</f>
        <v/>
      </c>
      <c r="PQ60" s="152">
        <f>IF($MT60=0,0,CHOOSE(1+INDEX($AC$2:$AC$11,$MT60),0,$PO60,$PP60,$PO60+$PP60))</f>
        <v/>
      </c>
      <c r="PR60" s="152">
        <f>IF($MT60=0,0,CHOOSE(1+INDEX($AD$2:$AD$11,$MT60),0,$PO60,$PP60,$PO60+$PP60))</f>
        <v/>
      </c>
      <c r="PS60" s="152">
        <f>IF(OR($MN60=0,$MT60=0),"",INDEX($AI$2:$AN$41,($MT60-1)*4+IF($MC60=0,1,IF($MC60&lt;=5,2,IF($MC60=6,3,4))),1+MIN(5,$PQ60))&amp;INDEX($AO$2:$AT$41,($MT60-1)*4+IF($MC60=0,1,IF($MC60&lt;=5,2,IF($MC60=6,3,4))),1+MIN(5,$PR60))&amp;IF(INDEX($AE$2:$AE$11,$MT60)=1,IF(COUNTIF($MH60:$MK60,"Mais Um")&gt;0," · +"&amp;COUNTIF($MH60:$MK60,"Mais Um")&amp;IF(COUNTIF($MH60:$MK60,"Mais Um")&gt;1," alvos"," alvo"),"")&amp;IF(COUNTIF($MH60:$MK60,"Rajada")&gt;0,IF($MC60=0," · 1 tiro"," · "&amp;(MAX(1,$MC60-1)+1)&amp;" tiros"),""),""))</f>
        <v/>
      </c>
      <c r="PT60" s="152">
        <f>IF($MN60=0,"",IF($MC60=0,$MQ60&amp;"d6"&amp;IF($OD60&gt;0," − 1 = "&amp;$OM60&amp;"d6"," da básica do nível "&amp;$MO60),$OK60&amp;" − "&amp;$OF60&amp;" + "&amp;$OI60&amp;" = "&amp;$OL60&amp;" · teto "&amp;4*$MC60&amp;"d8"&amp;IF($NO60=1," · a Forma devolve "&amp;$MC60,"")&amp;IF($OJ60&gt;0," · perde "&amp;$OJ60,"")))</f>
        <v/>
      </c>
      <c r="PU60" s="152">
        <f>IF($MN60=0,"",IF($MC60=0,"A básica não amplia: os dados dela sobem com o nível",IF($MC60&gt;=$MP60,"Já está na maior Classe que o nível liberou",TEXTJOIN(" · ",TRUE,IF(AND(2&gt;$MC60,2&lt;=$MP60),"2 → "&amp;$OW60&amp;", 6 PE",""),IF(AND(3&gt;$MC60,3&lt;=$MP60),"3 → "&amp;$OX60&amp;", 9 PE",""),IF(AND(4&gt;$MC60,4&lt;=$MP60),"4 → "&amp;$OY60&amp;", 12 PE",""),IF(AND(5&gt;$MC60,5&lt;=$MP60),"5 → "&amp;$OZ60&amp;", 15 PE",""),IF(AND(6&gt;$MC60,6&lt;=$MP60),"6 → "&amp;$PA60&amp;", 18 PE",""),IF(AND(7&gt;$MC60,7&lt;=$MP60),"7 → "&amp;$PB60&amp;", 21 PE","")))))</f>
        <v/>
      </c>
      <c r="PV60" s="152">
        <f>IF(OR($MN60=0,$MY60=0),"",IF($MC60=0,"−1 dado","−"&amp;INDEX($I$2:$N$8,MAX(1,$MC60),MAX(1,$ND60))&amp;" · "&amp;CHOOSE(MAX(1,$ND60),"Leve","Média","Pesada","Leve · Livre","Média · Livre","Pesada · Livre")))</f>
        <v/>
      </c>
      <c r="PW60" s="152">
        <f>IF(OR($MN60=0,$MZ60=0),"",IF($MC60=0,"−1 dado","−"&amp;INDEX($I$2:$N$8,MAX(1,$MC60),MAX(1,$NE60))&amp;" · "&amp;CHOOSE(MAX(1,$NE60),"Leve","Média","Pesada","Leve · Livre","Média · Livre","Pesada · Livre")))</f>
        <v/>
      </c>
      <c r="PX60" s="152">
        <f>IF(OR($MN60=0,$NA60=0),"",IF($MC60=0,"−1 dado","−"&amp;INDEX($I$2:$N$8,MAX(1,$MC60),MAX(1,$NF60))&amp;" · "&amp;CHOOSE(MAX(1,$NF60),"Leve","Média","Pesada","Leve · Livre","Média · Livre","Pesada · Livre")))</f>
        <v/>
      </c>
      <c r="PY60" s="152">
        <f>IF(OR($MN60=0,$NB60=0),"",IF($MC60=0,"−1 dado","−"&amp;INDEX($I$2:$N$8,MAX(1,$MC60),MAX(1,$NG60))&amp;" · "&amp;CHOOSE(MAX(1,$NG60),"Leve","Média","Pesada","Leve · Livre","Média · Livre","Pesada · Livre")))</f>
        <v/>
      </c>
      <c r="PZ60" s="152">
        <f>IF(OR($MN60=0,$ML60=""),"",IF($MC60=0,"não devolve","+"&amp;IF($NR60=1,CEILING($MC60/2,1),$MC60)))</f>
        <v/>
      </c>
      <c r="QA60" s="152">
        <f>IF(OR($MN60=0,$MM60=""),"",IF($MC60=0,"não devolve","+"&amp;IF($NS60=1,CEILING($MC60/2,1),$MC60)))</f>
        <v/>
      </c>
    </row>
    <row r="61">
      <c r="AV61" s="150" t="inlineStr">
        <is>
          <t>Reação</t>
        </is>
      </c>
      <c r="AW61" s="150" t="inlineStr">
        <is>
          <t>Tempo</t>
        </is>
      </c>
      <c r="AX61" s="152" t="n">
        <v>3</v>
      </c>
      <c r="AY61" s="152" t="n">
        <v>0</v>
      </c>
      <c r="AZ61" s="152" t="n">
        <v>0</v>
      </c>
      <c r="JD61" s="152">
        <f>IF(OR($AW61="",COUNTIF($ED$2:$EH$2,$AW61)&gt;0),$AV61,"")</f>
        <v/>
      </c>
      <c r="JE61" s="152">
        <f>IF(AND($AX61=1,OR($AW61="",COUNTIF($ED$2:$EH$2,$AW61)&gt;0)),$AV61,"")</f>
        <v/>
      </c>
      <c r="JJ61" s="152">
        <f>IF(OR($AW61="",COUNTIF($ED$3:$EH$3,$AW61)&gt;0),$AV61,"")</f>
        <v/>
      </c>
      <c r="JK61" s="152">
        <f>IF(AND($AX61=1,OR($AW61="",COUNTIF($ED$3:$EH$3,$AW61)&gt;0)),$AV61,"")</f>
        <v/>
      </c>
      <c r="JP61" s="152">
        <f>IF(OR($AW61="",COUNTIF($ED$4:$EH$4,$AW61)&gt;0),$AV61,"")</f>
        <v/>
      </c>
      <c r="JQ61" s="152">
        <f>IF(AND($AX61=1,OR($AW61="",COUNTIF($ED$4:$EH$4,$AW61)&gt;0)),$AV61,"")</f>
        <v/>
      </c>
      <c r="JV61" s="152">
        <f>IF(OR($AW61="",COUNTIF($ED$5:$EH$5,$AW61)&gt;0),$AV61,"")</f>
        <v/>
      </c>
      <c r="JW61" s="152">
        <f>IF(AND($AX61=1,OR($AW61="",COUNTIF($ED$5:$EH$5,$AW61)&gt;0)),$AV61,"")</f>
        <v/>
      </c>
      <c r="KB61" s="152">
        <f>IF(OR($AW61="",COUNTIF($ED$6:$EH$6,$AW61)&gt;0),$AV61,"")</f>
        <v/>
      </c>
      <c r="KC61" s="152">
        <f>IF(AND($AX61=1,OR($AW61="",COUNTIF($ED$6:$EH$6,$AW61)&gt;0)),$AV61,"")</f>
        <v/>
      </c>
      <c r="KH61" s="152">
        <f>IF(OR($AW61="",COUNTIF($ED$7:$EH$7,$AW61)&gt;0),$AV61,"")</f>
        <v/>
      </c>
      <c r="KI61" s="152">
        <f>IF(AND($AX61=1,OR($AW61="",COUNTIF($ED$7:$EH$7,$AW61)&gt;0)),$AV61,"")</f>
        <v/>
      </c>
      <c r="KN61" s="152">
        <f>IF(OR($AW61="",COUNTIF($ED$8:$EH$8,$AW61)&gt;0),$AV61,"")</f>
        <v/>
      </c>
      <c r="KO61" s="152">
        <f>IF(AND($AX61=1,OR($AW61="",COUNTIF($ED$8:$EH$8,$AW61)&gt;0)),$AV61,"")</f>
        <v/>
      </c>
      <c r="KT61" s="152">
        <f>IF(OR($AW61="",COUNTIF($ED$9:$EH$9,$AW61)&gt;0),$AV61,"")</f>
        <v/>
      </c>
      <c r="KU61" s="152">
        <f>IF(AND($AX61=1,OR($AW61="",COUNTIF($ED$9:$EH$9,$AW61)&gt;0)),$AV61,"")</f>
        <v/>
      </c>
      <c r="KZ61" s="152">
        <f>IF(OR($AW61="",COUNTIF($ED$10:$EH$10,$AW61)&gt;0),$AV61,"")</f>
        <v/>
      </c>
      <c r="LA61" s="152">
        <f>IF(AND($AX61=1,OR($AW61="",COUNTIF($ED$10:$EH$10,$AW61)&gt;0)),$AV61,"")</f>
        <v/>
      </c>
      <c r="LF61" s="152">
        <f>IF(OR($AW61="",COUNTIF($ED$11:$EH$11,$AW61)&gt;0),$AV61,"")</f>
        <v/>
      </c>
      <c r="LG61" s="152">
        <f>IF(AND($AX61=1,OR($AW61="",COUNTIF($ED$11:$EH$11,$AW61)&gt;0)),$AV61,"")</f>
        <v/>
      </c>
      <c r="LL61" s="152">
        <f>IF(OR($AW61="",COUNTIF($ED$12:$EH$12,$AW61)&gt;0),$AV61,"")</f>
        <v/>
      </c>
      <c r="LM61" s="152">
        <f>IF(AND($AX61=1,OR($AW61="",COUNTIF($ED$12:$EH$12,$AW61)&gt;0)),$AV61,"")</f>
        <v/>
      </c>
      <c r="LR61" s="152">
        <f>IF(OR($AW61="",COUNTIF($ED$13:$EH$13,$AW61)&gt;0),$AV61,"")</f>
        <v/>
      </c>
      <c r="LS61" s="152">
        <f>IF(AND($AX61=1,OR($AW61="",COUNTIF($ED$13:$EH$13,$AW61)&gt;0)),$AV61,"")</f>
        <v/>
      </c>
      <c r="LX61" s="150" t="inlineStr">
        <is>
          <t>Ficha 5 · Especial 6</t>
        </is>
      </c>
      <c r="LY61" s="152" t="n">
        <v>5</v>
      </c>
      <c r="LZ61" s="152" t="n">
        <v>1</v>
      </c>
      <c r="MA61" s="152" t="n">
        <v>20</v>
      </c>
      <c r="MB61" s="150" t="inlineStr">
        <is>
          <t>ESPECIAL 6</t>
        </is>
      </c>
      <c r="MC61" s="152">
        <f>MAX(1,MIN(7,N('INVOCAÇÕES'!$O$906)))</f>
        <v/>
      </c>
      <c r="MD61" s="152">
        <f>'INVOCAÇÕES'!$P$906&amp;""</f>
        <v/>
      </c>
      <c r="ME61" s="152">
        <f>'INVOCAÇÕES'!$O$911&amp;""</f>
        <v/>
      </c>
      <c r="MF61" s="152">
        <f>'INVOCAÇÕES'!$O$912&amp;""</f>
        <v/>
      </c>
      <c r="MG61" s="152">
        <f>'INVOCAÇÕES'!$Q$912&amp;""</f>
        <v/>
      </c>
      <c r="MH61" s="152">
        <f>'INVOCAÇÕES'!$P$915&amp;""</f>
        <v/>
      </c>
      <c r="MI61" s="152">
        <f>'INVOCAÇÕES'!$P$916&amp;""</f>
        <v/>
      </c>
      <c r="MJ61" s="152">
        <f>'INVOCAÇÕES'!$P$917&amp;""</f>
        <v/>
      </c>
      <c r="MK61" s="152">
        <f>'INVOCAÇÕES'!$P$918&amp;""</f>
        <v/>
      </c>
      <c r="ML61" s="152">
        <f>'INVOCAÇÕES'!$P$919&amp;""</f>
        <v/>
      </c>
      <c r="MM61" s="152">
        <f>'INVOCAÇÕES'!$P$920&amp;""</f>
        <v/>
      </c>
      <c r="MN61" s="152">
        <f>IF($MD61&lt;&gt;"",1,0)</f>
        <v/>
      </c>
      <c r="MO61" s="152">
        <f>INDEX($FG$2:$FG$13,$LY61)</f>
        <v/>
      </c>
      <c r="MP61" s="152">
        <f>INDEX($FH$2:$FH$13,$LY61)</f>
        <v/>
      </c>
      <c r="MQ61" s="152">
        <f>INDEX($FI$2:$FI$13,$LY61)</f>
        <v/>
      </c>
      <c r="MR61" s="152">
        <f>INDEX($FT$2:$FT$13,$LY61)</f>
        <v/>
      </c>
      <c r="MS61" s="152">
        <f>INDEX($FU$2:$FU$13,$LY61)</f>
        <v/>
      </c>
      <c r="MT61" s="152">
        <f>IFERROR(MATCH($ME61,$V$2:$V$11,0),0)</f>
        <v/>
      </c>
      <c r="MU61" s="152">
        <f>IFERROR(VLOOKUP($MH61,$AV$2:$AZ$84,2,FALSE),"")</f>
        <v/>
      </c>
      <c r="MV61" s="152">
        <f>IFERROR(VLOOKUP($MI61,$AV$2:$AZ$84,2,FALSE),"")</f>
        <v/>
      </c>
      <c r="MW61" s="152">
        <f>IFERROR(VLOOKUP($MJ61,$AV$2:$AZ$84,2,FALSE),"")</f>
        <v/>
      </c>
      <c r="MX61" s="152">
        <f>IFERROR(VLOOKUP($MK61,$AV$2:$AZ$84,2,FALSE),"")</f>
        <v/>
      </c>
      <c r="MY61" s="152">
        <f>IFERROR(VLOOKUP($MH61,$AV$2:$AZ$84,3,FALSE),0)</f>
        <v/>
      </c>
      <c r="MZ61" s="152">
        <f>IFERROR(VLOOKUP($MI61,$AV$2:$AZ$84,3,FALSE),0)</f>
        <v/>
      </c>
      <c r="NA61" s="152">
        <f>IFERROR(VLOOKUP($MJ61,$AV$2:$AZ$84,3,FALSE),0)</f>
        <v/>
      </c>
      <c r="NB61" s="152">
        <f>IFERROR(VLOOKUP($MK61,$AV$2:$AZ$84,3,FALSE),0)</f>
        <v/>
      </c>
      <c r="NC61" s="152">
        <f>IF($MC61=0,0,IF($MT61=0,0,INDEX($X$2:$X$11,$MT61)))</f>
        <v/>
      </c>
      <c r="ND61" s="152">
        <f>IF(OR($MY61=0,$MC61=0),0,$MY61+3*IF(AND($MU61&lt;&gt;"",OR($MU61=INDEX($ED$2:$ED$13,$LY61),$MU61=INDEX($EE$2:$EE$13,$LY61))),1,0))</f>
        <v/>
      </c>
      <c r="NE61" s="152">
        <f>IF(OR($MZ61=0,$MC61=0),0,$MZ61+3*IF(AND($MV61&lt;&gt;"",OR($MV61=INDEX($ED$2:$ED$13,$LY61),$MV61=INDEX($EE$2:$EE$13,$LY61))),1,0))</f>
        <v/>
      </c>
      <c r="NF61" s="152">
        <f>IF(OR($NA61=0,$MC61=0),0,$NA61+3*IF(AND($MW61&lt;&gt;"",OR($MW61=INDEX($ED$2:$ED$13,$LY61),$MW61=INDEX($EE$2:$EE$13,$LY61))),1,0))</f>
        <v/>
      </c>
      <c r="NG61" s="152">
        <f>IF(OR($NB61=0,$MC61=0),0,$NB61+3*IF(AND($MX61&lt;&gt;"",OR($MX61=INDEX($ED$2:$ED$13,$LY61),$MX61=INDEX($EE$2:$EE$13,$LY61))),1,0))</f>
        <v/>
      </c>
      <c r="NH61" s="152">
        <f>IF($MT61=0,0,IF(INDEX($W$2:$W$11,$MT61)="",0,IF(COUNTIF(INDEX($ED$2:$EH$13,$LY61,0),INDEX($W$2:$W$11,$MT61))=0,1,0)))</f>
        <v/>
      </c>
      <c r="NI61" s="152">
        <f>IF(OR($MY61=0,$MU61=""),0,IF(COUNTIF(INDEX($ED$2:$EH$13,$LY61,0),$MU61)=0,1,0))</f>
        <v/>
      </c>
      <c r="NJ61" s="152">
        <f>IF(OR($MZ61=0,$MV61=""),0,IF(COUNTIF(INDEX($ED$2:$EH$13,$LY61,0),$MV61)=0,1,0))</f>
        <v/>
      </c>
      <c r="NK61" s="152">
        <f>IF(OR($NA61=0,$MW61=""),0,IF(COUNTIF(INDEX($ED$2:$EH$13,$LY61,0),$MW61)=0,1,0))</f>
        <v/>
      </c>
      <c r="NL61" s="152">
        <f>IF(OR($NB61=0,$MX61=""),0,IF(COUNTIF(INDEX($ED$2:$EH$13,$LY61,0),$MX61)=0,1,0))</f>
        <v/>
      </c>
      <c r="NM61" s="152">
        <f>IFERROR(VLOOKUP($MH61,$AV$2:$AZ$84,4,FALSE),0)+IFERROR(VLOOKUP($MI61,$AV$2:$AZ$84,4,FALSE),0)+IFERROR(VLOOKUP($MJ61,$AV$2:$AZ$84,4,FALSE),0)+IFERROR(VLOOKUP($MK61,$AV$2:$AZ$84,4,FALSE),0)</f>
        <v/>
      </c>
      <c r="NN61" s="152">
        <f>TEXTJOIN(", ",TRUE,IF(IFERROR(VLOOKUP($MH61,$AV$2:$AZ$84,5,FALSE),0)=1,$MH61,""),IF(IFERROR(VLOOKUP($MI61,$AV$2:$AZ$84,5,FALSE),0)=1,$MI61,""),IF(IFERROR(VLOOKUP($MJ61,$AV$2:$AZ$84,5,FALSE),0)=1,$MJ61,""),IF(IFERROR(VLOOKUP($MK61,$AV$2:$AZ$84,5,FALSE),0)=1,$MK61,""))</f>
        <v/>
      </c>
      <c r="NO61" s="152">
        <f>IF($MT61=0,0,INDEX($Y$2:$Y$11,$MT61))</f>
        <v/>
      </c>
      <c r="NP61" s="152">
        <f>IF($MT61=0,0,INDEX($Z$2:$Z$11,$MT61))</f>
        <v/>
      </c>
      <c r="NQ61" s="152">
        <f>IF($MT61=0,0,INDEX($AB$2:$AB$11,$MT61))</f>
        <v/>
      </c>
      <c r="NR61" s="152">
        <f>IFERROR(VLOOKUP($ML61,$BB$2:$BF$24,3,FALSE),0)</f>
        <v/>
      </c>
      <c r="NS61" s="152">
        <f>IFERROR(VLOOKUP($MM61,$BB$2:$BF$24,3,FALSE),0)</f>
        <v/>
      </c>
      <c r="NT61" s="152">
        <f>IFERROR(VLOOKUP($ML61,$BB$2:$BF$24,2,FALSE),"")</f>
        <v/>
      </c>
      <c r="NU61" s="152">
        <f>IFERROR(VLOOKUP($MM61,$BB$2:$BF$24,2,FALSE),"")</f>
        <v/>
      </c>
      <c r="NV61" s="152">
        <f>COUNTIF($NC61:$NG61,1)</f>
        <v/>
      </c>
      <c r="NW61" s="152">
        <f>COUNTIF($NC61:$NG61,2)</f>
        <v/>
      </c>
      <c r="NX61" s="152">
        <f>COUNTIF($NC61:$NG61,3)</f>
        <v/>
      </c>
      <c r="NY61" s="152">
        <f>COUNTIF($NC61:$NG61,4)</f>
        <v/>
      </c>
      <c r="NZ61" s="152">
        <f>COUNTIF($NC61:$NG61,5)</f>
        <v/>
      </c>
      <c r="OA61" s="152">
        <f>COUNTIF($NC61:$NG61,6)</f>
        <v/>
      </c>
      <c r="OB61" s="152">
        <f>COUNTIF($NR61:$NS61,1)</f>
        <v/>
      </c>
      <c r="OC61" s="152">
        <f>COUNTIF($NR61:$NS61,2)+$NO61</f>
        <v/>
      </c>
      <c r="OD61" s="152">
        <f>COUNTIF($MH61:$MK61,"?*")</f>
        <v/>
      </c>
      <c r="OE61" s="152">
        <f>COUNTIF($ML61:$MM61,"?*")+$NO61</f>
        <v/>
      </c>
      <c r="OF61" s="152">
        <f>IF($MC61=0,0,SUMPRODUCT($NV61:$OA61,INDEX($I$2:$N$8,MAX(1,$MC61),0)))</f>
        <v/>
      </c>
      <c r="OG61" s="152">
        <f>IF($MC61=0,0,$OB61*CEILING($MC61/2,1)+$OC61*$MC61)</f>
        <v/>
      </c>
      <c r="OH61" s="152">
        <f>MIN(2*$MC61,$OG61)</f>
        <v/>
      </c>
      <c r="OI61" s="152">
        <f>MIN($OH61,$OF61)</f>
        <v/>
      </c>
      <c r="OJ61" s="152">
        <f>$OH61-$OI61</f>
        <v/>
      </c>
      <c r="OK61" s="152">
        <f>IF($MC61=0,0,INDEX($P$2:$P$8,MAX(1,$MC61)))</f>
        <v/>
      </c>
      <c r="OL61" s="152">
        <f>$OK61-$OF61+$OI61</f>
        <v/>
      </c>
      <c r="OM61" s="152">
        <f>IF($MC61=0,MAX(0,$MQ61-IF($OD61&gt;0,1,0)),MAX(0,$OL61))</f>
        <v/>
      </c>
      <c r="ON61" s="152">
        <f>IF($MC61=0,0,(IF(COUNTIF($MH61:$MK61,"Salto")&gt;0,1,0)+IF(COUNTIF($MH61:$MK61,"Queima")&gt;0,1,0)+IF(COUNTIF($MH61:$MK61,"Estilhaço")&gt;0,1,0))*FLOOR($OM61/2,1))</f>
        <v/>
      </c>
      <c r="OO61" s="152">
        <f>MAX(0,2-SUMPRODUCT($NV61:$OA61,$I$2:$N$2)+MIN(2,$OB61*1+$OC61*1,SUMPRODUCT($NV61:$OA61,$I$2:$N$2)))</f>
        <v/>
      </c>
      <c r="OP61" s="152">
        <f>MAX(0,4-SUMPRODUCT($NV61:$OA61,$I$3:$N$3)+MIN(4,$OB61*1+$OC61*2,SUMPRODUCT($NV61:$OA61,$I$3:$N$3)))</f>
        <v/>
      </c>
      <c r="OQ61" s="152">
        <f>MAX(0,6-SUMPRODUCT($NV61:$OA61,$I$4:$N$4)+MIN(6,$OB61*2+$OC61*3,SUMPRODUCT($NV61:$OA61,$I$4:$N$4)))</f>
        <v/>
      </c>
      <c r="OR61" s="152">
        <f>MAX(0,9-SUMPRODUCT($NV61:$OA61,$I$5:$N$5)+MIN(8,$OB61*2+$OC61*4,SUMPRODUCT($NV61:$OA61,$I$5:$N$5)))</f>
        <v/>
      </c>
      <c r="OS61" s="152">
        <f>MAX(0,11-SUMPRODUCT($NV61:$OA61,$I$6:$N$6)+MIN(10,$OB61*3+$OC61*5,SUMPRODUCT($NV61:$OA61,$I$6:$N$6)))</f>
        <v/>
      </c>
      <c r="OT61" s="152">
        <f>MAX(0,13-SUMPRODUCT($NV61:$OA61,$I$7:$N$7)+MIN(12,$OB61*3+$OC61*6,SUMPRODUCT($NV61:$OA61,$I$7:$N$7)))</f>
        <v/>
      </c>
      <c r="OU61" s="152">
        <f>MAX(0,16-SUMPRODUCT($NV61:$OA61,$I$8:$N$8)+MIN(14,$OB61*4+$OC61*7,SUMPRODUCT($NV61:$OA61,$I$8:$N$8)))</f>
        <v/>
      </c>
      <c r="OV61" s="152">
        <f>IF($NP61=2,3*$OO61&amp;" de vida temp.",IF($NP61=3,"sem dano",IF($OO61=0,IF($NP61=1,"sem cura","sem dano"),IF($NP61=1,"cura ","")&amp;$OO61&amp;"d8")))</f>
        <v/>
      </c>
      <c r="OW61" s="152">
        <f>IF($NP61=2,3*$OP61&amp;" de vida temp.",IF($NP61=3,"sem dano",IF($OP61=0,IF($NP61=1,"sem cura","sem dano"),IF($NP61=1,"cura ","")&amp;$OP61&amp;"d8")))</f>
        <v/>
      </c>
      <c r="OX61" s="152">
        <f>IF($NP61=2,3*$OQ61&amp;" de vida temp.",IF($NP61=3,"sem dano",IF($OQ61=0,IF($NP61=1,"sem cura","sem dano"),IF($NP61=1,"cura ","")&amp;$OQ61&amp;"d8")))</f>
        <v/>
      </c>
      <c r="OY61" s="152">
        <f>IF($NP61=2,3*$OR61&amp;" de vida temp.",IF($NP61=3,"sem dano",IF($OR61=0,IF($NP61=1,"sem cura","sem dano"),IF($NP61=1,"cura ","")&amp;$OR61&amp;"d8")))</f>
        <v/>
      </c>
      <c r="OZ61" s="152">
        <f>IF($NP61=2,3*$OS61&amp;" de vida temp.",IF($NP61=3,"sem dano",IF($OS61=0,IF($NP61=1,"sem cura","sem dano"),IF($NP61=1,"cura ","")&amp;$OS61&amp;"d8")))</f>
        <v/>
      </c>
      <c r="PA61" s="152">
        <f>IF($NP61=2,3*$OT61&amp;" de vida temp.",IF($NP61=3,"sem dano",IF($OT61=0,IF($NP61=1,"sem cura","sem dano"),IF($NP61=1,"cura ","")&amp;$OT61&amp;"d8")))</f>
        <v/>
      </c>
      <c r="PB61" s="152">
        <f>IF($NP61=2,3*$OU61&amp;" de vida temp.",IF($NP61=3,"sem dano",IF($OU61=0,IF($NP61=1,"sem cura","sem dano"),IF($NP61=1,"cura ","")&amp;$OU61&amp;"d8")))</f>
        <v/>
      </c>
      <c r="PC61" s="152">
        <f>IF($MN61=0,"",TEXTJOIN(" · ",TRUE,IF($MA61&gt;$MO61,"Este lugar abre no nível "&amp;$MA61,""),IF($MC61&gt;$MP61,"Classe "&amp;$MC61&amp;": o nível "&amp;$MO61&amp;" libera até a "&amp;$MP61,""),IF($NH61=1,"A Forma "&amp;$ME61&amp;" pede "&amp;INDEX($W$2:$W$11,$MT61)&amp;" aberta",""),IF(AND($MC61=0,$MT61&gt;0,IF($MT61=0,0,INDEX($AF$2:$AF$11,$MT61))=0),$ME61&amp;" não existe na Classe 0",""),IF($NI61=1,"Família Fechada: "&amp;$MH61,""),IF($NJ61=1,"Família Fechada: "&amp;$MI61,""),IF($NK61=1,"Família Fechada: "&amp;$MJ61,""),IF($NL61=1,"Família Fechada: "&amp;$MK61,""),IF(AND($MC61&gt;0,$OD61&gt;INDEX($O$2:$O$8,MAX(1,$MC61))),$OD61&amp;" Melhorias: a Classe "&amp;$MC61&amp;" aceita "&amp;INDEX($O$2:$O$8,MAX(1,$MC61)),""),IF(AND($MC61=0,$OD61&gt;1),"A básica aceita uma Melhoria",""),IF(AND($MC61=0,COUNTIF($MY61:$NB61,"&gt;1")&gt;0),"A básica só aceita Melhoria Leve",""),IF(AND($MC61&gt;0,$OE61&gt;2),$OE61&amp;" Restrições"&amp;IF($NO61=1,", contando a que a Forma "&amp;$ME61&amp;" já traz","")&amp;": o limite é 2",""),IF(AND($MC61=0,COUNTIF($ML61:$MM61,"?*")&gt;1),"A básica aceita uma Restrição Leve",""),IF(AND($MC61=0,COUNTIF($NR61:$NS61,2)&gt;0),"A básica só aceita Restrição Leve",""),IF(AND($MC61&gt;0,$OL61&lt;0),"Orçamento estourado: faltam "&amp;(-$OL61)&amp;IF($OL61&lt;-1," pontos"," ponto"),""),IF(IFERROR(VLOOKUP($ML61,$BB$2:$BF$24,4,FALSE),0)+IFERROR(VLOOKUP($MM61,$BB$2:$BF$24,4,FALSE),0)&gt;1,$NT61&amp;" e "&amp;$NU61&amp;" são as duas de frequência",""),IF(AND((COUNTIF($MH61:$MK61,"Rápido")+COUNTIF($NT61:$NU61,"Rápido"))&gt;0,(COUNTIF($MH61:$MK61,"Atrasar")+COUNTIF($NT61:$NU61,"Atrasar"))&gt;0),"Rápido não entra com Atrasar",""),IF(AND((COUNTIF($MH61:$MK61,"Reação")+COUNTIF($NT61:$NU61,"Reação"))&gt;0,(COUNTIF($MH61:$MK61,"Rápido")+COUNTIF($NT61:$NU61,"Rápido"))&gt;0),"Reação não entra com Rápido",""),IF(AND((COUNTIF($MH61:$MK61,"Reação")+COUNTIF($NT61:$NU61,"Reação"))&gt;0,(COUNTIF($MH61:$MK61,"Armado")+COUNTIF($NT61:$NU61,"Armado"))&gt;0),"Reação não entra com Armado",""),IF(AND((COUNTIF($MH61:$MK61,"Reação")+COUNTIF($NT61:$NU61,"Reação"))&gt;0,(COUNTIF($MH61:$MK61,"Atrasar")+COUNTIF($NT61:$NU61,"Atrasar"))&gt;0),"Reação não entra com Atrasar",""),IF(AND((COUNTIF($MH61:$MK61,"Reação")+COUNTIF($NT61:$NU61,"Reação"))&gt;0,(COUNTIF($MH61:$MK61,"Parado")+COUNTIF($NT61:$NU61,"Parado"))&gt;0),"Reação não entra com Parado",""),IF(AND((COUNTIF($MH61:$MK61,"Atrasar")+COUNTIF($NT61:$NU61,"Atrasar"))&gt;0,(COUNTIF($MH61:$MK61,"Parado")+COUNTIF($NT61:$NU61,"Parado"))&gt;0),"Atrasar não entra com Parado",""),IF(AND((COUNTIF($MH61:$MK61,"Armado")+COUNTIF($NT61:$NU61,"Armado"))&gt;0,(COUNTIF($MH61:$MK61,"Carregar")+COUNTIF($NT61:$NU61,"Carregar"))&gt;0),"Armado não entra com Carregar",""),IF(AND(COUNTIF($NT61:$NU61,"Corpo a Corpo")&gt;0,$NO61=0,OR($ME61="Cone",$ME61="Linha")),"Corpo a Corpo não entra em "&amp;$ME61,""),IF(AND(COUNTIF($NT61:$NU61,"Corpo a Corpo")&gt;0,$NO61=1),"A Forma "&amp;$ME61&amp;" já traz o Corpo a Corpo",""),IF(AND(COUNTIF($NT61:$NU61,"Tudo ou Nada")&gt;0,$NQ61=0),"Tudo ou Nada só entra em habilidade de Teste de Resistência",""),IF(AND(COUNTIF($MH61:$MK61,"Inescapável")&gt;0,OR($OD61&gt;1,$OE61&gt;0)),"Inescapável não aceita outra peça",""),IF(AND($MC61&gt;0,$OM61*IF(COUNTIF($MH61:$MK61,"Remate")&gt;0,1.25,1)+$ON61&gt;4*$MC61),($OM61*IF(COUNTIF($MH61:$MK61,"Remate")&gt;0,1.25,1)+$ON61)&amp;" dados somando repetições"&amp;IF(COUNTIF($MH61:$MK61,"Remate")&gt;0," e o Remate","")&amp;": o teto da Classe "&amp;$MC61&amp;" é "&amp;4*$MC61,"")))</f>
        <v/>
      </c>
      <c r="PD61" s="152">
        <f>IF($PC61="",0,(LEN($PC61)-LEN(SUBSTITUTE($PC61," · ","")))/3+1)</f>
        <v/>
      </c>
      <c r="PE61" s="152">
        <f>IF($MN61=0,"",TEXTJOIN(" · ",TRUE,IF($OG61&gt;2*$MC61,"A devolução parou no teto de "&amp;2*$MC61,""),IF($OJ61&gt;0,"Devolução perdida: "&amp;$OJ61&amp;IF($OJ61&gt;1," pontos"," ponto")&amp;" sem peça para pagar",""),IF(AND($NM61&gt;0,AND($MC61&gt;0,$NP61=0),$OM61=0),"Controle sem dano: uma rodada a mais e CD +2",""),IF(AND($NM61&gt;0,AND($MC61&gt;0,$NP61=0),$OM61&gt;0,$OM61&lt;=$MC61),"Controle com saldo até a Classe: uma rodada a mais",""),IF(AND($MC61&gt;0,$NN61&lt;&gt;""),"Efeito de "&amp;$NN61&amp;" pela Classe "&amp;MAX(1,$MC61-1),"")))</f>
        <v/>
      </c>
      <c r="PF61" s="152">
        <f>IF($PE61="",0,(LEN($PE61)-LEN(SUBSTITUTE($PE61," · ","")))/3+1)</f>
        <v/>
      </c>
      <c r="PG61" s="152">
        <f>IF($MN61=0,IF($OD61+COUNTIF($ML61:$MM61,"?*")&gt;0,"Dê um nome",""),IF($PD61&gt;0,"⚠ "&amp;$PD61&amp;IF($PD61&gt;1," erros"," erro"),IF($PF61&gt;0,"! "&amp;$PF61&amp;IF($PF61&gt;1," avisos"," aviso"),"Na regra")))</f>
        <v/>
      </c>
      <c r="PH61" s="152">
        <f>IF($MN61=0,"",IF($PD61+$PF61=0,"Dentro das regras que a ficha confere",$PC61&amp;IF(AND($PD61&gt;0,$PF61&gt;0)," · ","")&amp;$PE61))</f>
        <v/>
      </c>
      <c r="PI61" s="152">
        <f>IF($MA61&gt;$MO61,$MB61&amp;" · ABRE NO NÍVEL "&amp;$MA61,$MB61)</f>
        <v/>
      </c>
      <c r="PJ61" s="152">
        <f>IF($MN61=0,"",IF($MC61=0,"Sem PE",3*$MC61&amp;" PE"))</f>
        <v/>
      </c>
      <c r="PK61" s="152">
        <f>IF($MN61=0,"",IF($MC61=0,"A atuação básica dela",IF(COUNTIF($NT61:$NU61,"Atrasar")&gt;0,"Sua Ação Completa",IF(COUNTIF($MH61:$MK61,"Rápido")&gt;0,"Sua Bônus",IF(COUNTIF($MH61:$MK61,"Reação")&gt;0,"Sua Reação","Sua Padrão")))&amp;" + a básica dela"&amp;IF(COUNTIF($MH61:$MK61,"Reação")&gt;0," e a coletiva","")&amp;IF(COUNTIF($NT61:$NU61,"Carregar")&gt;0," · em dois turnos","")))</f>
        <v/>
      </c>
      <c r="PL61" s="152">
        <f>IF($MG61&lt;&gt;"",$MG61,IF($MT61=0,"",INDEX($AA$2:$AA$11,$MT61)))</f>
        <v/>
      </c>
      <c r="PM61" s="152">
        <f>IF(OR($MN61=0,$MT61=0),"",IF(COUNTIF($MH61:$MK61,"Inescapável")&gt;0,"Automático",IF($PL61="Ataque",IF($MR61="","Ataque","Ataque "&amp;IF(($MR61+2*IF(COUNTIF($MH61:$MK61,"Precisão")&gt;0,1,0))&gt;=0,"+","−")&amp;ABS(($MR61+2*IF(COUNTIF($MH61:$MK61,"Precisão")&gt;0,1,0)))),IF(LEFT($PL61,2)="TR",$PL61&amp;IF($MS61="",""," · CD "&amp;$MS61)&amp;IF(COUNTIF($MH61:$MK61,"Certeiro")&gt;0," · metade",""),"Sem rolagem"))))</f>
        <v/>
      </c>
      <c r="PN61" s="152">
        <f>IF(OR($MN61=0,$MT61=0),"",IF($MC61=0,IF(OR($NP61&gt;=1,$OM61=0),"Sem dano",$OM61&amp;"d6"&amp;IF($MF61="",""," "&amp;$MF61)),IF(OR($NP61&gt;=1,$OM61=0),UPPER(LEFT(INDEX($OV61:$PB61,1,MAX(1,$MC61)),1))&amp;MID(INDEX($OV61:$PB61,1,MAX(1,$MC61)),2,99),UPPER(LEFT(INDEX($OV61:$PB61,1,MAX(1,$MC61)),1))&amp;MID(INDEX($OV61:$PB61,1,MAX(1,$MC61)),2,99)&amp;IF($MF61="",""," "&amp;$MF61)&amp;IF($ON61&gt;0," · +"&amp;$ON61&amp;"d8",""))))</f>
        <v/>
      </c>
      <c r="PO61" s="152">
        <f>COUNTIF($MH61:$MK61,"Longe")+3*COUNTIF($MH61:$MK61,"Muito Longe")</f>
        <v/>
      </c>
      <c r="PP61" s="152">
        <f>COUNTIF($MH61:$MK61,"Maior")+3*COUNTIF($MH61:$MK61,"Muito Maior")</f>
        <v/>
      </c>
      <c r="PQ61" s="152">
        <f>IF($MT61=0,0,CHOOSE(1+INDEX($AC$2:$AC$11,$MT61),0,$PO61,$PP61,$PO61+$PP61))</f>
        <v/>
      </c>
      <c r="PR61" s="152">
        <f>IF($MT61=0,0,CHOOSE(1+INDEX($AD$2:$AD$11,$MT61),0,$PO61,$PP61,$PO61+$PP61))</f>
        <v/>
      </c>
      <c r="PS61" s="152">
        <f>IF(OR($MN61=0,$MT61=0),"",INDEX($AI$2:$AN$41,($MT61-1)*4+IF($MC61=0,1,IF($MC61&lt;=5,2,IF($MC61=6,3,4))),1+MIN(5,$PQ61))&amp;INDEX($AO$2:$AT$41,($MT61-1)*4+IF($MC61=0,1,IF($MC61&lt;=5,2,IF($MC61=6,3,4))),1+MIN(5,$PR61))&amp;IF(INDEX($AE$2:$AE$11,$MT61)=1,IF(COUNTIF($MH61:$MK61,"Mais Um")&gt;0," · +"&amp;COUNTIF($MH61:$MK61,"Mais Um")&amp;IF(COUNTIF($MH61:$MK61,"Mais Um")&gt;1," alvos"," alvo"),"")&amp;IF(COUNTIF($MH61:$MK61,"Rajada")&gt;0,IF($MC61=0," · 1 tiro"," · "&amp;(MAX(1,$MC61-1)+1)&amp;" tiros"),""),""))</f>
        <v/>
      </c>
      <c r="PT61" s="152">
        <f>IF($MN61=0,"",IF($MC61=0,$MQ61&amp;"d6"&amp;IF($OD61&gt;0," − 1 = "&amp;$OM61&amp;"d6"," da básica do nível "&amp;$MO61),$OK61&amp;" − "&amp;$OF61&amp;" + "&amp;$OI61&amp;" = "&amp;$OL61&amp;" · teto "&amp;4*$MC61&amp;"d8"&amp;IF($NO61=1," · a Forma devolve "&amp;$MC61,"")&amp;IF($OJ61&gt;0," · perde "&amp;$OJ61,"")))</f>
        <v/>
      </c>
      <c r="PU61" s="152">
        <f>IF($MN61=0,"",IF($MC61=0,"A básica não amplia: os dados dela sobem com o nível",IF($MC61&gt;=$MP61,"Já está na maior Classe que o nível liberou",TEXTJOIN(" · ",TRUE,IF(AND(2&gt;$MC61,2&lt;=$MP61),"2 → "&amp;$OW61&amp;", 6 PE",""),IF(AND(3&gt;$MC61,3&lt;=$MP61),"3 → "&amp;$OX61&amp;", 9 PE",""),IF(AND(4&gt;$MC61,4&lt;=$MP61),"4 → "&amp;$OY61&amp;", 12 PE",""),IF(AND(5&gt;$MC61,5&lt;=$MP61),"5 → "&amp;$OZ61&amp;", 15 PE",""),IF(AND(6&gt;$MC61,6&lt;=$MP61),"6 → "&amp;$PA61&amp;", 18 PE",""),IF(AND(7&gt;$MC61,7&lt;=$MP61),"7 → "&amp;$PB61&amp;", 21 PE","")))))</f>
        <v/>
      </c>
      <c r="PV61" s="152">
        <f>IF(OR($MN61=0,$MY61=0),"",IF($MC61=0,"−1 dado","−"&amp;INDEX($I$2:$N$8,MAX(1,$MC61),MAX(1,$ND61))&amp;" · "&amp;CHOOSE(MAX(1,$ND61),"Leve","Média","Pesada","Leve · Livre","Média · Livre","Pesada · Livre")))</f>
        <v/>
      </c>
      <c r="PW61" s="152">
        <f>IF(OR($MN61=0,$MZ61=0),"",IF($MC61=0,"−1 dado","−"&amp;INDEX($I$2:$N$8,MAX(1,$MC61),MAX(1,$NE61))&amp;" · "&amp;CHOOSE(MAX(1,$NE61),"Leve","Média","Pesada","Leve · Livre","Média · Livre","Pesada · Livre")))</f>
        <v/>
      </c>
      <c r="PX61" s="152">
        <f>IF(OR($MN61=0,$NA61=0),"",IF($MC61=0,"−1 dado","−"&amp;INDEX($I$2:$N$8,MAX(1,$MC61),MAX(1,$NF61))&amp;" · "&amp;CHOOSE(MAX(1,$NF61),"Leve","Média","Pesada","Leve · Livre","Média · Livre","Pesada · Livre")))</f>
        <v/>
      </c>
      <c r="PY61" s="152">
        <f>IF(OR($MN61=0,$NB61=0),"",IF($MC61=0,"−1 dado","−"&amp;INDEX($I$2:$N$8,MAX(1,$MC61),MAX(1,$NG61))&amp;" · "&amp;CHOOSE(MAX(1,$NG61),"Leve","Média","Pesada","Leve · Livre","Média · Livre","Pesada · Livre")))</f>
        <v/>
      </c>
      <c r="PZ61" s="152">
        <f>IF(OR($MN61=0,$ML61=""),"",IF($MC61=0,"não devolve","+"&amp;IF($NR61=1,CEILING($MC61/2,1),$MC61)))</f>
        <v/>
      </c>
      <c r="QA61" s="152">
        <f>IF(OR($MN61=0,$MM61=""),"",IF($MC61=0,"não devolve","+"&amp;IF($NS61=1,CEILING($MC61/2,1),$MC61)))</f>
        <v/>
      </c>
    </row>
    <row r="62">
      <c r="AV62" s="150" t="inlineStr">
        <is>
          <t>Armado</t>
        </is>
      </c>
      <c r="AW62" s="150" t="inlineStr">
        <is>
          <t>Tempo</t>
        </is>
      </c>
      <c r="AX62" s="152" t="n">
        <v>1</v>
      </c>
      <c r="AY62" s="152" t="n">
        <v>0</v>
      </c>
      <c r="AZ62" s="152" t="n">
        <v>0</v>
      </c>
      <c r="JD62" s="152">
        <f>IF(OR($AW62="",COUNTIF($ED$2:$EH$2,$AW62)&gt;0),$AV62,"")</f>
        <v/>
      </c>
      <c r="JE62" s="152">
        <f>IF(AND($AX62=1,OR($AW62="",COUNTIF($ED$2:$EH$2,$AW62)&gt;0)),$AV62,"")</f>
        <v/>
      </c>
      <c r="JJ62" s="152">
        <f>IF(OR($AW62="",COUNTIF($ED$3:$EH$3,$AW62)&gt;0),$AV62,"")</f>
        <v/>
      </c>
      <c r="JK62" s="152">
        <f>IF(AND($AX62=1,OR($AW62="",COUNTIF($ED$3:$EH$3,$AW62)&gt;0)),$AV62,"")</f>
        <v/>
      </c>
      <c r="JP62" s="152">
        <f>IF(OR($AW62="",COUNTIF($ED$4:$EH$4,$AW62)&gt;0),$AV62,"")</f>
        <v/>
      </c>
      <c r="JQ62" s="152">
        <f>IF(AND($AX62=1,OR($AW62="",COUNTIF($ED$4:$EH$4,$AW62)&gt;0)),$AV62,"")</f>
        <v/>
      </c>
      <c r="JV62" s="152">
        <f>IF(OR($AW62="",COUNTIF($ED$5:$EH$5,$AW62)&gt;0),$AV62,"")</f>
        <v/>
      </c>
      <c r="JW62" s="152">
        <f>IF(AND($AX62=1,OR($AW62="",COUNTIF($ED$5:$EH$5,$AW62)&gt;0)),$AV62,"")</f>
        <v/>
      </c>
      <c r="KB62" s="152">
        <f>IF(OR($AW62="",COUNTIF($ED$6:$EH$6,$AW62)&gt;0),$AV62,"")</f>
        <v/>
      </c>
      <c r="KC62" s="152">
        <f>IF(AND($AX62=1,OR($AW62="",COUNTIF($ED$6:$EH$6,$AW62)&gt;0)),$AV62,"")</f>
        <v/>
      </c>
      <c r="KH62" s="152">
        <f>IF(OR($AW62="",COUNTIF($ED$7:$EH$7,$AW62)&gt;0),$AV62,"")</f>
        <v/>
      </c>
      <c r="KI62" s="152">
        <f>IF(AND($AX62=1,OR($AW62="",COUNTIF($ED$7:$EH$7,$AW62)&gt;0)),$AV62,"")</f>
        <v/>
      </c>
      <c r="KN62" s="152">
        <f>IF(OR($AW62="",COUNTIF($ED$8:$EH$8,$AW62)&gt;0),$AV62,"")</f>
        <v/>
      </c>
      <c r="KO62" s="152">
        <f>IF(AND($AX62=1,OR($AW62="",COUNTIF($ED$8:$EH$8,$AW62)&gt;0)),$AV62,"")</f>
        <v/>
      </c>
      <c r="KT62" s="152">
        <f>IF(OR($AW62="",COUNTIF($ED$9:$EH$9,$AW62)&gt;0),$AV62,"")</f>
        <v/>
      </c>
      <c r="KU62" s="152">
        <f>IF(AND($AX62=1,OR($AW62="",COUNTIF($ED$9:$EH$9,$AW62)&gt;0)),$AV62,"")</f>
        <v/>
      </c>
      <c r="KZ62" s="152">
        <f>IF(OR($AW62="",COUNTIF($ED$10:$EH$10,$AW62)&gt;0),$AV62,"")</f>
        <v/>
      </c>
      <c r="LA62" s="152">
        <f>IF(AND($AX62=1,OR($AW62="",COUNTIF($ED$10:$EH$10,$AW62)&gt;0)),$AV62,"")</f>
        <v/>
      </c>
      <c r="LF62" s="152">
        <f>IF(OR($AW62="",COUNTIF($ED$11:$EH$11,$AW62)&gt;0),$AV62,"")</f>
        <v/>
      </c>
      <c r="LG62" s="152">
        <f>IF(AND($AX62=1,OR($AW62="",COUNTIF($ED$11:$EH$11,$AW62)&gt;0)),$AV62,"")</f>
        <v/>
      </c>
      <c r="LL62" s="152">
        <f>IF(OR($AW62="",COUNTIF($ED$12:$EH$12,$AW62)&gt;0),$AV62,"")</f>
        <v/>
      </c>
      <c r="LM62" s="152">
        <f>IF(AND($AX62=1,OR($AW62="",COUNTIF($ED$12:$EH$12,$AW62)&gt;0)),$AV62,"")</f>
        <v/>
      </c>
      <c r="LR62" s="152">
        <f>IF(OR($AW62="",COUNTIF($ED$13:$EH$13,$AW62)&gt;0),$AV62,"")</f>
        <v/>
      </c>
      <c r="LS62" s="152">
        <f>IF(AND($AX62=1,OR($AW62="",COUNTIF($ED$13:$EH$13,$AW62)&gt;0)),$AV62,"")</f>
        <v/>
      </c>
      <c r="LX62" s="150" t="inlineStr">
        <is>
          <t>Ficha 5 · Especial 7</t>
        </is>
      </c>
      <c r="LY62" s="152" t="n">
        <v>5</v>
      </c>
      <c r="LZ62" s="152" t="n">
        <v>1</v>
      </c>
      <c r="MA62" s="152" t="n">
        <v>24</v>
      </c>
      <c r="MB62" s="150" t="inlineStr">
        <is>
          <t>ESPECIAL 7</t>
        </is>
      </c>
      <c r="MC62" s="152">
        <f>MAX(1,MIN(7,N('INVOCAÇÕES'!$U$906)))</f>
        <v/>
      </c>
      <c r="MD62" s="152">
        <f>'INVOCAÇÕES'!$V$906&amp;""</f>
        <v/>
      </c>
      <c r="ME62" s="152">
        <f>'INVOCAÇÕES'!$U$911&amp;""</f>
        <v/>
      </c>
      <c r="MF62" s="152">
        <f>'INVOCAÇÕES'!$U$912&amp;""</f>
        <v/>
      </c>
      <c r="MG62" s="152">
        <f>'INVOCAÇÕES'!$W$912&amp;""</f>
        <v/>
      </c>
      <c r="MH62" s="152">
        <f>'INVOCAÇÕES'!$V$915&amp;""</f>
        <v/>
      </c>
      <c r="MI62" s="152">
        <f>'INVOCAÇÕES'!$V$916&amp;""</f>
        <v/>
      </c>
      <c r="MJ62" s="152">
        <f>'INVOCAÇÕES'!$V$917&amp;""</f>
        <v/>
      </c>
      <c r="MK62" s="152">
        <f>'INVOCAÇÕES'!$V$918&amp;""</f>
        <v/>
      </c>
      <c r="ML62" s="152">
        <f>'INVOCAÇÕES'!$V$919&amp;""</f>
        <v/>
      </c>
      <c r="MM62" s="152">
        <f>'INVOCAÇÕES'!$V$920&amp;""</f>
        <v/>
      </c>
      <c r="MN62" s="152">
        <f>IF($MD62&lt;&gt;"",1,0)</f>
        <v/>
      </c>
      <c r="MO62" s="152">
        <f>INDEX($FG$2:$FG$13,$LY62)</f>
        <v/>
      </c>
      <c r="MP62" s="152">
        <f>INDEX($FH$2:$FH$13,$LY62)</f>
        <v/>
      </c>
      <c r="MQ62" s="152">
        <f>INDEX($FI$2:$FI$13,$LY62)</f>
        <v/>
      </c>
      <c r="MR62" s="152">
        <f>INDEX($FT$2:$FT$13,$LY62)</f>
        <v/>
      </c>
      <c r="MS62" s="152">
        <f>INDEX($FU$2:$FU$13,$LY62)</f>
        <v/>
      </c>
      <c r="MT62" s="152">
        <f>IFERROR(MATCH($ME62,$V$2:$V$11,0),0)</f>
        <v/>
      </c>
      <c r="MU62" s="152">
        <f>IFERROR(VLOOKUP($MH62,$AV$2:$AZ$84,2,FALSE),"")</f>
        <v/>
      </c>
      <c r="MV62" s="152">
        <f>IFERROR(VLOOKUP($MI62,$AV$2:$AZ$84,2,FALSE),"")</f>
        <v/>
      </c>
      <c r="MW62" s="152">
        <f>IFERROR(VLOOKUP($MJ62,$AV$2:$AZ$84,2,FALSE),"")</f>
        <v/>
      </c>
      <c r="MX62" s="152">
        <f>IFERROR(VLOOKUP($MK62,$AV$2:$AZ$84,2,FALSE),"")</f>
        <v/>
      </c>
      <c r="MY62" s="152">
        <f>IFERROR(VLOOKUP($MH62,$AV$2:$AZ$84,3,FALSE),0)</f>
        <v/>
      </c>
      <c r="MZ62" s="152">
        <f>IFERROR(VLOOKUP($MI62,$AV$2:$AZ$84,3,FALSE),0)</f>
        <v/>
      </c>
      <c r="NA62" s="152">
        <f>IFERROR(VLOOKUP($MJ62,$AV$2:$AZ$84,3,FALSE),0)</f>
        <v/>
      </c>
      <c r="NB62" s="152">
        <f>IFERROR(VLOOKUP($MK62,$AV$2:$AZ$84,3,FALSE),0)</f>
        <v/>
      </c>
      <c r="NC62" s="152">
        <f>IF($MC62=0,0,IF($MT62=0,0,INDEX($X$2:$X$11,$MT62)))</f>
        <v/>
      </c>
      <c r="ND62" s="152">
        <f>IF(OR($MY62=0,$MC62=0),0,$MY62+3*IF(AND($MU62&lt;&gt;"",OR($MU62=INDEX($ED$2:$ED$13,$LY62),$MU62=INDEX($EE$2:$EE$13,$LY62))),1,0))</f>
        <v/>
      </c>
      <c r="NE62" s="152">
        <f>IF(OR($MZ62=0,$MC62=0),0,$MZ62+3*IF(AND($MV62&lt;&gt;"",OR($MV62=INDEX($ED$2:$ED$13,$LY62),$MV62=INDEX($EE$2:$EE$13,$LY62))),1,0))</f>
        <v/>
      </c>
      <c r="NF62" s="152">
        <f>IF(OR($NA62=0,$MC62=0),0,$NA62+3*IF(AND($MW62&lt;&gt;"",OR($MW62=INDEX($ED$2:$ED$13,$LY62),$MW62=INDEX($EE$2:$EE$13,$LY62))),1,0))</f>
        <v/>
      </c>
      <c r="NG62" s="152">
        <f>IF(OR($NB62=0,$MC62=0),0,$NB62+3*IF(AND($MX62&lt;&gt;"",OR($MX62=INDEX($ED$2:$ED$13,$LY62),$MX62=INDEX($EE$2:$EE$13,$LY62))),1,0))</f>
        <v/>
      </c>
      <c r="NH62" s="152">
        <f>IF($MT62=0,0,IF(INDEX($W$2:$W$11,$MT62)="",0,IF(COUNTIF(INDEX($ED$2:$EH$13,$LY62,0),INDEX($W$2:$W$11,$MT62))=0,1,0)))</f>
        <v/>
      </c>
      <c r="NI62" s="152">
        <f>IF(OR($MY62=0,$MU62=""),0,IF(COUNTIF(INDEX($ED$2:$EH$13,$LY62,0),$MU62)=0,1,0))</f>
        <v/>
      </c>
      <c r="NJ62" s="152">
        <f>IF(OR($MZ62=0,$MV62=""),0,IF(COUNTIF(INDEX($ED$2:$EH$13,$LY62,0),$MV62)=0,1,0))</f>
        <v/>
      </c>
      <c r="NK62" s="152">
        <f>IF(OR($NA62=0,$MW62=""),0,IF(COUNTIF(INDEX($ED$2:$EH$13,$LY62,0),$MW62)=0,1,0))</f>
        <v/>
      </c>
      <c r="NL62" s="152">
        <f>IF(OR($NB62=0,$MX62=""),0,IF(COUNTIF(INDEX($ED$2:$EH$13,$LY62,0),$MX62)=0,1,0))</f>
        <v/>
      </c>
      <c r="NM62" s="152">
        <f>IFERROR(VLOOKUP($MH62,$AV$2:$AZ$84,4,FALSE),0)+IFERROR(VLOOKUP($MI62,$AV$2:$AZ$84,4,FALSE),0)+IFERROR(VLOOKUP($MJ62,$AV$2:$AZ$84,4,FALSE),0)+IFERROR(VLOOKUP($MK62,$AV$2:$AZ$84,4,FALSE),0)</f>
        <v/>
      </c>
      <c r="NN62" s="152">
        <f>TEXTJOIN(", ",TRUE,IF(IFERROR(VLOOKUP($MH62,$AV$2:$AZ$84,5,FALSE),0)=1,$MH62,""),IF(IFERROR(VLOOKUP($MI62,$AV$2:$AZ$84,5,FALSE),0)=1,$MI62,""),IF(IFERROR(VLOOKUP($MJ62,$AV$2:$AZ$84,5,FALSE),0)=1,$MJ62,""),IF(IFERROR(VLOOKUP($MK62,$AV$2:$AZ$84,5,FALSE),0)=1,$MK62,""))</f>
        <v/>
      </c>
      <c r="NO62" s="152">
        <f>IF($MT62=0,0,INDEX($Y$2:$Y$11,$MT62))</f>
        <v/>
      </c>
      <c r="NP62" s="152">
        <f>IF($MT62=0,0,INDEX($Z$2:$Z$11,$MT62))</f>
        <v/>
      </c>
      <c r="NQ62" s="152">
        <f>IF($MT62=0,0,INDEX($AB$2:$AB$11,$MT62))</f>
        <v/>
      </c>
      <c r="NR62" s="152">
        <f>IFERROR(VLOOKUP($ML62,$BB$2:$BF$24,3,FALSE),0)</f>
        <v/>
      </c>
      <c r="NS62" s="152">
        <f>IFERROR(VLOOKUP($MM62,$BB$2:$BF$24,3,FALSE),0)</f>
        <v/>
      </c>
      <c r="NT62" s="152">
        <f>IFERROR(VLOOKUP($ML62,$BB$2:$BF$24,2,FALSE),"")</f>
        <v/>
      </c>
      <c r="NU62" s="152">
        <f>IFERROR(VLOOKUP($MM62,$BB$2:$BF$24,2,FALSE),"")</f>
        <v/>
      </c>
      <c r="NV62" s="152">
        <f>COUNTIF($NC62:$NG62,1)</f>
        <v/>
      </c>
      <c r="NW62" s="152">
        <f>COUNTIF($NC62:$NG62,2)</f>
        <v/>
      </c>
      <c r="NX62" s="152">
        <f>COUNTIF($NC62:$NG62,3)</f>
        <v/>
      </c>
      <c r="NY62" s="152">
        <f>COUNTIF($NC62:$NG62,4)</f>
        <v/>
      </c>
      <c r="NZ62" s="152">
        <f>COUNTIF($NC62:$NG62,5)</f>
        <v/>
      </c>
      <c r="OA62" s="152">
        <f>COUNTIF($NC62:$NG62,6)</f>
        <v/>
      </c>
      <c r="OB62" s="152">
        <f>COUNTIF($NR62:$NS62,1)</f>
        <v/>
      </c>
      <c r="OC62" s="152">
        <f>COUNTIF($NR62:$NS62,2)+$NO62</f>
        <v/>
      </c>
      <c r="OD62" s="152">
        <f>COUNTIF($MH62:$MK62,"?*")</f>
        <v/>
      </c>
      <c r="OE62" s="152">
        <f>COUNTIF($ML62:$MM62,"?*")+$NO62</f>
        <v/>
      </c>
      <c r="OF62" s="152">
        <f>IF($MC62=0,0,SUMPRODUCT($NV62:$OA62,INDEX($I$2:$N$8,MAX(1,$MC62),0)))</f>
        <v/>
      </c>
      <c r="OG62" s="152">
        <f>IF($MC62=0,0,$OB62*CEILING($MC62/2,1)+$OC62*$MC62)</f>
        <v/>
      </c>
      <c r="OH62" s="152">
        <f>MIN(2*$MC62,$OG62)</f>
        <v/>
      </c>
      <c r="OI62" s="152">
        <f>MIN($OH62,$OF62)</f>
        <v/>
      </c>
      <c r="OJ62" s="152">
        <f>$OH62-$OI62</f>
        <v/>
      </c>
      <c r="OK62" s="152">
        <f>IF($MC62=0,0,INDEX($P$2:$P$8,MAX(1,$MC62)))</f>
        <v/>
      </c>
      <c r="OL62" s="152">
        <f>$OK62-$OF62+$OI62</f>
        <v/>
      </c>
      <c r="OM62" s="152">
        <f>IF($MC62=0,MAX(0,$MQ62-IF($OD62&gt;0,1,0)),MAX(0,$OL62))</f>
        <v/>
      </c>
      <c r="ON62" s="152">
        <f>IF($MC62=0,0,(IF(COUNTIF($MH62:$MK62,"Salto")&gt;0,1,0)+IF(COUNTIF($MH62:$MK62,"Queima")&gt;0,1,0)+IF(COUNTIF($MH62:$MK62,"Estilhaço")&gt;0,1,0))*FLOOR($OM62/2,1))</f>
        <v/>
      </c>
      <c r="OO62" s="152">
        <f>MAX(0,2-SUMPRODUCT($NV62:$OA62,$I$2:$N$2)+MIN(2,$OB62*1+$OC62*1,SUMPRODUCT($NV62:$OA62,$I$2:$N$2)))</f>
        <v/>
      </c>
      <c r="OP62" s="152">
        <f>MAX(0,4-SUMPRODUCT($NV62:$OA62,$I$3:$N$3)+MIN(4,$OB62*1+$OC62*2,SUMPRODUCT($NV62:$OA62,$I$3:$N$3)))</f>
        <v/>
      </c>
      <c r="OQ62" s="152">
        <f>MAX(0,6-SUMPRODUCT($NV62:$OA62,$I$4:$N$4)+MIN(6,$OB62*2+$OC62*3,SUMPRODUCT($NV62:$OA62,$I$4:$N$4)))</f>
        <v/>
      </c>
      <c r="OR62" s="152">
        <f>MAX(0,9-SUMPRODUCT($NV62:$OA62,$I$5:$N$5)+MIN(8,$OB62*2+$OC62*4,SUMPRODUCT($NV62:$OA62,$I$5:$N$5)))</f>
        <v/>
      </c>
      <c r="OS62" s="152">
        <f>MAX(0,11-SUMPRODUCT($NV62:$OA62,$I$6:$N$6)+MIN(10,$OB62*3+$OC62*5,SUMPRODUCT($NV62:$OA62,$I$6:$N$6)))</f>
        <v/>
      </c>
      <c r="OT62" s="152">
        <f>MAX(0,13-SUMPRODUCT($NV62:$OA62,$I$7:$N$7)+MIN(12,$OB62*3+$OC62*6,SUMPRODUCT($NV62:$OA62,$I$7:$N$7)))</f>
        <v/>
      </c>
      <c r="OU62" s="152">
        <f>MAX(0,16-SUMPRODUCT($NV62:$OA62,$I$8:$N$8)+MIN(14,$OB62*4+$OC62*7,SUMPRODUCT($NV62:$OA62,$I$8:$N$8)))</f>
        <v/>
      </c>
      <c r="OV62" s="152">
        <f>IF($NP62=2,3*$OO62&amp;" de vida temp.",IF($NP62=3,"sem dano",IF($OO62=0,IF($NP62=1,"sem cura","sem dano"),IF($NP62=1,"cura ","")&amp;$OO62&amp;"d8")))</f>
        <v/>
      </c>
      <c r="OW62" s="152">
        <f>IF($NP62=2,3*$OP62&amp;" de vida temp.",IF($NP62=3,"sem dano",IF($OP62=0,IF($NP62=1,"sem cura","sem dano"),IF($NP62=1,"cura ","")&amp;$OP62&amp;"d8")))</f>
        <v/>
      </c>
      <c r="OX62" s="152">
        <f>IF($NP62=2,3*$OQ62&amp;" de vida temp.",IF($NP62=3,"sem dano",IF($OQ62=0,IF($NP62=1,"sem cura","sem dano"),IF($NP62=1,"cura ","")&amp;$OQ62&amp;"d8")))</f>
        <v/>
      </c>
      <c r="OY62" s="152">
        <f>IF($NP62=2,3*$OR62&amp;" de vida temp.",IF($NP62=3,"sem dano",IF($OR62=0,IF($NP62=1,"sem cura","sem dano"),IF($NP62=1,"cura ","")&amp;$OR62&amp;"d8")))</f>
        <v/>
      </c>
      <c r="OZ62" s="152">
        <f>IF($NP62=2,3*$OS62&amp;" de vida temp.",IF($NP62=3,"sem dano",IF($OS62=0,IF($NP62=1,"sem cura","sem dano"),IF($NP62=1,"cura ","")&amp;$OS62&amp;"d8")))</f>
        <v/>
      </c>
      <c r="PA62" s="152">
        <f>IF($NP62=2,3*$OT62&amp;" de vida temp.",IF($NP62=3,"sem dano",IF($OT62=0,IF($NP62=1,"sem cura","sem dano"),IF($NP62=1,"cura ","")&amp;$OT62&amp;"d8")))</f>
        <v/>
      </c>
      <c r="PB62" s="152">
        <f>IF($NP62=2,3*$OU62&amp;" de vida temp.",IF($NP62=3,"sem dano",IF($OU62=0,IF($NP62=1,"sem cura","sem dano"),IF($NP62=1,"cura ","")&amp;$OU62&amp;"d8")))</f>
        <v/>
      </c>
      <c r="PC62" s="152">
        <f>IF($MN62=0,"",TEXTJOIN(" · ",TRUE,IF($MA62&gt;$MO62,"Este lugar abre no nível "&amp;$MA62,""),IF($MC62&gt;$MP62,"Classe "&amp;$MC62&amp;": o nível "&amp;$MO62&amp;" libera até a "&amp;$MP62,""),IF($NH62=1,"A Forma "&amp;$ME62&amp;" pede "&amp;INDEX($W$2:$W$11,$MT62)&amp;" aberta",""),IF(AND($MC62=0,$MT62&gt;0,IF($MT62=0,0,INDEX($AF$2:$AF$11,$MT62))=0),$ME62&amp;" não existe na Classe 0",""),IF($NI62=1,"Família Fechada: "&amp;$MH62,""),IF($NJ62=1,"Família Fechada: "&amp;$MI62,""),IF($NK62=1,"Família Fechada: "&amp;$MJ62,""),IF($NL62=1,"Família Fechada: "&amp;$MK62,""),IF(AND($MC62&gt;0,$OD62&gt;INDEX($O$2:$O$8,MAX(1,$MC62))),$OD62&amp;" Melhorias: a Classe "&amp;$MC62&amp;" aceita "&amp;INDEX($O$2:$O$8,MAX(1,$MC62)),""),IF(AND($MC62=0,$OD62&gt;1),"A básica aceita uma Melhoria",""),IF(AND($MC62=0,COUNTIF($MY62:$NB62,"&gt;1")&gt;0),"A básica só aceita Melhoria Leve",""),IF(AND($MC62&gt;0,$OE62&gt;2),$OE62&amp;" Restrições"&amp;IF($NO62=1,", contando a que a Forma "&amp;$ME62&amp;" já traz","")&amp;": o limite é 2",""),IF(AND($MC62=0,COUNTIF($ML62:$MM62,"?*")&gt;1),"A básica aceita uma Restrição Leve",""),IF(AND($MC62=0,COUNTIF($NR62:$NS62,2)&gt;0),"A básica só aceita Restrição Leve",""),IF(AND($MC62&gt;0,$OL62&lt;0),"Orçamento estourado: faltam "&amp;(-$OL62)&amp;IF($OL62&lt;-1," pontos"," ponto"),""),IF(IFERROR(VLOOKUP($ML62,$BB$2:$BF$24,4,FALSE),0)+IFERROR(VLOOKUP($MM62,$BB$2:$BF$24,4,FALSE),0)&gt;1,$NT62&amp;" e "&amp;$NU62&amp;" são as duas de frequência",""),IF(AND((COUNTIF($MH62:$MK62,"Rápido")+COUNTIF($NT62:$NU62,"Rápido"))&gt;0,(COUNTIF($MH62:$MK62,"Atrasar")+COUNTIF($NT62:$NU62,"Atrasar"))&gt;0),"Rápido não entra com Atrasar",""),IF(AND((COUNTIF($MH62:$MK62,"Reação")+COUNTIF($NT62:$NU62,"Reação"))&gt;0,(COUNTIF($MH62:$MK62,"Rápido")+COUNTIF($NT62:$NU62,"Rápido"))&gt;0),"Reação não entra com Rápido",""),IF(AND((COUNTIF($MH62:$MK62,"Reação")+COUNTIF($NT62:$NU62,"Reação"))&gt;0,(COUNTIF($MH62:$MK62,"Armado")+COUNTIF($NT62:$NU62,"Armado"))&gt;0),"Reação não entra com Armado",""),IF(AND((COUNTIF($MH62:$MK62,"Reação")+COUNTIF($NT62:$NU62,"Reação"))&gt;0,(COUNTIF($MH62:$MK62,"Atrasar")+COUNTIF($NT62:$NU62,"Atrasar"))&gt;0),"Reação não entra com Atrasar",""),IF(AND((COUNTIF($MH62:$MK62,"Reação")+COUNTIF($NT62:$NU62,"Reação"))&gt;0,(COUNTIF($MH62:$MK62,"Parado")+COUNTIF($NT62:$NU62,"Parado"))&gt;0),"Reação não entra com Parado",""),IF(AND((COUNTIF($MH62:$MK62,"Atrasar")+COUNTIF($NT62:$NU62,"Atrasar"))&gt;0,(COUNTIF($MH62:$MK62,"Parado")+COUNTIF($NT62:$NU62,"Parado"))&gt;0),"Atrasar não entra com Parado",""),IF(AND((COUNTIF($MH62:$MK62,"Armado")+COUNTIF($NT62:$NU62,"Armado"))&gt;0,(COUNTIF($MH62:$MK62,"Carregar")+COUNTIF($NT62:$NU62,"Carregar"))&gt;0),"Armado não entra com Carregar",""),IF(AND(COUNTIF($NT62:$NU62,"Corpo a Corpo")&gt;0,$NO62=0,OR($ME62="Cone",$ME62="Linha")),"Corpo a Corpo não entra em "&amp;$ME62,""),IF(AND(COUNTIF($NT62:$NU62,"Corpo a Corpo")&gt;0,$NO62=1),"A Forma "&amp;$ME62&amp;" já traz o Corpo a Corpo",""),IF(AND(COUNTIF($NT62:$NU62,"Tudo ou Nada")&gt;0,$NQ62=0),"Tudo ou Nada só entra em habilidade de Teste de Resistência",""),IF(AND(COUNTIF($MH62:$MK62,"Inescapável")&gt;0,OR($OD62&gt;1,$OE62&gt;0)),"Inescapável não aceita outra peça",""),IF(AND($MC62&gt;0,$OM62*IF(COUNTIF($MH62:$MK62,"Remate")&gt;0,1.25,1)+$ON62&gt;4*$MC62),($OM62*IF(COUNTIF($MH62:$MK62,"Remate")&gt;0,1.25,1)+$ON62)&amp;" dados somando repetições"&amp;IF(COUNTIF($MH62:$MK62,"Remate")&gt;0," e o Remate","")&amp;": o teto da Classe "&amp;$MC62&amp;" é "&amp;4*$MC62,"")))</f>
        <v/>
      </c>
      <c r="PD62" s="152">
        <f>IF($PC62="",0,(LEN($PC62)-LEN(SUBSTITUTE($PC62," · ","")))/3+1)</f>
        <v/>
      </c>
      <c r="PE62" s="152">
        <f>IF($MN62=0,"",TEXTJOIN(" · ",TRUE,IF($OG62&gt;2*$MC62,"A devolução parou no teto de "&amp;2*$MC62,""),IF($OJ62&gt;0,"Devolução perdida: "&amp;$OJ62&amp;IF($OJ62&gt;1," pontos"," ponto")&amp;" sem peça para pagar",""),IF(AND($NM62&gt;0,AND($MC62&gt;0,$NP62=0),$OM62=0),"Controle sem dano: uma rodada a mais e CD +2",""),IF(AND($NM62&gt;0,AND($MC62&gt;0,$NP62=0),$OM62&gt;0,$OM62&lt;=$MC62),"Controle com saldo até a Classe: uma rodada a mais",""),IF(AND($MC62&gt;0,$NN62&lt;&gt;""),"Efeito de "&amp;$NN62&amp;" pela Classe "&amp;MAX(1,$MC62-1),"")))</f>
        <v/>
      </c>
      <c r="PF62" s="152">
        <f>IF($PE62="",0,(LEN($PE62)-LEN(SUBSTITUTE($PE62," · ","")))/3+1)</f>
        <v/>
      </c>
      <c r="PG62" s="152">
        <f>IF($MN62=0,IF($OD62+COUNTIF($ML62:$MM62,"?*")&gt;0,"Dê um nome",""),IF($PD62&gt;0,"⚠ "&amp;$PD62&amp;IF($PD62&gt;1," erros"," erro"),IF($PF62&gt;0,"! "&amp;$PF62&amp;IF($PF62&gt;1," avisos"," aviso"),"Na regra")))</f>
        <v/>
      </c>
      <c r="PH62" s="152">
        <f>IF($MN62=0,"",IF($PD62+$PF62=0,"Dentro das regras que a ficha confere",$PC62&amp;IF(AND($PD62&gt;0,$PF62&gt;0)," · ","")&amp;$PE62))</f>
        <v/>
      </c>
      <c r="PI62" s="152">
        <f>IF($MA62&gt;$MO62,$MB62&amp;" · ABRE NO NÍVEL "&amp;$MA62,$MB62)</f>
        <v/>
      </c>
      <c r="PJ62" s="152">
        <f>IF($MN62=0,"",IF($MC62=0,"Sem PE",3*$MC62&amp;" PE"))</f>
        <v/>
      </c>
      <c r="PK62" s="152">
        <f>IF($MN62=0,"",IF($MC62=0,"A atuação básica dela",IF(COUNTIF($NT62:$NU62,"Atrasar")&gt;0,"Sua Ação Completa",IF(COUNTIF($MH62:$MK62,"Rápido")&gt;0,"Sua Bônus",IF(COUNTIF($MH62:$MK62,"Reação")&gt;0,"Sua Reação","Sua Padrão")))&amp;" + a básica dela"&amp;IF(COUNTIF($MH62:$MK62,"Reação")&gt;0," e a coletiva","")&amp;IF(COUNTIF($NT62:$NU62,"Carregar")&gt;0," · em dois turnos","")))</f>
        <v/>
      </c>
      <c r="PL62" s="152">
        <f>IF($MG62&lt;&gt;"",$MG62,IF($MT62=0,"",INDEX($AA$2:$AA$11,$MT62)))</f>
        <v/>
      </c>
      <c r="PM62" s="152">
        <f>IF(OR($MN62=0,$MT62=0),"",IF(COUNTIF($MH62:$MK62,"Inescapável")&gt;0,"Automático",IF($PL62="Ataque",IF($MR62="","Ataque","Ataque "&amp;IF(($MR62+2*IF(COUNTIF($MH62:$MK62,"Precisão")&gt;0,1,0))&gt;=0,"+","−")&amp;ABS(($MR62+2*IF(COUNTIF($MH62:$MK62,"Precisão")&gt;0,1,0)))),IF(LEFT($PL62,2)="TR",$PL62&amp;IF($MS62="",""," · CD "&amp;$MS62)&amp;IF(COUNTIF($MH62:$MK62,"Certeiro")&gt;0," · metade",""),"Sem rolagem"))))</f>
        <v/>
      </c>
      <c r="PN62" s="152">
        <f>IF(OR($MN62=0,$MT62=0),"",IF($MC62=0,IF(OR($NP62&gt;=1,$OM62=0),"Sem dano",$OM62&amp;"d6"&amp;IF($MF62="",""," "&amp;$MF62)),IF(OR($NP62&gt;=1,$OM62=0),UPPER(LEFT(INDEX($OV62:$PB62,1,MAX(1,$MC62)),1))&amp;MID(INDEX($OV62:$PB62,1,MAX(1,$MC62)),2,99),UPPER(LEFT(INDEX($OV62:$PB62,1,MAX(1,$MC62)),1))&amp;MID(INDEX($OV62:$PB62,1,MAX(1,$MC62)),2,99)&amp;IF($MF62="",""," "&amp;$MF62)&amp;IF($ON62&gt;0," · +"&amp;$ON62&amp;"d8",""))))</f>
        <v/>
      </c>
      <c r="PO62" s="152">
        <f>COUNTIF($MH62:$MK62,"Longe")+3*COUNTIF($MH62:$MK62,"Muito Longe")</f>
        <v/>
      </c>
      <c r="PP62" s="152">
        <f>COUNTIF($MH62:$MK62,"Maior")+3*COUNTIF($MH62:$MK62,"Muito Maior")</f>
        <v/>
      </c>
      <c r="PQ62" s="152">
        <f>IF($MT62=0,0,CHOOSE(1+INDEX($AC$2:$AC$11,$MT62),0,$PO62,$PP62,$PO62+$PP62))</f>
        <v/>
      </c>
      <c r="PR62" s="152">
        <f>IF($MT62=0,0,CHOOSE(1+INDEX($AD$2:$AD$11,$MT62),0,$PO62,$PP62,$PO62+$PP62))</f>
        <v/>
      </c>
      <c r="PS62" s="152">
        <f>IF(OR($MN62=0,$MT62=0),"",INDEX($AI$2:$AN$41,($MT62-1)*4+IF($MC62=0,1,IF($MC62&lt;=5,2,IF($MC62=6,3,4))),1+MIN(5,$PQ62))&amp;INDEX($AO$2:$AT$41,($MT62-1)*4+IF($MC62=0,1,IF($MC62&lt;=5,2,IF($MC62=6,3,4))),1+MIN(5,$PR62))&amp;IF(INDEX($AE$2:$AE$11,$MT62)=1,IF(COUNTIF($MH62:$MK62,"Mais Um")&gt;0," · +"&amp;COUNTIF($MH62:$MK62,"Mais Um")&amp;IF(COUNTIF($MH62:$MK62,"Mais Um")&gt;1," alvos"," alvo"),"")&amp;IF(COUNTIF($MH62:$MK62,"Rajada")&gt;0,IF($MC62=0," · 1 tiro"," · "&amp;(MAX(1,$MC62-1)+1)&amp;" tiros"),""),""))</f>
        <v/>
      </c>
      <c r="PT62" s="152">
        <f>IF($MN62=0,"",IF($MC62=0,$MQ62&amp;"d6"&amp;IF($OD62&gt;0," − 1 = "&amp;$OM62&amp;"d6"," da básica do nível "&amp;$MO62),$OK62&amp;" − "&amp;$OF62&amp;" + "&amp;$OI62&amp;" = "&amp;$OL62&amp;" · teto "&amp;4*$MC62&amp;"d8"&amp;IF($NO62=1," · a Forma devolve "&amp;$MC62,"")&amp;IF($OJ62&gt;0," · perde "&amp;$OJ62,"")))</f>
        <v/>
      </c>
      <c r="PU62" s="152">
        <f>IF($MN62=0,"",IF($MC62=0,"A básica não amplia: os dados dela sobem com o nível",IF($MC62&gt;=$MP62,"Já está na maior Classe que o nível liberou",TEXTJOIN(" · ",TRUE,IF(AND(2&gt;$MC62,2&lt;=$MP62),"2 → "&amp;$OW62&amp;", 6 PE",""),IF(AND(3&gt;$MC62,3&lt;=$MP62),"3 → "&amp;$OX62&amp;", 9 PE",""),IF(AND(4&gt;$MC62,4&lt;=$MP62),"4 → "&amp;$OY62&amp;", 12 PE",""),IF(AND(5&gt;$MC62,5&lt;=$MP62),"5 → "&amp;$OZ62&amp;", 15 PE",""),IF(AND(6&gt;$MC62,6&lt;=$MP62),"6 → "&amp;$PA62&amp;", 18 PE",""),IF(AND(7&gt;$MC62,7&lt;=$MP62),"7 → "&amp;$PB62&amp;", 21 PE","")))))</f>
        <v/>
      </c>
      <c r="PV62" s="152">
        <f>IF(OR($MN62=0,$MY62=0),"",IF($MC62=0,"−1 dado","−"&amp;INDEX($I$2:$N$8,MAX(1,$MC62),MAX(1,$ND62))&amp;" · "&amp;CHOOSE(MAX(1,$ND62),"Leve","Média","Pesada","Leve · Livre","Média · Livre","Pesada · Livre")))</f>
        <v/>
      </c>
      <c r="PW62" s="152">
        <f>IF(OR($MN62=0,$MZ62=0),"",IF($MC62=0,"−1 dado","−"&amp;INDEX($I$2:$N$8,MAX(1,$MC62),MAX(1,$NE62))&amp;" · "&amp;CHOOSE(MAX(1,$NE62),"Leve","Média","Pesada","Leve · Livre","Média · Livre","Pesada · Livre")))</f>
        <v/>
      </c>
      <c r="PX62" s="152">
        <f>IF(OR($MN62=0,$NA62=0),"",IF($MC62=0,"−1 dado","−"&amp;INDEX($I$2:$N$8,MAX(1,$MC62),MAX(1,$NF62))&amp;" · "&amp;CHOOSE(MAX(1,$NF62),"Leve","Média","Pesada","Leve · Livre","Média · Livre","Pesada · Livre")))</f>
        <v/>
      </c>
      <c r="PY62" s="152">
        <f>IF(OR($MN62=0,$NB62=0),"",IF($MC62=0,"−1 dado","−"&amp;INDEX($I$2:$N$8,MAX(1,$MC62),MAX(1,$NG62))&amp;" · "&amp;CHOOSE(MAX(1,$NG62),"Leve","Média","Pesada","Leve · Livre","Média · Livre","Pesada · Livre")))</f>
        <v/>
      </c>
      <c r="PZ62" s="152">
        <f>IF(OR($MN62=0,$ML62=""),"",IF($MC62=0,"não devolve","+"&amp;IF($NR62=1,CEILING($MC62/2,1),$MC62)))</f>
        <v/>
      </c>
      <c r="QA62" s="152">
        <f>IF(OR($MN62=0,$MM62=""),"",IF($MC62=0,"não devolve","+"&amp;IF($NS62=1,CEILING($MC62/2,1),$MC62)))</f>
        <v/>
      </c>
    </row>
    <row r="63">
      <c r="AV63" s="150" t="inlineStr">
        <is>
          <t>Silencioso</t>
        </is>
      </c>
      <c r="AW63" s="150" t="inlineStr">
        <is>
          <t>Tempo</t>
        </is>
      </c>
      <c r="AX63" s="152" t="n">
        <v>1</v>
      </c>
      <c r="AY63" s="152" t="n">
        <v>0</v>
      </c>
      <c r="AZ63" s="152" t="n">
        <v>0</v>
      </c>
      <c r="JD63" s="152">
        <f>IF(OR($AW63="",COUNTIF($ED$2:$EH$2,$AW63)&gt;0),$AV63,"")</f>
        <v/>
      </c>
      <c r="JE63" s="152">
        <f>IF(AND($AX63=1,OR($AW63="",COUNTIF($ED$2:$EH$2,$AW63)&gt;0)),$AV63,"")</f>
        <v/>
      </c>
      <c r="JJ63" s="152">
        <f>IF(OR($AW63="",COUNTIF($ED$3:$EH$3,$AW63)&gt;0),$AV63,"")</f>
        <v/>
      </c>
      <c r="JK63" s="152">
        <f>IF(AND($AX63=1,OR($AW63="",COUNTIF($ED$3:$EH$3,$AW63)&gt;0)),$AV63,"")</f>
        <v/>
      </c>
      <c r="JP63" s="152">
        <f>IF(OR($AW63="",COUNTIF($ED$4:$EH$4,$AW63)&gt;0),$AV63,"")</f>
        <v/>
      </c>
      <c r="JQ63" s="152">
        <f>IF(AND($AX63=1,OR($AW63="",COUNTIF($ED$4:$EH$4,$AW63)&gt;0)),$AV63,"")</f>
        <v/>
      </c>
      <c r="JV63" s="152">
        <f>IF(OR($AW63="",COUNTIF($ED$5:$EH$5,$AW63)&gt;0),$AV63,"")</f>
        <v/>
      </c>
      <c r="JW63" s="152">
        <f>IF(AND($AX63=1,OR($AW63="",COUNTIF($ED$5:$EH$5,$AW63)&gt;0)),$AV63,"")</f>
        <v/>
      </c>
      <c r="KB63" s="152">
        <f>IF(OR($AW63="",COUNTIF($ED$6:$EH$6,$AW63)&gt;0),$AV63,"")</f>
        <v/>
      </c>
      <c r="KC63" s="152">
        <f>IF(AND($AX63=1,OR($AW63="",COUNTIF($ED$6:$EH$6,$AW63)&gt;0)),$AV63,"")</f>
        <v/>
      </c>
      <c r="KH63" s="152">
        <f>IF(OR($AW63="",COUNTIF($ED$7:$EH$7,$AW63)&gt;0),$AV63,"")</f>
        <v/>
      </c>
      <c r="KI63" s="152">
        <f>IF(AND($AX63=1,OR($AW63="",COUNTIF($ED$7:$EH$7,$AW63)&gt;0)),$AV63,"")</f>
        <v/>
      </c>
      <c r="KN63" s="152">
        <f>IF(OR($AW63="",COUNTIF($ED$8:$EH$8,$AW63)&gt;0),$AV63,"")</f>
        <v/>
      </c>
      <c r="KO63" s="152">
        <f>IF(AND($AX63=1,OR($AW63="",COUNTIF($ED$8:$EH$8,$AW63)&gt;0)),$AV63,"")</f>
        <v/>
      </c>
      <c r="KT63" s="152">
        <f>IF(OR($AW63="",COUNTIF($ED$9:$EH$9,$AW63)&gt;0),$AV63,"")</f>
        <v/>
      </c>
      <c r="KU63" s="152">
        <f>IF(AND($AX63=1,OR($AW63="",COUNTIF($ED$9:$EH$9,$AW63)&gt;0)),$AV63,"")</f>
        <v/>
      </c>
      <c r="KZ63" s="152">
        <f>IF(OR($AW63="",COUNTIF($ED$10:$EH$10,$AW63)&gt;0),$AV63,"")</f>
        <v/>
      </c>
      <c r="LA63" s="152">
        <f>IF(AND($AX63=1,OR($AW63="",COUNTIF($ED$10:$EH$10,$AW63)&gt;0)),$AV63,"")</f>
        <v/>
      </c>
      <c r="LF63" s="152">
        <f>IF(OR($AW63="",COUNTIF($ED$11:$EH$11,$AW63)&gt;0),$AV63,"")</f>
        <v/>
      </c>
      <c r="LG63" s="152">
        <f>IF(AND($AX63=1,OR($AW63="",COUNTIF($ED$11:$EH$11,$AW63)&gt;0)),$AV63,"")</f>
        <v/>
      </c>
      <c r="LL63" s="152">
        <f>IF(OR($AW63="",COUNTIF($ED$12:$EH$12,$AW63)&gt;0),$AV63,"")</f>
        <v/>
      </c>
      <c r="LM63" s="152">
        <f>IF(AND($AX63=1,OR($AW63="",COUNTIF($ED$12:$EH$12,$AW63)&gt;0)),$AV63,"")</f>
        <v/>
      </c>
      <c r="LR63" s="152">
        <f>IF(OR($AW63="",COUNTIF($ED$13:$EH$13,$AW63)&gt;0),$AV63,"")</f>
        <v/>
      </c>
      <c r="LS63" s="152">
        <f>IF(AND($AX63=1,OR($AW63="",COUNTIF($ED$13:$EH$13,$AW63)&gt;0)),$AV63,"")</f>
        <v/>
      </c>
      <c r="LX63" s="150" t="inlineStr">
        <is>
          <t>Ficha 5 · Especial 8</t>
        </is>
      </c>
      <c r="LY63" s="152" t="n">
        <v>5</v>
      </c>
      <c r="LZ63" s="152" t="n">
        <v>1</v>
      </c>
      <c r="MA63" s="152" t="n">
        <v>28</v>
      </c>
      <c r="MB63" s="150" t="inlineStr">
        <is>
          <t>ESPECIAL 8</t>
        </is>
      </c>
      <c r="MC63" s="152">
        <f>MAX(1,MIN(7,N('INVOCAÇÕES'!$I$928)))</f>
        <v/>
      </c>
      <c r="MD63" s="152">
        <f>'INVOCAÇÕES'!$J$928&amp;""</f>
        <v/>
      </c>
      <c r="ME63" s="152">
        <f>'INVOCAÇÕES'!$I$933&amp;""</f>
        <v/>
      </c>
      <c r="MF63" s="152">
        <f>'INVOCAÇÕES'!$I$934&amp;""</f>
        <v/>
      </c>
      <c r="MG63" s="152">
        <f>'INVOCAÇÕES'!$K$934&amp;""</f>
        <v/>
      </c>
      <c r="MH63" s="152">
        <f>'INVOCAÇÕES'!$J$937&amp;""</f>
        <v/>
      </c>
      <c r="MI63" s="152">
        <f>'INVOCAÇÕES'!$J$938&amp;""</f>
        <v/>
      </c>
      <c r="MJ63" s="152">
        <f>'INVOCAÇÕES'!$J$939&amp;""</f>
        <v/>
      </c>
      <c r="MK63" s="152">
        <f>'INVOCAÇÕES'!$J$940&amp;""</f>
        <v/>
      </c>
      <c r="ML63" s="152">
        <f>'INVOCAÇÕES'!$J$941&amp;""</f>
        <v/>
      </c>
      <c r="MM63" s="152">
        <f>'INVOCAÇÕES'!$J$942&amp;""</f>
        <v/>
      </c>
      <c r="MN63" s="152">
        <f>IF($MD63&lt;&gt;"",1,0)</f>
        <v/>
      </c>
      <c r="MO63" s="152">
        <f>INDEX($FG$2:$FG$13,$LY63)</f>
        <v/>
      </c>
      <c r="MP63" s="152">
        <f>INDEX($FH$2:$FH$13,$LY63)</f>
        <v/>
      </c>
      <c r="MQ63" s="152">
        <f>INDEX($FI$2:$FI$13,$LY63)</f>
        <v/>
      </c>
      <c r="MR63" s="152">
        <f>INDEX($FT$2:$FT$13,$LY63)</f>
        <v/>
      </c>
      <c r="MS63" s="152">
        <f>INDEX($FU$2:$FU$13,$LY63)</f>
        <v/>
      </c>
      <c r="MT63" s="152">
        <f>IFERROR(MATCH($ME63,$V$2:$V$11,0),0)</f>
        <v/>
      </c>
      <c r="MU63" s="152">
        <f>IFERROR(VLOOKUP($MH63,$AV$2:$AZ$84,2,FALSE),"")</f>
        <v/>
      </c>
      <c r="MV63" s="152">
        <f>IFERROR(VLOOKUP($MI63,$AV$2:$AZ$84,2,FALSE),"")</f>
        <v/>
      </c>
      <c r="MW63" s="152">
        <f>IFERROR(VLOOKUP($MJ63,$AV$2:$AZ$84,2,FALSE),"")</f>
        <v/>
      </c>
      <c r="MX63" s="152">
        <f>IFERROR(VLOOKUP($MK63,$AV$2:$AZ$84,2,FALSE),"")</f>
        <v/>
      </c>
      <c r="MY63" s="152">
        <f>IFERROR(VLOOKUP($MH63,$AV$2:$AZ$84,3,FALSE),0)</f>
        <v/>
      </c>
      <c r="MZ63" s="152">
        <f>IFERROR(VLOOKUP($MI63,$AV$2:$AZ$84,3,FALSE),0)</f>
        <v/>
      </c>
      <c r="NA63" s="152">
        <f>IFERROR(VLOOKUP($MJ63,$AV$2:$AZ$84,3,FALSE),0)</f>
        <v/>
      </c>
      <c r="NB63" s="152">
        <f>IFERROR(VLOOKUP($MK63,$AV$2:$AZ$84,3,FALSE),0)</f>
        <v/>
      </c>
      <c r="NC63" s="152">
        <f>IF($MC63=0,0,IF($MT63=0,0,INDEX($X$2:$X$11,$MT63)))</f>
        <v/>
      </c>
      <c r="ND63" s="152">
        <f>IF(OR($MY63=0,$MC63=0),0,$MY63+3*IF(AND($MU63&lt;&gt;"",OR($MU63=INDEX($ED$2:$ED$13,$LY63),$MU63=INDEX($EE$2:$EE$13,$LY63))),1,0))</f>
        <v/>
      </c>
      <c r="NE63" s="152">
        <f>IF(OR($MZ63=0,$MC63=0),0,$MZ63+3*IF(AND($MV63&lt;&gt;"",OR($MV63=INDEX($ED$2:$ED$13,$LY63),$MV63=INDEX($EE$2:$EE$13,$LY63))),1,0))</f>
        <v/>
      </c>
      <c r="NF63" s="152">
        <f>IF(OR($NA63=0,$MC63=0),0,$NA63+3*IF(AND($MW63&lt;&gt;"",OR($MW63=INDEX($ED$2:$ED$13,$LY63),$MW63=INDEX($EE$2:$EE$13,$LY63))),1,0))</f>
        <v/>
      </c>
      <c r="NG63" s="152">
        <f>IF(OR($NB63=0,$MC63=0),0,$NB63+3*IF(AND($MX63&lt;&gt;"",OR($MX63=INDEX($ED$2:$ED$13,$LY63),$MX63=INDEX($EE$2:$EE$13,$LY63))),1,0))</f>
        <v/>
      </c>
      <c r="NH63" s="152">
        <f>IF($MT63=0,0,IF(INDEX($W$2:$W$11,$MT63)="",0,IF(COUNTIF(INDEX($ED$2:$EH$13,$LY63,0),INDEX($W$2:$W$11,$MT63))=0,1,0)))</f>
        <v/>
      </c>
      <c r="NI63" s="152">
        <f>IF(OR($MY63=0,$MU63=""),0,IF(COUNTIF(INDEX($ED$2:$EH$13,$LY63,0),$MU63)=0,1,0))</f>
        <v/>
      </c>
      <c r="NJ63" s="152">
        <f>IF(OR($MZ63=0,$MV63=""),0,IF(COUNTIF(INDEX($ED$2:$EH$13,$LY63,0),$MV63)=0,1,0))</f>
        <v/>
      </c>
      <c r="NK63" s="152">
        <f>IF(OR($NA63=0,$MW63=""),0,IF(COUNTIF(INDEX($ED$2:$EH$13,$LY63,0),$MW63)=0,1,0))</f>
        <v/>
      </c>
      <c r="NL63" s="152">
        <f>IF(OR($NB63=0,$MX63=""),0,IF(COUNTIF(INDEX($ED$2:$EH$13,$LY63,0),$MX63)=0,1,0))</f>
        <v/>
      </c>
      <c r="NM63" s="152">
        <f>IFERROR(VLOOKUP($MH63,$AV$2:$AZ$84,4,FALSE),0)+IFERROR(VLOOKUP($MI63,$AV$2:$AZ$84,4,FALSE),0)+IFERROR(VLOOKUP($MJ63,$AV$2:$AZ$84,4,FALSE),0)+IFERROR(VLOOKUP($MK63,$AV$2:$AZ$84,4,FALSE),0)</f>
        <v/>
      </c>
      <c r="NN63" s="152">
        <f>TEXTJOIN(", ",TRUE,IF(IFERROR(VLOOKUP($MH63,$AV$2:$AZ$84,5,FALSE),0)=1,$MH63,""),IF(IFERROR(VLOOKUP($MI63,$AV$2:$AZ$84,5,FALSE),0)=1,$MI63,""),IF(IFERROR(VLOOKUP($MJ63,$AV$2:$AZ$84,5,FALSE),0)=1,$MJ63,""),IF(IFERROR(VLOOKUP($MK63,$AV$2:$AZ$84,5,FALSE),0)=1,$MK63,""))</f>
        <v/>
      </c>
      <c r="NO63" s="152">
        <f>IF($MT63=0,0,INDEX($Y$2:$Y$11,$MT63))</f>
        <v/>
      </c>
      <c r="NP63" s="152">
        <f>IF($MT63=0,0,INDEX($Z$2:$Z$11,$MT63))</f>
        <v/>
      </c>
      <c r="NQ63" s="152">
        <f>IF($MT63=0,0,INDEX($AB$2:$AB$11,$MT63))</f>
        <v/>
      </c>
      <c r="NR63" s="152">
        <f>IFERROR(VLOOKUP($ML63,$BB$2:$BF$24,3,FALSE),0)</f>
        <v/>
      </c>
      <c r="NS63" s="152">
        <f>IFERROR(VLOOKUP($MM63,$BB$2:$BF$24,3,FALSE),0)</f>
        <v/>
      </c>
      <c r="NT63" s="152">
        <f>IFERROR(VLOOKUP($ML63,$BB$2:$BF$24,2,FALSE),"")</f>
        <v/>
      </c>
      <c r="NU63" s="152">
        <f>IFERROR(VLOOKUP($MM63,$BB$2:$BF$24,2,FALSE),"")</f>
        <v/>
      </c>
      <c r="NV63" s="152">
        <f>COUNTIF($NC63:$NG63,1)</f>
        <v/>
      </c>
      <c r="NW63" s="152">
        <f>COUNTIF($NC63:$NG63,2)</f>
        <v/>
      </c>
      <c r="NX63" s="152">
        <f>COUNTIF($NC63:$NG63,3)</f>
        <v/>
      </c>
      <c r="NY63" s="152">
        <f>COUNTIF($NC63:$NG63,4)</f>
        <v/>
      </c>
      <c r="NZ63" s="152">
        <f>COUNTIF($NC63:$NG63,5)</f>
        <v/>
      </c>
      <c r="OA63" s="152">
        <f>COUNTIF($NC63:$NG63,6)</f>
        <v/>
      </c>
      <c r="OB63" s="152">
        <f>COUNTIF($NR63:$NS63,1)</f>
        <v/>
      </c>
      <c r="OC63" s="152">
        <f>COUNTIF($NR63:$NS63,2)+$NO63</f>
        <v/>
      </c>
      <c r="OD63" s="152">
        <f>COUNTIF($MH63:$MK63,"?*")</f>
        <v/>
      </c>
      <c r="OE63" s="152">
        <f>COUNTIF($ML63:$MM63,"?*")+$NO63</f>
        <v/>
      </c>
      <c r="OF63" s="152">
        <f>IF($MC63=0,0,SUMPRODUCT($NV63:$OA63,INDEX($I$2:$N$8,MAX(1,$MC63),0)))</f>
        <v/>
      </c>
      <c r="OG63" s="152">
        <f>IF($MC63=0,0,$OB63*CEILING($MC63/2,1)+$OC63*$MC63)</f>
        <v/>
      </c>
      <c r="OH63" s="152">
        <f>MIN(2*$MC63,$OG63)</f>
        <v/>
      </c>
      <c r="OI63" s="152">
        <f>MIN($OH63,$OF63)</f>
        <v/>
      </c>
      <c r="OJ63" s="152">
        <f>$OH63-$OI63</f>
        <v/>
      </c>
      <c r="OK63" s="152">
        <f>IF($MC63=0,0,INDEX($P$2:$P$8,MAX(1,$MC63)))</f>
        <v/>
      </c>
      <c r="OL63" s="152">
        <f>$OK63-$OF63+$OI63</f>
        <v/>
      </c>
      <c r="OM63" s="152">
        <f>IF($MC63=0,MAX(0,$MQ63-IF($OD63&gt;0,1,0)),MAX(0,$OL63))</f>
        <v/>
      </c>
      <c r="ON63" s="152">
        <f>IF($MC63=0,0,(IF(COUNTIF($MH63:$MK63,"Salto")&gt;0,1,0)+IF(COUNTIF($MH63:$MK63,"Queima")&gt;0,1,0)+IF(COUNTIF($MH63:$MK63,"Estilhaço")&gt;0,1,0))*FLOOR($OM63/2,1))</f>
        <v/>
      </c>
      <c r="OO63" s="152">
        <f>MAX(0,2-SUMPRODUCT($NV63:$OA63,$I$2:$N$2)+MIN(2,$OB63*1+$OC63*1,SUMPRODUCT($NV63:$OA63,$I$2:$N$2)))</f>
        <v/>
      </c>
      <c r="OP63" s="152">
        <f>MAX(0,4-SUMPRODUCT($NV63:$OA63,$I$3:$N$3)+MIN(4,$OB63*1+$OC63*2,SUMPRODUCT($NV63:$OA63,$I$3:$N$3)))</f>
        <v/>
      </c>
      <c r="OQ63" s="152">
        <f>MAX(0,6-SUMPRODUCT($NV63:$OA63,$I$4:$N$4)+MIN(6,$OB63*2+$OC63*3,SUMPRODUCT($NV63:$OA63,$I$4:$N$4)))</f>
        <v/>
      </c>
      <c r="OR63" s="152">
        <f>MAX(0,9-SUMPRODUCT($NV63:$OA63,$I$5:$N$5)+MIN(8,$OB63*2+$OC63*4,SUMPRODUCT($NV63:$OA63,$I$5:$N$5)))</f>
        <v/>
      </c>
      <c r="OS63" s="152">
        <f>MAX(0,11-SUMPRODUCT($NV63:$OA63,$I$6:$N$6)+MIN(10,$OB63*3+$OC63*5,SUMPRODUCT($NV63:$OA63,$I$6:$N$6)))</f>
        <v/>
      </c>
      <c r="OT63" s="152">
        <f>MAX(0,13-SUMPRODUCT($NV63:$OA63,$I$7:$N$7)+MIN(12,$OB63*3+$OC63*6,SUMPRODUCT($NV63:$OA63,$I$7:$N$7)))</f>
        <v/>
      </c>
      <c r="OU63" s="152">
        <f>MAX(0,16-SUMPRODUCT($NV63:$OA63,$I$8:$N$8)+MIN(14,$OB63*4+$OC63*7,SUMPRODUCT($NV63:$OA63,$I$8:$N$8)))</f>
        <v/>
      </c>
      <c r="OV63" s="152">
        <f>IF($NP63=2,3*$OO63&amp;" de vida temp.",IF($NP63=3,"sem dano",IF($OO63=0,IF($NP63=1,"sem cura","sem dano"),IF($NP63=1,"cura ","")&amp;$OO63&amp;"d8")))</f>
        <v/>
      </c>
      <c r="OW63" s="152">
        <f>IF($NP63=2,3*$OP63&amp;" de vida temp.",IF($NP63=3,"sem dano",IF($OP63=0,IF($NP63=1,"sem cura","sem dano"),IF($NP63=1,"cura ","")&amp;$OP63&amp;"d8")))</f>
        <v/>
      </c>
      <c r="OX63" s="152">
        <f>IF($NP63=2,3*$OQ63&amp;" de vida temp.",IF($NP63=3,"sem dano",IF($OQ63=0,IF($NP63=1,"sem cura","sem dano"),IF($NP63=1,"cura ","")&amp;$OQ63&amp;"d8")))</f>
        <v/>
      </c>
      <c r="OY63" s="152">
        <f>IF($NP63=2,3*$OR63&amp;" de vida temp.",IF($NP63=3,"sem dano",IF($OR63=0,IF($NP63=1,"sem cura","sem dano"),IF($NP63=1,"cura ","")&amp;$OR63&amp;"d8")))</f>
        <v/>
      </c>
      <c r="OZ63" s="152">
        <f>IF($NP63=2,3*$OS63&amp;" de vida temp.",IF($NP63=3,"sem dano",IF($OS63=0,IF($NP63=1,"sem cura","sem dano"),IF($NP63=1,"cura ","")&amp;$OS63&amp;"d8")))</f>
        <v/>
      </c>
      <c r="PA63" s="152">
        <f>IF($NP63=2,3*$OT63&amp;" de vida temp.",IF($NP63=3,"sem dano",IF($OT63=0,IF($NP63=1,"sem cura","sem dano"),IF($NP63=1,"cura ","")&amp;$OT63&amp;"d8")))</f>
        <v/>
      </c>
      <c r="PB63" s="152">
        <f>IF($NP63=2,3*$OU63&amp;" de vida temp.",IF($NP63=3,"sem dano",IF($OU63=0,IF($NP63=1,"sem cura","sem dano"),IF($NP63=1,"cura ","")&amp;$OU63&amp;"d8")))</f>
        <v/>
      </c>
      <c r="PC63" s="152">
        <f>IF($MN63=0,"",TEXTJOIN(" · ",TRUE,IF($MA63&gt;$MO63,"Este lugar abre no nível "&amp;$MA63,""),IF($MC63&gt;$MP63,"Classe "&amp;$MC63&amp;": o nível "&amp;$MO63&amp;" libera até a "&amp;$MP63,""),IF($NH63=1,"A Forma "&amp;$ME63&amp;" pede "&amp;INDEX($W$2:$W$11,$MT63)&amp;" aberta",""),IF(AND($MC63=0,$MT63&gt;0,IF($MT63=0,0,INDEX($AF$2:$AF$11,$MT63))=0),$ME63&amp;" não existe na Classe 0",""),IF($NI63=1,"Família Fechada: "&amp;$MH63,""),IF($NJ63=1,"Família Fechada: "&amp;$MI63,""),IF($NK63=1,"Família Fechada: "&amp;$MJ63,""),IF($NL63=1,"Família Fechada: "&amp;$MK63,""),IF(AND($MC63&gt;0,$OD63&gt;INDEX($O$2:$O$8,MAX(1,$MC63))),$OD63&amp;" Melhorias: a Classe "&amp;$MC63&amp;" aceita "&amp;INDEX($O$2:$O$8,MAX(1,$MC63)),""),IF(AND($MC63=0,$OD63&gt;1),"A básica aceita uma Melhoria",""),IF(AND($MC63=0,COUNTIF($MY63:$NB63,"&gt;1")&gt;0),"A básica só aceita Melhoria Leve",""),IF(AND($MC63&gt;0,$OE63&gt;2),$OE63&amp;" Restrições"&amp;IF($NO63=1,", contando a que a Forma "&amp;$ME63&amp;" já traz","")&amp;": o limite é 2",""),IF(AND($MC63=0,COUNTIF($ML63:$MM63,"?*")&gt;1),"A básica aceita uma Restrição Leve",""),IF(AND($MC63=0,COUNTIF($NR63:$NS63,2)&gt;0),"A básica só aceita Restrição Leve",""),IF(AND($MC63&gt;0,$OL63&lt;0),"Orçamento estourado: faltam "&amp;(-$OL63)&amp;IF($OL63&lt;-1," pontos"," ponto"),""),IF(IFERROR(VLOOKUP($ML63,$BB$2:$BF$24,4,FALSE),0)+IFERROR(VLOOKUP($MM63,$BB$2:$BF$24,4,FALSE),0)&gt;1,$NT63&amp;" e "&amp;$NU63&amp;" são as duas de frequência",""),IF(AND((COUNTIF($MH63:$MK63,"Rápido")+COUNTIF($NT63:$NU63,"Rápido"))&gt;0,(COUNTIF($MH63:$MK63,"Atrasar")+COUNTIF($NT63:$NU63,"Atrasar"))&gt;0),"Rápido não entra com Atrasar",""),IF(AND((COUNTIF($MH63:$MK63,"Reação")+COUNTIF($NT63:$NU63,"Reação"))&gt;0,(COUNTIF($MH63:$MK63,"Rápido")+COUNTIF($NT63:$NU63,"Rápido"))&gt;0),"Reação não entra com Rápido",""),IF(AND((COUNTIF($MH63:$MK63,"Reação")+COUNTIF($NT63:$NU63,"Reação"))&gt;0,(COUNTIF($MH63:$MK63,"Armado")+COUNTIF($NT63:$NU63,"Armado"))&gt;0),"Reação não entra com Armado",""),IF(AND((COUNTIF($MH63:$MK63,"Reação")+COUNTIF($NT63:$NU63,"Reação"))&gt;0,(COUNTIF($MH63:$MK63,"Atrasar")+COUNTIF($NT63:$NU63,"Atrasar"))&gt;0),"Reação não entra com Atrasar",""),IF(AND((COUNTIF($MH63:$MK63,"Reação")+COUNTIF($NT63:$NU63,"Reação"))&gt;0,(COUNTIF($MH63:$MK63,"Parado")+COUNTIF($NT63:$NU63,"Parado"))&gt;0),"Reação não entra com Parado",""),IF(AND((COUNTIF($MH63:$MK63,"Atrasar")+COUNTIF($NT63:$NU63,"Atrasar"))&gt;0,(COUNTIF($MH63:$MK63,"Parado")+COUNTIF($NT63:$NU63,"Parado"))&gt;0),"Atrasar não entra com Parado",""),IF(AND((COUNTIF($MH63:$MK63,"Armado")+COUNTIF($NT63:$NU63,"Armado"))&gt;0,(COUNTIF($MH63:$MK63,"Carregar")+COUNTIF($NT63:$NU63,"Carregar"))&gt;0),"Armado não entra com Carregar",""),IF(AND(COUNTIF($NT63:$NU63,"Corpo a Corpo")&gt;0,$NO63=0,OR($ME63="Cone",$ME63="Linha")),"Corpo a Corpo não entra em "&amp;$ME63,""),IF(AND(COUNTIF($NT63:$NU63,"Corpo a Corpo")&gt;0,$NO63=1),"A Forma "&amp;$ME63&amp;" já traz o Corpo a Corpo",""),IF(AND(COUNTIF($NT63:$NU63,"Tudo ou Nada")&gt;0,$NQ63=0),"Tudo ou Nada só entra em habilidade de Teste de Resistência",""),IF(AND(COUNTIF($MH63:$MK63,"Inescapável")&gt;0,OR($OD63&gt;1,$OE63&gt;0)),"Inescapável não aceita outra peça",""),IF(AND($MC63&gt;0,$OM63*IF(COUNTIF($MH63:$MK63,"Remate")&gt;0,1.25,1)+$ON63&gt;4*$MC63),($OM63*IF(COUNTIF($MH63:$MK63,"Remate")&gt;0,1.25,1)+$ON63)&amp;" dados somando repetições"&amp;IF(COUNTIF($MH63:$MK63,"Remate")&gt;0," e o Remate","")&amp;": o teto da Classe "&amp;$MC63&amp;" é "&amp;4*$MC63,"")))</f>
        <v/>
      </c>
      <c r="PD63" s="152">
        <f>IF($PC63="",0,(LEN($PC63)-LEN(SUBSTITUTE($PC63," · ","")))/3+1)</f>
        <v/>
      </c>
      <c r="PE63" s="152">
        <f>IF($MN63=0,"",TEXTJOIN(" · ",TRUE,IF($OG63&gt;2*$MC63,"A devolução parou no teto de "&amp;2*$MC63,""),IF($OJ63&gt;0,"Devolução perdida: "&amp;$OJ63&amp;IF($OJ63&gt;1," pontos"," ponto")&amp;" sem peça para pagar",""),IF(AND($NM63&gt;0,AND($MC63&gt;0,$NP63=0),$OM63=0),"Controle sem dano: uma rodada a mais e CD +2",""),IF(AND($NM63&gt;0,AND($MC63&gt;0,$NP63=0),$OM63&gt;0,$OM63&lt;=$MC63),"Controle com saldo até a Classe: uma rodada a mais",""),IF(AND($MC63&gt;0,$NN63&lt;&gt;""),"Efeito de "&amp;$NN63&amp;" pela Classe "&amp;MAX(1,$MC63-1),"")))</f>
        <v/>
      </c>
      <c r="PF63" s="152">
        <f>IF($PE63="",0,(LEN($PE63)-LEN(SUBSTITUTE($PE63," · ","")))/3+1)</f>
        <v/>
      </c>
      <c r="PG63" s="152">
        <f>IF($MN63=0,IF($OD63+COUNTIF($ML63:$MM63,"?*")&gt;0,"Dê um nome",""),IF($PD63&gt;0,"⚠ "&amp;$PD63&amp;IF($PD63&gt;1," erros"," erro"),IF($PF63&gt;0,"! "&amp;$PF63&amp;IF($PF63&gt;1," avisos"," aviso"),"Na regra")))</f>
        <v/>
      </c>
      <c r="PH63" s="152">
        <f>IF($MN63=0,"",IF($PD63+$PF63=0,"Dentro das regras que a ficha confere",$PC63&amp;IF(AND($PD63&gt;0,$PF63&gt;0)," · ","")&amp;$PE63))</f>
        <v/>
      </c>
      <c r="PI63" s="152">
        <f>IF($MA63&gt;$MO63,$MB63&amp;" · ABRE NO NÍVEL "&amp;$MA63,$MB63)</f>
        <v/>
      </c>
      <c r="PJ63" s="152">
        <f>IF($MN63=0,"",IF($MC63=0,"Sem PE",3*$MC63&amp;" PE"))</f>
        <v/>
      </c>
      <c r="PK63" s="152">
        <f>IF($MN63=0,"",IF($MC63=0,"A atuação básica dela",IF(COUNTIF($NT63:$NU63,"Atrasar")&gt;0,"Sua Ação Completa",IF(COUNTIF($MH63:$MK63,"Rápido")&gt;0,"Sua Bônus",IF(COUNTIF($MH63:$MK63,"Reação")&gt;0,"Sua Reação","Sua Padrão")))&amp;" + a básica dela"&amp;IF(COUNTIF($MH63:$MK63,"Reação")&gt;0," e a coletiva","")&amp;IF(COUNTIF($NT63:$NU63,"Carregar")&gt;0," · em dois turnos","")))</f>
        <v/>
      </c>
      <c r="PL63" s="152">
        <f>IF($MG63&lt;&gt;"",$MG63,IF($MT63=0,"",INDEX($AA$2:$AA$11,$MT63)))</f>
        <v/>
      </c>
      <c r="PM63" s="152">
        <f>IF(OR($MN63=0,$MT63=0),"",IF(COUNTIF($MH63:$MK63,"Inescapável")&gt;0,"Automático",IF($PL63="Ataque",IF($MR63="","Ataque","Ataque "&amp;IF(($MR63+2*IF(COUNTIF($MH63:$MK63,"Precisão")&gt;0,1,0))&gt;=0,"+","−")&amp;ABS(($MR63+2*IF(COUNTIF($MH63:$MK63,"Precisão")&gt;0,1,0)))),IF(LEFT($PL63,2)="TR",$PL63&amp;IF($MS63="",""," · CD "&amp;$MS63)&amp;IF(COUNTIF($MH63:$MK63,"Certeiro")&gt;0," · metade",""),"Sem rolagem"))))</f>
        <v/>
      </c>
      <c r="PN63" s="152">
        <f>IF(OR($MN63=0,$MT63=0),"",IF($MC63=0,IF(OR($NP63&gt;=1,$OM63=0),"Sem dano",$OM63&amp;"d6"&amp;IF($MF63="",""," "&amp;$MF63)),IF(OR($NP63&gt;=1,$OM63=0),UPPER(LEFT(INDEX($OV63:$PB63,1,MAX(1,$MC63)),1))&amp;MID(INDEX($OV63:$PB63,1,MAX(1,$MC63)),2,99),UPPER(LEFT(INDEX($OV63:$PB63,1,MAX(1,$MC63)),1))&amp;MID(INDEX($OV63:$PB63,1,MAX(1,$MC63)),2,99)&amp;IF($MF63="",""," "&amp;$MF63)&amp;IF($ON63&gt;0," · +"&amp;$ON63&amp;"d8",""))))</f>
        <v/>
      </c>
      <c r="PO63" s="152">
        <f>COUNTIF($MH63:$MK63,"Longe")+3*COUNTIF($MH63:$MK63,"Muito Longe")</f>
        <v/>
      </c>
      <c r="PP63" s="152">
        <f>COUNTIF($MH63:$MK63,"Maior")+3*COUNTIF($MH63:$MK63,"Muito Maior")</f>
        <v/>
      </c>
      <c r="PQ63" s="152">
        <f>IF($MT63=0,0,CHOOSE(1+INDEX($AC$2:$AC$11,$MT63),0,$PO63,$PP63,$PO63+$PP63))</f>
        <v/>
      </c>
      <c r="PR63" s="152">
        <f>IF($MT63=0,0,CHOOSE(1+INDEX($AD$2:$AD$11,$MT63),0,$PO63,$PP63,$PO63+$PP63))</f>
        <v/>
      </c>
      <c r="PS63" s="152">
        <f>IF(OR($MN63=0,$MT63=0),"",INDEX($AI$2:$AN$41,($MT63-1)*4+IF($MC63=0,1,IF($MC63&lt;=5,2,IF($MC63=6,3,4))),1+MIN(5,$PQ63))&amp;INDEX($AO$2:$AT$41,($MT63-1)*4+IF($MC63=0,1,IF($MC63&lt;=5,2,IF($MC63=6,3,4))),1+MIN(5,$PR63))&amp;IF(INDEX($AE$2:$AE$11,$MT63)=1,IF(COUNTIF($MH63:$MK63,"Mais Um")&gt;0," · +"&amp;COUNTIF($MH63:$MK63,"Mais Um")&amp;IF(COUNTIF($MH63:$MK63,"Mais Um")&gt;1," alvos"," alvo"),"")&amp;IF(COUNTIF($MH63:$MK63,"Rajada")&gt;0,IF($MC63=0," · 1 tiro"," · "&amp;(MAX(1,$MC63-1)+1)&amp;" tiros"),""),""))</f>
        <v/>
      </c>
      <c r="PT63" s="152">
        <f>IF($MN63=0,"",IF($MC63=0,$MQ63&amp;"d6"&amp;IF($OD63&gt;0," − 1 = "&amp;$OM63&amp;"d6"," da básica do nível "&amp;$MO63),$OK63&amp;" − "&amp;$OF63&amp;" + "&amp;$OI63&amp;" = "&amp;$OL63&amp;" · teto "&amp;4*$MC63&amp;"d8"&amp;IF($NO63=1," · a Forma devolve "&amp;$MC63,"")&amp;IF($OJ63&gt;0," · perde "&amp;$OJ63,"")))</f>
        <v/>
      </c>
      <c r="PU63" s="152">
        <f>IF($MN63=0,"",IF($MC63=0,"A básica não amplia: os dados dela sobem com o nível",IF($MC63&gt;=$MP63,"Já está na maior Classe que o nível liberou",TEXTJOIN(" · ",TRUE,IF(AND(2&gt;$MC63,2&lt;=$MP63),"2 → "&amp;$OW63&amp;", 6 PE",""),IF(AND(3&gt;$MC63,3&lt;=$MP63),"3 → "&amp;$OX63&amp;", 9 PE",""),IF(AND(4&gt;$MC63,4&lt;=$MP63),"4 → "&amp;$OY63&amp;", 12 PE",""),IF(AND(5&gt;$MC63,5&lt;=$MP63),"5 → "&amp;$OZ63&amp;", 15 PE",""),IF(AND(6&gt;$MC63,6&lt;=$MP63),"6 → "&amp;$PA63&amp;", 18 PE",""),IF(AND(7&gt;$MC63,7&lt;=$MP63),"7 → "&amp;$PB63&amp;", 21 PE","")))))</f>
        <v/>
      </c>
      <c r="PV63" s="152">
        <f>IF(OR($MN63=0,$MY63=0),"",IF($MC63=0,"−1 dado","−"&amp;INDEX($I$2:$N$8,MAX(1,$MC63),MAX(1,$ND63))&amp;" · "&amp;CHOOSE(MAX(1,$ND63),"Leve","Média","Pesada","Leve · Livre","Média · Livre","Pesada · Livre")))</f>
        <v/>
      </c>
      <c r="PW63" s="152">
        <f>IF(OR($MN63=0,$MZ63=0),"",IF($MC63=0,"−1 dado","−"&amp;INDEX($I$2:$N$8,MAX(1,$MC63),MAX(1,$NE63))&amp;" · "&amp;CHOOSE(MAX(1,$NE63),"Leve","Média","Pesada","Leve · Livre","Média · Livre","Pesada · Livre")))</f>
        <v/>
      </c>
      <c r="PX63" s="152">
        <f>IF(OR($MN63=0,$NA63=0),"",IF($MC63=0,"−1 dado","−"&amp;INDEX($I$2:$N$8,MAX(1,$MC63),MAX(1,$NF63))&amp;" · "&amp;CHOOSE(MAX(1,$NF63),"Leve","Média","Pesada","Leve · Livre","Média · Livre","Pesada · Livre")))</f>
        <v/>
      </c>
      <c r="PY63" s="152">
        <f>IF(OR($MN63=0,$NB63=0),"",IF($MC63=0,"−1 dado","−"&amp;INDEX($I$2:$N$8,MAX(1,$MC63),MAX(1,$NG63))&amp;" · "&amp;CHOOSE(MAX(1,$NG63),"Leve","Média","Pesada","Leve · Livre","Média · Livre","Pesada · Livre")))</f>
        <v/>
      </c>
      <c r="PZ63" s="152">
        <f>IF(OR($MN63=0,$ML63=""),"",IF($MC63=0,"não devolve","+"&amp;IF($NR63=1,CEILING($MC63/2,1),$MC63)))</f>
        <v/>
      </c>
      <c r="QA63" s="152">
        <f>IF(OR($MN63=0,$MM63=""),"",IF($MC63=0,"não devolve","+"&amp;IF($NS63=1,CEILING($MC63/2,1),$MC63)))</f>
        <v/>
      </c>
    </row>
    <row r="64">
      <c r="AV64" s="150" t="inlineStr">
        <is>
          <t>Adianta</t>
        </is>
      </c>
      <c r="AW64" s="150" t="inlineStr">
        <is>
          <t>Tempo</t>
        </is>
      </c>
      <c r="AX64" s="152" t="n">
        <v>2</v>
      </c>
      <c r="AY64" s="152" t="n">
        <v>0</v>
      </c>
      <c r="AZ64" s="152" t="n">
        <v>0</v>
      </c>
      <c r="JD64" s="152">
        <f>IF(OR($AW64="",COUNTIF($ED$2:$EH$2,$AW64)&gt;0),$AV64,"")</f>
        <v/>
      </c>
      <c r="JE64" s="152">
        <f>IF(AND($AX64=1,OR($AW64="",COUNTIF($ED$2:$EH$2,$AW64)&gt;0)),$AV64,"")</f>
        <v/>
      </c>
      <c r="JJ64" s="152">
        <f>IF(OR($AW64="",COUNTIF($ED$3:$EH$3,$AW64)&gt;0),$AV64,"")</f>
        <v/>
      </c>
      <c r="JK64" s="152">
        <f>IF(AND($AX64=1,OR($AW64="",COUNTIF($ED$3:$EH$3,$AW64)&gt;0)),$AV64,"")</f>
        <v/>
      </c>
      <c r="JP64" s="152">
        <f>IF(OR($AW64="",COUNTIF($ED$4:$EH$4,$AW64)&gt;0),$AV64,"")</f>
        <v/>
      </c>
      <c r="JQ64" s="152">
        <f>IF(AND($AX64=1,OR($AW64="",COUNTIF($ED$4:$EH$4,$AW64)&gt;0)),$AV64,"")</f>
        <v/>
      </c>
      <c r="JV64" s="152">
        <f>IF(OR($AW64="",COUNTIF($ED$5:$EH$5,$AW64)&gt;0),$AV64,"")</f>
        <v/>
      </c>
      <c r="JW64" s="152">
        <f>IF(AND($AX64=1,OR($AW64="",COUNTIF($ED$5:$EH$5,$AW64)&gt;0)),$AV64,"")</f>
        <v/>
      </c>
      <c r="KB64" s="152">
        <f>IF(OR($AW64="",COUNTIF($ED$6:$EH$6,$AW64)&gt;0),$AV64,"")</f>
        <v/>
      </c>
      <c r="KC64" s="152">
        <f>IF(AND($AX64=1,OR($AW64="",COUNTIF($ED$6:$EH$6,$AW64)&gt;0)),$AV64,"")</f>
        <v/>
      </c>
      <c r="KH64" s="152">
        <f>IF(OR($AW64="",COUNTIF($ED$7:$EH$7,$AW64)&gt;0),$AV64,"")</f>
        <v/>
      </c>
      <c r="KI64" s="152">
        <f>IF(AND($AX64=1,OR($AW64="",COUNTIF($ED$7:$EH$7,$AW64)&gt;0)),$AV64,"")</f>
        <v/>
      </c>
      <c r="KN64" s="152">
        <f>IF(OR($AW64="",COUNTIF($ED$8:$EH$8,$AW64)&gt;0),$AV64,"")</f>
        <v/>
      </c>
      <c r="KO64" s="152">
        <f>IF(AND($AX64=1,OR($AW64="",COUNTIF($ED$8:$EH$8,$AW64)&gt;0)),$AV64,"")</f>
        <v/>
      </c>
      <c r="KT64" s="152">
        <f>IF(OR($AW64="",COUNTIF($ED$9:$EH$9,$AW64)&gt;0),$AV64,"")</f>
        <v/>
      </c>
      <c r="KU64" s="152">
        <f>IF(AND($AX64=1,OR($AW64="",COUNTIF($ED$9:$EH$9,$AW64)&gt;0)),$AV64,"")</f>
        <v/>
      </c>
      <c r="KZ64" s="152">
        <f>IF(OR($AW64="",COUNTIF($ED$10:$EH$10,$AW64)&gt;0),$AV64,"")</f>
        <v/>
      </c>
      <c r="LA64" s="152">
        <f>IF(AND($AX64=1,OR($AW64="",COUNTIF($ED$10:$EH$10,$AW64)&gt;0)),$AV64,"")</f>
        <v/>
      </c>
      <c r="LF64" s="152">
        <f>IF(OR($AW64="",COUNTIF($ED$11:$EH$11,$AW64)&gt;0),$AV64,"")</f>
        <v/>
      </c>
      <c r="LG64" s="152">
        <f>IF(AND($AX64=1,OR($AW64="",COUNTIF($ED$11:$EH$11,$AW64)&gt;0)),$AV64,"")</f>
        <v/>
      </c>
      <c r="LL64" s="152">
        <f>IF(OR($AW64="",COUNTIF($ED$12:$EH$12,$AW64)&gt;0),$AV64,"")</f>
        <v/>
      </c>
      <c r="LM64" s="152">
        <f>IF(AND($AX64=1,OR($AW64="",COUNTIF($ED$12:$EH$12,$AW64)&gt;0)),$AV64,"")</f>
        <v/>
      </c>
      <c r="LR64" s="152">
        <f>IF(OR($AW64="",COUNTIF($ED$13:$EH$13,$AW64)&gt;0),$AV64,"")</f>
        <v/>
      </c>
      <c r="LS64" s="152">
        <f>IF(AND($AX64=1,OR($AW64="",COUNTIF($ED$13:$EH$13,$AW64)&gt;0)),$AV64,"")</f>
        <v/>
      </c>
      <c r="LX64" s="150" t="inlineStr">
        <is>
          <t>Ficha 5 · Escolha da trilha 1</t>
        </is>
      </c>
      <c r="LY64" s="152" t="n">
        <v>5</v>
      </c>
      <c r="LZ64" s="152" t="n">
        <v>2</v>
      </c>
      <c r="MA64" s="152" t="n">
        <v>0</v>
      </c>
      <c r="MB64" s="150" t="inlineStr">
        <is>
          <t>ESCOLHA DA TRILHA 1</t>
        </is>
      </c>
      <c r="MC64" s="152">
        <f>MAX(0,MIN(7,N('INVOCAÇÕES'!$I$952)))</f>
        <v/>
      </c>
      <c r="MD64" s="152">
        <f>'INVOCAÇÕES'!$J$952&amp;""</f>
        <v/>
      </c>
      <c r="ME64" s="152">
        <f>'INVOCAÇÕES'!$I$957&amp;""</f>
        <v/>
      </c>
      <c r="MF64" s="152">
        <f>'INVOCAÇÕES'!$I$958&amp;""</f>
        <v/>
      </c>
      <c r="MG64" s="152">
        <f>'INVOCAÇÕES'!$K$958&amp;""</f>
        <v/>
      </c>
      <c r="MH64" s="152">
        <f>'INVOCAÇÕES'!$J$961&amp;""</f>
        <v/>
      </c>
      <c r="MI64" s="152">
        <f>'INVOCAÇÕES'!$J$962&amp;""</f>
        <v/>
      </c>
      <c r="MJ64" s="152">
        <f>'INVOCAÇÕES'!$J$963&amp;""</f>
        <v/>
      </c>
      <c r="MK64" s="152">
        <f>'INVOCAÇÕES'!$J$964&amp;""</f>
        <v/>
      </c>
      <c r="ML64" s="152">
        <f>'INVOCAÇÕES'!$J$965&amp;""</f>
        <v/>
      </c>
      <c r="MM64" s="152">
        <f>'INVOCAÇÕES'!$J$966&amp;""</f>
        <v/>
      </c>
      <c r="MN64" s="152">
        <f>IF($MD64&lt;&gt;"",1,0)</f>
        <v/>
      </c>
      <c r="MO64" s="152">
        <f>INDEX($FG$2:$FG$13,$LY64)</f>
        <v/>
      </c>
      <c r="MP64" s="152">
        <f>INDEX($FH$2:$FH$13,$LY64)</f>
        <v/>
      </c>
      <c r="MQ64" s="152">
        <f>INDEX($FI$2:$FI$13,$LY64)</f>
        <v/>
      </c>
      <c r="MR64" s="152">
        <f>INDEX($FT$2:$FT$13,$LY64)</f>
        <v/>
      </c>
      <c r="MS64" s="152">
        <f>INDEX($FU$2:$FU$13,$LY64)</f>
        <v/>
      </c>
      <c r="MT64" s="152">
        <f>IFERROR(MATCH($ME64,$V$2:$V$11,0),0)</f>
        <v/>
      </c>
      <c r="MU64" s="152">
        <f>IFERROR(VLOOKUP($MH64,$AV$2:$AZ$84,2,FALSE),"")</f>
        <v/>
      </c>
      <c r="MV64" s="152">
        <f>IFERROR(VLOOKUP($MI64,$AV$2:$AZ$84,2,FALSE),"")</f>
        <v/>
      </c>
      <c r="MW64" s="152">
        <f>IFERROR(VLOOKUP($MJ64,$AV$2:$AZ$84,2,FALSE),"")</f>
        <v/>
      </c>
      <c r="MX64" s="152">
        <f>IFERROR(VLOOKUP($MK64,$AV$2:$AZ$84,2,FALSE),"")</f>
        <v/>
      </c>
      <c r="MY64" s="152">
        <f>IFERROR(VLOOKUP($MH64,$AV$2:$AZ$84,3,FALSE),0)</f>
        <v/>
      </c>
      <c r="MZ64" s="152">
        <f>IFERROR(VLOOKUP($MI64,$AV$2:$AZ$84,3,FALSE),0)</f>
        <v/>
      </c>
      <c r="NA64" s="152">
        <f>IFERROR(VLOOKUP($MJ64,$AV$2:$AZ$84,3,FALSE),0)</f>
        <v/>
      </c>
      <c r="NB64" s="152">
        <f>IFERROR(VLOOKUP($MK64,$AV$2:$AZ$84,3,FALSE),0)</f>
        <v/>
      </c>
      <c r="NC64" s="152">
        <f>IF($MC64=0,0,IF($MT64=0,0,INDEX($X$2:$X$11,$MT64)))</f>
        <v/>
      </c>
      <c r="ND64" s="152">
        <f>IF(OR($MY64=0,$MC64=0),0,$MY64+3*IF(AND($MU64&lt;&gt;"",OR($MU64=INDEX($ED$2:$ED$13,$LY64),$MU64=INDEX($EE$2:$EE$13,$LY64))),1,0))</f>
        <v/>
      </c>
      <c r="NE64" s="152">
        <f>IF(OR($MZ64=0,$MC64=0),0,$MZ64+3*IF(AND($MV64&lt;&gt;"",OR($MV64=INDEX($ED$2:$ED$13,$LY64),$MV64=INDEX($EE$2:$EE$13,$LY64))),1,0))</f>
        <v/>
      </c>
      <c r="NF64" s="152">
        <f>IF(OR($NA64=0,$MC64=0),0,$NA64+3*IF(AND($MW64&lt;&gt;"",OR($MW64=INDEX($ED$2:$ED$13,$LY64),$MW64=INDEX($EE$2:$EE$13,$LY64))),1,0))</f>
        <v/>
      </c>
      <c r="NG64" s="152">
        <f>IF(OR($NB64=0,$MC64=0),0,$NB64+3*IF(AND($MX64&lt;&gt;"",OR($MX64=INDEX($ED$2:$ED$13,$LY64),$MX64=INDEX($EE$2:$EE$13,$LY64))),1,0))</f>
        <v/>
      </c>
      <c r="NH64" s="152">
        <f>IF($MT64=0,0,IF(INDEX($W$2:$W$11,$MT64)="",0,IF(COUNTIF(INDEX($ED$2:$EH$13,$LY64,0),INDEX($W$2:$W$11,$MT64))=0,1,0)))</f>
        <v/>
      </c>
      <c r="NI64" s="152">
        <f>IF(OR($MY64=0,$MU64=""),0,IF(COUNTIF(INDEX($ED$2:$EH$13,$LY64,0),$MU64)=0,1,0))</f>
        <v/>
      </c>
      <c r="NJ64" s="152">
        <f>IF(OR($MZ64=0,$MV64=""),0,IF(COUNTIF(INDEX($ED$2:$EH$13,$LY64,0),$MV64)=0,1,0))</f>
        <v/>
      </c>
      <c r="NK64" s="152">
        <f>IF(OR($NA64=0,$MW64=""),0,IF(COUNTIF(INDEX($ED$2:$EH$13,$LY64,0),$MW64)=0,1,0))</f>
        <v/>
      </c>
      <c r="NL64" s="152">
        <f>IF(OR($NB64=0,$MX64=""),0,IF(COUNTIF(INDEX($ED$2:$EH$13,$LY64,0),$MX64)=0,1,0))</f>
        <v/>
      </c>
      <c r="NM64" s="152">
        <f>IFERROR(VLOOKUP($MH64,$AV$2:$AZ$84,4,FALSE),0)+IFERROR(VLOOKUP($MI64,$AV$2:$AZ$84,4,FALSE),0)+IFERROR(VLOOKUP($MJ64,$AV$2:$AZ$84,4,FALSE),0)+IFERROR(VLOOKUP($MK64,$AV$2:$AZ$84,4,FALSE),0)</f>
        <v/>
      </c>
      <c r="NN64" s="152">
        <f>TEXTJOIN(", ",TRUE,IF(IFERROR(VLOOKUP($MH64,$AV$2:$AZ$84,5,FALSE),0)=1,$MH64,""),IF(IFERROR(VLOOKUP($MI64,$AV$2:$AZ$84,5,FALSE),0)=1,$MI64,""),IF(IFERROR(VLOOKUP($MJ64,$AV$2:$AZ$84,5,FALSE),0)=1,$MJ64,""),IF(IFERROR(VLOOKUP($MK64,$AV$2:$AZ$84,5,FALSE),0)=1,$MK64,""))</f>
        <v/>
      </c>
      <c r="NO64" s="152">
        <f>IF($MT64=0,0,INDEX($Y$2:$Y$11,$MT64))</f>
        <v/>
      </c>
      <c r="NP64" s="152">
        <f>IF($MT64=0,0,INDEX($Z$2:$Z$11,$MT64))</f>
        <v/>
      </c>
      <c r="NQ64" s="152">
        <f>IF($MT64=0,0,INDEX($AB$2:$AB$11,$MT64))</f>
        <v/>
      </c>
      <c r="NR64" s="152">
        <f>IFERROR(VLOOKUP($ML64,$BB$2:$BF$24,3,FALSE),0)</f>
        <v/>
      </c>
      <c r="NS64" s="152">
        <f>IFERROR(VLOOKUP($MM64,$BB$2:$BF$24,3,FALSE),0)</f>
        <v/>
      </c>
      <c r="NT64" s="152">
        <f>IFERROR(VLOOKUP($ML64,$BB$2:$BF$24,2,FALSE),"")</f>
        <v/>
      </c>
      <c r="NU64" s="152">
        <f>IFERROR(VLOOKUP($MM64,$BB$2:$BF$24,2,FALSE),"")</f>
        <v/>
      </c>
      <c r="NV64" s="152">
        <f>COUNTIF($NC64:$NG64,1)</f>
        <v/>
      </c>
      <c r="NW64" s="152">
        <f>COUNTIF($NC64:$NG64,2)</f>
        <v/>
      </c>
      <c r="NX64" s="152">
        <f>COUNTIF($NC64:$NG64,3)</f>
        <v/>
      </c>
      <c r="NY64" s="152">
        <f>COUNTIF($NC64:$NG64,4)</f>
        <v/>
      </c>
      <c r="NZ64" s="152">
        <f>COUNTIF($NC64:$NG64,5)</f>
        <v/>
      </c>
      <c r="OA64" s="152">
        <f>COUNTIF($NC64:$NG64,6)</f>
        <v/>
      </c>
      <c r="OB64" s="152">
        <f>COUNTIF($NR64:$NS64,1)</f>
        <v/>
      </c>
      <c r="OC64" s="152">
        <f>COUNTIF($NR64:$NS64,2)+$NO64</f>
        <v/>
      </c>
      <c r="OD64" s="152">
        <f>COUNTIF($MH64:$MK64,"?*")</f>
        <v/>
      </c>
      <c r="OE64" s="152">
        <f>COUNTIF($ML64:$MM64,"?*")+$NO64</f>
        <v/>
      </c>
      <c r="OF64" s="152">
        <f>IF($MC64=0,0,SUMPRODUCT($NV64:$OA64,INDEX($I$2:$N$8,MAX(1,$MC64),0)))</f>
        <v/>
      </c>
      <c r="OG64" s="152">
        <f>IF($MC64=0,0,$OB64*CEILING($MC64/2,1)+$OC64*$MC64)</f>
        <v/>
      </c>
      <c r="OH64" s="152">
        <f>MIN(2*$MC64,$OG64)</f>
        <v/>
      </c>
      <c r="OI64" s="152">
        <f>MIN($OH64,$OF64)</f>
        <v/>
      </c>
      <c r="OJ64" s="152">
        <f>$OH64-$OI64</f>
        <v/>
      </c>
      <c r="OK64" s="152">
        <f>IF($MC64=0,0,INDEX($P$2:$P$8,MAX(1,$MC64)))</f>
        <v/>
      </c>
      <c r="OL64" s="152">
        <f>$OK64-$OF64+$OI64</f>
        <v/>
      </c>
      <c r="OM64" s="152">
        <f>IF($MC64=0,MAX(0,$MQ64-IF($OD64&gt;0,1,0)),MAX(0,$OL64))</f>
        <v/>
      </c>
      <c r="ON64" s="152">
        <f>IF($MC64=0,0,(IF(COUNTIF($MH64:$MK64,"Salto")&gt;0,1,0)+IF(COUNTIF($MH64:$MK64,"Queima")&gt;0,1,0)+IF(COUNTIF($MH64:$MK64,"Estilhaço")&gt;0,1,0))*FLOOR($OM64/2,1))</f>
        <v/>
      </c>
      <c r="OO64" s="152">
        <f>MAX(0,2-SUMPRODUCT($NV64:$OA64,$I$2:$N$2)+MIN(2,$OB64*1+$OC64*1,SUMPRODUCT($NV64:$OA64,$I$2:$N$2)))</f>
        <v/>
      </c>
      <c r="OP64" s="152">
        <f>MAX(0,4-SUMPRODUCT($NV64:$OA64,$I$3:$N$3)+MIN(4,$OB64*1+$OC64*2,SUMPRODUCT($NV64:$OA64,$I$3:$N$3)))</f>
        <v/>
      </c>
      <c r="OQ64" s="152">
        <f>MAX(0,6-SUMPRODUCT($NV64:$OA64,$I$4:$N$4)+MIN(6,$OB64*2+$OC64*3,SUMPRODUCT($NV64:$OA64,$I$4:$N$4)))</f>
        <v/>
      </c>
      <c r="OR64" s="152">
        <f>MAX(0,9-SUMPRODUCT($NV64:$OA64,$I$5:$N$5)+MIN(8,$OB64*2+$OC64*4,SUMPRODUCT($NV64:$OA64,$I$5:$N$5)))</f>
        <v/>
      </c>
      <c r="OS64" s="152">
        <f>MAX(0,11-SUMPRODUCT($NV64:$OA64,$I$6:$N$6)+MIN(10,$OB64*3+$OC64*5,SUMPRODUCT($NV64:$OA64,$I$6:$N$6)))</f>
        <v/>
      </c>
      <c r="OT64" s="152">
        <f>MAX(0,13-SUMPRODUCT($NV64:$OA64,$I$7:$N$7)+MIN(12,$OB64*3+$OC64*6,SUMPRODUCT($NV64:$OA64,$I$7:$N$7)))</f>
        <v/>
      </c>
      <c r="OU64" s="152">
        <f>MAX(0,16-SUMPRODUCT($NV64:$OA64,$I$8:$N$8)+MIN(14,$OB64*4+$OC64*7,SUMPRODUCT($NV64:$OA64,$I$8:$N$8)))</f>
        <v/>
      </c>
      <c r="OV64" s="152">
        <f>IF($NP64=2,3*$OO64&amp;" de vida temp.",IF($NP64=3,"sem dano",IF($OO64=0,IF($NP64=1,"sem cura","sem dano"),IF($NP64=1,"cura ","")&amp;$OO64&amp;"d8")))</f>
        <v/>
      </c>
      <c r="OW64" s="152">
        <f>IF($NP64=2,3*$OP64&amp;" de vida temp.",IF($NP64=3,"sem dano",IF($OP64=0,IF($NP64=1,"sem cura","sem dano"),IF($NP64=1,"cura ","")&amp;$OP64&amp;"d8")))</f>
        <v/>
      </c>
      <c r="OX64" s="152">
        <f>IF($NP64=2,3*$OQ64&amp;" de vida temp.",IF($NP64=3,"sem dano",IF($OQ64=0,IF($NP64=1,"sem cura","sem dano"),IF($NP64=1,"cura ","")&amp;$OQ64&amp;"d8")))</f>
        <v/>
      </c>
      <c r="OY64" s="152">
        <f>IF($NP64=2,3*$OR64&amp;" de vida temp.",IF($NP64=3,"sem dano",IF($OR64=0,IF($NP64=1,"sem cura","sem dano"),IF($NP64=1,"cura ","")&amp;$OR64&amp;"d8")))</f>
        <v/>
      </c>
      <c r="OZ64" s="152">
        <f>IF($NP64=2,3*$OS64&amp;" de vida temp.",IF($NP64=3,"sem dano",IF($OS64=0,IF($NP64=1,"sem cura","sem dano"),IF($NP64=1,"cura ","")&amp;$OS64&amp;"d8")))</f>
        <v/>
      </c>
      <c r="PA64" s="152">
        <f>IF($NP64=2,3*$OT64&amp;" de vida temp.",IF($NP64=3,"sem dano",IF($OT64=0,IF($NP64=1,"sem cura","sem dano"),IF($NP64=1,"cura ","")&amp;$OT64&amp;"d8")))</f>
        <v/>
      </c>
      <c r="PB64" s="152">
        <f>IF($NP64=2,3*$OU64&amp;" de vida temp.",IF($NP64=3,"sem dano",IF($OU64=0,IF($NP64=1,"sem cura","sem dano"),IF($NP64=1,"cura ","")&amp;$OU64&amp;"d8")))</f>
        <v/>
      </c>
      <c r="PC64" s="152">
        <f>IF($MN64=0,"",TEXTJOIN(" · ",TRUE,IF($MA64&gt;$MO64,"Este lugar abre no nível "&amp;$MA64,""),IF($MC64&gt;$MP64,"Classe "&amp;$MC64&amp;": o nível "&amp;$MO64&amp;" libera até a "&amp;$MP64,""),IF($NH64=1,"A Forma "&amp;$ME64&amp;" pede "&amp;INDEX($W$2:$W$11,$MT64)&amp;" aberta",""),IF(AND($MC64=0,$MT64&gt;0,IF($MT64=0,0,INDEX($AF$2:$AF$11,$MT64))=0),$ME64&amp;" não existe na Classe 0",""),IF($NI64=1,"Família Fechada: "&amp;$MH64,""),IF($NJ64=1,"Família Fechada: "&amp;$MI64,""),IF($NK64=1,"Família Fechada: "&amp;$MJ64,""),IF($NL64=1,"Família Fechada: "&amp;$MK64,""),IF(AND($MC64&gt;0,$OD64&gt;INDEX($O$2:$O$8,MAX(1,$MC64))),$OD64&amp;" Melhorias: a Classe "&amp;$MC64&amp;" aceita "&amp;INDEX($O$2:$O$8,MAX(1,$MC64)),""),IF(AND($MC64=0,$OD64&gt;1),"A básica aceita uma Melhoria",""),IF(AND($MC64=0,COUNTIF($MY64:$NB64,"&gt;1")&gt;0),"A básica só aceita Melhoria Leve",""),IF(AND($MC64&gt;0,$OE64&gt;2),$OE64&amp;" Restrições"&amp;IF($NO64=1,", contando a que a Forma "&amp;$ME64&amp;" já traz","")&amp;": o limite é 2",""),IF(AND($MC64=0,COUNTIF($ML64:$MM64,"?*")&gt;1),"A básica aceita uma Restrição Leve",""),IF(AND($MC64=0,COUNTIF($NR64:$NS64,2)&gt;0),"A básica só aceita Restrição Leve",""),IF(AND($MC64&gt;0,$OL64&lt;0),"Orçamento estourado: faltam "&amp;(-$OL64)&amp;IF($OL64&lt;-1," pontos"," ponto"),""),IF(IFERROR(VLOOKUP($ML64,$BB$2:$BF$24,4,FALSE),0)+IFERROR(VLOOKUP($MM64,$BB$2:$BF$24,4,FALSE),0)&gt;1,$NT64&amp;" e "&amp;$NU64&amp;" são as duas de frequência",""),IF(AND((COUNTIF($MH64:$MK64,"Rápido")+COUNTIF($NT64:$NU64,"Rápido"))&gt;0,(COUNTIF($MH64:$MK64,"Atrasar")+COUNTIF($NT64:$NU64,"Atrasar"))&gt;0),"Rápido não entra com Atrasar",""),IF(AND((COUNTIF($MH64:$MK64,"Reação")+COUNTIF($NT64:$NU64,"Reação"))&gt;0,(COUNTIF($MH64:$MK64,"Rápido")+COUNTIF($NT64:$NU64,"Rápido"))&gt;0),"Reação não entra com Rápido",""),IF(AND((COUNTIF($MH64:$MK64,"Reação")+COUNTIF($NT64:$NU64,"Reação"))&gt;0,(COUNTIF($MH64:$MK64,"Armado")+COUNTIF($NT64:$NU64,"Armado"))&gt;0),"Reação não entra com Armado",""),IF(AND((COUNTIF($MH64:$MK64,"Reação")+COUNTIF($NT64:$NU64,"Reação"))&gt;0,(COUNTIF($MH64:$MK64,"Atrasar")+COUNTIF($NT64:$NU64,"Atrasar"))&gt;0),"Reação não entra com Atrasar",""),IF(AND((COUNTIF($MH64:$MK64,"Reação")+COUNTIF($NT64:$NU64,"Reação"))&gt;0,(COUNTIF($MH64:$MK64,"Parado")+COUNTIF($NT64:$NU64,"Parado"))&gt;0),"Reação não entra com Parado",""),IF(AND((COUNTIF($MH64:$MK64,"Atrasar")+COUNTIF($NT64:$NU64,"Atrasar"))&gt;0,(COUNTIF($MH64:$MK64,"Parado")+COUNTIF($NT64:$NU64,"Parado"))&gt;0),"Atrasar não entra com Parado",""),IF(AND((COUNTIF($MH64:$MK64,"Armado")+COUNTIF($NT64:$NU64,"Armado"))&gt;0,(COUNTIF($MH64:$MK64,"Carregar")+COUNTIF($NT64:$NU64,"Carregar"))&gt;0),"Armado não entra com Carregar",""),IF(AND(COUNTIF($NT64:$NU64,"Corpo a Corpo")&gt;0,$NO64=0,OR($ME64="Cone",$ME64="Linha")),"Corpo a Corpo não entra em "&amp;$ME64,""),IF(AND(COUNTIF($NT64:$NU64,"Corpo a Corpo")&gt;0,$NO64=1),"A Forma "&amp;$ME64&amp;" já traz o Corpo a Corpo",""),IF(AND(COUNTIF($NT64:$NU64,"Tudo ou Nada")&gt;0,$NQ64=0),"Tudo ou Nada só entra em habilidade de Teste de Resistência",""),IF(AND(COUNTIF($MH64:$MK64,"Inescapável")&gt;0,OR($OD64&gt;1,$OE64&gt;0)),"Inescapável não aceita outra peça",""),IF(AND($MC64&gt;0,$OM64*IF(COUNTIF($MH64:$MK64,"Remate")&gt;0,1.25,1)+$ON64&gt;4*$MC64),($OM64*IF(COUNTIF($MH64:$MK64,"Remate")&gt;0,1.25,1)+$ON64)&amp;" dados somando repetições"&amp;IF(COUNTIF($MH64:$MK64,"Remate")&gt;0," e o Remate","")&amp;": o teto da Classe "&amp;$MC64&amp;" é "&amp;4*$MC64,"")))</f>
        <v/>
      </c>
      <c r="PD64" s="152">
        <f>IF($PC64="",0,(LEN($PC64)-LEN(SUBSTITUTE($PC64," · ","")))/3+1)</f>
        <v/>
      </c>
      <c r="PE64" s="152">
        <f>IF($MN64=0,"",TEXTJOIN(" · ",TRUE,IF($OG64&gt;2*$MC64,"A devolução parou no teto de "&amp;2*$MC64,""),IF($OJ64&gt;0,"Devolução perdida: "&amp;$OJ64&amp;IF($OJ64&gt;1," pontos"," ponto")&amp;" sem peça para pagar",""),IF(AND($NM64&gt;0,AND($MC64&gt;0,$NP64=0),$OM64=0),"Controle sem dano: uma rodada a mais e CD +2",""),IF(AND($NM64&gt;0,AND($MC64&gt;0,$NP64=0),$OM64&gt;0,$OM64&lt;=$MC64),"Controle com saldo até a Classe: uma rodada a mais",""),IF(AND($MC64&gt;0,$NN64&lt;&gt;""),"Efeito de "&amp;$NN64&amp;" pela Classe "&amp;MAX(1,$MC64-1),"")))</f>
        <v/>
      </c>
      <c r="PF64" s="152">
        <f>IF($PE64="",0,(LEN($PE64)-LEN(SUBSTITUTE($PE64," · ","")))/3+1)</f>
        <v/>
      </c>
      <c r="PG64" s="152">
        <f>IF($MN64=0,IF($OD64+COUNTIF($ML64:$MM64,"?*")&gt;0,"Dê um nome",""),IF($PD64&gt;0,"⚠ "&amp;$PD64&amp;IF($PD64&gt;1," erros"," erro"),IF($PF64&gt;0,"! "&amp;$PF64&amp;IF($PF64&gt;1," avisos"," aviso"),"Na regra")))</f>
        <v/>
      </c>
      <c r="PH64" s="152">
        <f>IF($MN64=0,"",IF($PD64+$PF64=0,"Dentro das regras que a ficha confere",$PC64&amp;IF(AND($PD64&gt;0,$PF64&gt;0)," · ","")&amp;$PE64))</f>
        <v/>
      </c>
      <c r="PI64" s="152">
        <f>IF($MA64&gt;$MO64,$MB64&amp;" · ABRE NO NÍVEL "&amp;$MA64,$MB64)</f>
        <v/>
      </c>
      <c r="PJ64" s="152">
        <f>IF($MN64=0,"",IF($MC64=0,"Sem PE",3*$MC64&amp;" PE"))</f>
        <v/>
      </c>
      <c r="PK64" s="152">
        <f>IF($MN64=0,"",IF($MC64=0,"A atuação básica dela",IF(COUNTIF($NT64:$NU64,"Atrasar")&gt;0,"Sua Ação Completa",IF(COUNTIF($MH64:$MK64,"Rápido")&gt;0,"Sua Bônus",IF(COUNTIF($MH64:$MK64,"Reação")&gt;0,"Sua Reação","Sua Padrão")))&amp;" + a básica dela"&amp;IF(COUNTIF($MH64:$MK64,"Reação")&gt;0," e a coletiva","")&amp;IF(COUNTIF($NT64:$NU64,"Carregar")&gt;0," · em dois turnos","")))</f>
        <v/>
      </c>
      <c r="PL64" s="152">
        <f>IF($MG64&lt;&gt;"",$MG64,IF($MT64=0,"",INDEX($AA$2:$AA$11,$MT64)))</f>
        <v/>
      </c>
      <c r="PM64" s="152">
        <f>IF(OR($MN64=0,$MT64=0),"",IF(COUNTIF($MH64:$MK64,"Inescapável")&gt;0,"Automático",IF($PL64="Ataque",IF($MR64="","Ataque","Ataque "&amp;IF(($MR64+2*IF(COUNTIF($MH64:$MK64,"Precisão")&gt;0,1,0))&gt;=0,"+","−")&amp;ABS(($MR64+2*IF(COUNTIF($MH64:$MK64,"Precisão")&gt;0,1,0)))),IF(LEFT($PL64,2)="TR",$PL64&amp;IF($MS64="",""," · CD "&amp;$MS64)&amp;IF(COUNTIF($MH64:$MK64,"Certeiro")&gt;0," · metade",""),"Sem rolagem"))))</f>
        <v/>
      </c>
      <c r="PN64" s="152">
        <f>IF(OR($MN64=0,$MT64=0),"",IF($MC64=0,IF(OR($NP64&gt;=1,$OM64=0),"Sem dano",$OM64&amp;"d6"&amp;IF($MF64="",""," "&amp;$MF64)),IF(OR($NP64&gt;=1,$OM64=0),UPPER(LEFT(INDEX($OV64:$PB64,1,MAX(1,$MC64)),1))&amp;MID(INDEX($OV64:$PB64,1,MAX(1,$MC64)),2,99),UPPER(LEFT(INDEX($OV64:$PB64,1,MAX(1,$MC64)),1))&amp;MID(INDEX($OV64:$PB64,1,MAX(1,$MC64)),2,99)&amp;IF($MF64="",""," "&amp;$MF64)&amp;IF($ON64&gt;0," · +"&amp;$ON64&amp;"d8",""))))</f>
        <v/>
      </c>
      <c r="PO64" s="152">
        <f>COUNTIF($MH64:$MK64,"Longe")+3*COUNTIF($MH64:$MK64,"Muito Longe")</f>
        <v/>
      </c>
      <c r="PP64" s="152">
        <f>COUNTIF($MH64:$MK64,"Maior")+3*COUNTIF($MH64:$MK64,"Muito Maior")</f>
        <v/>
      </c>
      <c r="PQ64" s="152">
        <f>IF($MT64=0,0,CHOOSE(1+INDEX($AC$2:$AC$11,$MT64),0,$PO64,$PP64,$PO64+$PP64))</f>
        <v/>
      </c>
      <c r="PR64" s="152">
        <f>IF($MT64=0,0,CHOOSE(1+INDEX($AD$2:$AD$11,$MT64),0,$PO64,$PP64,$PO64+$PP64))</f>
        <v/>
      </c>
      <c r="PS64" s="152">
        <f>IF(OR($MN64=0,$MT64=0),"",INDEX($AI$2:$AN$41,($MT64-1)*4+IF($MC64=0,1,IF($MC64&lt;=5,2,IF($MC64=6,3,4))),1+MIN(5,$PQ64))&amp;INDEX($AO$2:$AT$41,($MT64-1)*4+IF($MC64=0,1,IF($MC64&lt;=5,2,IF($MC64=6,3,4))),1+MIN(5,$PR64))&amp;IF(INDEX($AE$2:$AE$11,$MT64)=1,IF(COUNTIF($MH64:$MK64,"Mais Um")&gt;0," · +"&amp;COUNTIF($MH64:$MK64,"Mais Um")&amp;IF(COUNTIF($MH64:$MK64,"Mais Um")&gt;1," alvos"," alvo"),"")&amp;IF(COUNTIF($MH64:$MK64,"Rajada")&gt;0,IF($MC64=0," · 1 tiro"," · "&amp;(MAX(1,$MC64-1)+1)&amp;" tiros"),""),""))</f>
        <v/>
      </c>
      <c r="PT64" s="152">
        <f>IF($MN64=0,"",IF($MC64=0,$MQ64&amp;"d6"&amp;IF($OD64&gt;0," − 1 = "&amp;$OM64&amp;"d6"," da básica do nível "&amp;$MO64),$OK64&amp;" − "&amp;$OF64&amp;" + "&amp;$OI64&amp;" = "&amp;$OL64&amp;" · teto "&amp;4*$MC64&amp;"d8"&amp;IF($NO64=1," · a Forma devolve "&amp;$MC64,"")&amp;IF($OJ64&gt;0," · perde "&amp;$OJ64,"")))</f>
        <v/>
      </c>
      <c r="PU64" s="152">
        <f>IF($MN64=0,"",IF($MC64=0,"A básica não amplia: os dados dela sobem com o nível",IF($MC64&gt;=$MP64,"Já está na maior Classe que o nível liberou",TEXTJOIN(" · ",TRUE,IF(AND(2&gt;$MC64,2&lt;=$MP64),"2 → "&amp;$OW64&amp;", 6 PE",""),IF(AND(3&gt;$MC64,3&lt;=$MP64),"3 → "&amp;$OX64&amp;", 9 PE",""),IF(AND(4&gt;$MC64,4&lt;=$MP64),"4 → "&amp;$OY64&amp;", 12 PE",""),IF(AND(5&gt;$MC64,5&lt;=$MP64),"5 → "&amp;$OZ64&amp;", 15 PE",""),IF(AND(6&gt;$MC64,6&lt;=$MP64),"6 → "&amp;$PA64&amp;", 18 PE",""),IF(AND(7&gt;$MC64,7&lt;=$MP64),"7 → "&amp;$PB64&amp;", 21 PE","")))))</f>
        <v/>
      </c>
      <c r="PV64" s="152">
        <f>IF(OR($MN64=0,$MY64=0),"",IF($MC64=0,"−1 dado","−"&amp;INDEX($I$2:$N$8,MAX(1,$MC64),MAX(1,$ND64))&amp;" · "&amp;CHOOSE(MAX(1,$ND64),"Leve","Média","Pesada","Leve · Livre","Média · Livre","Pesada · Livre")))</f>
        <v/>
      </c>
      <c r="PW64" s="152">
        <f>IF(OR($MN64=0,$MZ64=0),"",IF($MC64=0,"−1 dado","−"&amp;INDEX($I$2:$N$8,MAX(1,$MC64),MAX(1,$NE64))&amp;" · "&amp;CHOOSE(MAX(1,$NE64),"Leve","Média","Pesada","Leve · Livre","Média · Livre","Pesada · Livre")))</f>
        <v/>
      </c>
      <c r="PX64" s="152">
        <f>IF(OR($MN64=0,$NA64=0),"",IF($MC64=0,"−1 dado","−"&amp;INDEX($I$2:$N$8,MAX(1,$MC64),MAX(1,$NF64))&amp;" · "&amp;CHOOSE(MAX(1,$NF64),"Leve","Média","Pesada","Leve · Livre","Média · Livre","Pesada · Livre")))</f>
        <v/>
      </c>
      <c r="PY64" s="152">
        <f>IF(OR($MN64=0,$NB64=0),"",IF($MC64=0,"−1 dado","−"&amp;INDEX($I$2:$N$8,MAX(1,$MC64),MAX(1,$NG64))&amp;" · "&amp;CHOOSE(MAX(1,$NG64),"Leve","Média","Pesada","Leve · Livre","Média · Livre","Pesada · Livre")))</f>
        <v/>
      </c>
      <c r="PZ64" s="152">
        <f>IF(OR($MN64=0,$ML64=""),"",IF($MC64=0,"não devolve","+"&amp;IF($NR64=1,CEILING($MC64/2,1),$MC64)))</f>
        <v/>
      </c>
      <c r="QA64" s="152">
        <f>IF(OR($MN64=0,$MM64=""),"",IF($MC64=0,"não devolve","+"&amp;IF($NS64=1,CEILING($MC64/2,1),$MC64)))</f>
        <v/>
      </c>
    </row>
    <row r="65">
      <c r="AV65" s="150" t="inlineStr">
        <is>
          <t>Segura</t>
        </is>
      </c>
      <c r="AW65" s="150" t="inlineStr">
        <is>
          <t>Tempo</t>
        </is>
      </c>
      <c r="AX65" s="152" t="n">
        <v>1</v>
      </c>
      <c r="AY65" s="152" t="n">
        <v>0</v>
      </c>
      <c r="AZ65" s="152" t="n">
        <v>0</v>
      </c>
      <c r="JD65" s="152">
        <f>IF(OR($AW65="",COUNTIF($ED$2:$EH$2,$AW65)&gt;0),$AV65,"")</f>
        <v/>
      </c>
      <c r="JE65" s="152">
        <f>IF(AND($AX65=1,OR($AW65="",COUNTIF($ED$2:$EH$2,$AW65)&gt;0)),$AV65,"")</f>
        <v/>
      </c>
      <c r="JJ65" s="152">
        <f>IF(OR($AW65="",COUNTIF($ED$3:$EH$3,$AW65)&gt;0),$AV65,"")</f>
        <v/>
      </c>
      <c r="JK65" s="152">
        <f>IF(AND($AX65=1,OR($AW65="",COUNTIF($ED$3:$EH$3,$AW65)&gt;0)),$AV65,"")</f>
        <v/>
      </c>
      <c r="JP65" s="152">
        <f>IF(OR($AW65="",COUNTIF($ED$4:$EH$4,$AW65)&gt;0),$AV65,"")</f>
        <v/>
      </c>
      <c r="JQ65" s="152">
        <f>IF(AND($AX65=1,OR($AW65="",COUNTIF($ED$4:$EH$4,$AW65)&gt;0)),$AV65,"")</f>
        <v/>
      </c>
      <c r="JV65" s="152">
        <f>IF(OR($AW65="",COUNTIF($ED$5:$EH$5,$AW65)&gt;0),$AV65,"")</f>
        <v/>
      </c>
      <c r="JW65" s="152">
        <f>IF(AND($AX65=1,OR($AW65="",COUNTIF($ED$5:$EH$5,$AW65)&gt;0)),$AV65,"")</f>
        <v/>
      </c>
      <c r="KB65" s="152">
        <f>IF(OR($AW65="",COUNTIF($ED$6:$EH$6,$AW65)&gt;0),$AV65,"")</f>
        <v/>
      </c>
      <c r="KC65" s="152">
        <f>IF(AND($AX65=1,OR($AW65="",COUNTIF($ED$6:$EH$6,$AW65)&gt;0)),$AV65,"")</f>
        <v/>
      </c>
      <c r="KH65" s="152">
        <f>IF(OR($AW65="",COUNTIF($ED$7:$EH$7,$AW65)&gt;0),$AV65,"")</f>
        <v/>
      </c>
      <c r="KI65" s="152">
        <f>IF(AND($AX65=1,OR($AW65="",COUNTIF($ED$7:$EH$7,$AW65)&gt;0)),$AV65,"")</f>
        <v/>
      </c>
      <c r="KN65" s="152">
        <f>IF(OR($AW65="",COUNTIF($ED$8:$EH$8,$AW65)&gt;0),$AV65,"")</f>
        <v/>
      </c>
      <c r="KO65" s="152">
        <f>IF(AND($AX65=1,OR($AW65="",COUNTIF($ED$8:$EH$8,$AW65)&gt;0)),$AV65,"")</f>
        <v/>
      </c>
      <c r="KT65" s="152">
        <f>IF(OR($AW65="",COUNTIF($ED$9:$EH$9,$AW65)&gt;0),$AV65,"")</f>
        <v/>
      </c>
      <c r="KU65" s="152">
        <f>IF(AND($AX65=1,OR($AW65="",COUNTIF($ED$9:$EH$9,$AW65)&gt;0)),$AV65,"")</f>
        <v/>
      </c>
      <c r="KZ65" s="152">
        <f>IF(OR($AW65="",COUNTIF($ED$10:$EH$10,$AW65)&gt;0),$AV65,"")</f>
        <v/>
      </c>
      <c r="LA65" s="152">
        <f>IF(AND($AX65=1,OR($AW65="",COUNTIF($ED$10:$EH$10,$AW65)&gt;0)),$AV65,"")</f>
        <v/>
      </c>
      <c r="LF65" s="152">
        <f>IF(OR($AW65="",COUNTIF($ED$11:$EH$11,$AW65)&gt;0),$AV65,"")</f>
        <v/>
      </c>
      <c r="LG65" s="152">
        <f>IF(AND($AX65=1,OR($AW65="",COUNTIF($ED$11:$EH$11,$AW65)&gt;0)),$AV65,"")</f>
        <v/>
      </c>
      <c r="LL65" s="152">
        <f>IF(OR($AW65="",COUNTIF($ED$12:$EH$12,$AW65)&gt;0),$AV65,"")</f>
        <v/>
      </c>
      <c r="LM65" s="152">
        <f>IF(AND($AX65=1,OR($AW65="",COUNTIF($ED$12:$EH$12,$AW65)&gt;0)),$AV65,"")</f>
        <v/>
      </c>
      <c r="LR65" s="152">
        <f>IF(OR($AW65="",COUNTIF($ED$13:$EH$13,$AW65)&gt;0),$AV65,"")</f>
        <v/>
      </c>
      <c r="LS65" s="152">
        <f>IF(AND($AX65=1,OR($AW65="",COUNTIF($ED$13:$EH$13,$AW65)&gt;0)),$AV65,"")</f>
        <v/>
      </c>
      <c r="LX65" s="150" t="inlineStr">
        <is>
          <t>Ficha 5 · Escolha da trilha 2</t>
        </is>
      </c>
      <c r="LY65" s="152" t="n">
        <v>5</v>
      </c>
      <c r="LZ65" s="152" t="n">
        <v>2</v>
      </c>
      <c r="MA65" s="152" t="n">
        <v>0</v>
      </c>
      <c r="MB65" s="150" t="inlineStr">
        <is>
          <t>ESCOLHA DA TRILHA 2</t>
        </is>
      </c>
      <c r="MC65" s="152">
        <f>MAX(0,MIN(7,N('INVOCAÇÕES'!$O$952)))</f>
        <v/>
      </c>
      <c r="MD65" s="152">
        <f>'INVOCAÇÕES'!$P$952&amp;""</f>
        <v/>
      </c>
      <c r="ME65" s="152">
        <f>'INVOCAÇÕES'!$O$957&amp;""</f>
        <v/>
      </c>
      <c r="MF65" s="152">
        <f>'INVOCAÇÕES'!$O$958&amp;""</f>
        <v/>
      </c>
      <c r="MG65" s="152">
        <f>'INVOCAÇÕES'!$Q$958&amp;""</f>
        <v/>
      </c>
      <c r="MH65" s="152">
        <f>'INVOCAÇÕES'!$P$961&amp;""</f>
        <v/>
      </c>
      <c r="MI65" s="152">
        <f>'INVOCAÇÕES'!$P$962&amp;""</f>
        <v/>
      </c>
      <c r="MJ65" s="152">
        <f>'INVOCAÇÕES'!$P$963&amp;""</f>
        <v/>
      </c>
      <c r="MK65" s="152">
        <f>'INVOCAÇÕES'!$P$964&amp;""</f>
        <v/>
      </c>
      <c r="ML65" s="152">
        <f>'INVOCAÇÕES'!$P$965&amp;""</f>
        <v/>
      </c>
      <c r="MM65" s="152">
        <f>'INVOCAÇÕES'!$P$966&amp;""</f>
        <v/>
      </c>
      <c r="MN65" s="152">
        <f>IF($MD65&lt;&gt;"",1,0)</f>
        <v/>
      </c>
      <c r="MO65" s="152">
        <f>INDEX($FG$2:$FG$13,$LY65)</f>
        <v/>
      </c>
      <c r="MP65" s="152">
        <f>INDEX($FH$2:$FH$13,$LY65)</f>
        <v/>
      </c>
      <c r="MQ65" s="152">
        <f>INDEX($FI$2:$FI$13,$LY65)</f>
        <v/>
      </c>
      <c r="MR65" s="152">
        <f>INDEX($FT$2:$FT$13,$LY65)</f>
        <v/>
      </c>
      <c r="MS65" s="152">
        <f>INDEX($FU$2:$FU$13,$LY65)</f>
        <v/>
      </c>
      <c r="MT65" s="152">
        <f>IFERROR(MATCH($ME65,$V$2:$V$11,0),0)</f>
        <v/>
      </c>
      <c r="MU65" s="152">
        <f>IFERROR(VLOOKUP($MH65,$AV$2:$AZ$84,2,FALSE),"")</f>
        <v/>
      </c>
      <c r="MV65" s="152">
        <f>IFERROR(VLOOKUP($MI65,$AV$2:$AZ$84,2,FALSE),"")</f>
        <v/>
      </c>
      <c r="MW65" s="152">
        <f>IFERROR(VLOOKUP($MJ65,$AV$2:$AZ$84,2,FALSE),"")</f>
        <v/>
      </c>
      <c r="MX65" s="152">
        <f>IFERROR(VLOOKUP($MK65,$AV$2:$AZ$84,2,FALSE),"")</f>
        <v/>
      </c>
      <c r="MY65" s="152">
        <f>IFERROR(VLOOKUP($MH65,$AV$2:$AZ$84,3,FALSE),0)</f>
        <v/>
      </c>
      <c r="MZ65" s="152">
        <f>IFERROR(VLOOKUP($MI65,$AV$2:$AZ$84,3,FALSE),0)</f>
        <v/>
      </c>
      <c r="NA65" s="152">
        <f>IFERROR(VLOOKUP($MJ65,$AV$2:$AZ$84,3,FALSE),0)</f>
        <v/>
      </c>
      <c r="NB65" s="152">
        <f>IFERROR(VLOOKUP($MK65,$AV$2:$AZ$84,3,FALSE),0)</f>
        <v/>
      </c>
      <c r="NC65" s="152">
        <f>IF($MC65=0,0,IF($MT65=0,0,INDEX($X$2:$X$11,$MT65)))</f>
        <v/>
      </c>
      <c r="ND65" s="152">
        <f>IF(OR($MY65=0,$MC65=0),0,$MY65+3*IF(AND($MU65&lt;&gt;"",OR($MU65=INDEX($ED$2:$ED$13,$LY65),$MU65=INDEX($EE$2:$EE$13,$LY65))),1,0))</f>
        <v/>
      </c>
      <c r="NE65" s="152">
        <f>IF(OR($MZ65=0,$MC65=0),0,$MZ65+3*IF(AND($MV65&lt;&gt;"",OR($MV65=INDEX($ED$2:$ED$13,$LY65),$MV65=INDEX($EE$2:$EE$13,$LY65))),1,0))</f>
        <v/>
      </c>
      <c r="NF65" s="152">
        <f>IF(OR($NA65=0,$MC65=0),0,$NA65+3*IF(AND($MW65&lt;&gt;"",OR($MW65=INDEX($ED$2:$ED$13,$LY65),$MW65=INDEX($EE$2:$EE$13,$LY65))),1,0))</f>
        <v/>
      </c>
      <c r="NG65" s="152">
        <f>IF(OR($NB65=0,$MC65=0),0,$NB65+3*IF(AND($MX65&lt;&gt;"",OR($MX65=INDEX($ED$2:$ED$13,$LY65),$MX65=INDEX($EE$2:$EE$13,$LY65))),1,0))</f>
        <v/>
      </c>
      <c r="NH65" s="152">
        <f>IF($MT65=0,0,IF(INDEX($W$2:$W$11,$MT65)="",0,IF(COUNTIF(INDEX($ED$2:$EH$13,$LY65,0),INDEX($W$2:$W$11,$MT65))=0,1,0)))</f>
        <v/>
      </c>
      <c r="NI65" s="152">
        <f>IF(OR($MY65=0,$MU65=""),0,IF(COUNTIF(INDEX($ED$2:$EH$13,$LY65,0),$MU65)=0,1,0))</f>
        <v/>
      </c>
      <c r="NJ65" s="152">
        <f>IF(OR($MZ65=0,$MV65=""),0,IF(COUNTIF(INDEX($ED$2:$EH$13,$LY65,0),$MV65)=0,1,0))</f>
        <v/>
      </c>
      <c r="NK65" s="152">
        <f>IF(OR($NA65=0,$MW65=""),0,IF(COUNTIF(INDEX($ED$2:$EH$13,$LY65,0),$MW65)=0,1,0))</f>
        <v/>
      </c>
      <c r="NL65" s="152">
        <f>IF(OR($NB65=0,$MX65=""),0,IF(COUNTIF(INDEX($ED$2:$EH$13,$LY65,0),$MX65)=0,1,0))</f>
        <v/>
      </c>
      <c r="NM65" s="152">
        <f>IFERROR(VLOOKUP($MH65,$AV$2:$AZ$84,4,FALSE),0)+IFERROR(VLOOKUP($MI65,$AV$2:$AZ$84,4,FALSE),0)+IFERROR(VLOOKUP($MJ65,$AV$2:$AZ$84,4,FALSE),0)+IFERROR(VLOOKUP($MK65,$AV$2:$AZ$84,4,FALSE),0)</f>
        <v/>
      </c>
      <c r="NN65" s="152">
        <f>TEXTJOIN(", ",TRUE,IF(IFERROR(VLOOKUP($MH65,$AV$2:$AZ$84,5,FALSE),0)=1,$MH65,""),IF(IFERROR(VLOOKUP($MI65,$AV$2:$AZ$84,5,FALSE),0)=1,$MI65,""),IF(IFERROR(VLOOKUP($MJ65,$AV$2:$AZ$84,5,FALSE),0)=1,$MJ65,""),IF(IFERROR(VLOOKUP($MK65,$AV$2:$AZ$84,5,FALSE),0)=1,$MK65,""))</f>
        <v/>
      </c>
      <c r="NO65" s="152">
        <f>IF($MT65=0,0,INDEX($Y$2:$Y$11,$MT65))</f>
        <v/>
      </c>
      <c r="NP65" s="152">
        <f>IF($MT65=0,0,INDEX($Z$2:$Z$11,$MT65))</f>
        <v/>
      </c>
      <c r="NQ65" s="152">
        <f>IF($MT65=0,0,INDEX($AB$2:$AB$11,$MT65))</f>
        <v/>
      </c>
      <c r="NR65" s="152">
        <f>IFERROR(VLOOKUP($ML65,$BB$2:$BF$24,3,FALSE),0)</f>
        <v/>
      </c>
      <c r="NS65" s="152">
        <f>IFERROR(VLOOKUP($MM65,$BB$2:$BF$24,3,FALSE),0)</f>
        <v/>
      </c>
      <c r="NT65" s="152">
        <f>IFERROR(VLOOKUP($ML65,$BB$2:$BF$24,2,FALSE),"")</f>
        <v/>
      </c>
      <c r="NU65" s="152">
        <f>IFERROR(VLOOKUP($MM65,$BB$2:$BF$24,2,FALSE),"")</f>
        <v/>
      </c>
      <c r="NV65" s="152">
        <f>COUNTIF($NC65:$NG65,1)</f>
        <v/>
      </c>
      <c r="NW65" s="152">
        <f>COUNTIF($NC65:$NG65,2)</f>
        <v/>
      </c>
      <c r="NX65" s="152">
        <f>COUNTIF($NC65:$NG65,3)</f>
        <v/>
      </c>
      <c r="NY65" s="152">
        <f>COUNTIF($NC65:$NG65,4)</f>
        <v/>
      </c>
      <c r="NZ65" s="152">
        <f>COUNTIF($NC65:$NG65,5)</f>
        <v/>
      </c>
      <c r="OA65" s="152">
        <f>COUNTIF($NC65:$NG65,6)</f>
        <v/>
      </c>
      <c r="OB65" s="152">
        <f>COUNTIF($NR65:$NS65,1)</f>
        <v/>
      </c>
      <c r="OC65" s="152">
        <f>COUNTIF($NR65:$NS65,2)+$NO65</f>
        <v/>
      </c>
      <c r="OD65" s="152">
        <f>COUNTIF($MH65:$MK65,"?*")</f>
        <v/>
      </c>
      <c r="OE65" s="152">
        <f>COUNTIF($ML65:$MM65,"?*")+$NO65</f>
        <v/>
      </c>
      <c r="OF65" s="152">
        <f>IF($MC65=0,0,SUMPRODUCT($NV65:$OA65,INDEX($I$2:$N$8,MAX(1,$MC65),0)))</f>
        <v/>
      </c>
      <c r="OG65" s="152">
        <f>IF($MC65=0,0,$OB65*CEILING($MC65/2,1)+$OC65*$MC65)</f>
        <v/>
      </c>
      <c r="OH65" s="152">
        <f>MIN(2*$MC65,$OG65)</f>
        <v/>
      </c>
      <c r="OI65" s="152">
        <f>MIN($OH65,$OF65)</f>
        <v/>
      </c>
      <c r="OJ65" s="152">
        <f>$OH65-$OI65</f>
        <v/>
      </c>
      <c r="OK65" s="152">
        <f>IF($MC65=0,0,INDEX($P$2:$P$8,MAX(1,$MC65)))</f>
        <v/>
      </c>
      <c r="OL65" s="152">
        <f>$OK65-$OF65+$OI65</f>
        <v/>
      </c>
      <c r="OM65" s="152">
        <f>IF($MC65=0,MAX(0,$MQ65-IF($OD65&gt;0,1,0)),MAX(0,$OL65))</f>
        <v/>
      </c>
      <c r="ON65" s="152">
        <f>IF($MC65=0,0,(IF(COUNTIF($MH65:$MK65,"Salto")&gt;0,1,0)+IF(COUNTIF($MH65:$MK65,"Queima")&gt;0,1,0)+IF(COUNTIF($MH65:$MK65,"Estilhaço")&gt;0,1,0))*FLOOR($OM65/2,1))</f>
        <v/>
      </c>
      <c r="OO65" s="152">
        <f>MAX(0,2-SUMPRODUCT($NV65:$OA65,$I$2:$N$2)+MIN(2,$OB65*1+$OC65*1,SUMPRODUCT($NV65:$OA65,$I$2:$N$2)))</f>
        <v/>
      </c>
      <c r="OP65" s="152">
        <f>MAX(0,4-SUMPRODUCT($NV65:$OA65,$I$3:$N$3)+MIN(4,$OB65*1+$OC65*2,SUMPRODUCT($NV65:$OA65,$I$3:$N$3)))</f>
        <v/>
      </c>
      <c r="OQ65" s="152">
        <f>MAX(0,6-SUMPRODUCT($NV65:$OA65,$I$4:$N$4)+MIN(6,$OB65*2+$OC65*3,SUMPRODUCT($NV65:$OA65,$I$4:$N$4)))</f>
        <v/>
      </c>
      <c r="OR65" s="152">
        <f>MAX(0,9-SUMPRODUCT($NV65:$OA65,$I$5:$N$5)+MIN(8,$OB65*2+$OC65*4,SUMPRODUCT($NV65:$OA65,$I$5:$N$5)))</f>
        <v/>
      </c>
      <c r="OS65" s="152">
        <f>MAX(0,11-SUMPRODUCT($NV65:$OA65,$I$6:$N$6)+MIN(10,$OB65*3+$OC65*5,SUMPRODUCT($NV65:$OA65,$I$6:$N$6)))</f>
        <v/>
      </c>
      <c r="OT65" s="152">
        <f>MAX(0,13-SUMPRODUCT($NV65:$OA65,$I$7:$N$7)+MIN(12,$OB65*3+$OC65*6,SUMPRODUCT($NV65:$OA65,$I$7:$N$7)))</f>
        <v/>
      </c>
      <c r="OU65" s="152">
        <f>MAX(0,16-SUMPRODUCT($NV65:$OA65,$I$8:$N$8)+MIN(14,$OB65*4+$OC65*7,SUMPRODUCT($NV65:$OA65,$I$8:$N$8)))</f>
        <v/>
      </c>
      <c r="OV65" s="152">
        <f>IF($NP65=2,3*$OO65&amp;" de vida temp.",IF($NP65=3,"sem dano",IF($OO65=0,IF($NP65=1,"sem cura","sem dano"),IF($NP65=1,"cura ","")&amp;$OO65&amp;"d8")))</f>
        <v/>
      </c>
      <c r="OW65" s="152">
        <f>IF($NP65=2,3*$OP65&amp;" de vida temp.",IF($NP65=3,"sem dano",IF($OP65=0,IF($NP65=1,"sem cura","sem dano"),IF($NP65=1,"cura ","")&amp;$OP65&amp;"d8")))</f>
        <v/>
      </c>
      <c r="OX65" s="152">
        <f>IF($NP65=2,3*$OQ65&amp;" de vida temp.",IF($NP65=3,"sem dano",IF($OQ65=0,IF($NP65=1,"sem cura","sem dano"),IF($NP65=1,"cura ","")&amp;$OQ65&amp;"d8")))</f>
        <v/>
      </c>
      <c r="OY65" s="152">
        <f>IF($NP65=2,3*$OR65&amp;" de vida temp.",IF($NP65=3,"sem dano",IF($OR65=0,IF($NP65=1,"sem cura","sem dano"),IF($NP65=1,"cura ","")&amp;$OR65&amp;"d8")))</f>
        <v/>
      </c>
      <c r="OZ65" s="152">
        <f>IF($NP65=2,3*$OS65&amp;" de vida temp.",IF($NP65=3,"sem dano",IF($OS65=0,IF($NP65=1,"sem cura","sem dano"),IF($NP65=1,"cura ","")&amp;$OS65&amp;"d8")))</f>
        <v/>
      </c>
      <c r="PA65" s="152">
        <f>IF($NP65=2,3*$OT65&amp;" de vida temp.",IF($NP65=3,"sem dano",IF($OT65=0,IF($NP65=1,"sem cura","sem dano"),IF($NP65=1,"cura ","")&amp;$OT65&amp;"d8")))</f>
        <v/>
      </c>
      <c r="PB65" s="152">
        <f>IF($NP65=2,3*$OU65&amp;" de vida temp.",IF($NP65=3,"sem dano",IF($OU65=0,IF($NP65=1,"sem cura","sem dano"),IF($NP65=1,"cura ","")&amp;$OU65&amp;"d8")))</f>
        <v/>
      </c>
      <c r="PC65" s="152">
        <f>IF($MN65=0,"",TEXTJOIN(" · ",TRUE,IF($MA65&gt;$MO65,"Este lugar abre no nível "&amp;$MA65,""),IF($MC65&gt;$MP65,"Classe "&amp;$MC65&amp;": o nível "&amp;$MO65&amp;" libera até a "&amp;$MP65,""),IF($NH65=1,"A Forma "&amp;$ME65&amp;" pede "&amp;INDEX($W$2:$W$11,$MT65)&amp;" aberta",""),IF(AND($MC65=0,$MT65&gt;0,IF($MT65=0,0,INDEX($AF$2:$AF$11,$MT65))=0),$ME65&amp;" não existe na Classe 0",""),IF($NI65=1,"Família Fechada: "&amp;$MH65,""),IF($NJ65=1,"Família Fechada: "&amp;$MI65,""),IF($NK65=1,"Família Fechada: "&amp;$MJ65,""),IF($NL65=1,"Família Fechada: "&amp;$MK65,""),IF(AND($MC65&gt;0,$OD65&gt;INDEX($O$2:$O$8,MAX(1,$MC65))),$OD65&amp;" Melhorias: a Classe "&amp;$MC65&amp;" aceita "&amp;INDEX($O$2:$O$8,MAX(1,$MC65)),""),IF(AND($MC65=0,$OD65&gt;1),"A básica aceita uma Melhoria",""),IF(AND($MC65=0,COUNTIF($MY65:$NB65,"&gt;1")&gt;0),"A básica só aceita Melhoria Leve",""),IF(AND($MC65&gt;0,$OE65&gt;2),$OE65&amp;" Restrições"&amp;IF($NO65=1,", contando a que a Forma "&amp;$ME65&amp;" já traz","")&amp;": o limite é 2",""),IF(AND($MC65=0,COUNTIF($ML65:$MM65,"?*")&gt;1),"A básica aceita uma Restrição Leve",""),IF(AND($MC65=0,COUNTIF($NR65:$NS65,2)&gt;0),"A básica só aceita Restrição Leve",""),IF(AND($MC65&gt;0,$OL65&lt;0),"Orçamento estourado: faltam "&amp;(-$OL65)&amp;IF($OL65&lt;-1," pontos"," ponto"),""),IF(IFERROR(VLOOKUP($ML65,$BB$2:$BF$24,4,FALSE),0)+IFERROR(VLOOKUP($MM65,$BB$2:$BF$24,4,FALSE),0)&gt;1,$NT65&amp;" e "&amp;$NU65&amp;" são as duas de frequência",""),IF(AND((COUNTIF($MH65:$MK65,"Rápido")+COUNTIF($NT65:$NU65,"Rápido"))&gt;0,(COUNTIF($MH65:$MK65,"Atrasar")+COUNTIF($NT65:$NU65,"Atrasar"))&gt;0),"Rápido não entra com Atrasar",""),IF(AND((COUNTIF($MH65:$MK65,"Reação")+COUNTIF($NT65:$NU65,"Reação"))&gt;0,(COUNTIF($MH65:$MK65,"Rápido")+COUNTIF($NT65:$NU65,"Rápido"))&gt;0),"Reação não entra com Rápido",""),IF(AND((COUNTIF($MH65:$MK65,"Reação")+COUNTIF($NT65:$NU65,"Reação"))&gt;0,(COUNTIF($MH65:$MK65,"Armado")+COUNTIF($NT65:$NU65,"Armado"))&gt;0),"Reação não entra com Armado",""),IF(AND((COUNTIF($MH65:$MK65,"Reação")+COUNTIF($NT65:$NU65,"Reação"))&gt;0,(COUNTIF($MH65:$MK65,"Atrasar")+COUNTIF($NT65:$NU65,"Atrasar"))&gt;0),"Reação não entra com Atrasar",""),IF(AND((COUNTIF($MH65:$MK65,"Reação")+COUNTIF($NT65:$NU65,"Reação"))&gt;0,(COUNTIF($MH65:$MK65,"Parado")+COUNTIF($NT65:$NU65,"Parado"))&gt;0),"Reação não entra com Parado",""),IF(AND((COUNTIF($MH65:$MK65,"Atrasar")+COUNTIF($NT65:$NU65,"Atrasar"))&gt;0,(COUNTIF($MH65:$MK65,"Parado")+COUNTIF($NT65:$NU65,"Parado"))&gt;0),"Atrasar não entra com Parado",""),IF(AND((COUNTIF($MH65:$MK65,"Armado")+COUNTIF($NT65:$NU65,"Armado"))&gt;0,(COUNTIF($MH65:$MK65,"Carregar")+COUNTIF($NT65:$NU65,"Carregar"))&gt;0),"Armado não entra com Carregar",""),IF(AND(COUNTIF($NT65:$NU65,"Corpo a Corpo")&gt;0,$NO65=0,OR($ME65="Cone",$ME65="Linha")),"Corpo a Corpo não entra em "&amp;$ME65,""),IF(AND(COUNTIF($NT65:$NU65,"Corpo a Corpo")&gt;0,$NO65=1),"A Forma "&amp;$ME65&amp;" já traz o Corpo a Corpo",""),IF(AND(COUNTIF($NT65:$NU65,"Tudo ou Nada")&gt;0,$NQ65=0),"Tudo ou Nada só entra em habilidade de Teste de Resistência",""),IF(AND(COUNTIF($MH65:$MK65,"Inescapável")&gt;0,OR($OD65&gt;1,$OE65&gt;0)),"Inescapável não aceita outra peça",""),IF(AND($MC65&gt;0,$OM65*IF(COUNTIF($MH65:$MK65,"Remate")&gt;0,1.25,1)+$ON65&gt;4*$MC65),($OM65*IF(COUNTIF($MH65:$MK65,"Remate")&gt;0,1.25,1)+$ON65)&amp;" dados somando repetições"&amp;IF(COUNTIF($MH65:$MK65,"Remate")&gt;0," e o Remate","")&amp;": o teto da Classe "&amp;$MC65&amp;" é "&amp;4*$MC65,"")))</f>
        <v/>
      </c>
      <c r="PD65" s="152">
        <f>IF($PC65="",0,(LEN($PC65)-LEN(SUBSTITUTE($PC65," · ","")))/3+1)</f>
        <v/>
      </c>
      <c r="PE65" s="152">
        <f>IF($MN65=0,"",TEXTJOIN(" · ",TRUE,IF($OG65&gt;2*$MC65,"A devolução parou no teto de "&amp;2*$MC65,""),IF($OJ65&gt;0,"Devolução perdida: "&amp;$OJ65&amp;IF($OJ65&gt;1," pontos"," ponto")&amp;" sem peça para pagar",""),IF(AND($NM65&gt;0,AND($MC65&gt;0,$NP65=0),$OM65=0),"Controle sem dano: uma rodada a mais e CD +2",""),IF(AND($NM65&gt;0,AND($MC65&gt;0,$NP65=0),$OM65&gt;0,$OM65&lt;=$MC65),"Controle com saldo até a Classe: uma rodada a mais",""),IF(AND($MC65&gt;0,$NN65&lt;&gt;""),"Efeito de "&amp;$NN65&amp;" pela Classe "&amp;MAX(1,$MC65-1),"")))</f>
        <v/>
      </c>
      <c r="PF65" s="152">
        <f>IF($PE65="",0,(LEN($PE65)-LEN(SUBSTITUTE($PE65," · ","")))/3+1)</f>
        <v/>
      </c>
      <c r="PG65" s="152">
        <f>IF($MN65=0,IF($OD65+COUNTIF($ML65:$MM65,"?*")&gt;0,"Dê um nome",""),IF($PD65&gt;0,"⚠ "&amp;$PD65&amp;IF($PD65&gt;1," erros"," erro"),IF($PF65&gt;0,"! "&amp;$PF65&amp;IF($PF65&gt;1," avisos"," aviso"),"Na regra")))</f>
        <v/>
      </c>
      <c r="PH65" s="152">
        <f>IF($MN65=0,"",IF($PD65+$PF65=0,"Dentro das regras que a ficha confere",$PC65&amp;IF(AND($PD65&gt;0,$PF65&gt;0)," · ","")&amp;$PE65))</f>
        <v/>
      </c>
      <c r="PI65" s="152">
        <f>IF($MA65&gt;$MO65,$MB65&amp;" · ABRE NO NÍVEL "&amp;$MA65,$MB65)</f>
        <v/>
      </c>
      <c r="PJ65" s="152">
        <f>IF($MN65=0,"",IF($MC65=0,"Sem PE",3*$MC65&amp;" PE"))</f>
        <v/>
      </c>
      <c r="PK65" s="152">
        <f>IF($MN65=0,"",IF($MC65=0,"A atuação básica dela",IF(COUNTIF($NT65:$NU65,"Atrasar")&gt;0,"Sua Ação Completa",IF(COUNTIF($MH65:$MK65,"Rápido")&gt;0,"Sua Bônus",IF(COUNTIF($MH65:$MK65,"Reação")&gt;0,"Sua Reação","Sua Padrão")))&amp;" + a básica dela"&amp;IF(COUNTIF($MH65:$MK65,"Reação")&gt;0," e a coletiva","")&amp;IF(COUNTIF($NT65:$NU65,"Carregar")&gt;0," · em dois turnos","")))</f>
        <v/>
      </c>
      <c r="PL65" s="152">
        <f>IF($MG65&lt;&gt;"",$MG65,IF($MT65=0,"",INDEX($AA$2:$AA$11,$MT65)))</f>
        <v/>
      </c>
      <c r="PM65" s="152">
        <f>IF(OR($MN65=0,$MT65=0),"",IF(COUNTIF($MH65:$MK65,"Inescapável")&gt;0,"Automático",IF($PL65="Ataque",IF($MR65="","Ataque","Ataque "&amp;IF(($MR65+2*IF(COUNTIF($MH65:$MK65,"Precisão")&gt;0,1,0))&gt;=0,"+","−")&amp;ABS(($MR65+2*IF(COUNTIF($MH65:$MK65,"Precisão")&gt;0,1,0)))),IF(LEFT($PL65,2)="TR",$PL65&amp;IF($MS65="",""," · CD "&amp;$MS65)&amp;IF(COUNTIF($MH65:$MK65,"Certeiro")&gt;0," · metade",""),"Sem rolagem"))))</f>
        <v/>
      </c>
      <c r="PN65" s="152">
        <f>IF(OR($MN65=0,$MT65=0),"",IF($MC65=0,IF(OR($NP65&gt;=1,$OM65=0),"Sem dano",$OM65&amp;"d6"&amp;IF($MF65="",""," "&amp;$MF65)),IF(OR($NP65&gt;=1,$OM65=0),UPPER(LEFT(INDEX($OV65:$PB65,1,MAX(1,$MC65)),1))&amp;MID(INDEX($OV65:$PB65,1,MAX(1,$MC65)),2,99),UPPER(LEFT(INDEX($OV65:$PB65,1,MAX(1,$MC65)),1))&amp;MID(INDEX($OV65:$PB65,1,MAX(1,$MC65)),2,99)&amp;IF($MF65="",""," "&amp;$MF65)&amp;IF($ON65&gt;0," · +"&amp;$ON65&amp;"d8",""))))</f>
        <v/>
      </c>
      <c r="PO65" s="152">
        <f>COUNTIF($MH65:$MK65,"Longe")+3*COUNTIF($MH65:$MK65,"Muito Longe")</f>
        <v/>
      </c>
      <c r="PP65" s="152">
        <f>COUNTIF($MH65:$MK65,"Maior")+3*COUNTIF($MH65:$MK65,"Muito Maior")</f>
        <v/>
      </c>
      <c r="PQ65" s="152">
        <f>IF($MT65=0,0,CHOOSE(1+INDEX($AC$2:$AC$11,$MT65),0,$PO65,$PP65,$PO65+$PP65))</f>
        <v/>
      </c>
      <c r="PR65" s="152">
        <f>IF($MT65=0,0,CHOOSE(1+INDEX($AD$2:$AD$11,$MT65),0,$PO65,$PP65,$PO65+$PP65))</f>
        <v/>
      </c>
      <c r="PS65" s="152">
        <f>IF(OR($MN65=0,$MT65=0),"",INDEX($AI$2:$AN$41,($MT65-1)*4+IF($MC65=0,1,IF($MC65&lt;=5,2,IF($MC65=6,3,4))),1+MIN(5,$PQ65))&amp;INDEX($AO$2:$AT$41,($MT65-1)*4+IF($MC65=0,1,IF($MC65&lt;=5,2,IF($MC65=6,3,4))),1+MIN(5,$PR65))&amp;IF(INDEX($AE$2:$AE$11,$MT65)=1,IF(COUNTIF($MH65:$MK65,"Mais Um")&gt;0," · +"&amp;COUNTIF($MH65:$MK65,"Mais Um")&amp;IF(COUNTIF($MH65:$MK65,"Mais Um")&gt;1," alvos"," alvo"),"")&amp;IF(COUNTIF($MH65:$MK65,"Rajada")&gt;0,IF($MC65=0," · 1 tiro"," · "&amp;(MAX(1,$MC65-1)+1)&amp;" tiros"),""),""))</f>
        <v/>
      </c>
      <c r="PT65" s="152">
        <f>IF($MN65=0,"",IF($MC65=0,$MQ65&amp;"d6"&amp;IF($OD65&gt;0," − 1 = "&amp;$OM65&amp;"d6"," da básica do nível "&amp;$MO65),$OK65&amp;" − "&amp;$OF65&amp;" + "&amp;$OI65&amp;" = "&amp;$OL65&amp;" · teto "&amp;4*$MC65&amp;"d8"&amp;IF($NO65=1," · a Forma devolve "&amp;$MC65,"")&amp;IF($OJ65&gt;0," · perde "&amp;$OJ65,"")))</f>
        <v/>
      </c>
      <c r="PU65" s="152">
        <f>IF($MN65=0,"",IF($MC65=0,"A básica não amplia: os dados dela sobem com o nível",IF($MC65&gt;=$MP65,"Já está na maior Classe que o nível liberou",TEXTJOIN(" · ",TRUE,IF(AND(2&gt;$MC65,2&lt;=$MP65),"2 → "&amp;$OW65&amp;", 6 PE",""),IF(AND(3&gt;$MC65,3&lt;=$MP65),"3 → "&amp;$OX65&amp;", 9 PE",""),IF(AND(4&gt;$MC65,4&lt;=$MP65),"4 → "&amp;$OY65&amp;", 12 PE",""),IF(AND(5&gt;$MC65,5&lt;=$MP65),"5 → "&amp;$OZ65&amp;", 15 PE",""),IF(AND(6&gt;$MC65,6&lt;=$MP65),"6 → "&amp;$PA65&amp;", 18 PE",""),IF(AND(7&gt;$MC65,7&lt;=$MP65),"7 → "&amp;$PB65&amp;", 21 PE","")))))</f>
        <v/>
      </c>
      <c r="PV65" s="152">
        <f>IF(OR($MN65=0,$MY65=0),"",IF($MC65=0,"−1 dado","−"&amp;INDEX($I$2:$N$8,MAX(1,$MC65),MAX(1,$ND65))&amp;" · "&amp;CHOOSE(MAX(1,$ND65),"Leve","Média","Pesada","Leve · Livre","Média · Livre","Pesada · Livre")))</f>
        <v/>
      </c>
      <c r="PW65" s="152">
        <f>IF(OR($MN65=0,$MZ65=0),"",IF($MC65=0,"−1 dado","−"&amp;INDEX($I$2:$N$8,MAX(1,$MC65),MAX(1,$NE65))&amp;" · "&amp;CHOOSE(MAX(1,$NE65),"Leve","Média","Pesada","Leve · Livre","Média · Livre","Pesada · Livre")))</f>
        <v/>
      </c>
      <c r="PX65" s="152">
        <f>IF(OR($MN65=0,$NA65=0),"",IF($MC65=0,"−1 dado","−"&amp;INDEX($I$2:$N$8,MAX(1,$MC65),MAX(1,$NF65))&amp;" · "&amp;CHOOSE(MAX(1,$NF65),"Leve","Média","Pesada","Leve · Livre","Média · Livre","Pesada · Livre")))</f>
        <v/>
      </c>
      <c r="PY65" s="152">
        <f>IF(OR($MN65=0,$NB65=0),"",IF($MC65=0,"−1 dado","−"&amp;INDEX($I$2:$N$8,MAX(1,$MC65),MAX(1,$NG65))&amp;" · "&amp;CHOOSE(MAX(1,$NG65),"Leve","Média","Pesada","Leve · Livre","Média · Livre","Pesada · Livre")))</f>
        <v/>
      </c>
      <c r="PZ65" s="152">
        <f>IF(OR($MN65=0,$ML65=""),"",IF($MC65=0,"não devolve","+"&amp;IF($NR65=1,CEILING($MC65/2,1),$MC65)))</f>
        <v/>
      </c>
      <c r="QA65" s="152">
        <f>IF(OR($MN65=0,$MM65=""),"",IF($MC65=0,"não devolve","+"&amp;IF($NS65=1,CEILING($MC65/2,1),$MC65)))</f>
        <v/>
      </c>
    </row>
    <row r="66">
      <c r="AV66" s="150" t="inlineStr">
        <is>
          <t>Concentrada</t>
        </is>
      </c>
      <c r="AW66" s="150" t="inlineStr">
        <is>
          <t>Tempo</t>
        </is>
      </c>
      <c r="AX66" s="152" t="n">
        <v>1</v>
      </c>
      <c r="AY66" s="152" t="n">
        <v>0</v>
      </c>
      <c r="AZ66" s="152" t="n">
        <v>0</v>
      </c>
      <c r="JD66" s="152">
        <f>IF(OR($AW66="",COUNTIF($ED$2:$EH$2,$AW66)&gt;0),$AV66,"")</f>
        <v/>
      </c>
      <c r="JE66" s="152">
        <f>IF(AND($AX66=1,OR($AW66="",COUNTIF($ED$2:$EH$2,$AW66)&gt;0)),$AV66,"")</f>
        <v/>
      </c>
      <c r="JJ66" s="152">
        <f>IF(OR($AW66="",COUNTIF($ED$3:$EH$3,$AW66)&gt;0),$AV66,"")</f>
        <v/>
      </c>
      <c r="JK66" s="152">
        <f>IF(AND($AX66=1,OR($AW66="",COUNTIF($ED$3:$EH$3,$AW66)&gt;0)),$AV66,"")</f>
        <v/>
      </c>
      <c r="JP66" s="152">
        <f>IF(OR($AW66="",COUNTIF($ED$4:$EH$4,$AW66)&gt;0),$AV66,"")</f>
        <v/>
      </c>
      <c r="JQ66" s="152">
        <f>IF(AND($AX66=1,OR($AW66="",COUNTIF($ED$4:$EH$4,$AW66)&gt;0)),$AV66,"")</f>
        <v/>
      </c>
      <c r="JV66" s="152">
        <f>IF(OR($AW66="",COUNTIF($ED$5:$EH$5,$AW66)&gt;0),$AV66,"")</f>
        <v/>
      </c>
      <c r="JW66" s="152">
        <f>IF(AND($AX66=1,OR($AW66="",COUNTIF($ED$5:$EH$5,$AW66)&gt;0)),$AV66,"")</f>
        <v/>
      </c>
      <c r="KB66" s="152">
        <f>IF(OR($AW66="",COUNTIF($ED$6:$EH$6,$AW66)&gt;0),$AV66,"")</f>
        <v/>
      </c>
      <c r="KC66" s="152">
        <f>IF(AND($AX66=1,OR($AW66="",COUNTIF($ED$6:$EH$6,$AW66)&gt;0)),$AV66,"")</f>
        <v/>
      </c>
      <c r="KH66" s="152">
        <f>IF(OR($AW66="",COUNTIF($ED$7:$EH$7,$AW66)&gt;0),$AV66,"")</f>
        <v/>
      </c>
      <c r="KI66" s="152">
        <f>IF(AND($AX66=1,OR($AW66="",COUNTIF($ED$7:$EH$7,$AW66)&gt;0)),$AV66,"")</f>
        <v/>
      </c>
      <c r="KN66" s="152">
        <f>IF(OR($AW66="",COUNTIF($ED$8:$EH$8,$AW66)&gt;0),$AV66,"")</f>
        <v/>
      </c>
      <c r="KO66" s="152">
        <f>IF(AND($AX66=1,OR($AW66="",COUNTIF($ED$8:$EH$8,$AW66)&gt;0)),$AV66,"")</f>
        <v/>
      </c>
      <c r="KT66" s="152">
        <f>IF(OR($AW66="",COUNTIF($ED$9:$EH$9,$AW66)&gt;0),$AV66,"")</f>
        <v/>
      </c>
      <c r="KU66" s="152">
        <f>IF(AND($AX66=1,OR($AW66="",COUNTIF($ED$9:$EH$9,$AW66)&gt;0)),$AV66,"")</f>
        <v/>
      </c>
      <c r="KZ66" s="152">
        <f>IF(OR($AW66="",COUNTIF($ED$10:$EH$10,$AW66)&gt;0),$AV66,"")</f>
        <v/>
      </c>
      <c r="LA66" s="152">
        <f>IF(AND($AX66=1,OR($AW66="",COUNTIF($ED$10:$EH$10,$AW66)&gt;0)),$AV66,"")</f>
        <v/>
      </c>
      <c r="LF66" s="152">
        <f>IF(OR($AW66="",COUNTIF($ED$11:$EH$11,$AW66)&gt;0),$AV66,"")</f>
        <v/>
      </c>
      <c r="LG66" s="152">
        <f>IF(AND($AX66=1,OR($AW66="",COUNTIF($ED$11:$EH$11,$AW66)&gt;0)),$AV66,"")</f>
        <v/>
      </c>
      <c r="LL66" s="152">
        <f>IF(OR($AW66="",COUNTIF($ED$12:$EH$12,$AW66)&gt;0),$AV66,"")</f>
        <v/>
      </c>
      <c r="LM66" s="152">
        <f>IF(AND($AX66=1,OR($AW66="",COUNTIF($ED$12:$EH$12,$AW66)&gt;0)),$AV66,"")</f>
        <v/>
      </c>
      <c r="LR66" s="152">
        <f>IF(OR($AW66="",COUNTIF($ED$13:$EH$13,$AW66)&gt;0),$AV66,"")</f>
        <v/>
      </c>
      <c r="LS66" s="152">
        <f>IF(AND($AX66=1,OR($AW66="",COUNTIF($ED$13:$EH$13,$AW66)&gt;0)),$AV66,"")</f>
        <v/>
      </c>
      <c r="LX66" s="150" t="inlineStr">
        <is>
          <t>Ficha 5 · Escolha da trilha 3</t>
        </is>
      </c>
      <c r="LY66" s="152" t="n">
        <v>5</v>
      </c>
      <c r="LZ66" s="152" t="n">
        <v>2</v>
      </c>
      <c r="MA66" s="152" t="n">
        <v>0</v>
      </c>
      <c r="MB66" s="150" t="inlineStr">
        <is>
          <t>ESCOLHA DA TRILHA 3</t>
        </is>
      </c>
      <c r="MC66" s="152">
        <f>MAX(0,MIN(7,N('INVOCAÇÕES'!$U$952)))</f>
        <v/>
      </c>
      <c r="MD66" s="152">
        <f>'INVOCAÇÕES'!$V$952&amp;""</f>
        <v/>
      </c>
      <c r="ME66" s="152">
        <f>'INVOCAÇÕES'!$U$957&amp;""</f>
        <v/>
      </c>
      <c r="MF66" s="152">
        <f>'INVOCAÇÕES'!$U$958&amp;""</f>
        <v/>
      </c>
      <c r="MG66" s="152">
        <f>'INVOCAÇÕES'!$W$958&amp;""</f>
        <v/>
      </c>
      <c r="MH66" s="152">
        <f>'INVOCAÇÕES'!$V$961&amp;""</f>
        <v/>
      </c>
      <c r="MI66" s="152">
        <f>'INVOCAÇÕES'!$V$962&amp;""</f>
        <v/>
      </c>
      <c r="MJ66" s="152">
        <f>'INVOCAÇÕES'!$V$963&amp;""</f>
        <v/>
      </c>
      <c r="MK66" s="152">
        <f>'INVOCAÇÕES'!$V$964&amp;""</f>
        <v/>
      </c>
      <c r="ML66" s="152">
        <f>'INVOCAÇÕES'!$V$965&amp;""</f>
        <v/>
      </c>
      <c r="MM66" s="152">
        <f>'INVOCAÇÕES'!$V$966&amp;""</f>
        <v/>
      </c>
      <c r="MN66" s="152">
        <f>IF($MD66&lt;&gt;"",1,0)</f>
        <v/>
      </c>
      <c r="MO66" s="152">
        <f>INDEX($FG$2:$FG$13,$LY66)</f>
        <v/>
      </c>
      <c r="MP66" s="152">
        <f>INDEX($FH$2:$FH$13,$LY66)</f>
        <v/>
      </c>
      <c r="MQ66" s="152">
        <f>INDEX($FI$2:$FI$13,$LY66)</f>
        <v/>
      </c>
      <c r="MR66" s="152">
        <f>INDEX($FT$2:$FT$13,$LY66)</f>
        <v/>
      </c>
      <c r="MS66" s="152">
        <f>INDEX($FU$2:$FU$13,$LY66)</f>
        <v/>
      </c>
      <c r="MT66" s="152">
        <f>IFERROR(MATCH($ME66,$V$2:$V$11,0),0)</f>
        <v/>
      </c>
      <c r="MU66" s="152">
        <f>IFERROR(VLOOKUP($MH66,$AV$2:$AZ$84,2,FALSE),"")</f>
        <v/>
      </c>
      <c r="MV66" s="152">
        <f>IFERROR(VLOOKUP($MI66,$AV$2:$AZ$84,2,FALSE),"")</f>
        <v/>
      </c>
      <c r="MW66" s="152">
        <f>IFERROR(VLOOKUP($MJ66,$AV$2:$AZ$84,2,FALSE),"")</f>
        <v/>
      </c>
      <c r="MX66" s="152">
        <f>IFERROR(VLOOKUP($MK66,$AV$2:$AZ$84,2,FALSE),"")</f>
        <v/>
      </c>
      <c r="MY66" s="152">
        <f>IFERROR(VLOOKUP($MH66,$AV$2:$AZ$84,3,FALSE),0)</f>
        <v/>
      </c>
      <c r="MZ66" s="152">
        <f>IFERROR(VLOOKUP($MI66,$AV$2:$AZ$84,3,FALSE),0)</f>
        <v/>
      </c>
      <c r="NA66" s="152">
        <f>IFERROR(VLOOKUP($MJ66,$AV$2:$AZ$84,3,FALSE),0)</f>
        <v/>
      </c>
      <c r="NB66" s="152">
        <f>IFERROR(VLOOKUP($MK66,$AV$2:$AZ$84,3,FALSE),0)</f>
        <v/>
      </c>
      <c r="NC66" s="152">
        <f>IF($MC66=0,0,IF($MT66=0,0,INDEX($X$2:$X$11,$MT66)))</f>
        <v/>
      </c>
      <c r="ND66" s="152">
        <f>IF(OR($MY66=0,$MC66=0),0,$MY66+3*IF(AND($MU66&lt;&gt;"",OR($MU66=INDEX($ED$2:$ED$13,$LY66),$MU66=INDEX($EE$2:$EE$13,$LY66))),1,0))</f>
        <v/>
      </c>
      <c r="NE66" s="152">
        <f>IF(OR($MZ66=0,$MC66=0),0,$MZ66+3*IF(AND($MV66&lt;&gt;"",OR($MV66=INDEX($ED$2:$ED$13,$LY66),$MV66=INDEX($EE$2:$EE$13,$LY66))),1,0))</f>
        <v/>
      </c>
      <c r="NF66" s="152">
        <f>IF(OR($NA66=0,$MC66=0),0,$NA66+3*IF(AND($MW66&lt;&gt;"",OR($MW66=INDEX($ED$2:$ED$13,$LY66),$MW66=INDEX($EE$2:$EE$13,$LY66))),1,0))</f>
        <v/>
      </c>
      <c r="NG66" s="152">
        <f>IF(OR($NB66=0,$MC66=0),0,$NB66+3*IF(AND($MX66&lt;&gt;"",OR($MX66=INDEX($ED$2:$ED$13,$LY66),$MX66=INDEX($EE$2:$EE$13,$LY66))),1,0))</f>
        <v/>
      </c>
      <c r="NH66" s="152">
        <f>IF($MT66=0,0,IF(INDEX($W$2:$W$11,$MT66)="",0,IF(COUNTIF(INDEX($ED$2:$EH$13,$LY66,0),INDEX($W$2:$W$11,$MT66))=0,1,0)))</f>
        <v/>
      </c>
      <c r="NI66" s="152">
        <f>IF(OR($MY66=0,$MU66=""),0,IF(COUNTIF(INDEX($ED$2:$EH$13,$LY66,0),$MU66)=0,1,0))</f>
        <v/>
      </c>
      <c r="NJ66" s="152">
        <f>IF(OR($MZ66=0,$MV66=""),0,IF(COUNTIF(INDEX($ED$2:$EH$13,$LY66,0),$MV66)=0,1,0))</f>
        <v/>
      </c>
      <c r="NK66" s="152">
        <f>IF(OR($NA66=0,$MW66=""),0,IF(COUNTIF(INDEX($ED$2:$EH$13,$LY66,0),$MW66)=0,1,0))</f>
        <v/>
      </c>
      <c r="NL66" s="152">
        <f>IF(OR($NB66=0,$MX66=""),0,IF(COUNTIF(INDEX($ED$2:$EH$13,$LY66,0),$MX66)=0,1,0))</f>
        <v/>
      </c>
      <c r="NM66" s="152">
        <f>IFERROR(VLOOKUP($MH66,$AV$2:$AZ$84,4,FALSE),0)+IFERROR(VLOOKUP($MI66,$AV$2:$AZ$84,4,FALSE),0)+IFERROR(VLOOKUP($MJ66,$AV$2:$AZ$84,4,FALSE),0)+IFERROR(VLOOKUP($MK66,$AV$2:$AZ$84,4,FALSE),0)</f>
        <v/>
      </c>
      <c r="NN66" s="152">
        <f>TEXTJOIN(", ",TRUE,IF(IFERROR(VLOOKUP($MH66,$AV$2:$AZ$84,5,FALSE),0)=1,$MH66,""),IF(IFERROR(VLOOKUP($MI66,$AV$2:$AZ$84,5,FALSE),0)=1,$MI66,""),IF(IFERROR(VLOOKUP($MJ66,$AV$2:$AZ$84,5,FALSE),0)=1,$MJ66,""),IF(IFERROR(VLOOKUP($MK66,$AV$2:$AZ$84,5,FALSE),0)=1,$MK66,""))</f>
        <v/>
      </c>
      <c r="NO66" s="152">
        <f>IF($MT66=0,0,INDEX($Y$2:$Y$11,$MT66))</f>
        <v/>
      </c>
      <c r="NP66" s="152">
        <f>IF($MT66=0,0,INDEX($Z$2:$Z$11,$MT66))</f>
        <v/>
      </c>
      <c r="NQ66" s="152">
        <f>IF($MT66=0,0,INDEX($AB$2:$AB$11,$MT66))</f>
        <v/>
      </c>
      <c r="NR66" s="152">
        <f>IFERROR(VLOOKUP($ML66,$BB$2:$BF$24,3,FALSE),0)</f>
        <v/>
      </c>
      <c r="NS66" s="152">
        <f>IFERROR(VLOOKUP($MM66,$BB$2:$BF$24,3,FALSE),0)</f>
        <v/>
      </c>
      <c r="NT66" s="152">
        <f>IFERROR(VLOOKUP($ML66,$BB$2:$BF$24,2,FALSE),"")</f>
        <v/>
      </c>
      <c r="NU66" s="152">
        <f>IFERROR(VLOOKUP($MM66,$BB$2:$BF$24,2,FALSE),"")</f>
        <v/>
      </c>
      <c r="NV66" s="152">
        <f>COUNTIF($NC66:$NG66,1)</f>
        <v/>
      </c>
      <c r="NW66" s="152">
        <f>COUNTIF($NC66:$NG66,2)</f>
        <v/>
      </c>
      <c r="NX66" s="152">
        <f>COUNTIF($NC66:$NG66,3)</f>
        <v/>
      </c>
      <c r="NY66" s="152">
        <f>COUNTIF($NC66:$NG66,4)</f>
        <v/>
      </c>
      <c r="NZ66" s="152">
        <f>COUNTIF($NC66:$NG66,5)</f>
        <v/>
      </c>
      <c r="OA66" s="152">
        <f>COUNTIF($NC66:$NG66,6)</f>
        <v/>
      </c>
      <c r="OB66" s="152">
        <f>COUNTIF($NR66:$NS66,1)</f>
        <v/>
      </c>
      <c r="OC66" s="152">
        <f>COUNTIF($NR66:$NS66,2)+$NO66</f>
        <v/>
      </c>
      <c r="OD66" s="152">
        <f>COUNTIF($MH66:$MK66,"?*")</f>
        <v/>
      </c>
      <c r="OE66" s="152">
        <f>COUNTIF($ML66:$MM66,"?*")+$NO66</f>
        <v/>
      </c>
      <c r="OF66" s="152">
        <f>IF($MC66=0,0,SUMPRODUCT($NV66:$OA66,INDEX($I$2:$N$8,MAX(1,$MC66),0)))</f>
        <v/>
      </c>
      <c r="OG66" s="152">
        <f>IF($MC66=0,0,$OB66*CEILING($MC66/2,1)+$OC66*$MC66)</f>
        <v/>
      </c>
      <c r="OH66" s="152">
        <f>MIN(2*$MC66,$OG66)</f>
        <v/>
      </c>
      <c r="OI66" s="152">
        <f>MIN($OH66,$OF66)</f>
        <v/>
      </c>
      <c r="OJ66" s="152">
        <f>$OH66-$OI66</f>
        <v/>
      </c>
      <c r="OK66" s="152">
        <f>IF($MC66=0,0,INDEX($P$2:$P$8,MAX(1,$MC66)))</f>
        <v/>
      </c>
      <c r="OL66" s="152">
        <f>$OK66-$OF66+$OI66</f>
        <v/>
      </c>
      <c r="OM66" s="152">
        <f>IF($MC66=0,MAX(0,$MQ66-IF($OD66&gt;0,1,0)),MAX(0,$OL66))</f>
        <v/>
      </c>
      <c r="ON66" s="152">
        <f>IF($MC66=0,0,(IF(COUNTIF($MH66:$MK66,"Salto")&gt;0,1,0)+IF(COUNTIF($MH66:$MK66,"Queima")&gt;0,1,0)+IF(COUNTIF($MH66:$MK66,"Estilhaço")&gt;0,1,0))*FLOOR($OM66/2,1))</f>
        <v/>
      </c>
      <c r="OO66" s="152">
        <f>MAX(0,2-SUMPRODUCT($NV66:$OA66,$I$2:$N$2)+MIN(2,$OB66*1+$OC66*1,SUMPRODUCT($NV66:$OA66,$I$2:$N$2)))</f>
        <v/>
      </c>
      <c r="OP66" s="152">
        <f>MAX(0,4-SUMPRODUCT($NV66:$OA66,$I$3:$N$3)+MIN(4,$OB66*1+$OC66*2,SUMPRODUCT($NV66:$OA66,$I$3:$N$3)))</f>
        <v/>
      </c>
      <c r="OQ66" s="152">
        <f>MAX(0,6-SUMPRODUCT($NV66:$OA66,$I$4:$N$4)+MIN(6,$OB66*2+$OC66*3,SUMPRODUCT($NV66:$OA66,$I$4:$N$4)))</f>
        <v/>
      </c>
      <c r="OR66" s="152">
        <f>MAX(0,9-SUMPRODUCT($NV66:$OA66,$I$5:$N$5)+MIN(8,$OB66*2+$OC66*4,SUMPRODUCT($NV66:$OA66,$I$5:$N$5)))</f>
        <v/>
      </c>
      <c r="OS66" s="152">
        <f>MAX(0,11-SUMPRODUCT($NV66:$OA66,$I$6:$N$6)+MIN(10,$OB66*3+$OC66*5,SUMPRODUCT($NV66:$OA66,$I$6:$N$6)))</f>
        <v/>
      </c>
      <c r="OT66" s="152">
        <f>MAX(0,13-SUMPRODUCT($NV66:$OA66,$I$7:$N$7)+MIN(12,$OB66*3+$OC66*6,SUMPRODUCT($NV66:$OA66,$I$7:$N$7)))</f>
        <v/>
      </c>
      <c r="OU66" s="152">
        <f>MAX(0,16-SUMPRODUCT($NV66:$OA66,$I$8:$N$8)+MIN(14,$OB66*4+$OC66*7,SUMPRODUCT($NV66:$OA66,$I$8:$N$8)))</f>
        <v/>
      </c>
      <c r="OV66" s="152">
        <f>IF($NP66=2,3*$OO66&amp;" de vida temp.",IF($NP66=3,"sem dano",IF($OO66=0,IF($NP66=1,"sem cura","sem dano"),IF($NP66=1,"cura ","")&amp;$OO66&amp;"d8")))</f>
        <v/>
      </c>
      <c r="OW66" s="152">
        <f>IF($NP66=2,3*$OP66&amp;" de vida temp.",IF($NP66=3,"sem dano",IF($OP66=0,IF($NP66=1,"sem cura","sem dano"),IF($NP66=1,"cura ","")&amp;$OP66&amp;"d8")))</f>
        <v/>
      </c>
      <c r="OX66" s="152">
        <f>IF($NP66=2,3*$OQ66&amp;" de vida temp.",IF($NP66=3,"sem dano",IF($OQ66=0,IF($NP66=1,"sem cura","sem dano"),IF($NP66=1,"cura ","")&amp;$OQ66&amp;"d8")))</f>
        <v/>
      </c>
      <c r="OY66" s="152">
        <f>IF($NP66=2,3*$OR66&amp;" de vida temp.",IF($NP66=3,"sem dano",IF($OR66=0,IF($NP66=1,"sem cura","sem dano"),IF($NP66=1,"cura ","")&amp;$OR66&amp;"d8")))</f>
        <v/>
      </c>
      <c r="OZ66" s="152">
        <f>IF($NP66=2,3*$OS66&amp;" de vida temp.",IF($NP66=3,"sem dano",IF($OS66=0,IF($NP66=1,"sem cura","sem dano"),IF($NP66=1,"cura ","")&amp;$OS66&amp;"d8")))</f>
        <v/>
      </c>
      <c r="PA66" s="152">
        <f>IF($NP66=2,3*$OT66&amp;" de vida temp.",IF($NP66=3,"sem dano",IF($OT66=0,IF($NP66=1,"sem cura","sem dano"),IF($NP66=1,"cura ","")&amp;$OT66&amp;"d8")))</f>
        <v/>
      </c>
      <c r="PB66" s="152">
        <f>IF($NP66=2,3*$OU66&amp;" de vida temp.",IF($NP66=3,"sem dano",IF($OU66=0,IF($NP66=1,"sem cura","sem dano"),IF($NP66=1,"cura ","")&amp;$OU66&amp;"d8")))</f>
        <v/>
      </c>
      <c r="PC66" s="152">
        <f>IF($MN66=0,"",TEXTJOIN(" · ",TRUE,IF($MA66&gt;$MO66,"Este lugar abre no nível "&amp;$MA66,""),IF($MC66&gt;$MP66,"Classe "&amp;$MC66&amp;": o nível "&amp;$MO66&amp;" libera até a "&amp;$MP66,""),IF($NH66=1,"A Forma "&amp;$ME66&amp;" pede "&amp;INDEX($W$2:$W$11,$MT66)&amp;" aberta",""),IF(AND($MC66=0,$MT66&gt;0,IF($MT66=0,0,INDEX($AF$2:$AF$11,$MT66))=0),$ME66&amp;" não existe na Classe 0",""),IF($NI66=1,"Família Fechada: "&amp;$MH66,""),IF($NJ66=1,"Família Fechada: "&amp;$MI66,""),IF($NK66=1,"Família Fechada: "&amp;$MJ66,""),IF($NL66=1,"Família Fechada: "&amp;$MK66,""),IF(AND($MC66&gt;0,$OD66&gt;INDEX($O$2:$O$8,MAX(1,$MC66))),$OD66&amp;" Melhorias: a Classe "&amp;$MC66&amp;" aceita "&amp;INDEX($O$2:$O$8,MAX(1,$MC66)),""),IF(AND($MC66=0,$OD66&gt;1),"A básica aceita uma Melhoria",""),IF(AND($MC66=0,COUNTIF($MY66:$NB66,"&gt;1")&gt;0),"A básica só aceita Melhoria Leve",""),IF(AND($MC66&gt;0,$OE66&gt;2),$OE66&amp;" Restrições"&amp;IF($NO66=1,", contando a que a Forma "&amp;$ME66&amp;" já traz","")&amp;": o limite é 2",""),IF(AND($MC66=0,COUNTIF($ML66:$MM66,"?*")&gt;1),"A básica aceita uma Restrição Leve",""),IF(AND($MC66=0,COUNTIF($NR66:$NS66,2)&gt;0),"A básica só aceita Restrição Leve",""),IF(AND($MC66&gt;0,$OL66&lt;0),"Orçamento estourado: faltam "&amp;(-$OL66)&amp;IF($OL66&lt;-1," pontos"," ponto"),""),IF(IFERROR(VLOOKUP($ML66,$BB$2:$BF$24,4,FALSE),0)+IFERROR(VLOOKUP($MM66,$BB$2:$BF$24,4,FALSE),0)&gt;1,$NT66&amp;" e "&amp;$NU66&amp;" são as duas de frequência",""),IF(AND((COUNTIF($MH66:$MK66,"Rápido")+COUNTIF($NT66:$NU66,"Rápido"))&gt;0,(COUNTIF($MH66:$MK66,"Atrasar")+COUNTIF($NT66:$NU66,"Atrasar"))&gt;0),"Rápido não entra com Atrasar",""),IF(AND((COUNTIF($MH66:$MK66,"Reação")+COUNTIF($NT66:$NU66,"Reação"))&gt;0,(COUNTIF($MH66:$MK66,"Rápido")+COUNTIF($NT66:$NU66,"Rápido"))&gt;0),"Reação não entra com Rápido",""),IF(AND((COUNTIF($MH66:$MK66,"Reação")+COUNTIF($NT66:$NU66,"Reação"))&gt;0,(COUNTIF($MH66:$MK66,"Armado")+COUNTIF($NT66:$NU66,"Armado"))&gt;0),"Reação não entra com Armado",""),IF(AND((COUNTIF($MH66:$MK66,"Reação")+COUNTIF($NT66:$NU66,"Reação"))&gt;0,(COUNTIF($MH66:$MK66,"Atrasar")+COUNTIF($NT66:$NU66,"Atrasar"))&gt;0),"Reação não entra com Atrasar",""),IF(AND((COUNTIF($MH66:$MK66,"Reação")+COUNTIF($NT66:$NU66,"Reação"))&gt;0,(COUNTIF($MH66:$MK66,"Parado")+COUNTIF($NT66:$NU66,"Parado"))&gt;0),"Reação não entra com Parado",""),IF(AND((COUNTIF($MH66:$MK66,"Atrasar")+COUNTIF($NT66:$NU66,"Atrasar"))&gt;0,(COUNTIF($MH66:$MK66,"Parado")+COUNTIF($NT66:$NU66,"Parado"))&gt;0),"Atrasar não entra com Parado",""),IF(AND((COUNTIF($MH66:$MK66,"Armado")+COUNTIF($NT66:$NU66,"Armado"))&gt;0,(COUNTIF($MH66:$MK66,"Carregar")+COUNTIF($NT66:$NU66,"Carregar"))&gt;0),"Armado não entra com Carregar",""),IF(AND(COUNTIF($NT66:$NU66,"Corpo a Corpo")&gt;0,$NO66=0,OR($ME66="Cone",$ME66="Linha")),"Corpo a Corpo não entra em "&amp;$ME66,""),IF(AND(COUNTIF($NT66:$NU66,"Corpo a Corpo")&gt;0,$NO66=1),"A Forma "&amp;$ME66&amp;" já traz o Corpo a Corpo",""),IF(AND(COUNTIF($NT66:$NU66,"Tudo ou Nada")&gt;0,$NQ66=0),"Tudo ou Nada só entra em habilidade de Teste de Resistência",""),IF(AND(COUNTIF($MH66:$MK66,"Inescapável")&gt;0,OR($OD66&gt;1,$OE66&gt;0)),"Inescapável não aceita outra peça",""),IF(AND($MC66&gt;0,$OM66*IF(COUNTIF($MH66:$MK66,"Remate")&gt;0,1.25,1)+$ON66&gt;4*$MC66),($OM66*IF(COUNTIF($MH66:$MK66,"Remate")&gt;0,1.25,1)+$ON66)&amp;" dados somando repetições"&amp;IF(COUNTIF($MH66:$MK66,"Remate")&gt;0," e o Remate","")&amp;": o teto da Classe "&amp;$MC66&amp;" é "&amp;4*$MC66,"")))</f>
        <v/>
      </c>
      <c r="PD66" s="152">
        <f>IF($PC66="",0,(LEN($PC66)-LEN(SUBSTITUTE($PC66," · ","")))/3+1)</f>
        <v/>
      </c>
      <c r="PE66" s="152">
        <f>IF($MN66=0,"",TEXTJOIN(" · ",TRUE,IF($OG66&gt;2*$MC66,"A devolução parou no teto de "&amp;2*$MC66,""),IF($OJ66&gt;0,"Devolução perdida: "&amp;$OJ66&amp;IF($OJ66&gt;1," pontos"," ponto")&amp;" sem peça para pagar",""),IF(AND($NM66&gt;0,AND($MC66&gt;0,$NP66=0),$OM66=0),"Controle sem dano: uma rodada a mais e CD +2",""),IF(AND($NM66&gt;0,AND($MC66&gt;0,$NP66=0),$OM66&gt;0,$OM66&lt;=$MC66),"Controle com saldo até a Classe: uma rodada a mais",""),IF(AND($MC66&gt;0,$NN66&lt;&gt;""),"Efeito de "&amp;$NN66&amp;" pela Classe "&amp;MAX(1,$MC66-1),"")))</f>
        <v/>
      </c>
      <c r="PF66" s="152">
        <f>IF($PE66="",0,(LEN($PE66)-LEN(SUBSTITUTE($PE66," · ","")))/3+1)</f>
        <v/>
      </c>
      <c r="PG66" s="152">
        <f>IF($MN66=0,IF($OD66+COUNTIF($ML66:$MM66,"?*")&gt;0,"Dê um nome",""),IF($PD66&gt;0,"⚠ "&amp;$PD66&amp;IF($PD66&gt;1," erros"," erro"),IF($PF66&gt;0,"! "&amp;$PF66&amp;IF($PF66&gt;1," avisos"," aviso"),"Na regra")))</f>
        <v/>
      </c>
      <c r="PH66" s="152">
        <f>IF($MN66=0,"",IF($PD66+$PF66=0,"Dentro das regras que a ficha confere",$PC66&amp;IF(AND($PD66&gt;0,$PF66&gt;0)," · ","")&amp;$PE66))</f>
        <v/>
      </c>
      <c r="PI66" s="152">
        <f>IF($MA66&gt;$MO66,$MB66&amp;" · ABRE NO NÍVEL "&amp;$MA66,$MB66)</f>
        <v/>
      </c>
      <c r="PJ66" s="152">
        <f>IF($MN66=0,"",IF($MC66=0,"Sem PE",3*$MC66&amp;" PE"))</f>
        <v/>
      </c>
      <c r="PK66" s="152">
        <f>IF($MN66=0,"",IF($MC66=0,"A atuação básica dela",IF(COUNTIF($NT66:$NU66,"Atrasar")&gt;0,"Sua Ação Completa",IF(COUNTIF($MH66:$MK66,"Rápido")&gt;0,"Sua Bônus",IF(COUNTIF($MH66:$MK66,"Reação")&gt;0,"Sua Reação","Sua Padrão")))&amp;" + a básica dela"&amp;IF(COUNTIF($MH66:$MK66,"Reação")&gt;0," e a coletiva","")&amp;IF(COUNTIF($NT66:$NU66,"Carregar")&gt;0," · em dois turnos","")))</f>
        <v/>
      </c>
      <c r="PL66" s="152">
        <f>IF($MG66&lt;&gt;"",$MG66,IF($MT66=0,"",INDEX($AA$2:$AA$11,$MT66)))</f>
        <v/>
      </c>
      <c r="PM66" s="152">
        <f>IF(OR($MN66=0,$MT66=0),"",IF(COUNTIF($MH66:$MK66,"Inescapável")&gt;0,"Automático",IF($PL66="Ataque",IF($MR66="","Ataque","Ataque "&amp;IF(($MR66+2*IF(COUNTIF($MH66:$MK66,"Precisão")&gt;0,1,0))&gt;=0,"+","−")&amp;ABS(($MR66+2*IF(COUNTIF($MH66:$MK66,"Precisão")&gt;0,1,0)))),IF(LEFT($PL66,2)="TR",$PL66&amp;IF($MS66="",""," · CD "&amp;$MS66)&amp;IF(COUNTIF($MH66:$MK66,"Certeiro")&gt;0," · metade",""),"Sem rolagem"))))</f>
        <v/>
      </c>
      <c r="PN66" s="152">
        <f>IF(OR($MN66=0,$MT66=0),"",IF($MC66=0,IF(OR($NP66&gt;=1,$OM66=0),"Sem dano",$OM66&amp;"d6"&amp;IF($MF66="",""," "&amp;$MF66)),IF(OR($NP66&gt;=1,$OM66=0),UPPER(LEFT(INDEX($OV66:$PB66,1,MAX(1,$MC66)),1))&amp;MID(INDEX($OV66:$PB66,1,MAX(1,$MC66)),2,99),UPPER(LEFT(INDEX($OV66:$PB66,1,MAX(1,$MC66)),1))&amp;MID(INDEX($OV66:$PB66,1,MAX(1,$MC66)),2,99)&amp;IF($MF66="",""," "&amp;$MF66)&amp;IF($ON66&gt;0," · +"&amp;$ON66&amp;"d8",""))))</f>
        <v/>
      </c>
      <c r="PO66" s="152">
        <f>COUNTIF($MH66:$MK66,"Longe")+3*COUNTIF($MH66:$MK66,"Muito Longe")</f>
        <v/>
      </c>
      <c r="PP66" s="152">
        <f>COUNTIF($MH66:$MK66,"Maior")+3*COUNTIF($MH66:$MK66,"Muito Maior")</f>
        <v/>
      </c>
      <c r="PQ66" s="152">
        <f>IF($MT66=0,0,CHOOSE(1+INDEX($AC$2:$AC$11,$MT66),0,$PO66,$PP66,$PO66+$PP66))</f>
        <v/>
      </c>
      <c r="PR66" s="152">
        <f>IF($MT66=0,0,CHOOSE(1+INDEX($AD$2:$AD$11,$MT66),0,$PO66,$PP66,$PO66+$PP66))</f>
        <v/>
      </c>
      <c r="PS66" s="152">
        <f>IF(OR($MN66=0,$MT66=0),"",INDEX($AI$2:$AN$41,($MT66-1)*4+IF($MC66=0,1,IF($MC66&lt;=5,2,IF($MC66=6,3,4))),1+MIN(5,$PQ66))&amp;INDEX($AO$2:$AT$41,($MT66-1)*4+IF($MC66=0,1,IF($MC66&lt;=5,2,IF($MC66=6,3,4))),1+MIN(5,$PR66))&amp;IF(INDEX($AE$2:$AE$11,$MT66)=1,IF(COUNTIF($MH66:$MK66,"Mais Um")&gt;0," · +"&amp;COUNTIF($MH66:$MK66,"Mais Um")&amp;IF(COUNTIF($MH66:$MK66,"Mais Um")&gt;1," alvos"," alvo"),"")&amp;IF(COUNTIF($MH66:$MK66,"Rajada")&gt;0,IF($MC66=0," · 1 tiro"," · "&amp;(MAX(1,$MC66-1)+1)&amp;" tiros"),""),""))</f>
        <v/>
      </c>
      <c r="PT66" s="152">
        <f>IF($MN66=0,"",IF($MC66=0,$MQ66&amp;"d6"&amp;IF($OD66&gt;0," − 1 = "&amp;$OM66&amp;"d6"," da básica do nível "&amp;$MO66),$OK66&amp;" − "&amp;$OF66&amp;" + "&amp;$OI66&amp;" = "&amp;$OL66&amp;" · teto "&amp;4*$MC66&amp;"d8"&amp;IF($NO66=1," · a Forma devolve "&amp;$MC66,"")&amp;IF($OJ66&gt;0," · perde "&amp;$OJ66,"")))</f>
        <v/>
      </c>
      <c r="PU66" s="152">
        <f>IF($MN66=0,"",IF($MC66=0,"A básica não amplia: os dados dela sobem com o nível",IF($MC66&gt;=$MP66,"Já está na maior Classe que o nível liberou",TEXTJOIN(" · ",TRUE,IF(AND(2&gt;$MC66,2&lt;=$MP66),"2 → "&amp;$OW66&amp;", 6 PE",""),IF(AND(3&gt;$MC66,3&lt;=$MP66),"3 → "&amp;$OX66&amp;", 9 PE",""),IF(AND(4&gt;$MC66,4&lt;=$MP66),"4 → "&amp;$OY66&amp;", 12 PE",""),IF(AND(5&gt;$MC66,5&lt;=$MP66),"5 → "&amp;$OZ66&amp;", 15 PE",""),IF(AND(6&gt;$MC66,6&lt;=$MP66),"6 → "&amp;$PA66&amp;", 18 PE",""),IF(AND(7&gt;$MC66,7&lt;=$MP66),"7 → "&amp;$PB66&amp;", 21 PE","")))))</f>
        <v/>
      </c>
      <c r="PV66" s="152">
        <f>IF(OR($MN66=0,$MY66=0),"",IF($MC66=0,"−1 dado","−"&amp;INDEX($I$2:$N$8,MAX(1,$MC66),MAX(1,$ND66))&amp;" · "&amp;CHOOSE(MAX(1,$ND66),"Leve","Média","Pesada","Leve · Livre","Média · Livre","Pesada · Livre")))</f>
        <v/>
      </c>
      <c r="PW66" s="152">
        <f>IF(OR($MN66=0,$MZ66=0),"",IF($MC66=0,"−1 dado","−"&amp;INDEX($I$2:$N$8,MAX(1,$MC66),MAX(1,$NE66))&amp;" · "&amp;CHOOSE(MAX(1,$NE66),"Leve","Média","Pesada","Leve · Livre","Média · Livre","Pesada · Livre")))</f>
        <v/>
      </c>
      <c r="PX66" s="152">
        <f>IF(OR($MN66=0,$NA66=0),"",IF($MC66=0,"−1 dado","−"&amp;INDEX($I$2:$N$8,MAX(1,$MC66),MAX(1,$NF66))&amp;" · "&amp;CHOOSE(MAX(1,$NF66),"Leve","Média","Pesada","Leve · Livre","Média · Livre","Pesada · Livre")))</f>
        <v/>
      </c>
      <c r="PY66" s="152">
        <f>IF(OR($MN66=0,$NB66=0),"",IF($MC66=0,"−1 dado","−"&amp;INDEX($I$2:$N$8,MAX(1,$MC66),MAX(1,$NG66))&amp;" · "&amp;CHOOSE(MAX(1,$NG66),"Leve","Média","Pesada","Leve · Livre","Média · Livre","Pesada · Livre")))</f>
        <v/>
      </c>
      <c r="PZ66" s="152">
        <f>IF(OR($MN66=0,$ML66=""),"",IF($MC66=0,"não devolve","+"&amp;IF($NR66=1,CEILING($MC66/2,1),$MC66)))</f>
        <v/>
      </c>
      <c r="QA66" s="152">
        <f>IF(OR($MN66=0,$MM66=""),"",IF($MC66=0,"não devolve","+"&amp;IF($NS66=1,CEILING($MC66/2,1),$MC66)))</f>
        <v/>
      </c>
    </row>
    <row r="67">
      <c r="AV67" s="150" t="inlineStr">
        <is>
          <t>Duradoura</t>
        </is>
      </c>
      <c r="AW67" s="150" t="inlineStr">
        <is>
          <t>Tempo</t>
        </is>
      </c>
      <c r="AX67" s="152" t="n">
        <v>2</v>
      </c>
      <c r="AY67" s="152" t="n">
        <v>0</v>
      </c>
      <c r="AZ67" s="152" t="n">
        <v>0</v>
      </c>
      <c r="JD67" s="152">
        <f>IF(OR($AW67="",COUNTIF($ED$2:$EH$2,$AW67)&gt;0),$AV67,"")</f>
        <v/>
      </c>
      <c r="JE67" s="152">
        <f>IF(AND($AX67=1,OR($AW67="",COUNTIF($ED$2:$EH$2,$AW67)&gt;0)),$AV67,"")</f>
        <v/>
      </c>
      <c r="JJ67" s="152">
        <f>IF(OR($AW67="",COUNTIF($ED$3:$EH$3,$AW67)&gt;0),$AV67,"")</f>
        <v/>
      </c>
      <c r="JK67" s="152">
        <f>IF(AND($AX67=1,OR($AW67="",COUNTIF($ED$3:$EH$3,$AW67)&gt;0)),$AV67,"")</f>
        <v/>
      </c>
      <c r="JP67" s="152">
        <f>IF(OR($AW67="",COUNTIF($ED$4:$EH$4,$AW67)&gt;0),$AV67,"")</f>
        <v/>
      </c>
      <c r="JQ67" s="152">
        <f>IF(AND($AX67=1,OR($AW67="",COUNTIF($ED$4:$EH$4,$AW67)&gt;0)),$AV67,"")</f>
        <v/>
      </c>
      <c r="JV67" s="152">
        <f>IF(OR($AW67="",COUNTIF($ED$5:$EH$5,$AW67)&gt;0),$AV67,"")</f>
        <v/>
      </c>
      <c r="JW67" s="152">
        <f>IF(AND($AX67=1,OR($AW67="",COUNTIF($ED$5:$EH$5,$AW67)&gt;0)),$AV67,"")</f>
        <v/>
      </c>
      <c r="KB67" s="152">
        <f>IF(OR($AW67="",COUNTIF($ED$6:$EH$6,$AW67)&gt;0),$AV67,"")</f>
        <v/>
      </c>
      <c r="KC67" s="152">
        <f>IF(AND($AX67=1,OR($AW67="",COUNTIF($ED$6:$EH$6,$AW67)&gt;0)),$AV67,"")</f>
        <v/>
      </c>
      <c r="KH67" s="152">
        <f>IF(OR($AW67="",COUNTIF($ED$7:$EH$7,$AW67)&gt;0),$AV67,"")</f>
        <v/>
      </c>
      <c r="KI67" s="152">
        <f>IF(AND($AX67=1,OR($AW67="",COUNTIF($ED$7:$EH$7,$AW67)&gt;0)),$AV67,"")</f>
        <v/>
      </c>
      <c r="KN67" s="152">
        <f>IF(OR($AW67="",COUNTIF($ED$8:$EH$8,$AW67)&gt;0),$AV67,"")</f>
        <v/>
      </c>
      <c r="KO67" s="152">
        <f>IF(AND($AX67=1,OR($AW67="",COUNTIF($ED$8:$EH$8,$AW67)&gt;0)),$AV67,"")</f>
        <v/>
      </c>
      <c r="KT67" s="152">
        <f>IF(OR($AW67="",COUNTIF($ED$9:$EH$9,$AW67)&gt;0),$AV67,"")</f>
        <v/>
      </c>
      <c r="KU67" s="152">
        <f>IF(AND($AX67=1,OR($AW67="",COUNTIF($ED$9:$EH$9,$AW67)&gt;0)),$AV67,"")</f>
        <v/>
      </c>
      <c r="KZ67" s="152">
        <f>IF(OR($AW67="",COUNTIF($ED$10:$EH$10,$AW67)&gt;0),$AV67,"")</f>
        <v/>
      </c>
      <c r="LA67" s="152">
        <f>IF(AND($AX67=1,OR($AW67="",COUNTIF($ED$10:$EH$10,$AW67)&gt;0)),$AV67,"")</f>
        <v/>
      </c>
      <c r="LF67" s="152">
        <f>IF(OR($AW67="",COUNTIF($ED$11:$EH$11,$AW67)&gt;0),$AV67,"")</f>
        <v/>
      </c>
      <c r="LG67" s="152">
        <f>IF(AND($AX67=1,OR($AW67="",COUNTIF($ED$11:$EH$11,$AW67)&gt;0)),$AV67,"")</f>
        <v/>
      </c>
      <c r="LL67" s="152">
        <f>IF(OR($AW67="",COUNTIF($ED$12:$EH$12,$AW67)&gt;0),$AV67,"")</f>
        <v/>
      </c>
      <c r="LM67" s="152">
        <f>IF(AND($AX67=1,OR($AW67="",COUNTIF($ED$12:$EH$12,$AW67)&gt;0)),$AV67,"")</f>
        <v/>
      </c>
      <c r="LR67" s="152">
        <f>IF(OR($AW67="",COUNTIF($ED$13:$EH$13,$AW67)&gt;0),$AV67,"")</f>
        <v/>
      </c>
      <c r="LS67" s="152">
        <f>IF(AND($AX67=1,OR($AW67="",COUNTIF($ED$13:$EH$13,$AW67)&gt;0)),$AV67,"")</f>
        <v/>
      </c>
      <c r="LX67" s="150" t="inlineStr">
        <is>
          <t>Ficha 6 · Básica 1</t>
        </is>
      </c>
      <c r="LY67" s="152" t="n">
        <v>6</v>
      </c>
      <c r="LZ67" s="152" t="n">
        <v>0</v>
      </c>
      <c r="MA67" s="152" t="n">
        <v>1</v>
      </c>
      <c r="MB67" s="150" t="inlineStr">
        <is>
          <t>BÁSICA 1</t>
        </is>
      </c>
      <c r="MC67" s="152" t="n">
        <v>0</v>
      </c>
      <c r="MD67" s="152">
        <f>'INVOCAÇÕES'!$J$1048&amp;""</f>
        <v/>
      </c>
      <c r="ME67" s="152">
        <f>'INVOCAÇÕES'!$I$1053&amp;""</f>
        <v/>
      </c>
      <c r="MF67" s="152">
        <f>'INVOCAÇÕES'!$I$1054&amp;""</f>
        <v/>
      </c>
      <c r="MG67" s="152">
        <f>'INVOCAÇÕES'!$K$1054&amp;""</f>
        <v/>
      </c>
      <c r="MH67" s="152">
        <f>'INVOCAÇÕES'!$J$1057&amp;""</f>
        <v/>
      </c>
      <c r="MI67" s="152">
        <f>'INVOCAÇÕES'!$J$1058&amp;""</f>
        <v/>
      </c>
      <c r="MJ67" s="152">
        <f>'INVOCAÇÕES'!$J$1059&amp;""</f>
        <v/>
      </c>
      <c r="MK67" s="152">
        <f>'INVOCAÇÕES'!$J$1060&amp;""</f>
        <v/>
      </c>
      <c r="ML67" s="152">
        <f>'INVOCAÇÕES'!$J$1061&amp;""</f>
        <v/>
      </c>
      <c r="MM67" s="152">
        <f>'INVOCAÇÕES'!$J$1062&amp;""</f>
        <v/>
      </c>
      <c r="MN67" s="152">
        <f>IF($MD67&lt;&gt;"",1,0)</f>
        <v/>
      </c>
      <c r="MO67" s="152">
        <f>INDEX($FG$2:$FG$13,$LY67)</f>
        <v/>
      </c>
      <c r="MP67" s="152">
        <f>INDEX($FH$2:$FH$13,$LY67)</f>
        <v/>
      </c>
      <c r="MQ67" s="152">
        <f>INDEX($FI$2:$FI$13,$LY67)</f>
        <v/>
      </c>
      <c r="MR67" s="152">
        <f>INDEX($FT$2:$FT$13,$LY67)</f>
        <v/>
      </c>
      <c r="MS67" s="152">
        <f>INDEX($FU$2:$FU$13,$LY67)</f>
        <v/>
      </c>
      <c r="MT67" s="152">
        <f>IFERROR(MATCH($ME67,$V$2:$V$11,0),0)</f>
        <v/>
      </c>
      <c r="MU67" s="152">
        <f>IFERROR(VLOOKUP($MH67,$AV$2:$AZ$84,2,FALSE),"")</f>
        <v/>
      </c>
      <c r="MV67" s="152">
        <f>IFERROR(VLOOKUP($MI67,$AV$2:$AZ$84,2,FALSE),"")</f>
        <v/>
      </c>
      <c r="MW67" s="152">
        <f>IFERROR(VLOOKUP($MJ67,$AV$2:$AZ$84,2,FALSE),"")</f>
        <v/>
      </c>
      <c r="MX67" s="152">
        <f>IFERROR(VLOOKUP($MK67,$AV$2:$AZ$84,2,FALSE),"")</f>
        <v/>
      </c>
      <c r="MY67" s="152">
        <f>IFERROR(VLOOKUP($MH67,$AV$2:$AZ$84,3,FALSE),0)</f>
        <v/>
      </c>
      <c r="MZ67" s="152">
        <f>IFERROR(VLOOKUP($MI67,$AV$2:$AZ$84,3,FALSE),0)</f>
        <v/>
      </c>
      <c r="NA67" s="152">
        <f>IFERROR(VLOOKUP($MJ67,$AV$2:$AZ$84,3,FALSE),0)</f>
        <v/>
      </c>
      <c r="NB67" s="152">
        <f>IFERROR(VLOOKUP($MK67,$AV$2:$AZ$84,3,FALSE),0)</f>
        <v/>
      </c>
      <c r="NC67" s="152">
        <f>IF($MC67=0,0,IF($MT67=0,0,INDEX($X$2:$X$11,$MT67)))</f>
        <v/>
      </c>
      <c r="ND67" s="152">
        <f>IF(OR($MY67=0,$MC67=0),0,$MY67+3*IF(AND($MU67&lt;&gt;"",OR($MU67=INDEX($ED$2:$ED$13,$LY67),$MU67=INDEX($EE$2:$EE$13,$LY67))),1,0))</f>
        <v/>
      </c>
      <c r="NE67" s="152">
        <f>IF(OR($MZ67=0,$MC67=0),0,$MZ67+3*IF(AND($MV67&lt;&gt;"",OR($MV67=INDEX($ED$2:$ED$13,$LY67),$MV67=INDEX($EE$2:$EE$13,$LY67))),1,0))</f>
        <v/>
      </c>
      <c r="NF67" s="152">
        <f>IF(OR($NA67=0,$MC67=0),0,$NA67+3*IF(AND($MW67&lt;&gt;"",OR($MW67=INDEX($ED$2:$ED$13,$LY67),$MW67=INDEX($EE$2:$EE$13,$LY67))),1,0))</f>
        <v/>
      </c>
      <c r="NG67" s="152">
        <f>IF(OR($NB67=0,$MC67=0),0,$NB67+3*IF(AND($MX67&lt;&gt;"",OR($MX67=INDEX($ED$2:$ED$13,$LY67),$MX67=INDEX($EE$2:$EE$13,$LY67))),1,0))</f>
        <v/>
      </c>
      <c r="NH67" s="152">
        <f>IF($MT67=0,0,IF(INDEX($W$2:$W$11,$MT67)="",0,IF(COUNTIF(INDEX($ED$2:$EH$13,$LY67,0),INDEX($W$2:$W$11,$MT67))=0,1,0)))</f>
        <v/>
      </c>
      <c r="NI67" s="152">
        <f>IF(OR($MY67=0,$MU67=""),0,IF(COUNTIF(INDEX($ED$2:$EH$13,$LY67,0),$MU67)=0,1,0))</f>
        <v/>
      </c>
      <c r="NJ67" s="152">
        <f>IF(OR($MZ67=0,$MV67=""),0,IF(COUNTIF(INDEX($ED$2:$EH$13,$LY67,0),$MV67)=0,1,0))</f>
        <v/>
      </c>
      <c r="NK67" s="152">
        <f>IF(OR($NA67=0,$MW67=""),0,IF(COUNTIF(INDEX($ED$2:$EH$13,$LY67,0),$MW67)=0,1,0))</f>
        <v/>
      </c>
      <c r="NL67" s="152">
        <f>IF(OR($NB67=0,$MX67=""),0,IF(COUNTIF(INDEX($ED$2:$EH$13,$LY67,0),$MX67)=0,1,0))</f>
        <v/>
      </c>
      <c r="NM67" s="152">
        <f>IFERROR(VLOOKUP($MH67,$AV$2:$AZ$84,4,FALSE),0)+IFERROR(VLOOKUP($MI67,$AV$2:$AZ$84,4,FALSE),0)+IFERROR(VLOOKUP($MJ67,$AV$2:$AZ$84,4,FALSE),0)+IFERROR(VLOOKUP($MK67,$AV$2:$AZ$84,4,FALSE),0)</f>
        <v/>
      </c>
      <c r="NN67" s="152">
        <f>TEXTJOIN(", ",TRUE,IF(IFERROR(VLOOKUP($MH67,$AV$2:$AZ$84,5,FALSE),0)=1,$MH67,""),IF(IFERROR(VLOOKUP($MI67,$AV$2:$AZ$84,5,FALSE),0)=1,$MI67,""),IF(IFERROR(VLOOKUP($MJ67,$AV$2:$AZ$84,5,FALSE),0)=1,$MJ67,""),IF(IFERROR(VLOOKUP($MK67,$AV$2:$AZ$84,5,FALSE),0)=1,$MK67,""))</f>
        <v/>
      </c>
      <c r="NO67" s="152">
        <f>IF($MT67=0,0,INDEX($Y$2:$Y$11,$MT67))</f>
        <v/>
      </c>
      <c r="NP67" s="152">
        <f>IF($MT67=0,0,INDEX($Z$2:$Z$11,$MT67))</f>
        <v/>
      </c>
      <c r="NQ67" s="152">
        <f>IF($MT67=0,0,INDEX($AB$2:$AB$11,$MT67))</f>
        <v/>
      </c>
      <c r="NR67" s="152">
        <f>IFERROR(VLOOKUP($ML67,$BB$2:$BF$24,3,FALSE),0)</f>
        <v/>
      </c>
      <c r="NS67" s="152">
        <f>IFERROR(VLOOKUP($MM67,$BB$2:$BF$24,3,FALSE),0)</f>
        <v/>
      </c>
      <c r="NT67" s="152">
        <f>IFERROR(VLOOKUP($ML67,$BB$2:$BF$24,2,FALSE),"")</f>
        <v/>
      </c>
      <c r="NU67" s="152">
        <f>IFERROR(VLOOKUP($MM67,$BB$2:$BF$24,2,FALSE),"")</f>
        <v/>
      </c>
      <c r="NV67" s="152">
        <f>COUNTIF($NC67:$NG67,1)</f>
        <v/>
      </c>
      <c r="NW67" s="152">
        <f>COUNTIF($NC67:$NG67,2)</f>
        <v/>
      </c>
      <c r="NX67" s="152">
        <f>COUNTIF($NC67:$NG67,3)</f>
        <v/>
      </c>
      <c r="NY67" s="152">
        <f>COUNTIF($NC67:$NG67,4)</f>
        <v/>
      </c>
      <c r="NZ67" s="152">
        <f>COUNTIF($NC67:$NG67,5)</f>
        <v/>
      </c>
      <c r="OA67" s="152">
        <f>COUNTIF($NC67:$NG67,6)</f>
        <v/>
      </c>
      <c r="OB67" s="152">
        <f>COUNTIF($NR67:$NS67,1)</f>
        <v/>
      </c>
      <c r="OC67" s="152">
        <f>COUNTIF($NR67:$NS67,2)+$NO67</f>
        <v/>
      </c>
      <c r="OD67" s="152">
        <f>COUNTIF($MH67:$MK67,"?*")</f>
        <v/>
      </c>
      <c r="OE67" s="152">
        <f>COUNTIF($ML67:$MM67,"?*")+$NO67</f>
        <v/>
      </c>
      <c r="OF67" s="152">
        <f>IF($MC67=0,0,SUMPRODUCT($NV67:$OA67,INDEX($I$2:$N$8,MAX(1,$MC67),0)))</f>
        <v/>
      </c>
      <c r="OG67" s="152">
        <f>IF($MC67=0,0,$OB67*CEILING($MC67/2,1)+$OC67*$MC67)</f>
        <v/>
      </c>
      <c r="OH67" s="152">
        <f>MIN(2*$MC67,$OG67)</f>
        <v/>
      </c>
      <c r="OI67" s="152">
        <f>MIN($OH67,$OF67)</f>
        <v/>
      </c>
      <c r="OJ67" s="152">
        <f>$OH67-$OI67</f>
        <v/>
      </c>
      <c r="OK67" s="152">
        <f>IF($MC67=0,0,INDEX($P$2:$P$8,MAX(1,$MC67)))</f>
        <v/>
      </c>
      <c r="OL67" s="152">
        <f>$OK67-$OF67+$OI67</f>
        <v/>
      </c>
      <c r="OM67" s="152">
        <f>IF($MC67=0,MAX(0,$MQ67-IF($OD67&gt;0,1,0)),MAX(0,$OL67))</f>
        <v/>
      </c>
      <c r="ON67" s="152">
        <f>IF($MC67=0,0,(IF(COUNTIF($MH67:$MK67,"Salto")&gt;0,1,0)+IF(COUNTIF($MH67:$MK67,"Queima")&gt;0,1,0)+IF(COUNTIF($MH67:$MK67,"Estilhaço")&gt;0,1,0))*FLOOR($OM67/2,1))</f>
        <v/>
      </c>
      <c r="OO67" s="152">
        <f>MAX(0,2-SUMPRODUCT($NV67:$OA67,$I$2:$N$2)+MIN(2,$OB67*1+$OC67*1,SUMPRODUCT($NV67:$OA67,$I$2:$N$2)))</f>
        <v/>
      </c>
      <c r="OP67" s="152">
        <f>MAX(0,4-SUMPRODUCT($NV67:$OA67,$I$3:$N$3)+MIN(4,$OB67*1+$OC67*2,SUMPRODUCT($NV67:$OA67,$I$3:$N$3)))</f>
        <v/>
      </c>
      <c r="OQ67" s="152">
        <f>MAX(0,6-SUMPRODUCT($NV67:$OA67,$I$4:$N$4)+MIN(6,$OB67*2+$OC67*3,SUMPRODUCT($NV67:$OA67,$I$4:$N$4)))</f>
        <v/>
      </c>
      <c r="OR67" s="152">
        <f>MAX(0,9-SUMPRODUCT($NV67:$OA67,$I$5:$N$5)+MIN(8,$OB67*2+$OC67*4,SUMPRODUCT($NV67:$OA67,$I$5:$N$5)))</f>
        <v/>
      </c>
      <c r="OS67" s="152">
        <f>MAX(0,11-SUMPRODUCT($NV67:$OA67,$I$6:$N$6)+MIN(10,$OB67*3+$OC67*5,SUMPRODUCT($NV67:$OA67,$I$6:$N$6)))</f>
        <v/>
      </c>
      <c r="OT67" s="152">
        <f>MAX(0,13-SUMPRODUCT($NV67:$OA67,$I$7:$N$7)+MIN(12,$OB67*3+$OC67*6,SUMPRODUCT($NV67:$OA67,$I$7:$N$7)))</f>
        <v/>
      </c>
      <c r="OU67" s="152">
        <f>MAX(0,16-SUMPRODUCT($NV67:$OA67,$I$8:$N$8)+MIN(14,$OB67*4+$OC67*7,SUMPRODUCT($NV67:$OA67,$I$8:$N$8)))</f>
        <v/>
      </c>
      <c r="OV67" s="152">
        <f>IF($NP67=2,3*$OO67&amp;" de vida temp.",IF($NP67=3,"sem dano",IF($OO67=0,IF($NP67=1,"sem cura","sem dano"),IF($NP67=1,"cura ","")&amp;$OO67&amp;"d8")))</f>
        <v/>
      </c>
      <c r="OW67" s="152">
        <f>IF($NP67=2,3*$OP67&amp;" de vida temp.",IF($NP67=3,"sem dano",IF($OP67=0,IF($NP67=1,"sem cura","sem dano"),IF($NP67=1,"cura ","")&amp;$OP67&amp;"d8")))</f>
        <v/>
      </c>
      <c r="OX67" s="152">
        <f>IF($NP67=2,3*$OQ67&amp;" de vida temp.",IF($NP67=3,"sem dano",IF($OQ67=0,IF($NP67=1,"sem cura","sem dano"),IF($NP67=1,"cura ","")&amp;$OQ67&amp;"d8")))</f>
        <v/>
      </c>
      <c r="OY67" s="152">
        <f>IF($NP67=2,3*$OR67&amp;" de vida temp.",IF($NP67=3,"sem dano",IF($OR67=0,IF($NP67=1,"sem cura","sem dano"),IF($NP67=1,"cura ","")&amp;$OR67&amp;"d8")))</f>
        <v/>
      </c>
      <c r="OZ67" s="152">
        <f>IF($NP67=2,3*$OS67&amp;" de vida temp.",IF($NP67=3,"sem dano",IF($OS67=0,IF($NP67=1,"sem cura","sem dano"),IF($NP67=1,"cura ","")&amp;$OS67&amp;"d8")))</f>
        <v/>
      </c>
      <c r="PA67" s="152">
        <f>IF($NP67=2,3*$OT67&amp;" de vida temp.",IF($NP67=3,"sem dano",IF($OT67=0,IF($NP67=1,"sem cura","sem dano"),IF($NP67=1,"cura ","")&amp;$OT67&amp;"d8")))</f>
        <v/>
      </c>
      <c r="PB67" s="152">
        <f>IF($NP67=2,3*$OU67&amp;" de vida temp.",IF($NP67=3,"sem dano",IF($OU67=0,IF($NP67=1,"sem cura","sem dano"),IF($NP67=1,"cura ","")&amp;$OU67&amp;"d8")))</f>
        <v/>
      </c>
      <c r="PC67" s="152">
        <f>IF($MN67=0,"",TEXTJOIN(" · ",TRUE,IF($MA67&gt;$MO67,"Este lugar abre no nível "&amp;$MA67,""),IF($MC67&gt;$MP67,"Classe "&amp;$MC67&amp;": o nível "&amp;$MO67&amp;" libera até a "&amp;$MP67,""),IF($NH67=1,"A Forma "&amp;$ME67&amp;" pede "&amp;INDEX($W$2:$W$11,$MT67)&amp;" aberta",""),IF(AND($MC67=0,$MT67&gt;0,IF($MT67=0,0,INDEX($AF$2:$AF$11,$MT67))=0),$ME67&amp;" não existe na Classe 0",""),IF($NI67=1,"Família Fechada: "&amp;$MH67,""),IF($NJ67=1,"Família Fechada: "&amp;$MI67,""),IF($NK67=1,"Família Fechada: "&amp;$MJ67,""),IF($NL67=1,"Família Fechada: "&amp;$MK67,""),IF(AND($MC67&gt;0,$OD67&gt;INDEX($O$2:$O$8,MAX(1,$MC67))),$OD67&amp;" Melhorias: a Classe "&amp;$MC67&amp;" aceita "&amp;INDEX($O$2:$O$8,MAX(1,$MC67)),""),IF(AND($MC67=0,$OD67&gt;1),"A básica aceita uma Melhoria",""),IF(AND($MC67=0,COUNTIF($MY67:$NB67,"&gt;1")&gt;0),"A básica só aceita Melhoria Leve",""),IF(AND($MC67&gt;0,$OE67&gt;2),$OE67&amp;" Restrições"&amp;IF($NO67=1,", contando a que a Forma "&amp;$ME67&amp;" já traz","")&amp;": o limite é 2",""),IF(AND($MC67=0,COUNTIF($ML67:$MM67,"?*")&gt;1),"A básica aceita uma Restrição Leve",""),IF(AND($MC67=0,COUNTIF($NR67:$NS67,2)&gt;0),"A básica só aceita Restrição Leve",""),IF(AND($MC67&gt;0,$OL67&lt;0),"Orçamento estourado: faltam "&amp;(-$OL67)&amp;IF($OL67&lt;-1," pontos"," ponto"),""),IF(IFERROR(VLOOKUP($ML67,$BB$2:$BF$24,4,FALSE),0)+IFERROR(VLOOKUP($MM67,$BB$2:$BF$24,4,FALSE),0)&gt;1,$NT67&amp;" e "&amp;$NU67&amp;" são as duas de frequência",""),IF(AND((COUNTIF($MH67:$MK67,"Rápido")+COUNTIF($NT67:$NU67,"Rápido"))&gt;0,(COUNTIF($MH67:$MK67,"Atrasar")+COUNTIF($NT67:$NU67,"Atrasar"))&gt;0),"Rápido não entra com Atrasar",""),IF(AND((COUNTIF($MH67:$MK67,"Reação")+COUNTIF($NT67:$NU67,"Reação"))&gt;0,(COUNTIF($MH67:$MK67,"Rápido")+COUNTIF($NT67:$NU67,"Rápido"))&gt;0),"Reação não entra com Rápido",""),IF(AND((COUNTIF($MH67:$MK67,"Reação")+COUNTIF($NT67:$NU67,"Reação"))&gt;0,(COUNTIF($MH67:$MK67,"Armado")+COUNTIF($NT67:$NU67,"Armado"))&gt;0),"Reação não entra com Armado",""),IF(AND((COUNTIF($MH67:$MK67,"Reação")+COUNTIF($NT67:$NU67,"Reação"))&gt;0,(COUNTIF($MH67:$MK67,"Atrasar")+COUNTIF($NT67:$NU67,"Atrasar"))&gt;0),"Reação não entra com Atrasar",""),IF(AND((COUNTIF($MH67:$MK67,"Reação")+COUNTIF($NT67:$NU67,"Reação"))&gt;0,(COUNTIF($MH67:$MK67,"Parado")+COUNTIF($NT67:$NU67,"Parado"))&gt;0),"Reação não entra com Parado",""),IF(AND((COUNTIF($MH67:$MK67,"Atrasar")+COUNTIF($NT67:$NU67,"Atrasar"))&gt;0,(COUNTIF($MH67:$MK67,"Parado")+COUNTIF($NT67:$NU67,"Parado"))&gt;0),"Atrasar não entra com Parado",""),IF(AND((COUNTIF($MH67:$MK67,"Armado")+COUNTIF($NT67:$NU67,"Armado"))&gt;0,(COUNTIF($MH67:$MK67,"Carregar")+COUNTIF($NT67:$NU67,"Carregar"))&gt;0),"Armado não entra com Carregar",""),IF(AND(COUNTIF($NT67:$NU67,"Corpo a Corpo")&gt;0,$NO67=0,OR($ME67="Cone",$ME67="Linha")),"Corpo a Corpo não entra em "&amp;$ME67,""),IF(AND(COUNTIF($NT67:$NU67,"Corpo a Corpo")&gt;0,$NO67=1),"A Forma "&amp;$ME67&amp;" já traz o Corpo a Corpo",""),IF(AND(COUNTIF($NT67:$NU67,"Tudo ou Nada")&gt;0,$NQ67=0),"Tudo ou Nada só entra em habilidade de Teste de Resistência",""),IF(AND(COUNTIF($MH67:$MK67,"Inescapável")&gt;0,OR($OD67&gt;1,$OE67&gt;0)),"Inescapável não aceita outra peça",""),IF(AND($MC67&gt;0,$OM67*IF(COUNTIF($MH67:$MK67,"Remate")&gt;0,1.25,1)+$ON67&gt;4*$MC67),($OM67*IF(COUNTIF($MH67:$MK67,"Remate")&gt;0,1.25,1)+$ON67)&amp;" dados somando repetições"&amp;IF(COUNTIF($MH67:$MK67,"Remate")&gt;0," e o Remate","")&amp;": o teto da Classe "&amp;$MC67&amp;" é "&amp;4*$MC67,"")))</f>
        <v/>
      </c>
      <c r="PD67" s="152">
        <f>IF($PC67="",0,(LEN($PC67)-LEN(SUBSTITUTE($PC67," · ","")))/3+1)</f>
        <v/>
      </c>
      <c r="PE67" s="152">
        <f>IF($MN67=0,"",TEXTJOIN(" · ",TRUE,IF($OG67&gt;2*$MC67,"A devolução parou no teto de "&amp;2*$MC67,""),IF($OJ67&gt;0,"Devolução perdida: "&amp;$OJ67&amp;IF($OJ67&gt;1," pontos"," ponto")&amp;" sem peça para pagar",""),IF(AND($NM67&gt;0,AND($MC67&gt;0,$NP67=0),$OM67=0),"Controle sem dano: uma rodada a mais e CD +2",""),IF(AND($NM67&gt;0,AND($MC67&gt;0,$NP67=0),$OM67&gt;0,$OM67&lt;=$MC67),"Controle com saldo até a Classe: uma rodada a mais",""),IF(AND($MC67&gt;0,$NN67&lt;&gt;""),"Efeito de "&amp;$NN67&amp;" pela Classe "&amp;MAX(1,$MC67-1),"")))</f>
        <v/>
      </c>
      <c r="PF67" s="152">
        <f>IF($PE67="",0,(LEN($PE67)-LEN(SUBSTITUTE($PE67," · ","")))/3+1)</f>
        <v/>
      </c>
      <c r="PG67" s="152">
        <f>IF($MN67=0,IF($OD67+COUNTIF($ML67:$MM67,"?*")&gt;0,"Dê um nome",""),IF($PD67&gt;0,"⚠ "&amp;$PD67&amp;IF($PD67&gt;1," erros"," erro"),IF($PF67&gt;0,"! "&amp;$PF67&amp;IF($PF67&gt;1," avisos"," aviso"),"Na regra")))</f>
        <v/>
      </c>
      <c r="PH67" s="152">
        <f>IF($MN67=0,"",IF($PD67+$PF67=0,"Dentro das regras que a ficha confere",$PC67&amp;IF(AND($PD67&gt;0,$PF67&gt;0)," · ","")&amp;$PE67))</f>
        <v/>
      </c>
      <c r="PI67" s="152">
        <f>IF($MA67&gt;$MO67,$MB67&amp;" · ABRE NO NÍVEL "&amp;$MA67,$MB67)</f>
        <v/>
      </c>
      <c r="PJ67" s="152">
        <f>IF($MN67=0,"",IF($MC67=0,"Sem PE",3*$MC67&amp;" PE"))</f>
        <v/>
      </c>
      <c r="PK67" s="152">
        <f>IF($MN67=0,"",IF($MC67=0,"A atuação básica dela",IF(COUNTIF($NT67:$NU67,"Atrasar")&gt;0,"Sua Ação Completa",IF(COUNTIF($MH67:$MK67,"Rápido")&gt;0,"Sua Bônus",IF(COUNTIF($MH67:$MK67,"Reação")&gt;0,"Sua Reação","Sua Padrão")))&amp;" + a básica dela"&amp;IF(COUNTIF($MH67:$MK67,"Reação")&gt;0," e a coletiva","")&amp;IF(COUNTIF($NT67:$NU67,"Carregar")&gt;0," · em dois turnos","")))</f>
        <v/>
      </c>
      <c r="PL67" s="152">
        <f>IF($MG67&lt;&gt;"",$MG67,IF($MT67=0,"",INDEX($AA$2:$AA$11,$MT67)))</f>
        <v/>
      </c>
      <c r="PM67" s="152">
        <f>IF(OR($MN67=0,$MT67=0),"",IF(COUNTIF($MH67:$MK67,"Inescapável")&gt;0,"Automático",IF($PL67="Ataque",IF($MR67="","Ataque","Ataque "&amp;IF(($MR67+2*IF(COUNTIF($MH67:$MK67,"Precisão")&gt;0,1,0))&gt;=0,"+","−")&amp;ABS(($MR67+2*IF(COUNTIF($MH67:$MK67,"Precisão")&gt;0,1,0)))),IF(LEFT($PL67,2)="TR",$PL67&amp;IF($MS67="",""," · CD "&amp;$MS67)&amp;IF(COUNTIF($MH67:$MK67,"Certeiro")&gt;0," · metade",""),"Sem rolagem"))))</f>
        <v/>
      </c>
      <c r="PN67" s="152">
        <f>IF(OR($MN67=0,$MT67=0),"",IF($MC67=0,IF(OR($NP67&gt;=1,$OM67=0),"Sem dano",$OM67&amp;"d6"&amp;IF($MF67="",""," "&amp;$MF67)),IF(OR($NP67&gt;=1,$OM67=0),UPPER(LEFT(INDEX($OV67:$PB67,1,MAX(1,$MC67)),1))&amp;MID(INDEX($OV67:$PB67,1,MAX(1,$MC67)),2,99),UPPER(LEFT(INDEX($OV67:$PB67,1,MAX(1,$MC67)),1))&amp;MID(INDEX($OV67:$PB67,1,MAX(1,$MC67)),2,99)&amp;IF($MF67="",""," "&amp;$MF67)&amp;IF($ON67&gt;0," · +"&amp;$ON67&amp;"d8",""))))</f>
        <v/>
      </c>
      <c r="PO67" s="152">
        <f>COUNTIF($MH67:$MK67,"Longe")+3*COUNTIF($MH67:$MK67,"Muito Longe")</f>
        <v/>
      </c>
      <c r="PP67" s="152">
        <f>COUNTIF($MH67:$MK67,"Maior")+3*COUNTIF($MH67:$MK67,"Muito Maior")</f>
        <v/>
      </c>
      <c r="PQ67" s="152">
        <f>IF($MT67=0,0,CHOOSE(1+INDEX($AC$2:$AC$11,$MT67),0,$PO67,$PP67,$PO67+$PP67))</f>
        <v/>
      </c>
      <c r="PR67" s="152">
        <f>IF($MT67=0,0,CHOOSE(1+INDEX($AD$2:$AD$11,$MT67),0,$PO67,$PP67,$PO67+$PP67))</f>
        <v/>
      </c>
      <c r="PS67" s="152">
        <f>IF(OR($MN67=0,$MT67=0),"",INDEX($AI$2:$AN$41,($MT67-1)*4+IF($MC67=0,1,IF($MC67&lt;=5,2,IF($MC67=6,3,4))),1+MIN(5,$PQ67))&amp;INDEX($AO$2:$AT$41,($MT67-1)*4+IF($MC67=0,1,IF($MC67&lt;=5,2,IF($MC67=6,3,4))),1+MIN(5,$PR67))&amp;IF(INDEX($AE$2:$AE$11,$MT67)=1,IF(COUNTIF($MH67:$MK67,"Mais Um")&gt;0," · +"&amp;COUNTIF($MH67:$MK67,"Mais Um")&amp;IF(COUNTIF($MH67:$MK67,"Mais Um")&gt;1," alvos"," alvo"),"")&amp;IF(COUNTIF($MH67:$MK67,"Rajada")&gt;0,IF($MC67=0," · 1 tiro"," · "&amp;(MAX(1,$MC67-1)+1)&amp;" tiros"),""),""))</f>
        <v/>
      </c>
      <c r="PT67" s="152">
        <f>IF($MN67=0,"",IF($MC67=0,$MQ67&amp;"d6"&amp;IF($OD67&gt;0," − 1 = "&amp;$OM67&amp;"d6"," da básica do nível "&amp;$MO67),$OK67&amp;" − "&amp;$OF67&amp;" + "&amp;$OI67&amp;" = "&amp;$OL67&amp;" · teto "&amp;4*$MC67&amp;"d8"&amp;IF($NO67=1," · a Forma devolve "&amp;$MC67,"")&amp;IF($OJ67&gt;0," · perde "&amp;$OJ67,"")))</f>
        <v/>
      </c>
      <c r="PU67" s="152">
        <f>IF($MN67=0,"",IF($MC67=0,"A básica não amplia: os dados dela sobem com o nível",IF($MC67&gt;=$MP67,"Já está na maior Classe que o nível liberou",TEXTJOIN(" · ",TRUE,IF(AND(2&gt;$MC67,2&lt;=$MP67),"2 → "&amp;$OW67&amp;", 6 PE",""),IF(AND(3&gt;$MC67,3&lt;=$MP67),"3 → "&amp;$OX67&amp;", 9 PE",""),IF(AND(4&gt;$MC67,4&lt;=$MP67),"4 → "&amp;$OY67&amp;", 12 PE",""),IF(AND(5&gt;$MC67,5&lt;=$MP67),"5 → "&amp;$OZ67&amp;", 15 PE",""),IF(AND(6&gt;$MC67,6&lt;=$MP67),"6 → "&amp;$PA67&amp;", 18 PE",""),IF(AND(7&gt;$MC67,7&lt;=$MP67),"7 → "&amp;$PB67&amp;", 21 PE","")))))</f>
        <v/>
      </c>
      <c r="PV67" s="152">
        <f>IF(OR($MN67=0,$MY67=0),"",IF($MC67=0,"−1 dado","−"&amp;INDEX($I$2:$N$8,MAX(1,$MC67),MAX(1,$ND67))&amp;" · "&amp;CHOOSE(MAX(1,$ND67),"Leve","Média","Pesada","Leve · Livre","Média · Livre","Pesada · Livre")))</f>
        <v/>
      </c>
      <c r="PW67" s="152">
        <f>IF(OR($MN67=0,$MZ67=0),"",IF($MC67=0,"−1 dado","−"&amp;INDEX($I$2:$N$8,MAX(1,$MC67),MAX(1,$NE67))&amp;" · "&amp;CHOOSE(MAX(1,$NE67),"Leve","Média","Pesada","Leve · Livre","Média · Livre","Pesada · Livre")))</f>
        <v/>
      </c>
      <c r="PX67" s="152">
        <f>IF(OR($MN67=0,$NA67=0),"",IF($MC67=0,"−1 dado","−"&amp;INDEX($I$2:$N$8,MAX(1,$MC67),MAX(1,$NF67))&amp;" · "&amp;CHOOSE(MAX(1,$NF67),"Leve","Média","Pesada","Leve · Livre","Média · Livre","Pesada · Livre")))</f>
        <v/>
      </c>
      <c r="PY67" s="152">
        <f>IF(OR($MN67=0,$NB67=0),"",IF($MC67=0,"−1 dado","−"&amp;INDEX($I$2:$N$8,MAX(1,$MC67),MAX(1,$NG67))&amp;" · "&amp;CHOOSE(MAX(1,$NG67),"Leve","Média","Pesada","Leve · Livre","Média · Livre","Pesada · Livre")))</f>
        <v/>
      </c>
      <c r="PZ67" s="152">
        <f>IF(OR($MN67=0,$ML67=""),"",IF($MC67=0,"não devolve","+"&amp;IF($NR67=1,CEILING($MC67/2,1),$MC67)))</f>
        <v/>
      </c>
      <c r="QA67" s="152">
        <f>IF(OR($MN67=0,$MM67=""),"",IF($MC67=0,"não devolve","+"&amp;IF($NS67=1,CEILING($MC67/2,1),$MC67)))</f>
        <v/>
      </c>
    </row>
    <row r="68">
      <c r="AV68" s="150" t="inlineStr">
        <is>
          <t>Marca</t>
        </is>
      </c>
      <c r="AW68" s="150" t="inlineStr">
        <is>
          <t>Marca</t>
        </is>
      </c>
      <c r="AX68" s="152" t="n">
        <v>1</v>
      </c>
      <c r="AY68" s="152" t="n">
        <v>0</v>
      </c>
      <c r="AZ68" s="152" t="n">
        <v>0</v>
      </c>
      <c r="JD68" s="152">
        <f>IF(OR($AW68="",COUNTIF($ED$2:$EH$2,$AW68)&gt;0),$AV68,"")</f>
        <v/>
      </c>
      <c r="JE68" s="152">
        <f>IF(AND($AX68=1,OR($AW68="",COUNTIF($ED$2:$EH$2,$AW68)&gt;0)),$AV68,"")</f>
        <v/>
      </c>
      <c r="JJ68" s="152">
        <f>IF(OR($AW68="",COUNTIF($ED$3:$EH$3,$AW68)&gt;0),$AV68,"")</f>
        <v/>
      </c>
      <c r="JK68" s="152">
        <f>IF(AND($AX68=1,OR($AW68="",COUNTIF($ED$3:$EH$3,$AW68)&gt;0)),$AV68,"")</f>
        <v/>
      </c>
      <c r="JP68" s="152">
        <f>IF(OR($AW68="",COUNTIF($ED$4:$EH$4,$AW68)&gt;0),$AV68,"")</f>
        <v/>
      </c>
      <c r="JQ68" s="152">
        <f>IF(AND($AX68=1,OR($AW68="",COUNTIF($ED$4:$EH$4,$AW68)&gt;0)),$AV68,"")</f>
        <v/>
      </c>
      <c r="JV68" s="152">
        <f>IF(OR($AW68="",COUNTIF($ED$5:$EH$5,$AW68)&gt;0),$AV68,"")</f>
        <v/>
      </c>
      <c r="JW68" s="152">
        <f>IF(AND($AX68=1,OR($AW68="",COUNTIF($ED$5:$EH$5,$AW68)&gt;0)),$AV68,"")</f>
        <v/>
      </c>
      <c r="KB68" s="152">
        <f>IF(OR($AW68="",COUNTIF($ED$6:$EH$6,$AW68)&gt;0),$AV68,"")</f>
        <v/>
      </c>
      <c r="KC68" s="152">
        <f>IF(AND($AX68=1,OR($AW68="",COUNTIF($ED$6:$EH$6,$AW68)&gt;0)),$AV68,"")</f>
        <v/>
      </c>
      <c r="KH68" s="152">
        <f>IF(OR($AW68="",COUNTIF($ED$7:$EH$7,$AW68)&gt;0),$AV68,"")</f>
        <v/>
      </c>
      <c r="KI68" s="152">
        <f>IF(AND($AX68=1,OR($AW68="",COUNTIF($ED$7:$EH$7,$AW68)&gt;0)),$AV68,"")</f>
        <v/>
      </c>
      <c r="KN68" s="152">
        <f>IF(OR($AW68="",COUNTIF($ED$8:$EH$8,$AW68)&gt;0),$AV68,"")</f>
        <v/>
      </c>
      <c r="KO68" s="152">
        <f>IF(AND($AX68=1,OR($AW68="",COUNTIF($ED$8:$EH$8,$AW68)&gt;0)),$AV68,"")</f>
        <v/>
      </c>
      <c r="KT68" s="152">
        <f>IF(OR($AW68="",COUNTIF($ED$9:$EH$9,$AW68)&gt;0),$AV68,"")</f>
        <v/>
      </c>
      <c r="KU68" s="152">
        <f>IF(AND($AX68=1,OR($AW68="",COUNTIF($ED$9:$EH$9,$AW68)&gt;0)),$AV68,"")</f>
        <v/>
      </c>
      <c r="KZ68" s="152">
        <f>IF(OR($AW68="",COUNTIF($ED$10:$EH$10,$AW68)&gt;0),$AV68,"")</f>
        <v/>
      </c>
      <c r="LA68" s="152">
        <f>IF(AND($AX68=1,OR($AW68="",COUNTIF($ED$10:$EH$10,$AW68)&gt;0)),$AV68,"")</f>
        <v/>
      </c>
      <c r="LF68" s="152">
        <f>IF(OR($AW68="",COUNTIF($ED$11:$EH$11,$AW68)&gt;0),$AV68,"")</f>
        <v/>
      </c>
      <c r="LG68" s="152">
        <f>IF(AND($AX68=1,OR($AW68="",COUNTIF($ED$11:$EH$11,$AW68)&gt;0)),$AV68,"")</f>
        <v/>
      </c>
      <c r="LL68" s="152">
        <f>IF(OR($AW68="",COUNTIF($ED$12:$EH$12,$AW68)&gt;0),$AV68,"")</f>
        <v/>
      </c>
      <c r="LM68" s="152">
        <f>IF(AND($AX68=1,OR($AW68="",COUNTIF($ED$12:$EH$12,$AW68)&gt;0)),$AV68,"")</f>
        <v/>
      </c>
      <c r="LR68" s="152">
        <f>IF(OR($AW68="",COUNTIF($ED$13:$EH$13,$AW68)&gt;0),$AV68,"")</f>
        <v/>
      </c>
      <c r="LS68" s="152">
        <f>IF(AND($AX68=1,OR($AW68="",COUNTIF($ED$13:$EH$13,$AW68)&gt;0)),$AV68,"")</f>
        <v/>
      </c>
      <c r="LX68" s="150" t="inlineStr">
        <is>
          <t>Ficha 6 · Especial 1</t>
        </is>
      </c>
      <c r="LY68" s="152" t="n">
        <v>6</v>
      </c>
      <c r="LZ68" s="152" t="n">
        <v>1</v>
      </c>
      <c r="MA68" s="152" t="n">
        <v>1</v>
      </c>
      <c r="MB68" s="150" t="inlineStr">
        <is>
          <t>ESPECIAL 1</t>
        </is>
      </c>
      <c r="MC68" s="152">
        <f>MAX(1,MIN(7,N('INVOCAÇÕES'!$O$1048)))</f>
        <v/>
      </c>
      <c r="MD68" s="152">
        <f>'INVOCAÇÕES'!$P$1048&amp;""</f>
        <v/>
      </c>
      <c r="ME68" s="152">
        <f>'INVOCAÇÕES'!$O$1053&amp;""</f>
        <v/>
      </c>
      <c r="MF68" s="152">
        <f>'INVOCAÇÕES'!$O$1054&amp;""</f>
        <v/>
      </c>
      <c r="MG68" s="152">
        <f>'INVOCAÇÕES'!$Q$1054&amp;""</f>
        <v/>
      </c>
      <c r="MH68" s="152">
        <f>'INVOCAÇÕES'!$P$1057&amp;""</f>
        <v/>
      </c>
      <c r="MI68" s="152">
        <f>'INVOCAÇÕES'!$P$1058&amp;""</f>
        <v/>
      </c>
      <c r="MJ68" s="152">
        <f>'INVOCAÇÕES'!$P$1059&amp;""</f>
        <v/>
      </c>
      <c r="MK68" s="152">
        <f>'INVOCAÇÕES'!$P$1060&amp;""</f>
        <v/>
      </c>
      <c r="ML68" s="152">
        <f>'INVOCAÇÕES'!$P$1061&amp;""</f>
        <v/>
      </c>
      <c r="MM68" s="152">
        <f>'INVOCAÇÕES'!$P$1062&amp;""</f>
        <v/>
      </c>
      <c r="MN68" s="152">
        <f>IF($MD68&lt;&gt;"",1,0)</f>
        <v/>
      </c>
      <c r="MO68" s="152">
        <f>INDEX($FG$2:$FG$13,$LY68)</f>
        <v/>
      </c>
      <c r="MP68" s="152">
        <f>INDEX($FH$2:$FH$13,$LY68)</f>
        <v/>
      </c>
      <c r="MQ68" s="152">
        <f>INDEX($FI$2:$FI$13,$LY68)</f>
        <v/>
      </c>
      <c r="MR68" s="152">
        <f>INDEX($FT$2:$FT$13,$LY68)</f>
        <v/>
      </c>
      <c r="MS68" s="152">
        <f>INDEX($FU$2:$FU$13,$LY68)</f>
        <v/>
      </c>
      <c r="MT68" s="152">
        <f>IFERROR(MATCH($ME68,$V$2:$V$11,0),0)</f>
        <v/>
      </c>
      <c r="MU68" s="152">
        <f>IFERROR(VLOOKUP($MH68,$AV$2:$AZ$84,2,FALSE),"")</f>
        <v/>
      </c>
      <c r="MV68" s="152">
        <f>IFERROR(VLOOKUP($MI68,$AV$2:$AZ$84,2,FALSE),"")</f>
        <v/>
      </c>
      <c r="MW68" s="152">
        <f>IFERROR(VLOOKUP($MJ68,$AV$2:$AZ$84,2,FALSE),"")</f>
        <v/>
      </c>
      <c r="MX68" s="152">
        <f>IFERROR(VLOOKUP($MK68,$AV$2:$AZ$84,2,FALSE),"")</f>
        <v/>
      </c>
      <c r="MY68" s="152">
        <f>IFERROR(VLOOKUP($MH68,$AV$2:$AZ$84,3,FALSE),0)</f>
        <v/>
      </c>
      <c r="MZ68" s="152">
        <f>IFERROR(VLOOKUP($MI68,$AV$2:$AZ$84,3,FALSE),0)</f>
        <v/>
      </c>
      <c r="NA68" s="152">
        <f>IFERROR(VLOOKUP($MJ68,$AV$2:$AZ$84,3,FALSE),0)</f>
        <v/>
      </c>
      <c r="NB68" s="152">
        <f>IFERROR(VLOOKUP($MK68,$AV$2:$AZ$84,3,FALSE),0)</f>
        <v/>
      </c>
      <c r="NC68" s="152">
        <f>IF($MC68=0,0,IF($MT68=0,0,INDEX($X$2:$X$11,$MT68)))</f>
        <v/>
      </c>
      <c r="ND68" s="152">
        <f>IF(OR($MY68=0,$MC68=0),0,$MY68+3*IF(AND($MU68&lt;&gt;"",OR($MU68=INDEX($ED$2:$ED$13,$LY68),$MU68=INDEX($EE$2:$EE$13,$LY68))),1,0))</f>
        <v/>
      </c>
      <c r="NE68" s="152">
        <f>IF(OR($MZ68=0,$MC68=0),0,$MZ68+3*IF(AND($MV68&lt;&gt;"",OR($MV68=INDEX($ED$2:$ED$13,$LY68),$MV68=INDEX($EE$2:$EE$13,$LY68))),1,0))</f>
        <v/>
      </c>
      <c r="NF68" s="152">
        <f>IF(OR($NA68=0,$MC68=0),0,$NA68+3*IF(AND($MW68&lt;&gt;"",OR($MW68=INDEX($ED$2:$ED$13,$LY68),$MW68=INDEX($EE$2:$EE$13,$LY68))),1,0))</f>
        <v/>
      </c>
      <c r="NG68" s="152">
        <f>IF(OR($NB68=0,$MC68=0),0,$NB68+3*IF(AND($MX68&lt;&gt;"",OR($MX68=INDEX($ED$2:$ED$13,$LY68),$MX68=INDEX($EE$2:$EE$13,$LY68))),1,0))</f>
        <v/>
      </c>
      <c r="NH68" s="152">
        <f>IF($MT68=0,0,IF(INDEX($W$2:$W$11,$MT68)="",0,IF(COUNTIF(INDEX($ED$2:$EH$13,$LY68,0),INDEX($W$2:$W$11,$MT68))=0,1,0)))</f>
        <v/>
      </c>
      <c r="NI68" s="152">
        <f>IF(OR($MY68=0,$MU68=""),0,IF(COUNTIF(INDEX($ED$2:$EH$13,$LY68,0),$MU68)=0,1,0))</f>
        <v/>
      </c>
      <c r="NJ68" s="152">
        <f>IF(OR($MZ68=0,$MV68=""),0,IF(COUNTIF(INDEX($ED$2:$EH$13,$LY68,0),$MV68)=0,1,0))</f>
        <v/>
      </c>
      <c r="NK68" s="152">
        <f>IF(OR($NA68=0,$MW68=""),0,IF(COUNTIF(INDEX($ED$2:$EH$13,$LY68,0),$MW68)=0,1,0))</f>
        <v/>
      </c>
      <c r="NL68" s="152">
        <f>IF(OR($NB68=0,$MX68=""),0,IF(COUNTIF(INDEX($ED$2:$EH$13,$LY68,0),$MX68)=0,1,0))</f>
        <v/>
      </c>
      <c r="NM68" s="152">
        <f>IFERROR(VLOOKUP($MH68,$AV$2:$AZ$84,4,FALSE),0)+IFERROR(VLOOKUP($MI68,$AV$2:$AZ$84,4,FALSE),0)+IFERROR(VLOOKUP($MJ68,$AV$2:$AZ$84,4,FALSE),0)+IFERROR(VLOOKUP($MK68,$AV$2:$AZ$84,4,FALSE),0)</f>
        <v/>
      </c>
      <c r="NN68" s="152">
        <f>TEXTJOIN(", ",TRUE,IF(IFERROR(VLOOKUP($MH68,$AV$2:$AZ$84,5,FALSE),0)=1,$MH68,""),IF(IFERROR(VLOOKUP($MI68,$AV$2:$AZ$84,5,FALSE),0)=1,$MI68,""),IF(IFERROR(VLOOKUP($MJ68,$AV$2:$AZ$84,5,FALSE),0)=1,$MJ68,""),IF(IFERROR(VLOOKUP($MK68,$AV$2:$AZ$84,5,FALSE),0)=1,$MK68,""))</f>
        <v/>
      </c>
      <c r="NO68" s="152">
        <f>IF($MT68=0,0,INDEX($Y$2:$Y$11,$MT68))</f>
        <v/>
      </c>
      <c r="NP68" s="152">
        <f>IF($MT68=0,0,INDEX($Z$2:$Z$11,$MT68))</f>
        <v/>
      </c>
      <c r="NQ68" s="152">
        <f>IF($MT68=0,0,INDEX($AB$2:$AB$11,$MT68))</f>
        <v/>
      </c>
      <c r="NR68" s="152">
        <f>IFERROR(VLOOKUP($ML68,$BB$2:$BF$24,3,FALSE),0)</f>
        <v/>
      </c>
      <c r="NS68" s="152">
        <f>IFERROR(VLOOKUP($MM68,$BB$2:$BF$24,3,FALSE),0)</f>
        <v/>
      </c>
      <c r="NT68" s="152">
        <f>IFERROR(VLOOKUP($ML68,$BB$2:$BF$24,2,FALSE),"")</f>
        <v/>
      </c>
      <c r="NU68" s="152">
        <f>IFERROR(VLOOKUP($MM68,$BB$2:$BF$24,2,FALSE),"")</f>
        <v/>
      </c>
      <c r="NV68" s="152">
        <f>COUNTIF($NC68:$NG68,1)</f>
        <v/>
      </c>
      <c r="NW68" s="152">
        <f>COUNTIF($NC68:$NG68,2)</f>
        <v/>
      </c>
      <c r="NX68" s="152">
        <f>COUNTIF($NC68:$NG68,3)</f>
        <v/>
      </c>
      <c r="NY68" s="152">
        <f>COUNTIF($NC68:$NG68,4)</f>
        <v/>
      </c>
      <c r="NZ68" s="152">
        <f>COUNTIF($NC68:$NG68,5)</f>
        <v/>
      </c>
      <c r="OA68" s="152">
        <f>COUNTIF($NC68:$NG68,6)</f>
        <v/>
      </c>
      <c r="OB68" s="152">
        <f>COUNTIF($NR68:$NS68,1)</f>
        <v/>
      </c>
      <c r="OC68" s="152">
        <f>COUNTIF($NR68:$NS68,2)+$NO68</f>
        <v/>
      </c>
      <c r="OD68" s="152">
        <f>COUNTIF($MH68:$MK68,"?*")</f>
        <v/>
      </c>
      <c r="OE68" s="152">
        <f>COUNTIF($ML68:$MM68,"?*")+$NO68</f>
        <v/>
      </c>
      <c r="OF68" s="152">
        <f>IF($MC68=0,0,SUMPRODUCT($NV68:$OA68,INDEX($I$2:$N$8,MAX(1,$MC68),0)))</f>
        <v/>
      </c>
      <c r="OG68" s="152">
        <f>IF($MC68=0,0,$OB68*CEILING($MC68/2,1)+$OC68*$MC68)</f>
        <v/>
      </c>
      <c r="OH68" s="152">
        <f>MIN(2*$MC68,$OG68)</f>
        <v/>
      </c>
      <c r="OI68" s="152">
        <f>MIN($OH68,$OF68)</f>
        <v/>
      </c>
      <c r="OJ68" s="152">
        <f>$OH68-$OI68</f>
        <v/>
      </c>
      <c r="OK68" s="152">
        <f>IF($MC68=0,0,INDEX($P$2:$P$8,MAX(1,$MC68)))</f>
        <v/>
      </c>
      <c r="OL68" s="152">
        <f>$OK68-$OF68+$OI68</f>
        <v/>
      </c>
      <c r="OM68" s="152">
        <f>IF($MC68=0,MAX(0,$MQ68-IF($OD68&gt;0,1,0)),MAX(0,$OL68))</f>
        <v/>
      </c>
      <c r="ON68" s="152">
        <f>IF($MC68=0,0,(IF(COUNTIF($MH68:$MK68,"Salto")&gt;0,1,0)+IF(COUNTIF($MH68:$MK68,"Queima")&gt;0,1,0)+IF(COUNTIF($MH68:$MK68,"Estilhaço")&gt;0,1,0))*FLOOR($OM68/2,1))</f>
        <v/>
      </c>
      <c r="OO68" s="152">
        <f>MAX(0,2-SUMPRODUCT($NV68:$OA68,$I$2:$N$2)+MIN(2,$OB68*1+$OC68*1,SUMPRODUCT($NV68:$OA68,$I$2:$N$2)))</f>
        <v/>
      </c>
      <c r="OP68" s="152">
        <f>MAX(0,4-SUMPRODUCT($NV68:$OA68,$I$3:$N$3)+MIN(4,$OB68*1+$OC68*2,SUMPRODUCT($NV68:$OA68,$I$3:$N$3)))</f>
        <v/>
      </c>
      <c r="OQ68" s="152">
        <f>MAX(0,6-SUMPRODUCT($NV68:$OA68,$I$4:$N$4)+MIN(6,$OB68*2+$OC68*3,SUMPRODUCT($NV68:$OA68,$I$4:$N$4)))</f>
        <v/>
      </c>
      <c r="OR68" s="152">
        <f>MAX(0,9-SUMPRODUCT($NV68:$OA68,$I$5:$N$5)+MIN(8,$OB68*2+$OC68*4,SUMPRODUCT($NV68:$OA68,$I$5:$N$5)))</f>
        <v/>
      </c>
      <c r="OS68" s="152">
        <f>MAX(0,11-SUMPRODUCT($NV68:$OA68,$I$6:$N$6)+MIN(10,$OB68*3+$OC68*5,SUMPRODUCT($NV68:$OA68,$I$6:$N$6)))</f>
        <v/>
      </c>
      <c r="OT68" s="152">
        <f>MAX(0,13-SUMPRODUCT($NV68:$OA68,$I$7:$N$7)+MIN(12,$OB68*3+$OC68*6,SUMPRODUCT($NV68:$OA68,$I$7:$N$7)))</f>
        <v/>
      </c>
      <c r="OU68" s="152">
        <f>MAX(0,16-SUMPRODUCT($NV68:$OA68,$I$8:$N$8)+MIN(14,$OB68*4+$OC68*7,SUMPRODUCT($NV68:$OA68,$I$8:$N$8)))</f>
        <v/>
      </c>
      <c r="OV68" s="152">
        <f>IF($NP68=2,3*$OO68&amp;" de vida temp.",IF($NP68=3,"sem dano",IF($OO68=0,IF($NP68=1,"sem cura","sem dano"),IF($NP68=1,"cura ","")&amp;$OO68&amp;"d8")))</f>
        <v/>
      </c>
      <c r="OW68" s="152">
        <f>IF($NP68=2,3*$OP68&amp;" de vida temp.",IF($NP68=3,"sem dano",IF($OP68=0,IF($NP68=1,"sem cura","sem dano"),IF($NP68=1,"cura ","")&amp;$OP68&amp;"d8")))</f>
        <v/>
      </c>
      <c r="OX68" s="152">
        <f>IF($NP68=2,3*$OQ68&amp;" de vida temp.",IF($NP68=3,"sem dano",IF($OQ68=0,IF($NP68=1,"sem cura","sem dano"),IF($NP68=1,"cura ","")&amp;$OQ68&amp;"d8")))</f>
        <v/>
      </c>
      <c r="OY68" s="152">
        <f>IF($NP68=2,3*$OR68&amp;" de vida temp.",IF($NP68=3,"sem dano",IF($OR68=0,IF($NP68=1,"sem cura","sem dano"),IF($NP68=1,"cura ","")&amp;$OR68&amp;"d8")))</f>
        <v/>
      </c>
      <c r="OZ68" s="152">
        <f>IF($NP68=2,3*$OS68&amp;" de vida temp.",IF($NP68=3,"sem dano",IF($OS68=0,IF($NP68=1,"sem cura","sem dano"),IF($NP68=1,"cura ","")&amp;$OS68&amp;"d8")))</f>
        <v/>
      </c>
      <c r="PA68" s="152">
        <f>IF($NP68=2,3*$OT68&amp;" de vida temp.",IF($NP68=3,"sem dano",IF($OT68=0,IF($NP68=1,"sem cura","sem dano"),IF($NP68=1,"cura ","")&amp;$OT68&amp;"d8")))</f>
        <v/>
      </c>
      <c r="PB68" s="152">
        <f>IF($NP68=2,3*$OU68&amp;" de vida temp.",IF($NP68=3,"sem dano",IF($OU68=0,IF($NP68=1,"sem cura","sem dano"),IF($NP68=1,"cura ","")&amp;$OU68&amp;"d8")))</f>
        <v/>
      </c>
      <c r="PC68" s="152">
        <f>IF($MN68=0,"",TEXTJOIN(" · ",TRUE,IF($MA68&gt;$MO68,"Este lugar abre no nível "&amp;$MA68,""),IF($MC68&gt;$MP68,"Classe "&amp;$MC68&amp;": o nível "&amp;$MO68&amp;" libera até a "&amp;$MP68,""),IF($NH68=1,"A Forma "&amp;$ME68&amp;" pede "&amp;INDEX($W$2:$W$11,$MT68)&amp;" aberta",""),IF(AND($MC68=0,$MT68&gt;0,IF($MT68=0,0,INDEX($AF$2:$AF$11,$MT68))=0),$ME68&amp;" não existe na Classe 0",""),IF($NI68=1,"Família Fechada: "&amp;$MH68,""),IF($NJ68=1,"Família Fechada: "&amp;$MI68,""),IF($NK68=1,"Família Fechada: "&amp;$MJ68,""),IF($NL68=1,"Família Fechada: "&amp;$MK68,""),IF(AND($MC68&gt;0,$OD68&gt;INDEX($O$2:$O$8,MAX(1,$MC68))),$OD68&amp;" Melhorias: a Classe "&amp;$MC68&amp;" aceita "&amp;INDEX($O$2:$O$8,MAX(1,$MC68)),""),IF(AND($MC68=0,$OD68&gt;1),"A básica aceita uma Melhoria",""),IF(AND($MC68=0,COUNTIF($MY68:$NB68,"&gt;1")&gt;0),"A básica só aceita Melhoria Leve",""),IF(AND($MC68&gt;0,$OE68&gt;2),$OE68&amp;" Restrições"&amp;IF($NO68=1,", contando a que a Forma "&amp;$ME68&amp;" já traz","")&amp;": o limite é 2",""),IF(AND($MC68=0,COUNTIF($ML68:$MM68,"?*")&gt;1),"A básica aceita uma Restrição Leve",""),IF(AND($MC68=0,COUNTIF($NR68:$NS68,2)&gt;0),"A básica só aceita Restrição Leve",""),IF(AND($MC68&gt;0,$OL68&lt;0),"Orçamento estourado: faltam "&amp;(-$OL68)&amp;IF($OL68&lt;-1," pontos"," ponto"),""),IF(IFERROR(VLOOKUP($ML68,$BB$2:$BF$24,4,FALSE),0)+IFERROR(VLOOKUP($MM68,$BB$2:$BF$24,4,FALSE),0)&gt;1,$NT68&amp;" e "&amp;$NU68&amp;" são as duas de frequência",""),IF(AND((COUNTIF($MH68:$MK68,"Rápido")+COUNTIF($NT68:$NU68,"Rápido"))&gt;0,(COUNTIF($MH68:$MK68,"Atrasar")+COUNTIF($NT68:$NU68,"Atrasar"))&gt;0),"Rápido não entra com Atrasar",""),IF(AND((COUNTIF($MH68:$MK68,"Reação")+COUNTIF($NT68:$NU68,"Reação"))&gt;0,(COUNTIF($MH68:$MK68,"Rápido")+COUNTIF($NT68:$NU68,"Rápido"))&gt;0),"Reação não entra com Rápido",""),IF(AND((COUNTIF($MH68:$MK68,"Reação")+COUNTIF($NT68:$NU68,"Reação"))&gt;0,(COUNTIF($MH68:$MK68,"Armado")+COUNTIF($NT68:$NU68,"Armado"))&gt;0),"Reação não entra com Armado",""),IF(AND((COUNTIF($MH68:$MK68,"Reação")+COUNTIF($NT68:$NU68,"Reação"))&gt;0,(COUNTIF($MH68:$MK68,"Atrasar")+COUNTIF($NT68:$NU68,"Atrasar"))&gt;0),"Reação não entra com Atrasar",""),IF(AND((COUNTIF($MH68:$MK68,"Reação")+COUNTIF($NT68:$NU68,"Reação"))&gt;0,(COUNTIF($MH68:$MK68,"Parado")+COUNTIF($NT68:$NU68,"Parado"))&gt;0),"Reação não entra com Parado",""),IF(AND((COUNTIF($MH68:$MK68,"Atrasar")+COUNTIF($NT68:$NU68,"Atrasar"))&gt;0,(COUNTIF($MH68:$MK68,"Parado")+COUNTIF($NT68:$NU68,"Parado"))&gt;0),"Atrasar não entra com Parado",""),IF(AND((COUNTIF($MH68:$MK68,"Armado")+COUNTIF($NT68:$NU68,"Armado"))&gt;0,(COUNTIF($MH68:$MK68,"Carregar")+COUNTIF($NT68:$NU68,"Carregar"))&gt;0),"Armado não entra com Carregar",""),IF(AND(COUNTIF($NT68:$NU68,"Corpo a Corpo")&gt;0,$NO68=0,OR($ME68="Cone",$ME68="Linha")),"Corpo a Corpo não entra em "&amp;$ME68,""),IF(AND(COUNTIF($NT68:$NU68,"Corpo a Corpo")&gt;0,$NO68=1),"A Forma "&amp;$ME68&amp;" já traz o Corpo a Corpo",""),IF(AND(COUNTIF($NT68:$NU68,"Tudo ou Nada")&gt;0,$NQ68=0),"Tudo ou Nada só entra em habilidade de Teste de Resistência",""),IF(AND(COUNTIF($MH68:$MK68,"Inescapável")&gt;0,OR($OD68&gt;1,$OE68&gt;0)),"Inescapável não aceita outra peça",""),IF(AND($MC68&gt;0,$OM68*IF(COUNTIF($MH68:$MK68,"Remate")&gt;0,1.25,1)+$ON68&gt;4*$MC68),($OM68*IF(COUNTIF($MH68:$MK68,"Remate")&gt;0,1.25,1)+$ON68)&amp;" dados somando repetições"&amp;IF(COUNTIF($MH68:$MK68,"Remate")&gt;0," e o Remate","")&amp;": o teto da Classe "&amp;$MC68&amp;" é "&amp;4*$MC68,"")))</f>
        <v/>
      </c>
      <c r="PD68" s="152">
        <f>IF($PC68="",0,(LEN($PC68)-LEN(SUBSTITUTE($PC68," · ","")))/3+1)</f>
        <v/>
      </c>
      <c r="PE68" s="152">
        <f>IF($MN68=0,"",TEXTJOIN(" · ",TRUE,IF($OG68&gt;2*$MC68,"A devolução parou no teto de "&amp;2*$MC68,""),IF($OJ68&gt;0,"Devolução perdida: "&amp;$OJ68&amp;IF($OJ68&gt;1," pontos"," ponto")&amp;" sem peça para pagar",""),IF(AND($NM68&gt;0,AND($MC68&gt;0,$NP68=0),$OM68=0),"Controle sem dano: uma rodada a mais e CD +2",""),IF(AND($NM68&gt;0,AND($MC68&gt;0,$NP68=0),$OM68&gt;0,$OM68&lt;=$MC68),"Controle com saldo até a Classe: uma rodada a mais",""),IF(AND($MC68&gt;0,$NN68&lt;&gt;""),"Efeito de "&amp;$NN68&amp;" pela Classe "&amp;MAX(1,$MC68-1),"")))</f>
        <v/>
      </c>
      <c r="PF68" s="152">
        <f>IF($PE68="",0,(LEN($PE68)-LEN(SUBSTITUTE($PE68," · ","")))/3+1)</f>
        <v/>
      </c>
      <c r="PG68" s="152">
        <f>IF($MN68=0,IF($OD68+COUNTIF($ML68:$MM68,"?*")&gt;0,"Dê um nome",""),IF($PD68&gt;0,"⚠ "&amp;$PD68&amp;IF($PD68&gt;1," erros"," erro"),IF($PF68&gt;0,"! "&amp;$PF68&amp;IF($PF68&gt;1," avisos"," aviso"),"Na regra")))</f>
        <v/>
      </c>
      <c r="PH68" s="152">
        <f>IF($MN68=0,"",IF($PD68+$PF68=0,"Dentro das regras que a ficha confere",$PC68&amp;IF(AND($PD68&gt;0,$PF68&gt;0)," · ","")&amp;$PE68))</f>
        <v/>
      </c>
      <c r="PI68" s="152">
        <f>IF($MA68&gt;$MO68,$MB68&amp;" · ABRE NO NÍVEL "&amp;$MA68,$MB68)</f>
        <v/>
      </c>
      <c r="PJ68" s="152">
        <f>IF($MN68=0,"",IF($MC68=0,"Sem PE",3*$MC68&amp;" PE"))</f>
        <v/>
      </c>
      <c r="PK68" s="152">
        <f>IF($MN68=0,"",IF($MC68=0,"A atuação básica dela",IF(COUNTIF($NT68:$NU68,"Atrasar")&gt;0,"Sua Ação Completa",IF(COUNTIF($MH68:$MK68,"Rápido")&gt;0,"Sua Bônus",IF(COUNTIF($MH68:$MK68,"Reação")&gt;0,"Sua Reação","Sua Padrão")))&amp;" + a básica dela"&amp;IF(COUNTIF($MH68:$MK68,"Reação")&gt;0," e a coletiva","")&amp;IF(COUNTIF($NT68:$NU68,"Carregar")&gt;0," · em dois turnos","")))</f>
        <v/>
      </c>
      <c r="PL68" s="152">
        <f>IF($MG68&lt;&gt;"",$MG68,IF($MT68=0,"",INDEX($AA$2:$AA$11,$MT68)))</f>
        <v/>
      </c>
      <c r="PM68" s="152">
        <f>IF(OR($MN68=0,$MT68=0),"",IF(COUNTIF($MH68:$MK68,"Inescapável")&gt;0,"Automático",IF($PL68="Ataque",IF($MR68="","Ataque","Ataque "&amp;IF(($MR68+2*IF(COUNTIF($MH68:$MK68,"Precisão")&gt;0,1,0))&gt;=0,"+","−")&amp;ABS(($MR68+2*IF(COUNTIF($MH68:$MK68,"Precisão")&gt;0,1,0)))),IF(LEFT($PL68,2)="TR",$PL68&amp;IF($MS68="",""," · CD "&amp;$MS68)&amp;IF(COUNTIF($MH68:$MK68,"Certeiro")&gt;0," · metade",""),"Sem rolagem"))))</f>
        <v/>
      </c>
      <c r="PN68" s="152">
        <f>IF(OR($MN68=0,$MT68=0),"",IF($MC68=0,IF(OR($NP68&gt;=1,$OM68=0),"Sem dano",$OM68&amp;"d6"&amp;IF($MF68="",""," "&amp;$MF68)),IF(OR($NP68&gt;=1,$OM68=0),UPPER(LEFT(INDEX($OV68:$PB68,1,MAX(1,$MC68)),1))&amp;MID(INDEX($OV68:$PB68,1,MAX(1,$MC68)),2,99),UPPER(LEFT(INDEX($OV68:$PB68,1,MAX(1,$MC68)),1))&amp;MID(INDEX($OV68:$PB68,1,MAX(1,$MC68)),2,99)&amp;IF($MF68="",""," "&amp;$MF68)&amp;IF($ON68&gt;0," · +"&amp;$ON68&amp;"d8",""))))</f>
        <v/>
      </c>
      <c r="PO68" s="152">
        <f>COUNTIF($MH68:$MK68,"Longe")+3*COUNTIF($MH68:$MK68,"Muito Longe")</f>
        <v/>
      </c>
      <c r="PP68" s="152">
        <f>COUNTIF($MH68:$MK68,"Maior")+3*COUNTIF($MH68:$MK68,"Muito Maior")</f>
        <v/>
      </c>
      <c r="PQ68" s="152">
        <f>IF($MT68=0,0,CHOOSE(1+INDEX($AC$2:$AC$11,$MT68),0,$PO68,$PP68,$PO68+$PP68))</f>
        <v/>
      </c>
      <c r="PR68" s="152">
        <f>IF($MT68=0,0,CHOOSE(1+INDEX($AD$2:$AD$11,$MT68),0,$PO68,$PP68,$PO68+$PP68))</f>
        <v/>
      </c>
      <c r="PS68" s="152">
        <f>IF(OR($MN68=0,$MT68=0),"",INDEX($AI$2:$AN$41,($MT68-1)*4+IF($MC68=0,1,IF($MC68&lt;=5,2,IF($MC68=6,3,4))),1+MIN(5,$PQ68))&amp;INDEX($AO$2:$AT$41,($MT68-1)*4+IF($MC68=0,1,IF($MC68&lt;=5,2,IF($MC68=6,3,4))),1+MIN(5,$PR68))&amp;IF(INDEX($AE$2:$AE$11,$MT68)=1,IF(COUNTIF($MH68:$MK68,"Mais Um")&gt;0," · +"&amp;COUNTIF($MH68:$MK68,"Mais Um")&amp;IF(COUNTIF($MH68:$MK68,"Mais Um")&gt;1," alvos"," alvo"),"")&amp;IF(COUNTIF($MH68:$MK68,"Rajada")&gt;0,IF($MC68=0," · 1 tiro"," · "&amp;(MAX(1,$MC68-1)+1)&amp;" tiros"),""),""))</f>
        <v/>
      </c>
      <c r="PT68" s="152">
        <f>IF($MN68=0,"",IF($MC68=0,$MQ68&amp;"d6"&amp;IF($OD68&gt;0," − 1 = "&amp;$OM68&amp;"d6"," da básica do nível "&amp;$MO68),$OK68&amp;" − "&amp;$OF68&amp;" + "&amp;$OI68&amp;" = "&amp;$OL68&amp;" · teto "&amp;4*$MC68&amp;"d8"&amp;IF($NO68=1," · a Forma devolve "&amp;$MC68,"")&amp;IF($OJ68&gt;0," · perde "&amp;$OJ68,"")))</f>
        <v/>
      </c>
      <c r="PU68" s="152">
        <f>IF($MN68=0,"",IF($MC68=0,"A básica não amplia: os dados dela sobem com o nível",IF($MC68&gt;=$MP68,"Já está na maior Classe que o nível liberou",TEXTJOIN(" · ",TRUE,IF(AND(2&gt;$MC68,2&lt;=$MP68),"2 → "&amp;$OW68&amp;", 6 PE",""),IF(AND(3&gt;$MC68,3&lt;=$MP68),"3 → "&amp;$OX68&amp;", 9 PE",""),IF(AND(4&gt;$MC68,4&lt;=$MP68),"4 → "&amp;$OY68&amp;", 12 PE",""),IF(AND(5&gt;$MC68,5&lt;=$MP68),"5 → "&amp;$OZ68&amp;", 15 PE",""),IF(AND(6&gt;$MC68,6&lt;=$MP68),"6 → "&amp;$PA68&amp;", 18 PE",""),IF(AND(7&gt;$MC68,7&lt;=$MP68),"7 → "&amp;$PB68&amp;", 21 PE","")))))</f>
        <v/>
      </c>
      <c r="PV68" s="152">
        <f>IF(OR($MN68=0,$MY68=0),"",IF($MC68=0,"−1 dado","−"&amp;INDEX($I$2:$N$8,MAX(1,$MC68),MAX(1,$ND68))&amp;" · "&amp;CHOOSE(MAX(1,$ND68),"Leve","Média","Pesada","Leve · Livre","Média · Livre","Pesada · Livre")))</f>
        <v/>
      </c>
      <c r="PW68" s="152">
        <f>IF(OR($MN68=0,$MZ68=0),"",IF($MC68=0,"−1 dado","−"&amp;INDEX($I$2:$N$8,MAX(1,$MC68),MAX(1,$NE68))&amp;" · "&amp;CHOOSE(MAX(1,$NE68),"Leve","Média","Pesada","Leve · Livre","Média · Livre","Pesada · Livre")))</f>
        <v/>
      </c>
      <c r="PX68" s="152">
        <f>IF(OR($MN68=0,$NA68=0),"",IF($MC68=0,"−1 dado","−"&amp;INDEX($I$2:$N$8,MAX(1,$MC68),MAX(1,$NF68))&amp;" · "&amp;CHOOSE(MAX(1,$NF68),"Leve","Média","Pesada","Leve · Livre","Média · Livre","Pesada · Livre")))</f>
        <v/>
      </c>
      <c r="PY68" s="152">
        <f>IF(OR($MN68=0,$NB68=0),"",IF($MC68=0,"−1 dado","−"&amp;INDEX($I$2:$N$8,MAX(1,$MC68),MAX(1,$NG68))&amp;" · "&amp;CHOOSE(MAX(1,$NG68),"Leve","Média","Pesada","Leve · Livre","Média · Livre","Pesada · Livre")))</f>
        <v/>
      </c>
      <c r="PZ68" s="152">
        <f>IF(OR($MN68=0,$ML68=""),"",IF($MC68=0,"não devolve","+"&amp;IF($NR68=1,CEILING($MC68/2,1),$MC68)))</f>
        <v/>
      </c>
      <c r="QA68" s="152">
        <f>IF(OR($MN68=0,$MM68=""),"",IF($MC68=0,"não devolve","+"&amp;IF($NS68=1,CEILING($MC68/2,1),$MC68)))</f>
        <v/>
      </c>
    </row>
    <row r="69">
      <c r="AV69" s="150" t="inlineStr">
        <is>
          <t>Alvo de Caça</t>
        </is>
      </c>
      <c r="AW69" s="150" t="inlineStr">
        <is>
          <t>Marca</t>
        </is>
      </c>
      <c r="AX69" s="152" t="n">
        <v>1</v>
      </c>
      <c r="AY69" s="152" t="n">
        <v>0</v>
      </c>
      <c r="AZ69" s="152" t="n">
        <v>0</v>
      </c>
      <c r="JD69" s="152">
        <f>IF(OR($AW69="",COUNTIF($ED$2:$EH$2,$AW69)&gt;0),$AV69,"")</f>
        <v/>
      </c>
      <c r="JE69" s="152">
        <f>IF(AND($AX69=1,OR($AW69="",COUNTIF($ED$2:$EH$2,$AW69)&gt;0)),$AV69,"")</f>
        <v/>
      </c>
      <c r="JJ69" s="152">
        <f>IF(OR($AW69="",COUNTIF($ED$3:$EH$3,$AW69)&gt;0),$AV69,"")</f>
        <v/>
      </c>
      <c r="JK69" s="152">
        <f>IF(AND($AX69=1,OR($AW69="",COUNTIF($ED$3:$EH$3,$AW69)&gt;0)),$AV69,"")</f>
        <v/>
      </c>
      <c r="JP69" s="152">
        <f>IF(OR($AW69="",COUNTIF($ED$4:$EH$4,$AW69)&gt;0),$AV69,"")</f>
        <v/>
      </c>
      <c r="JQ69" s="152">
        <f>IF(AND($AX69=1,OR($AW69="",COUNTIF($ED$4:$EH$4,$AW69)&gt;0)),$AV69,"")</f>
        <v/>
      </c>
      <c r="JV69" s="152">
        <f>IF(OR($AW69="",COUNTIF($ED$5:$EH$5,$AW69)&gt;0),$AV69,"")</f>
        <v/>
      </c>
      <c r="JW69" s="152">
        <f>IF(AND($AX69=1,OR($AW69="",COUNTIF($ED$5:$EH$5,$AW69)&gt;0)),$AV69,"")</f>
        <v/>
      </c>
      <c r="KB69" s="152">
        <f>IF(OR($AW69="",COUNTIF($ED$6:$EH$6,$AW69)&gt;0),$AV69,"")</f>
        <v/>
      </c>
      <c r="KC69" s="152">
        <f>IF(AND($AX69=1,OR($AW69="",COUNTIF($ED$6:$EH$6,$AW69)&gt;0)),$AV69,"")</f>
        <v/>
      </c>
      <c r="KH69" s="152">
        <f>IF(OR($AW69="",COUNTIF($ED$7:$EH$7,$AW69)&gt;0),$AV69,"")</f>
        <v/>
      </c>
      <c r="KI69" s="152">
        <f>IF(AND($AX69=1,OR($AW69="",COUNTIF($ED$7:$EH$7,$AW69)&gt;0)),$AV69,"")</f>
        <v/>
      </c>
      <c r="KN69" s="152">
        <f>IF(OR($AW69="",COUNTIF($ED$8:$EH$8,$AW69)&gt;0),$AV69,"")</f>
        <v/>
      </c>
      <c r="KO69" s="152">
        <f>IF(AND($AX69=1,OR($AW69="",COUNTIF($ED$8:$EH$8,$AW69)&gt;0)),$AV69,"")</f>
        <v/>
      </c>
      <c r="KT69" s="152">
        <f>IF(OR($AW69="",COUNTIF($ED$9:$EH$9,$AW69)&gt;0),$AV69,"")</f>
        <v/>
      </c>
      <c r="KU69" s="152">
        <f>IF(AND($AX69=1,OR($AW69="",COUNTIF($ED$9:$EH$9,$AW69)&gt;0)),$AV69,"")</f>
        <v/>
      </c>
      <c r="KZ69" s="152">
        <f>IF(OR($AW69="",COUNTIF($ED$10:$EH$10,$AW69)&gt;0),$AV69,"")</f>
        <v/>
      </c>
      <c r="LA69" s="152">
        <f>IF(AND($AX69=1,OR($AW69="",COUNTIF($ED$10:$EH$10,$AW69)&gt;0)),$AV69,"")</f>
        <v/>
      </c>
      <c r="LF69" s="152">
        <f>IF(OR($AW69="",COUNTIF($ED$11:$EH$11,$AW69)&gt;0),$AV69,"")</f>
        <v/>
      </c>
      <c r="LG69" s="152">
        <f>IF(AND($AX69=1,OR($AW69="",COUNTIF($ED$11:$EH$11,$AW69)&gt;0)),$AV69,"")</f>
        <v/>
      </c>
      <c r="LL69" s="152">
        <f>IF(OR($AW69="",COUNTIF($ED$12:$EH$12,$AW69)&gt;0),$AV69,"")</f>
        <v/>
      </c>
      <c r="LM69" s="152">
        <f>IF(AND($AX69=1,OR($AW69="",COUNTIF($ED$12:$EH$12,$AW69)&gt;0)),$AV69,"")</f>
        <v/>
      </c>
      <c r="LR69" s="152">
        <f>IF(OR($AW69="",COUNTIF($ED$13:$EH$13,$AW69)&gt;0),$AV69,"")</f>
        <v/>
      </c>
      <c r="LS69" s="152">
        <f>IF(AND($AX69=1,OR($AW69="",COUNTIF($ED$13:$EH$13,$AW69)&gt;0)),$AV69,"")</f>
        <v/>
      </c>
      <c r="LX69" s="150" t="inlineStr">
        <is>
          <t>Ficha 6 · Especial 2</t>
        </is>
      </c>
      <c r="LY69" s="152" t="n">
        <v>6</v>
      </c>
      <c r="LZ69" s="152" t="n">
        <v>1</v>
      </c>
      <c r="MA69" s="152" t="n">
        <v>4</v>
      </c>
      <c r="MB69" s="150" t="inlineStr">
        <is>
          <t>ESPECIAL 2</t>
        </is>
      </c>
      <c r="MC69" s="152">
        <f>MAX(1,MIN(7,N('INVOCAÇÕES'!$U$1048)))</f>
        <v/>
      </c>
      <c r="MD69" s="152">
        <f>'INVOCAÇÕES'!$V$1048&amp;""</f>
        <v/>
      </c>
      <c r="ME69" s="152">
        <f>'INVOCAÇÕES'!$U$1053&amp;""</f>
        <v/>
      </c>
      <c r="MF69" s="152">
        <f>'INVOCAÇÕES'!$U$1054&amp;""</f>
        <v/>
      </c>
      <c r="MG69" s="152">
        <f>'INVOCAÇÕES'!$W$1054&amp;""</f>
        <v/>
      </c>
      <c r="MH69" s="152">
        <f>'INVOCAÇÕES'!$V$1057&amp;""</f>
        <v/>
      </c>
      <c r="MI69" s="152">
        <f>'INVOCAÇÕES'!$V$1058&amp;""</f>
        <v/>
      </c>
      <c r="MJ69" s="152">
        <f>'INVOCAÇÕES'!$V$1059&amp;""</f>
        <v/>
      </c>
      <c r="MK69" s="152">
        <f>'INVOCAÇÕES'!$V$1060&amp;""</f>
        <v/>
      </c>
      <c r="ML69" s="152">
        <f>'INVOCAÇÕES'!$V$1061&amp;""</f>
        <v/>
      </c>
      <c r="MM69" s="152">
        <f>'INVOCAÇÕES'!$V$1062&amp;""</f>
        <v/>
      </c>
      <c r="MN69" s="152">
        <f>IF($MD69&lt;&gt;"",1,0)</f>
        <v/>
      </c>
      <c r="MO69" s="152">
        <f>INDEX($FG$2:$FG$13,$LY69)</f>
        <v/>
      </c>
      <c r="MP69" s="152">
        <f>INDEX($FH$2:$FH$13,$LY69)</f>
        <v/>
      </c>
      <c r="MQ69" s="152">
        <f>INDEX($FI$2:$FI$13,$LY69)</f>
        <v/>
      </c>
      <c r="MR69" s="152">
        <f>INDEX($FT$2:$FT$13,$LY69)</f>
        <v/>
      </c>
      <c r="MS69" s="152">
        <f>INDEX($FU$2:$FU$13,$LY69)</f>
        <v/>
      </c>
      <c r="MT69" s="152">
        <f>IFERROR(MATCH($ME69,$V$2:$V$11,0),0)</f>
        <v/>
      </c>
      <c r="MU69" s="152">
        <f>IFERROR(VLOOKUP($MH69,$AV$2:$AZ$84,2,FALSE),"")</f>
        <v/>
      </c>
      <c r="MV69" s="152">
        <f>IFERROR(VLOOKUP($MI69,$AV$2:$AZ$84,2,FALSE),"")</f>
        <v/>
      </c>
      <c r="MW69" s="152">
        <f>IFERROR(VLOOKUP($MJ69,$AV$2:$AZ$84,2,FALSE),"")</f>
        <v/>
      </c>
      <c r="MX69" s="152">
        <f>IFERROR(VLOOKUP($MK69,$AV$2:$AZ$84,2,FALSE),"")</f>
        <v/>
      </c>
      <c r="MY69" s="152">
        <f>IFERROR(VLOOKUP($MH69,$AV$2:$AZ$84,3,FALSE),0)</f>
        <v/>
      </c>
      <c r="MZ69" s="152">
        <f>IFERROR(VLOOKUP($MI69,$AV$2:$AZ$84,3,FALSE),0)</f>
        <v/>
      </c>
      <c r="NA69" s="152">
        <f>IFERROR(VLOOKUP($MJ69,$AV$2:$AZ$84,3,FALSE),0)</f>
        <v/>
      </c>
      <c r="NB69" s="152">
        <f>IFERROR(VLOOKUP($MK69,$AV$2:$AZ$84,3,FALSE),0)</f>
        <v/>
      </c>
      <c r="NC69" s="152">
        <f>IF($MC69=0,0,IF($MT69=0,0,INDEX($X$2:$X$11,$MT69)))</f>
        <v/>
      </c>
      <c r="ND69" s="152">
        <f>IF(OR($MY69=0,$MC69=0),0,$MY69+3*IF(AND($MU69&lt;&gt;"",OR($MU69=INDEX($ED$2:$ED$13,$LY69),$MU69=INDEX($EE$2:$EE$13,$LY69))),1,0))</f>
        <v/>
      </c>
      <c r="NE69" s="152">
        <f>IF(OR($MZ69=0,$MC69=0),0,$MZ69+3*IF(AND($MV69&lt;&gt;"",OR($MV69=INDEX($ED$2:$ED$13,$LY69),$MV69=INDEX($EE$2:$EE$13,$LY69))),1,0))</f>
        <v/>
      </c>
      <c r="NF69" s="152">
        <f>IF(OR($NA69=0,$MC69=0),0,$NA69+3*IF(AND($MW69&lt;&gt;"",OR($MW69=INDEX($ED$2:$ED$13,$LY69),$MW69=INDEX($EE$2:$EE$13,$LY69))),1,0))</f>
        <v/>
      </c>
      <c r="NG69" s="152">
        <f>IF(OR($NB69=0,$MC69=0),0,$NB69+3*IF(AND($MX69&lt;&gt;"",OR($MX69=INDEX($ED$2:$ED$13,$LY69),$MX69=INDEX($EE$2:$EE$13,$LY69))),1,0))</f>
        <v/>
      </c>
      <c r="NH69" s="152">
        <f>IF($MT69=0,0,IF(INDEX($W$2:$W$11,$MT69)="",0,IF(COUNTIF(INDEX($ED$2:$EH$13,$LY69,0),INDEX($W$2:$W$11,$MT69))=0,1,0)))</f>
        <v/>
      </c>
      <c r="NI69" s="152">
        <f>IF(OR($MY69=0,$MU69=""),0,IF(COUNTIF(INDEX($ED$2:$EH$13,$LY69,0),$MU69)=0,1,0))</f>
        <v/>
      </c>
      <c r="NJ69" s="152">
        <f>IF(OR($MZ69=0,$MV69=""),0,IF(COUNTIF(INDEX($ED$2:$EH$13,$LY69,0),$MV69)=0,1,0))</f>
        <v/>
      </c>
      <c r="NK69" s="152">
        <f>IF(OR($NA69=0,$MW69=""),0,IF(COUNTIF(INDEX($ED$2:$EH$13,$LY69,0),$MW69)=0,1,0))</f>
        <v/>
      </c>
      <c r="NL69" s="152">
        <f>IF(OR($NB69=0,$MX69=""),0,IF(COUNTIF(INDEX($ED$2:$EH$13,$LY69,0),$MX69)=0,1,0))</f>
        <v/>
      </c>
      <c r="NM69" s="152">
        <f>IFERROR(VLOOKUP($MH69,$AV$2:$AZ$84,4,FALSE),0)+IFERROR(VLOOKUP($MI69,$AV$2:$AZ$84,4,FALSE),0)+IFERROR(VLOOKUP($MJ69,$AV$2:$AZ$84,4,FALSE),0)+IFERROR(VLOOKUP($MK69,$AV$2:$AZ$84,4,FALSE),0)</f>
        <v/>
      </c>
      <c r="NN69" s="152">
        <f>TEXTJOIN(", ",TRUE,IF(IFERROR(VLOOKUP($MH69,$AV$2:$AZ$84,5,FALSE),0)=1,$MH69,""),IF(IFERROR(VLOOKUP($MI69,$AV$2:$AZ$84,5,FALSE),0)=1,$MI69,""),IF(IFERROR(VLOOKUP($MJ69,$AV$2:$AZ$84,5,FALSE),0)=1,$MJ69,""),IF(IFERROR(VLOOKUP($MK69,$AV$2:$AZ$84,5,FALSE),0)=1,$MK69,""))</f>
        <v/>
      </c>
      <c r="NO69" s="152">
        <f>IF($MT69=0,0,INDEX($Y$2:$Y$11,$MT69))</f>
        <v/>
      </c>
      <c r="NP69" s="152">
        <f>IF($MT69=0,0,INDEX($Z$2:$Z$11,$MT69))</f>
        <v/>
      </c>
      <c r="NQ69" s="152">
        <f>IF($MT69=0,0,INDEX($AB$2:$AB$11,$MT69))</f>
        <v/>
      </c>
      <c r="NR69" s="152">
        <f>IFERROR(VLOOKUP($ML69,$BB$2:$BF$24,3,FALSE),0)</f>
        <v/>
      </c>
      <c r="NS69" s="152">
        <f>IFERROR(VLOOKUP($MM69,$BB$2:$BF$24,3,FALSE),0)</f>
        <v/>
      </c>
      <c r="NT69" s="152">
        <f>IFERROR(VLOOKUP($ML69,$BB$2:$BF$24,2,FALSE),"")</f>
        <v/>
      </c>
      <c r="NU69" s="152">
        <f>IFERROR(VLOOKUP($MM69,$BB$2:$BF$24,2,FALSE),"")</f>
        <v/>
      </c>
      <c r="NV69" s="152">
        <f>COUNTIF($NC69:$NG69,1)</f>
        <v/>
      </c>
      <c r="NW69" s="152">
        <f>COUNTIF($NC69:$NG69,2)</f>
        <v/>
      </c>
      <c r="NX69" s="152">
        <f>COUNTIF($NC69:$NG69,3)</f>
        <v/>
      </c>
      <c r="NY69" s="152">
        <f>COUNTIF($NC69:$NG69,4)</f>
        <v/>
      </c>
      <c r="NZ69" s="152">
        <f>COUNTIF($NC69:$NG69,5)</f>
        <v/>
      </c>
      <c r="OA69" s="152">
        <f>COUNTIF($NC69:$NG69,6)</f>
        <v/>
      </c>
      <c r="OB69" s="152">
        <f>COUNTIF($NR69:$NS69,1)</f>
        <v/>
      </c>
      <c r="OC69" s="152">
        <f>COUNTIF($NR69:$NS69,2)+$NO69</f>
        <v/>
      </c>
      <c r="OD69" s="152">
        <f>COUNTIF($MH69:$MK69,"?*")</f>
        <v/>
      </c>
      <c r="OE69" s="152">
        <f>COUNTIF($ML69:$MM69,"?*")+$NO69</f>
        <v/>
      </c>
      <c r="OF69" s="152">
        <f>IF($MC69=0,0,SUMPRODUCT($NV69:$OA69,INDEX($I$2:$N$8,MAX(1,$MC69),0)))</f>
        <v/>
      </c>
      <c r="OG69" s="152">
        <f>IF($MC69=0,0,$OB69*CEILING($MC69/2,1)+$OC69*$MC69)</f>
        <v/>
      </c>
      <c r="OH69" s="152">
        <f>MIN(2*$MC69,$OG69)</f>
        <v/>
      </c>
      <c r="OI69" s="152">
        <f>MIN($OH69,$OF69)</f>
        <v/>
      </c>
      <c r="OJ69" s="152">
        <f>$OH69-$OI69</f>
        <v/>
      </c>
      <c r="OK69" s="152">
        <f>IF($MC69=0,0,INDEX($P$2:$P$8,MAX(1,$MC69)))</f>
        <v/>
      </c>
      <c r="OL69" s="152">
        <f>$OK69-$OF69+$OI69</f>
        <v/>
      </c>
      <c r="OM69" s="152">
        <f>IF($MC69=0,MAX(0,$MQ69-IF($OD69&gt;0,1,0)),MAX(0,$OL69))</f>
        <v/>
      </c>
      <c r="ON69" s="152">
        <f>IF($MC69=0,0,(IF(COUNTIF($MH69:$MK69,"Salto")&gt;0,1,0)+IF(COUNTIF($MH69:$MK69,"Queima")&gt;0,1,0)+IF(COUNTIF($MH69:$MK69,"Estilhaço")&gt;0,1,0))*FLOOR($OM69/2,1))</f>
        <v/>
      </c>
      <c r="OO69" s="152">
        <f>MAX(0,2-SUMPRODUCT($NV69:$OA69,$I$2:$N$2)+MIN(2,$OB69*1+$OC69*1,SUMPRODUCT($NV69:$OA69,$I$2:$N$2)))</f>
        <v/>
      </c>
      <c r="OP69" s="152">
        <f>MAX(0,4-SUMPRODUCT($NV69:$OA69,$I$3:$N$3)+MIN(4,$OB69*1+$OC69*2,SUMPRODUCT($NV69:$OA69,$I$3:$N$3)))</f>
        <v/>
      </c>
      <c r="OQ69" s="152">
        <f>MAX(0,6-SUMPRODUCT($NV69:$OA69,$I$4:$N$4)+MIN(6,$OB69*2+$OC69*3,SUMPRODUCT($NV69:$OA69,$I$4:$N$4)))</f>
        <v/>
      </c>
      <c r="OR69" s="152">
        <f>MAX(0,9-SUMPRODUCT($NV69:$OA69,$I$5:$N$5)+MIN(8,$OB69*2+$OC69*4,SUMPRODUCT($NV69:$OA69,$I$5:$N$5)))</f>
        <v/>
      </c>
      <c r="OS69" s="152">
        <f>MAX(0,11-SUMPRODUCT($NV69:$OA69,$I$6:$N$6)+MIN(10,$OB69*3+$OC69*5,SUMPRODUCT($NV69:$OA69,$I$6:$N$6)))</f>
        <v/>
      </c>
      <c r="OT69" s="152">
        <f>MAX(0,13-SUMPRODUCT($NV69:$OA69,$I$7:$N$7)+MIN(12,$OB69*3+$OC69*6,SUMPRODUCT($NV69:$OA69,$I$7:$N$7)))</f>
        <v/>
      </c>
      <c r="OU69" s="152">
        <f>MAX(0,16-SUMPRODUCT($NV69:$OA69,$I$8:$N$8)+MIN(14,$OB69*4+$OC69*7,SUMPRODUCT($NV69:$OA69,$I$8:$N$8)))</f>
        <v/>
      </c>
      <c r="OV69" s="152">
        <f>IF($NP69=2,3*$OO69&amp;" de vida temp.",IF($NP69=3,"sem dano",IF($OO69=0,IF($NP69=1,"sem cura","sem dano"),IF($NP69=1,"cura ","")&amp;$OO69&amp;"d8")))</f>
        <v/>
      </c>
      <c r="OW69" s="152">
        <f>IF($NP69=2,3*$OP69&amp;" de vida temp.",IF($NP69=3,"sem dano",IF($OP69=0,IF($NP69=1,"sem cura","sem dano"),IF($NP69=1,"cura ","")&amp;$OP69&amp;"d8")))</f>
        <v/>
      </c>
      <c r="OX69" s="152">
        <f>IF($NP69=2,3*$OQ69&amp;" de vida temp.",IF($NP69=3,"sem dano",IF($OQ69=0,IF($NP69=1,"sem cura","sem dano"),IF($NP69=1,"cura ","")&amp;$OQ69&amp;"d8")))</f>
        <v/>
      </c>
      <c r="OY69" s="152">
        <f>IF($NP69=2,3*$OR69&amp;" de vida temp.",IF($NP69=3,"sem dano",IF($OR69=0,IF($NP69=1,"sem cura","sem dano"),IF($NP69=1,"cura ","")&amp;$OR69&amp;"d8")))</f>
        <v/>
      </c>
      <c r="OZ69" s="152">
        <f>IF($NP69=2,3*$OS69&amp;" de vida temp.",IF($NP69=3,"sem dano",IF($OS69=0,IF($NP69=1,"sem cura","sem dano"),IF($NP69=1,"cura ","")&amp;$OS69&amp;"d8")))</f>
        <v/>
      </c>
      <c r="PA69" s="152">
        <f>IF($NP69=2,3*$OT69&amp;" de vida temp.",IF($NP69=3,"sem dano",IF($OT69=0,IF($NP69=1,"sem cura","sem dano"),IF($NP69=1,"cura ","")&amp;$OT69&amp;"d8")))</f>
        <v/>
      </c>
      <c r="PB69" s="152">
        <f>IF($NP69=2,3*$OU69&amp;" de vida temp.",IF($NP69=3,"sem dano",IF($OU69=0,IF($NP69=1,"sem cura","sem dano"),IF($NP69=1,"cura ","")&amp;$OU69&amp;"d8")))</f>
        <v/>
      </c>
      <c r="PC69" s="152">
        <f>IF($MN69=0,"",TEXTJOIN(" · ",TRUE,IF($MA69&gt;$MO69,"Este lugar abre no nível "&amp;$MA69,""),IF($MC69&gt;$MP69,"Classe "&amp;$MC69&amp;": o nível "&amp;$MO69&amp;" libera até a "&amp;$MP69,""),IF($NH69=1,"A Forma "&amp;$ME69&amp;" pede "&amp;INDEX($W$2:$W$11,$MT69)&amp;" aberta",""),IF(AND($MC69=0,$MT69&gt;0,IF($MT69=0,0,INDEX($AF$2:$AF$11,$MT69))=0),$ME69&amp;" não existe na Classe 0",""),IF($NI69=1,"Família Fechada: "&amp;$MH69,""),IF($NJ69=1,"Família Fechada: "&amp;$MI69,""),IF($NK69=1,"Família Fechada: "&amp;$MJ69,""),IF($NL69=1,"Família Fechada: "&amp;$MK69,""),IF(AND($MC69&gt;0,$OD69&gt;INDEX($O$2:$O$8,MAX(1,$MC69))),$OD69&amp;" Melhorias: a Classe "&amp;$MC69&amp;" aceita "&amp;INDEX($O$2:$O$8,MAX(1,$MC69)),""),IF(AND($MC69=0,$OD69&gt;1),"A básica aceita uma Melhoria",""),IF(AND($MC69=0,COUNTIF($MY69:$NB69,"&gt;1")&gt;0),"A básica só aceita Melhoria Leve",""),IF(AND($MC69&gt;0,$OE69&gt;2),$OE69&amp;" Restrições"&amp;IF($NO69=1,", contando a que a Forma "&amp;$ME69&amp;" já traz","")&amp;": o limite é 2",""),IF(AND($MC69=0,COUNTIF($ML69:$MM69,"?*")&gt;1),"A básica aceita uma Restrição Leve",""),IF(AND($MC69=0,COUNTIF($NR69:$NS69,2)&gt;0),"A básica só aceita Restrição Leve",""),IF(AND($MC69&gt;0,$OL69&lt;0),"Orçamento estourado: faltam "&amp;(-$OL69)&amp;IF($OL69&lt;-1," pontos"," ponto"),""),IF(IFERROR(VLOOKUP($ML69,$BB$2:$BF$24,4,FALSE),0)+IFERROR(VLOOKUP($MM69,$BB$2:$BF$24,4,FALSE),0)&gt;1,$NT69&amp;" e "&amp;$NU69&amp;" são as duas de frequência",""),IF(AND((COUNTIF($MH69:$MK69,"Rápido")+COUNTIF($NT69:$NU69,"Rápido"))&gt;0,(COUNTIF($MH69:$MK69,"Atrasar")+COUNTIF($NT69:$NU69,"Atrasar"))&gt;0),"Rápido não entra com Atrasar",""),IF(AND((COUNTIF($MH69:$MK69,"Reação")+COUNTIF($NT69:$NU69,"Reação"))&gt;0,(COUNTIF($MH69:$MK69,"Rápido")+COUNTIF($NT69:$NU69,"Rápido"))&gt;0),"Reação não entra com Rápido",""),IF(AND((COUNTIF($MH69:$MK69,"Reação")+COUNTIF($NT69:$NU69,"Reação"))&gt;0,(COUNTIF($MH69:$MK69,"Armado")+COUNTIF($NT69:$NU69,"Armado"))&gt;0),"Reação não entra com Armado",""),IF(AND((COUNTIF($MH69:$MK69,"Reação")+COUNTIF($NT69:$NU69,"Reação"))&gt;0,(COUNTIF($MH69:$MK69,"Atrasar")+COUNTIF($NT69:$NU69,"Atrasar"))&gt;0),"Reação não entra com Atrasar",""),IF(AND((COUNTIF($MH69:$MK69,"Reação")+COUNTIF($NT69:$NU69,"Reação"))&gt;0,(COUNTIF($MH69:$MK69,"Parado")+COUNTIF($NT69:$NU69,"Parado"))&gt;0),"Reação não entra com Parado",""),IF(AND((COUNTIF($MH69:$MK69,"Atrasar")+COUNTIF($NT69:$NU69,"Atrasar"))&gt;0,(COUNTIF($MH69:$MK69,"Parado")+COUNTIF($NT69:$NU69,"Parado"))&gt;0),"Atrasar não entra com Parado",""),IF(AND((COUNTIF($MH69:$MK69,"Armado")+COUNTIF($NT69:$NU69,"Armado"))&gt;0,(COUNTIF($MH69:$MK69,"Carregar")+COUNTIF($NT69:$NU69,"Carregar"))&gt;0),"Armado não entra com Carregar",""),IF(AND(COUNTIF($NT69:$NU69,"Corpo a Corpo")&gt;0,$NO69=0,OR($ME69="Cone",$ME69="Linha")),"Corpo a Corpo não entra em "&amp;$ME69,""),IF(AND(COUNTIF($NT69:$NU69,"Corpo a Corpo")&gt;0,$NO69=1),"A Forma "&amp;$ME69&amp;" já traz o Corpo a Corpo",""),IF(AND(COUNTIF($NT69:$NU69,"Tudo ou Nada")&gt;0,$NQ69=0),"Tudo ou Nada só entra em habilidade de Teste de Resistência",""),IF(AND(COUNTIF($MH69:$MK69,"Inescapável")&gt;0,OR($OD69&gt;1,$OE69&gt;0)),"Inescapável não aceita outra peça",""),IF(AND($MC69&gt;0,$OM69*IF(COUNTIF($MH69:$MK69,"Remate")&gt;0,1.25,1)+$ON69&gt;4*$MC69),($OM69*IF(COUNTIF($MH69:$MK69,"Remate")&gt;0,1.25,1)+$ON69)&amp;" dados somando repetições"&amp;IF(COUNTIF($MH69:$MK69,"Remate")&gt;0," e o Remate","")&amp;": o teto da Classe "&amp;$MC69&amp;" é "&amp;4*$MC69,"")))</f>
        <v/>
      </c>
      <c r="PD69" s="152">
        <f>IF($PC69="",0,(LEN($PC69)-LEN(SUBSTITUTE($PC69," · ","")))/3+1)</f>
        <v/>
      </c>
      <c r="PE69" s="152">
        <f>IF($MN69=0,"",TEXTJOIN(" · ",TRUE,IF($OG69&gt;2*$MC69,"A devolução parou no teto de "&amp;2*$MC69,""),IF($OJ69&gt;0,"Devolução perdida: "&amp;$OJ69&amp;IF($OJ69&gt;1," pontos"," ponto")&amp;" sem peça para pagar",""),IF(AND($NM69&gt;0,AND($MC69&gt;0,$NP69=0),$OM69=0),"Controle sem dano: uma rodada a mais e CD +2",""),IF(AND($NM69&gt;0,AND($MC69&gt;0,$NP69=0),$OM69&gt;0,$OM69&lt;=$MC69),"Controle com saldo até a Classe: uma rodada a mais",""),IF(AND($MC69&gt;0,$NN69&lt;&gt;""),"Efeito de "&amp;$NN69&amp;" pela Classe "&amp;MAX(1,$MC69-1),"")))</f>
        <v/>
      </c>
      <c r="PF69" s="152">
        <f>IF($PE69="",0,(LEN($PE69)-LEN(SUBSTITUTE($PE69," · ","")))/3+1)</f>
        <v/>
      </c>
      <c r="PG69" s="152">
        <f>IF($MN69=0,IF($OD69+COUNTIF($ML69:$MM69,"?*")&gt;0,"Dê um nome",""),IF($PD69&gt;0,"⚠ "&amp;$PD69&amp;IF($PD69&gt;1," erros"," erro"),IF($PF69&gt;0,"! "&amp;$PF69&amp;IF($PF69&gt;1," avisos"," aviso"),"Na regra")))</f>
        <v/>
      </c>
      <c r="PH69" s="152">
        <f>IF($MN69=0,"",IF($PD69+$PF69=0,"Dentro das regras que a ficha confere",$PC69&amp;IF(AND($PD69&gt;0,$PF69&gt;0)," · ","")&amp;$PE69))</f>
        <v/>
      </c>
      <c r="PI69" s="152">
        <f>IF($MA69&gt;$MO69,$MB69&amp;" · ABRE NO NÍVEL "&amp;$MA69,$MB69)</f>
        <v/>
      </c>
      <c r="PJ69" s="152">
        <f>IF($MN69=0,"",IF($MC69=0,"Sem PE",3*$MC69&amp;" PE"))</f>
        <v/>
      </c>
      <c r="PK69" s="152">
        <f>IF($MN69=0,"",IF($MC69=0,"A atuação básica dela",IF(COUNTIF($NT69:$NU69,"Atrasar")&gt;0,"Sua Ação Completa",IF(COUNTIF($MH69:$MK69,"Rápido")&gt;0,"Sua Bônus",IF(COUNTIF($MH69:$MK69,"Reação")&gt;0,"Sua Reação","Sua Padrão")))&amp;" + a básica dela"&amp;IF(COUNTIF($MH69:$MK69,"Reação")&gt;0," e a coletiva","")&amp;IF(COUNTIF($NT69:$NU69,"Carregar")&gt;0," · em dois turnos","")))</f>
        <v/>
      </c>
      <c r="PL69" s="152">
        <f>IF($MG69&lt;&gt;"",$MG69,IF($MT69=0,"",INDEX($AA$2:$AA$11,$MT69)))</f>
        <v/>
      </c>
      <c r="PM69" s="152">
        <f>IF(OR($MN69=0,$MT69=0),"",IF(COUNTIF($MH69:$MK69,"Inescapável")&gt;0,"Automático",IF($PL69="Ataque",IF($MR69="","Ataque","Ataque "&amp;IF(($MR69+2*IF(COUNTIF($MH69:$MK69,"Precisão")&gt;0,1,0))&gt;=0,"+","−")&amp;ABS(($MR69+2*IF(COUNTIF($MH69:$MK69,"Precisão")&gt;0,1,0)))),IF(LEFT($PL69,2)="TR",$PL69&amp;IF($MS69="",""," · CD "&amp;$MS69)&amp;IF(COUNTIF($MH69:$MK69,"Certeiro")&gt;0," · metade",""),"Sem rolagem"))))</f>
        <v/>
      </c>
      <c r="PN69" s="152">
        <f>IF(OR($MN69=0,$MT69=0),"",IF($MC69=0,IF(OR($NP69&gt;=1,$OM69=0),"Sem dano",$OM69&amp;"d6"&amp;IF($MF69="",""," "&amp;$MF69)),IF(OR($NP69&gt;=1,$OM69=0),UPPER(LEFT(INDEX($OV69:$PB69,1,MAX(1,$MC69)),1))&amp;MID(INDEX($OV69:$PB69,1,MAX(1,$MC69)),2,99),UPPER(LEFT(INDEX($OV69:$PB69,1,MAX(1,$MC69)),1))&amp;MID(INDEX($OV69:$PB69,1,MAX(1,$MC69)),2,99)&amp;IF($MF69="",""," "&amp;$MF69)&amp;IF($ON69&gt;0," · +"&amp;$ON69&amp;"d8",""))))</f>
        <v/>
      </c>
      <c r="PO69" s="152">
        <f>COUNTIF($MH69:$MK69,"Longe")+3*COUNTIF($MH69:$MK69,"Muito Longe")</f>
        <v/>
      </c>
      <c r="PP69" s="152">
        <f>COUNTIF($MH69:$MK69,"Maior")+3*COUNTIF($MH69:$MK69,"Muito Maior")</f>
        <v/>
      </c>
      <c r="PQ69" s="152">
        <f>IF($MT69=0,0,CHOOSE(1+INDEX($AC$2:$AC$11,$MT69),0,$PO69,$PP69,$PO69+$PP69))</f>
        <v/>
      </c>
      <c r="PR69" s="152">
        <f>IF($MT69=0,0,CHOOSE(1+INDEX($AD$2:$AD$11,$MT69),0,$PO69,$PP69,$PO69+$PP69))</f>
        <v/>
      </c>
      <c r="PS69" s="152">
        <f>IF(OR($MN69=0,$MT69=0),"",INDEX($AI$2:$AN$41,($MT69-1)*4+IF($MC69=0,1,IF($MC69&lt;=5,2,IF($MC69=6,3,4))),1+MIN(5,$PQ69))&amp;INDEX($AO$2:$AT$41,($MT69-1)*4+IF($MC69=0,1,IF($MC69&lt;=5,2,IF($MC69=6,3,4))),1+MIN(5,$PR69))&amp;IF(INDEX($AE$2:$AE$11,$MT69)=1,IF(COUNTIF($MH69:$MK69,"Mais Um")&gt;0," · +"&amp;COUNTIF($MH69:$MK69,"Mais Um")&amp;IF(COUNTIF($MH69:$MK69,"Mais Um")&gt;1," alvos"," alvo"),"")&amp;IF(COUNTIF($MH69:$MK69,"Rajada")&gt;0,IF($MC69=0," · 1 tiro"," · "&amp;(MAX(1,$MC69-1)+1)&amp;" tiros"),""),""))</f>
        <v/>
      </c>
      <c r="PT69" s="152">
        <f>IF($MN69=0,"",IF($MC69=0,$MQ69&amp;"d6"&amp;IF($OD69&gt;0," − 1 = "&amp;$OM69&amp;"d6"," da básica do nível "&amp;$MO69),$OK69&amp;" − "&amp;$OF69&amp;" + "&amp;$OI69&amp;" = "&amp;$OL69&amp;" · teto "&amp;4*$MC69&amp;"d8"&amp;IF($NO69=1," · a Forma devolve "&amp;$MC69,"")&amp;IF($OJ69&gt;0," · perde "&amp;$OJ69,"")))</f>
        <v/>
      </c>
      <c r="PU69" s="152">
        <f>IF($MN69=0,"",IF($MC69=0,"A básica não amplia: os dados dela sobem com o nível",IF($MC69&gt;=$MP69,"Já está na maior Classe que o nível liberou",TEXTJOIN(" · ",TRUE,IF(AND(2&gt;$MC69,2&lt;=$MP69),"2 → "&amp;$OW69&amp;", 6 PE",""),IF(AND(3&gt;$MC69,3&lt;=$MP69),"3 → "&amp;$OX69&amp;", 9 PE",""),IF(AND(4&gt;$MC69,4&lt;=$MP69),"4 → "&amp;$OY69&amp;", 12 PE",""),IF(AND(5&gt;$MC69,5&lt;=$MP69),"5 → "&amp;$OZ69&amp;", 15 PE",""),IF(AND(6&gt;$MC69,6&lt;=$MP69),"6 → "&amp;$PA69&amp;", 18 PE",""),IF(AND(7&gt;$MC69,7&lt;=$MP69),"7 → "&amp;$PB69&amp;", 21 PE","")))))</f>
        <v/>
      </c>
      <c r="PV69" s="152">
        <f>IF(OR($MN69=0,$MY69=0),"",IF($MC69=0,"−1 dado","−"&amp;INDEX($I$2:$N$8,MAX(1,$MC69),MAX(1,$ND69))&amp;" · "&amp;CHOOSE(MAX(1,$ND69),"Leve","Média","Pesada","Leve · Livre","Média · Livre","Pesada · Livre")))</f>
        <v/>
      </c>
      <c r="PW69" s="152">
        <f>IF(OR($MN69=0,$MZ69=0),"",IF($MC69=0,"−1 dado","−"&amp;INDEX($I$2:$N$8,MAX(1,$MC69),MAX(1,$NE69))&amp;" · "&amp;CHOOSE(MAX(1,$NE69),"Leve","Média","Pesada","Leve · Livre","Média · Livre","Pesada · Livre")))</f>
        <v/>
      </c>
      <c r="PX69" s="152">
        <f>IF(OR($MN69=0,$NA69=0),"",IF($MC69=0,"−1 dado","−"&amp;INDEX($I$2:$N$8,MAX(1,$MC69),MAX(1,$NF69))&amp;" · "&amp;CHOOSE(MAX(1,$NF69),"Leve","Média","Pesada","Leve · Livre","Média · Livre","Pesada · Livre")))</f>
        <v/>
      </c>
      <c r="PY69" s="152">
        <f>IF(OR($MN69=0,$NB69=0),"",IF($MC69=0,"−1 dado","−"&amp;INDEX($I$2:$N$8,MAX(1,$MC69),MAX(1,$NG69))&amp;" · "&amp;CHOOSE(MAX(1,$NG69),"Leve","Média","Pesada","Leve · Livre","Média · Livre","Pesada · Livre")))</f>
        <v/>
      </c>
      <c r="PZ69" s="152">
        <f>IF(OR($MN69=0,$ML69=""),"",IF($MC69=0,"não devolve","+"&amp;IF($NR69=1,CEILING($MC69/2,1),$MC69)))</f>
        <v/>
      </c>
      <c r="QA69" s="152">
        <f>IF(OR($MN69=0,$MM69=""),"",IF($MC69=0,"não devolve","+"&amp;IF($NS69=1,CEILING($MC69/2,1),$MC69)))</f>
        <v/>
      </c>
    </row>
    <row r="70">
      <c r="AV70" s="150" t="inlineStr">
        <is>
          <t>Rastro</t>
        </is>
      </c>
      <c r="AW70" s="150" t="inlineStr">
        <is>
          <t>Marca</t>
        </is>
      </c>
      <c r="AX70" s="152" t="n">
        <v>1</v>
      </c>
      <c r="AY70" s="152" t="n">
        <v>0</v>
      </c>
      <c r="AZ70" s="152" t="n">
        <v>0</v>
      </c>
      <c r="JD70" s="152">
        <f>IF(OR($AW70="",COUNTIF($ED$2:$EH$2,$AW70)&gt;0),$AV70,"")</f>
        <v/>
      </c>
      <c r="JE70" s="152">
        <f>IF(AND($AX70=1,OR($AW70="",COUNTIF($ED$2:$EH$2,$AW70)&gt;0)),$AV70,"")</f>
        <v/>
      </c>
      <c r="JJ70" s="152">
        <f>IF(OR($AW70="",COUNTIF($ED$3:$EH$3,$AW70)&gt;0),$AV70,"")</f>
        <v/>
      </c>
      <c r="JK70" s="152">
        <f>IF(AND($AX70=1,OR($AW70="",COUNTIF($ED$3:$EH$3,$AW70)&gt;0)),$AV70,"")</f>
        <v/>
      </c>
      <c r="JP70" s="152">
        <f>IF(OR($AW70="",COUNTIF($ED$4:$EH$4,$AW70)&gt;0),$AV70,"")</f>
        <v/>
      </c>
      <c r="JQ70" s="152">
        <f>IF(AND($AX70=1,OR($AW70="",COUNTIF($ED$4:$EH$4,$AW70)&gt;0)),$AV70,"")</f>
        <v/>
      </c>
      <c r="JV70" s="152">
        <f>IF(OR($AW70="",COUNTIF($ED$5:$EH$5,$AW70)&gt;0),$AV70,"")</f>
        <v/>
      </c>
      <c r="JW70" s="152">
        <f>IF(AND($AX70=1,OR($AW70="",COUNTIF($ED$5:$EH$5,$AW70)&gt;0)),$AV70,"")</f>
        <v/>
      </c>
      <c r="KB70" s="152">
        <f>IF(OR($AW70="",COUNTIF($ED$6:$EH$6,$AW70)&gt;0),$AV70,"")</f>
        <v/>
      </c>
      <c r="KC70" s="152">
        <f>IF(AND($AX70=1,OR($AW70="",COUNTIF($ED$6:$EH$6,$AW70)&gt;0)),$AV70,"")</f>
        <v/>
      </c>
      <c r="KH70" s="152">
        <f>IF(OR($AW70="",COUNTIF($ED$7:$EH$7,$AW70)&gt;0),$AV70,"")</f>
        <v/>
      </c>
      <c r="KI70" s="152">
        <f>IF(AND($AX70=1,OR($AW70="",COUNTIF($ED$7:$EH$7,$AW70)&gt;0)),$AV70,"")</f>
        <v/>
      </c>
      <c r="KN70" s="152">
        <f>IF(OR($AW70="",COUNTIF($ED$8:$EH$8,$AW70)&gt;0),$AV70,"")</f>
        <v/>
      </c>
      <c r="KO70" s="152">
        <f>IF(AND($AX70=1,OR($AW70="",COUNTIF($ED$8:$EH$8,$AW70)&gt;0)),$AV70,"")</f>
        <v/>
      </c>
      <c r="KT70" s="152">
        <f>IF(OR($AW70="",COUNTIF($ED$9:$EH$9,$AW70)&gt;0),$AV70,"")</f>
        <v/>
      </c>
      <c r="KU70" s="152">
        <f>IF(AND($AX70=1,OR($AW70="",COUNTIF($ED$9:$EH$9,$AW70)&gt;0)),$AV70,"")</f>
        <v/>
      </c>
      <c r="KZ70" s="152">
        <f>IF(OR($AW70="",COUNTIF($ED$10:$EH$10,$AW70)&gt;0),$AV70,"")</f>
        <v/>
      </c>
      <c r="LA70" s="152">
        <f>IF(AND($AX70=1,OR($AW70="",COUNTIF($ED$10:$EH$10,$AW70)&gt;0)),$AV70,"")</f>
        <v/>
      </c>
      <c r="LF70" s="152">
        <f>IF(OR($AW70="",COUNTIF($ED$11:$EH$11,$AW70)&gt;0),$AV70,"")</f>
        <v/>
      </c>
      <c r="LG70" s="152">
        <f>IF(AND($AX70=1,OR($AW70="",COUNTIF($ED$11:$EH$11,$AW70)&gt;0)),$AV70,"")</f>
        <v/>
      </c>
      <c r="LL70" s="152">
        <f>IF(OR($AW70="",COUNTIF($ED$12:$EH$12,$AW70)&gt;0),$AV70,"")</f>
        <v/>
      </c>
      <c r="LM70" s="152">
        <f>IF(AND($AX70=1,OR($AW70="",COUNTIF($ED$12:$EH$12,$AW70)&gt;0)),$AV70,"")</f>
        <v/>
      </c>
      <c r="LR70" s="152">
        <f>IF(OR($AW70="",COUNTIF($ED$13:$EH$13,$AW70)&gt;0),$AV70,"")</f>
        <v/>
      </c>
      <c r="LS70" s="152">
        <f>IF(AND($AX70=1,OR($AW70="",COUNTIF($ED$13:$EH$13,$AW70)&gt;0)),$AV70,"")</f>
        <v/>
      </c>
      <c r="LX70" s="150" t="inlineStr">
        <is>
          <t>Ficha 6 · Básica 2</t>
        </is>
      </c>
      <c r="LY70" s="152" t="n">
        <v>6</v>
      </c>
      <c r="LZ70" s="152" t="n">
        <v>0</v>
      </c>
      <c r="MA70" s="152" t="n">
        <v>11</v>
      </c>
      <c r="MB70" s="150" t="inlineStr">
        <is>
          <t>BÁSICA 2</t>
        </is>
      </c>
      <c r="MC70" s="152" t="n">
        <v>0</v>
      </c>
      <c r="MD70" s="152">
        <f>'INVOCAÇÕES'!$J$1082&amp;""</f>
        <v/>
      </c>
      <c r="ME70" s="152">
        <f>'INVOCAÇÕES'!$I$1087&amp;""</f>
        <v/>
      </c>
      <c r="MF70" s="152">
        <f>'INVOCAÇÕES'!$I$1088&amp;""</f>
        <v/>
      </c>
      <c r="MG70" s="152">
        <f>'INVOCAÇÕES'!$K$1088&amp;""</f>
        <v/>
      </c>
      <c r="MH70" s="152">
        <f>'INVOCAÇÕES'!$J$1091&amp;""</f>
        <v/>
      </c>
      <c r="MI70" s="152">
        <f>'INVOCAÇÕES'!$J$1092&amp;""</f>
        <v/>
      </c>
      <c r="MJ70" s="152">
        <f>'INVOCAÇÕES'!$J$1093&amp;""</f>
        <v/>
      </c>
      <c r="MK70" s="152">
        <f>'INVOCAÇÕES'!$J$1094&amp;""</f>
        <v/>
      </c>
      <c r="ML70" s="152">
        <f>'INVOCAÇÕES'!$J$1095&amp;""</f>
        <v/>
      </c>
      <c r="MM70" s="152">
        <f>'INVOCAÇÕES'!$J$1096&amp;""</f>
        <v/>
      </c>
      <c r="MN70" s="152">
        <f>IF($MD70&lt;&gt;"",1,0)</f>
        <v/>
      </c>
      <c r="MO70" s="152">
        <f>INDEX($FG$2:$FG$13,$LY70)</f>
        <v/>
      </c>
      <c r="MP70" s="152">
        <f>INDEX($FH$2:$FH$13,$LY70)</f>
        <v/>
      </c>
      <c r="MQ70" s="152">
        <f>INDEX($FI$2:$FI$13,$LY70)</f>
        <v/>
      </c>
      <c r="MR70" s="152">
        <f>INDEX($FT$2:$FT$13,$LY70)</f>
        <v/>
      </c>
      <c r="MS70" s="152">
        <f>INDEX($FU$2:$FU$13,$LY70)</f>
        <v/>
      </c>
      <c r="MT70" s="152">
        <f>IFERROR(MATCH($ME70,$V$2:$V$11,0),0)</f>
        <v/>
      </c>
      <c r="MU70" s="152">
        <f>IFERROR(VLOOKUP($MH70,$AV$2:$AZ$84,2,FALSE),"")</f>
        <v/>
      </c>
      <c r="MV70" s="152">
        <f>IFERROR(VLOOKUP($MI70,$AV$2:$AZ$84,2,FALSE),"")</f>
        <v/>
      </c>
      <c r="MW70" s="152">
        <f>IFERROR(VLOOKUP($MJ70,$AV$2:$AZ$84,2,FALSE),"")</f>
        <v/>
      </c>
      <c r="MX70" s="152">
        <f>IFERROR(VLOOKUP($MK70,$AV$2:$AZ$84,2,FALSE),"")</f>
        <v/>
      </c>
      <c r="MY70" s="152">
        <f>IFERROR(VLOOKUP($MH70,$AV$2:$AZ$84,3,FALSE),0)</f>
        <v/>
      </c>
      <c r="MZ70" s="152">
        <f>IFERROR(VLOOKUP($MI70,$AV$2:$AZ$84,3,FALSE),0)</f>
        <v/>
      </c>
      <c r="NA70" s="152">
        <f>IFERROR(VLOOKUP($MJ70,$AV$2:$AZ$84,3,FALSE),0)</f>
        <v/>
      </c>
      <c r="NB70" s="152">
        <f>IFERROR(VLOOKUP($MK70,$AV$2:$AZ$84,3,FALSE),0)</f>
        <v/>
      </c>
      <c r="NC70" s="152">
        <f>IF($MC70=0,0,IF($MT70=0,0,INDEX($X$2:$X$11,$MT70)))</f>
        <v/>
      </c>
      <c r="ND70" s="152">
        <f>IF(OR($MY70=0,$MC70=0),0,$MY70+3*IF(AND($MU70&lt;&gt;"",OR($MU70=INDEX($ED$2:$ED$13,$LY70),$MU70=INDEX($EE$2:$EE$13,$LY70))),1,0))</f>
        <v/>
      </c>
      <c r="NE70" s="152">
        <f>IF(OR($MZ70=0,$MC70=0),0,$MZ70+3*IF(AND($MV70&lt;&gt;"",OR($MV70=INDEX($ED$2:$ED$13,$LY70),$MV70=INDEX($EE$2:$EE$13,$LY70))),1,0))</f>
        <v/>
      </c>
      <c r="NF70" s="152">
        <f>IF(OR($NA70=0,$MC70=0),0,$NA70+3*IF(AND($MW70&lt;&gt;"",OR($MW70=INDEX($ED$2:$ED$13,$LY70),$MW70=INDEX($EE$2:$EE$13,$LY70))),1,0))</f>
        <v/>
      </c>
      <c r="NG70" s="152">
        <f>IF(OR($NB70=0,$MC70=0),0,$NB70+3*IF(AND($MX70&lt;&gt;"",OR($MX70=INDEX($ED$2:$ED$13,$LY70),$MX70=INDEX($EE$2:$EE$13,$LY70))),1,0))</f>
        <v/>
      </c>
      <c r="NH70" s="152">
        <f>IF($MT70=0,0,IF(INDEX($W$2:$W$11,$MT70)="",0,IF(COUNTIF(INDEX($ED$2:$EH$13,$LY70,0),INDEX($W$2:$W$11,$MT70))=0,1,0)))</f>
        <v/>
      </c>
      <c r="NI70" s="152">
        <f>IF(OR($MY70=0,$MU70=""),0,IF(COUNTIF(INDEX($ED$2:$EH$13,$LY70,0),$MU70)=0,1,0))</f>
        <v/>
      </c>
      <c r="NJ70" s="152">
        <f>IF(OR($MZ70=0,$MV70=""),0,IF(COUNTIF(INDEX($ED$2:$EH$13,$LY70,0),$MV70)=0,1,0))</f>
        <v/>
      </c>
      <c r="NK70" s="152">
        <f>IF(OR($NA70=0,$MW70=""),0,IF(COUNTIF(INDEX($ED$2:$EH$13,$LY70,0),$MW70)=0,1,0))</f>
        <v/>
      </c>
      <c r="NL70" s="152">
        <f>IF(OR($NB70=0,$MX70=""),0,IF(COUNTIF(INDEX($ED$2:$EH$13,$LY70,0),$MX70)=0,1,0))</f>
        <v/>
      </c>
      <c r="NM70" s="152">
        <f>IFERROR(VLOOKUP($MH70,$AV$2:$AZ$84,4,FALSE),0)+IFERROR(VLOOKUP($MI70,$AV$2:$AZ$84,4,FALSE),0)+IFERROR(VLOOKUP($MJ70,$AV$2:$AZ$84,4,FALSE),0)+IFERROR(VLOOKUP($MK70,$AV$2:$AZ$84,4,FALSE),0)</f>
        <v/>
      </c>
      <c r="NN70" s="152">
        <f>TEXTJOIN(", ",TRUE,IF(IFERROR(VLOOKUP($MH70,$AV$2:$AZ$84,5,FALSE),0)=1,$MH70,""),IF(IFERROR(VLOOKUP($MI70,$AV$2:$AZ$84,5,FALSE),0)=1,$MI70,""),IF(IFERROR(VLOOKUP($MJ70,$AV$2:$AZ$84,5,FALSE),0)=1,$MJ70,""),IF(IFERROR(VLOOKUP($MK70,$AV$2:$AZ$84,5,FALSE),0)=1,$MK70,""))</f>
        <v/>
      </c>
      <c r="NO70" s="152">
        <f>IF($MT70=0,0,INDEX($Y$2:$Y$11,$MT70))</f>
        <v/>
      </c>
      <c r="NP70" s="152">
        <f>IF($MT70=0,0,INDEX($Z$2:$Z$11,$MT70))</f>
        <v/>
      </c>
      <c r="NQ70" s="152">
        <f>IF($MT70=0,0,INDEX($AB$2:$AB$11,$MT70))</f>
        <v/>
      </c>
      <c r="NR70" s="152">
        <f>IFERROR(VLOOKUP($ML70,$BB$2:$BF$24,3,FALSE),0)</f>
        <v/>
      </c>
      <c r="NS70" s="152">
        <f>IFERROR(VLOOKUP($MM70,$BB$2:$BF$24,3,FALSE),0)</f>
        <v/>
      </c>
      <c r="NT70" s="152">
        <f>IFERROR(VLOOKUP($ML70,$BB$2:$BF$24,2,FALSE),"")</f>
        <v/>
      </c>
      <c r="NU70" s="152">
        <f>IFERROR(VLOOKUP($MM70,$BB$2:$BF$24,2,FALSE),"")</f>
        <v/>
      </c>
      <c r="NV70" s="152">
        <f>COUNTIF($NC70:$NG70,1)</f>
        <v/>
      </c>
      <c r="NW70" s="152">
        <f>COUNTIF($NC70:$NG70,2)</f>
        <v/>
      </c>
      <c r="NX70" s="152">
        <f>COUNTIF($NC70:$NG70,3)</f>
        <v/>
      </c>
      <c r="NY70" s="152">
        <f>COUNTIF($NC70:$NG70,4)</f>
        <v/>
      </c>
      <c r="NZ70" s="152">
        <f>COUNTIF($NC70:$NG70,5)</f>
        <v/>
      </c>
      <c r="OA70" s="152">
        <f>COUNTIF($NC70:$NG70,6)</f>
        <v/>
      </c>
      <c r="OB70" s="152">
        <f>COUNTIF($NR70:$NS70,1)</f>
        <v/>
      </c>
      <c r="OC70" s="152">
        <f>COUNTIF($NR70:$NS70,2)+$NO70</f>
        <v/>
      </c>
      <c r="OD70" s="152">
        <f>COUNTIF($MH70:$MK70,"?*")</f>
        <v/>
      </c>
      <c r="OE70" s="152">
        <f>COUNTIF($ML70:$MM70,"?*")+$NO70</f>
        <v/>
      </c>
      <c r="OF70" s="152">
        <f>IF($MC70=0,0,SUMPRODUCT($NV70:$OA70,INDEX($I$2:$N$8,MAX(1,$MC70),0)))</f>
        <v/>
      </c>
      <c r="OG70" s="152">
        <f>IF($MC70=0,0,$OB70*CEILING($MC70/2,1)+$OC70*$MC70)</f>
        <v/>
      </c>
      <c r="OH70" s="152">
        <f>MIN(2*$MC70,$OG70)</f>
        <v/>
      </c>
      <c r="OI70" s="152">
        <f>MIN($OH70,$OF70)</f>
        <v/>
      </c>
      <c r="OJ70" s="152">
        <f>$OH70-$OI70</f>
        <v/>
      </c>
      <c r="OK70" s="152">
        <f>IF($MC70=0,0,INDEX($P$2:$P$8,MAX(1,$MC70)))</f>
        <v/>
      </c>
      <c r="OL70" s="152">
        <f>$OK70-$OF70+$OI70</f>
        <v/>
      </c>
      <c r="OM70" s="152">
        <f>IF($MC70=0,MAX(0,$MQ70-IF($OD70&gt;0,1,0)),MAX(0,$OL70))</f>
        <v/>
      </c>
      <c r="ON70" s="152">
        <f>IF($MC70=0,0,(IF(COUNTIF($MH70:$MK70,"Salto")&gt;0,1,0)+IF(COUNTIF($MH70:$MK70,"Queima")&gt;0,1,0)+IF(COUNTIF($MH70:$MK70,"Estilhaço")&gt;0,1,0))*FLOOR($OM70/2,1))</f>
        <v/>
      </c>
      <c r="OO70" s="152">
        <f>MAX(0,2-SUMPRODUCT($NV70:$OA70,$I$2:$N$2)+MIN(2,$OB70*1+$OC70*1,SUMPRODUCT($NV70:$OA70,$I$2:$N$2)))</f>
        <v/>
      </c>
      <c r="OP70" s="152">
        <f>MAX(0,4-SUMPRODUCT($NV70:$OA70,$I$3:$N$3)+MIN(4,$OB70*1+$OC70*2,SUMPRODUCT($NV70:$OA70,$I$3:$N$3)))</f>
        <v/>
      </c>
      <c r="OQ70" s="152">
        <f>MAX(0,6-SUMPRODUCT($NV70:$OA70,$I$4:$N$4)+MIN(6,$OB70*2+$OC70*3,SUMPRODUCT($NV70:$OA70,$I$4:$N$4)))</f>
        <v/>
      </c>
      <c r="OR70" s="152">
        <f>MAX(0,9-SUMPRODUCT($NV70:$OA70,$I$5:$N$5)+MIN(8,$OB70*2+$OC70*4,SUMPRODUCT($NV70:$OA70,$I$5:$N$5)))</f>
        <v/>
      </c>
      <c r="OS70" s="152">
        <f>MAX(0,11-SUMPRODUCT($NV70:$OA70,$I$6:$N$6)+MIN(10,$OB70*3+$OC70*5,SUMPRODUCT($NV70:$OA70,$I$6:$N$6)))</f>
        <v/>
      </c>
      <c r="OT70" s="152">
        <f>MAX(0,13-SUMPRODUCT($NV70:$OA70,$I$7:$N$7)+MIN(12,$OB70*3+$OC70*6,SUMPRODUCT($NV70:$OA70,$I$7:$N$7)))</f>
        <v/>
      </c>
      <c r="OU70" s="152">
        <f>MAX(0,16-SUMPRODUCT($NV70:$OA70,$I$8:$N$8)+MIN(14,$OB70*4+$OC70*7,SUMPRODUCT($NV70:$OA70,$I$8:$N$8)))</f>
        <v/>
      </c>
      <c r="OV70" s="152">
        <f>IF($NP70=2,3*$OO70&amp;" de vida temp.",IF($NP70=3,"sem dano",IF($OO70=0,IF($NP70=1,"sem cura","sem dano"),IF($NP70=1,"cura ","")&amp;$OO70&amp;"d8")))</f>
        <v/>
      </c>
      <c r="OW70" s="152">
        <f>IF($NP70=2,3*$OP70&amp;" de vida temp.",IF($NP70=3,"sem dano",IF($OP70=0,IF($NP70=1,"sem cura","sem dano"),IF($NP70=1,"cura ","")&amp;$OP70&amp;"d8")))</f>
        <v/>
      </c>
      <c r="OX70" s="152">
        <f>IF($NP70=2,3*$OQ70&amp;" de vida temp.",IF($NP70=3,"sem dano",IF($OQ70=0,IF($NP70=1,"sem cura","sem dano"),IF($NP70=1,"cura ","")&amp;$OQ70&amp;"d8")))</f>
        <v/>
      </c>
      <c r="OY70" s="152">
        <f>IF($NP70=2,3*$OR70&amp;" de vida temp.",IF($NP70=3,"sem dano",IF($OR70=0,IF($NP70=1,"sem cura","sem dano"),IF($NP70=1,"cura ","")&amp;$OR70&amp;"d8")))</f>
        <v/>
      </c>
      <c r="OZ70" s="152">
        <f>IF($NP70=2,3*$OS70&amp;" de vida temp.",IF($NP70=3,"sem dano",IF($OS70=0,IF($NP70=1,"sem cura","sem dano"),IF($NP70=1,"cura ","")&amp;$OS70&amp;"d8")))</f>
        <v/>
      </c>
      <c r="PA70" s="152">
        <f>IF($NP70=2,3*$OT70&amp;" de vida temp.",IF($NP70=3,"sem dano",IF($OT70=0,IF($NP70=1,"sem cura","sem dano"),IF($NP70=1,"cura ","")&amp;$OT70&amp;"d8")))</f>
        <v/>
      </c>
      <c r="PB70" s="152">
        <f>IF($NP70=2,3*$OU70&amp;" de vida temp.",IF($NP70=3,"sem dano",IF($OU70=0,IF($NP70=1,"sem cura","sem dano"),IF($NP70=1,"cura ","")&amp;$OU70&amp;"d8")))</f>
        <v/>
      </c>
      <c r="PC70" s="152">
        <f>IF($MN70=0,"",TEXTJOIN(" · ",TRUE,IF($MA70&gt;$MO70,"Este lugar abre no nível "&amp;$MA70,""),IF($MC70&gt;$MP70,"Classe "&amp;$MC70&amp;": o nível "&amp;$MO70&amp;" libera até a "&amp;$MP70,""),IF($NH70=1,"A Forma "&amp;$ME70&amp;" pede "&amp;INDEX($W$2:$W$11,$MT70)&amp;" aberta",""),IF(AND($MC70=0,$MT70&gt;0,IF($MT70=0,0,INDEX($AF$2:$AF$11,$MT70))=0),$ME70&amp;" não existe na Classe 0",""),IF($NI70=1,"Família Fechada: "&amp;$MH70,""),IF($NJ70=1,"Família Fechada: "&amp;$MI70,""),IF($NK70=1,"Família Fechada: "&amp;$MJ70,""),IF($NL70=1,"Família Fechada: "&amp;$MK70,""),IF(AND($MC70&gt;0,$OD70&gt;INDEX($O$2:$O$8,MAX(1,$MC70))),$OD70&amp;" Melhorias: a Classe "&amp;$MC70&amp;" aceita "&amp;INDEX($O$2:$O$8,MAX(1,$MC70)),""),IF(AND($MC70=0,$OD70&gt;1),"A básica aceita uma Melhoria",""),IF(AND($MC70=0,COUNTIF($MY70:$NB70,"&gt;1")&gt;0),"A básica só aceita Melhoria Leve",""),IF(AND($MC70&gt;0,$OE70&gt;2),$OE70&amp;" Restrições"&amp;IF($NO70=1,", contando a que a Forma "&amp;$ME70&amp;" já traz","")&amp;": o limite é 2",""),IF(AND($MC70=0,COUNTIF($ML70:$MM70,"?*")&gt;1),"A básica aceita uma Restrição Leve",""),IF(AND($MC70=0,COUNTIF($NR70:$NS70,2)&gt;0),"A básica só aceita Restrição Leve",""),IF(AND($MC70&gt;0,$OL70&lt;0),"Orçamento estourado: faltam "&amp;(-$OL70)&amp;IF($OL70&lt;-1," pontos"," ponto"),""),IF(IFERROR(VLOOKUP($ML70,$BB$2:$BF$24,4,FALSE),0)+IFERROR(VLOOKUP($MM70,$BB$2:$BF$24,4,FALSE),0)&gt;1,$NT70&amp;" e "&amp;$NU70&amp;" são as duas de frequência",""),IF(AND((COUNTIF($MH70:$MK70,"Rápido")+COUNTIF($NT70:$NU70,"Rápido"))&gt;0,(COUNTIF($MH70:$MK70,"Atrasar")+COUNTIF($NT70:$NU70,"Atrasar"))&gt;0),"Rápido não entra com Atrasar",""),IF(AND((COUNTIF($MH70:$MK70,"Reação")+COUNTIF($NT70:$NU70,"Reação"))&gt;0,(COUNTIF($MH70:$MK70,"Rápido")+COUNTIF($NT70:$NU70,"Rápido"))&gt;0),"Reação não entra com Rápido",""),IF(AND((COUNTIF($MH70:$MK70,"Reação")+COUNTIF($NT70:$NU70,"Reação"))&gt;0,(COUNTIF($MH70:$MK70,"Armado")+COUNTIF($NT70:$NU70,"Armado"))&gt;0),"Reação não entra com Armado",""),IF(AND((COUNTIF($MH70:$MK70,"Reação")+COUNTIF($NT70:$NU70,"Reação"))&gt;0,(COUNTIF($MH70:$MK70,"Atrasar")+COUNTIF($NT70:$NU70,"Atrasar"))&gt;0),"Reação não entra com Atrasar",""),IF(AND((COUNTIF($MH70:$MK70,"Reação")+COUNTIF($NT70:$NU70,"Reação"))&gt;0,(COUNTIF($MH70:$MK70,"Parado")+COUNTIF($NT70:$NU70,"Parado"))&gt;0),"Reação não entra com Parado",""),IF(AND((COUNTIF($MH70:$MK70,"Atrasar")+COUNTIF($NT70:$NU70,"Atrasar"))&gt;0,(COUNTIF($MH70:$MK70,"Parado")+COUNTIF($NT70:$NU70,"Parado"))&gt;0),"Atrasar não entra com Parado",""),IF(AND((COUNTIF($MH70:$MK70,"Armado")+COUNTIF($NT70:$NU70,"Armado"))&gt;0,(COUNTIF($MH70:$MK70,"Carregar")+COUNTIF($NT70:$NU70,"Carregar"))&gt;0),"Armado não entra com Carregar",""),IF(AND(COUNTIF($NT70:$NU70,"Corpo a Corpo")&gt;0,$NO70=0,OR($ME70="Cone",$ME70="Linha")),"Corpo a Corpo não entra em "&amp;$ME70,""),IF(AND(COUNTIF($NT70:$NU70,"Corpo a Corpo")&gt;0,$NO70=1),"A Forma "&amp;$ME70&amp;" já traz o Corpo a Corpo",""),IF(AND(COUNTIF($NT70:$NU70,"Tudo ou Nada")&gt;0,$NQ70=0),"Tudo ou Nada só entra em habilidade de Teste de Resistência",""),IF(AND(COUNTIF($MH70:$MK70,"Inescapável")&gt;0,OR($OD70&gt;1,$OE70&gt;0)),"Inescapável não aceita outra peça",""),IF(AND($MC70&gt;0,$OM70*IF(COUNTIF($MH70:$MK70,"Remate")&gt;0,1.25,1)+$ON70&gt;4*$MC70),($OM70*IF(COUNTIF($MH70:$MK70,"Remate")&gt;0,1.25,1)+$ON70)&amp;" dados somando repetições"&amp;IF(COUNTIF($MH70:$MK70,"Remate")&gt;0," e o Remate","")&amp;": o teto da Classe "&amp;$MC70&amp;" é "&amp;4*$MC70,"")))</f>
        <v/>
      </c>
      <c r="PD70" s="152">
        <f>IF($PC70="",0,(LEN($PC70)-LEN(SUBSTITUTE($PC70," · ","")))/3+1)</f>
        <v/>
      </c>
      <c r="PE70" s="152">
        <f>IF($MN70=0,"",TEXTJOIN(" · ",TRUE,IF($OG70&gt;2*$MC70,"A devolução parou no teto de "&amp;2*$MC70,""),IF($OJ70&gt;0,"Devolução perdida: "&amp;$OJ70&amp;IF($OJ70&gt;1," pontos"," ponto")&amp;" sem peça para pagar",""),IF(AND($NM70&gt;0,AND($MC70&gt;0,$NP70=0),$OM70=0),"Controle sem dano: uma rodada a mais e CD +2",""),IF(AND($NM70&gt;0,AND($MC70&gt;0,$NP70=0),$OM70&gt;0,$OM70&lt;=$MC70),"Controle com saldo até a Classe: uma rodada a mais",""),IF(AND($MC70&gt;0,$NN70&lt;&gt;""),"Efeito de "&amp;$NN70&amp;" pela Classe "&amp;MAX(1,$MC70-1),"")))</f>
        <v/>
      </c>
      <c r="PF70" s="152">
        <f>IF($PE70="",0,(LEN($PE70)-LEN(SUBSTITUTE($PE70," · ","")))/3+1)</f>
        <v/>
      </c>
      <c r="PG70" s="152">
        <f>IF($MN70=0,IF($OD70+COUNTIF($ML70:$MM70,"?*")&gt;0,"Dê um nome",""),IF($PD70&gt;0,"⚠ "&amp;$PD70&amp;IF($PD70&gt;1," erros"," erro"),IF($PF70&gt;0,"! "&amp;$PF70&amp;IF($PF70&gt;1," avisos"," aviso"),"Na regra")))</f>
        <v/>
      </c>
      <c r="PH70" s="152">
        <f>IF($MN70=0,"",IF($PD70+$PF70=0,"Dentro das regras que a ficha confere",$PC70&amp;IF(AND($PD70&gt;0,$PF70&gt;0)," · ","")&amp;$PE70))</f>
        <v/>
      </c>
      <c r="PI70" s="152">
        <f>IF($MA70&gt;$MO70,$MB70&amp;" · ABRE NO NÍVEL "&amp;$MA70,$MB70)</f>
        <v/>
      </c>
      <c r="PJ70" s="152">
        <f>IF($MN70=0,"",IF($MC70=0,"Sem PE",3*$MC70&amp;" PE"))</f>
        <v/>
      </c>
      <c r="PK70" s="152">
        <f>IF($MN70=0,"",IF($MC70=0,"A atuação básica dela",IF(COUNTIF($NT70:$NU70,"Atrasar")&gt;0,"Sua Ação Completa",IF(COUNTIF($MH70:$MK70,"Rápido")&gt;0,"Sua Bônus",IF(COUNTIF($MH70:$MK70,"Reação")&gt;0,"Sua Reação","Sua Padrão")))&amp;" + a básica dela"&amp;IF(COUNTIF($MH70:$MK70,"Reação")&gt;0," e a coletiva","")&amp;IF(COUNTIF($NT70:$NU70,"Carregar")&gt;0," · em dois turnos","")))</f>
        <v/>
      </c>
      <c r="PL70" s="152">
        <f>IF($MG70&lt;&gt;"",$MG70,IF($MT70=0,"",INDEX($AA$2:$AA$11,$MT70)))</f>
        <v/>
      </c>
      <c r="PM70" s="152">
        <f>IF(OR($MN70=0,$MT70=0),"",IF(COUNTIF($MH70:$MK70,"Inescapável")&gt;0,"Automático",IF($PL70="Ataque",IF($MR70="","Ataque","Ataque "&amp;IF(($MR70+2*IF(COUNTIF($MH70:$MK70,"Precisão")&gt;0,1,0))&gt;=0,"+","−")&amp;ABS(($MR70+2*IF(COUNTIF($MH70:$MK70,"Precisão")&gt;0,1,0)))),IF(LEFT($PL70,2)="TR",$PL70&amp;IF($MS70="",""," · CD "&amp;$MS70)&amp;IF(COUNTIF($MH70:$MK70,"Certeiro")&gt;0," · metade",""),"Sem rolagem"))))</f>
        <v/>
      </c>
      <c r="PN70" s="152">
        <f>IF(OR($MN70=0,$MT70=0),"",IF($MC70=0,IF(OR($NP70&gt;=1,$OM70=0),"Sem dano",$OM70&amp;"d6"&amp;IF($MF70="",""," "&amp;$MF70)),IF(OR($NP70&gt;=1,$OM70=0),UPPER(LEFT(INDEX($OV70:$PB70,1,MAX(1,$MC70)),1))&amp;MID(INDEX($OV70:$PB70,1,MAX(1,$MC70)),2,99),UPPER(LEFT(INDEX($OV70:$PB70,1,MAX(1,$MC70)),1))&amp;MID(INDEX($OV70:$PB70,1,MAX(1,$MC70)),2,99)&amp;IF($MF70="",""," "&amp;$MF70)&amp;IF($ON70&gt;0," · +"&amp;$ON70&amp;"d8",""))))</f>
        <v/>
      </c>
      <c r="PO70" s="152">
        <f>COUNTIF($MH70:$MK70,"Longe")+3*COUNTIF($MH70:$MK70,"Muito Longe")</f>
        <v/>
      </c>
      <c r="PP70" s="152">
        <f>COUNTIF($MH70:$MK70,"Maior")+3*COUNTIF($MH70:$MK70,"Muito Maior")</f>
        <v/>
      </c>
      <c r="PQ70" s="152">
        <f>IF($MT70=0,0,CHOOSE(1+INDEX($AC$2:$AC$11,$MT70),0,$PO70,$PP70,$PO70+$PP70))</f>
        <v/>
      </c>
      <c r="PR70" s="152">
        <f>IF($MT70=0,0,CHOOSE(1+INDEX($AD$2:$AD$11,$MT70),0,$PO70,$PP70,$PO70+$PP70))</f>
        <v/>
      </c>
      <c r="PS70" s="152">
        <f>IF(OR($MN70=0,$MT70=0),"",INDEX($AI$2:$AN$41,($MT70-1)*4+IF($MC70=0,1,IF($MC70&lt;=5,2,IF($MC70=6,3,4))),1+MIN(5,$PQ70))&amp;INDEX($AO$2:$AT$41,($MT70-1)*4+IF($MC70=0,1,IF($MC70&lt;=5,2,IF($MC70=6,3,4))),1+MIN(5,$PR70))&amp;IF(INDEX($AE$2:$AE$11,$MT70)=1,IF(COUNTIF($MH70:$MK70,"Mais Um")&gt;0," · +"&amp;COUNTIF($MH70:$MK70,"Mais Um")&amp;IF(COUNTIF($MH70:$MK70,"Mais Um")&gt;1," alvos"," alvo"),"")&amp;IF(COUNTIF($MH70:$MK70,"Rajada")&gt;0,IF($MC70=0," · 1 tiro"," · "&amp;(MAX(1,$MC70-1)+1)&amp;" tiros"),""),""))</f>
        <v/>
      </c>
      <c r="PT70" s="152">
        <f>IF($MN70=0,"",IF($MC70=0,$MQ70&amp;"d6"&amp;IF($OD70&gt;0," − 1 = "&amp;$OM70&amp;"d6"," da básica do nível "&amp;$MO70),$OK70&amp;" − "&amp;$OF70&amp;" + "&amp;$OI70&amp;" = "&amp;$OL70&amp;" · teto "&amp;4*$MC70&amp;"d8"&amp;IF($NO70=1," · a Forma devolve "&amp;$MC70,"")&amp;IF($OJ70&gt;0," · perde "&amp;$OJ70,"")))</f>
        <v/>
      </c>
      <c r="PU70" s="152">
        <f>IF($MN70=0,"",IF($MC70=0,"A básica não amplia: os dados dela sobem com o nível",IF($MC70&gt;=$MP70,"Já está na maior Classe que o nível liberou",TEXTJOIN(" · ",TRUE,IF(AND(2&gt;$MC70,2&lt;=$MP70),"2 → "&amp;$OW70&amp;", 6 PE",""),IF(AND(3&gt;$MC70,3&lt;=$MP70),"3 → "&amp;$OX70&amp;", 9 PE",""),IF(AND(4&gt;$MC70,4&lt;=$MP70),"4 → "&amp;$OY70&amp;", 12 PE",""),IF(AND(5&gt;$MC70,5&lt;=$MP70),"5 → "&amp;$OZ70&amp;", 15 PE",""),IF(AND(6&gt;$MC70,6&lt;=$MP70),"6 → "&amp;$PA70&amp;", 18 PE",""),IF(AND(7&gt;$MC70,7&lt;=$MP70),"7 → "&amp;$PB70&amp;", 21 PE","")))))</f>
        <v/>
      </c>
      <c r="PV70" s="152">
        <f>IF(OR($MN70=0,$MY70=0),"",IF($MC70=0,"−1 dado","−"&amp;INDEX($I$2:$N$8,MAX(1,$MC70),MAX(1,$ND70))&amp;" · "&amp;CHOOSE(MAX(1,$ND70),"Leve","Média","Pesada","Leve · Livre","Média · Livre","Pesada · Livre")))</f>
        <v/>
      </c>
      <c r="PW70" s="152">
        <f>IF(OR($MN70=0,$MZ70=0),"",IF($MC70=0,"−1 dado","−"&amp;INDEX($I$2:$N$8,MAX(1,$MC70),MAX(1,$NE70))&amp;" · "&amp;CHOOSE(MAX(1,$NE70),"Leve","Média","Pesada","Leve · Livre","Média · Livre","Pesada · Livre")))</f>
        <v/>
      </c>
      <c r="PX70" s="152">
        <f>IF(OR($MN70=0,$NA70=0),"",IF($MC70=0,"−1 dado","−"&amp;INDEX($I$2:$N$8,MAX(1,$MC70),MAX(1,$NF70))&amp;" · "&amp;CHOOSE(MAX(1,$NF70),"Leve","Média","Pesada","Leve · Livre","Média · Livre","Pesada · Livre")))</f>
        <v/>
      </c>
      <c r="PY70" s="152">
        <f>IF(OR($MN70=0,$NB70=0),"",IF($MC70=0,"−1 dado","−"&amp;INDEX($I$2:$N$8,MAX(1,$MC70),MAX(1,$NG70))&amp;" · "&amp;CHOOSE(MAX(1,$NG70),"Leve","Média","Pesada","Leve · Livre","Média · Livre","Pesada · Livre")))</f>
        <v/>
      </c>
      <c r="PZ70" s="152">
        <f>IF(OR($MN70=0,$ML70=""),"",IF($MC70=0,"não devolve","+"&amp;IF($NR70=1,CEILING($MC70/2,1),$MC70)))</f>
        <v/>
      </c>
      <c r="QA70" s="152">
        <f>IF(OR($MN70=0,$MM70=""),"",IF($MC70=0,"não devolve","+"&amp;IF($NS70=1,CEILING($MC70/2,1),$MC70)))</f>
        <v/>
      </c>
    </row>
    <row r="71">
      <c r="AV71" s="150" t="inlineStr">
        <is>
          <t>Isca</t>
        </is>
      </c>
      <c r="AW71" s="150" t="inlineStr">
        <is>
          <t>Marca</t>
        </is>
      </c>
      <c r="AX71" s="152" t="n">
        <v>1</v>
      </c>
      <c r="AY71" s="152" t="n">
        <v>0</v>
      </c>
      <c r="AZ71" s="152" t="n">
        <v>0</v>
      </c>
      <c r="JD71" s="152">
        <f>IF(OR($AW71="",COUNTIF($ED$2:$EH$2,$AW71)&gt;0),$AV71,"")</f>
        <v/>
      </c>
      <c r="JE71" s="152">
        <f>IF(AND($AX71=1,OR($AW71="",COUNTIF($ED$2:$EH$2,$AW71)&gt;0)),$AV71,"")</f>
        <v/>
      </c>
      <c r="JJ71" s="152">
        <f>IF(OR($AW71="",COUNTIF($ED$3:$EH$3,$AW71)&gt;0),$AV71,"")</f>
        <v/>
      </c>
      <c r="JK71" s="152">
        <f>IF(AND($AX71=1,OR($AW71="",COUNTIF($ED$3:$EH$3,$AW71)&gt;0)),$AV71,"")</f>
        <v/>
      </c>
      <c r="JP71" s="152">
        <f>IF(OR($AW71="",COUNTIF($ED$4:$EH$4,$AW71)&gt;0),$AV71,"")</f>
        <v/>
      </c>
      <c r="JQ71" s="152">
        <f>IF(AND($AX71=1,OR($AW71="",COUNTIF($ED$4:$EH$4,$AW71)&gt;0)),$AV71,"")</f>
        <v/>
      </c>
      <c r="JV71" s="152">
        <f>IF(OR($AW71="",COUNTIF($ED$5:$EH$5,$AW71)&gt;0),$AV71,"")</f>
        <v/>
      </c>
      <c r="JW71" s="152">
        <f>IF(AND($AX71=1,OR($AW71="",COUNTIF($ED$5:$EH$5,$AW71)&gt;0)),$AV71,"")</f>
        <v/>
      </c>
      <c r="KB71" s="152">
        <f>IF(OR($AW71="",COUNTIF($ED$6:$EH$6,$AW71)&gt;0),$AV71,"")</f>
        <v/>
      </c>
      <c r="KC71" s="152">
        <f>IF(AND($AX71=1,OR($AW71="",COUNTIF($ED$6:$EH$6,$AW71)&gt;0)),$AV71,"")</f>
        <v/>
      </c>
      <c r="KH71" s="152">
        <f>IF(OR($AW71="",COUNTIF($ED$7:$EH$7,$AW71)&gt;0),$AV71,"")</f>
        <v/>
      </c>
      <c r="KI71" s="152">
        <f>IF(AND($AX71=1,OR($AW71="",COUNTIF($ED$7:$EH$7,$AW71)&gt;0)),$AV71,"")</f>
        <v/>
      </c>
      <c r="KN71" s="152">
        <f>IF(OR($AW71="",COUNTIF($ED$8:$EH$8,$AW71)&gt;0),$AV71,"")</f>
        <v/>
      </c>
      <c r="KO71" s="152">
        <f>IF(AND($AX71=1,OR($AW71="",COUNTIF($ED$8:$EH$8,$AW71)&gt;0)),$AV71,"")</f>
        <v/>
      </c>
      <c r="KT71" s="152">
        <f>IF(OR($AW71="",COUNTIF($ED$9:$EH$9,$AW71)&gt;0),$AV71,"")</f>
        <v/>
      </c>
      <c r="KU71" s="152">
        <f>IF(AND($AX71=1,OR($AW71="",COUNTIF($ED$9:$EH$9,$AW71)&gt;0)),$AV71,"")</f>
        <v/>
      </c>
      <c r="KZ71" s="152">
        <f>IF(OR($AW71="",COUNTIF($ED$10:$EH$10,$AW71)&gt;0),$AV71,"")</f>
        <v/>
      </c>
      <c r="LA71" s="152">
        <f>IF(AND($AX71=1,OR($AW71="",COUNTIF($ED$10:$EH$10,$AW71)&gt;0)),$AV71,"")</f>
        <v/>
      </c>
      <c r="LF71" s="152">
        <f>IF(OR($AW71="",COUNTIF($ED$11:$EH$11,$AW71)&gt;0),$AV71,"")</f>
        <v/>
      </c>
      <c r="LG71" s="152">
        <f>IF(AND($AX71=1,OR($AW71="",COUNTIF($ED$11:$EH$11,$AW71)&gt;0)),$AV71,"")</f>
        <v/>
      </c>
      <c r="LL71" s="152">
        <f>IF(OR($AW71="",COUNTIF($ED$12:$EH$12,$AW71)&gt;0),$AV71,"")</f>
        <v/>
      </c>
      <c r="LM71" s="152">
        <f>IF(AND($AX71=1,OR($AW71="",COUNTIF($ED$12:$EH$12,$AW71)&gt;0)),$AV71,"")</f>
        <v/>
      </c>
      <c r="LR71" s="152">
        <f>IF(OR($AW71="",COUNTIF($ED$13:$EH$13,$AW71)&gt;0),$AV71,"")</f>
        <v/>
      </c>
      <c r="LS71" s="152">
        <f>IF(AND($AX71=1,OR($AW71="",COUNTIF($ED$13:$EH$13,$AW71)&gt;0)),$AV71,"")</f>
        <v/>
      </c>
      <c r="LX71" s="150" t="inlineStr">
        <is>
          <t>Ficha 6 · Especial 3</t>
        </is>
      </c>
      <c r="LY71" s="152" t="n">
        <v>6</v>
      </c>
      <c r="LZ71" s="152" t="n">
        <v>1</v>
      </c>
      <c r="MA71" s="152" t="n">
        <v>8</v>
      </c>
      <c r="MB71" s="150" t="inlineStr">
        <is>
          <t>ESPECIAL 3</t>
        </is>
      </c>
      <c r="MC71" s="152">
        <f>MAX(1,MIN(7,N('INVOCAÇÕES'!$O$1082)))</f>
        <v/>
      </c>
      <c r="MD71" s="152">
        <f>'INVOCAÇÕES'!$P$1082&amp;""</f>
        <v/>
      </c>
      <c r="ME71" s="152">
        <f>'INVOCAÇÕES'!$O$1087&amp;""</f>
        <v/>
      </c>
      <c r="MF71" s="152">
        <f>'INVOCAÇÕES'!$O$1088&amp;""</f>
        <v/>
      </c>
      <c r="MG71" s="152">
        <f>'INVOCAÇÕES'!$Q$1088&amp;""</f>
        <v/>
      </c>
      <c r="MH71" s="152">
        <f>'INVOCAÇÕES'!$P$1091&amp;""</f>
        <v/>
      </c>
      <c r="MI71" s="152">
        <f>'INVOCAÇÕES'!$P$1092&amp;""</f>
        <v/>
      </c>
      <c r="MJ71" s="152">
        <f>'INVOCAÇÕES'!$P$1093&amp;""</f>
        <v/>
      </c>
      <c r="MK71" s="152">
        <f>'INVOCAÇÕES'!$P$1094&amp;""</f>
        <v/>
      </c>
      <c r="ML71" s="152">
        <f>'INVOCAÇÕES'!$P$1095&amp;""</f>
        <v/>
      </c>
      <c r="MM71" s="152">
        <f>'INVOCAÇÕES'!$P$1096&amp;""</f>
        <v/>
      </c>
      <c r="MN71" s="152">
        <f>IF($MD71&lt;&gt;"",1,0)</f>
        <v/>
      </c>
      <c r="MO71" s="152">
        <f>INDEX($FG$2:$FG$13,$LY71)</f>
        <v/>
      </c>
      <c r="MP71" s="152">
        <f>INDEX($FH$2:$FH$13,$LY71)</f>
        <v/>
      </c>
      <c r="MQ71" s="152">
        <f>INDEX($FI$2:$FI$13,$LY71)</f>
        <v/>
      </c>
      <c r="MR71" s="152">
        <f>INDEX($FT$2:$FT$13,$LY71)</f>
        <v/>
      </c>
      <c r="MS71" s="152">
        <f>INDEX($FU$2:$FU$13,$LY71)</f>
        <v/>
      </c>
      <c r="MT71" s="152">
        <f>IFERROR(MATCH($ME71,$V$2:$V$11,0),0)</f>
        <v/>
      </c>
      <c r="MU71" s="152">
        <f>IFERROR(VLOOKUP($MH71,$AV$2:$AZ$84,2,FALSE),"")</f>
        <v/>
      </c>
      <c r="MV71" s="152">
        <f>IFERROR(VLOOKUP($MI71,$AV$2:$AZ$84,2,FALSE),"")</f>
        <v/>
      </c>
      <c r="MW71" s="152">
        <f>IFERROR(VLOOKUP($MJ71,$AV$2:$AZ$84,2,FALSE),"")</f>
        <v/>
      </c>
      <c r="MX71" s="152">
        <f>IFERROR(VLOOKUP($MK71,$AV$2:$AZ$84,2,FALSE),"")</f>
        <v/>
      </c>
      <c r="MY71" s="152">
        <f>IFERROR(VLOOKUP($MH71,$AV$2:$AZ$84,3,FALSE),0)</f>
        <v/>
      </c>
      <c r="MZ71" s="152">
        <f>IFERROR(VLOOKUP($MI71,$AV$2:$AZ$84,3,FALSE),0)</f>
        <v/>
      </c>
      <c r="NA71" s="152">
        <f>IFERROR(VLOOKUP($MJ71,$AV$2:$AZ$84,3,FALSE),0)</f>
        <v/>
      </c>
      <c r="NB71" s="152">
        <f>IFERROR(VLOOKUP($MK71,$AV$2:$AZ$84,3,FALSE),0)</f>
        <v/>
      </c>
      <c r="NC71" s="152">
        <f>IF($MC71=0,0,IF($MT71=0,0,INDEX($X$2:$X$11,$MT71)))</f>
        <v/>
      </c>
      <c r="ND71" s="152">
        <f>IF(OR($MY71=0,$MC71=0),0,$MY71+3*IF(AND($MU71&lt;&gt;"",OR($MU71=INDEX($ED$2:$ED$13,$LY71),$MU71=INDEX($EE$2:$EE$13,$LY71))),1,0))</f>
        <v/>
      </c>
      <c r="NE71" s="152">
        <f>IF(OR($MZ71=0,$MC71=0),0,$MZ71+3*IF(AND($MV71&lt;&gt;"",OR($MV71=INDEX($ED$2:$ED$13,$LY71),$MV71=INDEX($EE$2:$EE$13,$LY71))),1,0))</f>
        <v/>
      </c>
      <c r="NF71" s="152">
        <f>IF(OR($NA71=0,$MC71=0),0,$NA71+3*IF(AND($MW71&lt;&gt;"",OR($MW71=INDEX($ED$2:$ED$13,$LY71),$MW71=INDEX($EE$2:$EE$13,$LY71))),1,0))</f>
        <v/>
      </c>
      <c r="NG71" s="152">
        <f>IF(OR($NB71=0,$MC71=0),0,$NB71+3*IF(AND($MX71&lt;&gt;"",OR($MX71=INDEX($ED$2:$ED$13,$LY71),$MX71=INDEX($EE$2:$EE$13,$LY71))),1,0))</f>
        <v/>
      </c>
      <c r="NH71" s="152">
        <f>IF($MT71=0,0,IF(INDEX($W$2:$W$11,$MT71)="",0,IF(COUNTIF(INDEX($ED$2:$EH$13,$LY71,0),INDEX($W$2:$W$11,$MT71))=0,1,0)))</f>
        <v/>
      </c>
      <c r="NI71" s="152">
        <f>IF(OR($MY71=0,$MU71=""),0,IF(COUNTIF(INDEX($ED$2:$EH$13,$LY71,0),$MU71)=0,1,0))</f>
        <v/>
      </c>
      <c r="NJ71" s="152">
        <f>IF(OR($MZ71=0,$MV71=""),0,IF(COUNTIF(INDEX($ED$2:$EH$13,$LY71,0),$MV71)=0,1,0))</f>
        <v/>
      </c>
      <c r="NK71" s="152">
        <f>IF(OR($NA71=0,$MW71=""),0,IF(COUNTIF(INDEX($ED$2:$EH$13,$LY71,0),$MW71)=0,1,0))</f>
        <v/>
      </c>
      <c r="NL71" s="152">
        <f>IF(OR($NB71=0,$MX71=""),0,IF(COUNTIF(INDEX($ED$2:$EH$13,$LY71,0),$MX71)=0,1,0))</f>
        <v/>
      </c>
      <c r="NM71" s="152">
        <f>IFERROR(VLOOKUP($MH71,$AV$2:$AZ$84,4,FALSE),0)+IFERROR(VLOOKUP($MI71,$AV$2:$AZ$84,4,FALSE),0)+IFERROR(VLOOKUP($MJ71,$AV$2:$AZ$84,4,FALSE),0)+IFERROR(VLOOKUP($MK71,$AV$2:$AZ$84,4,FALSE),0)</f>
        <v/>
      </c>
      <c r="NN71" s="152">
        <f>TEXTJOIN(", ",TRUE,IF(IFERROR(VLOOKUP($MH71,$AV$2:$AZ$84,5,FALSE),0)=1,$MH71,""),IF(IFERROR(VLOOKUP($MI71,$AV$2:$AZ$84,5,FALSE),0)=1,$MI71,""),IF(IFERROR(VLOOKUP($MJ71,$AV$2:$AZ$84,5,FALSE),0)=1,$MJ71,""),IF(IFERROR(VLOOKUP($MK71,$AV$2:$AZ$84,5,FALSE),0)=1,$MK71,""))</f>
        <v/>
      </c>
      <c r="NO71" s="152">
        <f>IF($MT71=0,0,INDEX($Y$2:$Y$11,$MT71))</f>
        <v/>
      </c>
      <c r="NP71" s="152">
        <f>IF($MT71=0,0,INDEX($Z$2:$Z$11,$MT71))</f>
        <v/>
      </c>
      <c r="NQ71" s="152">
        <f>IF($MT71=0,0,INDEX($AB$2:$AB$11,$MT71))</f>
        <v/>
      </c>
      <c r="NR71" s="152">
        <f>IFERROR(VLOOKUP($ML71,$BB$2:$BF$24,3,FALSE),0)</f>
        <v/>
      </c>
      <c r="NS71" s="152">
        <f>IFERROR(VLOOKUP($MM71,$BB$2:$BF$24,3,FALSE),0)</f>
        <v/>
      </c>
      <c r="NT71" s="152">
        <f>IFERROR(VLOOKUP($ML71,$BB$2:$BF$24,2,FALSE),"")</f>
        <v/>
      </c>
      <c r="NU71" s="152">
        <f>IFERROR(VLOOKUP($MM71,$BB$2:$BF$24,2,FALSE),"")</f>
        <v/>
      </c>
      <c r="NV71" s="152">
        <f>COUNTIF($NC71:$NG71,1)</f>
        <v/>
      </c>
      <c r="NW71" s="152">
        <f>COUNTIF($NC71:$NG71,2)</f>
        <v/>
      </c>
      <c r="NX71" s="152">
        <f>COUNTIF($NC71:$NG71,3)</f>
        <v/>
      </c>
      <c r="NY71" s="152">
        <f>COUNTIF($NC71:$NG71,4)</f>
        <v/>
      </c>
      <c r="NZ71" s="152">
        <f>COUNTIF($NC71:$NG71,5)</f>
        <v/>
      </c>
      <c r="OA71" s="152">
        <f>COUNTIF($NC71:$NG71,6)</f>
        <v/>
      </c>
      <c r="OB71" s="152">
        <f>COUNTIF($NR71:$NS71,1)</f>
        <v/>
      </c>
      <c r="OC71" s="152">
        <f>COUNTIF($NR71:$NS71,2)+$NO71</f>
        <v/>
      </c>
      <c r="OD71" s="152">
        <f>COUNTIF($MH71:$MK71,"?*")</f>
        <v/>
      </c>
      <c r="OE71" s="152">
        <f>COUNTIF($ML71:$MM71,"?*")+$NO71</f>
        <v/>
      </c>
      <c r="OF71" s="152">
        <f>IF($MC71=0,0,SUMPRODUCT($NV71:$OA71,INDEX($I$2:$N$8,MAX(1,$MC71),0)))</f>
        <v/>
      </c>
      <c r="OG71" s="152">
        <f>IF($MC71=0,0,$OB71*CEILING($MC71/2,1)+$OC71*$MC71)</f>
        <v/>
      </c>
      <c r="OH71" s="152">
        <f>MIN(2*$MC71,$OG71)</f>
        <v/>
      </c>
      <c r="OI71" s="152">
        <f>MIN($OH71,$OF71)</f>
        <v/>
      </c>
      <c r="OJ71" s="152">
        <f>$OH71-$OI71</f>
        <v/>
      </c>
      <c r="OK71" s="152">
        <f>IF($MC71=0,0,INDEX($P$2:$P$8,MAX(1,$MC71)))</f>
        <v/>
      </c>
      <c r="OL71" s="152">
        <f>$OK71-$OF71+$OI71</f>
        <v/>
      </c>
      <c r="OM71" s="152">
        <f>IF($MC71=0,MAX(0,$MQ71-IF($OD71&gt;0,1,0)),MAX(0,$OL71))</f>
        <v/>
      </c>
      <c r="ON71" s="152">
        <f>IF($MC71=0,0,(IF(COUNTIF($MH71:$MK71,"Salto")&gt;0,1,0)+IF(COUNTIF($MH71:$MK71,"Queima")&gt;0,1,0)+IF(COUNTIF($MH71:$MK71,"Estilhaço")&gt;0,1,0))*FLOOR($OM71/2,1))</f>
        <v/>
      </c>
      <c r="OO71" s="152">
        <f>MAX(0,2-SUMPRODUCT($NV71:$OA71,$I$2:$N$2)+MIN(2,$OB71*1+$OC71*1,SUMPRODUCT($NV71:$OA71,$I$2:$N$2)))</f>
        <v/>
      </c>
      <c r="OP71" s="152">
        <f>MAX(0,4-SUMPRODUCT($NV71:$OA71,$I$3:$N$3)+MIN(4,$OB71*1+$OC71*2,SUMPRODUCT($NV71:$OA71,$I$3:$N$3)))</f>
        <v/>
      </c>
      <c r="OQ71" s="152">
        <f>MAX(0,6-SUMPRODUCT($NV71:$OA71,$I$4:$N$4)+MIN(6,$OB71*2+$OC71*3,SUMPRODUCT($NV71:$OA71,$I$4:$N$4)))</f>
        <v/>
      </c>
      <c r="OR71" s="152">
        <f>MAX(0,9-SUMPRODUCT($NV71:$OA71,$I$5:$N$5)+MIN(8,$OB71*2+$OC71*4,SUMPRODUCT($NV71:$OA71,$I$5:$N$5)))</f>
        <v/>
      </c>
      <c r="OS71" s="152">
        <f>MAX(0,11-SUMPRODUCT($NV71:$OA71,$I$6:$N$6)+MIN(10,$OB71*3+$OC71*5,SUMPRODUCT($NV71:$OA71,$I$6:$N$6)))</f>
        <v/>
      </c>
      <c r="OT71" s="152">
        <f>MAX(0,13-SUMPRODUCT($NV71:$OA71,$I$7:$N$7)+MIN(12,$OB71*3+$OC71*6,SUMPRODUCT($NV71:$OA71,$I$7:$N$7)))</f>
        <v/>
      </c>
      <c r="OU71" s="152">
        <f>MAX(0,16-SUMPRODUCT($NV71:$OA71,$I$8:$N$8)+MIN(14,$OB71*4+$OC71*7,SUMPRODUCT($NV71:$OA71,$I$8:$N$8)))</f>
        <v/>
      </c>
      <c r="OV71" s="152">
        <f>IF($NP71=2,3*$OO71&amp;" de vida temp.",IF($NP71=3,"sem dano",IF($OO71=0,IF($NP71=1,"sem cura","sem dano"),IF($NP71=1,"cura ","")&amp;$OO71&amp;"d8")))</f>
        <v/>
      </c>
      <c r="OW71" s="152">
        <f>IF($NP71=2,3*$OP71&amp;" de vida temp.",IF($NP71=3,"sem dano",IF($OP71=0,IF($NP71=1,"sem cura","sem dano"),IF($NP71=1,"cura ","")&amp;$OP71&amp;"d8")))</f>
        <v/>
      </c>
      <c r="OX71" s="152">
        <f>IF($NP71=2,3*$OQ71&amp;" de vida temp.",IF($NP71=3,"sem dano",IF($OQ71=0,IF($NP71=1,"sem cura","sem dano"),IF($NP71=1,"cura ","")&amp;$OQ71&amp;"d8")))</f>
        <v/>
      </c>
      <c r="OY71" s="152">
        <f>IF($NP71=2,3*$OR71&amp;" de vida temp.",IF($NP71=3,"sem dano",IF($OR71=0,IF($NP71=1,"sem cura","sem dano"),IF($NP71=1,"cura ","")&amp;$OR71&amp;"d8")))</f>
        <v/>
      </c>
      <c r="OZ71" s="152">
        <f>IF($NP71=2,3*$OS71&amp;" de vida temp.",IF($NP71=3,"sem dano",IF($OS71=0,IF($NP71=1,"sem cura","sem dano"),IF($NP71=1,"cura ","")&amp;$OS71&amp;"d8")))</f>
        <v/>
      </c>
      <c r="PA71" s="152">
        <f>IF($NP71=2,3*$OT71&amp;" de vida temp.",IF($NP71=3,"sem dano",IF($OT71=0,IF($NP71=1,"sem cura","sem dano"),IF($NP71=1,"cura ","")&amp;$OT71&amp;"d8")))</f>
        <v/>
      </c>
      <c r="PB71" s="152">
        <f>IF($NP71=2,3*$OU71&amp;" de vida temp.",IF($NP71=3,"sem dano",IF($OU71=0,IF($NP71=1,"sem cura","sem dano"),IF($NP71=1,"cura ","")&amp;$OU71&amp;"d8")))</f>
        <v/>
      </c>
      <c r="PC71" s="152">
        <f>IF($MN71=0,"",TEXTJOIN(" · ",TRUE,IF($MA71&gt;$MO71,"Este lugar abre no nível "&amp;$MA71,""),IF($MC71&gt;$MP71,"Classe "&amp;$MC71&amp;": o nível "&amp;$MO71&amp;" libera até a "&amp;$MP71,""),IF($NH71=1,"A Forma "&amp;$ME71&amp;" pede "&amp;INDEX($W$2:$W$11,$MT71)&amp;" aberta",""),IF(AND($MC71=0,$MT71&gt;0,IF($MT71=0,0,INDEX($AF$2:$AF$11,$MT71))=0),$ME71&amp;" não existe na Classe 0",""),IF($NI71=1,"Família Fechada: "&amp;$MH71,""),IF($NJ71=1,"Família Fechada: "&amp;$MI71,""),IF($NK71=1,"Família Fechada: "&amp;$MJ71,""),IF($NL71=1,"Família Fechada: "&amp;$MK71,""),IF(AND($MC71&gt;0,$OD71&gt;INDEX($O$2:$O$8,MAX(1,$MC71))),$OD71&amp;" Melhorias: a Classe "&amp;$MC71&amp;" aceita "&amp;INDEX($O$2:$O$8,MAX(1,$MC71)),""),IF(AND($MC71=0,$OD71&gt;1),"A básica aceita uma Melhoria",""),IF(AND($MC71=0,COUNTIF($MY71:$NB71,"&gt;1")&gt;0),"A básica só aceita Melhoria Leve",""),IF(AND($MC71&gt;0,$OE71&gt;2),$OE71&amp;" Restrições"&amp;IF($NO71=1,", contando a que a Forma "&amp;$ME71&amp;" já traz","")&amp;": o limite é 2",""),IF(AND($MC71=0,COUNTIF($ML71:$MM71,"?*")&gt;1),"A básica aceita uma Restrição Leve",""),IF(AND($MC71=0,COUNTIF($NR71:$NS71,2)&gt;0),"A básica só aceita Restrição Leve",""),IF(AND($MC71&gt;0,$OL71&lt;0),"Orçamento estourado: faltam "&amp;(-$OL71)&amp;IF($OL71&lt;-1," pontos"," ponto"),""),IF(IFERROR(VLOOKUP($ML71,$BB$2:$BF$24,4,FALSE),0)+IFERROR(VLOOKUP($MM71,$BB$2:$BF$24,4,FALSE),0)&gt;1,$NT71&amp;" e "&amp;$NU71&amp;" são as duas de frequência",""),IF(AND((COUNTIF($MH71:$MK71,"Rápido")+COUNTIF($NT71:$NU71,"Rápido"))&gt;0,(COUNTIF($MH71:$MK71,"Atrasar")+COUNTIF($NT71:$NU71,"Atrasar"))&gt;0),"Rápido não entra com Atrasar",""),IF(AND((COUNTIF($MH71:$MK71,"Reação")+COUNTIF($NT71:$NU71,"Reação"))&gt;0,(COUNTIF($MH71:$MK71,"Rápido")+COUNTIF($NT71:$NU71,"Rápido"))&gt;0),"Reação não entra com Rápido",""),IF(AND((COUNTIF($MH71:$MK71,"Reação")+COUNTIF($NT71:$NU71,"Reação"))&gt;0,(COUNTIF($MH71:$MK71,"Armado")+COUNTIF($NT71:$NU71,"Armado"))&gt;0),"Reação não entra com Armado",""),IF(AND((COUNTIF($MH71:$MK71,"Reação")+COUNTIF($NT71:$NU71,"Reação"))&gt;0,(COUNTIF($MH71:$MK71,"Atrasar")+COUNTIF($NT71:$NU71,"Atrasar"))&gt;0),"Reação não entra com Atrasar",""),IF(AND((COUNTIF($MH71:$MK71,"Reação")+COUNTIF($NT71:$NU71,"Reação"))&gt;0,(COUNTIF($MH71:$MK71,"Parado")+COUNTIF($NT71:$NU71,"Parado"))&gt;0),"Reação não entra com Parado",""),IF(AND((COUNTIF($MH71:$MK71,"Atrasar")+COUNTIF($NT71:$NU71,"Atrasar"))&gt;0,(COUNTIF($MH71:$MK71,"Parado")+COUNTIF($NT71:$NU71,"Parado"))&gt;0),"Atrasar não entra com Parado",""),IF(AND((COUNTIF($MH71:$MK71,"Armado")+COUNTIF($NT71:$NU71,"Armado"))&gt;0,(COUNTIF($MH71:$MK71,"Carregar")+COUNTIF($NT71:$NU71,"Carregar"))&gt;0),"Armado não entra com Carregar",""),IF(AND(COUNTIF($NT71:$NU71,"Corpo a Corpo")&gt;0,$NO71=0,OR($ME71="Cone",$ME71="Linha")),"Corpo a Corpo não entra em "&amp;$ME71,""),IF(AND(COUNTIF($NT71:$NU71,"Corpo a Corpo")&gt;0,$NO71=1),"A Forma "&amp;$ME71&amp;" já traz o Corpo a Corpo",""),IF(AND(COUNTIF($NT71:$NU71,"Tudo ou Nada")&gt;0,$NQ71=0),"Tudo ou Nada só entra em habilidade de Teste de Resistência",""),IF(AND(COUNTIF($MH71:$MK71,"Inescapável")&gt;0,OR($OD71&gt;1,$OE71&gt;0)),"Inescapável não aceita outra peça",""),IF(AND($MC71&gt;0,$OM71*IF(COUNTIF($MH71:$MK71,"Remate")&gt;0,1.25,1)+$ON71&gt;4*$MC71),($OM71*IF(COUNTIF($MH71:$MK71,"Remate")&gt;0,1.25,1)+$ON71)&amp;" dados somando repetições"&amp;IF(COUNTIF($MH71:$MK71,"Remate")&gt;0," e o Remate","")&amp;": o teto da Classe "&amp;$MC71&amp;" é "&amp;4*$MC71,"")))</f>
        <v/>
      </c>
      <c r="PD71" s="152">
        <f>IF($PC71="",0,(LEN($PC71)-LEN(SUBSTITUTE($PC71," · ","")))/3+1)</f>
        <v/>
      </c>
      <c r="PE71" s="152">
        <f>IF($MN71=0,"",TEXTJOIN(" · ",TRUE,IF($OG71&gt;2*$MC71,"A devolução parou no teto de "&amp;2*$MC71,""),IF($OJ71&gt;0,"Devolução perdida: "&amp;$OJ71&amp;IF($OJ71&gt;1," pontos"," ponto")&amp;" sem peça para pagar",""),IF(AND($NM71&gt;0,AND($MC71&gt;0,$NP71=0),$OM71=0),"Controle sem dano: uma rodada a mais e CD +2",""),IF(AND($NM71&gt;0,AND($MC71&gt;0,$NP71=0),$OM71&gt;0,$OM71&lt;=$MC71),"Controle com saldo até a Classe: uma rodada a mais",""),IF(AND($MC71&gt;0,$NN71&lt;&gt;""),"Efeito de "&amp;$NN71&amp;" pela Classe "&amp;MAX(1,$MC71-1),"")))</f>
        <v/>
      </c>
      <c r="PF71" s="152">
        <f>IF($PE71="",0,(LEN($PE71)-LEN(SUBSTITUTE($PE71," · ","")))/3+1)</f>
        <v/>
      </c>
      <c r="PG71" s="152">
        <f>IF($MN71=0,IF($OD71+COUNTIF($ML71:$MM71,"?*")&gt;0,"Dê um nome",""),IF($PD71&gt;0,"⚠ "&amp;$PD71&amp;IF($PD71&gt;1," erros"," erro"),IF($PF71&gt;0,"! "&amp;$PF71&amp;IF($PF71&gt;1," avisos"," aviso"),"Na regra")))</f>
        <v/>
      </c>
      <c r="PH71" s="152">
        <f>IF($MN71=0,"",IF($PD71+$PF71=0,"Dentro das regras que a ficha confere",$PC71&amp;IF(AND($PD71&gt;0,$PF71&gt;0)," · ","")&amp;$PE71))</f>
        <v/>
      </c>
      <c r="PI71" s="152">
        <f>IF($MA71&gt;$MO71,$MB71&amp;" · ABRE NO NÍVEL "&amp;$MA71,$MB71)</f>
        <v/>
      </c>
      <c r="PJ71" s="152">
        <f>IF($MN71=0,"",IF($MC71=0,"Sem PE",3*$MC71&amp;" PE"))</f>
        <v/>
      </c>
      <c r="PK71" s="152">
        <f>IF($MN71=0,"",IF($MC71=0,"A atuação básica dela",IF(COUNTIF($NT71:$NU71,"Atrasar")&gt;0,"Sua Ação Completa",IF(COUNTIF($MH71:$MK71,"Rápido")&gt;0,"Sua Bônus",IF(COUNTIF($MH71:$MK71,"Reação")&gt;0,"Sua Reação","Sua Padrão")))&amp;" + a básica dela"&amp;IF(COUNTIF($MH71:$MK71,"Reação")&gt;0," e a coletiva","")&amp;IF(COUNTIF($NT71:$NU71,"Carregar")&gt;0," · em dois turnos","")))</f>
        <v/>
      </c>
      <c r="PL71" s="152">
        <f>IF($MG71&lt;&gt;"",$MG71,IF($MT71=0,"",INDEX($AA$2:$AA$11,$MT71)))</f>
        <v/>
      </c>
      <c r="PM71" s="152">
        <f>IF(OR($MN71=0,$MT71=0),"",IF(COUNTIF($MH71:$MK71,"Inescapável")&gt;0,"Automático",IF($PL71="Ataque",IF($MR71="","Ataque","Ataque "&amp;IF(($MR71+2*IF(COUNTIF($MH71:$MK71,"Precisão")&gt;0,1,0))&gt;=0,"+","−")&amp;ABS(($MR71+2*IF(COUNTIF($MH71:$MK71,"Precisão")&gt;0,1,0)))),IF(LEFT($PL71,2)="TR",$PL71&amp;IF($MS71="",""," · CD "&amp;$MS71)&amp;IF(COUNTIF($MH71:$MK71,"Certeiro")&gt;0," · metade",""),"Sem rolagem"))))</f>
        <v/>
      </c>
      <c r="PN71" s="152">
        <f>IF(OR($MN71=0,$MT71=0),"",IF($MC71=0,IF(OR($NP71&gt;=1,$OM71=0),"Sem dano",$OM71&amp;"d6"&amp;IF($MF71="",""," "&amp;$MF71)),IF(OR($NP71&gt;=1,$OM71=0),UPPER(LEFT(INDEX($OV71:$PB71,1,MAX(1,$MC71)),1))&amp;MID(INDEX($OV71:$PB71,1,MAX(1,$MC71)),2,99),UPPER(LEFT(INDEX($OV71:$PB71,1,MAX(1,$MC71)),1))&amp;MID(INDEX($OV71:$PB71,1,MAX(1,$MC71)),2,99)&amp;IF($MF71="",""," "&amp;$MF71)&amp;IF($ON71&gt;0," · +"&amp;$ON71&amp;"d8",""))))</f>
        <v/>
      </c>
      <c r="PO71" s="152">
        <f>COUNTIF($MH71:$MK71,"Longe")+3*COUNTIF($MH71:$MK71,"Muito Longe")</f>
        <v/>
      </c>
      <c r="PP71" s="152">
        <f>COUNTIF($MH71:$MK71,"Maior")+3*COUNTIF($MH71:$MK71,"Muito Maior")</f>
        <v/>
      </c>
      <c r="PQ71" s="152">
        <f>IF($MT71=0,0,CHOOSE(1+INDEX($AC$2:$AC$11,$MT71),0,$PO71,$PP71,$PO71+$PP71))</f>
        <v/>
      </c>
      <c r="PR71" s="152">
        <f>IF($MT71=0,0,CHOOSE(1+INDEX($AD$2:$AD$11,$MT71),0,$PO71,$PP71,$PO71+$PP71))</f>
        <v/>
      </c>
      <c r="PS71" s="152">
        <f>IF(OR($MN71=0,$MT71=0),"",INDEX($AI$2:$AN$41,($MT71-1)*4+IF($MC71=0,1,IF($MC71&lt;=5,2,IF($MC71=6,3,4))),1+MIN(5,$PQ71))&amp;INDEX($AO$2:$AT$41,($MT71-1)*4+IF($MC71=0,1,IF($MC71&lt;=5,2,IF($MC71=6,3,4))),1+MIN(5,$PR71))&amp;IF(INDEX($AE$2:$AE$11,$MT71)=1,IF(COUNTIF($MH71:$MK71,"Mais Um")&gt;0," · +"&amp;COUNTIF($MH71:$MK71,"Mais Um")&amp;IF(COUNTIF($MH71:$MK71,"Mais Um")&gt;1," alvos"," alvo"),"")&amp;IF(COUNTIF($MH71:$MK71,"Rajada")&gt;0,IF($MC71=0," · 1 tiro"," · "&amp;(MAX(1,$MC71-1)+1)&amp;" tiros"),""),""))</f>
        <v/>
      </c>
      <c r="PT71" s="152">
        <f>IF($MN71=0,"",IF($MC71=0,$MQ71&amp;"d6"&amp;IF($OD71&gt;0," − 1 = "&amp;$OM71&amp;"d6"," da básica do nível "&amp;$MO71),$OK71&amp;" − "&amp;$OF71&amp;" + "&amp;$OI71&amp;" = "&amp;$OL71&amp;" · teto "&amp;4*$MC71&amp;"d8"&amp;IF($NO71=1," · a Forma devolve "&amp;$MC71,"")&amp;IF($OJ71&gt;0," · perde "&amp;$OJ71,"")))</f>
        <v/>
      </c>
      <c r="PU71" s="152">
        <f>IF($MN71=0,"",IF($MC71=0,"A básica não amplia: os dados dela sobem com o nível",IF($MC71&gt;=$MP71,"Já está na maior Classe que o nível liberou",TEXTJOIN(" · ",TRUE,IF(AND(2&gt;$MC71,2&lt;=$MP71),"2 → "&amp;$OW71&amp;", 6 PE",""),IF(AND(3&gt;$MC71,3&lt;=$MP71),"3 → "&amp;$OX71&amp;", 9 PE",""),IF(AND(4&gt;$MC71,4&lt;=$MP71),"4 → "&amp;$OY71&amp;", 12 PE",""),IF(AND(5&gt;$MC71,5&lt;=$MP71),"5 → "&amp;$OZ71&amp;", 15 PE",""),IF(AND(6&gt;$MC71,6&lt;=$MP71),"6 → "&amp;$PA71&amp;", 18 PE",""),IF(AND(7&gt;$MC71,7&lt;=$MP71),"7 → "&amp;$PB71&amp;", 21 PE","")))))</f>
        <v/>
      </c>
      <c r="PV71" s="152">
        <f>IF(OR($MN71=0,$MY71=0),"",IF($MC71=0,"−1 dado","−"&amp;INDEX($I$2:$N$8,MAX(1,$MC71),MAX(1,$ND71))&amp;" · "&amp;CHOOSE(MAX(1,$ND71),"Leve","Média","Pesada","Leve · Livre","Média · Livre","Pesada · Livre")))</f>
        <v/>
      </c>
      <c r="PW71" s="152">
        <f>IF(OR($MN71=0,$MZ71=0),"",IF($MC71=0,"−1 dado","−"&amp;INDEX($I$2:$N$8,MAX(1,$MC71),MAX(1,$NE71))&amp;" · "&amp;CHOOSE(MAX(1,$NE71),"Leve","Média","Pesada","Leve · Livre","Média · Livre","Pesada · Livre")))</f>
        <v/>
      </c>
      <c r="PX71" s="152">
        <f>IF(OR($MN71=0,$NA71=0),"",IF($MC71=0,"−1 dado","−"&amp;INDEX($I$2:$N$8,MAX(1,$MC71),MAX(1,$NF71))&amp;" · "&amp;CHOOSE(MAX(1,$NF71),"Leve","Média","Pesada","Leve · Livre","Média · Livre","Pesada · Livre")))</f>
        <v/>
      </c>
      <c r="PY71" s="152">
        <f>IF(OR($MN71=0,$NB71=0),"",IF($MC71=0,"−1 dado","−"&amp;INDEX($I$2:$N$8,MAX(1,$MC71),MAX(1,$NG71))&amp;" · "&amp;CHOOSE(MAX(1,$NG71),"Leve","Média","Pesada","Leve · Livre","Média · Livre","Pesada · Livre")))</f>
        <v/>
      </c>
      <c r="PZ71" s="152">
        <f>IF(OR($MN71=0,$ML71=""),"",IF($MC71=0,"não devolve","+"&amp;IF($NR71=1,CEILING($MC71/2,1),$MC71)))</f>
        <v/>
      </c>
      <c r="QA71" s="152">
        <f>IF(OR($MN71=0,$MM71=""),"",IF($MC71=0,"não devolve","+"&amp;IF($NS71=1,CEILING($MC71/2,1),$MC71)))</f>
        <v/>
      </c>
    </row>
    <row r="72">
      <c r="AV72" s="150" t="inlineStr">
        <is>
          <t>Sugar</t>
        </is>
      </c>
      <c r="AW72" s="150" t="inlineStr">
        <is>
          <t>Marca</t>
        </is>
      </c>
      <c r="AX72" s="152" t="n">
        <v>2</v>
      </c>
      <c r="AY72" s="152" t="n">
        <v>0</v>
      </c>
      <c r="AZ72" s="152" t="n">
        <v>1</v>
      </c>
      <c r="JD72" s="152">
        <f>IF(OR($AW72="",COUNTIF($ED$2:$EH$2,$AW72)&gt;0),$AV72,"")</f>
        <v/>
      </c>
      <c r="JE72" s="152">
        <f>IF(AND($AX72=1,OR($AW72="",COUNTIF($ED$2:$EH$2,$AW72)&gt;0)),$AV72,"")</f>
        <v/>
      </c>
      <c r="JJ72" s="152">
        <f>IF(OR($AW72="",COUNTIF($ED$3:$EH$3,$AW72)&gt;0),$AV72,"")</f>
        <v/>
      </c>
      <c r="JK72" s="152">
        <f>IF(AND($AX72=1,OR($AW72="",COUNTIF($ED$3:$EH$3,$AW72)&gt;0)),$AV72,"")</f>
        <v/>
      </c>
      <c r="JP72" s="152">
        <f>IF(OR($AW72="",COUNTIF($ED$4:$EH$4,$AW72)&gt;0),$AV72,"")</f>
        <v/>
      </c>
      <c r="JQ72" s="152">
        <f>IF(AND($AX72=1,OR($AW72="",COUNTIF($ED$4:$EH$4,$AW72)&gt;0)),$AV72,"")</f>
        <v/>
      </c>
      <c r="JV72" s="152">
        <f>IF(OR($AW72="",COUNTIF($ED$5:$EH$5,$AW72)&gt;0),$AV72,"")</f>
        <v/>
      </c>
      <c r="JW72" s="152">
        <f>IF(AND($AX72=1,OR($AW72="",COUNTIF($ED$5:$EH$5,$AW72)&gt;0)),$AV72,"")</f>
        <v/>
      </c>
      <c r="KB72" s="152">
        <f>IF(OR($AW72="",COUNTIF($ED$6:$EH$6,$AW72)&gt;0),$AV72,"")</f>
        <v/>
      </c>
      <c r="KC72" s="152">
        <f>IF(AND($AX72=1,OR($AW72="",COUNTIF($ED$6:$EH$6,$AW72)&gt;0)),$AV72,"")</f>
        <v/>
      </c>
      <c r="KH72" s="152">
        <f>IF(OR($AW72="",COUNTIF($ED$7:$EH$7,$AW72)&gt;0),$AV72,"")</f>
        <v/>
      </c>
      <c r="KI72" s="152">
        <f>IF(AND($AX72=1,OR($AW72="",COUNTIF($ED$7:$EH$7,$AW72)&gt;0)),$AV72,"")</f>
        <v/>
      </c>
      <c r="KN72" s="152">
        <f>IF(OR($AW72="",COUNTIF($ED$8:$EH$8,$AW72)&gt;0),$AV72,"")</f>
        <v/>
      </c>
      <c r="KO72" s="152">
        <f>IF(AND($AX72=1,OR($AW72="",COUNTIF($ED$8:$EH$8,$AW72)&gt;0)),$AV72,"")</f>
        <v/>
      </c>
      <c r="KT72" s="152">
        <f>IF(OR($AW72="",COUNTIF($ED$9:$EH$9,$AW72)&gt;0),$AV72,"")</f>
        <v/>
      </c>
      <c r="KU72" s="152">
        <f>IF(AND($AX72=1,OR($AW72="",COUNTIF($ED$9:$EH$9,$AW72)&gt;0)),$AV72,"")</f>
        <v/>
      </c>
      <c r="KZ72" s="152">
        <f>IF(OR($AW72="",COUNTIF($ED$10:$EH$10,$AW72)&gt;0),$AV72,"")</f>
        <v/>
      </c>
      <c r="LA72" s="152">
        <f>IF(AND($AX72=1,OR($AW72="",COUNTIF($ED$10:$EH$10,$AW72)&gt;0)),$AV72,"")</f>
        <v/>
      </c>
      <c r="LF72" s="152">
        <f>IF(OR($AW72="",COUNTIF($ED$11:$EH$11,$AW72)&gt;0),$AV72,"")</f>
        <v/>
      </c>
      <c r="LG72" s="152">
        <f>IF(AND($AX72=1,OR($AW72="",COUNTIF($ED$11:$EH$11,$AW72)&gt;0)),$AV72,"")</f>
        <v/>
      </c>
      <c r="LL72" s="152">
        <f>IF(OR($AW72="",COUNTIF($ED$12:$EH$12,$AW72)&gt;0),$AV72,"")</f>
        <v/>
      </c>
      <c r="LM72" s="152">
        <f>IF(AND($AX72=1,OR($AW72="",COUNTIF($ED$12:$EH$12,$AW72)&gt;0)),$AV72,"")</f>
        <v/>
      </c>
      <c r="LR72" s="152">
        <f>IF(OR($AW72="",COUNTIF($ED$13:$EH$13,$AW72)&gt;0),$AV72,"")</f>
        <v/>
      </c>
      <c r="LS72" s="152">
        <f>IF(AND($AX72=1,OR($AW72="",COUNTIF($ED$13:$EH$13,$AW72)&gt;0)),$AV72,"")</f>
        <v/>
      </c>
      <c r="LX72" s="150" t="inlineStr">
        <is>
          <t>Ficha 6 · Especial 4</t>
        </is>
      </c>
      <c r="LY72" s="152" t="n">
        <v>6</v>
      </c>
      <c r="LZ72" s="152" t="n">
        <v>1</v>
      </c>
      <c r="MA72" s="152" t="n">
        <v>12</v>
      </c>
      <c r="MB72" s="150" t="inlineStr">
        <is>
          <t>ESPECIAL 4</t>
        </is>
      </c>
      <c r="MC72" s="152">
        <f>MAX(1,MIN(7,N('INVOCAÇÕES'!$U$1082)))</f>
        <v/>
      </c>
      <c r="MD72" s="152">
        <f>'INVOCAÇÕES'!$V$1082&amp;""</f>
        <v/>
      </c>
      <c r="ME72" s="152">
        <f>'INVOCAÇÕES'!$U$1087&amp;""</f>
        <v/>
      </c>
      <c r="MF72" s="152">
        <f>'INVOCAÇÕES'!$U$1088&amp;""</f>
        <v/>
      </c>
      <c r="MG72" s="152">
        <f>'INVOCAÇÕES'!$W$1088&amp;""</f>
        <v/>
      </c>
      <c r="MH72" s="152">
        <f>'INVOCAÇÕES'!$V$1091&amp;""</f>
        <v/>
      </c>
      <c r="MI72" s="152">
        <f>'INVOCAÇÕES'!$V$1092&amp;""</f>
        <v/>
      </c>
      <c r="MJ72" s="152">
        <f>'INVOCAÇÕES'!$V$1093&amp;""</f>
        <v/>
      </c>
      <c r="MK72" s="152">
        <f>'INVOCAÇÕES'!$V$1094&amp;""</f>
        <v/>
      </c>
      <c r="ML72" s="152">
        <f>'INVOCAÇÕES'!$V$1095&amp;""</f>
        <v/>
      </c>
      <c r="MM72" s="152">
        <f>'INVOCAÇÕES'!$V$1096&amp;""</f>
        <v/>
      </c>
      <c r="MN72" s="152">
        <f>IF($MD72&lt;&gt;"",1,0)</f>
        <v/>
      </c>
      <c r="MO72" s="152">
        <f>INDEX($FG$2:$FG$13,$LY72)</f>
        <v/>
      </c>
      <c r="MP72" s="152">
        <f>INDEX($FH$2:$FH$13,$LY72)</f>
        <v/>
      </c>
      <c r="MQ72" s="152">
        <f>INDEX($FI$2:$FI$13,$LY72)</f>
        <v/>
      </c>
      <c r="MR72" s="152">
        <f>INDEX($FT$2:$FT$13,$LY72)</f>
        <v/>
      </c>
      <c r="MS72" s="152">
        <f>INDEX($FU$2:$FU$13,$LY72)</f>
        <v/>
      </c>
      <c r="MT72" s="152">
        <f>IFERROR(MATCH($ME72,$V$2:$V$11,0),0)</f>
        <v/>
      </c>
      <c r="MU72" s="152">
        <f>IFERROR(VLOOKUP($MH72,$AV$2:$AZ$84,2,FALSE),"")</f>
        <v/>
      </c>
      <c r="MV72" s="152">
        <f>IFERROR(VLOOKUP($MI72,$AV$2:$AZ$84,2,FALSE),"")</f>
        <v/>
      </c>
      <c r="MW72" s="152">
        <f>IFERROR(VLOOKUP($MJ72,$AV$2:$AZ$84,2,FALSE),"")</f>
        <v/>
      </c>
      <c r="MX72" s="152">
        <f>IFERROR(VLOOKUP($MK72,$AV$2:$AZ$84,2,FALSE),"")</f>
        <v/>
      </c>
      <c r="MY72" s="152">
        <f>IFERROR(VLOOKUP($MH72,$AV$2:$AZ$84,3,FALSE),0)</f>
        <v/>
      </c>
      <c r="MZ72" s="152">
        <f>IFERROR(VLOOKUP($MI72,$AV$2:$AZ$84,3,FALSE),0)</f>
        <v/>
      </c>
      <c r="NA72" s="152">
        <f>IFERROR(VLOOKUP($MJ72,$AV$2:$AZ$84,3,FALSE),0)</f>
        <v/>
      </c>
      <c r="NB72" s="152">
        <f>IFERROR(VLOOKUP($MK72,$AV$2:$AZ$84,3,FALSE),0)</f>
        <v/>
      </c>
      <c r="NC72" s="152">
        <f>IF($MC72=0,0,IF($MT72=0,0,INDEX($X$2:$X$11,$MT72)))</f>
        <v/>
      </c>
      <c r="ND72" s="152">
        <f>IF(OR($MY72=0,$MC72=0),0,$MY72+3*IF(AND($MU72&lt;&gt;"",OR($MU72=INDEX($ED$2:$ED$13,$LY72),$MU72=INDEX($EE$2:$EE$13,$LY72))),1,0))</f>
        <v/>
      </c>
      <c r="NE72" s="152">
        <f>IF(OR($MZ72=0,$MC72=0),0,$MZ72+3*IF(AND($MV72&lt;&gt;"",OR($MV72=INDEX($ED$2:$ED$13,$LY72),$MV72=INDEX($EE$2:$EE$13,$LY72))),1,0))</f>
        <v/>
      </c>
      <c r="NF72" s="152">
        <f>IF(OR($NA72=0,$MC72=0),0,$NA72+3*IF(AND($MW72&lt;&gt;"",OR($MW72=INDEX($ED$2:$ED$13,$LY72),$MW72=INDEX($EE$2:$EE$13,$LY72))),1,0))</f>
        <v/>
      </c>
      <c r="NG72" s="152">
        <f>IF(OR($NB72=0,$MC72=0),0,$NB72+3*IF(AND($MX72&lt;&gt;"",OR($MX72=INDEX($ED$2:$ED$13,$LY72),$MX72=INDEX($EE$2:$EE$13,$LY72))),1,0))</f>
        <v/>
      </c>
      <c r="NH72" s="152">
        <f>IF($MT72=0,0,IF(INDEX($W$2:$W$11,$MT72)="",0,IF(COUNTIF(INDEX($ED$2:$EH$13,$LY72,0),INDEX($W$2:$W$11,$MT72))=0,1,0)))</f>
        <v/>
      </c>
      <c r="NI72" s="152">
        <f>IF(OR($MY72=0,$MU72=""),0,IF(COUNTIF(INDEX($ED$2:$EH$13,$LY72,0),$MU72)=0,1,0))</f>
        <v/>
      </c>
      <c r="NJ72" s="152">
        <f>IF(OR($MZ72=0,$MV72=""),0,IF(COUNTIF(INDEX($ED$2:$EH$13,$LY72,0),$MV72)=0,1,0))</f>
        <v/>
      </c>
      <c r="NK72" s="152">
        <f>IF(OR($NA72=0,$MW72=""),0,IF(COUNTIF(INDEX($ED$2:$EH$13,$LY72,0),$MW72)=0,1,0))</f>
        <v/>
      </c>
      <c r="NL72" s="152">
        <f>IF(OR($NB72=0,$MX72=""),0,IF(COUNTIF(INDEX($ED$2:$EH$13,$LY72,0),$MX72)=0,1,0))</f>
        <v/>
      </c>
      <c r="NM72" s="152">
        <f>IFERROR(VLOOKUP($MH72,$AV$2:$AZ$84,4,FALSE),0)+IFERROR(VLOOKUP($MI72,$AV$2:$AZ$84,4,FALSE),0)+IFERROR(VLOOKUP($MJ72,$AV$2:$AZ$84,4,FALSE),0)+IFERROR(VLOOKUP($MK72,$AV$2:$AZ$84,4,FALSE),0)</f>
        <v/>
      </c>
      <c r="NN72" s="152">
        <f>TEXTJOIN(", ",TRUE,IF(IFERROR(VLOOKUP($MH72,$AV$2:$AZ$84,5,FALSE),0)=1,$MH72,""),IF(IFERROR(VLOOKUP($MI72,$AV$2:$AZ$84,5,FALSE),0)=1,$MI72,""),IF(IFERROR(VLOOKUP($MJ72,$AV$2:$AZ$84,5,FALSE),0)=1,$MJ72,""),IF(IFERROR(VLOOKUP($MK72,$AV$2:$AZ$84,5,FALSE),0)=1,$MK72,""))</f>
        <v/>
      </c>
      <c r="NO72" s="152">
        <f>IF($MT72=0,0,INDEX($Y$2:$Y$11,$MT72))</f>
        <v/>
      </c>
      <c r="NP72" s="152">
        <f>IF($MT72=0,0,INDEX($Z$2:$Z$11,$MT72))</f>
        <v/>
      </c>
      <c r="NQ72" s="152">
        <f>IF($MT72=0,0,INDEX($AB$2:$AB$11,$MT72))</f>
        <v/>
      </c>
      <c r="NR72" s="152">
        <f>IFERROR(VLOOKUP($ML72,$BB$2:$BF$24,3,FALSE),0)</f>
        <v/>
      </c>
      <c r="NS72" s="152">
        <f>IFERROR(VLOOKUP($MM72,$BB$2:$BF$24,3,FALSE),0)</f>
        <v/>
      </c>
      <c r="NT72" s="152">
        <f>IFERROR(VLOOKUP($ML72,$BB$2:$BF$24,2,FALSE),"")</f>
        <v/>
      </c>
      <c r="NU72" s="152">
        <f>IFERROR(VLOOKUP($MM72,$BB$2:$BF$24,2,FALSE),"")</f>
        <v/>
      </c>
      <c r="NV72" s="152">
        <f>COUNTIF($NC72:$NG72,1)</f>
        <v/>
      </c>
      <c r="NW72" s="152">
        <f>COUNTIF($NC72:$NG72,2)</f>
        <v/>
      </c>
      <c r="NX72" s="152">
        <f>COUNTIF($NC72:$NG72,3)</f>
        <v/>
      </c>
      <c r="NY72" s="152">
        <f>COUNTIF($NC72:$NG72,4)</f>
        <v/>
      </c>
      <c r="NZ72" s="152">
        <f>COUNTIF($NC72:$NG72,5)</f>
        <v/>
      </c>
      <c r="OA72" s="152">
        <f>COUNTIF($NC72:$NG72,6)</f>
        <v/>
      </c>
      <c r="OB72" s="152">
        <f>COUNTIF($NR72:$NS72,1)</f>
        <v/>
      </c>
      <c r="OC72" s="152">
        <f>COUNTIF($NR72:$NS72,2)+$NO72</f>
        <v/>
      </c>
      <c r="OD72" s="152">
        <f>COUNTIF($MH72:$MK72,"?*")</f>
        <v/>
      </c>
      <c r="OE72" s="152">
        <f>COUNTIF($ML72:$MM72,"?*")+$NO72</f>
        <v/>
      </c>
      <c r="OF72" s="152">
        <f>IF($MC72=0,0,SUMPRODUCT($NV72:$OA72,INDEX($I$2:$N$8,MAX(1,$MC72),0)))</f>
        <v/>
      </c>
      <c r="OG72" s="152">
        <f>IF($MC72=0,0,$OB72*CEILING($MC72/2,1)+$OC72*$MC72)</f>
        <v/>
      </c>
      <c r="OH72" s="152">
        <f>MIN(2*$MC72,$OG72)</f>
        <v/>
      </c>
      <c r="OI72" s="152">
        <f>MIN($OH72,$OF72)</f>
        <v/>
      </c>
      <c r="OJ72" s="152">
        <f>$OH72-$OI72</f>
        <v/>
      </c>
      <c r="OK72" s="152">
        <f>IF($MC72=0,0,INDEX($P$2:$P$8,MAX(1,$MC72)))</f>
        <v/>
      </c>
      <c r="OL72" s="152">
        <f>$OK72-$OF72+$OI72</f>
        <v/>
      </c>
      <c r="OM72" s="152">
        <f>IF($MC72=0,MAX(0,$MQ72-IF($OD72&gt;0,1,0)),MAX(0,$OL72))</f>
        <v/>
      </c>
      <c r="ON72" s="152">
        <f>IF($MC72=0,0,(IF(COUNTIF($MH72:$MK72,"Salto")&gt;0,1,0)+IF(COUNTIF($MH72:$MK72,"Queima")&gt;0,1,0)+IF(COUNTIF($MH72:$MK72,"Estilhaço")&gt;0,1,0))*FLOOR($OM72/2,1))</f>
        <v/>
      </c>
      <c r="OO72" s="152">
        <f>MAX(0,2-SUMPRODUCT($NV72:$OA72,$I$2:$N$2)+MIN(2,$OB72*1+$OC72*1,SUMPRODUCT($NV72:$OA72,$I$2:$N$2)))</f>
        <v/>
      </c>
      <c r="OP72" s="152">
        <f>MAX(0,4-SUMPRODUCT($NV72:$OA72,$I$3:$N$3)+MIN(4,$OB72*1+$OC72*2,SUMPRODUCT($NV72:$OA72,$I$3:$N$3)))</f>
        <v/>
      </c>
      <c r="OQ72" s="152">
        <f>MAX(0,6-SUMPRODUCT($NV72:$OA72,$I$4:$N$4)+MIN(6,$OB72*2+$OC72*3,SUMPRODUCT($NV72:$OA72,$I$4:$N$4)))</f>
        <v/>
      </c>
      <c r="OR72" s="152">
        <f>MAX(0,9-SUMPRODUCT($NV72:$OA72,$I$5:$N$5)+MIN(8,$OB72*2+$OC72*4,SUMPRODUCT($NV72:$OA72,$I$5:$N$5)))</f>
        <v/>
      </c>
      <c r="OS72" s="152">
        <f>MAX(0,11-SUMPRODUCT($NV72:$OA72,$I$6:$N$6)+MIN(10,$OB72*3+$OC72*5,SUMPRODUCT($NV72:$OA72,$I$6:$N$6)))</f>
        <v/>
      </c>
      <c r="OT72" s="152">
        <f>MAX(0,13-SUMPRODUCT($NV72:$OA72,$I$7:$N$7)+MIN(12,$OB72*3+$OC72*6,SUMPRODUCT($NV72:$OA72,$I$7:$N$7)))</f>
        <v/>
      </c>
      <c r="OU72" s="152">
        <f>MAX(0,16-SUMPRODUCT($NV72:$OA72,$I$8:$N$8)+MIN(14,$OB72*4+$OC72*7,SUMPRODUCT($NV72:$OA72,$I$8:$N$8)))</f>
        <v/>
      </c>
      <c r="OV72" s="152">
        <f>IF($NP72=2,3*$OO72&amp;" de vida temp.",IF($NP72=3,"sem dano",IF($OO72=0,IF($NP72=1,"sem cura","sem dano"),IF($NP72=1,"cura ","")&amp;$OO72&amp;"d8")))</f>
        <v/>
      </c>
      <c r="OW72" s="152">
        <f>IF($NP72=2,3*$OP72&amp;" de vida temp.",IF($NP72=3,"sem dano",IF($OP72=0,IF($NP72=1,"sem cura","sem dano"),IF($NP72=1,"cura ","")&amp;$OP72&amp;"d8")))</f>
        <v/>
      </c>
      <c r="OX72" s="152">
        <f>IF($NP72=2,3*$OQ72&amp;" de vida temp.",IF($NP72=3,"sem dano",IF($OQ72=0,IF($NP72=1,"sem cura","sem dano"),IF($NP72=1,"cura ","")&amp;$OQ72&amp;"d8")))</f>
        <v/>
      </c>
      <c r="OY72" s="152">
        <f>IF($NP72=2,3*$OR72&amp;" de vida temp.",IF($NP72=3,"sem dano",IF($OR72=0,IF($NP72=1,"sem cura","sem dano"),IF($NP72=1,"cura ","")&amp;$OR72&amp;"d8")))</f>
        <v/>
      </c>
      <c r="OZ72" s="152">
        <f>IF($NP72=2,3*$OS72&amp;" de vida temp.",IF($NP72=3,"sem dano",IF($OS72=0,IF($NP72=1,"sem cura","sem dano"),IF($NP72=1,"cura ","")&amp;$OS72&amp;"d8")))</f>
        <v/>
      </c>
      <c r="PA72" s="152">
        <f>IF($NP72=2,3*$OT72&amp;" de vida temp.",IF($NP72=3,"sem dano",IF($OT72=0,IF($NP72=1,"sem cura","sem dano"),IF($NP72=1,"cura ","")&amp;$OT72&amp;"d8")))</f>
        <v/>
      </c>
      <c r="PB72" s="152">
        <f>IF($NP72=2,3*$OU72&amp;" de vida temp.",IF($NP72=3,"sem dano",IF($OU72=0,IF($NP72=1,"sem cura","sem dano"),IF($NP72=1,"cura ","")&amp;$OU72&amp;"d8")))</f>
        <v/>
      </c>
      <c r="PC72" s="152">
        <f>IF($MN72=0,"",TEXTJOIN(" · ",TRUE,IF($MA72&gt;$MO72,"Este lugar abre no nível "&amp;$MA72,""),IF($MC72&gt;$MP72,"Classe "&amp;$MC72&amp;": o nível "&amp;$MO72&amp;" libera até a "&amp;$MP72,""),IF($NH72=1,"A Forma "&amp;$ME72&amp;" pede "&amp;INDEX($W$2:$W$11,$MT72)&amp;" aberta",""),IF(AND($MC72=0,$MT72&gt;0,IF($MT72=0,0,INDEX($AF$2:$AF$11,$MT72))=0),$ME72&amp;" não existe na Classe 0",""),IF($NI72=1,"Família Fechada: "&amp;$MH72,""),IF($NJ72=1,"Família Fechada: "&amp;$MI72,""),IF($NK72=1,"Família Fechada: "&amp;$MJ72,""),IF($NL72=1,"Família Fechada: "&amp;$MK72,""),IF(AND($MC72&gt;0,$OD72&gt;INDEX($O$2:$O$8,MAX(1,$MC72))),$OD72&amp;" Melhorias: a Classe "&amp;$MC72&amp;" aceita "&amp;INDEX($O$2:$O$8,MAX(1,$MC72)),""),IF(AND($MC72=0,$OD72&gt;1),"A básica aceita uma Melhoria",""),IF(AND($MC72=0,COUNTIF($MY72:$NB72,"&gt;1")&gt;0),"A básica só aceita Melhoria Leve",""),IF(AND($MC72&gt;0,$OE72&gt;2),$OE72&amp;" Restrições"&amp;IF($NO72=1,", contando a que a Forma "&amp;$ME72&amp;" já traz","")&amp;": o limite é 2",""),IF(AND($MC72=0,COUNTIF($ML72:$MM72,"?*")&gt;1),"A básica aceita uma Restrição Leve",""),IF(AND($MC72=0,COUNTIF($NR72:$NS72,2)&gt;0),"A básica só aceita Restrição Leve",""),IF(AND($MC72&gt;0,$OL72&lt;0),"Orçamento estourado: faltam "&amp;(-$OL72)&amp;IF($OL72&lt;-1," pontos"," ponto"),""),IF(IFERROR(VLOOKUP($ML72,$BB$2:$BF$24,4,FALSE),0)+IFERROR(VLOOKUP($MM72,$BB$2:$BF$24,4,FALSE),0)&gt;1,$NT72&amp;" e "&amp;$NU72&amp;" são as duas de frequência",""),IF(AND((COUNTIF($MH72:$MK72,"Rápido")+COUNTIF($NT72:$NU72,"Rápido"))&gt;0,(COUNTIF($MH72:$MK72,"Atrasar")+COUNTIF($NT72:$NU72,"Atrasar"))&gt;0),"Rápido não entra com Atrasar",""),IF(AND((COUNTIF($MH72:$MK72,"Reação")+COUNTIF($NT72:$NU72,"Reação"))&gt;0,(COUNTIF($MH72:$MK72,"Rápido")+COUNTIF($NT72:$NU72,"Rápido"))&gt;0),"Reação não entra com Rápido",""),IF(AND((COUNTIF($MH72:$MK72,"Reação")+COUNTIF($NT72:$NU72,"Reação"))&gt;0,(COUNTIF($MH72:$MK72,"Armado")+COUNTIF($NT72:$NU72,"Armado"))&gt;0),"Reação não entra com Armado",""),IF(AND((COUNTIF($MH72:$MK72,"Reação")+COUNTIF($NT72:$NU72,"Reação"))&gt;0,(COUNTIF($MH72:$MK72,"Atrasar")+COUNTIF($NT72:$NU72,"Atrasar"))&gt;0),"Reação não entra com Atrasar",""),IF(AND((COUNTIF($MH72:$MK72,"Reação")+COUNTIF($NT72:$NU72,"Reação"))&gt;0,(COUNTIF($MH72:$MK72,"Parado")+COUNTIF($NT72:$NU72,"Parado"))&gt;0),"Reação não entra com Parado",""),IF(AND((COUNTIF($MH72:$MK72,"Atrasar")+COUNTIF($NT72:$NU72,"Atrasar"))&gt;0,(COUNTIF($MH72:$MK72,"Parado")+COUNTIF($NT72:$NU72,"Parado"))&gt;0),"Atrasar não entra com Parado",""),IF(AND((COUNTIF($MH72:$MK72,"Armado")+COUNTIF($NT72:$NU72,"Armado"))&gt;0,(COUNTIF($MH72:$MK72,"Carregar")+COUNTIF($NT72:$NU72,"Carregar"))&gt;0),"Armado não entra com Carregar",""),IF(AND(COUNTIF($NT72:$NU72,"Corpo a Corpo")&gt;0,$NO72=0,OR($ME72="Cone",$ME72="Linha")),"Corpo a Corpo não entra em "&amp;$ME72,""),IF(AND(COUNTIF($NT72:$NU72,"Corpo a Corpo")&gt;0,$NO72=1),"A Forma "&amp;$ME72&amp;" já traz o Corpo a Corpo",""),IF(AND(COUNTIF($NT72:$NU72,"Tudo ou Nada")&gt;0,$NQ72=0),"Tudo ou Nada só entra em habilidade de Teste de Resistência",""),IF(AND(COUNTIF($MH72:$MK72,"Inescapável")&gt;0,OR($OD72&gt;1,$OE72&gt;0)),"Inescapável não aceita outra peça",""),IF(AND($MC72&gt;0,$OM72*IF(COUNTIF($MH72:$MK72,"Remate")&gt;0,1.25,1)+$ON72&gt;4*$MC72),($OM72*IF(COUNTIF($MH72:$MK72,"Remate")&gt;0,1.25,1)+$ON72)&amp;" dados somando repetições"&amp;IF(COUNTIF($MH72:$MK72,"Remate")&gt;0," e o Remate","")&amp;": o teto da Classe "&amp;$MC72&amp;" é "&amp;4*$MC72,"")))</f>
        <v/>
      </c>
      <c r="PD72" s="152">
        <f>IF($PC72="",0,(LEN($PC72)-LEN(SUBSTITUTE($PC72," · ","")))/3+1)</f>
        <v/>
      </c>
      <c r="PE72" s="152">
        <f>IF($MN72=0,"",TEXTJOIN(" · ",TRUE,IF($OG72&gt;2*$MC72,"A devolução parou no teto de "&amp;2*$MC72,""),IF($OJ72&gt;0,"Devolução perdida: "&amp;$OJ72&amp;IF($OJ72&gt;1," pontos"," ponto")&amp;" sem peça para pagar",""),IF(AND($NM72&gt;0,AND($MC72&gt;0,$NP72=0),$OM72=0),"Controle sem dano: uma rodada a mais e CD +2",""),IF(AND($NM72&gt;0,AND($MC72&gt;0,$NP72=0),$OM72&gt;0,$OM72&lt;=$MC72),"Controle com saldo até a Classe: uma rodada a mais",""),IF(AND($MC72&gt;0,$NN72&lt;&gt;""),"Efeito de "&amp;$NN72&amp;" pela Classe "&amp;MAX(1,$MC72-1),"")))</f>
        <v/>
      </c>
      <c r="PF72" s="152">
        <f>IF($PE72="",0,(LEN($PE72)-LEN(SUBSTITUTE($PE72," · ","")))/3+1)</f>
        <v/>
      </c>
      <c r="PG72" s="152">
        <f>IF($MN72=0,IF($OD72+COUNTIF($ML72:$MM72,"?*")&gt;0,"Dê um nome",""),IF($PD72&gt;0,"⚠ "&amp;$PD72&amp;IF($PD72&gt;1," erros"," erro"),IF($PF72&gt;0,"! "&amp;$PF72&amp;IF($PF72&gt;1," avisos"," aviso"),"Na regra")))</f>
        <v/>
      </c>
      <c r="PH72" s="152">
        <f>IF($MN72=0,"",IF($PD72+$PF72=0,"Dentro das regras que a ficha confere",$PC72&amp;IF(AND($PD72&gt;0,$PF72&gt;0)," · ","")&amp;$PE72))</f>
        <v/>
      </c>
      <c r="PI72" s="152">
        <f>IF($MA72&gt;$MO72,$MB72&amp;" · ABRE NO NÍVEL "&amp;$MA72,$MB72)</f>
        <v/>
      </c>
      <c r="PJ72" s="152">
        <f>IF($MN72=0,"",IF($MC72=0,"Sem PE",3*$MC72&amp;" PE"))</f>
        <v/>
      </c>
      <c r="PK72" s="152">
        <f>IF($MN72=0,"",IF($MC72=0,"A atuação básica dela",IF(COUNTIF($NT72:$NU72,"Atrasar")&gt;0,"Sua Ação Completa",IF(COUNTIF($MH72:$MK72,"Rápido")&gt;0,"Sua Bônus",IF(COUNTIF($MH72:$MK72,"Reação")&gt;0,"Sua Reação","Sua Padrão")))&amp;" + a básica dela"&amp;IF(COUNTIF($MH72:$MK72,"Reação")&gt;0," e a coletiva","")&amp;IF(COUNTIF($NT72:$NU72,"Carregar")&gt;0," · em dois turnos","")))</f>
        <v/>
      </c>
      <c r="PL72" s="152">
        <f>IF($MG72&lt;&gt;"",$MG72,IF($MT72=0,"",INDEX($AA$2:$AA$11,$MT72)))</f>
        <v/>
      </c>
      <c r="PM72" s="152">
        <f>IF(OR($MN72=0,$MT72=0),"",IF(COUNTIF($MH72:$MK72,"Inescapável")&gt;0,"Automático",IF($PL72="Ataque",IF($MR72="","Ataque","Ataque "&amp;IF(($MR72+2*IF(COUNTIF($MH72:$MK72,"Precisão")&gt;0,1,0))&gt;=0,"+","−")&amp;ABS(($MR72+2*IF(COUNTIF($MH72:$MK72,"Precisão")&gt;0,1,0)))),IF(LEFT($PL72,2)="TR",$PL72&amp;IF($MS72="",""," · CD "&amp;$MS72)&amp;IF(COUNTIF($MH72:$MK72,"Certeiro")&gt;0," · metade",""),"Sem rolagem"))))</f>
        <v/>
      </c>
      <c r="PN72" s="152">
        <f>IF(OR($MN72=0,$MT72=0),"",IF($MC72=0,IF(OR($NP72&gt;=1,$OM72=0),"Sem dano",$OM72&amp;"d6"&amp;IF($MF72="",""," "&amp;$MF72)),IF(OR($NP72&gt;=1,$OM72=0),UPPER(LEFT(INDEX($OV72:$PB72,1,MAX(1,$MC72)),1))&amp;MID(INDEX($OV72:$PB72,1,MAX(1,$MC72)),2,99),UPPER(LEFT(INDEX($OV72:$PB72,1,MAX(1,$MC72)),1))&amp;MID(INDEX($OV72:$PB72,1,MAX(1,$MC72)),2,99)&amp;IF($MF72="",""," "&amp;$MF72)&amp;IF($ON72&gt;0," · +"&amp;$ON72&amp;"d8",""))))</f>
        <v/>
      </c>
      <c r="PO72" s="152">
        <f>COUNTIF($MH72:$MK72,"Longe")+3*COUNTIF($MH72:$MK72,"Muito Longe")</f>
        <v/>
      </c>
      <c r="PP72" s="152">
        <f>COUNTIF($MH72:$MK72,"Maior")+3*COUNTIF($MH72:$MK72,"Muito Maior")</f>
        <v/>
      </c>
      <c r="PQ72" s="152">
        <f>IF($MT72=0,0,CHOOSE(1+INDEX($AC$2:$AC$11,$MT72),0,$PO72,$PP72,$PO72+$PP72))</f>
        <v/>
      </c>
      <c r="PR72" s="152">
        <f>IF($MT72=0,0,CHOOSE(1+INDEX($AD$2:$AD$11,$MT72),0,$PO72,$PP72,$PO72+$PP72))</f>
        <v/>
      </c>
      <c r="PS72" s="152">
        <f>IF(OR($MN72=0,$MT72=0),"",INDEX($AI$2:$AN$41,($MT72-1)*4+IF($MC72=0,1,IF($MC72&lt;=5,2,IF($MC72=6,3,4))),1+MIN(5,$PQ72))&amp;INDEX($AO$2:$AT$41,($MT72-1)*4+IF($MC72=0,1,IF($MC72&lt;=5,2,IF($MC72=6,3,4))),1+MIN(5,$PR72))&amp;IF(INDEX($AE$2:$AE$11,$MT72)=1,IF(COUNTIF($MH72:$MK72,"Mais Um")&gt;0," · +"&amp;COUNTIF($MH72:$MK72,"Mais Um")&amp;IF(COUNTIF($MH72:$MK72,"Mais Um")&gt;1," alvos"," alvo"),"")&amp;IF(COUNTIF($MH72:$MK72,"Rajada")&gt;0,IF($MC72=0," · 1 tiro"," · "&amp;(MAX(1,$MC72-1)+1)&amp;" tiros"),""),""))</f>
        <v/>
      </c>
      <c r="PT72" s="152">
        <f>IF($MN72=0,"",IF($MC72=0,$MQ72&amp;"d6"&amp;IF($OD72&gt;0," − 1 = "&amp;$OM72&amp;"d6"," da básica do nível "&amp;$MO72),$OK72&amp;" − "&amp;$OF72&amp;" + "&amp;$OI72&amp;" = "&amp;$OL72&amp;" · teto "&amp;4*$MC72&amp;"d8"&amp;IF($NO72=1," · a Forma devolve "&amp;$MC72,"")&amp;IF($OJ72&gt;0," · perde "&amp;$OJ72,"")))</f>
        <v/>
      </c>
      <c r="PU72" s="152">
        <f>IF($MN72=0,"",IF($MC72=0,"A básica não amplia: os dados dela sobem com o nível",IF($MC72&gt;=$MP72,"Já está na maior Classe que o nível liberou",TEXTJOIN(" · ",TRUE,IF(AND(2&gt;$MC72,2&lt;=$MP72),"2 → "&amp;$OW72&amp;", 6 PE",""),IF(AND(3&gt;$MC72,3&lt;=$MP72),"3 → "&amp;$OX72&amp;", 9 PE",""),IF(AND(4&gt;$MC72,4&lt;=$MP72),"4 → "&amp;$OY72&amp;", 12 PE",""),IF(AND(5&gt;$MC72,5&lt;=$MP72),"5 → "&amp;$OZ72&amp;", 15 PE",""),IF(AND(6&gt;$MC72,6&lt;=$MP72),"6 → "&amp;$PA72&amp;", 18 PE",""),IF(AND(7&gt;$MC72,7&lt;=$MP72),"7 → "&amp;$PB72&amp;", 21 PE","")))))</f>
        <v/>
      </c>
      <c r="PV72" s="152">
        <f>IF(OR($MN72=0,$MY72=0),"",IF($MC72=0,"−1 dado","−"&amp;INDEX($I$2:$N$8,MAX(1,$MC72),MAX(1,$ND72))&amp;" · "&amp;CHOOSE(MAX(1,$ND72),"Leve","Média","Pesada","Leve · Livre","Média · Livre","Pesada · Livre")))</f>
        <v/>
      </c>
      <c r="PW72" s="152">
        <f>IF(OR($MN72=0,$MZ72=0),"",IF($MC72=0,"−1 dado","−"&amp;INDEX($I$2:$N$8,MAX(1,$MC72),MAX(1,$NE72))&amp;" · "&amp;CHOOSE(MAX(1,$NE72),"Leve","Média","Pesada","Leve · Livre","Média · Livre","Pesada · Livre")))</f>
        <v/>
      </c>
      <c r="PX72" s="152">
        <f>IF(OR($MN72=0,$NA72=0),"",IF($MC72=0,"−1 dado","−"&amp;INDEX($I$2:$N$8,MAX(1,$MC72),MAX(1,$NF72))&amp;" · "&amp;CHOOSE(MAX(1,$NF72),"Leve","Média","Pesada","Leve · Livre","Média · Livre","Pesada · Livre")))</f>
        <v/>
      </c>
      <c r="PY72" s="152">
        <f>IF(OR($MN72=0,$NB72=0),"",IF($MC72=0,"−1 dado","−"&amp;INDEX($I$2:$N$8,MAX(1,$MC72),MAX(1,$NG72))&amp;" · "&amp;CHOOSE(MAX(1,$NG72),"Leve","Média","Pesada","Leve · Livre","Média · Livre","Pesada · Livre")))</f>
        <v/>
      </c>
      <c r="PZ72" s="152">
        <f>IF(OR($MN72=0,$ML72=""),"",IF($MC72=0,"não devolve","+"&amp;IF($NR72=1,CEILING($MC72/2,1),$MC72)))</f>
        <v/>
      </c>
      <c r="QA72" s="152">
        <f>IF(OR($MN72=0,$MM72=""),"",IF($MC72=0,"não devolve","+"&amp;IF($NS72=1,CEILING($MC72/2,1),$MC72)))</f>
        <v/>
      </c>
    </row>
    <row r="73">
      <c r="AV73" s="150" t="inlineStr">
        <is>
          <t>Cobrança</t>
        </is>
      </c>
      <c r="AW73" s="150" t="inlineStr">
        <is>
          <t>Marca</t>
        </is>
      </c>
      <c r="AX73" s="152" t="n">
        <v>2</v>
      </c>
      <c r="AY73" s="152" t="n">
        <v>0</v>
      </c>
      <c r="AZ73" s="152" t="n">
        <v>0</v>
      </c>
      <c r="JD73" s="152">
        <f>IF(OR($AW73="",COUNTIF($ED$2:$EH$2,$AW73)&gt;0),$AV73,"")</f>
        <v/>
      </c>
      <c r="JE73" s="152">
        <f>IF(AND($AX73=1,OR($AW73="",COUNTIF($ED$2:$EH$2,$AW73)&gt;0)),$AV73,"")</f>
        <v/>
      </c>
      <c r="JJ73" s="152">
        <f>IF(OR($AW73="",COUNTIF($ED$3:$EH$3,$AW73)&gt;0),$AV73,"")</f>
        <v/>
      </c>
      <c r="JK73" s="152">
        <f>IF(AND($AX73=1,OR($AW73="",COUNTIF($ED$3:$EH$3,$AW73)&gt;0)),$AV73,"")</f>
        <v/>
      </c>
      <c r="JP73" s="152">
        <f>IF(OR($AW73="",COUNTIF($ED$4:$EH$4,$AW73)&gt;0),$AV73,"")</f>
        <v/>
      </c>
      <c r="JQ73" s="152">
        <f>IF(AND($AX73=1,OR($AW73="",COUNTIF($ED$4:$EH$4,$AW73)&gt;0)),$AV73,"")</f>
        <v/>
      </c>
      <c r="JV73" s="152">
        <f>IF(OR($AW73="",COUNTIF($ED$5:$EH$5,$AW73)&gt;0),$AV73,"")</f>
        <v/>
      </c>
      <c r="JW73" s="152">
        <f>IF(AND($AX73=1,OR($AW73="",COUNTIF($ED$5:$EH$5,$AW73)&gt;0)),$AV73,"")</f>
        <v/>
      </c>
      <c r="KB73" s="152">
        <f>IF(OR($AW73="",COUNTIF($ED$6:$EH$6,$AW73)&gt;0),$AV73,"")</f>
        <v/>
      </c>
      <c r="KC73" s="152">
        <f>IF(AND($AX73=1,OR($AW73="",COUNTIF($ED$6:$EH$6,$AW73)&gt;0)),$AV73,"")</f>
        <v/>
      </c>
      <c r="KH73" s="152">
        <f>IF(OR($AW73="",COUNTIF($ED$7:$EH$7,$AW73)&gt;0),$AV73,"")</f>
        <v/>
      </c>
      <c r="KI73" s="152">
        <f>IF(AND($AX73=1,OR($AW73="",COUNTIF($ED$7:$EH$7,$AW73)&gt;0)),$AV73,"")</f>
        <v/>
      </c>
      <c r="KN73" s="152">
        <f>IF(OR($AW73="",COUNTIF($ED$8:$EH$8,$AW73)&gt;0),$AV73,"")</f>
        <v/>
      </c>
      <c r="KO73" s="152">
        <f>IF(AND($AX73=1,OR($AW73="",COUNTIF($ED$8:$EH$8,$AW73)&gt;0)),$AV73,"")</f>
        <v/>
      </c>
      <c r="KT73" s="152">
        <f>IF(OR($AW73="",COUNTIF($ED$9:$EH$9,$AW73)&gt;0),$AV73,"")</f>
        <v/>
      </c>
      <c r="KU73" s="152">
        <f>IF(AND($AX73=1,OR($AW73="",COUNTIF($ED$9:$EH$9,$AW73)&gt;0)),$AV73,"")</f>
        <v/>
      </c>
      <c r="KZ73" s="152">
        <f>IF(OR($AW73="",COUNTIF($ED$10:$EH$10,$AW73)&gt;0),$AV73,"")</f>
        <v/>
      </c>
      <c r="LA73" s="152">
        <f>IF(AND($AX73=1,OR($AW73="",COUNTIF($ED$10:$EH$10,$AW73)&gt;0)),$AV73,"")</f>
        <v/>
      </c>
      <c r="LF73" s="152">
        <f>IF(OR($AW73="",COUNTIF($ED$11:$EH$11,$AW73)&gt;0),$AV73,"")</f>
        <v/>
      </c>
      <c r="LG73" s="152">
        <f>IF(AND($AX73=1,OR($AW73="",COUNTIF($ED$11:$EH$11,$AW73)&gt;0)),$AV73,"")</f>
        <v/>
      </c>
      <c r="LL73" s="152">
        <f>IF(OR($AW73="",COUNTIF($ED$12:$EH$12,$AW73)&gt;0),$AV73,"")</f>
        <v/>
      </c>
      <c r="LM73" s="152">
        <f>IF(AND($AX73=1,OR($AW73="",COUNTIF($ED$12:$EH$12,$AW73)&gt;0)),$AV73,"")</f>
        <v/>
      </c>
      <c r="LR73" s="152">
        <f>IF(OR($AW73="",COUNTIF($ED$13:$EH$13,$AW73)&gt;0),$AV73,"")</f>
        <v/>
      </c>
      <c r="LS73" s="152">
        <f>IF(AND($AX73=1,OR($AW73="",COUNTIF($ED$13:$EH$13,$AW73)&gt;0)),$AV73,"")</f>
        <v/>
      </c>
      <c r="LX73" s="150" t="inlineStr">
        <is>
          <t>Ficha 6 · Especial 5</t>
        </is>
      </c>
      <c r="LY73" s="152" t="n">
        <v>6</v>
      </c>
      <c r="LZ73" s="152" t="n">
        <v>1</v>
      </c>
      <c r="MA73" s="152" t="n">
        <v>16</v>
      </c>
      <c r="MB73" s="150" t="inlineStr">
        <is>
          <t>ESPECIAL 5</t>
        </is>
      </c>
      <c r="MC73" s="152">
        <f>MAX(1,MIN(7,N('INVOCAÇÕES'!$I$1104)))</f>
        <v/>
      </c>
      <c r="MD73" s="152">
        <f>'INVOCAÇÕES'!$J$1104&amp;""</f>
        <v/>
      </c>
      <c r="ME73" s="152">
        <f>'INVOCAÇÕES'!$I$1109&amp;""</f>
        <v/>
      </c>
      <c r="MF73" s="152">
        <f>'INVOCAÇÕES'!$I$1110&amp;""</f>
        <v/>
      </c>
      <c r="MG73" s="152">
        <f>'INVOCAÇÕES'!$K$1110&amp;""</f>
        <v/>
      </c>
      <c r="MH73" s="152">
        <f>'INVOCAÇÕES'!$J$1113&amp;""</f>
        <v/>
      </c>
      <c r="MI73" s="152">
        <f>'INVOCAÇÕES'!$J$1114&amp;""</f>
        <v/>
      </c>
      <c r="MJ73" s="152">
        <f>'INVOCAÇÕES'!$J$1115&amp;""</f>
        <v/>
      </c>
      <c r="MK73" s="152">
        <f>'INVOCAÇÕES'!$J$1116&amp;""</f>
        <v/>
      </c>
      <c r="ML73" s="152">
        <f>'INVOCAÇÕES'!$J$1117&amp;""</f>
        <v/>
      </c>
      <c r="MM73" s="152">
        <f>'INVOCAÇÕES'!$J$1118&amp;""</f>
        <v/>
      </c>
      <c r="MN73" s="152">
        <f>IF($MD73&lt;&gt;"",1,0)</f>
        <v/>
      </c>
      <c r="MO73" s="152">
        <f>INDEX($FG$2:$FG$13,$LY73)</f>
        <v/>
      </c>
      <c r="MP73" s="152">
        <f>INDEX($FH$2:$FH$13,$LY73)</f>
        <v/>
      </c>
      <c r="MQ73" s="152">
        <f>INDEX($FI$2:$FI$13,$LY73)</f>
        <v/>
      </c>
      <c r="MR73" s="152">
        <f>INDEX($FT$2:$FT$13,$LY73)</f>
        <v/>
      </c>
      <c r="MS73" s="152">
        <f>INDEX($FU$2:$FU$13,$LY73)</f>
        <v/>
      </c>
      <c r="MT73" s="152">
        <f>IFERROR(MATCH($ME73,$V$2:$V$11,0),0)</f>
        <v/>
      </c>
      <c r="MU73" s="152">
        <f>IFERROR(VLOOKUP($MH73,$AV$2:$AZ$84,2,FALSE),"")</f>
        <v/>
      </c>
      <c r="MV73" s="152">
        <f>IFERROR(VLOOKUP($MI73,$AV$2:$AZ$84,2,FALSE),"")</f>
        <v/>
      </c>
      <c r="MW73" s="152">
        <f>IFERROR(VLOOKUP($MJ73,$AV$2:$AZ$84,2,FALSE),"")</f>
        <v/>
      </c>
      <c r="MX73" s="152">
        <f>IFERROR(VLOOKUP($MK73,$AV$2:$AZ$84,2,FALSE),"")</f>
        <v/>
      </c>
      <c r="MY73" s="152">
        <f>IFERROR(VLOOKUP($MH73,$AV$2:$AZ$84,3,FALSE),0)</f>
        <v/>
      </c>
      <c r="MZ73" s="152">
        <f>IFERROR(VLOOKUP($MI73,$AV$2:$AZ$84,3,FALSE),0)</f>
        <v/>
      </c>
      <c r="NA73" s="152">
        <f>IFERROR(VLOOKUP($MJ73,$AV$2:$AZ$84,3,FALSE),0)</f>
        <v/>
      </c>
      <c r="NB73" s="152">
        <f>IFERROR(VLOOKUP($MK73,$AV$2:$AZ$84,3,FALSE),0)</f>
        <v/>
      </c>
      <c r="NC73" s="152">
        <f>IF($MC73=0,0,IF($MT73=0,0,INDEX($X$2:$X$11,$MT73)))</f>
        <v/>
      </c>
      <c r="ND73" s="152">
        <f>IF(OR($MY73=0,$MC73=0),0,$MY73+3*IF(AND($MU73&lt;&gt;"",OR($MU73=INDEX($ED$2:$ED$13,$LY73),$MU73=INDEX($EE$2:$EE$13,$LY73))),1,0))</f>
        <v/>
      </c>
      <c r="NE73" s="152">
        <f>IF(OR($MZ73=0,$MC73=0),0,$MZ73+3*IF(AND($MV73&lt;&gt;"",OR($MV73=INDEX($ED$2:$ED$13,$LY73),$MV73=INDEX($EE$2:$EE$13,$LY73))),1,0))</f>
        <v/>
      </c>
      <c r="NF73" s="152">
        <f>IF(OR($NA73=0,$MC73=0),0,$NA73+3*IF(AND($MW73&lt;&gt;"",OR($MW73=INDEX($ED$2:$ED$13,$LY73),$MW73=INDEX($EE$2:$EE$13,$LY73))),1,0))</f>
        <v/>
      </c>
      <c r="NG73" s="152">
        <f>IF(OR($NB73=0,$MC73=0),0,$NB73+3*IF(AND($MX73&lt;&gt;"",OR($MX73=INDEX($ED$2:$ED$13,$LY73),$MX73=INDEX($EE$2:$EE$13,$LY73))),1,0))</f>
        <v/>
      </c>
      <c r="NH73" s="152">
        <f>IF($MT73=0,0,IF(INDEX($W$2:$W$11,$MT73)="",0,IF(COUNTIF(INDEX($ED$2:$EH$13,$LY73,0),INDEX($W$2:$W$11,$MT73))=0,1,0)))</f>
        <v/>
      </c>
      <c r="NI73" s="152">
        <f>IF(OR($MY73=0,$MU73=""),0,IF(COUNTIF(INDEX($ED$2:$EH$13,$LY73,0),$MU73)=0,1,0))</f>
        <v/>
      </c>
      <c r="NJ73" s="152">
        <f>IF(OR($MZ73=0,$MV73=""),0,IF(COUNTIF(INDEX($ED$2:$EH$13,$LY73,0),$MV73)=0,1,0))</f>
        <v/>
      </c>
      <c r="NK73" s="152">
        <f>IF(OR($NA73=0,$MW73=""),0,IF(COUNTIF(INDEX($ED$2:$EH$13,$LY73,0),$MW73)=0,1,0))</f>
        <v/>
      </c>
      <c r="NL73" s="152">
        <f>IF(OR($NB73=0,$MX73=""),0,IF(COUNTIF(INDEX($ED$2:$EH$13,$LY73,0),$MX73)=0,1,0))</f>
        <v/>
      </c>
      <c r="NM73" s="152">
        <f>IFERROR(VLOOKUP($MH73,$AV$2:$AZ$84,4,FALSE),0)+IFERROR(VLOOKUP($MI73,$AV$2:$AZ$84,4,FALSE),0)+IFERROR(VLOOKUP($MJ73,$AV$2:$AZ$84,4,FALSE),0)+IFERROR(VLOOKUP($MK73,$AV$2:$AZ$84,4,FALSE),0)</f>
        <v/>
      </c>
      <c r="NN73" s="152">
        <f>TEXTJOIN(", ",TRUE,IF(IFERROR(VLOOKUP($MH73,$AV$2:$AZ$84,5,FALSE),0)=1,$MH73,""),IF(IFERROR(VLOOKUP($MI73,$AV$2:$AZ$84,5,FALSE),0)=1,$MI73,""),IF(IFERROR(VLOOKUP($MJ73,$AV$2:$AZ$84,5,FALSE),0)=1,$MJ73,""),IF(IFERROR(VLOOKUP($MK73,$AV$2:$AZ$84,5,FALSE),0)=1,$MK73,""))</f>
        <v/>
      </c>
      <c r="NO73" s="152">
        <f>IF($MT73=0,0,INDEX($Y$2:$Y$11,$MT73))</f>
        <v/>
      </c>
      <c r="NP73" s="152">
        <f>IF($MT73=0,0,INDEX($Z$2:$Z$11,$MT73))</f>
        <v/>
      </c>
      <c r="NQ73" s="152">
        <f>IF($MT73=0,0,INDEX($AB$2:$AB$11,$MT73))</f>
        <v/>
      </c>
      <c r="NR73" s="152">
        <f>IFERROR(VLOOKUP($ML73,$BB$2:$BF$24,3,FALSE),0)</f>
        <v/>
      </c>
      <c r="NS73" s="152">
        <f>IFERROR(VLOOKUP($MM73,$BB$2:$BF$24,3,FALSE),0)</f>
        <v/>
      </c>
      <c r="NT73" s="152">
        <f>IFERROR(VLOOKUP($ML73,$BB$2:$BF$24,2,FALSE),"")</f>
        <v/>
      </c>
      <c r="NU73" s="152">
        <f>IFERROR(VLOOKUP($MM73,$BB$2:$BF$24,2,FALSE),"")</f>
        <v/>
      </c>
      <c r="NV73" s="152">
        <f>COUNTIF($NC73:$NG73,1)</f>
        <v/>
      </c>
      <c r="NW73" s="152">
        <f>COUNTIF($NC73:$NG73,2)</f>
        <v/>
      </c>
      <c r="NX73" s="152">
        <f>COUNTIF($NC73:$NG73,3)</f>
        <v/>
      </c>
      <c r="NY73" s="152">
        <f>COUNTIF($NC73:$NG73,4)</f>
        <v/>
      </c>
      <c r="NZ73" s="152">
        <f>COUNTIF($NC73:$NG73,5)</f>
        <v/>
      </c>
      <c r="OA73" s="152">
        <f>COUNTIF($NC73:$NG73,6)</f>
        <v/>
      </c>
      <c r="OB73" s="152">
        <f>COUNTIF($NR73:$NS73,1)</f>
        <v/>
      </c>
      <c r="OC73" s="152">
        <f>COUNTIF($NR73:$NS73,2)+$NO73</f>
        <v/>
      </c>
      <c r="OD73" s="152">
        <f>COUNTIF($MH73:$MK73,"?*")</f>
        <v/>
      </c>
      <c r="OE73" s="152">
        <f>COUNTIF($ML73:$MM73,"?*")+$NO73</f>
        <v/>
      </c>
      <c r="OF73" s="152">
        <f>IF($MC73=0,0,SUMPRODUCT($NV73:$OA73,INDEX($I$2:$N$8,MAX(1,$MC73),0)))</f>
        <v/>
      </c>
      <c r="OG73" s="152">
        <f>IF($MC73=0,0,$OB73*CEILING($MC73/2,1)+$OC73*$MC73)</f>
        <v/>
      </c>
      <c r="OH73" s="152">
        <f>MIN(2*$MC73,$OG73)</f>
        <v/>
      </c>
      <c r="OI73" s="152">
        <f>MIN($OH73,$OF73)</f>
        <v/>
      </c>
      <c r="OJ73" s="152">
        <f>$OH73-$OI73</f>
        <v/>
      </c>
      <c r="OK73" s="152">
        <f>IF($MC73=0,0,INDEX($P$2:$P$8,MAX(1,$MC73)))</f>
        <v/>
      </c>
      <c r="OL73" s="152">
        <f>$OK73-$OF73+$OI73</f>
        <v/>
      </c>
      <c r="OM73" s="152">
        <f>IF($MC73=0,MAX(0,$MQ73-IF($OD73&gt;0,1,0)),MAX(0,$OL73))</f>
        <v/>
      </c>
      <c r="ON73" s="152">
        <f>IF($MC73=0,0,(IF(COUNTIF($MH73:$MK73,"Salto")&gt;0,1,0)+IF(COUNTIF($MH73:$MK73,"Queima")&gt;0,1,0)+IF(COUNTIF($MH73:$MK73,"Estilhaço")&gt;0,1,0))*FLOOR($OM73/2,1))</f>
        <v/>
      </c>
      <c r="OO73" s="152">
        <f>MAX(0,2-SUMPRODUCT($NV73:$OA73,$I$2:$N$2)+MIN(2,$OB73*1+$OC73*1,SUMPRODUCT($NV73:$OA73,$I$2:$N$2)))</f>
        <v/>
      </c>
      <c r="OP73" s="152">
        <f>MAX(0,4-SUMPRODUCT($NV73:$OA73,$I$3:$N$3)+MIN(4,$OB73*1+$OC73*2,SUMPRODUCT($NV73:$OA73,$I$3:$N$3)))</f>
        <v/>
      </c>
      <c r="OQ73" s="152">
        <f>MAX(0,6-SUMPRODUCT($NV73:$OA73,$I$4:$N$4)+MIN(6,$OB73*2+$OC73*3,SUMPRODUCT($NV73:$OA73,$I$4:$N$4)))</f>
        <v/>
      </c>
      <c r="OR73" s="152">
        <f>MAX(0,9-SUMPRODUCT($NV73:$OA73,$I$5:$N$5)+MIN(8,$OB73*2+$OC73*4,SUMPRODUCT($NV73:$OA73,$I$5:$N$5)))</f>
        <v/>
      </c>
      <c r="OS73" s="152">
        <f>MAX(0,11-SUMPRODUCT($NV73:$OA73,$I$6:$N$6)+MIN(10,$OB73*3+$OC73*5,SUMPRODUCT($NV73:$OA73,$I$6:$N$6)))</f>
        <v/>
      </c>
      <c r="OT73" s="152">
        <f>MAX(0,13-SUMPRODUCT($NV73:$OA73,$I$7:$N$7)+MIN(12,$OB73*3+$OC73*6,SUMPRODUCT($NV73:$OA73,$I$7:$N$7)))</f>
        <v/>
      </c>
      <c r="OU73" s="152">
        <f>MAX(0,16-SUMPRODUCT($NV73:$OA73,$I$8:$N$8)+MIN(14,$OB73*4+$OC73*7,SUMPRODUCT($NV73:$OA73,$I$8:$N$8)))</f>
        <v/>
      </c>
      <c r="OV73" s="152">
        <f>IF($NP73=2,3*$OO73&amp;" de vida temp.",IF($NP73=3,"sem dano",IF($OO73=0,IF($NP73=1,"sem cura","sem dano"),IF($NP73=1,"cura ","")&amp;$OO73&amp;"d8")))</f>
        <v/>
      </c>
      <c r="OW73" s="152">
        <f>IF($NP73=2,3*$OP73&amp;" de vida temp.",IF($NP73=3,"sem dano",IF($OP73=0,IF($NP73=1,"sem cura","sem dano"),IF($NP73=1,"cura ","")&amp;$OP73&amp;"d8")))</f>
        <v/>
      </c>
      <c r="OX73" s="152">
        <f>IF($NP73=2,3*$OQ73&amp;" de vida temp.",IF($NP73=3,"sem dano",IF($OQ73=0,IF($NP73=1,"sem cura","sem dano"),IF($NP73=1,"cura ","")&amp;$OQ73&amp;"d8")))</f>
        <v/>
      </c>
      <c r="OY73" s="152">
        <f>IF($NP73=2,3*$OR73&amp;" de vida temp.",IF($NP73=3,"sem dano",IF($OR73=0,IF($NP73=1,"sem cura","sem dano"),IF($NP73=1,"cura ","")&amp;$OR73&amp;"d8")))</f>
        <v/>
      </c>
      <c r="OZ73" s="152">
        <f>IF($NP73=2,3*$OS73&amp;" de vida temp.",IF($NP73=3,"sem dano",IF($OS73=0,IF($NP73=1,"sem cura","sem dano"),IF($NP73=1,"cura ","")&amp;$OS73&amp;"d8")))</f>
        <v/>
      </c>
      <c r="PA73" s="152">
        <f>IF($NP73=2,3*$OT73&amp;" de vida temp.",IF($NP73=3,"sem dano",IF($OT73=0,IF($NP73=1,"sem cura","sem dano"),IF($NP73=1,"cura ","")&amp;$OT73&amp;"d8")))</f>
        <v/>
      </c>
      <c r="PB73" s="152">
        <f>IF($NP73=2,3*$OU73&amp;" de vida temp.",IF($NP73=3,"sem dano",IF($OU73=0,IF($NP73=1,"sem cura","sem dano"),IF($NP73=1,"cura ","")&amp;$OU73&amp;"d8")))</f>
        <v/>
      </c>
      <c r="PC73" s="152">
        <f>IF($MN73=0,"",TEXTJOIN(" · ",TRUE,IF($MA73&gt;$MO73,"Este lugar abre no nível "&amp;$MA73,""),IF($MC73&gt;$MP73,"Classe "&amp;$MC73&amp;": o nível "&amp;$MO73&amp;" libera até a "&amp;$MP73,""),IF($NH73=1,"A Forma "&amp;$ME73&amp;" pede "&amp;INDEX($W$2:$W$11,$MT73)&amp;" aberta",""),IF(AND($MC73=0,$MT73&gt;0,IF($MT73=0,0,INDEX($AF$2:$AF$11,$MT73))=0),$ME73&amp;" não existe na Classe 0",""),IF($NI73=1,"Família Fechada: "&amp;$MH73,""),IF($NJ73=1,"Família Fechada: "&amp;$MI73,""),IF($NK73=1,"Família Fechada: "&amp;$MJ73,""),IF($NL73=1,"Família Fechada: "&amp;$MK73,""),IF(AND($MC73&gt;0,$OD73&gt;INDEX($O$2:$O$8,MAX(1,$MC73))),$OD73&amp;" Melhorias: a Classe "&amp;$MC73&amp;" aceita "&amp;INDEX($O$2:$O$8,MAX(1,$MC73)),""),IF(AND($MC73=0,$OD73&gt;1),"A básica aceita uma Melhoria",""),IF(AND($MC73=0,COUNTIF($MY73:$NB73,"&gt;1")&gt;0),"A básica só aceita Melhoria Leve",""),IF(AND($MC73&gt;0,$OE73&gt;2),$OE73&amp;" Restrições"&amp;IF($NO73=1,", contando a que a Forma "&amp;$ME73&amp;" já traz","")&amp;": o limite é 2",""),IF(AND($MC73=0,COUNTIF($ML73:$MM73,"?*")&gt;1),"A básica aceita uma Restrição Leve",""),IF(AND($MC73=0,COUNTIF($NR73:$NS73,2)&gt;0),"A básica só aceita Restrição Leve",""),IF(AND($MC73&gt;0,$OL73&lt;0),"Orçamento estourado: faltam "&amp;(-$OL73)&amp;IF($OL73&lt;-1," pontos"," ponto"),""),IF(IFERROR(VLOOKUP($ML73,$BB$2:$BF$24,4,FALSE),0)+IFERROR(VLOOKUP($MM73,$BB$2:$BF$24,4,FALSE),0)&gt;1,$NT73&amp;" e "&amp;$NU73&amp;" são as duas de frequência",""),IF(AND((COUNTIF($MH73:$MK73,"Rápido")+COUNTIF($NT73:$NU73,"Rápido"))&gt;0,(COUNTIF($MH73:$MK73,"Atrasar")+COUNTIF($NT73:$NU73,"Atrasar"))&gt;0),"Rápido não entra com Atrasar",""),IF(AND((COUNTIF($MH73:$MK73,"Reação")+COUNTIF($NT73:$NU73,"Reação"))&gt;0,(COUNTIF($MH73:$MK73,"Rápido")+COUNTIF($NT73:$NU73,"Rápido"))&gt;0),"Reação não entra com Rápido",""),IF(AND((COUNTIF($MH73:$MK73,"Reação")+COUNTIF($NT73:$NU73,"Reação"))&gt;0,(COUNTIF($MH73:$MK73,"Armado")+COUNTIF($NT73:$NU73,"Armado"))&gt;0),"Reação não entra com Armado",""),IF(AND((COUNTIF($MH73:$MK73,"Reação")+COUNTIF($NT73:$NU73,"Reação"))&gt;0,(COUNTIF($MH73:$MK73,"Atrasar")+COUNTIF($NT73:$NU73,"Atrasar"))&gt;0),"Reação não entra com Atrasar",""),IF(AND((COUNTIF($MH73:$MK73,"Reação")+COUNTIF($NT73:$NU73,"Reação"))&gt;0,(COUNTIF($MH73:$MK73,"Parado")+COUNTIF($NT73:$NU73,"Parado"))&gt;0),"Reação não entra com Parado",""),IF(AND((COUNTIF($MH73:$MK73,"Atrasar")+COUNTIF($NT73:$NU73,"Atrasar"))&gt;0,(COUNTIF($MH73:$MK73,"Parado")+COUNTIF($NT73:$NU73,"Parado"))&gt;0),"Atrasar não entra com Parado",""),IF(AND((COUNTIF($MH73:$MK73,"Armado")+COUNTIF($NT73:$NU73,"Armado"))&gt;0,(COUNTIF($MH73:$MK73,"Carregar")+COUNTIF($NT73:$NU73,"Carregar"))&gt;0),"Armado não entra com Carregar",""),IF(AND(COUNTIF($NT73:$NU73,"Corpo a Corpo")&gt;0,$NO73=0,OR($ME73="Cone",$ME73="Linha")),"Corpo a Corpo não entra em "&amp;$ME73,""),IF(AND(COUNTIF($NT73:$NU73,"Corpo a Corpo")&gt;0,$NO73=1),"A Forma "&amp;$ME73&amp;" já traz o Corpo a Corpo",""),IF(AND(COUNTIF($NT73:$NU73,"Tudo ou Nada")&gt;0,$NQ73=0),"Tudo ou Nada só entra em habilidade de Teste de Resistência",""),IF(AND(COUNTIF($MH73:$MK73,"Inescapável")&gt;0,OR($OD73&gt;1,$OE73&gt;0)),"Inescapável não aceita outra peça",""),IF(AND($MC73&gt;0,$OM73*IF(COUNTIF($MH73:$MK73,"Remate")&gt;0,1.25,1)+$ON73&gt;4*$MC73),($OM73*IF(COUNTIF($MH73:$MK73,"Remate")&gt;0,1.25,1)+$ON73)&amp;" dados somando repetições"&amp;IF(COUNTIF($MH73:$MK73,"Remate")&gt;0," e o Remate","")&amp;": o teto da Classe "&amp;$MC73&amp;" é "&amp;4*$MC73,"")))</f>
        <v/>
      </c>
      <c r="PD73" s="152">
        <f>IF($PC73="",0,(LEN($PC73)-LEN(SUBSTITUTE($PC73," · ","")))/3+1)</f>
        <v/>
      </c>
      <c r="PE73" s="152">
        <f>IF($MN73=0,"",TEXTJOIN(" · ",TRUE,IF($OG73&gt;2*$MC73,"A devolução parou no teto de "&amp;2*$MC73,""),IF($OJ73&gt;0,"Devolução perdida: "&amp;$OJ73&amp;IF($OJ73&gt;1," pontos"," ponto")&amp;" sem peça para pagar",""),IF(AND($NM73&gt;0,AND($MC73&gt;0,$NP73=0),$OM73=0),"Controle sem dano: uma rodada a mais e CD +2",""),IF(AND($NM73&gt;0,AND($MC73&gt;0,$NP73=0),$OM73&gt;0,$OM73&lt;=$MC73),"Controle com saldo até a Classe: uma rodada a mais",""),IF(AND($MC73&gt;0,$NN73&lt;&gt;""),"Efeito de "&amp;$NN73&amp;" pela Classe "&amp;MAX(1,$MC73-1),"")))</f>
        <v/>
      </c>
      <c r="PF73" s="152">
        <f>IF($PE73="",0,(LEN($PE73)-LEN(SUBSTITUTE($PE73," · ","")))/3+1)</f>
        <v/>
      </c>
      <c r="PG73" s="152">
        <f>IF($MN73=0,IF($OD73+COUNTIF($ML73:$MM73,"?*")&gt;0,"Dê um nome",""),IF($PD73&gt;0,"⚠ "&amp;$PD73&amp;IF($PD73&gt;1," erros"," erro"),IF($PF73&gt;0,"! "&amp;$PF73&amp;IF($PF73&gt;1," avisos"," aviso"),"Na regra")))</f>
        <v/>
      </c>
      <c r="PH73" s="152">
        <f>IF($MN73=0,"",IF($PD73+$PF73=0,"Dentro das regras que a ficha confere",$PC73&amp;IF(AND($PD73&gt;0,$PF73&gt;0)," · ","")&amp;$PE73))</f>
        <v/>
      </c>
      <c r="PI73" s="152">
        <f>IF($MA73&gt;$MO73,$MB73&amp;" · ABRE NO NÍVEL "&amp;$MA73,$MB73)</f>
        <v/>
      </c>
      <c r="PJ73" s="152">
        <f>IF($MN73=0,"",IF($MC73=0,"Sem PE",3*$MC73&amp;" PE"))</f>
        <v/>
      </c>
      <c r="PK73" s="152">
        <f>IF($MN73=0,"",IF($MC73=0,"A atuação básica dela",IF(COUNTIF($NT73:$NU73,"Atrasar")&gt;0,"Sua Ação Completa",IF(COUNTIF($MH73:$MK73,"Rápido")&gt;0,"Sua Bônus",IF(COUNTIF($MH73:$MK73,"Reação")&gt;0,"Sua Reação","Sua Padrão")))&amp;" + a básica dela"&amp;IF(COUNTIF($MH73:$MK73,"Reação")&gt;0," e a coletiva","")&amp;IF(COUNTIF($NT73:$NU73,"Carregar")&gt;0," · em dois turnos","")))</f>
        <v/>
      </c>
      <c r="PL73" s="152">
        <f>IF($MG73&lt;&gt;"",$MG73,IF($MT73=0,"",INDEX($AA$2:$AA$11,$MT73)))</f>
        <v/>
      </c>
      <c r="PM73" s="152">
        <f>IF(OR($MN73=0,$MT73=0),"",IF(COUNTIF($MH73:$MK73,"Inescapável")&gt;0,"Automático",IF($PL73="Ataque",IF($MR73="","Ataque","Ataque "&amp;IF(($MR73+2*IF(COUNTIF($MH73:$MK73,"Precisão")&gt;0,1,0))&gt;=0,"+","−")&amp;ABS(($MR73+2*IF(COUNTIF($MH73:$MK73,"Precisão")&gt;0,1,0)))),IF(LEFT($PL73,2)="TR",$PL73&amp;IF($MS73="",""," · CD "&amp;$MS73)&amp;IF(COUNTIF($MH73:$MK73,"Certeiro")&gt;0," · metade",""),"Sem rolagem"))))</f>
        <v/>
      </c>
      <c r="PN73" s="152">
        <f>IF(OR($MN73=0,$MT73=0),"",IF($MC73=0,IF(OR($NP73&gt;=1,$OM73=0),"Sem dano",$OM73&amp;"d6"&amp;IF($MF73="",""," "&amp;$MF73)),IF(OR($NP73&gt;=1,$OM73=0),UPPER(LEFT(INDEX($OV73:$PB73,1,MAX(1,$MC73)),1))&amp;MID(INDEX($OV73:$PB73,1,MAX(1,$MC73)),2,99),UPPER(LEFT(INDEX($OV73:$PB73,1,MAX(1,$MC73)),1))&amp;MID(INDEX($OV73:$PB73,1,MAX(1,$MC73)),2,99)&amp;IF($MF73="",""," "&amp;$MF73)&amp;IF($ON73&gt;0," · +"&amp;$ON73&amp;"d8",""))))</f>
        <v/>
      </c>
      <c r="PO73" s="152">
        <f>COUNTIF($MH73:$MK73,"Longe")+3*COUNTIF($MH73:$MK73,"Muito Longe")</f>
        <v/>
      </c>
      <c r="PP73" s="152">
        <f>COUNTIF($MH73:$MK73,"Maior")+3*COUNTIF($MH73:$MK73,"Muito Maior")</f>
        <v/>
      </c>
      <c r="PQ73" s="152">
        <f>IF($MT73=0,0,CHOOSE(1+INDEX($AC$2:$AC$11,$MT73),0,$PO73,$PP73,$PO73+$PP73))</f>
        <v/>
      </c>
      <c r="PR73" s="152">
        <f>IF($MT73=0,0,CHOOSE(1+INDEX($AD$2:$AD$11,$MT73),0,$PO73,$PP73,$PO73+$PP73))</f>
        <v/>
      </c>
      <c r="PS73" s="152">
        <f>IF(OR($MN73=0,$MT73=0),"",INDEX($AI$2:$AN$41,($MT73-1)*4+IF($MC73=0,1,IF($MC73&lt;=5,2,IF($MC73=6,3,4))),1+MIN(5,$PQ73))&amp;INDEX($AO$2:$AT$41,($MT73-1)*4+IF($MC73=0,1,IF($MC73&lt;=5,2,IF($MC73=6,3,4))),1+MIN(5,$PR73))&amp;IF(INDEX($AE$2:$AE$11,$MT73)=1,IF(COUNTIF($MH73:$MK73,"Mais Um")&gt;0," · +"&amp;COUNTIF($MH73:$MK73,"Mais Um")&amp;IF(COUNTIF($MH73:$MK73,"Mais Um")&gt;1," alvos"," alvo"),"")&amp;IF(COUNTIF($MH73:$MK73,"Rajada")&gt;0,IF($MC73=0," · 1 tiro"," · "&amp;(MAX(1,$MC73-1)+1)&amp;" tiros"),""),""))</f>
        <v/>
      </c>
      <c r="PT73" s="152">
        <f>IF($MN73=0,"",IF($MC73=0,$MQ73&amp;"d6"&amp;IF($OD73&gt;0," − 1 = "&amp;$OM73&amp;"d6"," da básica do nível "&amp;$MO73),$OK73&amp;" − "&amp;$OF73&amp;" + "&amp;$OI73&amp;" = "&amp;$OL73&amp;" · teto "&amp;4*$MC73&amp;"d8"&amp;IF($NO73=1," · a Forma devolve "&amp;$MC73,"")&amp;IF($OJ73&gt;0," · perde "&amp;$OJ73,"")))</f>
        <v/>
      </c>
      <c r="PU73" s="152">
        <f>IF($MN73=0,"",IF($MC73=0,"A básica não amplia: os dados dela sobem com o nível",IF($MC73&gt;=$MP73,"Já está na maior Classe que o nível liberou",TEXTJOIN(" · ",TRUE,IF(AND(2&gt;$MC73,2&lt;=$MP73),"2 → "&amp;$OW73&amp;", 6 PE",""),IF(AND(3&gt;$MC73,3&lt;=$MP73),"3 → "&amp;$OX73&amp;", 9 PE",""),IF(AND(4&gt;$MC73,4&lt;=$MP73),"4 → "&amp;$OY73&amp;", 12 PE",""),IF(AND(5&gt;$MC73,5&lt;=$MP73),"5 → "&amp;$OZ73&amp;", 15 PE",""),IF(AND(6&gt;$MC73,6&lt;=$MP73),"6 → "&amp;$PA73&amp;", 18 PE",""),IF(AND(7&gt;$MC73,7&lt;=$MP73),"7 → "&amp;$PB73&amp;", 21 PE","")))))</f>
        <v/>
      </c>
      <c r="PV73" s="152">
        <f>IF(OR($MN73=0,$MY73=0),"",IF($MC73=0,"−1 dado","−"&amp;INDEX($I$2:$N$8,MAX(1,$MC73),MAX(1,$ND73))&amp;" · "&amp;CHOOSE(MAX(1,$ND73),"Leve","Média","Pesada","Leve · Livre","Média · Livre","Pesada · Livre")))</f>
        <v/>
      </c>
      <c r="PW73" s="152">
        <f>IF(OR($MN73=0,$MZ73=0),"",IF($MC73=0,"−1 dado","−"&amp;INDEX($I$2:$N$8,MAX(1,$MC73),MAX(1,$NE73))&amp;" · "&amp;CHOOSE(MAX(1,$NE73),"Leve","Média","Pesada","Leve · Livre","Média · Livre","Pesada · Livre")))</f>
        <v/>
      </c>
      <c r="PX73" s="152">
        <f>IF(OR($MN73=0,$NA73=0),"",IF($MC73=0,"−1 dado","−"&amp;INDEX($I$2:$N$8,MAX(1,$MC73),MAX(1,$NF73))&amp;" · "&amp;CHOOSE(MAX(1,$NF73),"Leve","Média","Pesada","Leve · Livre","Média · Livre","Pesada · Livre")))</f>
        <v/>
      </c>
      <c r="PY73" s="152">
        <f>IF(OR($MN73=0,$NB73=0),"",IF($MC73=0,"−1 dado","−"&amp;INDEX($I$2:$N$8,MAX(1,$MC73),MAX(1,$NG73))&amp;" · "&amp;CHOOSE(MAX(1,$NG73),"Leve","Média","Pesada","Leve · Livre","Média · Livre","Pesada · Livre")))</f>
        <v/>
      </c>
      <c r="PZ73" s="152">
        <f>IF(OR($MN73=0,$ML73=""),"",IF($MC73=0,"não devolve","+"&amp;IF($NR73=1,CEILING($MC73/2,1),$MC73)))</f>
        <v/>
      </c>
      <c r="QA73" s="152">
        <f>IF(OR($MN73=0,$MM73=""),"",IF($MC73=0,"não devolve","+"&amp;IF($NS73=1,CEILING($MC73/2,1),$MC73)))</f>
        <v/>
      </c>
    </row>
    <row r="74">
      <c r="AV74" s="150" t="inlineStr">
        <is>
          <t>Identificar Feitiço</t>
        </is>
      </c>
      <c r="AW74" s="150" t="inlineStr">
        <is>
          <t>Marca</t>
        </is>
      </c>
      <c r="AX74" s="152" t="n">
        <v>1</v>
      </c>
      <c r="AY74" s="152" t="n">
        <v>0</v>
      </c>
      <c r="AZ74" s="152" t="n">
        <v>0</v>
      </c>
      <c r="JD74" s="152">
        <f>IF(OR($AW74="",COUNTIF($ED$2:$EH$2,$AW74)&gt;0),$AV74,"")</f>
        <v/>
      </c>
      <c r="JE74" s="152">
        <f>IF(AND($AX74=1,OR($AW74="",COUNTIF($ED$2:$EH$2,$AW74)&gt;0)),$AV74,"")</f>
        <v/>
      </c>
      <c r="JJ74" s="152">
        <f>IF(OR($AW74="",COUNTIF($ED$3:$EH$3,$AW74)&gt;0),$AV74,"")</f>
        <v/>
      </c>
      <c r="JK74" s="152">
        <f>IF(AND($AX74=1,OR($AW74="",COUNTIF($ED$3:$EH$3,$AW74)&gt;0)),$AV74,"")</f>
        <v/>
      </c>
      <c r="JP74" s="152">
        <f>IF(OR($AW74="",COUNTIF($ED$4:$EH$4,$AW74)&gt;0),$AV74,"")</f>
        <v/>
      </c>
      <c r="JQ74" s="152">
        <f>IF(AND($AX74=1,OR($AW74="",COUNTIF($ED$4:$EH$4,$AW74)&gt;0)),$AV74,"")</f>
        <v/>
      </c>
      <c r="JV74" s="152">
        <f>IF(OR($AW74="",COUNTIF($ED$5:$EH$5,$AW74)&gt;0),$AV74,"")</f>
        <v/>
      </c>
      <c r="JW74" s="152">
        <f>IF(AND($AX74=1,OR($AW74="",COUNTIF($ED$5:$EH$5,$AW74)&gt;0)),$AV74,"")</f>
        <v/>
      </c>
      <c r="KB74" s="152">
        <f>IF(OR($AW74="",COUNTIF($ED$6:$EH$6,$AW74)&gt;0),$AV74,"")</f>
        <v/>
      </c>
      <c r="KC74" s="152">
        <f>IF(AND($AX74=1,OR($AW74="",COUNTIF($ED$6:$EH$6,$AW74)&gt;0)),$AV74,"")</f>
        <v/>
      </c>
      <c r="KH74" s="152">
        <f>IF(OR($AW74="",COUNTIF($ED$7:$EH$7,$AW74)&gt;0),$AV74,"")</f>
        <v/>
      </c>
      <c r="KI74" s="152">
        <f>IF(AND($AX74=1,OR($AW74="",COUNTIF($ED$7:$EH$7,$AW74)&gt;0)),$AV74,"")</f>
        <v/>
      </c>
      <c r="KN74" s="152">
        <f>IF(OR($AW74="",COUNTIF($ED$8:$EH$8,$AW74)&gt;0),$AV74,"")</f>
        <v/>
      </c>
      <c r="KO74" s="152">
        <f>IF(AND($AX74=1,OR($AW74="",COUNTIF($ED$8:$EH$8,$AW74)&gt;0)),$AV74,"")</f>
        <v/>
      </c>
      <c r="KT74" s="152">
        <f>IF(OR($AW74="",COUNTIF($ED$9:$EH$9,$AW74)&gt;0),$AV74,"")</f>
        <v/>
      </c>
      <c r="KU74" s="152">
        <f>IF(AND($AX74=1,OR($AW74="",COUNTIF($ED$9:$EH$9,$AW74)&gt;0)),$AV74,"")</f>
        <v/>
      </c>
      <c r="KZ74" s="152">
        <f>IF(OR($AW74="",COUNTIF($ED$10:$EH$10,$AW74)&gt;0),$AV74,"")</f>
        <v/>
      </c>
      <c r="LA74" s="152">
        <f>IF(AND($AX74=1,OR($AW74="",COUNTIF($ED$10:$EH$10,$AW74)&gt;0)),$AV74,"")</f>
        <v/>
      </c>
      <c r="LF74" s="152">
        <f>IF(OR($AW74="",COUNTIF($ED$11:$EH$11,$AW74)&gt;0),$AV74,"")</f>
        <v/>
      </c>
      <c r="LG74" s="152">
        <f>IF(AND($AX74=1,OR($AW74="",COUNTIF($ED$11:$EH$11,$AW74)&gt;0)),$AV74,"")</f>
        <v/>
      </c>
      <c r="LL74" s="152">
        <f>IF(OR($AW74="",COUNTIF($ED$12:$EH$12,$AW74)&gt;0),$AV74,"")</f>
        <v/>
      </c>
      <c r="LM74" s="152">
        <f>IF(AND($AX74=1,OR($AW74="",COUNTIF($ED$12:$EH$12,$AW74)&gt;0)),$AV74,"")</f>
        <v/>
      </c>
      <c r="LR74" s="152">
        <f>IF(OR($AW74="",COUNTIF($ED$13:$EH$13,$AW74)&gt;0),$AV74,"")</f>
        <v/>
      </c>
      <c r="LS74" s="152">
        <f>IF(AND($AX74=1,OR($AW74="",COUNTIF($ED$13:$EH$13,$AW74)&gt;0)),$AV74,"")</f>
        <v/>
      </c>
      <c r="LX74" s="150" t="inlineStr">
        <is>
          <t>Ficha 6 · Especial 6</t>
        </is>
      </c>
      <c r="LY74" s="152" t="n">
        <v>6</v>
      </c>
      <c r="LZ74" s="152" t="n">
        <v>1</v>
      </c>
      <c r="MA74" s="152" t="n">
        <v>20</v>
      </c>
      <c r="MB74" s="150" t="inlineStr">
        <is>
          <t>ESPECIAL 6</t>
        </is>
      </c>
      <c r="MC74" s="152">
        <f>MAX(1,MIN(7,N('INVOCAÇÕES'!$O$1104)))</f>
        <v/>
      </c>
      <c r="MD74" s="152">
        <f>'INVOCAÇÕES'!$P$1104&amp;""</f>
        <v/>
      </c>
      <c r="ME74" s="152">
        <f>'INVOCAÇÕES'!$O$1109&amp;""</f>
        <v/>
      </c>
      <c r="MF74" s="152">
        <f>'INVOCAÇÕES'!$O$1110&amp;""</f>
        <v/>
      </c>
      <c r="MG74" s="152">
        <f>'INVOCAÇÕES'!$Q$1110&amp;""</f>
        <v/>
      </c>
      <c r="MH74" s="152">
        <f>'INVOCAÇÕES'!$P$1113&amp;""</f>
        <v/>
      </c>
      <c r="MI74" s="152">
        <f>'INVOCAÇÕES'!$P$1114&amp;""</f>
        <v/>
      </c>
      <c r="MJ74" s="152">
        <f>'INVOCAÇÕES'!$P$1115&amp;""</f>
        <v/>
      </c>
      <c r="MK74" s="152">
        <f>'INVOCAÇÕES'!$P$1116&amp;""</f>
        <v/>
      </c>
      <c r="ML74" s="152">
        <f>'INVOCAÇÕES'!$P$1117&amp;""</f>
        <v/>
      </c>
      <c r="MM74" s="152">
        <f>'INVOCAÇÕES'!$P$1118&amp;""</f>
        <v/>
      </c>
      <c r="MN74" s="152">
        <f>IF($MD74&lt;&gt;"",1,0)</f>
        <v/>
      </c>
      <c r="MO74" s="152">
        <f>INDEX($FG$2:$FG$13,$LY74)</f>
        <v/>
      </c>
      <c r="MP74" s="152">
        <f>INDEX($FH$2:$FH$13,$LY74)</f>
        <v/>
      </c>
      <c r="MQ74" s="152">
        <f>INDEX($FI$2:$FI$13,$LY74)</f>
        <v/>
      </c>
      <c r="MR74" s="152">
        <f>INDEX($FT$2:$FT$13,$LY74)</f>
        <v/>
      </c>
      <c r="MS74" s="152">
        <f>INDEX($FU$2:$FU$13,$LY74)</f>
        <v/>
      </c>
      <c r="MT74" s="152">
        <f>IFERROR(MATCH($ME74,$V$2:$V$11,0),0)</f>
        <v/>
      </c>
      <c r="MU74" s="152">
        <f>IFERROR(VLOOKUP($MH74,$AV$2:$AZ$84,2,FALSE),"")</f>
        <v/>
      </c>
      <c r="MV74" s="152">
        <f>IFERROR(VLOOKUP($MI74,$AV$2:$AZ$84,2,FALSE),"")</f>
        <v/>
      </c>
      <c r="MW74" s="152">
        <f>IFERROR(VLOOKUP($MJ74,$AV$2:$AZ$84,2,FALSE),"")</f>
        <v/>
      </c>
      <c r="MX74" s="152">
        <f>IFERROR(VLOOKUP($MK74,$AV$2:$AZ$84,2,FALSE),"")</f>
        <v/>
      </c>
      <c r="MY74" s="152">
        <f>IFERROR(VLOOKUP($MH74,$AV$2:$AZ$84,3,FALSE),0)</f>
        <v/>
      </c>
      <c r="MZ74" s="152">
        <f>IFERROR(VLOOKUP($MI74,$AV$2:$AZ$84,3,FALSE),0)</f>
        <v/>
      </c>
      <c r="NA74" s="152">
        <f>IFERROR(VLOOKUP($MJ74,$AV$2:$AZ$84,3,FALSE),0)</f>
        <v/>
      </c>
      <c r="NB74" s="152">
        <f>IFERROR(VLOOKUP($MK74,$AV$2:$AZ$84,3,FALSE),0)</f>
        <v/>
      </c>
      <c r="NC74" s="152">
        <f>IF($MC74=0,0,IF($MT74=0,0,INDEX($X$2:$X$11,$MT74)))</f>
        <v/>
      </c>
      <c r="ND74" s="152">
        <f>IF(OR($MY74=0,$MC74=0),0,$MY74+3*IF(AND($MU74&lt;&gt;"",OR($MU74=INDEX($ED$2:$ED$13,$LY74),$MU74=INDEX($EE$2:$EE$13,$LY74))),1,0))</f>
        <v/>
      </c>
      <c r="NE74" s="152">
        <f>IF(OR($MZ74=0,$MC74=0),0,$MZ74+3*IF(AND($MV74&lt;&gt;"",OR($MV74=INDEX($ED$2:$ED$13,$LY74),$MV74=INDEX($EE$2:$EE$13,$LY74))),1,0))</f>
        <v/>
      </c>
      <c r="NF74" s="152">
        <f>IF(OR($NA74=0,$MC74=0),0,$NA74+3*IF(AND($MW74&lt;&gt;"",OR($MW74=INDEX($ED$2:$ED$13,$LY74),$MW74=INDEX($EE$2:$EE$13,$LY74))),1,0))</f>
        <v/>
      </c>
      <c r="NG74" s="152">
        <f>IF(OR($NB74=0,$MC74=0),0,$NB74+3*IF(AND($MX74&lt;&gt;"",OR($MX74=INDEX($ED$2:$ED$13,$LY74),$MX74=INDEX($EE$2:$EE$13,$LY74))),1,0))</f>
        <v/>
      </c>
      <c r="NH74" s="152">
        <f>IF($MT74=0,0,IF(INDEX($W$2:$W$11,$MT74)="",0,IF(COUNTIF(INDEX($ED$2:$EH$13,$LY74,0),INDEX($W$2:$W$11,$MT74))=0,1,0)))</f>
        <v/>
      </c>
      <c r="NI74" s="152">
        <f>IF(OR($MY74=0,$MU74=""),0,IF(COUNTIF(INDEX($ED$2:$EH$13,$LY74,0),$MU74)=0,1,0))</f>
        <v/>
      </c>
      <c r="NJ74" s="152">
        <f>IF(OR($MZ74=0,$MV74=""),0,IF(COUNTIF(INDEX($ED$2:$EH$13,$LY74,0),$MV74)=0,1,0))</f>
        <v/>
      </c>
      <c r="NK74" s="152">
        <f>IF(OR($NA74=0,$MW74=""),0,IF(COUNTIF(INDEX($ED$2:$EH$13,$LY74,0),$MW74)=0,1,0))</f>
        <v/>
      </c>
      <c r="NL74" s="152">
        <f>IF(OR($NB74=0,$MX74=""),0,IF(COUNTIF(INDEX($ED$2:$EH$13,$LY74,0),$MX74)=0,1,0))</f>
        <v/>
      </c>
      <c r="NM74" s="152">
        <f>IFERROR(VLOOKUP($MH74,$AV$2:$AZ$84,4,FALSE),0)+IFERROR(VLOOKUP($MI74,$AV$2:$AZ$84,4,FALSE),0)+IFERROR(VLOOKUP($MJ74,$AV$2:$AZ$84,4,FALSE),0)+IFERROR(VLOOKUP($MK74,$AV$2:$AZ$84,4,FALSE),0)</f>
        <v/>
      </c>
      <c r="NN74" s="152">
        <f>TEXTJOIN(", ",TRUE,IF(IFERROR(VLOOKUP($MH74,$AV$2:$AZ$84,5,FALSE),0)=1,$MH74,""),IF(IFERROR(VLOOKUP($MI74,$AV$2:$AZ$84,5,FALSE),0)=1,$MI74,""),IF(IFERROR(VLOOKUP($MJ74,$AV$2:$AZ$84,5,FALSE),0)=1,$MJ74,""),IF(IFERROR(VLOOKUP($MK74,$AV$2:$AZ$84,5,FALSE),0)=1,$MK74,""))</f>
        <v/>
      </c>
      <c r="NO74" s="152">
        <f>IF($MT74=0,0,INDEX($Y$2:$Y$11,$MT74))</f>
        <v/>
      </c>
      <c r="NP74" s="152">
        <f>IF($MT74=0,0,INDEX($Z$2:$Z$11,$MT74))</f>
        <v/>
      </c>
      <c r="NQ74" s="152">
        <f>IF($MT74=0,0,INDEX($AB$2:$AB$11,$MT74))</f>
        <v/>
      </c>
      <c r="NR74" s="152">
        <f>IFERROR(VLOOKUP($ML74,$BB$2:$BF$24,3,FALSE),0)</f>
        <v/>
      </c>
      <c r="NS74" s="152">
        <f>IFERROR(VLOOKUP($MM74,$BB$2:$BF$24,3,FALSE),0)</f>
        <v/>
      </c>
      <c r="NT74" s="152">
        <f>IFERROR(VLOOKUP($ML74,$BB$2:$BF$24,2,FALSE),"")</f>
        <v/>
      </c>
      <c r="NU74" s="152">
        <f>IFERROR(VLOOKUP($MM74,$BB$2:$BF$24,2,FALSE),"")</f>
        <v/>
      </c>
      <c r="NV74" s="152">
        <f>COUNTIF($NC74:$NG74,1)</f>
        <v/>
      </c>
      <c r="NW74" s="152">
        <f>COUNTIF($NC74:$NG74,2)</f>
        <v/>
      </c>
      <c r="NX74" s="152">
        <f>COUNTIF($NC74:$NG74,3)</f>
        <v/>
      </c>
      <c r="NY74" s="152">
        <f>COUNTIF($NC74:$NG74,4)</f>
        <v/>
      </c>
      <c r="NZ74" s="152">
        <f>COUNTIF($NC74:$NG74,5)</f>
        <v/>
      </c>
      <c r="OA74" s="152">
        <f>COUNTIF($NC74:$NG74,6)</f>
        <v/>
      </c>
      <c r="OB74" s="152">
        <f>COUNTIF($NR74:$NS74,1)</f>
        <v/>
      </c>
      <c r="OC74" s="152">
        <f>COUNTIF($NR74:$NS74,2)+$NO74</f>
        <v/>
      </c>
      <c r="OD74" s="152">
        <f>COUNTIF($MH74:$MK74,"?*")</f>
        <v/>
      </c>
      <c r="OE74" s="152">
        <f>COUNTIF($ML74:$MM74,"?*")+$NO74</f>
        <v/>
      </c>
      <c r="OF74" s="152">
        <f>IF($MC74=0,0,SUMPRODUCT($NV74:$OA74,INDEX($I$2:$N$8,MAX(1,$MC74),0)))</f>
        <v/>
      </c>
      <c r="OG74" s="152">
        <f>IF($MC74=0,0,$OB74*CEILING($MC74/2,1)+$OC74*$MC74)</f>
        <v/>
      </c>
      <c r="OH74" s="152">
        <f>MIN(2*$MC74,$OG74)</f>
        <v/>
      </c>
      <c r="OI74" s="152">
        <f>MIN($OH74,$OF74)</f>
        <v/>
      </c>
      <c r="OJ74" s="152">
        <f>$OH74-$OI74</f>
        <v/>
      </c>
      <c r="OK74" s="152">
        <f>IF($MC74=0,0,INDEX($P$2:$P$8,MAX(1,$MC74)))</f>
        <v/>
      </c>
      <c r="OL74" s="152">
        <f>$OK74-$OF74+$OI74</f>
        <v/>
      </c>
      <c r="OM74" s="152">
        <f>IF($MC74=0,MAX(0,$MQ74-IF($OD74&gt;0,1,0)),MAX(0,$OL74))</f>
        <v/>
      </c>
      <c r="ON74" s="152">
        <f>IF($MC74=0,0,(IF(COUNTIF($MH74:$MK74,"Salto")&gt;0,1,0)+IF(COUNTIF($MH74:$MK74,"Queima")&gt;0,1,0)+IF(COUNTIF($MH74:$MK74,"Estilhaço")&gt;0,1,0))*FLOOR($OM74/2,1))</f>
        <v/>
      </c>
      <c r="OO74" s="152">
        <f>MAX(0,2-SUMPRODUCT($NV74:$OA74,$I$2:$N$2)+MIN(2,$OB74*1+$OC74*1,SUMPRODUCT($NV74:$OA74,$I$2:$N$2)))</f>
        <v/>
      </c>
      <c r="OP74" s="152">
        <f>MAX(0,4-SUMPRODUCT($NV74:$OA74,$I$3:$N$3)+MIN(4,$OB74*1+$OC74*2,SUMPRODUCT($NV74:$OA74,$I$3:$N$3)))</f>
        <v/>
      </c>
      <c r="OQ74" s="152">
        <f>MAX(0,6-SUMPRODUCT($NV74:$OA74,$I$4:$N$4)+MIN(6,$OB74*2+$OC74*3,SUMPRODUCT($NV74:$OA74,$I$4:$N$4)))</f>
        <v/>
      </c>
      <c r="OR74" s="152">
        <f>MAX(0,9-SUMPRODUCT($NV74:$OA74,$I$5:$N$5)+MIN(8,$OB74*2+$OC74*4,SUMPRODUCT($NV74:$OA74,$I$5:$N$5)))</f>
        <v/>
      </c>
      <c r="OS74" s="152">
        <f>MAX(0,11-SUMPRODUCT($NV74:$OA74,$I$6:$N$6)+MIN(10,$OB74*3+$OC74*5,SUMPRODUCT($NV74:$OA74,$I$6:$N$6)))</f>
        <v/>
      </c>
      <c r="OT74" s="152">
        <f>MAX(0,13-SUMPRODUCT($NV74:$OA74,$I$7:$N$7)+MIN(12,$OB74*3+$OC74*6,SUMPRODUCT($NV74:$OA74,$I$7:$N$7)))</f>
        <v/>
      </c>
      <c r="OU74" s="152">
        <f>MAX(0,16-SUMPRODUCT($NV74:$OA74,$I$8:$N$8)+MIN(14,$OB74*4+$OC74*7,SUMPRODUCT($NV74:$OA74,$I$8:$N$8)))</f>
        <v/>
      </c>
      <c r="OV74" s="152">
        <f>IF($NP74=2,3*$OO74&amp;" de vida temp.",IF($NP74=3,"sem dano",IF($OO74=0,IF($NP74=1,"sem cura","sem dano"),IF($NP74=1,"cura ","")&amp;$OO74&amp;"d8")))</f>
        <v/>
      </c>
      <c r="OW74" s="152">
        <f>IF($NP74=2,3*$OP74&amp;" de vida temp.",IF($NP74=3,"sem dano",IF($OP74=0,IF($NP74=1,"sem cura","sem dano"),IF($NP74=1,"cura ","")&amp;$OP74&amp;"d8")))</f>
        <v/>
      </c>
      <c r="OX74" s="152">
        <f>IF($NP74=2,3*$OQ74&amp;" de vida temp.",IF($NP74=3,"sem dano",IF($OQ74=0,IF($NP74=1,"sem cura","sem dano"),IF($NP74=1,"cura ","")&amp;$OQ74&amp;"d8")))</f>
        <v/>
      </c>
      <c r="OY74" s="152">
        <f>IF($NP74=2,3*$OR74&amp;" de vida temp.",IF($NP74=3,"sem dano",IF($OR74=0,IF($NP74=1,"sem cura","sem dano"),IF($NP74=1,"cura ","")&amp;$OR74&amp;"d8")))</f>
        <v/>
      </c>
      <c r="OZ74" s="152">
        <f>IF($NP74=2,3*$OS74&amp;" de vida temp.",IF($NP74=3,"sem dano",IF($OS74=0,IF($NP74=1,"sem cura","sem dano"),IF($NP74=1,"cura ","")&amp;$OS74&amp;"d8")))</f>
        <v/>
      </c>
      <c r="PA74" s="152">
        <f>IF($NP74=2,3*$OT74&amp;" de vida temp.",IF($NP74=3,"sem dano",IF($OT74=0,IF($NP74=1,"sem cura","sem dano"),IF($NP74=1,"cura ","")&amp;$OT74&amp;"d8")))</f>
        <v/>
      </c>
      <c r="PB74" s="152">
        <f>IF($NP74=2,3*$OU74&amp;" de vida temp.",IF($NP74=3,"sem dano",IF($OU74=0,IF($NP74=1,"sem cura","sem dano"),IF($NP74=1,"cura ","")&amp;$OU74&amp;"d8")))</f>
        <v/>
      </c>
      <c r="PC74" s="152">
        <f>IF($MN74=0,"",TEXTJOIN(" · ",TRUE,IF($MA74&gt;$MO74,"Este lugar abre no nível "&amp;$MA74,""),IF($MC74&gt;$MP74,"Classe "&amp;$MC74&amp;": o nível "&amp;$MO74&amp;" libera até a "&amp;$MP74,""),IF($NH74=1,"A Forma "&amp;$ME74&amp;" pede "&amp;INDEX($W$2:$W$11,$MT74)&amp;" aberta",""),IF(AND($MC74=0,$MT74&gt;0,IF($MT74=0,0,INDEX($AF$2:$AF$11,$MT74))=0),$ME74&amp;" não existe na Classe 0",""),IF($NI74=1,"Família Fechada: "&amp;$MH74,""),IF($NJ74=1,"Família Fechada: "&amp;$MI74,""),IF($NK74=1,"Família Fechada: "&amp;$MJ74,""),IF($NL74=1,"Família Fechada: "&amp;$MK74,""),IF(AND($MC74&gt;0,$OD74&gt;INDEX($O$2:$O$8,MAX(1,$MC74))),$OD74&amp;" Melhorias: a Classe "&amp;$MC74&amp;" aceita "&amp;INDEX($O$2:$O$8,MAX(1,$MC74)),""),IF(AND($MC74=0,$OD74&gt;1),"A básica aceita uma Melhoria",""),IF(AND($MC74=0,COUNTIF($MY74:$NB74,"&gt;1")&gt;0),"A básica só aceita Melhoria Leve",""),IF(AND($MC74&gt;0,$OE74&gt;2),$OE74&amp;" Restrições"&amp;IF($NO74=1,", contando a que a Forma "&amp;$ME74&amp;" já traz","")&amp;": o limite é 2",""),IF(AND($MC74=0,COUNTIF($ML74:$MM74,"?*")&gt;1),"A básica aceita uma Restrição Leve",""),IF(AND($MC74=0,COUNTIF($NR74:$NS74,2)&gt;0),"A básica só aceita Restrição Leve",""),IF(AND($MC74&gt;0,$OL74&lt;0),"Orçamento estourado: faltam "&amp;(-$OL74)&amp;IF($OL74&lt;-1," pontos"," ponto"),""),IF(IFERROR(VLOOKUP($ML74,$BB$2:$BF$24,4,FALSE),0)+IFERROR(VLOOKUP($MM74,$BB$2:$BF$24,4,FALSE),0)&gt;1,$NT74&amp;" e "&amp;$NU74&amp;" são as duas de frequência",""),IF(AND((COUNTIF($MH74:$MK74,"Rápido")+COUNTIF($NT74:$NU74,"Rápido"))&gt;0,(COUNTIF($MH74:$MK74,"Atrasar")+COUNTIF($NT74:$NU74,"Atrasar"))&gt;0),"Rápido não entra com Atrasar",""),IF(AND((COUNTIF($MH74:$MK74,"Reação")+COUNTIF($NT74:$NU74,"Reação"))&gt;0,(COUNTIF($MH74:$MK74,"Rápido")+COUNTIF($NT74:$NU74,"Rápido"))&gt;0),"Reação não entra com Rápido",""),IF(AND((COUNTIF($MH74:$MK74,"Reação")+COUNTIF($NT74:$NU74,"Reação"))&gt;0,(COUNTIF($MH74:$MK74,"Armado")+COUNTIF($NT74:$NU74,"Armado"))&gt;0),"Reação não entra com Armado",""),IF(AND((COUNTIF($MH74:$MK74,"Reação")+COUNTIF($NT74:$NU74,"Reação"))&gt;0,(COUNTIF($MH74:$MK74,"Atrasar")+COUNTIF($NT74:$NU74,"Atrasar"))&gt;0),"Reação não entra com Atrasar",""),IF(AND((COUNTIF($MH74:$MK74,"Reação")+COUNTIF($NT74:$NU74,"Reação"))&gt;0,(COUNTIF($MH74:$MK74,"Parado")+COUNTIF($NT74:$NU74,"Parado"))&gt;0),"Reação não entra com Parado",""),IF(AND((COUNTIF($MH74:$MK74,"Atrasar")+COUNTIF($NT74:$NU74,"Atrasar"))&gt;0,(COUNTIF($MH74:$MK74,"Parado")+COUNTIF($NT74:$NU74,"Parado"))&gt;0),"Atrasar não entra com Parado",""),IF(AND((COUNTIF($MH74:$MK74,"Armado")+COUNTIF($NT74:$NU74,"Armado"))&gt;0,(COUNTIF($MH74:$MK74,"Carregar")+COUNTIF($NT74:$NU74,"Carregar"))&gt;0),"Armado não entra com Carregar",""),IF(AND(COUNTIF($NT74:$NU74,"Corpo a Corpo")&gt;0,$NO74=0,OR($ME74="Cone",$ME74="Linha")),"Corpo a Corpo não entra em "&amp;$ME74,""),IF(AND(COUNTIF($NT74:$NU74,"Corpo a Corpo")&gt;0,$NO74=1),"A Forma "&amp;$ME74&amp;" já traz o Corpo a Corpo",""),IF(AND(COUNTIF($NT74:$NU74,"Tudo ou Nada")&gt;0,$NQ74=0),"Tudo ou Nada só entra em habilidade de Teste de Resistência",""),IF(AND(COUNTIF($MH74:$MK74,"Inescapável")&gt;0,OR($OD74&gt;1,$OE74&gt;0)),"Inescapável não aceita outra peça",""),IF(AND($MC74&gt;0,$OM74*IF(COUNTIF($MH74:$MK74,"Remate")&gt;0,1.25,1)+$ON74&gt;4*$MC74),($OM74*IF(COUNTIF($MH74:$MK74,"Remate")&gt;0,1.25,1)+$ON74)&amp;" dados somando repetições"&amp;IF(COUNTIF($MH74:$MK74,"Remate")&gt;0," e o Remate","")&amp;": o teto da Classe "&amp;$MC74&amp;" é "&amp;4*$MC74,"")))</f>
        <v/>
      </c>
      <c r="PD74" s="152">
        <f>IF($PC74="",0,(LEN($PC74)-LEN(SUBSTITUTE($PC74," · ","")))/3+1)</f>
        <v/>
      </c>
      <c r="PE74" s="152">
        <f>IF($MN74=0,"",TEXTJOIN(" · ",TRUE,IF($OG74&gt;2*$MC74,"A devolução parou no teto de "&amp;2*$MC74,""),IF($OJ74&gt;0,"Devolução perdida: "&amp;$OJ74&amp;IF($OJ74&gt;1," pontos"," ponto")&amp;" sem peça para pagar",""),IF(AND($NM74&gt;0,AND($MC74&gt;0,$NP74=0),$OM74=0),"Controle sem dano: uma rodada a mais e CD +2",""),IF(AND($NM74&gt;0,AND($MC74&gt;0,$NP74=0),$OM74&gt;0,$OM74&lt;=$MC74),"Controle com saldo até a Classe: uma rodada a mais",""),IF(AND($MC74&gt;0,$NN74&lt;&gt;""),"Efeito de "&amp;$NN74&amp;" pela Classe "&amp;MAX(1,$MC74-1),"")))</f>
        <v/>
      </c>
      <c r="PF74" s="152">
        <f>IF($PE74="",0,(LEN($PE74)-LEN(SUBSTITUTE($PE74," · ","")))/3+1)</f>
        <v/>
      </c>
      <c r="PG74" s="152">
        <f>IF($MN74=0,IF($OD74+COUNTIF($ML74:$MM74,"?*")&gt;0,"Dê um nome",""),IF($PD74&gt;0,"⚠ "&amp;$PD74&amp;IF($PD74&gt;1," erros"," erro"),IF($PF74&gt;0,"! "&amp;$PF74&amp;IF($PF74&gt;1," avisos"," aviso"),"Na regra")))</f>
        <v/>
      </c>
      <c r="PH74" s="152">
        <f>IF($MN74=0,"",IF($PD74+$PF74=0,"Dentro das regras que a ficha confere",$PC74&amp;IF(AND($PD74&gt;0,$PF74&gt;0)," · ","")&amp;$PE74))</f>
        <v/>
      </c>
      <c r="PI74" s="152">
        <f>IF($MA74&gt;$MO74,$MB74&amp;" · ABRE NO NÍVEL "&amp;$MA74,$MB74)</f>
        <v/>
      </c>
      <c r="PJ74" s="152">
        <f>IF($MN74=0,"",IF($MC74=0,"Sem PE",3*$MC74&amp;" PE"))</f>
        <v/>
      </c>
      <c r="PK74" s="152">
        <f>IF($MN74=0,"",IF($MC74=0,"A atuação básica dela",IF(COUNTIF($NT74:$NU74,"Atrasar")&gt;0,"Sua Ação Completa",IF(COUNTIF($MH74:$MK74,"Rápido")&gt;0,"Sua Bônus",IF(COUNTIF($MH74:$MK74,"Reação")&gt;0,"Sua Reação","Sua Padrão")))&amp;" + a básica dela"&amp;IF(COUNTIF($MH74:$MK74,"Reação")&gt;0," e a coletiva","")&amp;IF(COUNTIF($NT74:$NU74,"Carregar")&gt;0," · em dois turnos","")))</f>
        <v/>
      </c>
      <c r="PL74" s="152">
        <f>IF($MG74&lt;&gt;"",$MG74,IF($MT74=0,"",INDEX($AA$2:$AA$11,$MT74)))</f>
        <v/>
      </c>
      <c r="PM74" s="152">
        <f>IF(OR($MN74=0,$MT74=0),"",IF(COUNTIF($MH74:$MK74,"Inescapável")&gt;0,"Automático",IF($PL74="Ataque",IF($MR74="","Ataque","Ataque "&amp;IF(($MR74+2*IF(COUNTIF($MH74:$MK74,"Precisão")&gt;0,1,0))&gt;=0,"+","−")&amp;ABS(($MR74+2*IF(COUNTIF($MH74:$MK74,"Precisão")&gt;0,1,0)))),IF(LEFT($PL74,2)="TR",$PL74&amp;IF($MS74="",""," · CD "&amp;$MS74)&amp;IF(COUNTIF($MH74:$MK74,"Certeiro")&gt;0," · metade",""),"Sem rolagem"))))</f>
        <v/>
      </c>
      <c r="PN74" s="152">
        <f>IF(OR($MN74=0,$MT74=0),"",IF($MC74=0,IF(OR($NP74&gt;=1,$OM74=0),"Sem dano",$OM74&amp;"d6"&amp;IF($MF74="",""," "&amp;$MF74)),IF(OR($NP74&gt;=1,$OM74=0),UPPER(LEFT(INDEX($OV74:$PB74,1,MAX(1,$MC74)),1))&amp;MID(INDEX($OV74:$PB74,1,MAX(1,$MC74)),2,99),UPPER(LEFT(INDEX($OV74:$PB74,1,MAX(1,$MC74)),1))&amp;MID(INDEX($OV74:$PB74,1,MAX(1,$MC74)),2,99)&amp;IF($MF74="",""," "&amp;$MF74)&amp;IF($ON74&gt;0," · +"&amp;$ON74&amp;"d8",""))))</f>
        <v/>
      </c>
      <c r="PO74" s="152">
        <f>COUNTIF($MH74:$MK74,"Longe")+3*COUNTIF($MH74:$MK74,"Muito Longe")</f>
        <v/>
      </c>
      <c r="PP74" s="152">
        <f>COUNTIF($MH74:$MK74,"Maior")+3*COUNTIF($MH74:$MK74,"Muito Maior")</f>
        <v/>
      </c>
      <c r="PQ74" s="152">
        <f>IF($MT74=0,0,CHOOSE(1+INDEX($AC$2:$AC$11,$MT74),0,$PO74,$PP74,$PO74+$PP74))</f>
        <v/>
      </c>
      <c r="PR74" s="152">
        <f>IF($MT74=0,0,CHOOSE(1+INDEX($AD$2:$AD$11,$MT74),0,$PO74,$PP74,$PO74+$PP74))</f>
        <v/>
      </c>
      <c r="PS74" s="152">
        <f>IF(OR($MN74=0,$MT74=0),"",INDEX($AI$2:$AN$41,($MT74-1)*4+IF($MC74=0,1,IF($MC74&lt;=5,2,IF($MC74=6,3,4))),1+MIN(5,$PQ74))&amp;INDEX($AO$2:$AT$41,($MT74-1)*4+IF($MC74=0,1,IF($MC74&lt;=5,2,IF($MC74=6,3,4))),1+MIN(5,$PR74))&amp;IF(INDEX($AE$2:$AE$11,$MT74)=1,IF(COUNTIF($MH74:$MK74,"Mais Um")&gt;0," · +"&amp;COUNTIF($MH74:$MK74,"Mais Um")&amp;IF(COUNTIF($MH74:$MK74,"Mais Um")&gt;1," alvos"," alvo"),"")&amp;IF(COUNTIF($MH74:$MK74,"Rajada")&gt;0,IF($MC74=0," · 1 tiro"," · "&amp;(MAX(1,$MC74-1)+1)&amp;" tiros"),""),""))</f>
        <v/>
      </c>
      <c r="PT74" s="152">
        <f>IF($MN74=0,"",IF($MC74=0,$MQ74&amp;"d6"&amp;IF($OD74&gt;0," − 1 = "&amp;$OM74&amp;"d6"," da básica do nível "&amp;$MO74),$OK74&amp;" − "&amp;$OF74&amp;" + "&amp;$OI74&amp;" = "&amp;$OL74&amp;" · teto "&amp;4*$MC74&amp;"d8"&amp;IF($NO74=1," · a Forma devolve "&amp;$MC74,"")&amp;IF($OJ74&gt;0," · perde "&amp;$OJ74,"")))</f>
        <v/>
      </c>
      <c r="PU74" s="152">
        <f>IF($MN74=0,"",IF($MC74=0,"A básica não amplia: os dados dela sobem com o nível",IF($MC74&gt;=$MP74,"Já está na maior Classe que o nível liberou",TEXTJOIN(" · ",TRUE,IF(AND(2&gt;$MC74,2&lt;=$MP74),"2 → "&amp;$OW74&amp;", 6 PE",""),IF(AND(3&gt;$MC74,3&lt;=$MP74),"3 → "&amp;$OX74&amp;", 9 PE",""),IF(AND(4&gt;$MC74,4&lt;=$MP74),"4 → "&amp;$OY74&amp;", 12 PE",""),IF(AND(5&gt;$MC74,5&lt;=$MP74),"5 → "&amp;$OZ74&amp;", 15 PE",""),IF(AND(6&gt;$MC74,6&lt;=$MP74),"6 → "&amp;$PA74&amp;", 18 PE",""),IF(AND(7&gt;$MC74,7&lt;=$MP74),"7 → "&amp;$PB74&amp;", 21 PE","")))))</f>
        <v/>
      </c>
      <c r="PV74" s="152">
        <f>IF(OR($MN74=0,$MY74=0),"",IF($MC74=0,"−1 dado","−"&amp;INDEX($I$2:$N$8,MAX(1,$MC74),MAX(1,$ND74))&amp;" · "&amp;CHOOSE(MAX(1,$ND74),"Leve","Média","Pesada","Leve · Livre","Média · Livre","Pesada · Livre")))</f>
        <v/>
      </c>
      <c r="PW74" s="152">
        <f>IF(OR($MN74=0,$MZ74=0),"",IF($MC74=0,"−1 dado","−"&amp;INDEX($I$2:$N$8,MAX(1,$MC74),MAX(1,$NE74))&amp;" · "&amp;CHOOSE(MAX(1,$NE74),"Leve","Média","Pesada","Leve · Livre","Média · Livre","Pesada · Livre")))</f>
        <v/>
      </c>
      <c r="PX74" s="152">
        <f>IF(OR($MN74=0,$NA74=0),"",IF($MC74=0,"−1 dado","−"&amp;INDEX($I$2:$N$8,MAX(1,$MC74),MAX(1,$NF74))&amp;" · "&amp;CHOOSE(MAX(1,$NF74),"Leve","Média","Pesada","Leve · Livre","Média · Livre","Pesada · Livre")))</f>
        <v/>
      </c>
      <c r="PY74" s="152">
        <f>IF(OR($MN74=0,$NB74=0),"",IF($MC74=0,"−1 dado","−"&amp;INDEX($I$2:$N$8,MAX(1,$MC74),MAX(1,$NG74))&amp;" · "&amp;CHOOSE(MAX(1,$NG74),"Leve","Média","Pesada","Leve · Livre","Média · Livre","Pesada · Livre")))</f>
        <v/>
      </c>
      <c r="PZ74" s="152">
        <f>IF(OR($MN74=0,$ML74=""),"",IF($MC74=0,"não devolve","+"&amp;IF($NR74=1,CEILING($MC74/2,1),$MC74)))</f>
        <v/>
      </c>
      <c r="QA74" s="152">
        <f>IF(OR($MN74=0,$MM74=""),"",IF($MC74=0,"não devolve","+"&amp;IF($NS74=1,CEILING($MC74/2,1),$MC74)))</f>
        <v/>
      </c>
    </row>
    <row r="75">
      <c r="AV75" s="150" t="inlineStr">
        <is>
          <t>Limpa</t>
        </is>
      </c>
      <c r="AW75" s="150" t="inlineStr">
        <is>
          <t>Amparo</t>
        </is>
      </c>
      <c r="AX75" s="152" t="n">
        <v>2</v>
      </c>
      <c r="AY75" s="152" t="n">
        <v>0</v>
      </c>
      <c r="AZ75" s="152" t="n">
        <v>0</v>
      </c>
      <c r="JD75" s="152">
        <f>IF(OR($AW75="",COUNTIF($ED$2:$EH$2,$AW75)&gt;0),$AV75,"")</f>
        <v/>
      </c>
      <c r="JE75" s="152">
        <f>IF(AND($AX75=1,OR($AW75="",COUNTIF($ED$2:$EH$2,$AW75)&gt;0)),$AV75,"")</f>
        <v/>
      </c>
      <c r="JJ75" s="152">
        <f>IF(OR($AW75="",COUNTIF($ED$3:$EH$3,$AW75)&gt;0),$AV75,"")</f>
        <v/>
      </c>
      <c r="JK75" s="152">
        <f>IF(AND($AX75=1,OR($AW75="",COUNTIF($ED$3:$EH$3,$AW75)&gt;0)),$AV75,"")</f>
        <v/>
      </c>
      <c r="JP75" s="152">
        <f>IF(OR($AW75="",COUNTIF($ED$4:$EH$4,$AW75)&gt;0),$AV75,"")</f>
        <v/>
      </c>
      <c r="JQ75" s="152">
        <f>IF(AND($AX75=1,OR($AW75="",COUNTIF($ED$4:$EH$4,$AW75)&gt;0)),$AV75,"")</f>
        <v/>
      </c>
      <c r="JV75" s="152">
        <f>IF(OR($AW75="",COUNTIF($ED$5:$EH$5,$AW75)&gt;0),$AV75,"")</f>
        <v/>
      </c>
      <c r="JW75" s="152">
        <f>IF(AND($AX75=1,OR($AW75="",COUNTIF($ED$5:$EH$5,$AW75)&gt;0)),$AV75,"")</f>
        <v/>
      </c>
      <c r="KB75" s="152">
        <f>IF(OR($AW75="",COUNTIF($ED$6:$EH$6,$AW75)&gt;0),$AV75,"")</f>
        <v/>
      </c>
      <c r="KC75" s="152">
        <f>IF(AND($AX75=1,OR($AW75="",COUNTIF($ED$6:$EH$6,$AW75)&gt;0)),$AV75,"")</f>
        <v/>
      </c>
      <c r="KH75" s="152">
        <f>IF(OR($AW75="",COUNTIF($ED$7:$EH$7,$AW75)&gt;0),$AV75,"")</f>
        <v/>
      </c>
      <c r="KI75" s="152">
        <f>IF(AND($AX75=1,OR($AW75="",COUNTIF($ED$7:$EH$7,$AW75)&gt;0)),$AV75,"")</f>
        <v/>
      </c>
      <c r="KN75" s="152">
        <f>IF(OR($AW75="",COUNTIF($ED$8:$EH$8,$AW75)&gt;0),$AV75,"")</f>
        <v/>
      </c>
      <c r="KO75" s="152">
        <f>IF(AND($AX75=1,OR($AW75="",COUNTIF($ED$8:$EH$8,$AW75)&gt;0)),$AV75,"")</f>
        <v/>
      </c>
      <c r="KT75" s="152">
        <f>IF(OR($AW75="",COUNTIF($ED$9:$EH$9,$AW75)&gt;0),$AV75,"")</f>
        <v/>
      </c>
      <c r="KU75" s="152">
        <f>IF(AND($AX75=1,OR($AW75="",COUNTIF($ED$9:$EH$9,$AW75)&gt;0)),$AV75,"")</f>
        <v/>
      </c>
      <c r="KZ75" s="152">
        <f>IF(OR($AW75="",COUNTIF($ED$10:$EH$10,$AW75)&gt;0),$AV75,"")</f>
        <v/>
      </c>
      <c r="LA75" s="152">
        <f>IF(AND($AX75=1,OR($AW75="",COUNTIF($ED$10:$EH$10,$AW75)&gt;0)),$AV75,"")</f>
        <v/>
      </c>
      <c r="LF75" s="152">
        <f>IF(OR($AW75="",COUNTIF($ED$11:$EH$11,$AW75)&gt;0),$AV75,"")</f>
        <v/>
      </c>
      <c r="LG75" s="152">
        <f>IF(AND($AX75=1,OR($AW75="",COUNTIF($ED$11:$EH$11,$AW75)&gt;0)),$AV75,"")</f>
        <v/>
      </c>
      <c r="LL75" s="152">
        <f>IF(OR($AW75="",COUNTIF($ED$12:$EH$12,$AW75)&gt;0),$AV75,"")</f>
        <v/>
      </c>
      <c r="LM75" s="152">
        <f>IF(AND($AX75=1,OR($AW75="",COUNTIF($ED$12:$EH$12,$AW75)&gt;0)),$AV75,"")</f>
        <v/>
      </c>
      <c r="LR75" s="152">
        <f>IF(OR($AW75="",COUNTIF($ED$13:$EH$13,$AW75)&gt;0),$AV75,"")</f>
        <v/>
      </c>
      <c r="LS75" s="152">
        <f>IF(AND($AX75=1,OR($AW75="",COUNTIF($ED$13:$EH$13,$AW75)&gt;0)),$AV75,"")</f>
        <v/>
      </c>
      <c r="LX75" s="150" t="inlineStr">
        <is>
          <t>Ficha 6 · Especial 7</t>
        </is>
      </c>
      <c r="LY75" s="152" t="n">
        <v>6</v>
      </c>
      <c r="LZ75" s="152" t="n">
        <v>1</v>
      </c>
      <c r="MA75" s="152" t="n">
        <v>24</v>
      </c>
      <c r="MB75" s="150" t="inlineStr">
        <is>
          <t>ESPECIAL 7</t>
        </is>
      </c>
      <c r="MC75" s="152">
        <f>MAX(1,MIN(7,N('INVOCAÇÕES'!$U$1104)))</f>
        <v/>
      </c>
      <c r="MD75" s="152">
        <f>'INVOCAÇÕES'!$V$1104&amp;""</f>
        <v/>
      </c>
      <c r="ME75" s="152">
        <f>'INVOCAÇÕES'!$U$1109&amp;""</f>
        <v/>
      </c>
      <c r="MF75" s="152">
        <f>'INVOCAÇÕES'!$U$1110&amp;""</f>
        <v/>
      </c>
      <c r="MG75" s="152">
        <f>'INVOCAÇÕES'!$W$1110&amp;""</f>
        <v/>
      </c>
      <c r="MH75" s="152">
        <f>'INVOCAÇÕES'!$V$1113&amp;""</f>
        <v/>
      </c>
      <c r="MI75" s="152">
        <f>'INVOCAÇÕES'!$V$1114&amp;""</f>
        <v/>
      </c>
      <c r="MJ75" s="152">
        <f>'INVOCAÇÕES'!$V$1115&amp;""</f>
        <v/>
      </c>
      <c r="MK75" s="152">
        <f>'INVOCAÇÕES'!$V$1116&amp;""</f>
        <v/>
      </c>
      <c r="ML75" s="152">
        <f>'INVOCAÇÕES'!$V$1117&amp;""</f>
        <v/>
      </c>
      <c r="MM75" s="152">
        <f>'INVOCAÇÕES'!$V$1118&amp;""</f>
        <v/>
      </c>
      <c r="MN75" s="152">
        <f>IF($MD75&lt;&gt;"",1,0)</f>
        <v/>
      </c>
      <c r="MO75" s="152">
        <f>INDEX($FG$2:$FG$13,$LY75)</f>
        <v/>
      </c>
      <c r="MP75" s="152">
        <f>INDEX($FH$2:$FH$13,$LY75)</f>
        <v/>
      </c>
      <c r="MQ75" s="152">
        <f>INDEX($FI$2:$FI$13,$LY75)</f>
        <v/>
      </c>
      <c r="MR75" s="152">
        <f>INDEX($FT$2:$FT$13,$LY75)</f>
        <v/>
      </c>
      <c r="MS75" s="152">
        <f>INDEX($FU$2:$FU$13,$LY75)</f>
        <v/>
      </c>
      <c r="MT75" s="152">
        <f>IFERROR(MATCH($ME75,$V$2:$V$11,0),0)</f>
        <v/>
      </c>
      <c r="MU75" s="152">
        <f>IFERROR(VLOOKUP($MH75,$AV$2:$AZ$84,2,FALSE),"")</f>
        <v/>
      </c>
      <c r="MV75" s="152">
        <f>IFERROR(VLOOKUP($MI75,$AV$2:$AZ$84,2,FALSE),"")</f>
        <v/>
      </c>
      <c r="MW75" s="152">
        <f>IFERROR(VLOOKUP($MJ75,$AV$2:$AZ$84,2,FALSE),"")</f>
        <v/>
      </c>
      <c r="MX75" s="152">
        <f>IFERROR(VLOOKUP($MK75,$AV$2:$AZ$84,2,FALSE),"")</f>
        <v/>
      </c>
      <c r="MY75" s="152">
        <f>IFERROR(VLOOKUP($MH75,$AV$2:$AZ$84,3,FALSE),0)</f>
        <v/>
      </c>
      <c r="MZ75" s="152">
        <f>IFERROR(VLOOKUP($MI75,$AV$2:$AZ$84,3,FALSE),0)</f>
        <v/>
      </c>
      <c r="NA75" s="152">
        <f>IFERROR(VLOOKUP($MJ75,$AV$2:$AZ$84,3,FALSE),0)</f>
        <v/>
      </c>
      <c r="NB75" s="152">
        <f>IFERROR(VLOOKUP($MK75,$AV$2:$AZ$84,3,FALSE),0)</f>
        <v/>
      </c>
      <c r="NC75" s="152">
        <f>IF($MC75=0,0,IF($MT75=0,0,INDEX($X$2:$X$11,$MT75)))</f>
        <v/>
      </c>
      <c r="ND75" s="152">
        <f>IF(OR($MY75=0,$MC75=0),0,$MY75+3*IF(AND($MU75&lt;&gt;"",OR($MU75=INDEX($ED$2:$ED$13,$LY75),$MU75=INDEX($EE$2:$EE$13,$LY75))),1,0))</f>
        <v/>
      </c>
      <c r="NE75" s="152">
        <f>IF(OR($MZ75=0,$MC75=0),0,$MZ75+3*IF(AND($MV75&lt;&gt;"",OR($MV75=INDEX($ED$2:$ED$13,$LY75),$MV75=INDEX($EE$2:$EE$13,$LY75))),1,0))</f>
        <v/>
      </c>
      <c r="NF75" s="152">
        <f>IF(OR($NA75=0,$MC75=0),0,$NA75+3*IF(AND($MW75&lt;&gt;"",OR($MW75=INDEX($ED$2:$ED$13,$LY75),$MW75=INDEX($EE$2:$EE$13,$LY75))),1,0))</f>
        <v/>
      </c>
      <c r="NG75" s="152">
        <f>IF(OR($NB75=0,$MC75=0),0,$NB75+3*IF(AND($MX75&lt;&gt;"",OR($MX75=INDEX($ED$2:$ED$13,$LY75),$MX75=INDEX($EE$2:$EE$13,$LY75))),1,0))</f>
        <v/>
      </c>
      <c r="NH75" s="152">
        <f>IF($MT75=0,0,IF(INDEX($W$2:$W$11,$MT75)="",0,IF(COUNTIF(INDEX($ED$2:$EH$13,$LY75,0),INDEX($W$2:$W$11,$MT75))=0,1,0)))</f>
        <v/>
      </c>
      <c r="NI75" s="152">
        <f>IF(OR($MY75=0,$MU75=""),0,IF(COUNTIF(INDEX($ED$2:$EH$13,$LY75,0),$MU75)=0,1,0))</f>
        <v/>
      </c>
      <c r="NJ75" s="152">
        <f>IF(OR($MZ75=0,$MV75=""),0,IF(COUNTIF(INDEX($ED$2:$EH$13,$LY75,0),$MV75)=0,1,0))</f>
        <v/>
      </c>
      <c r="NK75" s="152">
        <f>IF(OR($NA75=0,$MW75=""),0,IF(COUNTIF(INDEX($ED$2:$EH$13,$LY75,0),$MW75)=0,1,0))</f>
        <v/>
      </c>
      <c r="NL75" s="152">
        <f>IF(OR($NB75=0,$MX75=""),0,IF(COUNTIF(INDEX($ED$2:$EH$13,$LY75,0),$MX75)=0,1,0))</f>
        <v/>
      </c>
      <c r="NM75" s="152">
        <f>IFERROR(VLOOKUP($MH75,$AV$2:$AZ$84,4,FALSE),0)+IFERROR(VLOOKUP($MI75,$AV$2:$AZ$84,4,FALSE),0)+IFERROR(VLOOKUP($MJ75,$AV$2:$AZ$84,4,FALSE),0)+IFERROR(VLOOKUP($MK75,$AV$2:$AZ$84,4,FALSE),0)</f>
        <v/>
      </c>
      <c r="NN75" s="152">
        <f>TEXTJOIN(", ",TRUE,IF(IFERROR(VLOOKUP($MH75,$AV$2:$AZ$84,5,FALSE),0)=1,$MH75,""),IF(IFERROR(VLOOKUP($MI75,$AV$2:$AZ$84,5,FALSE),0)=1,$MI75,""),IF(IFERROR(VLOOKUP($MJ75,$AV$2:$AZ$84,5,FALSE),0)=1,$MJ75,""),IF(IFERROR(VLOOKUP($MK75,$AV$2:$AZ$84,5,FALSE),0)=1,$MK75,""))</f>
        <v/>
      </c>
      <c r="NO75" s="152">
        <f>IF($MT75=0,0,INDEX($Y$2:$Y$11,$MT75))</f>
        <v/>
      </c>
      <c r="NP75" s="152">
        <f>IF($MT75=0,0,INDEX($Z$2:$Z$11,$MT75))</f>
        <v/>
      </c>
      <c r="NQ75" s="152">
        <f>IF($MT75=0,0,INDEX($AB$2:$AB$11,$MT75))</f>
        <v/>
      </c>
      <c r="NR75" s="152">
        <f>IFERROR(VLOOKUP($ML75,$BB$2:$BF$24,3,FALSE),0)</f>
        <v/>
      </c>
      <c r="NS75" s="152">
        <f>IFERROR(VLOOKUP($MM75,$BB$2:$BF$24,3,FALSE),0)</f>
        <v/>
      </c>
      <c r="NT75" s="152">
        <f>IFERROR(VLOOKUP($ML75,$BB$2:$BF$24,2,FALSE),"")</f>
        <v/>
      </c>
      <c r="NU75" s="152">
        <f>IFERROR(VLOOKUP($MM75,$BB$2:$BF$24,2,FALSE),"")</f>
        <v/>
      </c>
      <c r="NV75" s="152">
        <f>COUNTIF($NC75:$NG75,1)</f>
        <v/>
      </c>
      <c r="NW75" s="152">
        <f>COUNTIF($NC75:$NG75,2)</f>
        <v/>
      </c>
      <c r="NX75" s="152">
        <f>COUNTIF($NC75:$NG75,3)</f>
        <v/>
      </c>
      <c r="NY75" s="152">
        <f>COUNTIF($NC75:$NG75,4)</f>
        <v/>
      </c>
      <c r="NZ75" s="152">
        <f>COUNTIF($NC75:$NG75,5)</f>
        <v/>
      </c>
      <c r="OA75" s="152">
        <f>COUNTIF($NC75:$NG75,6)</f>
        <v/>
      </c>
      <c r="OB75" s="152">
        <f>COUNTIF($NR75:$NS75,1)</f>
        <v/>
      </c>
      <c r="OC75" s="152">
        <f>COUNTIF($NR75:$NS75,2)+$NO75</f>
        <v/>
      </c>
      <c r="OD75" s="152">
        <f>COUNTIF($MH75:$MK75,"?*")</f>
        <v/>
      </c>
      <c r="OE75" s="152">
        <f>COUNTIF($ML75:$MM75,"?*")+$NO75</f>
        <v/>
      </c>
      <c r="OF75" s="152">
        <f>IF($MC75=0,0,SUMPRODUCT($NV75:$OA75,INDEX($I$2:$N$8,MAX(1,$MC75),0)))</f>
        <v/>
      </c>
      <c r="OG75" s="152">
        <f>IF($MC75=0,0,$OB75*CEILING($MC75/2,1)+$OC75*$MC75)</f>
        <v/>
      </c>
      <c r="OH75" s="152">
        <f>MIN(2*$MC75,$OG75)</f>
        <v/>
      </c>
      <c r="OI75" s="152">
        <f>MIN($OH75,$OF75)</f>
        <v/>
      </c>
      <c r="OJ75" s="152">
        <f>$OH75-$OI75</f>
        <v/>
      </c>
      <c r="OK75" s="152">
        <f>IF($MC75=0,0,INDEX($P$2:$P$8,MAX(1,$MC75)))</f>
        <v/>
      </c>
      <c r="OL75" s="152">
        <f>$OK75-$OF75+$OI75</f>
        <v/>
      </c>
      <c r="OM75" s="152">
        <f>IF($MC75=0,MAX(0,$MQ75-IF($OD75&gt;0,1,0)),MAX(0,$OL75))</f>
        <v/>
      </c>
      <c r="ON75" s="152">
        <f>IF($MC75=0,0,(IF(COUNTIF($MH75:$MK75,"Salto")&gt;0,1,0)+IF(COUNTIF($MH75:$MK75,"Queima")&gt;0,1,0)+IF(COUNTIF($MH75:$MK75,"Estilhaço")&gt;0,1,0))*FLOOR($OM75/2,1))</f>
        <v/>
      </c>
      <c r="OO75" s="152">
        <f>MAX(0,2-SUMPRODUCT($NV75:$OA75,$I$2:$N$2)+MIN(2,$OB75*1+$OC75*1,SUMPRODUCT($NV75:$OA75,$I$2:$N$2)))</f>
        <v/>
      </c>
      <c r="OP75" s="152">
        <f>MAX(0,4-SUMPRODUCT($NV75:$OA75,$I$3:$N$3)+MIN(4,$OB75*1+$OC75*2,SUMPRODUCT($NV75:$OA75,$I$3:$N$3)))</f>
        <v/>
      </c>
      <c r="OQ75" s="152">
        <f>MAX(0,6-SUMPRODUCT($NV75:$OA75,$I$4:$N$4)+MIN(6,$OB75*2+$OC75*3,SUMPRODUCT($NV75:$OA75,$I$4:$N$4)))</f>
        <v/>
      </c>
      <c r="OR75" s="152">
        <f>MAX(0,9-SUMPRODUCT($NV75:$OA75,$I$5:$N$5)+MIN(8,$OB75*2+$OC75*4,SUMPRODUCT($NV75:$OA75,$I$5:$N$5)))</f>
        <v/>
      </c>
      <c r="OS75" s="152">
        <f>MAX(0,11-SUMPRODUCT($NV75:$OA75,$I$6:$N$6)+MIN(10,$OB75*3+$OC75*5,SUMPRODUCT($NV75:$OA75,$I$6:$N$6)))</f>
        <v/>
      </c>
      <c r="OT75" s="152">
        <f>MAX(0,13-SUMPRODUCT($NV75:$OA75,$I$7:$N$7)+MIN(12,$OB75*3+$OC75*6,SUMPRODUCT($NV75:$OA75,$I$7:$N$7)))</f>
        <v/>
      </c>
      <c r="OU75" s="152">
        <f>MAX(0,16-SUMPRODUCT($NV75:$OA75,$I$8:$N$8)+MIN(14,$OB75*4+$OC75*7,SUMPRODUCT($NV75:$OA75,$I$8:$N$8)))</f>
        <v/>
      </c>
      <c r="OV75" s="152">
        <f>IF($NP75=2,3*$OO75&amp;" de vida temp.",IF($NP75=3,"sem dano",IF($OO75=0,IF($NP75=1,"sem cura","sem dano"),IF($NP75=1,"cura ","")&amp;$OO75&amp;"d8")))</f>
        <v/>
      </c>
      <c r="OW75" s="152">
        <f>IF($NP75=2,3*$OP75&amp;" de vida temp.",IF($NP75=3,"sem dano",IF($OP75=0,IF($NP75=1,"sem cura","sem dano"),IF($NP75=1,"cura ","")&amp;$OP75&amp;"d8")))</f>
        <v/>
      </c>
      <c r="OX75" s="152">
        <f>IF($NP75=2,3*$OQ75&amp;" de vida temp.",IF($NP75=3,"sem dano",IF($OQ75=0,IF($NP75=1,"sem cura","sem dano"),IF($NP75=1,"cura ","")&amp;$OQ75&amp;"d8")))</f>
        <v/>
      </c>
      <c r="OY75" s="152">
        <f>IF($NP75=2,3*$OR75&amp;" de vida temp.",IF($NP75=3,"sem dano",IF($OR75=0,IF($NP75=1,"sem cura","sem dano"),IF($NP75=1,"cura ","")&amp;$OR75&amp;"d8")))</f>
        <v/>
      </c>
      <c r="OZ75" s="152">
        <f>IF($NP75=2,3*$OS75&amp;" de vida temp.",IF($NP75=3,"sem dano",IF($OS75=0,IF($NP75=1,"sem cura","sem dano"),IF($NP75=1,"cura ","")&amp;$OS75&amp;"d8")))</f>
        <v/>
      </c>
      <c r="PA75" s="152">
        <f>IF($NP75=2,3*$OT75&amp;" de vida temp.",IF($NP75=3,"sem dano",IF($OT75=0,IF($NP75=1,"sem cura","sem dano"),IF($NP75=1,"cura ","")&amp;$OT75&amp;"d8")))</f>
        <v/>
      </c>
      <c r="PB75" s="152">
        <f>IF($NP75=2,3*$OU75&amp;" de vida temp.",IF($NP75=3,"sem dano",IF($OU75=0,IF($NP75=1,"sem cura","sem dano"),IF($NP75=1,"cura ","")&amp;$OU75&amp;"d8")))</f>
        <v/>
      </c>
      <c r="PC75" s="152">
        <f>IF($MN75=0,"",TEXTJOIN(" · ",TRUE,IF($MA75&gt;$MO75,"Este lugar abre no nível "&amp;$MA75,""),IF($MC75&gt;$MP75,"Classe "&amp;$MC75&amp;": o nível "&amp;$MO75&amp;" libera até a "&amp;$MP75,""),IF($NH75=1,"A Forma "&amp;$ME75&amp;" pede "&amp;INDEX($W$2:$W$11,$MT75)&amp;" aberta",""),IF(AND($MC75=0,$MT75&gt;0,IF($MT75=0,0,INDEX($AF$2:$AF$11,$MT75))=0),$ME75&amp;" não existe na Classe 0",""),IF($NI75=1,"Família Fechada: "&amp;$MH75,""),IF($NJ75=1,"Família Fechada: "&amp;$MI75,""),IF($NK75=1,"Família Fechada: "&amp;$MJ75,""),IF($NL75=1,"Família Fechada: "&amp;$MK75,""),IF(AND($MC75&gt;0,$OD75&gt;INDEX($O$2:$O$8,MAX(1,$MC75))),$OD75&amp;" Melhorias: a Classe "&amp;$MC75&amp;" aceita "&amp;INDEX($O$2:$O$8,MAX(1,$MC75)),""),IF(AND($MC75=0,$OD75&gt;1),"A básica aceita uma Melhoria",""),IF(AND($MC75=0,COUNTIF($MY75:$NB75,"&gt;1")&gt;0),"A básica só aceita Melhoria Leve",""),IF(AND($MC75&gt;0,$OE75&gt;2),$OE75&amp;" Restrições"&amp;IF($NO75=1,", contando a que a Forma "&amp;$ME75&amp;" já traz","")&amp;": o limite é 2",""),IF(AND($MC75=0,COUNTIF($ML75:$MM75,"?*")&gt;1),"A básica aceita uma Restrição Leve",""),IF(AND($MC75=0,COUNTIF($NR75:$NS75,2)&gt;0),"A básica só aceita Restrição Leve",""),IF(AND($MC75&gt;0,$OL75&lt;0),"Orçamento estourado: faltam "&amp;(-$OL75)&amp;IF($OL75&lt;-1," pontos"," ponto"),""),IF(IFERROR(VLOOKUP($ML75,$BB$2:$BF$24,4,FALSE),0)+IFERROR(VLOOKUP($MM75,$BB$2:$BF$24,4,FALSE),0)&gt;1,$NT75&amp;" e "&amp;$NU75&amp;" são as duas de frequência",""),IF(AND((COUNTIF($MH75:$MK75,"Rápido")+COUNTIF($NT75:$NU75,"Rápido"))&gt;0,(COUNTIF($MH75:$MK75,"Atrasar")+COUNTIF($NT75:$NU75,"Atrasar"))&gt;0),"Rápido não entra com Atrasar",""),IF(AND((COUNTIF($MH75:$MK75,"Reação")+COUNTIF($NT75:$NU75,"Reação"))&gt;0,(COUNTIF($MH75:$MK75,"Rápido")+COUNTIF($NT75:$NU75,"Rápido"))&gt;0),"Reação não entra com Rápido",""),IF(AND((COUNTIF($MH75:$MK75,"Reação")+COUNTIF($NT75:$NU75,"Reação"))&gt;0,(COUNTIF($MH75:$MK75,"Armado")+COUNTIF($NT75:$NU75,"Armado"))&gt;0),"Reação não entra com Armado",""),IF(AND((COUNTIF($MH75:$MK75,"Reação")+COUNTIF($NT75:$NU75,"Reação"))&gt;0,(COUNTIF($MH75:$MK75,"Atrasar")+COUNTIF($NT75:$NU75,"Atrasar"))&gt;0),"Reação não entra com Atrasar",""),IF(AND((COUNTIF($MH75:$MK75,"Reação")+COUNTIF($NT75:$NU75,"Reação"))&gt;0,(COUNTIF($MH75:$MK75,"Parado")+COUNTIF($NT75:$NU75,"Parado"))&gt;0),"Reação não entra com Parado",""),IF(AND((COUNTIF($MH75:$MK75,"Atrasar")+COUNTIF($NT75:$NU75,"Atrasar"))&gt;0,(COUNTIF($MH75:$MK75,"Parado")+COUNTIF($NT75:$NU75,"Parado"))&gt;0),"Atrasar não entra com Parado",""),IF(AND((COUNTIF($MH75:$MK75,"Armado")+COUNTIF($NT75:$NU75,"Armado"))&gt;0,(COUNTIF($MH75:$MK75,"Carregar")+COUNTIF($NT75:$NU75,"Carregar"))&gt;0),"Armado não entra com Carregar",""),IF(AND(COUNTIF($NT75:$NU75,"Corpo a Corpo")&gt;0,$NO75=0,OR($ME75="Cone",$ME75="Linha")),"Corpo a Corpo não entra em "&amp;$ME75,""),IF(AND(COUNTIF($NT75:$NU75,"Corpo a Corpo")&gt;0,$NO75=1),"A Forma "&amp;$ME75&amp;" já traz o Corpo a Corpo",""),IF(AND(COUNTIF($NT75:$NU75,"Tudo ou Nada")&gt;0,$NQ75=0),"Tudo ou Nada só entra em habilidade de Teste de Resistência",""),IF(AND(COUNTIF($MH75:$MK75,"Inescapável")&gt;0,OR($OD75&gt;1,$OE75&gt;0)),"Inescapável não aceita outra peça",""),IF(AND($MC75&gt;0,$OM75*IF(COUNTIF($MH75:$MK75,"Remate")&gt;0,1.25,1)+$ON75&gt;4*$MC75),($OM75*IF(COUNTIF($MH75:$MK75,"Remate")&gt;0,1.25,1)+$ON75)&amp;" dados somando repetições"&amp;IF(COUNTIF($MH75:$MK75,"Remate")&gt;0," e o Remate","")&amp;": o teto da Classe "&amp;$MC75&amp;" é "&amp;4*$MC75,"")))</f>
        <v/>
      </c>
      <c r="PD75" s="152">
        <f>IF($PC75="",0,(LEN($PC75)-LEN(SUBSTITUTE($PC75," · ","")))/3+1)</f>
        <v/>
      </c>
      <c r="PE75" s="152">
        <f>IF($MN75=0,"",TEXTJOIN(" · ",TRUE,IF($OG75&gt;2*$MC75,"A devolução parou no teto de "&amp;2*$MC75,""),IF($OJ75&gt;0,"Devolução perdida: "&amp;$OJ75&amp;IF($OJ75&gt;1," pontos"," ponto")&amp;" sem peça para pagar",""),IF(AND($NM75&gt;0,AND($MC75&gt;0,$NP75=0),$OM75=0),"Controle sem dano: uma rodada a mais e CD +2",""),IF(AND($NM75&gt;0,AND($MC75&gt;0,$NP75=0),$OM75&gt;0,$OM75&lt;=$MC75),"Controle com saldo até a Classe: uma rodada a mais",""),IF(AND($MC75&gt;0,$NN75&lt;&gt;""),"Efeito de "&amp;$NN75&amp;" pela Classe "&amp;MAX(1,$MC75-1),"")))</f>
        <v/>
      </c>
      <c r="PF75" s="152">
        <f>IF($PE75="",0,(LEN($PE75)-LEN(SUBSTITUTE($PE75," · ","")))/3+1)</f>
        <v/>
      </c>
      <c r="PG75" s="152">
        <f>IF($MN75=0,IF($OD75+COUNTIF($ML75:$MM75,"?*")&gt;0,"Dê um nome",""),IF($PD75&gt;0,"⚠ "&amp;$PD75&amp;IF($PD75&gt;1," erros"," erro"),IF($PF75&gt;0,"! "&amp;$PF75&amp;IF($PF75&gt;1," avisos"," aviso"),"Na regra")))</f>
        <v/>
      </c>
      <c r="PH75" s="152">
        <f>IF($MN75=0,"",IF($PD75+$PF75=0,"Dentro das regras que a ficha confere",$PC75&amp;IF(AND($PD75&gt;0,$PF75&gt;0)," · ","")&amp;$PE75))</f>
        <v/>
      </c>
      <c r="PI75" s="152">
        <f>IF($MA75&gt;$MO75,$MB75&amp;" · ABRE NO NÍVEL "&amp;$MA75,$MB75)</f>
        <v/>
      </c>
      <c r="PJ75" s="152">
        <f>IF($MN75=0,"",IF($MC75=0,"Sem PE",3*$MC75&amp;" PE"))</f>
        <v/>
      </c>
      <c r="PK75" s="152">
        <f>IF($MN75=0,"",IF($MC75=0,"A atuação básica dela",IF(COUNTIF($NT75:$NU75,"Atrasar")&gt;0,"Sua Ação Completa",IF(COUNTIF($MH75:$MK75,"Rápido")&gt;0,"Sua Bônus",IF(COUNTIF($MH75:$MK75,"Reação")&gt;0,"Sua Reação","Sua Padrão")))&amp;" + a básica dela"&amp;IF(COUNTIF($MH75:$MK75,"Reação")&gt;0," e a coletiva","")&amp;IF(COUNTIF($NT75:$NU75,"Carregar")&gt;0," · em dois turnos","")))</f>
        <v/>
      </c>
      <c r="PL75" s="152">
        <f>IF($MG75&lt;&gt;"",$MG75,IF($MT75=0,"",INDEX($AA$2:$AA$11,$MT75)))</f>
        <v/>
      </c>
      <c r="PM75" s="152">
        <f>IF(OR($MN75=0,$MT75=0),"",IF(COUNTIF($MH75:$MK75,"Inescapável")&gt;0,"Automático",IF($PL75="Ataque",IF($MR75="","Ataque","Ataque "&amp;IF(($MR75+2*IF(COUNTIF($MH75:$MK75,"Precisão")&gt;0,1,0))&gt;=0,"+","−")&amp;ABS(($MR75+2*IF(COUNTIF($MH75:$MK75,"Precisão")&gt;0,1,0)))),IF(LEFT($PL75,2)="TR",$PL75&amp;IF($MS75="",""," · CD "&amp;$MS75)&amp;IF(COUNTIF($MH75:$MK75,"Certeiro")&gt;0," · metade",""),"Sem rolagem"))))</f>
        <v/>
      </c>
      <c r="PN75" s="152">
        <f>IF(OR($MN75=0,$MT75=0),"",IF($MC75=0,IF(OR($NP75&gt;=1,$OM75=0),"Sem dano",$OM75&amp;"d6"&amp;IF($MF75="",""," "&amp;$MF75)),IF(OR($NP75&gt;=1,$OM75=0),UPPER(LEFT(INDEX($OV75:$PB75,1,MAX(1,$MC75)),1))&amp;MID(INDEX($OV75:$PB75,1,MAX(1,$MC75)),2,99),UPPER(LEFT(INDEX($OV75:$PB75,1,MAX(1,$MC75)),1))&amp;MID(INDEX($OV75:$PB75,1,MAX(1,$MC75)),2,99)&amp;IF($MF75="",""," "&amp;$MF75)&amp;IF($ON75&gt;0," · +"&amp;$ON75&amp;"d8",""))))</f>
        <v/>
      </c>
      <c r="PO75" s="152">
        <f>COUNTIF($MH75:$MK75,"Longe")+3*COUNTIF($MH75:$MK75,"Muito Longe")</f>
        <v/>
      </c>
      <c r="PP75" s="152">
        <f>COUNTIF($MH75:$MK75,"Maior")+3*COUNTIF($MH75:$MK75,"Muito Maior")</f>
        <v/>
      </c>
      <c r="PQ75" s="152">
        <f>IF($MT75=0,0,CHOOSE(1+INDEX($AC$2:$AC$11,$MT75),0,$PO75,$PP75,$PO75+$PP75))</f>
        <v/>
      </c>
      <c r="PR75" s="152">
        <f>IF($MT75=0,0,CHOOSE(1+INDEX($AD$2:$AD$11,$MT75),0,$PO75,$PP75,$PO75+$PP75))</f>
        <v/>
      </c>
      <c r="PS75" s="152">
        <f>IF(OR($MN75=0,$MT75=0),"",INDEX($AI$2:$AN$41,($MT75-1)*4+IF($MC75=0,1,IF($MC75&lt;=5,2,IF($MC75=6,3,4))),1+MIN(5,$PQ75))&amp;INDEX($AO$2:$AT$41,($MT75-1)*4+IF($MC75=0,1,IF($MC75&lt;=5,2,IF($MC75=6,3,4))),1+MIN(5,$PR75))&amp;IF(INDEX($AE$2:$AE$11,$MT75)=1,IF(COUNTIF($MH75:$MK75,"Mais Um")&gt;0," · +"&amp;COUNTIF($MH75:$MK75,"Mais Um")&amp;IF(COUNTIF($MH75:$MK75,"Mais Um")&gt;1," alvos"," alvo"),"")&amp;IF(COUNTIF($MH75:$MK75,"Rajada")&gt;0,IF($MC75=0," · 1 tiro"," · "&amp;(MAX(1,$MC75-1)+1)&amp;" tiros"),""),""))</f>
        <v/>
      </c>
      <c r="PT75" s="152">
        <f>IF($MN75=0,"",IF($MC75=0,$MQ75&amp;"d6"&amp;IF($OD75&gt;0," − 1 = "&amp;$OM75&amp;"d6"," da básica do nível "&amp;$MO75),$OK75&amp;" − "&amp;$OF75&amp;" + "&amp;$OI75&amp;" = "&amp;$OL75&amp;" · teto "&amp;4*$MC75&amp;"d8"&amp;IF($NO75=1," · a Forma devolve "&amp;$MC75,"")&amp;IF($OJ75&gt;0," · perde "&amp;$OJ75,"")))</f>
        <v/>
      </c>
      <c r="PU75" s="152">
        <f>IF($MN75=0,"",IF($MC75=0,"A básica não amplia: os dados dela sobem com o nível",IF($MC75&gt;=$MP75,"Já está na maior Classe que o nível liberou",TEXTJOIN(" · ",TRUE,IF(AND(2&gt;$MC75,2&lt;=$MP75),"2 → "&amp;$OW75&amp;", 6 PE",""),IF(AND(3&gt;$MC75,3&lt;=$MP75),"3 → "&amp;$OX75&amp;", 9 PE",""),IF(AND(4&gt;$MC75,4&lt;=$MP75),"4 → "&amp;$OY75&amp;", 12 PE",""),IF(AND(5&gt;$MC75,5&lt;=$MP75),"5 → "&amp;$OZ75&amp;", 15 PE",""),IF(AND(6&gt;$MC75,6&lt;=$MP75),"6 → "&amp;$PA75&amp;", 18 PE",""),IF(AND(7&gt;$MC75,7&lt;=$MP75),"7 → "&amp;$PB75&amp;", 21 PE","")))))</f>
        <v/>
      </c>
      <c r="PV75" s="152">
        <f>IF(OR($MN75=0,$MY75=0),"",IF($MC75=0,"−1 dado","−"&amp;INDEX($I$2:$N$8,MAX(1,$MC75),MAX(1,$ND75))&amp;" · "&amp;CHOOSE(MAX(1,$ND75),"Leve","Média","Pesada","Leve · Livre","Média · Livre","Pesada · Livre")))</f>
        <v/>
      </c>
      <c r="PW75" s="152">
        <f>IF(OR($MN75=0,$MZ75=0),"",IF($MC75=0,"−1 dado","−"&amp;INDEX($I$2:$N$8,MAX(1,$MC75),MAX(1,$NE75))&amp;" · "&amp;CHOOSE(MAX(1,$NE75),"Leve","Média","Pesada","Leve · Livre","Média · Livre","Pesada · Livre")))</f>
        <v/>
      </c>
      <c r="PX75" s="152">
        <f>IF(OR($MN75=0,$NA75=0),"",IF($MC75=0,"−1 dado","−"&amp;INDEX($I$2:$N$8,MAX(1,$MC75),MAX(1,$NF75))&amp;" · "&amp;CHOOSE(MAX(1,$NF75),"Leve","Média","Pesada","Leve · Livre","Média · Livre","Pesada · Livre")))</f>
        <v/>
      </c>
      <c r="PY75" s="152">
        <f>IF(OR($MN75=0,$NB75=0),"",IF($MC75=0,"−1 dado","−"&amp;INDEX($I$2:$N$8,MAX(1,$MC75),MAX(1,$NG75))&amp;" · "&amp;CHOOSE(MAX(1,$NG75),"Leve","Média","Pesada","Leve · Livre","Média · Livre","Pesada · Livre")))</f>
        <v/>
      </c>
      <c r="PZ75" s="152">
        <f>IF(OR($MN75=0,$ML75=""),"",IF($MC75=0,"não devolve","+"&amp;IF($NR75=1,CEILING($MC75/2,1),$MC75)))</f>
        <v/>
      </c>
      <c r="QA75" s="152">
        <f>IF(OR($MN75=0,$MM75=""),"",IF($MC75=0,"não devolve","+"&amp;IF($NS75=1,CEILING($MC75/2,1),$MC75)))</f>
        <v/>
      </c>
    </row>
    <row r="76">
      <c r="AV76" s="150" t="inlineStr">
        <is>
          <t>Limpa Fundo</t>
        </is>
      </c>
      <c r="AW76" s="150" t="inlineStr">
        <is>
          <t>Amparo</t>
        </is>
      </c>
      <c r="AX76" s="152" t="n">
        <v>3</v>
      </c>
      <c r="AY76" s="152" t="n">
        <v>0</v>
      </c>
      <c r="AZ76" s="152" t="n">
        <v>0</v>
      </c>
      <c r="JD76" s="152">
        <f>IF(OR($AW76="",COUNTIF($ED$2:$EH$2,$AW76)&gt;0),$AV76,"")</f>
        <v/>
      </c>
      <c r="JE76" s="152">
        <f>IF(AND($AX76=1,OR($AW76="",COUNTIF($ED$2:$EH$2,$AW76)&gt;0)),$AV76,"")</f>
        <v/>
      </c>
      <c r="JJ76" s="152">
        <f>IF(OR($AW76="",COUNTIF($ED$3:$EH$3,$AW76)&gt;0),$AV76,"")</f>
        <v/>
      </c>
      <c r="JK76" s="152">
        <f>IF(AND($AX76=1,OR($AW76="",COUNTIF($ED$3:$EH$3,$AW76)&gt;0)),$AV76,"")</f>
        <v/>
      </c>
      <c r="JP76" s="152">
        <f>IF(OR($AW76="",COUNTIF($ED$4:$EH$4,$AW76)&gt;0),$AV76,"")</f>
        <v/>
      </c>
      <c r="JQ76" s="152">
        <f>IF(AND($AX76=1,OR($AW76="",COUNTIF($ED$4:$EH$4,$AW76)&gt;0)),$AV76,"")</f>
        <v/>
      </c>
      <c r="JV76" s="152">
        <f>IF(OR($AW76="",COUNTIF($ED$5:$EH$5,$AW76)&gt;0),$AV76,"")</f>
        <v/>
      </c>
      <c r="JW76" s="152">
        <f>IF(AND($AX76=1,OR($AW76="",COUNTIF($ED$5:$EH$5,$AW76)&gt;0)),$AV76,"")</f>
        <v/>
      </c>
      <c r="KB76" s="152">
        <f>IF(OR($AW76="",COUNTIF($ED$6:$EH$6,$AW76)&gt;0),$AV76,"")</f>
        <v/>
      </c>
      <c r="KC76" s="152">
        <f>IF(AND($AX76=1,OR($AW76="",COUNTIF($ED$6:$EH$6,$AW76)&gt;0)),$AV76,"")</f>
        <v/>
      </c>
      <c r="KH76" s="152">
        <f>IF(OR($AW76="",COUNTIF($ED$7:$EH$7,$AW76)&gt;0),$AV76,"")</f>
        <v/>
      </c>
      <c r="KI76" s="152">
        <f>IF(AND($AX76=1,OR($AW76="",COUNTIF($ED$7:$EH$7,$AW76)&gt;0)),$AV76,"")</f>
        <v/>
      </c>
      <c r="KN76" s="152">
        <f>IF(OR($AW76="",COUNTIF($ED$8:$EH$8,$AW76)&gt;0),$AV76,"")</f>
        <v/>
      </c>
      <c r="KO76" s="152">
        <f>IF(AND($AX76=1,OR($AW76="",COUNTIF($ED$8:$EH$8,$AW76)&gt;0)),$AV76,"")</f>
        <v/>
      </c>
      <c r="KT76" s="152">
        <f>IF(OR($AW76="",COUNTIF($ED$9:$EH$9,$AW76)&gt;0),$AV76,"")</f>
        <v/>
      </c>
      <c r="KU76" s="152">
        <f>IF(AND($AX76=1,OR($AW76="",COUNTIF($ED$9:$EH$9,$AW76)&gt;0)),$AV76,"")</f>
        <v/>
      </c>
      <c r="KZ76" s="152">
        <f>IF(OR($AW76="",COUNTIF($ED$10:$EH$10,$AW76)&gt;0),$AV76,"")</f>
        <v/>
      </c>
      <c r="LA76" s="152">
        <f>IF(AND($AX76=1,OR($AW76="",COUNTIF($ED$10:$EH$10,$AW76)&gt;0)),$AV76,"")</f>
        <v/>
      </c>
      <c r="LF76" s="152">
        <f>IF(OR($AW76="",COUNTIF($ED$11:$EH$11,$AW76)&gt;0),$AV76,"")</f>
        <v/>
      </c>
      <c r="LG76" s="152">
        <f>IF(AND($AX76=1,OR($AW76="",COUNTIF($ED$11:$EH$11,$AW76)&gt;0)),$AV76,"")</f>
        <v/>
      </c>
      <c r="LL76" s="152">
        <f>IF(OR($AW76="",COUNTIF($ED$12:$EH$12,$AW76)&gt;0),$AV76,"")</f>
        <v/>
      </c>
      <c r="LM76" s="152">
        <f>IF(AND($AX76=1,OR($AW76="",COUNTIF($ED$12:$EH$12,$AW76)&gt;0)),$AV76,"")</f>
        <v/>
      </c>
      <c r="LR76" s="152">
        <f>IF(OR($AW76="",COUNTIF($ED$13:$EH$13,$AW76)&gt;0),$AV76,"")</f>
        <v/>
      </c>
      <c r="LS76" s="152">
        <f>IF(AND($AX76=1,OR($AW76="",COUNTIF($ED$13:$EH$13,$AW76)&gt;0)),$AV76,"")</f>
        <v/>
      </c>
      <c r="LX76" s="150" t="inlineStr">
        <is>
          <t>Ficha 6 · Especial 8</t>
        </is>
      </c>
      <c r="LY76" s="152" t="n">
        <v>6</v>
      </c>
      <c r="LZ76" s="152" t="n">
        <v>1</v>
      </c>
      <c r="MA76" s="152" t="n">
        <v>28</v>
      </c>
      <c r="MB76" s="150" t="inlineStr">
        <is>
          <t>ESPECIAL 8</t>
        </is>
      </c>
      <c r="MC76" s="152">
        <f>MAX(1,MIN(7,N('INVOCAÇÕES'!$I$1126)))</f>
        <v/>
      </c>
      <c r="MD76" s="152">
        <f>'INVOCAÇÕES'!$J$1126&amp;""</f>
        <v/>
      </c>
      <c r="ME76" s="152">
        <f>'INVOCAÇÕES'!$I$1131&amp;""</f>
        <v/>
      </c>
      <c r="MF76" s="152">
        <f>'INVOCAÇÕES'!$I$1132&amp;""</f>
        <v/>
      </c>
      <c r="MG76" s="152">
        <f>'INVOCAÇÕES'!$K$1132&amp;""</f>
        <v/>
      </c>
      <c r="MH76" s="152">
        <f>'INVOCAÇÕES'!$J$1135&amp;""</f>
        <v/>
      </c>
      <c r="MI76" s="152">
        <f>'INVOCAÇÕES'!$J$1136&amp;""</f>
        <v/>
      </c>
      <c r="MJ76" s="152">
        <f>'INVOCAÇÕES'!$J$1137&amp;""</f>
        <v/>
      </c>
      <c r="MK76" s="152">
        <f>'INVOCAÇÕES'!$J$1138&amp;""</f>
        <v/>
      </c>
      <c r="ML76" s="152">
        <f>'INVOCAÇÕES'!$J$1139&amp;""</f>
        <v/>
      </c>
      <c r="MM76" s="152">
        <f>'INVOCAÇÕES'!$J$1140&amp;""</f>
        <v/>
      </c>
      <c r="MN76" s="152">
        <f>IF($MD76&lt;&gt;"",1,0)</f>
        <v/>
      </c>
      <c r="MO76" s="152">
        <f>INDEX($FG$2:$FG$13,$LY76)</f>
        <v/>
      </c>
      <c r="MP76" s="152">
        <f>INDEX($FH$2:$FH$13,$LY76)</f>
        <v/>
      </c>
      <c r="MQ76" s="152">
        <f>INDEX($FI$2:$FI$13,$LY76)</f>
        <v/>
      </c>
      <c r="MR76" s="152">
        <f>INDEX($FT$2:$FT$13,$LY76)</f>
        <v/>
      </c>
      <c r="MS76" s="152">
        <f>INDEX($FU$2:$FU$13,$LY76)</f>
        <v/>
      </c>
      <c r="MT76" s="152">
        <f>IFERROR(MATCH($ME76,$V$2:$V$11,0),0)</f>
        <v/>
      </c>
      <c r="MU76" s="152">
        <f>IFERROR(VLOOKUP($MH76,$AV$2:$AZ$84,2,FALSE),"")</f>
        <v/>
      </c>
      <c r="MV76" s="152">
        <f>IFERROR(VLOOKUP($MI76,$AV$2:$AZ$84,2,FALSE),"")</f>
        <v/>
      </c>
      <c r="MW76" s="152">
        <f>IFERROR(VLOOKUP($MJ76,$AV$2:$AZ$84,2,FALSE),"")</f>
        <v/>
      </c>
      <c r="MX76" s="152">
        <f>IFERROR(VLOOKUP($MK76,$AV$2:$AZ$84,2,FALSE),"")</f>
        <v/>
      </c>
      <c r="MY76" s="152">
        <f>IFERROR(VLOOKUP($MH76,$AV$2:$AZ$84,3,FALSE),0)</f>
        <v/>
      </c>
      <c r="MZ76" s="152">
        <f>IFERROR(VLOOKUP($MI76,$AV$2:$AZ$84,3,FALSE),0)</f>
        <v/>
      </c>
      <c r="NA76" s="152">
        <f>IFERROR(VLOOKUP($MJ76,$AV$2:$AZ$84,3,FALSE),0)</f>
        <v/>
      </c>
      <c r="NB76" s="152">
        <f>IFERROR(VLOOKUP($MK76,$AV$2:$AZ$84,3,FALSE),0)</f>
        <v/>
      </c>
      <c r="NC76" s="152">
        <f>IF($MC76=0,0,IF($MT76=0,0,INDEX($X$2:$X$11,$MT76)))</f>
        <v/>
      </c>
      <c r="ND76" s="152">
        <f>IF(OR($MY76=0,$MC76=0),0,$MY76+3*IF(AND($MU76&lt;&gt;"",OR($MU76=INDEX($ED$2:$ED$13,$LY76),$MU76=INDEX($EE$2:$EE$13,$LY76))),1,0))</f>
        <v/>
      </c>
      <c r="NE76" s="152">
        <f>IF(OR($MZ76=0,$MC76=0),0,$MZ76+3*IF(AND($MV76&lt;&gt;"",OR($MV76=INDEX($ED$2:$ED$13,$LY76),$MV76=INDEX($EE$2:$EE$13,$LY76))),1,0))</f>
        <v/>
      </c>
      <c r="NF76" s="152">
        <f>IF(OR($NA76=0,$MC76=0),0,$NA76+3*IF(AND($MW76&lt;&gt;"",OR($MW76=INDEX($ED$2:$ED$13,$LY76),$MW76=INDEX($EE$2:$EE$13,$LY76))),1,0))</f>
        <v/>
      </c>
      <c r="NG76" s="152">
        <f>IF(OR($NB76=0,$MC76=0),0,$NB76+3*IF(AND($MX76&lt;&gt;"",OR($MX76=INDEX($ED$2:$ED$13,$LY76),$MX76=INDEX($EE$2:$EE$13,$LY76))),1,0))</f>
        <v/>
      </c>
      <c r="NH76" s="152">
        <f>IF($MT76=0,0,IF(INDEX($W$2:$W$11,$MT76)="",0,IF(COUNTIF(INDEX($ED$2:$EH$13,$LY76,0),INDEX($W$2:$W$11,$MT76))=0,1,0)))</f>
        <v/>
      </c>
      <c r="NI76" s="152">
        <f>IF(OR($MY76=0,$MU76=""),0,IF(COUNTIF(INDEX($ED$2:$EH$13,$LY76,0),$MU76)=0,1,0))</f>
        <v/>
      </c>
      <c r="NJ76" s="152">
        <f>IF(OR($MZ76=0,$MV76=""),0,IF(COUNTIF(INDEX($ED$2:$EH$13,$LY76,0),$MV76)=0,1,0))</f>
        <v/>
      </c>
      <c r="NK76" s="152">
        <f>IF(OR($NA76=0,$MW76=""),0,IF(COUNTIF(INDEX($ED$2:$EH$13,$LY76,0),$MW76)=0,1,0))</f>
        <v/>
      </c>
      <c r="NL76" s="152">
        <f>IF(OR($NB76=0,$MX76=""),0,IF(COUNTIF(INDEX($ED$2:$EH$13,$LY76,0),$MX76)=0,1,0))</f>
        <v/>
      </c>
      <c r="NM76" s="152">
        <f>IFERROR(VLOOKUP($MH76,$AV$2:$AZ$84,4,FALSE),0)+IFERROR(VLOOKUP($MI76,$AV$2:$AZ$84,4,FALSE),0)+IFERROR(VLOOKUP($MJ76,$AV$2:$AZ$84,4,FALSE),0)+IFERROR(VLOOKUP($MK76,$AV$2:$AZ$84,4,FALSE),0)</f>
        <v/>
      </c>
      <c r="NN76" s="152">
        <f>TEXTJOIN(", ",TRUE,IF(IFERROR(VLOOKUP($MH76,$AV$2:$AZ$84,5,FALSE),0)=1,$MH76,""),IF(IFERROR(VLOOKUP($MI76,$AV$2:$AZ$84,5,FALSE),0)=1,$MI76,""),IF(IFERROR(VLOOKUP($MJ76,$AV$2:$AZ$84,5,FALSE),0)=1,$MJ76,""),IF(IFERROR(VLOOKUP($MK76,$AV$2:$AZ$84,5,FALSE),0)=1,$MK76,""))</f>
        <v/>
      </c>
      <c r="NO76" s="152">
        <f>IF($MT76=0,0,INDEX($Y$2:$Y$11,$MT76))</f>
        <v/>
      </c>
      <c r="NP76" s="152">
        <f>IF($MT76=0,0,INDEX($Z$2:$Z$11,$MT76))</f>
        <v/>
      </c>
      <c r="NQ76" s="152">
        <f>IF($MT76=0,0,INDEX($AB$2:$AB$11,$MT76))</f>
        <v/>
      </c>
      <c r="NR76" s="152">
        <f>IFERROR(VLOOKUP($ML76,$BB$2:$BF$24,3,FALSE),0)</f>
        <v/>
      </c>
      <c r="NS76" s="152">
        <f>IFERROR(VLOOKUP($MM76,$BB$2:$BF$24,3,FALSE),0)</f>
        <v/>
      </c>
      <c r="NT76" s="152">
        <f>IFERROR(VLOOKUP($ML76,$BB$2:$BF$24,2,FALSE),"")</f>
        <v/>
      </c>
      <c r="NU76" s="152">
        <f>IFERROR(VLOOKUP($MM76,$BB$2:$BF$24,2,FALSE),"")</f>
        <v/>
      </c>
      <c r="NV76" s="152">
        <f>COUNTIF($NC76:$NG76,1)</f>
        <v/>
      </c>
      <c r="NW76" s="152">
        <f>COUNTIF($NC76:$NG76,2)</f>
        <v/>
      </c>
      <c r="NX76" s="152">
        <f>COUNTIF($NC76:$NG76,3)</f>
        <v/>
      </c>
      <c r="NY76" s="152">
        <f>COUNTIF($NC76:$NG76,4)</f>
        <v/>
      </c>
      <c r="NZ76" s="152">
        <f>COUNTIF($NC76:$NG76,5)</f>
        <v/>
      </c>
      <c r="OA76" s="152">
        <f>COUNTIF($NC76:$NG76,6)</f>
        <v/>
      </c>
      <c r="OB76" s="152">
        <f>COUNTIF($NR76:$NS76,1)</f>
        <v/>
      </c>
      <c r="OC76" s="152">
        <f>COUNTIF($NR76:$NS76,2)+$NO76</f>
        <v/>
      </c>
      <c r="OD76" s="152">
        <f>COUNTIF($MH76:$MK76,"?*")</f>
        <v/>
      </c>
      <c r="OE76" s="152">
        <f>COUNTIF($ML76:$MM76,"?*")+$NO76</f>
        <v/>
      </c>
      <c r="OF76" s="152">
        <f>IF($MC76=0,0,SUMPRODUCT($NV76:$OA76,INDEX($I$2:$N$8,MAX(1,$MC76),0)))</f>
        <v/>
      </c>
      <c r="OG76" s="152">
        <f>IF($MC76=0,0,$OB76*CEILING($MC76/2,1)+$OC76*$MC76)</f>
        <v/>
      </c>
      <c r="OH76" s="152">
        <f>MIN(2*$MC76,$OG76)</f>
        <v/>
      </c>
      <c r="OI76" s="152">
        <f>MIN($OH76,$OF76)</f>
        <v/>
      </c>
      <c r="OJ76" s="152">
        <f>$OH76-$OI76</f>
        <v/>
      </c>
      <c r="OK76" s="152">
        <f>IF($MC76=0,0,INDEX($P$2:$P$8,MAX(1,$MC76)))</f>
        <v/>
      </c>
      <c r="OL76" s="152">
        <f>$OK76-$OF76+$OI76</f>
        <v/>
      </c>
      <c r="OM76" s="152">
        <f>IF($MC76=0,MAX(0,$MQ76-IF($OD76&gt;0,1,0)),MAX(0,$OL76))</f>
        <v/>
      </c>
      <c r="ON76" s="152">
        <f>IF($MC76=0,0,(IF(COUNTIF($MH76:$MK76,"Salto")&gt;0,1,0)+IF(COUNTIF($MH76:$MK76,"Queima")&gt;0,1,0)+IF(COUNTIF($MH76:$MK76,"Estilhaço")&gt;0,1,0))*FLOOR($OM76/2,1))</f>
        <v/>
      </c>
      <c r="OO76" s="152">
        <f>MAX(0,2-SUMPRODUCT($NV76:$OA76,$I$2:$N$2)+MIN(2,$OB76*1+$OC76*1,SUMPRODUCT($NV76:$OA76,$I$2:$N$2)))</f>
        <v/>
      </c>
      <c r="OP76" s="152">
        <f>MAX(0,4-SUMPRODUCT($NV76:$OA76,$I$3:$N$3)+MIN(4,$OB76*1+$OC76*2,SUMPRODUCT($NV76:$OA76,$I$3:$N$3)))</f>
        <v/>
      </c>
      <c r="OQ76" s="152">
        <f>MAX(0,6-SUMPRODUCT($NV76:$OA76,$I$4:$N$4)+MIN(6,$OB76*2+$OC76*3,SUMPRODUCT($NV76:$OA76,$I$4:$N$4)))</f>
        <v/>
      </c>
      <c r="OR76" s="152">
        <f>MAX(0,9-SUMPRODUCT($NV76:$OA76,$I$5:$N$5)+MIN(8,$OB76*2+$OC76*4,SUMPRODUCT($NV76:$OA76,$I$5:$N$5)))</f>
        <v/>
      </c>
      <c r="OS76" s="152">
        <f>MAX(0,11-SUMPRODUCT($NV76:$OA76,$I$6:$N$6)+MIN(10,$OB76*3+$OC76*5,SUMPRODUCT($NV76:$OA76,$I$6:$N$6)))</f>
        <v/>
      </c>
      <c r="OT76" s="152">
        <f>MAX(0,13-SUMPRODUCT($NV76:$OA76,$I$7:$N$7)+MIN(12,$OB76*3+$OC76*6,SUMPRODUCT($NV76:$OA76,$I$7:$N$7)))</f>
        <v/>
      </c>
      <c r="OU76" s="152">
        <f>MAX(0,16-SUMPRODUCT($NV76:$OA76,$I$8:$N$8)+MIN(14,$OB76*4+$OC76*7,SUMPRODUCT($NV76:$OA76,$I$8:$N$8)))</f>
        <v/>
      </c>
      <c r="OV76" s="152">
        <f>IF($NP76=2,3*$OO76&amp;" de vida temp.",IF($NP76=3,"sem dano",IF($OO76=0,IF($NP76=1,"sem cura","sem dano"),IF($NP76=1,"cura ","")&amp;$OO76&amp;"d8")))</f>
        <v/>
      </c>
      <c r="OW76" s="152">
        <f>IF($NP76=2,3*$OP76&amp;" de vida temp.",IF($NP76=3,"sem dano",IF($OP76=0,IF($NP76=1,"sem cura","sem dano"),IF($NP76=1,"cura ","")&amp;$OP76&amp;"d8")))</f>
        <v/>
      </c>
      <c r="OX76" s="152">
        <f>IF($NP76=2,3*$OQ76&amp;" de vida temp.",IF($NP76=3,"sem dano",IF($OQ76=0,IF($NP76=1,"sem cura","sem dano"),IF($NP76=1,"cura ","")&amp;$OQ76&amp;"d8")))</f>
        <v/>
      </c>
      <c r="OY76" s="152">
        <f>IF($NP76=2,3*$OR76&amp;" de vida temp.",IF($NP76=3,"sem dano",IF($OR76=0,IF($NP76=1,"sem cura","sem dano"),IF($NP76=1,"cura ","")&amp;$OR76&amp;"d8")))</f>
        <v/>
      </c>
      <c r="OZ76" s="152">
        <f>IF($NP76=2,3*$OS76&amp;" de vida temp.",IF($NP76=3,"sem dano",IF($OS76=0,IF($NP76=1,"sem cura","sem dano"),IF($NP76=1,"cura ","")&amp;$OS76&amp;"d8")))</f>
        <v/>
      </c>
      <c r="PA76" s="152">
        <f>IF($NP76=2,3*$OT76&amp;" de vida temp.",IF($NP76=3,"sem dano",IF($OT76=0,IF($NP76=1,"sem cura","sem dano"),IF($NP76=1,"cura ","")&amp;$OT76&amp;"d8")))</f>
        <v/>
      </c>
      <c r="PB76" s="152">
        <f>IF($NP76=2,3*$OU76&amp;" de vida temp.",IF($NP76=3,"sem dano",IF($OU76=0,IF($NP76=1,"sem cura","sem dano"),IF($NP76=1,"cura ","")&amp;$OU76&amp;"d8")))</f>
        <v/>
      </c>
      <c r="PC76" s="152">
        <f>IF($MN76=0,"",TEXTJOIN(" · ",TRUE,IF($MA76&gt;$MO76,"Este lugar abre no nível "&amp;$MA76,""),IF($MC76&gt;$MP76,"Classe "&amp;$MC76&amp;": o nível "&amp;$MO76&amp;" libera até a "&amp;$MP76,""),IF($NH76=1,"A Forma "&amp;$ME76&amp;" pede "&amp;INDEX($W$2:$W$11,$MT76)&amp;" aberta",""),IF(AND($MC76=0,$MT76&gt;0,IF($MT76=0,0,INDEX($AF$2:$AF$11,$MT76))=0),$ME76&amp;" não existe na Classe 0",""),IF($NI76=1,"Família Fechada: "&amp;$MH76,""),IF($NJ76=1,"Família Fechada: "&amp;$MI76,""),IF($NK76=1,"Família Fechada: "&amp;$MJ76,""),IF($NL76=1,"Família Fechada: "&amp;$MK76,""),IF(AND($MC76&gt;0,$OD76&gt;INDEX($O$2:$O$8,MAX(1,$MC76))),$OD76&amp;" Melhorias: a Classe "&amp;$MC76&amp;" aceita "&amp;INDEX($O$2:$O$8,MAX(1,$MC76)),""),IF(AND($MC76=0,$OD76&gt;1),"A básica aceita uma Melhoria",""),IF(AND($MC76=0,COUNTIF($MY76:$NB76,"&gt;1")&gt;0),"A básica só aceita Melhoria Leve",""),IF(AND($MC76&gt;0,$OE76&gt;2),$OE76&amp;" Restrições"&amp;IF($NO76=1,", contando a que a Forma "&amp;$ME76&amp;" já traz","")&amp;": o limite é 2",""),IF(AND($MC76=0,COUNTIF($ML76:$MM76,"?*")&gt;1),"A básica aceita uma Restrição Leve",""),IF(AND($MC76=0,COUNTIF($NR76:$NS76,2)&gt;0),"A básica só aceita Restrição Leve",""),IF(AND($MC76&gt;0,$OL76&lt;0),"Orçamento estourado: faltam "&amp;(-$OL76)&amp;IF($OL76&lt;-1," pontos"," ponto"),""),IF(IFERROR(VLOOKUP($ML76,$BB$2:$BF$24,4,FALSE),0)+IFERROR(VLOOKUP($MM76,$BB$2:$BF$24,4,FALSE),0)&gt;1,$NT76&amp;" e "&amp;$NU76&amp;" são as duas de frequência",""),IF(AND((COUNTIF($MH76:$MK76,"Rápido")+COUNTIF($NT76:$NU76,"Rápido"))&gt;0,(COUNTIF($MH76:$MK76,"Atrasar")+COUNTIF($NT76:$NU76,"Atrasar"))&gt;0),"Rápido não entra com Atrasar",""),IF(AND((COUNTIF($MH76:$MK76,"Reação")+COUNTIF($NT76:$NU76,"Reação"))&gt;0,(COUNTIF($MH76:$MK76,"Rápido")+COUNTIF($NT76:$NU76,"Rápido"))&gt;0),"Reação não entra com Rápido",""),IF(AND((COUNTIF($MH76:$MK76,"Reação")+COUNTIF($NT76:$NU76,"Reação"))&gt;0,(COUNTIF($MH76:$MK76,"Armado")+COUNTIF($NT76:$NU76,"Armado"))&gt;0),"Reação não entra com Armado",""),IF(AND((COUNTIF($MH76:$MK76,"Reação")+COUNTIF($NT76:$NU76,"Reação"))&gt;0,(COUNTIF($MH76:$MK76,"Atrasar")+COUNTIF($NT76:$NU76,"Atrasar"))&gt;0),"Reação não entra com Atrasar",""),IF(AND((COUNTIF($MH76:$MK76,"Reação")+COUNTIF($NT76:$NU76,"Reação"))&gt;0,(COUNTIF($MH76:$MK76,"Parado")+COUNTIF($NT76:$NU76,"Parado"))&gt;0),"Reação não entra com Parado",""),IF(AND((COUNTIF($MH76:$MK76,"Atrasar")+COUNTIF($NT76:$NU76,"Atrasar"))&gt;0,(COUNTIF($MH76:$MK76,"Parado")+COUNTIF($NT76:$NU76,"Parado"))&gt;0),"Atrasar não entra com Parado",""),IF(AND((COUNTIF($MH76:$MK76,"Armado")+COUNTIF($NT76:$NU76,"Armado"))&gt;0,(COUNTIF($MH76:$MK76,"Carregar")+COUNTIF($NT76:$NU76,"Carregar"))&gt;0),"Armado não entra com Carregar",""),IF(AND(COUNTIF($NT76:$NU76,"Corpo a Corpo")&gt;0,$NO76=0,OR($ME76="Cone",$ME76="Linha")),"Corpo a Corpo não entra em "&amp;$ME76,""),IF(AND(COUNTIF($NT76:$NU76,"Corpo a Corpo")&gt;0,$NO76=1),"A Forma "&amp;$ME76&amp;" já traz o Corpo a Corpo",""),IF(AND(COUNTIF($NT76:$NU76,"Tudo ou Nada")&gt;0,$NQ76=0),"Tudo ou Nada só entra em habilidade de Teste de Resistência",""),IF(AND(COUNTIF($MH76:$MK76,"Inescapável")&gt;0,OR($OD76&gt;1,$OE76&gt;0)),"Inescapável não aceita outra peça",""),IF(AND($MC76&gt;0,$OM76*IF(COUNTIF($MH76:$MK76,"Remate")&gt;0,1.25,1)+$ON76&gt;4*$MC76),($OM76*IF(COUNTIF($MH76:$MK76,"Remate")&gt;0,1.25,1)+$ON76)&amp;" dados somando repetições"&amp;IF(COUNTIF($MH76:$MK76,"Remate")&gt;0," e o Remate","")&amp;": o teto da Classe "&amp;$MC76&amp;" é "&amp;4*$MC76,"")))</f>
        <v/>
      </c>
      <c r="PD76" s="152">
        <f>IF($PC76="",0,(LEN($PC76)-LEN(SUBSTITUTE($PC76," · ","")))/3+1)</f>
        <v/>
      </c>
      <c r="PE76" s="152">
        <f>IF($MN76=0,"",TEXTJOIN(" · ",TRUE,IF($OG76&gt;2*$MC76,"A devolução parou no teto de "&amp;2*$MC76,""),IF($OJ76&gt;0,"Devolução perdida: "&amp;$OJ76&amp;IF($OJ76&gt;1," pontos"," ponto")&amp;" sem peça para pagar",""),IF(AND($NM76&gt;0,AND($MC76&gt;0,$NP76=0),$OM76=0),"Controle sem dano: uma rodada a mais e CD +2",""),IF(AND($NM76&gt;0,AND($MC76&gt;0,$NP76=0),$OM76&gt;0,$OM76&lt;=$MC76),"Controle com saldo até a Classe: uma rodada a mais",""),IF(AND($MC76&gt;0,$NN76&lt;&gt;""),"Efeito de "&amp;$NN76&amp;" pela Classe "&amp;MAX(1,$MC76-1),"")))</f>
        <v/>
      </c>
      <c r="PF76" s="152">
        <f>IF($PE76="",0,(LEN($PE76)-LEN(SUBSTITUTE($PE76," · ","")))/3+1)</f>
        <v/>
      </c>
      <c r="PG76" s="152">
        <f>IF($MN76=0,IF($OD76+COUNTIF($ML76:$MM76,"?*")&gt;0,"Dê um nome",""),IF($PD76&gt;0,"⚠ "&amp;$PD76&amp;IF($PD76&gt;1," erros"," erro"),IF($PF76&gt;0,"! "&amp;$PF76&amp;IF($PF76&gt;1," avisos"," aviso"),"Na regra")))</f>
        <v/>
      </c>
      <c r="PH76" s="152">
        <f>IF($MN76=0,"",IF($PD76+$PF76=0,"Dentro das regras que a ficha confere",$PC76&amp;IF(AND($PD76&gt;0,$PF76&gt;0)," · ","")&amp;$PE76))</f>
        <v/>
      </c>
      <c r="PI76" s="152">
        <f>IF($MA76&gt;$MO76,$MB76&amp;" · ABRE NO NÍVEL "&amp;$MA76,$MB76)</f>
        <v/>
      </c>
      <c r="PJ76" s="152">
        <f>IF($MN76=0,"",IF($MC76=0,"Sem PE",3*$MC76&amp;" PE"))</f>
        <v/>
      </c>
      <c r="PK76" s="152">
        <f>IF($MN76=0,"",IF($MC76=0,"A atuação básica dela",IF(COUNTIF($NT76:$NU76,"Atrasar")&gt;0,"Sua Ação Completa",IF(COUNTIF($MH76:$MK76,"Rápido")&gt;0,"Sua Bônus",IF(COUNTIF($MH76:$MK76,"Reação")&gt;0,"Sua Reação","Sua Padrão")))&amp;" + a básica dela"&amp;IF(COUNTIF($MH76:$MK76,"Reação")&gt;0," e a coletiva","")&amp;IF(COUNTIF($NT76:$NU76,"Carregar")&gt;0," · em dois turnos","")))</f>
        <v/>
      </c>
      <c r="PL76" s="152">
        <f>IF($MG76&lt;&gt;"",$MG76,IF($MT76=0,"",INDEX($AA$2:$AA$11,$MT76)))</f>
        <v/>
      </c>
      <c r="PM76" s="152">
        <f>IF(OR($MN76=0,$MT76=0),"",IF(COUNTIF($MH76:$MK76,"Inescapável")&gt;0,"Automático",IF($PL76="Ataque",IF($MR76="","Ataque","Ataque "&amp;IF(($MR76+2*IF(COUNTIF($MH76:$MK76,"Precisão")&gt;0,1,0))&gt;=0,"+","−")&amp;ABS(($MR76+2*IF(COUNTIF($MH76:$MK76,"Precisão")&gt;0,1,0)))),IF(LEFT($PL76,2)="TR",$PL76&amp;IF($MS76="",""," · CD "&amp;$MS76)&amp;IF(COUNTIF($MH76:$MK76,"Certeiro")&gt;0," · metade",""),"Sem rolagem"))))</f>
        <v/>
      </c>
      <c r="PN76" s="152">
        <f>IF(OR($MN76=0,$MT76=0),"",IF($MC76=0,IF(OR($NP76&gt;=1,$OM76=0),"Sem dano",$OM76&amp;"d6"&amp;IF($MF76="",""," "&amp;$MF76)),IF(OR($NP76&gt;=1,$OM76=0),UPPER(LEFT(INDEX($OV76:$PB76,1,MAX(1,$MC76)),1))&amp;MID(INDEX($OV76:$PB76,1,MAX(1,$MC76)),2,99),UPPER(LEFT(INDEX($OV76:$PB76,1,MAX(1,$MC76)),1))&amp;MID(INDEX($OV76:$PB76,1,MAX(1,$MC76)),2,99)&amp;IF($MF76="",""," "&amp;$MF76)&amp;IF($ON76&gt;0," · +"&amp;$ON76&amp;"d8",""))))</f>
        <v/>
      </c>
      <c r="PO76" s="152">
        <f>COUNTIF($MH76:$MK76,"Longe")+3*COUNTIF($MH76:$MK76,"Muito Longe")</f>
        <v/>
      </c>
      <c r="PP76" s="152">
        <f>COUNTIF($MH76:$MK76,"Maior")+3*COUNTIF($MH76:$MK76,"Muito Maior")</f>
        <v/>
      </c>
      <c r="PQ76" s="152">
        <f>IF($MT76=0,0,CHOOSE(1+INDEX($AC$2:$AC$11,$MT76),0,$PO76,$PP76,$PO76+$PP76))</f>
        <v/>
      </c>
      <c r="PR76" s="152">
        <f>IF($MT76=0,0,CHOOSE(1+INDEX($AD$2:$AD$11,$MT76),0,$PO76,$PP76,$PO76+$PP76))</f>
        <v/>
      </c>
      <c r="PS76" s="152">
        <f>IF(OR($MN76=0,$MT76=0),"",INDEX($AI$2:$AN$41,($MT76-1)*4+IF($MC76=0,1,IF($MC76&lt;=5,2,IF($MC76=6,3,4))),1+MIN(5,$PQ76))&amp;INDEX($AO$2:$AT$41,($MT76-1)*4+IF($MC76=0,1,IF($MC76&lt;=5,2,IF($MC76=6,3,4))),1+MIN(5,$PR76))&amp;IF(INDEX($AE$2:$AE$11,$MT76)=1,IF(COUNTIF($MH76:$MK76,"Mais Um")&gt;0," · +"&amp;COUNTIF($MH76:$MK76,"Mais Um")&amp;IF(COUNTIF($MH76:$MK76,"Mais Um")&gt;1," alvos"," alvo"),"")&amp;IF(COUNTIF($MH76:$MK76,"Rajada")&gt;0,IF($MC76=0," · 1 tiro"," · "&amp;(MAX(1,$MC76-1)+1)&amp;" tiros"),""),""))</f>
        <v/>
      </c>
      <c r="PT76" s="152">
        <f>IF($MN76=0,"",IF($MC76=0,$MQ76&amp;"d6"&amp;IF($OD76&gt;0," − 1 = "&amp;$OM76&amp;"d6"," da básica do nível "&amp;$MO76),$OK76&amp;" − "&amp;$OF76&amp;" + "&amp;$OI76&amp;" = "&amp;$OL76&amp;" · teto "&amp;4*$MC76&amp;"d8"&amp;IF($NO76=1," · a Forma devolve "&amp;$MC76,"")&amp;IF($OJ76&gt;0," · perde "&amp;$OJ76,"")))</f>
        <v/>
      </c>
      <c r="PU76" s="152">
        <f>IF($MN76=0,"",IF($MC76=0,"A básica não amplia: os dados dela sobem com o nível",IF($MC76&gt;=$MP76,"Já está na maior Classe que o nível liberou",TEXTJOIN(" · ",TRUE,IF(AND(2&gt;$MC76,2&lt;=$MP76),"2 → "&amp;$OW76&amp;", 6 PE",""),IF(AND(3&gt;$MC76,3&lt;=$MP76),"3 → "&amp;$OX76&amp;", 9 PE",""),IF(AND(4&gt;$MC76,4&lt;=$MP76),"4 → "&amp;$OY76&amp;", 12 PE",""),IF(AND(5&gt;$MC76,5&lt;=$MP76),"5 → "&amp;$OZ76&amp;", 15 PE",""),IF(AND(6&gt;$MC76,6&lt;=$MP76),"6 → "&amp;$PA76&amp;", 18 PE",""),IF(AND(7&gt;$MC76,7&lt;=$MP76),"7 → "&amp;$PB76&amp;", 21 PE","")))))</f>
        <v/>
      </c>
      <c r="PV76" s="152">
        <f>IF(OR($MN76=0,$MY76=0),"",IF($MC76=0,"−1 dado","−"&amp;INDEX($I$2:$N$8,MAX(1,$MC76),MAX(1,$ND76))&amp;" · "&amp;CHOOSE(MAX(1,$ND76),"Leve","Média","Pesada","Leve · Livre","Média · Livre","Pesada · Livre")))</f>
        <v/>
      </c>
      <c r="PW76" s="152">
        <f>IF(OR($MN76=0,$MZ76=0),"",IF($MC76=0,"−1 dado","−"&amp;INDEX($I$2:$N$8,MAX(1,$MC76),MAX(1,$NE76))&amp;" · "&amp;CHOOSE(MAX(1,$NE76),"Leve","Média","Pesada","Leve · Livre","Média · Livre","Pesada · Livre")))</f>
        <v/>
      </c>
      <c r="PX76" s="152">
        <f>IF(OR($MN76=0,$NA76=0),"",IF($MC76=0,"−1 dado","−"&amp;INDEX($I$2:$N$8,MAX(1,$MC76),MAX(1,$NF76))&amp;" · "&amp;CHOOSE(MAX(1,$NF76),"Leve","Média","Pesada","Leve · Livre","Média · Livre","Pesada · Livre")))</f>
        <v/>
      </c>
      <c r="PY76" s="152">
        <f>IF(OR($MN76=0,$NB76=0),"",IF($MC76=0,"−1 dado","−"&amp;INDEX($I$2:$N$8,MAX(1,$MC76),MAX(1,$NG76))&amp;" · "&amp;CHOOSE(MAX(1,$NG76),"Leve","Média","Pesada","Leve · Livre","Média · Livre","Pesada · Livre")))</f>
        <v/>
      </c>
      <c r="PZ76" s="152">
        <f>IF(OR($MN76=0,$ML76=""),"",IF($MC76=0,"não devolve","+"&amp;IF($NR76=1,CEILING($MC76/2,1),$MC76)))</f>
        <v/>
      </c>
      <c r="QA76" s="152">
        <f>IF(OR($MN76=0,$MM76=""),"",IF($MC76=0,"não devolve","+"&amp;IF($NS76=1,CEILING($MC76/2,1),$MC76)))</f>
        <v/>
      </c>
    </row>
    <row r="77">
      <c r="AV77" s="150" t="inlineStr">
        <is>
          <t>Levanta</t>
        </is>
      </c>
      <c r="AW77" s="150" t="inlineStr">
        <is>
          <t>Amparo</t>
        </is>
      </c>
      <c r="AX77" s="152" t="n">
        <v>3</v>
      </c>
      <c r="AY77" s="152" t="n">
        <v>0</v>
      </c>
      <c r="AZ77" s="152" t="n">
        <v>1</v>
      </c>
      <c r="JD77" s="152">
        <f>IF(OR($AW77="",COUNTIF($ED$2:$EH$2,$AW77)&gt;0),$AV77,"")</f>
        <v/>
      </c>
      <c r="JE77" s="152">
        <f>IF(AND($AX77=1,OR($AW77="",COUNTIF($ED$2:$EH$2,$AW77)&gt;0)),$AV77,"")</f>
        <v/>
      </c>
      <c r="JJ77" s="152">
        <f>IF(OR($AW77="",COUNTIF($ED$3:$EH$3,$AW77)&gt;0),$AV77,"")</f>
        <v/>
      </c>
      <c r="JK77" s="152">
        <f>IF(AND($AX77=1,OR($AW77="",COUNTIF($ED$3:$EH$3,$AW77)&gt;0)),$AV77,"")</f>
        <v/>
      </c>
      <c r="JP77" s="152">
        <f>IF(OR($AW77="",COUNTIF($ED$4:$EH$4,$AW77)&gt;0),$AV77,"")</f>
        <v/>
      </c>
      <c r="JQ77" s="152">
        <f>IF(AND($AX77=1,OR($AW77="",COUNTIF($ED$4:$EH$4,$AW77)&gt;0)),$AV77,"")</f>
        <v/>
      </c>
      <c r="JV77" s="152">
        <f>IF(OR($AW77="",COUNTIF($ED$5:$EH$5,$AW77)&gt;0),$AV77,"")</f>
        <v/>
      </c>
      <c r="JW77" s="152">
        <f>IF(AND($AX77=1,OR($AW77="",COUNTIF($ED$5:$EH$5,$AW77)&gt;0)),$AV77,"")</f>
        <v/>
      </c>
      <c r="KB77" s="152">
        <f>IF(OR($AW77="",COUNTIF($ED$6:$EH$6,$AW77)&gt;0),$AV77,"")</f>
        <v/>
      </c>
      <c r="KC77" s="152">
        <f>IF(AND($AX77=1,OR($AW77="",COUNTIF($ED$6:$EH$6,$AW77)&gt;0)),$AV77,"")</f>
        <v/>
      </c>
      <c r="KH77" s="152">
        <f>IF(OR($AW77="",COUNTIF($ED$7:$EH$7,$AW77)&gt;0),$AV77,"")</f>
        <v/>
      </c>
      <c r="KI77" s="152">
        <f>IF(AND($AX77=1,OR($AW77="",COUNTIF($ED$7:$EH$7,$AW77)&gt;0)),$AV77,"")</f>
        <v/>
      </c>
      <c r="KN77" s="152">
        <f>IF(OR($AW77="",COUNTIF($ED$8:$EH$8,$AW77)&gt;0),$AV77,"")</f>
        <v/>
      </c>
      <c r="KO77" s="152">
        <f>IF(AND($AX77=1,OR($AW77="",COUNTIF($ED$8:$EH$8,$AW77)&gt;0)),$AV77,"")</f>
        <v/>
      </c>
      <c r="KT77" s="152">
        <f>IF(OR($AW77="",COUNTIF($ED$9:$EH$9,$AW77)&gt;0),$AV77,"")</f>
        <v/>
      </c>
      <c r="KU77" s="152">
        <f>IF(AND($AX77=1,OR($AW77="",COUNTIF($ED$9:$EH$9,$AW77)&gt;0)),$AV77,"")</f>
        <v/>
      </c>
      <c r="KZ77" s="152">
        <f>IF(OR($AW77="",COUNTIF($ED$10:$EH$10,$AW77)&gt;0),$AV77,"")</f>
        <v/>
      </c>
      <c r="LA77" s="152">
        <f>IF(AND($AX77=1,OR($AW77="",COUNTIF($ED$10:$EH$10,$AW77)&gt;0)),$AV77,"")</f>
        <v/>
      </c>
      <c r="LF77" s="152">
        <f>IF(OR($AW77="",COUNTIF($ED$11:$EH$11,$AW77)&gt;0),$AV77,"")</f>
        <v/>
      </c>
      <c r="LG77" s="152">
        <f>IF(AND($AX77=1,OR($AW77="",COUNTIF($ED$11:$EH$11,$AW77)&gt;0)),$AV77,"")</f>
        <v/>
      </c>
      <c r="LL77" s="152">
        <f>IF(OR($AW77="",COUNTIF($ED$12:$EH$12,$AW77)&gt;0),$AV77,"")</f>
        <v/>
      </c>
      <c r="LM77" s="152">
        <f>IF(AND($AX77=1,OR($AW77="",COUNTIF($ED$12:$EH$12,$AW77)&gt;0)),$AV77,"")</f>
        <v/>
      </c>
      <c r="LR77" s="152">
        <f>IF(OR($AW77="",COUNTIF($ED$13:$EH$13,$AW77)&gt;0),$AV77,"")</f>
        <v/>
      </c>
      <c r="LS77" s="152">
        <f>IF(AND($AX77=1,OR($AW77="",COUNTIF($ED$13:$EH$13,$AW77)&gt;0)),$AV77,"")</f>
        <v/>
      </c>
      <c r="LX77" s="150" t="inlineStr">
        <is>
          <t>Ficha 6 · Escolha da trilha 1</t>
        </is>
      </c>
      <c r="LY77" s="152" t="n">
        <v>6</v>
      </c>
      <c r="LZ77" s="152" t="n">
        <v>2</v>
      </c>
      <c r="MA77" s="152" t="n">
        <v>0</v>
      </c>
      <c r="MB77" s="150" t="inlineStr">
        <is>
          <t>ESCOLHA DA TRILHA 1</t>
        </is>
      </c>
      <c r="MC77" s="152">
        <f>MAX(0,MIN(7,N('INVOCAÇÕES'!$I$1150)))</f>
        <v/>
      </c>
      <c r="MD77" s="152">
        <f>'INVOCAÇÕES'!$J$1150&amp;""</f>
        <v/>
      </c>
      <c r="ME77" s="152">
        <f>'INVOCAÇÕES'!$I$1155&amp;""</f>
        <v/>
      </c>
      <c r="MF77" s="152">
        <f>'INVOCAÇÕES'!$I$1156&amp;""</f>
        <v/>
      </c>
      <c r="MG77" s="152">
        <f>'INVOCAÇÕES'!$K$1156&amp;""</f>
        <v/>
      </c>
      <c r="MH77" s="152">
        <f>'INVOCAÇÕES'!$J$1159&amp;""</f>
        <v/>
      </c>
      <c r="MI77" s="152">
        <f>'INVOCAÇÕES'!$J$1160&amp;""</f>
        <v/>
      </c>
      <c r="MJ77" s="152">
        <f>'INVOCAÇÕES'!$J$1161&amp;""</f>
        <v/>
      </c>
      <c r="MK77" s="152">
        <f>'INVOCAÇÕES'!$J$1162&amp;""</f>
        <v/>
      </c>
      <c r="ML77" s="152">
        <f>'INVOCAÇÕES'!$J$1163&amp;""</f>
        <v/>
      </c>
      <c r="MM77" s="152">
        <f>'INVOCAÇÕES'!$J$1164&amp;""</f>
        <v/>
      </c>
      <c r="MN77" s="152">
        <f>IF($MD77&lt;&gt;"",1,0)</f>
        <v/>
      </c>
      <c r="MO77" s="152">
        <f>INDEX($FG$2:$FG$13,$LY77)</f>
        <v/>
      </c>
      <c r="MP77" s="152">
        <f>INDEX($FH$2:$FH$13,$LY77)</f>
        <v/>
      </c>
      <c r="MQ77" s="152">
        <f>INDEX($FI$2:$FI$13,$LY77)</f>
        <v/>
      </c>
      <c r="MR77" s="152">
        <f>INDEX($FT$2:$FT$13,$LY77)</f>
        <v/>
      </c>
      <c r="MS77" s="152">
        <f>INDEX($FU$2:$FU$13,$LY77)</f>
        <v/>
      </c>
      <c r="MT77" s="152">
        <f>IFERROR(MATCH($ME77,$V$2:$V$11,0),0)</f>
        <v/>
      </c>
      <c r="MU77" s="152">
        <f>IFERROR(VLOOKUP($MH77,$AV$2:$AZ$84,2,FALSE),"")</f>
        <v/>
      </c>
      <c r="MV77" s="152">
        <f>IFERROR(VLOOKUP($MI77,$AV$2:$AZ$84,2,FALSE),"")</f>
        <v/>
      </c>
      <c r="MW77" s="152">
        <f>IFERROR(VLOOKUP($MJ77,$AV$2:$AZ$84,2,FALSE),"")</f>
        <v/>
      </c>
      <c r="MX77" s="152">
        <f>IFERROR(VLOOKUP($MK77,$AV$2:$AZ$84,2,FALSE),"")</f>
        <v/>
      </c>
      <c r="MY77" s="152">
        <f>IFERROR(VLOOKUP($MH77,$AV$2:$AZ$84,3,FALSE),0)</f>
        <v/>
      </c>
      <c r="MZ77" s="152">
        <f>IFERROR(VLOOKUP($MI77,$AV$2:$AZ$84,3,FALSE),0)</f>
        <v/>
      </c>
      <c r="NA77" s="152">
        <f>IFERROR(VLOOKUP($MJ77,$AV$2:$AZ$84,3,FALSE),0)</f>
        <v/>
      </c>
      <c r="NB77" s="152">
        <f>IFERROR(VLOOKUP($MK77,$AV$2:$AZ$84,3,FALSE),0)</f>
        <v/>
      </c>
      <c r="NC77" s="152">
        <f>IF($MC77=0,0,IF($MT77=0,0,INDEX($X$2:$X$11,$MT77)))</f>
        <v/>
      </c>
      <c r="ND77" s="152">
        <f>IF(OR($MY77=0,$MC77=0),0,$MY77+3*IF(AND($MU77&lt;&gt;"",OR($MU77=INDEX($ED$2:$ED$13,$LY77),$MU77=INDEX($EE$2:$EE$13,$LY77))),1,0))</f>
        <v/>
      </c>
      <c r="NE77" s="152">
        <f>IF(OR($MZ77=0,$MC77=0),0,$MZ77+3*IF(AND($MV77&lt;&gt;"",OR($MV77=INDEX($ED$2:$ED$13,$LY77),$MV77=INDEX($EE$2:$EE$13,$LY77))),1,0))</f>
        <v/>
      </c>
      <c r="NF77" s="152">
        <f>IF(OR($NA77=0,$MC77=0),0,$NA77+3*IF(AND($MW77&lt;&gt;"",OR($MW77=INDEX($ED$2:$ED$13,$LY77),$MW77=INDEX($EE$2:$EE$13,$LY77))),1,0))</f>
        <v/>
      </c>
      <c r="NG77" s="152">
        <f>IF(OR($NB77=0,$MC77=0),0,$NB77+3*IF(AND($MX77&lt;&gt;"",OR($MX77=INDEX($ED$2:$ED$13,$LY77),$MX77=INDEX($EE$2:$EE$13,$LY77))),1,0))</f>
        <v/>
      </c>
      <c r="NH77" s="152">
        <f>IF($MT77=0,0,IF(INDEX($W$2:$W$11,$MT77)="",0,IF(COUNTIF(INDEX($ED$2:$EH$13,$LY77,0),INDEX($W$2:$W$11,$MT77))=0,1,0)))</f>
        <v/>
      </c>
      <c r="NI77" s="152">
        <f>IF(OR($MY77=0,$MU77=""),0,IF(COUNTIF(INDEX($ED$2:$EH$13,$LY77,0),$MU77)=0,1,0))</f>
        <v/>
      </c>
      <c r="NJ77" s="152">
        <f>IF(OR($MZ77=0,$MV77=""),0,IF(COUNTIF(INDEX($ED$2:$EH$13,$LY77,0),$MV77)=0,1,0))</f>
        <v/>
      </c>
      <c r="NK77" s="152">
        <f>IF(OR($NA77=0,$MW77=""),0,IF(COUNTIF(INDEX($ED$2:$EH$13,$LY77,0),$MW77)=0,1,0))</f>
        <v/>
      </c>
      <c r="NL77" s="152">
        <f>IF(OR($NB77=0,$MX77=""),0,IF(COUNTIF(INDEX($ED$2:$EH$13,$LY77,0),$MX77)=0,1,0))</f>
        <v/>
      </c>
      <c r="NM77" s="152">
        <f>IFERROR(VLOOKUP($MH77,$AV$2:$AZ$84,4,FALSE),0)+IFERROR(VLOOKUP($MI77,$AV$2:$AZ$84,4,FALSE),0)+IFERROR(VLOOKUP($MJ77,$AV$2:$AZ$84,4,FALSE),0)+IFERROR(VLOOKUP($MK77,$AV$2:$AZ$84,4,FALSE),0)</f>
        <v/>
      </c>
      <c r="NN77" s="152">
        <f>TEXTJOIN(", ",TRUE,IF(IFERROR(VLOOKUP($MH77,$AV$2:$AZ$84,5,FALSE),0)=1,$MH77,""),IF(IFERROR(VLOOKUP($MI77,$AV$2:$AZ$84,5,FALSE),0)=1,$MI77,""),IF(IFERROR(VLOOKUP($MJ77,$AV$2:$AZ$84,5,FALSE),0)=1,$MJ77,""),IF(IFERROR(VLOOKUP($MK77,$AV$2:$AZ$84,5,FALSE),0)=1,$MK77,""))</f>
        <v/>
      </c>
      <c r="NO77" s="152">
        <f>IF($MT77=0,0,INDEX($Y$2:$Y$11,$MT77))</f>
        <v/>
      </c>
      <c r="NP77" s="152">
        <f>IF($MT77=0,0,INDEX($Z$2:$Z$11,$MT77))</f>
        <v/>
      </c>
      <c r="NQ77" s="152">
        <f>IF($MT77=0,0,INDEX($AB$2:$AB$11,$MT77))</f>
        <v/>
      </c>
      <c r="NR77" s="152">
        <f>IFERROR(VLOOKUP($ML77,$BB$2:$BF$24,3,FALSE),0)</f>
        <v/>
      </c>
      <c r="NS77" s="152">
        <f>IFERROR(VLOOKUP($MM77,$BB$2:$BF$24,3,FALSE),0)</f>
        <v/>
      </c>
      <c r="NT77" s="152">
        <f>IFERROR(VLOOKUP($ML77,$BB$2:$BF$24,2,FALSE),"")</f>
        <v/>
      </c>
      <c r="NU77" s="152">
        <f>IFERROR(VLOOKUP($MM77,$BB$2:$BF$24,2,FALSE),"")</f>
        <v/>
      </c>
      <c r="NV77" s="152">
        <f>COUNTIF($NC77:$NG77,1)</f>
        <v/>
      </c>
      <c r="NW77" s="152">
        <f>COUNTIF($NC77:$NG77,2)</f>
        <v/>
      </c>
      <c r="NX77" s="152">
        <f>COUNTIF($NC77:$NG77,3)</f>
        <v/>
      </c>
      <c r="NY77" s="152">
        <f>COUNTIF($NC77:$NG77,4)</f>
        <v/>
      </c>
      <c r="NZ77" s="152">
        <f>COUNTIF($NC77:$NG77,5)</f>
        <v/>
      </c>
      <c r="OA77" s="152">
        <f>COUNTIF($NC77:$NG77,6)</f>
        <v/>
      </c>
      <c r="OB77" s="152">
        <f>COUNTIF($NR77:$NS77,1)</f>
        <v/>
      </c>
      <c r="OC77" s="152">
        <f>COUNTIF($NR77:$NS77,2)+$NO77</f>
        <v/>
      </c>
      <c r="OD77" s="152">
        <f>COUNTIF($MH77:$MK77,"?*")</f>
        <v/>
      </c>
      <c r="OE77" s="152">
        <f>COUNTIF($ML77:$MM77,"?*")+$NO77</f>
        <v/>
      </c>
      <c r="OF77" s="152">
        <f>IF($MC77=0,0,SUMPRODUCT($NV77:$OA77,INDEX($I$2:$N$8,MAX(1,$MC77),0)))</f>
        <v/>
      </c>
      <c r="OG77" s="152">
        <f>IF($MC77=0,0,$OB77*CEILING($MC77/2,1)+$OC77*$MC77)</f>
        <v/>
      </c>
      <c r="OH77" s="152">
        <f>MIN(2*$MC77,$OG77)</f>
        <v/>
      </c>
      <c r="OI77" s="152">
        <f>MIN($OH77,$OF77)</f>
        <v/>
      </c>
      <c r="OJ77" s="152">
        <f>$OH77-$OI77</f>
        <v/>
      </c>
      <c r="OK77" s="152">
        <f>IF($MC77=0,0,INDEX($P$2:$P$8,MAX(1,$MC77)))</f>
        <v/>
      </c>
      <c r="OL77" s="152">
        <f>$OK77-$OF77+$OI77</f>
        <v/>
      </c>
      <c r="OM77" s="152">
        <f>IF($MC77=0,MAX(0,$MQ77-IF($OD77&gt;0,1,0)),MAX(0,$OL77))</f>
        <v/>
      </c>
      <c r="ON77" s="152">
        <f>IF($MC77=0,0,(IF(COUNTIF($MH77:$MK77,"Salto")&gt;0,1,0)+IF(COUNTIF($MH77:$MK77,"Queima")&gt;0,1,0)+IF(COUNTIF($MH77:$MK77,"Estilhaço")&gt;0,1,0))*FLOOR($OM77/2,1))</f>
        <v/>
      </c>
      <c r="OO77" s="152">
        <f>MAX(0,2-SUMPRODUCT($NV77:$OA77,$I$2:$N$2)+MIN(2,$OB77*1+$OC77*1,SUMPRODUCT($NV77:$OA77,$I$2:$N$2)))</f>
        <v/>
      </c>
      <c r="OP77" s="152">
        <f>MAX(0,4-SUMPRODUCT($NV77:$OA77,$I$3:$N$3)+MIN(4,$OB77*1+$OC77*2,SUMPRODUCT($NV77:$OA77,$I$3:$N$3)))</f>
        <v/>
      </c>
      <c r="OQ77" s="152">
        <f>MAX(0,6-SUMPRODUCT($NV77:$OA77,$I$4:$N$4)+MIN(6,$OB77*2+$OC77*3,SUMPRODUCT($NV77:$OA77,$I$4:$N$4)))</f>
        <v/>
      </c>
      <c r="OR77" s="152">
        <f>MAX(0,9-SUMPRODUCT($NV77:$OA77,$I$5:$N$5)+MIN(8,$OB77*2+$OC77*4,SUMPRODUCT($NV77:$OA77,$I$5:$N$5)))</f>
        <v/>
      </c>
      <c r="OS77" s="152">
        <f>MAX(0,11-SUMPRODUCT($NV77:$OA77,$I$6:$N$6)+MIN(10,$OB77*3+$OC77*5,SUMPRODUCT($NV77:$OA77,$I$6:$N$6)))</f>
        <v/>
      </c>
      <c r="OT77" s="152">
        <f>MAX(0,13-SUMPRODUCT($NV77:$OA77,$I$7:$N$7)+MIN(12,$OB77*3+$OC77*6,SUMPRODUCT($NV77:$OA77,$I$7:$N$7)))</f>
        <v/>
      </c>
      <c r="OU77" s="152">
        <f>MAX(0,16-SUMPRODUCT($NV77:$OA77,$I$8:$N$8)+MIN(14,$OB77*4+$OC77*7,SUMPRODUCT($NV77:$OA77,$I$8:$N$8)))</f>
        <v/>
      </c>
      <c r="OV77" s="152">
        <f>IF($NP77=2,3*$OO77&amp;" de vida temp.",IF($NP77=3,"sem dano",IF($OO77=0,IF($NP77=1,"sem cura","sem dano"),IF($NP77=1,"cura ","")&amp;$OO77&amp;"d8")))</f>
        <v/>
      </c>
      <c r="OW77" s="152">
        <f>IF($NP77=2,3*$OP77&amp;" de vida temp.",IF($NP77=3,"sem dano",IF($OP77=0,IF($NP77=1,"sem cura","sem dano"),IF($NP77=1,"cura ","")&amp;$OP77&amp;"d8")))</f>
        <v/>
      </c>
      <c r="OX77" s="152">
        <f>IF($NP77=2,3*$OQ77&amp;" de vida temp.",IF($NP77=3,"sem dano",IF($OQ77=0,IF($NP77=1,"sem cura","sem dano"),IF($NP77=1,"cura ","")&amp;$OQ77&amp;"d8")))</f>
        <v/>
      </c>
      <c r="OY77" s="152">
        <f>IF($NP77=2,3*$OR77&amp;" de vida temp.",IF($NP77=3,"sem dano",IF($OR77=0,IF($NP77=1,"sem cura","sem dano"),IF($NP77=1,"cura ","")&amp;$OR77&amp;"d8")))</f>
        <v/>
      </c>
      <c r="OZ77" s="152">
        <f>IF($NP77=2,3*$OS77&amp;" de vida temp.",IF($NP77=3,"sem dano",IF($OS77=0,IF($NP77=1,"sem cura","sem dano"),IF($NP77=1,"cura ","")&amp;$OS77&amp;"d8")))</f>
        <v/>
      </c>
      <c r="PA77" s="152">
        <f>IF($NP77=2,3*$OT77&amp;" de vida temp.",IF($NP77=3,"sem dano",IF($OT77=0,IF($NP77=1,"sem cura","sem dano"),IF($NP77=1,"cura ","")&amp;$OT77&amp;"d8")))</f>
        <v/>
      </c>
      <c r="PB77" s="152">
        <f>IF($NP77=2,3*$OU77&amp;" de vida temp.",IF($NP77=3,"sem dano",IF($OU77=0,IF($NP77=1,"sem cura","sem dano"),IF($NP77=1,"cura ","")&amp;$OU77&amp;"d8")))</f>
        <v/>
      </c>
      <c r="PC77" s="152">
        <f>IF($MN77=0,"",TEXTJOIN(" · ",TRUE,IF($MA77&gt;$MO77,"Este lugar abre no nível "&amp;$MA77,""),IF($MC77&gt;$MP77,"Classe "&amp;$MC77&amp;": o nível "&amp;$MO77&amp;" libera até a "&amp;$MP77,""),IF($NH77=1,"A Forma "&amp;$ME77&amp;" pede "&amp;INDEX($W$2:$W$11,$MT77)&amp;" aberta",""),IF(AND($MC77=0,$MT77&gt;0,IF($MT77=0,0,INDEX($AF$2:$AF$11,$MT77))=0),$ME77&amp;" não existe na Classe 0",""),IF($NI77=1,"Família Fechada: "&amp;$MH77,""),IF($NJ77=1,"Família Fechada: "&amp;$MI77,""),IF($NK77=1,"Família Fechada: "&amp;$MJ77,""),IF($NL77=1,"Família Fechada: "&amp;$MK77,""),IF(AND($MC77&gt;0,$OD77&gt;INDEX($O$2:$O$8,MAX(1,$MC77))),$OD77&amp;" Melhorias: a Classe "&amp;$MC77&amp;" aceita "&amp;INDEX($O$2:$O$8,MAX(1,$MC77)),""),IF(AND($MC77=0,$OD77&gt;1),"A básica aceita uma Melhoria",""),IF(AND($MC77=0,COUNTIF($MY77:$NB77,"&gt;1")&gt;0),"A básica só aceita Melhoria Leve",""),IF(AND($MC77&gt;0,$OE77&gt;2),$OE77&amp;" Restrições"&amp;IF($NO77=1,", contando a que a Forma "&amp;$ME77&amp;" já traz","")&amp;": o limite é 2",""),IF(AND($MC77=0,COUNTIF($ML77:$MM77,"?*")&gt;1),"A básica aceita uma Restrição Leve",""),IF(AND($MC77=0,COUNTIF($NR77:$NS77,2)&gt;0),"A básica só aceita Restrição Leve",""),IF(AND($MC77&gt;0,$OL77&lt;0),"Orçamento estourado: faltam "&amp;(-$OL77)&amp;IF($OL77&lt;-1," pontos"," ponto"),""),IF(IFERROR(VLOOKUP($ML77,$BB$2:$BF$24,4,FALSE),0)+IFERROR(VLOOKUP($MM77,$BB$2:$BF$24,4,FALSE),0)&gt;1,$NT77&amp;" e "&amp;$NU77&amp;" são as duas de frequência",""),IF(AND((COUNTIF($MH77:$MK77,"Rápido")+COUNTIF($NT77:$NU77,"Rápido"))&gt;0,(COUNTIF($MH77:$MK77,"Atrasar")+COUNTIF($NT77:$NU77,"Atrasar"))&gt;0),"Rápido não entra com Atrasar",""),IF(AND((COUNTIF($MH77:$MK77,"Reação")+COUNTIF($NT77:$NU77,"Reação"))&gt;0,(COUNTIF($MH77:$MK77,"Rápido")+COUNTIF($NT77:$NU77,"Rápido"))&gt;0),"Reação não entra com Rápido",""),IF(AND((COUNTIF($MH77:$MK77,"Reação")+COUNTIF($NT77:$NU77,"Reação"))&gt;0,(COUNTIF($MH77:$MK77,"Armado")+COUNTIF($NT77:$NU77,"Armado"))&gt;0),"Reação não entra com Armado",""),IF(AND((COUNTIF($MH77:$MK77,"Reação")+COUNTIF($NT77:$NU77,"Reação"))&gt;0,(COUNTIF($MH77:$MK77,"Atrasar")+COUNTIF($NT77:$NU77,"Atrasar"))&gt;0),"Reação não entra com Atrasar",""),IF(AND((COUNTIF($MH77:$MK77,"Reação")+COUNTIF($NT77:$NU77,"Reação"))&gt;0,(COUNTIF($MH77:$MK77,"Parado")+COUNTIF($NT77:$NU77,"Parado"))&gt;0),"Reação não entra com Parado",""),IF(AND((COUNTIF($MH77:$MK77,"Atrasar")+COUNTIF($NT77:$NU77,"Atrasar"))&gt;0,(COUNTIF($MH77:$MK77,"Parado")+COUNTIF($NT77:$NU77,"Parado"))&gt;0),"Atrasar não entra com Parado",""),IF(AND((COUNTIF($MH77:$MK77,"Armado")+COUNTIF($NT77:$NU77,"Armado"))&gt;0,(COUNTIF($MH77:$MK77,"Carregar")+COUNTIF($NT77:$NU77,"Carregar"))&gt;0),"Armado não entra com Carregar",""),IF(AND(COUNTIF($NT77:$NU77,"Corpo a Corpo")&gt;0,$NO77=0,OR($ME77="Cone",$ME77="Linha")),"Corpo a Corpo não entra em "&amp;$ME77,""),IF(AND(COUNTIF($NT77:$NU77,"Corpo a Corpo")&gt;0,$NO77=1),"A Forma "&amp;$ME77&amp;" já traz o Corpo a Corpo",""),IF(AND(COUNTIF($NT77:$NU77,"Tudo ou Nada")&gt;0,$NQ77=0),"Tudo ou Nada só entra em habilidade de Teste de Resistência",""),IF(AND(COUNTIF($MH77:$MK77,"Inescapável")&gt;0,OR($OD77&gt;1,$OE77&gt;0)),"Inescapável não aceita outra peça",""),IF(AND($MC77&gt;0,$OM77*IF(COUNTIF($MH77:$MK77,"Remate")&gt;0,1.25,1)+$ON77&gt;4*$MC77),($OM77*IF(COUNTIF($MH77:$MK77,"Remate")&gt;0,1.25,1)+$ON77)&amp;" dados somando repetições"&amp;IF(COUNTIF($MH77:$MK77,"Remate")&gt;0," e o Remate","")&amp;": o teto da Classe "&amp;$MC77&amp;" é "&amp;4*$MC77,"")))</f>
        <v/>
      </c>
      <c r="PD77" s="152">
        <f>IF($PC77="",0,(LEN($PC77)-LEN(SUBSTITUTE($PC77," · ","")))/3+1)</f>
        <v/>
      </c>
      <c r="PE77" s="152">
        <f>IF($MN77=0,"",TEXTJOIN(" · ",TRUE,IF($OG77&gt;2*$MC77,"A devolução parou no teto de "&amp;2*$MC77,""),IF($OJ77&gt;0,"Devolução perdida: "&amp;$OJ77&amp;IF($OJ77&gt;1," pontos"," ponto")&amp;" sem peça para pagar",""),IF(AND($NM77&gt;0,AND($MC77&gt;0,$NP77=0),$OM77=0),"Controle sem dano: uma rodada a mais e CD +2",""),IF(AND($NM77&gt;0,AND($MC77&gt;0,$NP77=0),$OM77&gt;0,$OM77&lt;=$MC77),"Controle com saldo até a Classe: uma rodada a mais",""),IF(AND($MC77&gt;0,$NN77&lt;&gt;""),"Efeito de "&amp;$NN77&amp;" pela Classe "&amp;MAX(1,$MC77-1),"")))</f>
        <v/>
      </c>
      <c r="PF77" s="152">
        <f>IF($PE77="",0,(LEN($PE77)-LEN(SUBSTITUTE($PE77," · ","")))/3+1)</f>
        <v/>
      </c>
      <c r="PG77" s="152">
        <f>IF($MN77=0,IF($OD77+COUNTIF($ML77:$MM77,"?*")&gt;0,"Dê um nome",""),IF($PD77&gt;0,"⚠ "&amp;$PD77&amp;IF($PD77&gt;1," erros"," erro"),IF($PF77&gt;0,"! "&amp;$PF77&amp;IF($PF77&gt;1," avisos"," aviso"),"Na regra")))</f>
        <v/>
      </c>
      <c r="PH77" s="152">
        <f>IF($MN77=0,"",IF($PD77+$PF77=0,"Dentro das regras que a ficha confere",$PC77&amp;IF(AND($PD77&gt;0,$PF77&gt;0)," · ","")&amp;$PE77))</f>
        <v/>
      </c>
      <c r="PI77" s="152">
        <f>IF($MA77&gt;$MO77,$MB77&amp;" · ABRE NO NÍVEL "&amp;$MA77,$MB77)</f>
        <v/>
      </c>
      <c r="PJ77" s="152">
        <f>IF($MN77=0,"",IF($MC77=0,"Sem PE",3*$MC77&amp;" PE"))</f>
        <v/>
      </c>
      <c r="PK77" s="152">
        <f>IF($MN77=0,"",IF($MC77=0,"A atuação básica dela",IF(COUNTIF($NT77:$NU77,"Atrasar")&gt;0,"Sua Ação Completa",IF(COUNTIF($MH77:$MK77,"Rápido")&gt;0,"Sua Bônus",IF(COUNTIF($MH77:$MK77,"Reação")&gt;0,"Sua Reação","Sua Padrão")))&amp;" + a básica dela"&amp;IF(COUNTIF($MH77:$MK77,"Reação")&gt;0," e a coletiva","")&amp;IF(COUNTIF($NT77:$NU77,"Carregar")&gt;0," · em dois turnos","")))</f>
        <v/>
      </c>
      <c r="PL77" s="152">
        <f>IF($MG77&lt;&gt;"",$MG77,IF($MT77=0,"",INDEX($AA$2:$AA$11,$MT77)))</f>
        <v/>
      </c>
      <c r="PM77" s="152">
        <f>IF(OR($MN77=0,$MT77=0),"",IF(COUNTIF($MH77:$MK77,"Inescapável")&gt;0,"Automático",IF($PL77="Ataque",IF($MR77="","Ataque","Ataque "&amp;IF(($MR77+2*IF(COUNTIF($MH77:$MK77,"Precisão")&gt;0,1,0))&gt;=0,"+","−")&amp;ABS(($MR77+2*IF(COUNTIF($MH77:$MK77,"Precisão")&gt;0,1,0)))),IF(LEFT($PL77,2)="TR",$PL77&amp;IF($MS77="",""," · CD "&amp;$MS77)&amp;IF(COUNTIF($MH77:$MK77,"Certeiro")&gt;0," · metade",""),"Sem rolagem"))))</f>
        <v/>
      </c>
      <c r="PN77" s="152">
        <f>IF(OR($MN77=0,$MT77=0),"",IF($MC77=0,IF(OR($NP77&gt;=1,$OM77=0),"Sem dano",$OM77&amp;"d6"&amp;IF($MF77="",""," "&amp;$MF77)),IF(OR($NP77&gt;=1,$OM77=0),UPPER(LEFT(INDEX($OV77:$PB77,1,MAX(1,$MC77)),1))&amp;MID(INDEX($OV77:$PB77,1,MAX(1,$MC77)),2,99),UPPER(LEFT(INDEX($OV77:$PB77,1,MAX(1,$MC77)),1))&amp;MID(INDEX($OV77:$PB77,1,MAX(1,$MC77)),2,99)&amp;IF($MF77="",""," "&amp;$MF77)&amp;IF($ON77&gt;0," · +"&amp;$ON77&amp;"d8",""))))</f>
        <v/>
      </c>
      <c r="PO77" s="152">
        <f>COUNTIF($MH77:$MK77,"Longe")+3*COUNTIF($MH77:$MK77,"Muito Longe")</f>
        <v/>
      </c>
      <c r="PP77" s="152">
        <f>COUNTIF($MH77:$MK77,"Maior")+3*COUNTIF($MH77:$MK77,"Muito Maior")</f>
        <v/>
      </c>
      <c r="PQ77" s="152">
        <f>IF($MT77=0,0,CHOOSE(1+INDEX($AC$2:$AC$11,$MT77),0,$PO77,$PP77,$PO77+$PP77))</f>
        <v/>
      </c>
      <c r="PR77" s="152">
        <f>IF($MT77=0,0,CHOOSE(1+INDEX($AD$2:$AD$11,$MT77),0,$PO77,$PP77,$PO77+$PP77))</f>
        <v/>
      </c>
      <c r="PS77" s="152">
        <f>IF(OR($MN77=0,$MT77=0),"",INDEX($AI$2:$AN$41,($MT77-1)*4+IF($MC77=0,1,IF($MC77&lt;=5,2,IF($MC77=6,3,4))),1+MIN(5,$PQ77))&amp;INDEX($AO$2:$AT$41,($MT77-1)*4+IF($MC77=0,1,IF($MC77&lt;=5,2,IF($MC77=6,3,4))),1+MIN(5,$PR77))&amp;IF(INDEX($AE$2:$AE$11,$MT77)=1,IF(COUNTIF($MH77:$MK77,"Mais Um")&gt;0," · +"&amp;COUNTIF($MH77:$MK77,"Mais Um")&amp;IF(COUNTIF($MH77:$MK77,"Mais Um")&gt;1," alvos"," alvo"),"")&amp;IF(COUNTIF($MH77:$MK77,"Rajada")&gt;0,IF($MC77=0," · 1 tiro"," · "&amp;(MAX(1,$MC77-1)+1)&amp;" tiros"),""),""))</f>
        <v/>
      </c>
      <c r="PT77" s="152">
        <f>IF($MN77=0,"",IF($MC77=0,$MQ77&amp;"d6"&amp;IF($OD77&gt;0," − 1 = "&amp;$OM77&amp;"d6"," da básica do nível "&amp;$MO77),$OK77&amp;" − "&amp;$OF77&amp;" + "&amp;$OI77&amp;" = "&amp;$OL77&amp;" · teto "&amp;4*$MC77&amp;"d8"&amp;IF($NO77=1," · a Forma devolve "&amp;$MC77,"")&amp;IF($OJ77&gt;0," · perde "&amp;$OJ77,"")))</f>
        <v/>
      </c>
      <c r="PU77" s="152">
        <f>IF($MN77=0,"",IF($MC77=0,"A básica não amplia: os dados dela sobem com o nível",IF($MC77&gt;=$MP77,"Já está na maior Classe que o nível liberou",TEXTJOIN(" · ",TRUE,IF(AND(2&gt;$MC77,2&lt;=$MP77),"2 → "&amp;$OW77&amp;", 6 PE",""),IF(AND(3&gt;$MC77,3&lt;=$MP77),"3 → "&amp;$OX77&amp;", 9 PE",""),IF(AND(4&gt;$MC77,4&lt;=$MP77),"4 → "&amp;$OY77&amp;", 12 PE",""),IF(AND(5&gt;$MC77,5&lt;=$MP77),"5 → "&amp;$OZ77&amp;", 15 PE",""),IF(AND(6&gt;$MC77,6&lt;=$MP77),"6 → "&amp;$PA77&amp;", 18 PE",""),IF(AND(7&gt;$MC77,7&lt;=$MP77),"7 → "&amp;$PB77&amp;", 21 PE","")))))</f>
        <v/>
      </c>
      <c r="PV77" s="152">
        <f>IF(OR($MN77=0,$MY77=0),"",IF($MC77=0,"−1 dado","−"&amp;INDEX($I$2:$N$8,MAX(1,$MC77),MAX(1,$ND77))&amp;" · "&amp;CHOOSE(MAX(1,$ND77),"Leve","Média","Pesada","Leve · Livre","Média · Livre","Pesada · Livre")))</f>
        <v/>
      </c>
      <c r="PW77" s="152">
        <f>IF(OR($MN77=0,$MZ77=0),"",IF($MC77=0,"−1 dado","−"&amp;INDEX($I$2:$N$8,MAX(1,$MC77),MAX(1,$NE77))&amp;" · "&amp;CHOOSE(MAX(1,$NE77),"Leve","Média","Pesada","Leve · Livre","Média · Livre","Pesada · Livre")))</f>
        <v/>
      </c>
      <c r="PX77" s="152">
        <f>IF(OR($MN77=0,$NA77=0),"",IF($MC77=0,"−1 dado","−"&amp;INDEX($I$2:$N$8,MAX(1,$MC77),MAX(1,$NF77))&amp;" · "&amp;CHOOSE(MAX(1,$NF77),"Leve","Média","Pesada","Leve · Livre","Média · Livre","Pesada · Livre")))</f>
        <v/>
      </c>
      <c r="PY77" s="152">
        <f>IF(OR($MN77=0,$NB77=0),"",IF($MC77=0,"−1 dado","−"&amp;INDEX($I$2:$N$8,MAX(1,$MC77),MAX(1,$NG77))&amp;" · "&amp;CHOOSE(MAX(1,$NG77),"Leve","Média","Pesada","Leve · Livre","Média · Livre","Pesada · Livre")))</f>
        <v/>
      </c>
      <c r="PZ77" s="152">
        <f>IF(OR($MN77=0,$ML77=""),"",IF($MC77=0,"não devolve","+"&amp;IF($NR77=1,CEILING($MC77/2,1),$MC77)))</f>
        <v/>
      </c>
      <c r="QA77" s="152">
        <f>IF(OR($MN77=0,$MM77=""),"",IF($MC77=0,"não devolve","+"&amp;IF($NS77=1,CEILING($MC77/2,1),$MC77)))</f>
        <v/>
      </c>
    </row>
    <row r="78">
      <c r="AV78" s="150" t="inlineStr">
        <is>
          <t>Remenda</t>
        </is>
      </c>
      <c r="AW78" s="150" t="inlineStr">
        <is>
          <t>Amparo</t>
        </is>
      </c>
      <c r="AX78" s="152" t="n">
        <v>3</v>
      </c>
      <c r="AY78" s="152" t="n">
        <v>0</v>
      </c>
      <c r="AZ78" s="152" t="n">
        <v>1</v>
      </c>
      <c r="JD78" s="152">
        <f>IF(OR($AW78="",COUNTIF($ED$2:$EH$2,$AW78)&gt;0),$AV78,"")</f>
        <v/>
      </c>
      <c r="JE78" s="152">
        <f>IF(AND($AX78=1,OR($AW78="",COUNTIF($ED$2:$EH$2,$AW78)&gt;0)),$AV78,"")</f>
        <v/>
      </c>
      <c r="JJ78" s="152">
        <f>IF(OR($AW78="",COUNTIF($ED$3:$EH$3,$AW78)&gt;0),$AV78,"")</f>
        <v/>
      </c>
      <c r="JK78" s="152">
        <f>IF(AND($AX78=1,OR($AW78="",COUNTIF($ED$3:$EH$3,$AW78)&gt;0)),$AV78,"")</f>
        <v/>
      </c>
      <c r="JP78" s="152">
        <f>IF(OR($AW78="",COUNTIF($ED$4:$EH$4,$AW78)&gt;0),$AV78,"")</f>
        <v/>
      </c>
      <c r="JQ78" s="152">
        <f>IF(AND($AX78=1,OR($AW78="",COUNTIF($ED$4:$EH$4,$AW78)&gt;0)),$AV78,"")</f>
        <v/>
      </c>
      <c r="JV78" s="152">
        <f>IF(OR($AW78="",COUNTIF($ED$5:$EH$5,$AW78)&gt;0),$AV78,"")</f>
        <v/>
      </c>
      <c r="JW78" s="152">
        <f>IF(AND($AX78=1,OR($AW78="",COUNTIF($ED$5:$EH$5,$AW78)&gt;0)),$AV78,"")</f>
        <v/>
      </c>
      <c r="KB78" s="152">
        <f>IF(OR($AW78="",COUNTIF($ED$6:$EH$6,$AW78)&gt;0),$AV78,"")</f>
        <v/>
      </c>
      <c r="KC78" s="152">
        <f>IF(AND($AX78=1,OR($AW78="",COUNTIF($ED$6:$EH$6,$AW78)&gt;0)),$AV78,"")</f>
        <v/>
      </c>
      <c r="KH78" s="152">
        <f>IF(OR($AW78="",COUNTIF($ED$7:$EH$7,$AW78)&gt;0),$AV78,"")</f>
        <v/>
      </c>
      <c r="KI78" s="152">
        <f>IF(AND($AX78=1,OR($AW78="",COUNTIF($ED$7:$EH$7,$AW78)&gt;0)),$AV78,"")</f>
        <v/>
      </c>
      <c r="KN78" s="152">
        <f>IF(OR($AW78="",COUNTIF($ED$8:$EH$8,$AW78)&gt;0),$AV78,"")</f>
        <v/>
      </c>
      <c r="KO78" s="152">
        <f>IF(AND($AX78=1,OR($AW78="",COUNTIF($ED$8:$EH$8,$AW78)&gt;0)),$AV78,"")</f>
        <v/>
      </c>
      <c r="KT78" s="152">
        <f>IF(OR($AW78="",COUNTIF($ED$9:$EH$9,$AW78)&gt;0),$AV78,"")</f>
        <v/>
      </c>
      <c r="KU78" s="152">
        <f>IF(AND($AX78=1,OR($AW78="",COUNTIF($ED$9:$EH$9,$AW78)&gt;0)),$AV78,"")</f>
        <v/>
      </c>
      <c r="KZ78" s="152">
        <f>IF(OR($AW78="",COUNTIF($ED$10:$EH$10,$AW78)&gt;0),$AV78,"")</f>
        <v/>
      </c>
      <c r="LA78" s="152">
        <f>IF(AND($AX78=1,OR($AW78="",COUNTIF($ED$10:$EH$10,$AW78)&gt;0)),$AV78,"")</f>
        <v/>
      </c>
      <c r="LF78" s="152">
        <f>IF(OR($AW78="",COUNTIF($ED$11:$EH$11,$AW78)&gt;0),$AV78,"")</f>
        <v/>
      </c>
      <c r="LG78" s="152">
        <f>IF(AND($AX78=1,OR($AW78="",COUNTIF($ED$11:$EH$11,$AW78)&gt;0)),$AV78,"")</f>
        <v/>
      </c>
      <c r="LL78" s="152">
        <f>IF(OR($AW78="",COUNTIF($ED$12:$EH$12,$AW78)&gt;0),$AV78,"")</f>
        <v/>
      </c>
      <c r="LM78" s="152">
        <f>IF(AND($AX78=1,OR($AW78="",COUNTIF($ED$12:$EH$12,$AW78)&gt;0)),$AV78,"")</f>
        <v/>
      </c>
      <c r="LR78" s="152">
        <f>IF(OR($AW78="",COUNTIF($ED$13:$EH$13,$AW78)&gt;0),$AV78,"")</f>
        <v/>
      </c>
      <c r="LS78" s="152">
        <f>IF(AND($AX78=1,OR($AW78="",COUNTIF($ED$13:$EH$13,$AW78)&gt;0)),$AV78,"")</f>
        <v/>
      </c>
      <c r="LX78" s="150" t="inlineStr">
        <is>
          <t>Ficha 6 · Escolha da trilha 2</t>
        </is>
      </c>
      <c r="LY78" s="152" t="n">
        <v>6</v>
      </c>
      <c r="LZ78" s="152" t="n">
        <v>2</v>
      </c>
      <c r="MA78" s="152" t="n">
        <v>0</v>
      </c>
      <c r="MB78" s="150" t="inlineStr">
        <is>
          <t>ESCOLHA DA TRILHA 2</t>
        </is>
      </c>
      <c r="MC78" s="152">
        <f>MAX(0,MIN(7,N('INVOCAÇÕES'!$O$1150)))</f>
        <v/>
      </c>
      <c r="MD78" s="152">
        <f>'INVOCAÇÕES'!$P$1150&amp;""</f>
        <v/>
      </c>
      <c r="ME78" s="152">
        <f>'INVOCAÇÕES'!$O$1155&amp;""</f>
        <v/>
      </c>
      <c r="MF78" s="152">
        <f>'INVOCAÇÕES'!$O$1156&amp;""</f>
        <v/>
      </c>
      <c r="MG78" s="152">
        <f>'INVOCAÇÕES'!$Q$1156&amp;""</f>
        <v/>
      </c>
      <c r="MH78" s="152">
        <f>'INVOCAÇÕES'!$P$1159&amp;""</f>
        <v/>
      </c>
      <c r="MI78" s="152">
        <f>'INVOCAÇÕES'!$P$1160&amp;""</f>
        <v/>
      </c>
      <c r="MJ78" s="152">
        <f>'INVOCAÇÕES'!$P$1161&amp;""</f>
        <v/>
      </c>
      <c r="MK78" s="152">
        <f>'INVOCAÇÕES'!$P$1162&amp;""</f>
        <v/>
      </c>
      <c r="ML78" s="152">
        <f>'INVOCAÇÕES'!$P$1163&amp;""</f>
        <v/>
      </c>
      <c r="MM78" s="152">
        <f>'INVOCAÇÕES'!$P$1164&amp;""</f>
        <v/>
      </c>
      <c r="MN78" s="152">
        <f>IF($MD78&lt;&gt;"",1,0)</f>
        <v/>
      </c>
      <c r="MO78" s="152">
        <f>INDEX($FG$2:$FG$13,$LY78)</f>
        <v/>
      </c>
      <c r="MP78" s="152">
        <f>INDEX($FH$2:$FH$13,$LY78)</f>
        <v/>
      </c>
      <c r="MQ78" s="152">
        <f>INDEX($FI$2:$FI$13,$LY78)</f>
        <v/>
      </c>
      <c r="MR78" s="152">
        <f>INDEX($FT$2:$FT$13,$LY78)</f>
        <v/>
      </c>
      <c r="MS78" s="152">
        <f>INDEX($FU$2:$FU$13,$LY78)</f>
        <v/>
      </c>
      <c r="MT78" s="152">
        <f>IFERROR(MATCH($ME78,$V$2:$V$11,0),0)</f>
        <v/>
      </c>
      <c r="MU78" s="152">
        <f>IFERROR(VLOOKUP($MH78,$AV$2:$AZ$84,2,FALSE),"")</f>
        <v/>
      </c>
      <c r="MV78" s="152">
        <f>IFERROR(VLOOKUP($MI78,$AV$2:$AZ$84,2,FALSE),"")</f>
        <v/>
      </c>
      <c r="MW78" s="152">
        <f>IFERROR(VLOOKUP($MJ78,$AV$2:$AZ$84,2,FALSE),"")</f>
        <v/>
      </c>
      <c r="MX78" s="152">
        <f>IFERROR(VLOOKUP($MK78,$AV$2:$AZ$84,2,FALSE),"")</f>
        <v/>
      </c>
      <c r="MY78" s="152">
        <f>IFERROR(VLOOKUP($MH78,$AV$2:$AZ$84,3,FALSE),0)</f>
        <v/>
      </c>
      <c r="MZ78" s="152">
        <f>IFERROR(VLOOKUP($MI78,$AV$2:$AZ$84,3,FALSE),0)</f>
        <v/>
      </c>
      <c r="NA78" s="152">
        <f>IFERROR(VLOOKUP($MJ78,$AV$2:$AZ$84,3,FALSE),0)</f>
        <v/>
      </c>
      <c r="NB78" s="152">
        <f>IFERROR(VLOOKUP($MK78,$AV$2:$AZ$84,3,FALSE),0)</f>
        <v/>
      </c>
      <c r="NC78" s="152">
        <f>IF($MC78=0,0,IF($MT78=0,0,INDEX($X$2:$X$11,$MT78)))</f>
        <v/>
      </c>
      <c r="ND78" s="152">
        <f>IF(OR($MY78=0,$MC78=0),0,$MY78+3*IF(AND($MU78&lt;&gt;"",OR($MU78=INDEX($ED$2:$ED$13,$LY78),$MU78=INDEX($EE$2:$EE$13,$LY78))),1,0))</f>
        <v/>
      </c>
      <c r="NE78" s="152">
        <f>IF(OR($MZ78=0,$MC78=0),0,$MZ78+3*IF(AND($MV78&lt;&gt;"",OR($MV78=INDEX($ED$2:$ED$13,$LY78),$MV78=INDEX($EE$2:$EE$13,$LY78))),1,0))</f>
        <v/>
      </c>
      <c r="NF78" s="152">
        <f>IF(OR($NA78=0,$MC78=0),0,$NA78+3*IF(AND($MW78&lt;&gt;"",OR($MW78=INDEX($ED$2:$ED$13,$LY78),$MW78=INDEX($EE$2:$EE$13,$LY78))),1,0))</f>
        <v/>
      </c>
      <c r="NG78" s="152">
        <f>IF(OR($NB78=0,$MC78=0),0,$NB78+3*IF(AND($MX78&lt;&gt;"",OR($MX78=INDEX($ED$2:$ED$13,$LY78),$MX78=INDEX($EE$2:$EE$13,$LY78))),1,0))</f>
        <v/>
      </c>
      <c r="NH78" s="152">
        <f>IF($MT78=0,0,IF(INDEX($W$2:$W$11,$MT78)="",0,IF(COUNTIF(INDEX($ED$2:$EH$13,$LY78,0),INDEX($W$2:$W$11,$MT78))=0,1,0)))</f>
        <v/>
      </c>
      <c r="NI78" s="152">
        <f>IF(OR($MY78=0,$MU78=""),0,IF(COUNTIF(INDEX($ED$2:$EH$13,$LY78,0),$MU78)=0,1,0))</f>
        <v/>
      </c>
      <c r="NJ78" s="152">
        <f>IF(OR($MZ78=0,$MV78=""),0,IF(COUNTIF(INDEX($ED$2:$EH$13,$LY78,0),$MV78)=0,1,0))</f>
        <v/>
      </c>
      <c r="NK78" s="152">
        <f>IF(OR($NA78=0,$MW78=""),0,IF(COUNTIF(INDEX($ED$2:$EH$13,$LY78,0),$MW78)=0,1,0))</f>
        <v/>
      </c>
      <c r="NL78" s="152">
        <f>IF(OR($NB78=0,$MX78=""),0,IF(COUNTIF(INDEX($ED$2:$EH$13,$LY78,0),$MX78)=0,1,0))</f>
        <v/>
      </c>
      <c r="NM78" s="152">
        <f>IFERROR(VLOOKUP($MH78,$AV$2:$AZ$84,4,FALSE),0)+IFERROR(VLOOKUP($MI78,$AV$2:$AZ$84,4,FALSE),0)+IFERROR(VLOOKUP($MJ78,$AV$2:$AZ$84,4,FALSE),0)+IFERROR(VLOOKUP($MK78,$AV$2:$AZ$84,4,FALSE),0)</f>
        <v/>
      </c>
      <c r="NN78" s="152">
        <f>TEXTJOIN(", ",TRUE,IF(IFERROR(VLOOKUP($MH78,$AV$2:$AZ$84,5,FALSE),0)=1,$MH78,""),IF(IFERROR(VLOOKUP($MI78,$AV$2:$AZ$84,5,FALSE),0)=1,$MI78,""),IF(IFERROR(VLOOKUP($MJ78,$AV$2:$AZ$84,5,FALSE),0)=1,$MJ78,""),IF(IFERROR(VLOOKUP($MK78,$AV$2:$AZ$84,5,FALSE),0)=1,$MK78,""))</f>
        <v/>
      </c>
      <c r="NO78" s="152">
        <f>IF($MT78=0,0,INDEX($Y$2:$Y$11,$MT78))</f>
        <v/>
      </c>
      <c r="NP78" s="152">
        <f>IF($MT78=0,0,INDEX($Z$2:$Z$11,$MT78))</f>
        <v/>
      </c>
      <c r="NQ78" s="152">
        <f>IF($MT78=0,0,INDEX($AB$2:$AB$11,$MT78))</f>
        <v/>
      </c>
      <c r="NR78" s="152">
        <f>IFERROR(VLOOKUP($ML78,$BB$2:$BF$24,3,FALSE),0)</f>
        <v/>
      </c>
      <c r="NS78" s="152">
        <f>IFERROR(VLOOKUP($MM78,$BB$2:$BF$24,3,FALSE),0)</f>
        <v/>
      </c>
      <c r="NT78" s="152">
        <f>IFERROR(VLOOKUP($ML78,$BB$2:$BF$24,2,FALSE),"")</f>
        <v/>
      </c>
      <c r="NU78" s="152">
        <f>IFERROR(VLOOKUP($MM78,$BB$2:$BF$24,2,FALSE),"")</f>
        <v/>
      </c>
      <c r="NV78" s="152">
        <f>COUNTIF($NC78:$NG78,1)</f>
        <v/>
      </c>
      <c r="NW78" s="152">
        <f>COUNTIF($NC78:$NG78,2)</f>
        <v/>
      </c>
      <c r="NX78" s="152">
        <f>COUNTIF($NC78:$NG78,3)</f>
        <v/>
      </c>
      <c r="NY78" s="152">
        <f>COUNTIF($NC78:$NG78,4)</f>
        <v/>
      </c>
      <c r="NZ78" s="152">
        <f>COUNTIF($NC78:$NG78,5)</f>
        <v/>
      </c>
      <c r="OA78" s="152">
        <f>COUNTIF($NC78:$NG78,6)</f>
        <v/>
      </c>
      <c r="OB78" s="152">
        <f>COUNTIF($NR78:$NS78,1)</f>
        <v/>
      </c>
      <c r="OC78" s="152">
        <f>COUNTIF($NR78:$NS78,2)+$NO78</f>
        <v/>
      </c>
      <c r="OD78" s="152">
        <f>COUNTIF($MH78:$MK78,"?*")</f>
        <v/>
      </c>
      <c r="OE78" s="152">
        <f>COUNTIF($ML78:$MM78,"?*")+$NO78</f>
        <v/>
      </c>
      <c r="OF78" s="152">
        <f>IF($MC78=0,0,SUMPRODUCT($NV78:$OA78,INDEX($I$2:$N$8,MAX(1,$MC78),0)))</f>
        <v/>
      </c>
      <c r="OG78" s="152">
        <f>IF($MC78=0,0,$OB78*CEILING($MC78/2,1)+$OC78*$MC78)</f>
        <v/>
      </c>
      <c r="OH78" s="152">
        <f>MIN(2*$MC78,$OG78)</f>
        <v/>
      </c>
      <c r="OI78" s="152">
        <f>MIN($OH78,$OF78)</f>
        <v/>
      </c>
      <c r="OJ78" s="152">
        <f>$OH78-$OI78</f>
        <v/>
      </c>
      <c r="OK78" s="152">
        <f>IF($MC78=0,0,INDEX($P$2:$P$8,MAX(1,$MC78)))</f>
        <v/>
      </c>
      <c r="OL78" s="152">
        <f>$OK78-$OF78+$OI78</f>
        <v/>
      </c>
      <c r="OM78" s="152">
        <f>IF($MC78=0,MAX(0,$MQ78-IF($OD78&gt;0,1,0)),MAX(0,$OL78))</f>
        <v/>
      </c>
      <c r="ON78" s="152">
        <f>IF($MC78=0,0,(IF(COUNTIF($MH78:$MK78,"Salto")&gt;0,1,0)+IF(COUNTIF($MH78:$MK78,"Queima")&gt;0,1,0)+IF(COUNTIF($MH78:$MK78,"Estilhaço")&gt;0,1,0))*FLOOR($OM78/2,1))</f>
        <v/>
      </c>
      <c r="OO78" s="152">
        <f>MAX(0,2-SUMPRODUCT($NV78:$OA78,$I$2:$N$2)+MIN(2,$OB78*1+$OC78*1,SUMPRODUCT($NV78:$OA78,$I$2:$N$2)))</f>
        <v/>
      </c>
      <c r="OP78" s="152">
        <f>MAX(0,4-SUMPRODUCT($NV78:$OA78,$I$3:$N$3)+MIN(4,$OB78*1+$OC78*2,SUMPRODUCT($NV78:$OA78,$I$3:$N$3)))</f>
        <v/>
      </c>
      <c r="OQ78" s="152">
        <f>MAX(0,6-SUMPRODUCT($NV78:$OA78,$I$4:$N$4)+MIN(6,$OB78*2+$OC78*3,SUMPRODUCT($NV78:$OA78,$I$4:$N$4)))</f>
        <v/>
      </c>
      <c r="OR78" s="152">
        <f>MAX(0,9-SUMPRODUCT($NV78:$OA78,$I$5:$N$5)+MIN(8,$OB78*2+$OC78*4,SUMPRODUCT($NV78:$OA78,$I$5:$N$5)))</f>
        <v/>
      </c>
      <c r="OS78" s="152">
        <f>MAX(0,11-SUMPRODUCT($NV78:$OA78,$I$6:$N$6)+MIN(10,$OB78*3+$OC78*5,SUMPRODUCT($NV78:$OA78,$I$6:$N$6)))</f>
        <v/>
      </c>
      <c r="OT78" s="152">
        <f>MAX(0,13-SUMPRODUCT($NV78:$OA78,$I$7:$N$7)+MIN(12,$OB78*3+$OC78*6,SUMPRODUCT($NV78:$OA78,$I$7:$N$7)))</f>
        <v/>
      </c>
      <c r="OU78" s="152">
        <f>MAX(0,16-SUMPRODUCT($NV78:$OA78,$I$8:$N$8)+MIN(14,$OB78*4+$OC78*7,SUMPRODUCT($NV78:$OA78,$I$8:$N$8)))</f>
        <v/>
      </c>
      <c r="OV78" s="152">
        <f>IF($NP78=2,3*$OO78&amp;" de vida temp.",IF($NP78=3,"sem dano",IF($OO78=0,IF($NP78=1,"sem cura","sem dano"),IF($NP78=1,"cura ","")&amp;$OO78&amp;"d8")))</f>
        <v/>
      </c>
      <c r="OW78" s="152">
        <f>IF($NP78=2,3*$OP78&amp;" de vida temp.",IF($NP78=3,"sem dano",IF($OP78=0,IF($NP78=1,"sem cura","sem dano"),IF($NP78=1,"cura ","")&amp;$OP78&amp;"d8")))</f>
        <v/>
      </c>
      <c r="OX78" s="152">
        <f>IF($NP78=2,3*$OQ78&amp;" de vida temp.",IF($NP78=3,"sem dano",IF($OQ78=0,IF($NP78=1,"sem cura","sem dano"),IF($NP78=1,"cura ","")&amp;$OQ78&amp;"d8")))</f>
        <v/>
      </c>
      <c r="OY78" s="152">
        <f>IF($NP78=2,3*$OR78&amp;" de vida temp.",IF($NP78=3,"sem dano",IF($OR78=0,IF($NP78=1,"sem cura","sem dano"),IF($NP78=1,"cura ","")&amp;$OR78&amp;"d8")))</f>
        <v/>
      </c>
      <c r="OZ78" s="152">
        <f>IF($NP78=2,3*$OS78&amp;" de vida temp.",IF($NP78=3,"sem dano",IF($OS78=0,IF($NP78=1,"sem cura","sem dano"),IF($NP78=1,"cura ","")&amp;$OS78&amp;"d8")))</f>
        <v/>
      </c>
      <c r="PA78" s="152">
        <f>IF($NP78=2,3*$OT78&amp;" de vida temp.",IF($NP78=3,"sem dano",IF($OT78=0,IF($NP78=1,"sem cura","sem dano"),IF($NP78=1,"cura ","")&amp;$OT78&amp;"d8")))</f>
        <v/>
      </c>
      <c r="PB78" s="152">
        <f>IF($NP78=2,3*$OU78&amp;" de vida temp.",IF($NP78=3,"sem dano",IF($OU78=0,IF($NP78=1,"sem cura","sem dano"),IF($NP78=1,"cura ","")&amp;$OU78&amp;"d8")))</f>
        <v/>
      </c>
      <c r="PC78" s="152">
        <f>IF($MN78=0,"",TEXTJOIN(" · ",TRUE,IF($MA78&gt;$MO78,"Este lugar abre no nível "&amp;$MA78,""),IF($MC78&gt;$MP78,"Classe "&amp;$MC78&amp;": o nível "&amp;$MO78&amp;" libera até a "&amp;$MP78,""),IF($NH78=1,"A Forma "&amp;$ME78&amp;" pede "&amp;INDEX($W$2:$W$11,$MT78)&amp;" aberta",""),IF(AND($MC78=0,$MT78&gt;0,IF($MT78=0,0,INDEX($AF$2:$AF$11,$MT78))=0),$ME78&amp;" não existe na Classe 0",""),IF($NI78=1,"Família Fechada: "&amp;$MH78,""),IF($NJ78=1,"Família Fechada: "&amp;$MI78,""),IF($NK78=1,"Família Fechada: "&amp;$MJ78,""),IF($NL78=1,"Família Fechada: "&amp;$MK78,""),IF(AND($MC78&gt;0,$OD78&gt;INDEX($O$2:$O$8,MAX(1,$MC78))),$OD78&amp;" Melhorias: a Classe "&amp;$MC78&amp;" aceita "&amp;INDEX($O$2:$O$8,MAX(1,$MC78)),""),IF(AND($MC78=0,$OD78&gt;1),"A básica aceita uma Melhoria",""),IF(AND($MC78=0,COUNTIF($MY78:$NB78,"&gt;1")&gt;0),"A básica só aceita Melhoria Leve",""),IF(AND($MC78&gt;0,$OE78&gt;2),$OE78&amp;" Restrições"&amp;IF($NO78=1,", contando a que a Forma "&amp;$ME78&amp;" já traz","")&amp;": o limite é 2",""),IF(AND($MC78=0,COUNTIF($ML78:$MM78,"?*")&gt;1),"A básica aceita uma Restrição Leve",""),IF(AND($MC78=0,COUNTIF($NR78:$NS78,2)&gt;0),"A básica só aceita Restrição Leve",""),IF(AND($MC78&gt;0,$OL78&lt;0),"Orçamento estourado: faltam "&amp;(-$OL78)&amp;IF($OL78&lt;-1," pontos"," ponto"),""),IF(IFERROR(VLOOKUP($ML78,$BB$2:$BF$24,4,FALSE),0)+IFERROR(VLOOKUP($MM78,$BB$2:$BF$24,4,FALSE),0)&gt;1,$NT78&amp;" e "&amp;$NU78&amp;" são as duas de frequência",""),IF(AND((COUNTIF($MH78:$MK78,"Rápido")+COUNTIF($NT78:$NU78,"Rápido"))&gt;0,(COUNTIF($MH78:$MK78,"Atrasar")+COUNTIF($NT78:$NU78,"Atrasar"))&gt;0),"Rápido não entra com Atrasar",""),IF(AND((COUNTIF($MH78:$MK78,"Reação")+COUNTIF($NT78:$NU78,"Reação"))&gt;0,(COUNTIF($MH78:$MK78,"Rápido")+COUNTIF($NT78:$NU78,"Rápido"))&gt;0),"Reação não entra com Rápido",""),IF(AND((COUNTIF($MH78:$MK78,"Reação")+COUNTIF($NT78:$NU78,"Reação"))&gt;0,(COUNTIF($MH78:$MK78,"Armado")+COUNTIF($NT78:$NU78,"Armado"))&gt;0),"Reação não entra com Armado",""),IF(AND((COUNTIF($MH78:$MK78,"Reação")+COUNTIF($NT78:$NU78,"Reação"))&gt;0,(COUNTIF($MH78:$MK78,"Atrasar")+COUNTIF($NT78:$NU78,"Atrasar"))&gt;0),"Reação não entra com Atrasar",""),IF(AND((COUNTIF($MH78:$MK78,"Reação")+COUNTIF($NT78:$NU78,"Reação"))&gt;0,(COUNTIF($MH78:$MK78,"Parado")+COUNTIF($NT78:$NU78,"Parado"))&gt;0),"Reação não entra com Parado",""),IF(AND((COUNTIF($MH78:$MK78,"Atrasar")+COUNTIF($NT78:$NU78,"Atrasar"))&gt;0,(COUNTIF($MH78:$MK78,"Parado")+COUNTIF($NT78:$NU78,"Parado"))&gt;0),"Atrasar não entra com Parado",""),IF(AND((COUNTIF($MH78:$MK78,"Armado")+COUNTIF($NT78:$NU78,"Armado"))&gt;0,(COUNTIF($MH78:$MK78,"Carregar")+COUNTIF($NT78:$NU78,"Carregar"))&gt;0),"Armado não entra com Carregar",""),IF(AND(COUNTIF($NT78:$NU78,"Corpo a Corpo")&gt;0,$NO78=0,OR($ME78="Cone",$ME78="Linha")),"Corpo a Corpo não entra em "&amp;$ME78,""),IF(AND(COUNTIF($NT78:$NU78,"Corpo a Corpo")&gt;0,$NO78=1),"A Forma "&amp;$ME78&amp;" já traz o Corpo a Corpo",""),IF(AND(COUNTIF($NT78:$NU78,"Tudo ou Nada")&gt;0,$NQ78=0),"Tudo ou Nada só entra em habilidade de Teste de Resistência",""),IF(AND(COUNTIF($MH78:$MK78,"Inescapável")&gt;0,OR($OD78&gt;1,$OE78&gt;0)),"Inescapável não aceita outra peça",""),IF(AND($MC78&gt;0,$OM78*IF(COUNTIF($MH78:$MK78,"Remate")&gt;0,1.25,1)+$ON78&gt;4*$MC78),($OM78*IF(COUNTIF($MH78:$MK78,"Remate")&gt;0,1.25,1)+$ON78)&amp;" dados somando repetições"&amp;IF(COUNTIF($MH78:$MK78,"Remate")&gt;0," e o Remate","")&amp;": o teto da Classe "&amp;$MC78&amp;" é "&amp;4*$MC78,"")))</f>
        <v/>
      </c>
      <c r="PD78" s="152">
        <f>IF($PC78="",0,(LEN($PC78)-LEN(SUBSTITUTE($PC78," · ","")))/3+1)</f>
        <v/>
      </c>
      <c r="PE78" s="152">
        <f>IF($MN78=0,"",TEXTJOIN(" · ",TRUE,IF($OG78&gt;2*$MC78,"A devolução parou no teto de "&amp;2*$MC78,""),IF($OJ78&gt;0,"Devolução perdida: "&amp;$OJ78&amp;IF($OJ78&gt;1," pontos"," ponto")&amp;" sem peça para pagar",""),IF(AND($NM78&gt;0,AND($MC78&gt;0,$NP78=0),$OM78=0),"Controle sem dano: uma rodada a mais e CD +2",""),IF(AND($NM78&gt;0,AND($MC78&gt;0,$NP78=0),$OM78&gt;0,$OM78&lt;=$MC78),"Controle com saldo até a Classe: uma rodada a mais",""),IF(AND($MC78&gt;0,$NN78&lt;&gt;""),"Efeito de "&amp;$NN78&amp;" pela Classe "&amp;MAX(1,$MC78-1),"")))</f>
        <v/>
      </c>
      <c r="PF78" s="152">
        <f>IF($PE78="",0,(LEN($PE78)-LEN(SUBSTITUTE($PE78," · ","")))/3+1)</f>
        <v/>
      </c>
      <c r="PG78" s="152">
        <f>IF($MN78=0,IF($OD78+COUNTIF($ML78:$MM78,"?*")&gt;0,"Dê um nome",""),IF($PD78&gt;0,"⚠ "&amp;$PD78&amp;IF($PD78&gt;1," erros"," erro"),IF($PF78&gt;0,"! "&amp;$PF78&amp;IF($PF78&gt;1," avisos"," aviso"),"Na regra")))</f>
        <v/>
      </c>
      <c r="PH78" s="152">
        <f>IF($MN78=0,"",IF($PD78+$PF78=0,"Dentro das regras que a ficha confere",$PC78&amp;IF(AND($PD78&gt;0,$PF78&gt;0)," · ","")&amp;$PE78))</f>
        <v/>
      </c>
      <c r="PI78" s="152">
        <f>IF($MA78&gt;$MO78,$MB78&amp;" · ABRE NO NÍVEL "&amp;$MA78,$MB78)</f>
        <v/>
      </c>
      <c r="PJ78" s="152">
        <f>IF($MN78=0,"",IF($MC78=0,"Sem PE",3*$MC78&amp;" PE"))</f>
        <v/>
      </c>
      <c r="PK78" s="152">
        <f>IF($MN78=0,"",IF($MC78=0,"A atuação básica dela",IF(COUNTIF($NT78:$NU78,"Atrasar")&gt;0,"Sua Ação Completa",IF(COUNTIF($MH78:$MK78,"Rápido")&gt;0,"Sua Bônus",IF(COUNTIF($MH78:$MK78,"Reação")&gt;0,"Sua Reação","Sua Padrão")))&amp;" + a básica dela"&amp;IF(COUNTIF($MH78:$MK78,"Reação")&gt;0," e a coletiva","")&amp;IF(COUNTIF($NT78:$NU78,"Carregar")&gt;0," · em dois turnos","")))</f>
        <v/>
      </c>
      <c r="PL78" s="152">
        <f>IF($MG78&lt;&gt;"",$MG78,IF($MT78=0,"",INDEX($AA$2:$AA$11,$MT78)))</f>
        <v/>
      </c>
      <c r="PM78" s="152">
        <f>IF(OR($MN78=0,$MT78=0),"",IF(COUNTIF($MH78:$MK78,"Inescapável")&gt;0,"Automático",IF($PL78="Ataque",IF($MR78="","Ataque","Ataque "&amp;IF(($MR78+2*IF(COUNTIF($MH78:$MK78,"Precisão")&gt;0,1,0))&gt;=0,"+","−")&amp;ABS(($MR78+2*IF(COUNTIF($MH78:$MK78,"Precisão")&gt;0,1,0)))),IF(LEFT($PL78,2)="TR",$PL78&amp;IF($MS78="",""," · CD "&amp;$MS78)&amp;IF(COUNTIF($MH78:$MK78,"Certeiro")&gt;0," · metade",""),"Sem rolagem"))))</f>
        <v/>
      </c>
      <c r="PN78" s="152">
        <f>IF(OR($MN78=0,$MT78=0),"",IF($MC78=0,IF(OR($NP78&gt;=1,$OM78=0),"Sem dano",$OM78&amp;"d6"&amp;IF($MF78="",""," "&amp;$MF78)),IF(OR($NP78&gt;=1,$OM78=0),UPPER(LEFT(INDEX($OV78:$PB78,1,MAX(1,$MC78)),1))&amp;MID(INDEX($OV78:$PB78,1,MAX(1,$MC78)),2,99),UPPER(LEFT(INDEX($OV78:$PB78,1,MAX(1,$MC78)),1))&amp;MID(INDEX($OV78:$PB78,1,MAX(1,$MC78)),2,99)&amp;IF($MF78="",""," "&amp;$MF78)&amp;IF($ON78&gt;0," · +"&amp;$ON78&amp;"d8",""))))</f>
        <v/>
      </c>
      <c r="PO78" s="152">
        <f>COUNTIF($MH78:$MK78,"Longe")+3*COUNTIF($MH78:$MK78,"Muito Longe")</f>
        <v/>
      </c>
      <c r="PP78" s="152">
        <f>COUNTIF($MH78:$MK78,"Maior")+3*COUNTIF($MH78:$MK78,"Muito Maior")</f>
        <v/>
      </c>
      <c r="PQ78" s="152">
        <f>IF($MT78=0,0,CHOOSE(1+INDEX($AC$2:$AC$11,$MT78),0,$PO78,$PP78,$PO78+$PP78))</f>
        <v/>
      </c>
      <c r="PR78" s="152">
        <f>IF($MT78=0,0,CHOOSE(1+INDEX($AD$2:$AD$11,$MT78),0,$PO78,$PP78,$PO78+$PP78))</f>
        <v/>
      </c>
      <c r="PS78" s="152">
        <f>IF(OR($MN78=0,$MT78=0),"",INDEX($AI$2:$AN$41,($MT78-1)*4+IF($MC78=0,1,IF($MC78&lt;=5,2,IF($MC78=6,3,4))),1+MIN(5,$PQ78))&amp;INDEX($AO$2:$AT$41,($MT78-1)*4+IF($MC78=0,1,IF($MC78&lt;=5,2,IF($MC78=6,3,4))),1+MIN(5,$PR78))&amp;IF(INDEX($AE$2:$AE$11,$MT78)=1,IF(COUNTIF($MH78:$MK78,"Mais Um")&gt;0," · +"&amp;COUNTIF($MH78:$MK78,"Mais Um")&amp;IF(COUNTIF($MH78:$MK78,"Mais Um")&gt;1," alvos"," alvo"),"")&amp;IF(COUNTIF($MH78:$MK78,"Rajada")&gt;0,IF($MC78=0," · 1 tiro"," · "&amp;(MAX(1,$MC78-1)+1)&amp;" tiros"),""),""))</f>
        <v/>
      </c>
      <c r="PT78" s="152">
        <f>IF($MN78=0,"",IF($MC78=0,$MQ78&amp;"d6"&amp;IF($OD78&gt;0," − 1 = "&amp;$OM78&amp;"d6"," da básica do nível "&amp;$MO78),$OK78&amp;" − "&amp;$OF78&amp;" + "&amp;$OI78&amp;" = "&amp;$OL78&amp;" · teto "&amp;4*$MC78&amp;"d8"&amp;IF($NO78=1," · a Forma devolve "&amp;$MC78,"")&amp;IF($OJ78&gt;0," · perde "&amp;$OJ78,"")))</f>
        <v/>
      </c>
      <c r="PU78" s="152">
        <f>IF($MN78=0,"",IF($MC78=0,"A básica não amplia: os dados dela sobem com o nível",IF($MC78&gt;=$MP78,"Já está na maior Classe que o nível liberou",TEXTJOIN(" · ",TRUE,IF(AND(2&gt;$MC78,2&lt;=$MP78),"2 → "&amp;$OW78&amp;", 6 PE",""),IF(AND(3&gt;$MC78,3&lt;=$MP78),"3 → "&amp;$OX78&amp;", 9 PE",""),IF(AND(4&gt;$MC78,4&lt;=$MP78),"4 → "&amp;$OY78&amp;", 12 PE",""),IF(AND(5&gt;$MC78,5&lt;=$MP78),"5 → "&amp;$OZ78&amp;", 15 PE",""),IF(AND(6&gt;$MC78,6&lt;=$MP78),"6 → "&amp;$PA78&amp;", 18 PE",""),IF(AND(7&gt;$MC78,7&lt;=$MP78),"7 → "&amp;$PB78&amp;", 21 PE","")))))</f>
        <v/>
      </c>
      <c r="PV78" s="152">
        <f>IF(OR($MN78=0,$MY78=0),"",IF($MC78=0,"−1 dado","−"&amp;INDEX($I$2:$N$8,MAX(1,$MC78),MAX(1,$ND78))&amp;" · "&amp;CHOOSE(MAX(1,$ND78),"Leve","Média","Pesada","Leve · Livre","Média · Livre","Pesada · Livre")))</f>
        <v/>
      </c>
      <c r="PW78" s="152">
        <f>IF(OR($MN78=0,$MZ78=0),"",IF($MC78=0,"−1 dado","−"&amp;INDEX($I$2:$N$8,MAX(1,$MC78),MAX(1,$NE78))&amp;" · "&amp;CHOOSE(MAX(1,$NE78),"Leve","Média","Pesada","Leve · Livre","Média · Livre","Pesada · Livre")))</f>
        <v/>
      </c>
      <c r="PX78" s="152">
        <f>IF(OR($MN78=0,$NA78=0),"",IF($MC78=0,"−1 dado","−"&amp;INDEX($I$2:$N$8,MAX(1,$MC78),MAX(1,$NF78))&amp;" · "&amp;CHOOSE(MAX(1,$NF78),"Leve","Média","Pesada","Leve · Livre","Média · Livre","Pesada · Livre")))</f>
        <v/>
      </c>
      <c r="PY78" s="152">
        <f>IF(OR($MN78=0,$NB78=0),"",IF($MC78=0,"−1 dado","−"&amp;INDEX($I$2:$N$8,MAX(1,$MC78),MAX(1,$NG78))&amp;" · "&amp;CHOOSE(MAX(1,$NG78),"Leve","Média","Pesada","Leve · Livre","Média · Livre","Pesada · Livre")))</f>
        <v/>
      </c>
      <c r="PZ78" s="152">
        <f>IF(OR($MN78=0,$ML78=""),"",IF($MC78=0,"não devolve","+"&amp;IF($NR78=1,CEILING($MC78/2,1),$MC78)))</f>
        <v/>
      </c>
      <c r="QA78" s="152">
        <f>IF(OR($MN78=0,$MM78=""),"",IF($MC78=0,"não devolve","+"&amp;IF($NS78=1,CEILING($MC78/2,1),$MC78)))</f>
        <v/>
      </c>
    </row>
    <row r="79">
      <c r="AV79" s="150" t="inlineStr">
        <is>
          <t>Divide</t>
        </is>
      </c>
      <c r="AW79" s="150" t="inlineStr">
        <is>
          <t>Amparo</t>
        </is>
      </c>
      <c r="AX79" s="152" t="n">
        <v>2</v>
      </c>
      <c r="AY79" s="152" t="n">
        <v>0</v>
      </c>
      <c r="AZ79" s="152" t="n">
        <v>0</v>
      </c>
      <c r="JD79" s="152">
        <f>IF(OR($AW79="",COUNTIF($ED$2:$EH$2,$AW79)&gt;0),$AV79,"")</f>
        <v/>
      </c>
      <c r="JE79" s="152">
        <f>IF(AND($AX79=1,OR($AW79="",COUNTIF($ED$2:$EH$2,$AW79)&gt;0)),$AV79,"")</f>
        <v/>
      </c>
      <c r="JJ79" s="152">
        <f>IF(OR($AW79="",COUNTIF($ED$3:$EH$3,$AW79)&gt;0),$AV79,"")</f>
        <v/>
      </c>
      <c r="JK79" s="152">
        <f>IF(AND($AX79=1,OR($AW79="",COUNTIF($ED$3:$EH$3,$AW79)&gt;0)),$AV79,"")</f>
        <v/>
      </c>
      <c r="JP79" s="152">
        <f>IF(OR($AW79="",COUNTIF($ED$4:$EH$4,$AW79)&gt;0),$AV79,"")</f>
        <v/>
      </c>
      <c r="JQ79" s="152">
        <f>IF(AND($AX79=1,OR($AW79="",COUNTIF($ED$4:$EH$4,$AW79)&gt;0)),$AV79,"")</f>
        <v/>
      </c>
      <c r="JV79" s="152">
        <f>IF(OR($AW79="",COUNTIF($ED$5:$EH$5,$AW79)&gt;0),$AV79,"")</f>
        <v/>
      </c>
      <c r="JW79" s="152">
        <f>IF(AND($AX79=1,OR($AW79="",COUNTIF($ED$5:$EH$5,$AW79)&gt;0)),$AV79,"")</f>
        <v/>
      </c>
      <c r="KB79" s="152">
        <f>IF(OR($AW79="",COUNTIF($ED$6:$EH$6,$AW79)&gt;0),$AV79,"")</f>
        <v/>
      </c>
      <c r="KC79" s="152">
        <f>IF(AND($AX79=1,OR($AW79="",COUNTIF($ED$6:$EH$6,$AW79)&gt;0)),$AV79,"")</f>
        <v/>
      </c>
      <c r="KH79" s="152">
        <f>IF(OR($AW79="",COUNTIF($ED$7:$EH$7,$AW79)&gt;0),$AV79,"")</f>
        <v/>
      </c>
      <c r="KI79" s="152">
        <f>IF(AND($AX79=1,OR($AW79="",COUNTIF($ED$7:$EH$7,$AW79)&gt;0)),$AV79,"")</f>
        <v/>
      </c>
      <c r="KN79" s="152">
        <f>IF(OR($AW79="",COUNTIF($ED$8:$EH$8,$AW79)&gt;0),$AV79,"")</f>
        <v/>
      </c>
      <c r="KO79" s="152">
        <f>IF(AND($AX79=1,OR($AW79="",COUNTIF($ED$8:$EH$8,$AW79)&gt;0)),$AV79,"")</f>
        <v/>
      </c>
      <c r="KT79" s="152">
        <f>IF(OR($AW79="",COUNTIF($ED$9:$EH$9,$AW79)&gt;0),$AV79,"")</f>
        <v/>
      </c>
      <c r="KU79" s="152">
        <f>IF(AND($AX79=1,OR($AW79="",COUNTIF($ED$9:$EH$9,$AW79)&gt;0)),$AV79,"")</f>
        <v/>
      </c>
      <c r="KZ79" s="152">
        <f>IF(OR($AW79="",COUNTIF($ED$10:$EH$10,$AW79)&gt;0),$AV79,"")</f>
        <v/>
      </c>
      <c r="LA79" s="152">
        <f>IF(AND($AX79=1,OR($AW79="",COUNTIF($ED$10:$EH$10,$AW79)&gt;0)),$AV79,"")</f>
        <v/>
      </c>
      <c r="LF79" s="152">
        <f>IF(OR($AW79="",COUNTIF($ED$11:$EH$11,$AW79)&gt;0),$AV79,"")</f>
        <v/>
      </c>
      <c r="LG79" s="152">
        <f>IF(AND($AX79=1,OR($AW79="",COUNTIF($ED$11:$EH$11,$AW79)&gt;0)),$AV79,"")</f>
        <v/>
      </c>
      <c r="LL79" s="152">
        <f>IF(OR($AW79="",COUNTIF($ED$12:$EH$12,$AW79)&gt;0),$AV79,"")</f>
        <v/>
      </c>
      <c r="LM79" s="152">
        <f>IF(AND($AX79=1,OR($AW79="",COUNTIF($ED$12:$EH$12,$AW79)&gt;0)),$AV79,"")</f>
        <v/>
      </c>
      <c r="LR79" s="152">
        <f>IF(OR($AW79="",COUNTIF($ED$13:$EH$13,$AW79)&gt;0),$AV79,"")</f>
        <v/>
      </c>
      <c r="LS79" s="152">
        <f>IF(AND($AX79=1,OR($AW79="",COUNTIF($ED$13:$EH$13,$AW79)&gt;0)),$AV79,"")</f>
        <v/>
      </c>
      <c r="LX79" s="150" t="inlineStr">
        <is>
          <t>Ficha 6 · Escolha da trilha 3</t>
        </is>
      </c>
      <c r="LY79" s="152" t="n">
        <v>6</v>
      </c>
      <c r="LZ79" s="152" t="n">
        <v>2</v>
      </c>
      <c r="MA79" s="152" t="n">
        <v>0</v>
      </c>
      <c r="MB79" s="150" t="inlineStr">
        <is>
          <t>ESCOLHA DA TRILHA 3</t>
        </is>
      </c>
      <c r="MC79" s="152">
        <f>MAX(0,MIN(7,N('INVOCAÇÕES'!$U$1150)))</f>
        <v/>
      </c>
      <c r="MD79" s="152">
        <f>'INVOCAÇÕES'!$V$1150&amp;""</f>
        <v/>
      </c>
      <c r="ME79" s="152">
        <f>'INVOCAÇÕES'!$U$1155&amp;""</f>
        <v/>
      </c>
      <c r="MF79" s="152">
        <f>'INVOCAÇÕES'!$U$1156&amp;""</f>
        <v/>
      </c>
      <c r="MG79" s="152">
        <f>'INVOCAÇÕES'!$W$1156&amp;""</f>
        <v/>
      </c>
      <c r="MH79" s="152">
        <f>'INVOCAÇÕES'!$V$1159&amp;""</f>
        <v/>
      </c>
      <c r="MI79" s="152">
        <f>'INVOCAÇÕES'!$V$1160&amp;""</f>
        <v/>
      </c>
      <c r="MJ79" s="152">
        <f>'INVOCAÇÕES'!$V$1161&amp;""</f>
        <v/>
      </c>
      <c r="MK79" s="152">
        <f>'INVOCAÇÕES'!$V$1162&amp;""</f>
        <v/>
      </c>
      <c r="ML79" s="152">
        <f>'INVOCAÇÕES'!$V$1163&amp;""</f>
        <v/>
      </c>
      <c r="MM79" s="152">
        <f>'INVOCAÇÕES'!$V$1164&amp;""</f>
        <v/>
      </c>
      <c r="MN79" s="152">
        <f>IF($MD79&lt;&gt;"",1,0)</f>
        <v/>
      </c>
      <c r="MO79" s="152">
        <f>INDEX($FG$2:$FG$13,$LY79)</f>
        <v/>
      </c>
      <c r="MP79" s="152">
        <f>INDEX($FH$2:$FH$13,$LY79)</f>
        <v/>
      </c>
      <c r="MQ79" s="152">
        <f>INDEX($FI$2:$FI$13,$LY79)</f>
        <v/>
      </c>
      <c r="MR79" s="152">
        <f>INDEX($FT$2:$FT$13,$LY79)</f>
        <v/>
      </c>
      <c r="MS79" s="152">
        <f>INDEX($FU$2:$FU$13,$LY79)</f>
        <v/>
      </c>
      <c r="MT79" s="152">
        <f>IFERROR(MATCH($ME79,$V$2:$V$11,0),0)</f>
        <v/>
      </c>
      <c r="MU79" s="152">
        <f>IFERROR(VLOOKUP($MH79,$AV$2:$AZ$84,2,FALSE),"")</f>
        <v/>
      </c>
      <c r="MV79" s="152">
        <f>IFERROR(VLOOKUP($MI79,$AV$2:$AZ$84,2,FALSE),"")</f>
        <v/>
      </c>
      <c r="MW79" s="152">
        <f>IFERROR(VLOOKUP($MJ79,$AV$2:$AZ$84,2,FALSE),"")</f>
        <v/>
      </c>
      <c r="MX79" s="152">
        <f>IFERROR(VLOOKUP($MK79,$AV$2:$AZ$84,2,FALSE),"")</f>
        <v/>
      </c>
      <c r="MY79" s="152">
        <f>IFERROR(VLOOKUP($MH79,$AV$2:$AZ$84,3,FALSE),0)</f>
        <v/>
      </c>
      <c r="MZ79" s="152">
        <f>IFERROR(VLOOKUP($MI79,$AV$2:$AZ$84,3,FALSE),0)</f>
        <v/>
      </c>
      <c r="NA79" s="152">
        <f>IFERROR(VLOOKUP($MJ79,$AV$2:$AZ$84,3,FALSE),0)</f>
        <v/>
      </c>
      <c r="NB79" s="152">
        <f>IFERROR(VLOOKUP($MK79,$AV$2:$AZ$84,3,FALSE),0)</f>
        <v/>
      </c>
      <c r="NC79" s="152">
        <f>IF($MC79=0,0,IF($MT79=0,0,INDEX($X$2:$X$11,$MT79)))</f>
        <v/>
      </c>
      <c r="ND79" s="152">
        <f>IF(OR($MY79=0,$MC79=0),0,$MY79+3*IF(AND($MU79&lt;&gt;"",OR($MU79=INDEX($ED$2:$ED$13,$LY79),$MU79=INDEX($EE$2:$EE$13,$LY79))),1,0))</f>
        <v/>
      </c>
      <c r="NE79" s="152">
        <f>IF(OR($MZ79=0,$MC79=0),0,$MZ79+3*IF(AND($MV79&lt;&gt;"",OR($MV79=INDEX($ED$2:$ED$13,$LY79),$MV79=INDEX($EE$2:$EE$13,$LY79))),1,0))</f>
        <v/>
      </c>
      <c r="NF79" s="152">
        <f>IF(OR($NA79=0,$MC79=0),0,$NA79+3*IF(AND($MW79&lt;&gt;"",OR($MW79=INDEX($ED$2:$ED$13,$LY79),$MW79=INDEX($EE$2:$EE$13,$LY79))),1,0))</f>
        <v/>
      </c>
      <c r="NG79" s="152">
        <f>IF(OR($NB79=0,$MC79=0),0,$NB79+3*IF(AND($MX79&lt;&gt;"",OR($MX79=INDEX($ED$2:$ED$13,$LY79),$MX79=INDEX($EE$2:$EE$13,$LY79))),1,0))</f>
        <v/>
      </c>
      <c r="NH79" s="152">
        <f>IF($MT79=0,0,IF(INDEX($W$2:$W$11,$MT79)="",0,IF(COUNTIF(INDEX($ED$2:$EH$13,$LY79,0),INDEX($W$2:$W$11,$MT79))=0,1,0)))</f>
        <v/>
      </c>
      <c r="NI79" s="152">
        <f>IF(OR($MY79=0,$MU79=""),0,IF(COUNTIF(INDEX($ED$2:$EH$13,$LY79,0),$MU79)=0,1,0))</f>
        <v/>
      </c>
      <c r="NJ79" s="152">
        <f>IF(OR($MZ79=0,$MV79=""),0,IF(COUNTIF(INDEX($ED$2:$EH$13,$LY79,0),$MV79)=0,1,0))</f>
        <v/>
      </c>
      <c r="NK79" s="152">
        <f>IF(OR($NA79=0,$MW79=""),0,IF(COUNTIF(INDEX($ED$2:$EH$13,$LY79,0),$MW79)=0,1,0))</f>
        <v/>
      </c>
      <c r="NL79" s="152">
        <f>IF(OR($NB79=0,$MX79=""),0,IF(COUNTIF(INDEX($ED$2:$EH$13,$LY79,0),$MX79)=0,1,0))</f>
        <v/>
      </c>
      <c r="NM79" s="152">
        <f>IFERROR(VLOOKUP($MH79,$AV$2:$AZ$84,4,FALSE),0)+IFERROR(VLOOKUP($MI79,$AV$2:$AZ$84,4,FALSE),0)+IFERROR(VLOOKUP($MJ79,$AV$2:$AZ$84,4,FALSE),0)+IFERROR(VLOOKUP($MK79,$AV$2:$AZ$84,4,FALSE),0)</f>
        <v/>
      </c>
      <c r="NN79" s="152">
        <f>TEXTJOIN(", ",TRUE,IF(IFERROR(VLOOKUP($MH79,$AV$2:$AZ$84,5,FALSE),0)=1,$MH79,""),IF(IFERROR(VLOOKUP($MI79,$AV$2:$AZ$84,5,FALSE),0)=1,$MI79,""),IF(IFERROR(VLOOKUP($MJ79,$AV$2:$AZ$84,5,FALSE),0)=1,$MJ79,""),IF(IFERROR(VLOOKUP($MK79,$AV$2:$AZ$84,5,FALSE),0)=1,$MK79,""))</f>
        <v/>
      </c>
      <c r="NO79" s="152">
        <f>IF($MT79=0,0,INDEX($Y$2:$Y$11,$MT79))</f>
        <v/>
      </c>
      <c r="NP79" s="152">
        <f>IF($MT79=0,0,INDEX($Z$2:$Z$11,$MT79))</f>
        <v/>
      </c>
      <c r="NQ79" s="152">
        <f>IF($MT79=0,0,INDEX($AB$2:$AB$11,$MT79))</f>
        <v/>
      </c>
      <c r="NR79" s="152">
        <f>IFERROR(VLOOKUP($ML79,$BB$2:$BF$24,3,FALSE),0)</f>
        <v/>
      </c>
      <c r="NS79" s="152">
        <f>IFERROR(VLOOKUP($MM79,$BB$2:$BF$24,3,FALSE),0)</f>
        <v/>
      </c>
      <c r="NT79" s="152">
        <f>IFERROR(VLOOKUP($ML79,$BB$2:$BF$24,2,FALSE),"")</f>
        <v/>
      </c>
      <c r="NU79" s="152">
        <f>IFERROR(VLOOKUP($MM79,$BB$2:$BF$24,2,FALSE),"")</f>
        <v/>
      </c>
      <c r="NV79" s="152">
        <f>COUNTIF($NC79:$NG79,1)</f>
        <v/>
      </c>
      <c r="NW79" s="152">
        <f>COUNTIF($NC79:$NG79,2)</f>
        <v/>
      </c>
      <c r="NX79" s="152">
        <f>COUNTIF($NC79:$NG79,3)</f>
        <v/>
      </c>
      <c r="NY79" s="152">
        <f>COUNTIF($NC79:$NG79,4)</f>
        <v/>
      </c>
      <c r="NZ79" s="152">
        <f>COUNTIF($NC79:$NG79,5)</f>
        <v/>
      </c>
      <c r="OA79" s="152">
        <f>COUNTIF($NC79:$NG79,6)</f>
        <v/>
      </c>
      <c r="OB79" s="152">
        <f>COUNTIF($NR79:$NS79,1)</f>
        <v/>
      </c>
      <c r="OC79" s="152">
        <f>COUNTIF($NR79:$NS79,2)+$NO79</f>
        <v/>
      </c>
      <c r="OD79" s="152">
        <f>COUNTIF($MH79:$MK79,"?*")</f>
        <v/>
      </c>
      <c r="OE79" s="152">
        <f>COUNTIF($ML79:$MM79,"?*")+$NO79</f>
        <v/>
      </c>
      <c r="OF79" s="152">
        <f>IF($MC79=0,0,SUMPRODUCT($NV79:$OA79,INDEX($I$2:$N$8,MAX(1,$MC79),0)))</f>
        <v/>
      </c>
      <c r="OG79" s="152">
        <f>IF($MC79=0,0,$OB79*CEILING($MC79/2,1)+$OC79*$MC79)</f>
        <v/>
      </c>
      <c r="OH79" s="152">
        <f>MIN(2*$MC79,$OG79)</f>
        <v/>
      </c>
      <c r="OI79" s="152">
        <f>MIN($OH79,$OF79)</f>
        <v/>
      </c>
      <c r="OJ79" s="152">
        <f>$OH79-$OI79</f>
        <v/>
      </c>
      <c r="OK79" s="152">
        <f>IF($MC79=0,0,INDEX($P$2:$P$8,MAX(1,$MC79)))</f>
        <v/>
      </c>
      <c r="OL79" s="152">
        <f>$OK79-$OF79+$OI79</f>
        <v/>
      </c>
      <c r="OM79" s="152">
        <f>IF($MC79=0,MAX(0,$MQ79-IF($OD79&gt;0,1,0)),MAX(0,$OL79))</f>
        <v/>
      </c>
      <c r="ON79" s="152">
        <f>IF($MC79=0,0,(IF(COUNTIF($MH79:$MK79,"Salto")&gt;0,1,0)+IF(COUNTIF($MH79:$MK79,"Queima")&gt;0,1,0)+IF(COUNTIF($MH79:$MK79,"Estilhaço")&gt;0,1,0))*FLOOR($OM79/2,1))</f>
        <v/>
      </c>
      <c r="OO79" s="152">
        <f>MAX(0,2-SUMPRODUCT($NV79:$OA79,$I$2:$N$2)+MIN(2,$OB79*1+$OC79*1,SUMPRODUCT($NV79:$OA79,$I$2:$N$2)))</f>
        <v/>
      </c>
      <c r="OP79" s="152">
        <f>MAX(0,4-SUMPRODUCT($NV79:$OA79,$I$3:$N$3)+MIN(4,$OB79*1+$OC79*2,SUMPRODUCT($NV79:$OA79,$I$3:$N$3)))</f>
        <v/>
      </c>
      <c r="OQ79" s="152">
        <f>MAX(0,6-SUMPRODUCT($NV79:$OA79,$I$4:$N$4)+MIN(6,$OB79*2+$OC79*3,SUMPRODUCT($NV79:$OA79,$I$4:$N$4)))</f>
        <v/>
      </c>
      <c r="OR79" s="152">
        <f>MAX(0,9-SUMPRODUCT($NV79:$OA79,$I$5:$N$5)+MIN(8,$OB79*2+$OC79*4,SUMPRODUCT($NV79:$OA79,$I$5:$N$5)))</f>
        <v/>
      </c>
      <c r="OS79" s="152">
        <f>MAX(0,11-SUMPRODUCT($NV79:$OA79,$I$6:$N$6)+MIN(10,$OB79*3+$OC79*5,SUMPRODUCT($NV79:$OA79,$I$6:$N$6)))</f>
        <v/>
      </c>
      <c r="OT79" s="152">
        <f>MAX(0,13-SUMPRODUCT($NV79:$OA79,$I$7:$N$7)+MIN(12,$OB79*3+$OC79*6,SUMPRODUCT($NV79:$OA79,$I$7:$N$7)))</f>
        <v/>
      </c>
      <c r="OU79" s="152">
        <f>MAX(0,16-SUMPRODUCT($NV79:$OA79,$I$8:$N$8)+MIN(14,$OB79*4+$OC79*7,SUMPRODUCT($NV79:$OA79,$I$8:$N$8)))</f>
        <v/>
      </c>
      <c r="OV79" s="152">
        <f>IF($NP79=2,3*$OO79&amp;" de vida temp.",IF($NP79=3,"sem dano",IF($OO79=0,IF($NP79=1,"sem cura","sem dano"),IF($NP79=1,"cura ","")&amp;$OO79&amp;"d8")))</f>
        <v/>
      </c>
      <c r="OW79" s="152">
        <f>IF($NP79=2,3*$OP79&amp;" de vida temp.",IF($NP79=3,"sem dano",IF($OP79=0,IF($NP79=1,"sem cura","sem dano"),IF($NP79=1,"cura ","")&amp;$OP79&amp;"d8")))</f>
        <v/>
      </c>
      <c r="OX79" s="152">
        <f>IF($NP79=2,3*$OQ79&amp;" de vida temp.",IF($NP79=3,"sem dano",IF($OQ79=0,IF($NP79=1,"sem cura","sem dano"),IF($NP79=1,"cura ","")&amp;$OQ79&amp;"d8")))</f>
        <v/>
      </c>
      <c r="OY79" s="152">
        <f>IF($NP79=2,3*$OR79&amp;" de vida temp.",IF($NP79=3,"sem dano",IF($OR79=0,IF($NP79=1,"sem cura","sem dano"),IF($NP79=1,"cura ","")&amp;$OR79&amp;"d8")))</f>
        <v/>
      </c>
      <c r="OZ79" s="152">
        <f>IF($NP79=2,3*$OS79&amp;" de vida temp.",IF($NP79=3,"sem dano",IF($OS79=0,IF($NP79=1,"sem cura","sem dano"),IF($NP79=1,"cura ","")&amp;$OS79&amp;"d8")))</f>
        <v/>
      </c>
      <c r="PA79" s="152">
        <f>IF($NP79=2,3*$OT79&amp;" de vida temp.",IF($NP79=3,"sem dano",IF($OT79=0,IF($NP79=1,"sem cura","sem dano"),IF($NP79=1,"cura ","")&amp;$OT79&amp;"d8")))</f>
        <v/>
      </c>
      <c r="PB79" s="152">
        <f>IF($NP79=2,3*$OU79&amp;" de vida temp.",IF($NP79=3,"sem dano",IF($OU79=0,IF($NP79=1,"sem cura","sem dano"),IF($NP79=1,"cura ","")&amp;$OU79&amp;"d8")))</f>
        <v/>
      </c>
      <c r="PC79" s="152">
        <f>IF($MN79=0,"",TEXTJOIN(" · ",TRUE,IF($MA79&gt;$MO79,"Este lugar abre no nível "&amp;$MA79,""),IF($MC79&gt;$MP79,"Classe "&amp;$MC79&amp;": o nível "&amp;$MO79&amp;" libera até a "&amp;$MP79,""),IF($NH79=1,"A Forma "&amp;$ME79&amp;" pede "&amp;INDEX($W$2:$W$11,$MT79)&amp;" aberta",""),IF(AND($MC79=0,$MT79&gt;0,IF($MT79=0,0,INDEX($AF$2:$AF$11,$MT79))=0),$ME79&amp;" não existe na Classe 0",""),IF($NI79=1,"Família Fechada: "&amp;$MH79,""),IF($NJ79=1,"Família Fechada: "&amp;$MI79,""),IF($NK79=1,"Família Fechada: "&amp;$MJ79,""),IF($NL79=1,"Família Fechada: "&amp;$MK79,""),IF(AND($MC79&gt;0,$OD79&gt;INDEX($O$2:$O$8,MAX(1,$MC79))),$OD79&amp;" Melhorias: a Classe "&amp;$MC79&amp;" aceita "&amp;INDEX($O$2:$O$8,MAX(1,$MC79)),""),IF(AND($MC79=0,$OD79&gt;1),"A básica aceita uma Melhoria",""),IF(AND($MC79=0,COUNTIF($MY79:$NB79,"&gt;1")&gt;0),"A básica só aceita Melhoria Leve",""),IF(AND($MC79&gt;0,$OE79&gt;2),$OE79&amp;" Restrições"&amp;IF($NO79=1,", contando a que a Forma "&amp;$ME79&amp;" já traz","")&amp;": o limite é 2",""),IF(AND($MC79=0,COUNTIF($ML79:$MM79,"?*")&gt;1),"A básica aceita uma Restrição Leve",""),IF(AND($MC79=0,COUNTIF($NR79:$NS79,2)&gt;0),"A básica só aceita Restrição Leve",""),IF(AND($MC79&gt;0,$OL79&lt;0),"Orçamento estourado: faltam "&amp;(-$OL79)&amp;IF($OL79&lt;-1," pontos"," ponto"),""),IF(IFERROR(VLOOKUP($ML79,$BB$2:$BF$24,4,FALSE),0)+IFERROR(VLOOKUP($MM79,$BB$2:$BF$24,4,FALSE),0)&gt;1,$NT79&amp;" e "&amp;$NU79&amp;" são as duas de frequência",""),IF(AND((COUNTIF($MH79:$MK79,"Rápido")+COUNTIF($NT79:$NU79,"Rápido"))&gt;0,(COUNTIF($MH79:$MK79,"Atrasar")+COUNTIF($NT79:$NU79,"Atrasar"))&gt;0),"Rápido não entra com Atrasar",""),IF(AND((COUNTIF($MH79:$MK79,"Reação")+COUNTIF($NT79:$NU79,"Reação"))&gt;0,(COUNTIF($MH79:$MK79,"Rápido")+COUNTIF($NT79:$NU79,"Rápido"))&gt;0),"Reação não entra com Rápido",""),IF(AND((COUNTIF($MH79:$MK79,"Reação")+COUNTIF($NT79:$NU79,"Reação"))&gt;0,(COUNTIF($MH79:$MK79,"Armado")+COUNTIF($NT79:$NU79,"Armado"))&gt;0),"Reação não entra com Armado",""),IF(AND((COUNTIF($MH79:$MK79,"Reação")+COUNTIF($NT79:$NU79,"Reação"))&gt;0,(COUNTIF($MH79:$MK79,"Atrasar")+COUNTIF($NT79:$NU79,"Atrasar"))&gt;0),"Reação não entra com Atrasar",""),IF(AND((COUNTIF($MH79:$MK79,"Reação")+COUNTIF($NT79:$NU79,"Reação"))&gt;0,(COUNTIF($MH79:$MK79,"Parado")+COUNTIF($NT79:$NU79,"Parado"))&gt;0),"Reação não entra com Parado",""),IF(AND((COUNTIF($MH79:$MK79,"Atrasar")+COUNTIF($NT79:$NU79,"Atrasar"))&gt;0,(COUNTIF($MH79:$MK79,"Parado")+COUNTIF($NT79:$NU79,"Parado"))&gt;0),"Atrasar não entra com Parado",""),IF(AND((COUNTIF($MH79:$MK79,"Armado")+COUNTIF($NT79:$NU79,"Armado"))&gt;0,(COUNTIF($MH79:$MK79,"Carregar")+COUNTIF($NT79:$NU79,"Carregar"))&gt;0),"Armado não entra com Carregar",""),IF(AND(COUNTIF($NT79:$NU79,"Corpo a Corpo")&gt;0,$NO79=0,OR($ME79="Cone",$ME79="Linha")),"Corpo a Corpo não entra em "&amp;$ME79,""),IF(AND(COUNTIF($NT79:$NU79,"Corpo a Corpo")&gt;0,$NO79=1),"A Forma "&amp;$ME79&amp;" já traz o Corpo a Corpo",""),IF(AND(COUNTIF($NT79:$NU79,"Tudo ou Nada")&gt;0,$NQ79=0),"Tudo ou Nada só entra em habilidade de Teste de Resistência",""),IF(AND(COUNTIF($MH79:$MK79,"Inescapável")&gt;0,OR($OD79&gt;1,$OE79&gt;0)),"Inescapável não aceita outra peça",""),IF(AND($MC79&gt;0,$OM79*IF(COUNTIF($MH79:$MK79,"Remate")&gt;0,1.25,1)+$ON79&gt;4*$MC79),($OM79*IF(COUNTIF($MH79:$MK79,"Remate")&gt;0,1.25,1)+$ON79)&amp;" dados somando repetições"&amp;IF(COUNTIF($MH79:$MK79,"Remate")&gt;0," e o Remate","")&amp;": o teto da Classe "&amp;$MC79&amp;" é "&amp;4*$MC79,"")))</f>
        <v/>
      </c>
      <c r="PD79" s="152">
        <f>IF($PC79="",0,(LEN($PC79)-LEN(SUBSTITUTE($PC79," · ","")))/3+1)</f>
        <v/>
      </c>
      <c r="PE79" s="152">
        <f>IF($MN79=0,"",TEXTJOIN(" · ",TRUE,IF($OG79&gt;2*$MC79,"A devolução parou no teto de "&amp;2*$MC79,""),IF($OJ79&gt;0,"Devolução perdida: "&amp;$OJ79&amp;IF($OJ79&gt;1," pontos"," ponto")&amp;" sem peça para pagar",""),IF(AND($NM79&gt;0,AND($MC79&gt;0,$NP79=0),$OM79=0),"Controle sem dano: uma rodada a mais e CD +2",""),IF(AND($NM79&gt;0,AND($MC79&gt;0,$NP79=0),$OM79&gt;0,$OM79&lt;=$MC79),"Controle com saldo até a Classe: uma rodada a mais",""),IF(AND($MC79&gt;0,$NN79&lt;&gt;""),"Efeito de "&amp;$NN79&amp;" pela Classe "&amp;MAX(1,$MC79-1),"")))</f>
        <v/>
      </c>
      <c r="PF79" s="152">
        <f>IF($PE79="",0,(LEN($PE79)-LEN(SUBSTITUTE($PE79," · ","")))/3+1)</f>
        <v/>
      </c>
      <c r="PG79" s="152">
        <f>IF($MN79=0,IF($OD79+COUNTIF($ML79:$MM79,"?*")&gt;0,"Dê um nome",""),IF($PD79&gt;0,"⚠ "&amp;$PD79&amp;IF($PD79&gt;1," erros"," erro"),IF($PF79&gt;0,"! "&amp;$PF79&amp;IF($PF79&gt;1," avisos"," aviso"),"Na regra")))</f>
        <v/>
      </c>
      <c r="PH79" s="152">
        <f>IF($MN79=0,"",IF($PD79+$PF79=0,"Dentro das regras que a ficha confere",$PC79&amp;IF(AND($PD79&gt;0,$PF79&gt;0)," · ","")&amp;$PE79))</f>
        <v/>
      </c>
      <c r="PI79" s="152">
        <f>IF($MA79&gt;$MO79,$MB79&amp;" · ABRE NO NÍVEL "&amp;$MA79,$MB79)</f>
        <v/>
      </c>
      <c r="PJ79" s="152">
        <f>IF($MN79=0,"",IF($MC79=0,"Sem PE",3*$MC79&amp;" PE"))</f>
        <v/>
      </c>
      <c r="PK79" s="152">
        <f>IF($MN79=0,"",IF($MC79=0,"A atuação básica dela",IF(COUNTIF($NT79:$NU79,"Atrasar")&gt;0,"Sua Ação Completa",IF(COUNTIF($MH79:$MK79,"Rápido")&gt;0,"Sua Bônus",IF(COUNTIF($MH79:$MK79,"Reação")&gt;0,"Sua Reação","Sua Padrão")))&amp;" + a básica dela"&amp;IF(COUNTIF($MH79:$MK79,"Reação")&gt;0," e a coletiva","")&amp;IF(COUNTIF($NT79:$NU79,"Carregar")&gt;0," · em dois turnos","")))</f>
        <v/>
      </c>
      <c r="PL79" s="152">
        <f>IF($MG79&lt;&gt;"",$MG79,IF($MT79=0,"",INDEX($AA$2:$AA$11,$MT79)))</f>
        <v/>
      </c>
      <c r="PM79" s="152">
        <f>IF(OR($MN79=0,$MT79=0),"",IF(COUNTIF($MH79:$MK79,"Inescapável")&gt;0,"Automático",IF($PL79="Ataque",IF($MR79="","Ataque","Ataque "&amp;IF(($MR79+2*IF(COUNTIF($MH79:$MK79,"Precisão")&gt;0,1,0))&gt;=0,"+","−")&amp;ABS(($MR79+2*IF(COUNTIF($MH79:$MK79,"Precisão")&gt;0,1,0)))),IF(LEFT($PL79,2)="TR",$PL79&amp;IF($MS79="",""," · CD "&amp;$MS79)&amp;IF(COUNTIF($MH79:$MK79,"Certeiro")&gt;0," · metade",""),"Sem rolagem"))))</f>
        <v/>
      </c>
      <c r="PN79" s="152">
        <f>IF(OR($MN79=0,$MT79=0),"",IF($MC79=0,IF(OR($NP79&gt;=1,$OM79=0),"Sem dano",$OM79&amp;"d6"&amp;IF($MF79="",""," "&amp;$MF79)),IF(OR($NP79&gt;=1,$OM79=0),UPPER(LEFT(INDEX($OV79:$PB79,1,MAX(1,$MC79)),1))&amp;MID(INDEX($OV79:$PB79,1,MAX(1,$MC79)),2,99),UPPER(LEFT(INDEX($OV79:$PB79,1,MAX(1,$MC79)),1))&amp;MID(INDEX($OV79:$PB79,1,MAX(1,$MC79)),2,99)&amp;IF($MF79="",""," "&amp;$MF79)&amp;IF($ON79&gt;0," · +"&amp;$ON79&amp;"d8",""))))</f>
        <v/>
      </c>
      <c r="PO79" s="152">
        <f>COUNTIF($MH79:$MK79,"Longe")+3*COUNTIF($MH79:$MK79,"Muito Longe")</f>
        <v/>
      </c>
      <c r="PP79" s="152">
        <f>COUNTIF($MH79:$MK79,"Maior")+3*COUNTIF($MH79:$MK79,"Muito Maior")</f>
        <v/>
      </c>
      <c r="PQ79" s="152">
        <f>IF($MT79=0,0,CHOOSE(1+INDEX($AC$2:$AC$11,$MT79),0,$PO79,$PP79,$PO79+$PP79))</f>
        <v/>
      </c>
      <c r="PR79" s="152">
        <f>IF($MT79=0,0,CHOOSE(1+INDEX($AD$2:$AD$11,$MT79),0,$PO79,$PP79,$PO79+$PP79))</f>
        <v/>
      </c>
      <c r="PS79" s="152">
        <f>IF(OR($MN79=0,$MT79=0),"",INDEX($AI$2:$AN$41,($MT79-1)*4+IF($MC79=0,1,IF($MC79&lt;=5,2,IF($MC79=6,3,4))),1+MIN(5,$PQ79))&amp;INDEX($AO$2:$AT$41,($MT79-1)*4+IF($MC79=0,1,IF($MC79&lt;=5,2,IF($MC79=6,3,4))),1+MIN(5,$PR79))&amp;IF(INDEX($AE$2:$AE$11,$MT79)=1,IF(COUNTIF($MH79:$MK79,"Mais Um")&gt;0," · +"&amp;COUNTIF($MH79:$MK79,"Mais Um")&amp;IF(COUNTIF($MH79:$MK79,"Mais Um")&gt;1," alvos"," alvo"),"")&amp;IF(COUNTIF($MH79:$MK79,"Rajada")&gt;0,IF($MC79=0," · 1 tiro"," · "&amp;(MAX(1,$MC79-1)+1)&amp;" tiros"),""),""))</f>
        <v/>
      </c>
      <c r="PT79" s="152">
        <f>IF($MN79=0,"",IF($MC79=0,$MQ79&amp;"d6"&amp;IF($OD79&gt;0," − 1 = "&amp;$OM79&amp;"d6"," da básica do nível "&amp;$MO79),$OK79&amp;" − "&amp;$OF79&amp;" + "&amp;$OI79&amp;" = "&amp;$OL79&amp;" · teto "&amp;4*$MC79&amp;"d8"&amp;IF($NO79=1," · a Forma devolve "&amp;$MC79,"")&amp;IF($OJ79&gt;0," · perde "&amp;$OJ79,"")))</f>
        <v/>
      </c>
      <c r="PU79" s="152">
        <f>IF($MN79=0,"",IF($MC79=0,"A básica não amplia: os dados dela sobem com o nível",IF($MC79&gt;=$MP79,"Já está na maior Classe que o nível liberou",TEXTJOIN(" · ",TRUE,IF(AND(2&gt;$MC79,2&lt;=$MP79),"2 → "&amp;$OW79&amp;", 6 PE",""),IF(AND(3&gt;$MC79,3&lt;=$MP79),"3 → "&amp;$OX79&amp;", 9 PE",""),IF(AND(4&gt;$MC79,4&lt;=$MP79),"4 → "&amp;$OY79&amp;", 12 PE",""),IF(AND(5&gt;$MC79,5&lt;=$MP79),"5 → "&amp;$OZ79&amp;", 15 PE",""),IF(AND(6&gt;$MC79,6&lt;=$MP79),"6 → "&amp;$PA79&amp;", 18 PE",""),IF(AND(7&gt;$MC79,7&lt;=$MP79),"7 → "&amp;$PB79&amp;", 21 PE","")))))</f>
        <v/>
      </c>
      <c r="PV79" s="152">
        <f>IF(OR($MN79=0,$MY79=0),"",IF($MC79=0,"−1 dado","−"&amp;INDEX($I$2:$N$8,MAX(1,$MC79),MAX(1,$ND79))&amp;" · "&amp;CHOOSE(MAX(1,$ND79),"Leve","Média","Pesada","Leve · Livre","Média · Livre","Pesada · Livre")))</f>
        <v/>
      </c>
      <c r="PW79" s="152">
        <f>IF(OR($MN79=0,$MZ79=0),"",IF($MC79=0,"−1 dado","−"&amp;INDEX($I$2:$N$8,MAX(1,$MC79),MAX(1,$NE79))&amp;" · "&amp;CHOOSE(MAX(1,$NE79),"Leve","Média","Pesada","Leve · Livre","Média · Livre","Pesada · Livre")))</f>
        <v/>
      </c>
      <c r="PX79" s="152">
        <f>IF(OR($MN79=0,$NA79=0),"",IF($MC79=0,"−1 dado","−"&amp;INDEX($I$2:$N$8,MAX(1,$MC79),MAX(1,$NF79))&amp;" · "&amp;CHOOSE(MAX(1,$NF79),"Leve","Média","Pesada","Leve · Livre","Média · Livre","Pesada · Livre")))</f>
        <v/>
      </c>
      <c r="PY79" s="152">
        <f>IF(OR($MN79=0,$NB79=0),"",IF($MC79=0,"−1 dado","−"&amp;INDEX($I$2:$N$8,MAX(1,$MC79),MAX(1,$NG79))&amp;" · "&amp;CHOOSE(MAX(1,$NG79),"Leve","Média","Pesada","Leve · Livre","Média · Livre","Pesada · Livre")))</f>
        <v/>
      </c>
      <c r="PZ79" s="152">
        <f>IF(OR($MN79=0,$ML79=""),"",IF($MC79=0,"não devolve","+"&amp;IF($NR79=1,CEILING($MC79/2,1),$MC79)))</f>
        <v/>
      </c>
      <c r="QA79" s="152">
        <f>IF(OR($MN79=0,$MM79=""),"",IF($MC79=0,"não devolve","+"&amp;IF($NS79=1,CEILING($MC79/2,1),$MC79)))</f>
        <v/>
      </c>
    </row>
    <row r="80">
      <c r="AV80" s="150" t="inlineStr">
        <is>
          <t>Junto</t>
        </is>
      </c>
      <c r="AW80" s="150" t="inlineStr">
        <is>
          <t>Amparo</t>
        </is>
      </c>
      <c r="AX80" s="152" t="n">
        <v>1</v>
      </c>
      <c r="AY80" s="152" t="n">
        <v>0</v>
      </c>
      <c r="AZ80" s="152" t="n">
        <v>0</v>
      </c>
      <c r="JD80" s="152">
        <f>IF(OR($AW80="",COUNTIF($ED$2:$EH$2,$AW80)&gt;0),$AV80,"")</f>
        <v/>
      </c>
      <c r="JE80" s="152">
        <f>IF(AND($AX80=1,OR($AW80="",COUNTIF($ED$2:$EH$2,$AW80)&gt;0)),$AV80,"")</f>
        <v/>
      </c>
      <c r="JJ80" s="152">
        <f>IF(OR($AW80="",COUNTIF($ED$3:$EH$3,$AW80)&gt;0),$AV80,"")</f>
        <v/>
      </c>
      <c r="JK80" s="152">
        <f>IF(AND($AX80=1,OR($AW80="",COUNTIF($ED$3:$EH$3,$AW80)&gt;0)),$AV80,"")</f>
        <v/>
      </c>
      <c r="JP80" s="152">
        <f>IF(OR($AW80="",COUNTIF($ED$4:$EH$4,$AW80)&gt;0),$AV80,"")</f>
        <v/>
      </c>
      <c r="JQ80" s="152">
        <f>IF(AND($AX80=1,OR($AW80="",COUNTIF($ED$4:$EH$4,$AW80)&gt;0)),$AV80,"")</f>
        <v/>
      </c>
      <c r="JV80" s="152">
        <f>IF(OR($AW80="",COUNTIF($ED$5:$EH$5,$AW80)&gt;0),$AV80,"")</f>
        <v/>
      </c>
      <c r="JW80" s="152">
        <f>IF(AND($AX80=1,OR($AW80="",COUNTIF($ED$5:$EH$5,$AW80)&gt;0)),$AV80,"")</f>
        <v/>
      </c>
      <c r="KB80" s="152">
        <f>IF(OR($AW80="",COUNTIF($ED$6:$EH$6,$AW80)&gt;0),$AV80,"")</f>
        <v/>
      </c>
      <c r="KC80" s="152">
        <f>IF(AND($AX80=1,OR($AW80="",COUNTIF($ED$6:$EH$6,$AW80)&gt;0)),$AV80,"")</f>
        <v/>
      </c>
      <c r="KH80" s="152">
        <f>IF(OR($AW80="",COUNTIF($ED$7:$EH$7,$AW80)&gt;0),$AV80,"")</f>
        <v/>
      </c>
      <c r="KI80" s="152">
        <f>IF(AND($AX80=1,OR($AW80="",COUNTIF($ED$7:$EH$7,$AW80)&gt;0)),$AV80,"")</f>
        <v/>
      </c>
      <c r="KN80" s="152">
        <f>IF(OR($AW80="",COUNTIF($ED$8:$EH$8,$AW80)&gt;0),$AV80,"")</f>
        <v/>
      </c>
      <c r="KO80" s="152">
        <f>IF(AND($AX80=1,OR($AW80="",COUNTIF($ED$8:$EH$8,$AW80)&gt;0)),$AV80,"")</f>
        <v/>
      </c>
      <c r="KT80" s="152">
        <f>IF(OR($AW80="",COUNTIF($ED$9:$EH$9,$AW80)&gt;0),$AV80,"")</f>
        <v/>
      </c>
      <c r="KU80" s="152">
        <f>IF(AND($AX80=1,OR($AW80="",COUNTIF($ED$9:$EH$9,$AW80)&gt;0)),$AV80,"")</f>
        <v/>
      </c>
      <c r="KZ80" s="152">
        <f>IF(OR($AW80="",COUNTIF($ED$10:$EH$10,$AW80)&gt;0),$AV80,"")</f>
        <v/>
      </c>
      <c r="LA80" s="152">
        <f>IF(AND($AX80=1,OR($AW80="",COUNTIF($ED$10:$EH$10,$AW80)&gt;0)),$AV80,"")</f>
        <v/>
      </c>
      <c r="LF80" s="152">
        <f>IF(OR($AW80="",COUNTIF($ED$11:$EH$11,$AW80)&gt;0),$AV80,"")</f>
        <v/>
      </c>
      <c r="LG80" s="152">
        <f>IF(AND($AX80=1,OR($AW80="",COUNTIF($ED$11:$EH$11,$AW80)&gt;0)),$AV80,"")</f>
        <v/>
      </c>
      <c r="LL80" s="152">
        <f>IF(OR($AW80="",COUNTIF($ED$12:$EH$12,$AW80)&gt;0),$AV80,"")</f>
        <v/>
      </c>
      <c r="LM80" s="152">
        <f>IF(AND($AX80=1,OR($AW80="",COUNTIF($ED$12:$EH$12,$AW80)&gt;0)),$AV80,"")</f>
        <v/>
      </c>
      <c r="LR80" s="152">
        <f>IF(OR($AW80="",COUNTIF($ED$13:$EH$13,$AW80)&gt;0),$AV80,"")</f>
        <v/>
      </c>
      <c r="LS80" s="152">
        <f>IF(AND($AX80=1,OR($AW80="",COUNTIF($ED$13:$EH$13,$AW80)&gt;0)),$AV80,"")</f>
        <v/>
      </c>
      <c r="LX80" s="150" t="inlineStr">
        <is>
          <t>Ficha 7 · Básica 1</t>
        </is>
      </c>
      <c r="LY80" s="152" t="n">
        <v>7</v>
      </c>
      <c r="LZ80" s="152" t="n">
        <v>0</v>
      </c>
      <c r="MA80" s="152" t="n">
        <v>1</v>
      </c>
      <c r="MB80" s="150" t="inlineStr">
        <is>
          <t>BÁSICA 1</t>
        </is>
      </c>
      <c r="MC80" s="152" t="n">
        <v>0</v>
      </c>
      <c r="MD80" s="152">
        <f>'INVOCAÇÕES'!$AC$58&amp;""</f>
        <v/>
      </c>
      <c r="ME80" s="152">
        <f>'INVOCAÇÕES'!$AB$63&amp;""</f>
        <v/>
      </c>
      <c r="MF80" s="152">
        <f>'INVOCAÇÕES'!$AB$64&amp;""</f>
        <v/>
      </c>
      <c r="MG80" s="152">
        <f>'INVOCAÇÕES'!$AD$64&amp;""</f>
        <v/>
      </c>
      <c r="MH80" s="152">
        <f>'INVOCAÇÕES'!$AC$67&amp;""</f>
        <v/>
      </c>
      <c r="MI80" s="152">
        <f>'INVOCAÇÕES'!$AC$68&amp;""</f>
        <v/>
      </c>
      <c r="MJ80" s="152">
        <f>'INVOCAÇÕES'!$AC$69&amp;""</f>
        <v/>
      </c>
      <c r="MK80" s="152">
        <f>'INVOCAÇÕES'!$AC$70&amp;""</f>
        <v/>
      </c>
      <c r="ML80" s="152">
        <f>'INVOCAÇÕES'!$AC$71&amp;""</f>
        <v/>
      </c>
      <c r="MM80" s="152">
        <f>'INVOCAÇÕES'!$AC$72&amp;""</f>
        <v/>
      </c>
      <c r="MN80" s="152">
        <f>IF($MD80&lt;&gt;"",1,0)</f>
        <v/>
      </c>
      <c r="MO80" s="152">
        <f>INDEX($FG$2:$FG$13,$LY80)</f>
        <v/>
      </c>
      <c r="MP80" s="152">
        <f>INDEX($FH$2:$FH$13,$LY80)</f>
        <v/>
      </c>
      <c r="MQ80" s="152">
        <f>INDEX($FI$2:$FI$13,$LY80)</f>
        <v/>
      </c>
      <c r="MR80" s="152">
        <f>INDEX($FT$2:$FT$13,$LY80)</f>
        <v/>
      </c>
      <c r="MS80" s="152">
        <f>INDEX($FU$2:$FU$13,$LY80)</f>
        <v/>
      </c>
      <c r="MT80" s="152">
        <f>IFERROR(MATCH($ME80,$V$2:$V$11,0),0)</f>
        <v/>
      </c>
      <c r="MU80" s="152">
        <f>IFERROR(VLOOKUP($MH80,$AV$2:$AZ$84,2,FALSE),"")</f>
        <v/>
      </c>
      <c r="MV80" s="152">
        <f>IFERROR(VLOOKUP($MI80,$AV$2:$AZ$84,2,FALSE),"")</f>
        <v/>
      </c>
      <c r="MW80" s="152">
        <f>IFERROR(VLOOKUP($MJ80,$AV$2:$AZ$84,2,FALSE),"")</f>
        <v/>
      </c>
      <c r="MX80" s="152">
        <f>IFERROR(VLOOKUP($MK80,$AV$2:$AZ$84,2,FALSE),"")</f>
        <v/>
      </c>
      <c r="MY80" s="152">
        <f>IFERROR(VLOOKUP($MH80,$AV$2:$AZ$84,3,FALSE),0)</f>
        <v/>
      </c>
      <c r="MZ80" s="152">
        <f>IFERROR(VLOOKUP($MI80,$AV$2:$AZ$84,3,FALSE),0)</f>
        <v/>
      </c>
      <c r="NA80" s="152">
        <f>IFERROR(VLOOKUP($MJ80,$AV$2:$AZ$84,3,FALSE),0)</f>
        <v/>
      </c>
      <c r="NB80" s="152">
        <f>IFERROR(VLOOKUP($MK80,$AV$2:$AZ$84,3,FALSE),0)</f>
        <v/>
      </c>
      <c r="NC80" s="152">
        <f>IF($MC80=0,0,IF($MT80=0,0,INDEX($X$2:$X$11,$MT80)))</f>
        <v/>
      </c>
      <c r="ND80" s="152">
        <f>IF(OR($MY80=0,$MC80=0),0,$MY80+3*IF(AND($MU80&lt;&gt;"",OR($MU80=INDEX($ED$2:$ED$13,$LY80),$MU80=INDEX($EE$2:$EE$13,$LY80))),1,0))</f>
        <v/>
      </c>
      <c r="NE80" s="152">
        <f>IF(OR($MZ80=0,$MC80=0),0,$MZ80+3*IF(AND($MV80&lt;&gt;"",OR($MV80=INDEX($ED$2:$ED$13,$LY80),$MV80=INDEX($EE$2:$EE$13,$LY80))),1,0))</f>
        <v/>
      </c>
      <c r="NF80" s="152">
        <f>IF(OR($NA80=0,$MC80=0),0,$NA80+3*IF(AND($MW80&lt;&gt;"",OR($MW80=INDEX($ED$2:$ED$13,$LY80),$MW80=INDEX($EE$2:$EE$13,$LY80))),1,0))</f>
        <v/>
      </c>
      <c r="NG80" s="152">
        <f>IF(OR($NB80=0,$MC80=0),0,$NB80+3*IF(AND($MX80&lt;&gt;"",OR($MX80=INDEX($ED$2:$ED$13,$LY80),$MX80=INDEX($EE$2:$EE$13,$LY80))),1,0))</f>
        <v/>
      </c>
      <c r="NH80" s="152">
        <f>IF($MT80=0,0,IF(INDEX($W$2:$W$11,$MT80)="",0,IF(COUNTIF(INDEX($ED$2:$EH$13,$LY80,0),INDEX($W$2:$W$11,$MT80))=0,1,0)))</f>
        <v/>
      </c>
      <c r="NI80" s="152">
        <f>IF(OR($MY80=0,$MU80=""),0,IF(COUNTIF(INDEX($ED$2:$EH$13,$LY80,0),$MU80)=0,1,0))</f>
        <v/>
      </c>
      <c r="NJ80" s="152">
        <f>IF(OR($MZ80=0,$MV80=""),0,IF(COUNTIF(INDEX($ED$2:$EH$13,$LY80,0),$MV80)=0,1,0))</f>
        <v/>
      </c>
      <c r="NK80" s="152">
        <f>IF(OR($NA80=0,$MW80=""),0,IF(COUNTIF(INDEX($ED$2:$EH$13,$LY80,0),$MW80)=0,1,0))</f>
        <v/>
      </c>
      <c r="NL80" s="152">
        <f>IF(OR($NB80=0,$MX80=""),0,IF(COUNTIF(INDEX($ED$2:$EH$13,$LY80,0),$MX80)=0,1,0))</f>
        <v/>
      </c>
      <c r="NM80" s="152">
        <f>IFERROR(VLOOKUP($MH80,$AV$2:$AZ$84,4,FALSE),0)+IFERROR(VLOOKUP($MI80,$AV$2:$AZ$84,4,FALSE),0)+IFERROR(VLOOKUP($MJ80,$AV$2:$AZ$84,4,FALSE),0)+IFERROR(VLOOKUP($MK80,$AV$2:$AZ$84,4,FALSE),0)</f>
        <v/>
      </c>
      <c r="NN80" s="152">
        <f>TEXTJOIN(", ",TRUE,IF(IFERROR(VLOOKUP($MH80,$AV$2:$AZ$84,5,FALSE),0)=1,$MH80,""),IF(IFERROR(VLOOKUP($MI80,$AV$2:$AZ$84,5,FALSE),0)=1,$MI80,""),IF(IFERROR(VLOOKUP($MJ80,$AV$2:$AZ$84,5,FALSE),0)=1,$MJ80,""),IF(IFERROR(VLOOKUP($MK80,$AV$2:$AZ$84,5,FALSE),0)=1,$MK80,""))</f>
        <v/>
      </c>
      <c r="NO80" s="152">
        <f>IF($MT80=0,0,INDEX($Y$2:$Y$11,$MT80))</f>
        <v/>
      </c>
      <c r="NP80" s="152">
        <f>IF($MT80=0,0,INDEX($Z$2:$Z$11,$MT80))</f>
        <v/>
      </c>
      <c r="NQ80" s="152">
        <f>IF($MT80=0,0,INDEX($AB$2:$AB$11,$MT80))</f>
        <v/>
      </c>
      <c r="NR80" s="152">
        <f>IFERROR(VLOOKUP($ML80,$BB$2:$BF$24,3,FALSE),0)</f>
        <v/>
      </c>
      <c r="NS80" s="152">
        <f>IFERROR(VLOOKUP($MM80,$BB$2:$BF$24,3,FALSE),0)</f>
        <v/>
      </c>
      <c r="NT80" s="152">
        <f>IFERROR(VLOOKUP($ML80,$BB$2:$BF$24,2,FALSE),"")</f>
        <v/>
      </c>
      <c r="NU80" s="152">
        <f>IFERROR(VLOOKUP($MM80,$BB$2:$BF$24,2,FALSE),"")</f>
        <v/>
      </c>
      <c r="NV80" s="152">
        <f>COUNTIF($NC80:$NG80,1)</f>
        <v/>
      </c>
      <c r="NW80" s="152">
        <f>COUNTIF($NC80:$NG80,2)</f>
        <v/>
      </c>
      <c r="NX80" s="152">
        <f>COUNTIF($NC80:$NG80,3)</f>
        <v/>
      </c>
      <c r="NY80" s="152">
        <f>COUNTIF($NC80:$NG80,4)</f>
        <v/>
      </c>
      <c r="NZ80" s="152">
        <f>COUNTIF($NC80:$NG80,5)</f>
        <v/>
      </c>
      <c r="OA80" s="152">
        <f>COUNTIF($NC80:$NG80,6)</f>
        <v/>
      </c>
      <c r="OB80" s="152">
        <f>COUNTIF($NR80:$NS80,1)</f>
        <v/>
      </c>
      <c r="OC80" s="152">
        <f>COUNTIF($NR80:$NS80,2)+$NO80</f>
        <v/>
      </c>
      <c r="OD80" s="152">
        <f>COUNTIF($MH80:$MK80,"?*")</f>
        <v/>
      </c>
      <c r="OE80" s="152">
        <f>COUNTIF($ML80:$MM80,"?*")+$NO80</f>
        <v/>
      </c>
      <c r="OF80" s="152">
        <f>IF($MC80=0,0,SUMPRODUCT($NV80:$OA80,INDEX($I$2:$N$8,MAX(1,$MC80),0)))</f>
        <v/>
      </c>
      <c r="OG80" s="152">
        <f>IF($MC80=0,0,$OB80*CEILING($MC80/2,1)+$OC80*$MC80)</f>
        <v/>
      </c>
      <c r="OH80" s="152">
        <f>MIN(2*$MC80,$OG80)</f>
        <v/>
      </c>
      <c r="OI80" s="152">
        <f>MIN($OH80,$OF80)</f>
        <v/>
      </c>
      <c r="OJ80" s="152">
        <f>$OH80-$OI80</f>
        <v/>
      </c>
      <c r="OK80" s="152">
        <f>IF($MC80=0,0,INDEX($P$2:$P$8,MAX(1,$MC80)))</f>
        <v/>
      </c>
      <c r="OL80" s="152">
        <f>$OK80-$OF80+$OI80</f>
        <v/>
      </c>
      <c r="OM80" s="152">
        <f>IF($MC80=0,MAX(0,$MQ80-IF($OD80&gt;0,1,0)),MAX(0,$OL80))</f>
        <v/>
      </c>
      <c r="ON80" s="152">
        <f>IF($MC80=0,0,(IF(COUNTIF($MH80:$MK80,"Salto")&gt;0,1,0)+IF(COUNTIF($MH80:$MK80,"Queima")&gt;0,1,0)+IF(COUNTIF($MH80:$MK80,"Estilhaço")&gt;0,1,0))*FLOOR($OM80/2,1))</f>
        <v/>
      </c>
      <c r="OO80" s="152">
        <f>MAX(0,2-SUMPRODUCT($NV80:$OA80,$I$2:$N$2)+MIN(2,$OB80*1+$OC80*1,SUMPRODUCT($NV80:$OA80,$I$2:$N$2)))</f>
        <v/>
      </c>
      <c r="OP80" s="152">
        <f>MAX(0,4-SUMPRODUCT($NV80:$OA80,$I$3:$N$3)+MIN(4,$OB80*1+$OC80*2,SUMPRODUCT($NV80:$OA80,$I$3:$N$3)))</f>
        <v/>
      </c>
      <c r="OQ80" s="152">
        <f>MAX(0,6-SUMPRODUCT($NV80:$OA80,$I$4:$N$4)+MIN(6,$OB80*2+$OC80*3,SUMPRODUCT($NV80:$OA80,$I$4:$N$4)))</f>
        <v/>
      </c>
      <c r="OR80" s="152">
        <f>MAX(0,9-SUMPRODUCT($NV80:$OA80,$I$5:$N$5)+MIN(8,$OB80*2+$OC80*4,SUMPRODUCT($NV80:$OA80,$I$5:$N$5)))</f>
        <v/>
      </c>
      <c r="OS80" s="152">
        <f>MAX(0,11-SUMPRODUCT($NV80:$OA80,$I$6:$N$6)+MIN(10,$OB80*3+$OC80*5,SUMPRODUCT($NV80:$OA80,$I$6:$N$6)))</f>
        <v/>
      </c>
      <c r="OT80" s="152">
        <f>MAX(0,13-SUMPRODUCT($NV80:$OA80,$I$7:$N$7)+MIN(12,$OB80*3+$OC80*6,SUMPRODUCT($NV80:$OA80,$I$7:$N$7)))</f>
        <v/>
      </c>
      <c r="OU80" s="152">
        <f>MAX(0,16-SUMPRODUCT($NV80:$OA80,$I$8:$N$8)+MIN(14,$OB80*4+$OC80*7,SUMPRODUCT($NV80:$OA80,$I$8:$N$8)))</f>
        <v/>
      </c>
      <c r="OV80" s="152">
        <f>IF($NP80=2,3*$OO80&amp;" de vida temp.",IF($NP80=3,"sem dano",IF($OO80=0,IF($NP80=1,"sem cura","sem dano"),IF($NP80=1,"cura ","")&amp;$OO80&amp;"d8")))</f>
        <v/>
      </c>
      <c r="OW80" s="152">
        <f>IF($NP80=2,3*$OP80&amp;" de vida temp.",IF($NP80=3,"sem dano",IF($OP80=0,IF($NP80=1,"sem cura","sem dano"),IF($NP80=1,"cura ","")&amp;$OP80&amp;"d8")))</f>
        <v/>
      </c>
      <c r="OX80" s="152">
        <f>IF($NP80=2,3*$OQ80&amp;" de vida temp.",IF($NP80=3,"sem dano",IF($OQ80=0,IF($NP80=1,"sem cura","sem dano"),IF($NP80=1,"cura ","")&amp;$OQ80&amp;"d8")))</f>
        <v/>
      </c>
      <c r="OY80" s="152">
        <f>IF($NP80=2,3*$OR80&amp;" de vida temp.",IF($NP80=3,"sem dano",IF($OR80=0,IF($NP80=1,"sem cura","sem dano"),IF($NP80=1,"cura ","")&amp;$OR80&amp;"d8")))</f>
        <v/>
      </c>
      <c r="OZ80" s="152">
        <f>IF($NP80=2,3*$OS80&amp;" de vida temp.",IF($NP80=3,"sem dano",IF($OS80=0,IF($NP80=1,"sem cura","sem dano"),IF($NP80=1,"cura ","")&amp;$OS80&amp;"d8")))</f>
        <v/>
      </c>
      <c r="PA80" s="152">
        <f>IF($NP80=2,3*$OT80&amp;" de vida temp.",IF($NP80=3,"sem dano",IF($OT80=0,IF($NP80=1,"sem cura","sem dano"),IF($NP80=1,"cura ","")&amp;$OT80&amp;"d8")))</f>
        <v/>
      </c>
      <c r="PB80" s="152">
        <f>IF($NP80=2,3*$OU80&amp;" de vida temp.",IF($NP80=3,"sem dano",IF($OU80=0,IF($NP80=1,"sem cura","sem dano"),IF($NP80=1,"cura ","")&amp;$OU80&amp;"d8")))</f>
        <v/>
      </c>
      <c r="PC80" s="152">
        <f>IF($MN80=0,"",TEXTJOIN(" · ",TRUE,IF($MA80&gt;$MO80,"Este lugar abre no nível "&amp;$MA80,""),IF($MC80&gt;$MP80,"Classe "&amp;$MC80&amp;": o nível "&amp;$MO80&amp;" libera até a "&amp;$MP80,""),IF($NH80=1,"A Forma "&amp;$ME80&amp;" pede "&amp;INDEX($W$2:$W$11,$MT80)&amp;" aberta",""),IF(AND($MC80=0,$MT80&gt;0,IF($MT80=0,0,INDEX($AF$2:$AF$11,$MT80))=0),$ME80&amp;" não existe na Classe 0",""),IF($NI80=1,"Família Fechada: "&amp;$MH80,""),IF($NJ80=1,"Família Fechada: "&amp;$MI80,""),IF($NK80=1,"Família Fechada: "&amp;$MJ80,""),IF($NL80=1,"Família Fechada: "&amp;$MK80,""),IF(AND($MC80&gt;0,$OD80&gt;INDEX($O$2:$O$8,MAX(1,$MC80))),$OD80&amp;" Melhorias: a Classe "&amp;$MC80&amp;" aceita "&amp;INDEX($O$2:$O$8,MAX(1,$MC80)),""),IF(AND($MC80=0,$OD80&gt;1),"A básica aceita uma Melhoria",""),IF(AND($MC80=0,COUNTIF($MY80:$NB80,"&gt;1")&gt;0),"A básica só aceita Melhoria Leve",""),IF(AND($MC80&gt;0,$OE80&gt;2),$OE80&amp;" Restrições"&amp;IF($NO80=1,", contando a que a Forma "&amp;$ME80&amp;" já traz","")&amp;": o limite é 2",""),IF(AND($MC80=0,COUNTIF($ML80:$MM80,"?*")&gt;1),"A básica aceita uma Restrição Leve",""),IF(AND($MC80=0,COUNTIF($NR80:$NS80,2)&gt;0),"A básica só aceita Restrição Leve",""),IF(AND($MC80&gt;0,$OL80&lt;0),"Orçamento estourado: faltam "&amp;(-$OL80)&amp;IF($OL80&lt;-1," pontos"," ponto"),""),IF(IFERROR(VLOOKUP($ML80,$BB$2:$BF$24,4,FALSE),0)+IFERROR(VLOOKUP($MM80,$BB$2:$BF$24,4,FALSE),0)&gt;1,$NT80&amp;" e "&amp;$NU80&amp;" são as duas de frequência",""),IF(AND((COUNTIF($MH80:$MK80,"Rápido")+COUNTIF($NT80:$NU80,"Rápido"))&gt;0,(COUNTIF($MH80:$MK80,"Atrasar")+COUNTIF($NT80:$NU80,"Atrasar"))&gt;0),"Rápido não entra com Atrasar",""),IF(AND((COUNTIF($MH80:$MK80,"Reação")+COUNTIF($NT80:$NU80,"Reação"))&gt;0,(COUNTIF($MH80:$MK80,"Rápido")+COUNTIF($NT80:$NU80,"Rápido"))&gt;0),"Reação não entra com Rápido",""),IF(AND((COUNTIF($MH80:$MK80,"Reação")+COUNTIF($NT80:$NU80,"Reação"))&gt;0,(COUNTIF($MH80:$MK80,"Armado")+COUNTIF($NT80:$NU80,"Armado"))&gt;0),"Reação não entra com Armado",""),IF(AND((COUNTIF($MH80:$MK80,"Reação")+COUNTIF($NT80:$NU80,"Reação"))&gt;0,(COUNTIF($MH80:$MK80,"Atrasar")+COUNTIF($NT80:$NU80,"Atrasar"))&gt;0),"Reação não entra com Atrasar",""),IF(AND((COUNTIF($MH80:$MK80,"Reação")+COUNTIF($NT80:$NU80,"Reação"))&gt;0,(COUNTIF($MH80:$MK80,"Parado")+COUNTIF($NT80:$NU80,"Parado"))&gt;0),"Reação não entra com Parado",""),IF(AND((COUNTIF($MH80:$MK80,"Atrasar")+COUNTIF($NT80:$NU80,"Atrasar"))&gt;0,(COUNTIF($MH80:$MK80,"Parado")+COUNTIF($NT80:$NU80,"Parado"))&gt;0),"Atrasar não entra com Parado",""),IF(AND((COUNTIF($MH80:$MK80,"Armado")+COUNTIF($NT80:$NU80,"Armado"))&gt;0,(COUNTIF($MH80:$MK80,"Carregar")+COUNTIF($NT80:$NU80,"Carregar"))&gt;0),"Armado não entra com Carregar",""),IF(AND(COUNTIF($NT80:$NU80,"Corpo a Corpo")&gt;0,$NO80=0,OR($ME80="Cone",$ME80="Linha")),"Corpo a Corpo não entra em "&amp;$ME80,""),IF(AND(COUNTIF($NT80:$NU80,"Corpo a Corpo")&gt;0,$NO80=1),"A Forma "&amp;$ME80&amp;" já traz o Corpo a Corpo",""),IF(AND(COUNTIF($NT80:$NU80,"Tudo ou Nada")&gt;0,$NQ80=0),"Tudo ou Nada só entra em habilidade de Teste de Resistência",""),IF(AND(COUNTIF($MH80:$MK80,"Inescapável")&gt;0,OR($OD80&gt;1,$OE80&gt;0)),"Inescapável não aceita outra peça",""),IF(AND($MC80&gt;0,$OM80*IF(COUNTIF($MH80:$MK80,"Remate")&gt;0,1.25,1)+$ON80&gt;4*$MC80),($OM80*IF(COUNTIF($MH80:$MK80,"Remate")&gt;0,1.25,1)+$ON80)&amp;" dados somando repetições"&amp;IF(COUNTIF($MH80:$MK80,"Remate")&gt;0," e o Remate","")&amp;": o teto da Classe "&amp;$MC80&amp;" é "&amp;4*$MC80,"")))</f>
        <v/>
      </c>
      <c r="PD80" s="152">
        <f>IF($PC80="",0,(LEN($PC80)-LEN(SUBSTITUTE($PC80," · ","")))/3+1)</f>
        <v/>
      </c>
      <c r="PE80" s="152">
        <f>IF($MN80=0,"",TEXTJOIN(" · ",TRUE,IF($OG80&gt;2*$MC80,"A devolução parou no teto de "&amp;2*$MC80,""),IF($OJ80&gt;0,"Devolução perdida: "&amp;$OJ80&amp;IF($OJ80&gt;1," pontos"," ponto")&amp;" sem peça para pagar",""),IF(AND($NM80&gt;0,AND($MC80&gt;0,$NP80=0),$OM80=0),"Controle sem dano: uma rodada a mais e CD +2",""),IF(AND($NM80&gt;0,AND($MC80&gt;0,$NP80=0),$OM80&gt;0,$OM80&lt;=$MC80),"Controle com saldo até a Classe: uma rodada a mais",""),IF(AND($MC80&gt;0,$NN80&lt;&gt;""),"Efeito de "&amp;$NN80&amp;" pela Classe "&amp;MAX(1,$MC80-1),"")))</f>
        <v/>
      </c>
      <c r="PF80" s="152">
        <f>IF($PE80="",0,(LEN($PE80)-LEN(SUBSTITUTE($PE80," · ","")))/3+1)</f>
        <v/>
      </c>
      <c r="PG80" s="152">
        <f>IF($MN80=0,IF($OD80+COUNTIF($ML80:$MM80,"?*")&gt;0,"Dê um nome",""),IF($PD80&gt;0,"⚠ "&amp;$PD80&amp;IF($PD80&gt;1," erros"," erro"),IF($PF80&gt;0,"! "&amp;$PF80&amp;IF($PF80&gt;1," avisos"," aviso"),"Na regra")))</f>
        <v/>
      </c>
      <c r="PH80" s="152">
        <f>IF($MN80=0,"",IF($PD80+$PF80=0,"Dentro das regras que a ficha confere",$PC80&amp;IF(AND($PD80&gt;0,$PF80&gt;0)," · ","")&amp;$PE80))</f>
        <v/>
      </c>
      <c r="PI80" s="152">
        <f>IF($MA80&gt;$MO80,$MB80&amp;" · ABRE NO NÍVEL "&amp;$MA80,$MB80)</f>
        <v/>
      </c>
      <c r="PJ80" s="152">
        <f>IF($MN80=0,"",IF($MC80=0,"Sem PE",3*$MC80&amp;" PE"))</f>
        <v/>
      </c>
      <c r="PK80" s="152">
        <f>IF($MN80=0,"",IF($MC80=0,"A atuação básica dela",IF(COUNTIF($NT80:$NU80,"Atrasar")&gt;0,"Sua Ação Completa",IF(COUNTIF($MH80:$MK80,"Rápido")&gt;0,"Sua Bônus",IF(COUNTIF($MH80:$MK80,"Reação")&gt;0,"Sua Reação","Sua Padrão")))&amp;" + a básica dela"&amp;IF(COUNTIF($MH80:$MK80,"Reação")&gt;0," e a coletiva","")&amp;IF(COUNTIF($NT80:$NU80,"Carregar")&gt;0," · em dois turnos","")))</f>
        <v/>
      </c>
      <c r="PL80" s="152">
        <f>IF($MG80&lt;&gt;"",$MG80,IF($MT80=0,"",INDEX($AA$2:$AA$11,$MT80)))</f>
        <v/>
      </c>
      <c r="PM80" s="152">
        <f>IF(OR($MN80=0,$MT80=0),"",IF(COUNTIF($MH80:$MK80,"Inescapável")&gt;0,"Automático",IF($PL80="Ataque",IF($MR80="","Ataque","Ataque "&amp;IF(($MR80+2*IF(COUNTIF($MH80:$MK80,"Precisão")&gt;0,1,0))&gt;=0,"+","−")&amp;ABS(($MR80+2*IF(COUNTIF($MH80:$MK80,"Precisão")&gt;0,1,0)))),IF(LEFT($PL80,2)="TR",$PL80&amp;IF($MS80="",""," · CD "&amp;$MS80)&amp;IF(COUNTIF($MH80:$MK80,"Certeiro")&gt;0," · metade",""),"Sem rolagem"))))</f>
        <v/>
      </c>
      <c r="PN80" s="152">
        <f>IF(OR($MN80=0,$MT80=0),"",IF($MC80=0,IF(OR($NP80&gt;=1,$OM80=0),"Sem dano",$OM80&amp;"d6"&amp;IF($MF80="",""," "&amp;$MF80)),IF(OR($NP80&gt;=1,$OM80=0),UPPER(LEFT(INDEX($OV80:$PB80,1,MAX(1,$MC80)),1))&amp;MID(INDEX($OV80:$PB80,1,MAX(1,$MC80)),2,99),UPPER(LEFT(INDEX($OV80:$PB80,1,MAX(1,$MC80)),1))&amp;MID(INDEX($OV80:$PB80,1,MAX(1,$MC80)),2,99)&amp;IF($MF80="",""," "&amp;$MF80)&amp;IF($ON80&gt;0," · +"&amp;$ON80&amp;"d8",""))))</f>
        <v/>
      </c>
      <c r="PO80" s="152">
        <f>COUNTIF($MH80:$MK80,"Longe")+3*COUNTIF($MH80:$MK80,"Muito Longe")</f>
        <v/>
      </c>
      <c r="PP80" s="152">
        <f>COUNTIF($MH80:$MK80,"Maior")+3*COUNTIF($MH80:$MK80,"Muito Maior")</f>
        <v/>
      </c>
      <c r="PQ80" s="152">
        <f>IF($MT80=0,0,CHOOSE(1+INDEX($AC$2:$AC$11,$MT80),0,$PO80,$PP80,$PO80+$PP80))</f>
        <v/>
      </c>
      <c r="PR80" s="152">
        <f>IF($MT80=0,0,CHOOSE(1+INDEX($AD$2:$AD$11,$MT80),0,$PO80,$PP80,$PO80+$PP80))</f>
        <v/>
      </c>
      <c r="PS80" s="152">
        <f>IF(OR($MN80=0,$MT80=0),"",INDEX($AI$2:$AN$41,($MT80-1)*4+IF($MC80=0,1,IF($MC80&lt;=5,2,IF($MC80=6,3,4))),1+MIN(5,$PQ80))&amp;INDEX($AO$2:$AT$41,($MT80-1)*4+IF($MC80=0,1,IF($MC80&lt;=5,2,IF($MC80=6,3,4))),1+MIN(5,$PR80))&amp;IF(INDEX($AE$2:$AE$11,$MT80)=1,IF(COUNTIF($MH80:$MK80,"Mais Um")&gt;0," · +"&amp;COUNTIF($MH80:$MK80,"Mais Um")&amp;IF(COUNTIF($MH80:$MK80,"Mais Um")&gt;1," alvos"," alvo"),"")&amp;IF(COUNTIF($MH80:$MK80,"Rajada")&gt;0,IF($MC80=0," · 1 tiro"," · "&amp;(MAX(1,$MC80-1)+1)&amp;" tiros"),""),""))</f>
        <v/>
      </c>
      <c r="PT80" s="152">
        <f>IF($MN80=0,"",IF($MC80=0,$MQ80&amp;"d6"&amp;IF($OD80&gt;0," − 1 = "&amp;$OM80&amp;"d6"," da básica do nível "&amp;$MO80),$OK80&amp;" − "&amp;$OF80&amp;" + "&amp;$OI80&amp;" = "&amp;$OL80&amp;" · teto "&amp;4*$MC80&amp;"d8"&amp;IF($NO80=1," · a Forma devolve "&amp;$MC80,"")&amp;IF($OJ80&gt;0," · perde "&amp;$OJ80,"")))</f>
        <v/>
      </c>
      <c r="PU80" s="152">
        <f>IF($MN80=0,"",IF($MC80=0,"A básica não amplia: os dados dela sobem com o nível",IF($MC80&gt;=$MP80,"Já está na maior Classe que o nível liberou",TEXTJOIN(" · ",TRUE,IF(AND(2&gt;$MC80,2&lt;=$MP80),"2 → "&amp;$OW80&amp;", 6 PE",""),IF(AND(3&gt;$MC80,3&lt;=$MP80),"3 → "&amp;$OX80&amp;", 9 PE",""),IF(AND(4&gt;$MC80,4&lt;=$MP80),"4 → "&amp;$OY80&amp;", 12 PE",""),IF(AND(5&gt;$MC80,5&lt;=$MP80),"5 → "&amp;$OZ80&amp;", 15 PE",""),IF(AND(6&gt;$MC80,6&lt;=$MP80),"6 → "&amp;$PA80&amp;", 18 PE",""),IF(AND(7&gt;$MC80,7&lt;=$MP80),"7 → "&amp;$PB80&amp;", 21 PE","")))))</f>
        <v/>
      </c>
      <c r="PV80" s="152">
        <f>IF(OR($MN80=0,$MY80=0),"",IF($MC80=0,"−1 dado","−"&amp;INDEX($I$2:$N$8,MAX(1,$MC80),MAX(1,$ND80))&amp;" · "&amp;CHOOSE(MAX(1,$ND80),"Leve","Média","Pesada","Leve · Livre","Média · Livre","Pesada · Livre")))</f>
        <v/>
      </c>
      <c r="PW80" s="152">
        <f>IF(OR($MN80=0,$MZ80=0),"",IF($MC80=0,"−1 dado","−"&amp;INDEX($I$2:$N$8,MAX(1,$MC80),MAX(1,$NE80))&amp;" · "&amp;CHOOSE(MAX(1,$NE80),"Leve","Média","Pesada","Leve · Livre","Média · Livre","Pesada · Livre")))</f>
        <v/>
      </c>
      <c r="PX80" s="152">
        <f>IF(OR($MN80=0,$NA80=0),"",IF($MC80=0,"−1 dado","−"&amp;INDEX($I$2:$N$8,MAX(1,$MC80),MAX(1,$NF80))&amp;" · "&amp;CHOOSE(MAX(1,$NF80),"Leve","Média","Pesada","Leve · Livre","Média · Livre","Pesada · Livre")))</f>
        <v/>
      </c>
      <c r="PY80" s="152">
        <f>IF(OR($MN80=0,$NB80=0),"",IF($MC80=0,"−1 dado","−"&amp;INDEX($I$2:$N$8,MAX(1,$MC80),MAX(1,$NG80))&amp;" · "&amp;CHOOSE(MAX(1,$NG80),"Leve","Média","Pesada","Leve · Livre","Média · Livre","Pesada · Livre")))</f>
        <v/>
      </c>
      <c r="PZ80" s="152">
        <f>IF(OR($MN80=0,$ML80=""),"",IF($MC80=0,"não devolve","+"&amp;IF($NR80=1,CEILING($MC80/2,1),$MC80)))</f>
        <v/>
      </c>
      <c r="QA80" s="152">
        <f>IF(OR($MN80=0,$MM80=""),"",IF($MC80=0,"não devolve","+"&amp;IF($NS80=1,CEILING($MC80/2,1),$MC80)))</f>
        <v/>
      </c>
    </row>
    <row r="81">
      <c r="AV81" s="150" t="inlineStr">
        <is>
          <t>Reserva</t>
        </is>
      </c>
      <c r="AW81" s="150" t="inlineStr">
        <is>
          <t>Amparo</t>
        </is>
      </c>
      <c r="AX81" s="152" t="n">
        <v>2</v>
      </c>
      <c r="AY81" s="152" t="n">
        <v>0</v>
      </c>
      <c r="AZ81" s="152" t="n">
        <v>0</v>
      </c>
      <c r="JD81" s="152">
        <f>IF(OR($AW81="",COUNTIF($ED$2:$EH$2,$AW81)&gt;0),$AV81,"")</f>
        <v/>
      </c>
      <c r="JE81" s="152">
        <f>IF(AND($AX81=1,OR($AW81="",COUNTIF($ED$2:$EH$2,$AW81)&gt;0)),$AV81,"")</f>
        <v/>
      </c>
      <c r="JJ81" s="152">
        <f>IF(OR($AW81="",COUNTIF($ED$3:$EH$3,$AW81)&gt;0),$AV81,"")</f>
        <v/>
      </c>
      <c r="JK81" s="152">
        <f>IF(AND($AX81=1,OR($AW81="",COUNTIF($ED$3:$EH$3,$AW81)&gt;0)),$AV81,"")</f>
        <v/>
      </c>
      <c r="JP81" s="152">
        <f>IF(OR($AW81="",COUNTIF($ED$4:$EH$4,$AW81)&gt;0),$AV81,"")</f>
        <v/>
      </c>
      <c r="JQ81" s="152">
        <f>IF(AND($AX81=1,OR($AW81="",COUNTIF($ED$4:$EH$4,$AW81)&gt;0)),$AV81,"")</f>
        <v/>
      </c>
      <c r="JV81" s="152">
        <f>IF(OR($AW81="",COUNTIF($ED$5:$EH$5,$AW81)&gt;0),$AV81,"")</f>
        <v/>
      </c>
      <c r="JW81" s="152">
        <f>IF(AND($AX81=1,OR($AW81="",COUNTIF($ED$5:$EH$5,$AW81)&gt;0)),$AV81,"")</f>
        <v/>
      </c>
      <c r="KB81" s="152">
        <f>IF(OR($AW81="",COUNTIF($ED$6:$EH$6,$AW81)&gt;0),$AV81,"")</f>
        <v/>
      </c>
      <c r="KC81" s="152">
        <f>IF(AND($AX81=1,OR($AW81="",COUNTIF($ED$6:$EH$6,$AW81)&gt;0)),$AV81,"")</f>
        <v/>
      </c>
      <c r="KH81" s="152">
        <f>IF(OR($AW81="",COUNTIF($ED$7:$EH$7,$AW81)&gt;0),$AV81,"")</f>
        <v/>
      </c>
      <c r="KI81" s="152">
        <f>IF(AND($AX81=1,OR($AW81="",COUNTIF($ED$7:$EH$7,$AW81)&gt;0)),$AV81,"")</f>
        <v/>
      </c>
      <c r="KN81" s="152">
        <f>IF(OR($AW81="",COUNTIF($ED$8:$EH$8,$AW81)&gt;0),$AV81,"")</f>
        <v/>
      </c>
      <c r="KO81" s="152">
        <f>IF(AND($AX81=1,OR($AW81="",COUNTIF($ED$8:$EH$8,$AW81)&gt;0)),$AV81,"")</f>
        <v/>
      </c>
      <c r="KT81" s="152">
        <f>IF(OR($AW81="",COUNTIF($ED$9:$EH$9,$AW81)&gt;0),$AV81,"")</f>
        <v/>
      </c>
      <c r="KU81" s="152">
        <f>IF(AND($AX81=1,OR($AW81="",COUNTIF($ED$9:$EH$9,$AW81)&gt;0)),$AV81,"")</f>
        <v/>
      </c>
      <c r="KZ81" s="152">
        <f>IF(OR($AW81="",COUNTIF($ED$10:$EH$10,$AW81)&gt;0),$AV81,"")</f>
        <v/>
      </c>
      <c r="LA81" s="152">
        <f>IF(AND($AX81=1,OR($AW81="",COUNTIF($ED$10:$EH$10,$AW81)&gt;0)),$AV81,"")</f>
        <v/>
      </c>
      <c r="LF81" s="152">
        <f>IF(OR($AW81="",COUNTIF($ED$11:$EH$11,$AW81)&gt;0),$AV81,"")</f>
        <v/>
      </c>
      <c r="LG81" s="152">
        <f>IF(AND($AX81=1,OR($AW81="",COUNTIF($ED$11:$EH$11,$AW81)&gt;0)),$AV81,"")</f>
        <v/>
      </c>
      <c r="LL81" s="152">
        <f>IF(OR($AW81="",COUNTIF($ED$12:$EH$12,$AW81)&gt;0),$AV81,"")</f>
        <v/>
      </c>
      <c r="LM81" s="152">
        <f>IF(AND($AX81=1,OR($AW81="",COUNTIF($ED$12:$EH$12,$AW81)&gt;0)),$AV81,"")</f>
        <v/>
      </c>
      <c r="LR81" s="152">
        <f>IF(OR($AW81="",COUNTIF($ED$13:$EH$13,$AW81)&gt;0),$AV81,"")</f>
        <v/>
      </c>
      <c r="LS81" s="152">
        <f>IF(AND($AX81=1,OR($AW81="",COUNTIF($ED$13:$EH$13,$AW81)&gt;0)),$AV81,"")</f>
        <v/>
      </c>
      <c r="LX81" s="150" t="inlineStr">
        <is>
          <t>Ficha 7 · Especial 1</t>
        </is>
      </c>
      <c r="LY81" s="152" t="n">
        <v>7</v>
      </c>
      <c r="LZ81" s="152" t="n">
        <v>1</v>
      </c>
      <c r="MA81" s="152" t="n">
        <v>1</v>
      </c>
      <c r="MB81" s="150" t="inlineStr">
        <is>
          <t>ESPECIAL 1</t>
        </is>
      </c>
      <c r="MC81" s="152">
        <f>MAX(1,MIN(7,N('INVOCAÇÕES'!$AH$58)))</f>
        <v/>
      </c>
      <c r="MD81" s="152">
        <f>'INVOCAÇÕES'!$AI$58&amp;""</f>
        <v/>
      </c>
      <c r="ME81" s="152">
        <f>'INVOCAÇÕES'!$AH$63&amp;""</f>
        <v/>
      </c>
      <c r="MF81" s="152">
        <f>'INVOCAÇÕES'!$AH$64&amp;""</f>
        <v/>
      </c>
      <c r="MG81" s="152">
        <f>'INVOCAÇÕES'!$AJ$64&amp;""</f>
        <v/>
      </c>
      <c r="MH81" s="152">
        <f>'INVOCAÇÕES'!$AI$67&amp;""</f>
        <v/>
      </c>
      <c r="MI81" s="152">
        <f>'INVOCAÇÕES'!$AI$68&amp;""</f>
        <v/>
      </c>
      <c r="MJ81" s="152">
        <f>'INVOCAÇÕES'!$AI$69&amp;""</f>
        <v/>
      </c>
      <c r="MK81" s="152">
        <f>'INVOCAÇÕES'!$AI$70&amp;""</f>
        <v/>
      </c>
      <c r="ML81" s="152">
        <f>'INVOCAÇÕES'!$AI$71&amp;""</f>
        <v/>
      </c>
      <c r="MM81" s="152">
        <f>'INVOCAÇÕES'!$AI$72&amp;""</f>
        <v/>
      </c>
      <c r="MN81" s="152">
        <f>IF($MD81&lt;&gt;"",1,0)</f>
        <v/>
      </c>
      <c r="MO81" s="152">
        <f>INDEX($FG$2:$FG$13,$LY81)</f>
        <v/>
      </c>
      <c r="MP81" s="152">
        <f>INDEX($FH$2:$FH$13,$LY81)</f>
        <v/>
      </c>
      <c r="MQ81" s="152">
        <f>INDEX($FI$2:$FI$13,$LY81)</f>
        <v/>
      </c>
      <c r="MR81" s="152">
        <f>INDEX($FT$2:$FT$13,$LY81)</f>
        <v/>
      </c>
      <c r="MS81" s="152">
        <f>INDEX($FU$2:$FU$13,$LY81)</f>
        <v/>
      </c>
      <c r="MT81" s="152">
        <f>IFERROR(MATCH($ME81,$V$2:$V$11,0),0)</f>
        <v/>
      </c>
      <c r="MU81" s="152">
        <f>IFERROR(VLOOKUP($MH81,$AV$2:$AZ$84,2,FALSE),"")</f>
        <v/>
      </c>
      <c r="MV81" s="152">
        <f>IFERROR(VLOOKUP($MI81,$AV$2:$AZ$84,2,FALSE),"")</f>
        <v/>
      </c>
      <c r="MW81" s="152">
        <f>IFERROR(VLOOKUP($MJ81,$AV$2:$AZ$84,2,FALSE),"")</f>
        <v/>
      </c>
      <c r="MX81" s="152">
        <f>IFERROR(VLOOKUP($MK81,$AV$2:$AZ$84,2,FALSE),"")</f>
        <v/>
      </c>
      <c r="MY81" s="152">
        <f>IFERROR(VLOOKUP($MH81,$AV$2:$AZ$84,3,FALSE),0)</f>
        <v/>
      </c>
      <c r="MZ81" s="152">
        <f>IFERROR(VLOOKUP($MI81,$AV$2:$AZ$84,3,FALSE),0)</f>
        <v/>
      </c>
      <c r="NA81" s="152">
        <f>IFERROR(VLOOKUP($MJ81,$AV$2:$AZ$84,3,FALSE),0)</f>
        <v/>
      </c>
      <c r="NB81" s="152">
        <f>IFERROR(VLOOKUP($MK81,$AV$2:$AZ$84,3,FALSE),0)</f>
        <v/>
      </c>
      <c r="NC81" s="152">
        <f>IF($MC81=0,0,IF($MT81=0,0,INDEX($X$2:$X$11,$MT81)))</f>
        <v/>
      </c>
      <c r="ND81" s="152">
        <f>IF(OR($MY81=0,$MC81=0),0,$MY81+3*IF(AND($MU81&lt;&gt;"",OR($MU81=INDEX($ED$2:$ED$13,$LY81),$MU81=INDEX($EE$2:$EE$13,$LY81))),1,0))</f>
        <v/>
      </c>
      <c r="NE81" s="152">
        <f>IF(OR($MZ81=0,$MC81=0),0,$MZ81+3*IF(AND($MV81&lt;&gt;"",OR($MV81=INDEX($ED$2:$ED$13,$LY81),$MV81=INDEX($EE$2:$EE$13,$LY81))),1,0))</f>
        <v/>
      </c>
      <c r="NF81" s="152">
        <f>IF(OR($NA81=0,$MC81=0),0,$NA81+3*IF(AND($MW81&lt;&gt;"",OR($MW81=INDEX($ED$2:$ED$13,$LY81),$MW81=INDEX($EE$2:$EE$13,$LY81))),1,0))</f>
        <v/>
      </c>
      <c r="NG81" s="152">
        <f>IF(OR($NB81=0,$MC81=0),0,$NB81+3*IF(AND($MX81&lt;&gt;"",OR($MX81=INDEX($ED$2:$ED$13,$LY81),$MX81=INDEX($EE$2:$EE$13,$LY81))),1,0))</f>
        <v/>
      </c>
      <c r="NH81" s="152">
        <f>IF($MT81=0,0,IF(INDEX($W$2:$W$11,$MT81)="",0,IF(COUNTIF(INDEX($ED$2:$EH$13,$LY81,0),INDEX($W$2:$W$11,$MT81))=0,1,0)))</f>
        <v/>
      </c>
      <c r="NI81" s="152">
        <f>IF(OR($MY81=0,$MU81=""),0,IF(COUNTIF(INDEX($ED$2:$EH$13,$LY81,0),$MU81)=0,1,0))</f>
        <v/>
      </c>
      <c r="NJ81" s="152">
        <f>IF(OR($MZ81=0,$MV81=""),0,IF(COUNTIF(INDEX($ED$2:$EH$13,$LY81,0),$MV81)=0,1,0))</f>
        <v/>
      </c>
      <c r="NK81" s="152">
        <f>IF(OR($NA81=0,$MW81=""),0,IF(COUNTIF(INDEX($ED$2:$EH$13,$LY81,0),$MW81)=0,1,0))</f>
        <v/>
      </c>
      <c r="NL81" s="152">
        <f>IF(OR($NB81=0,$MX81=""),0,IF(COUNTIF(INDEX($ED$2:$EH$13,$LY81,0),$MX81)=0,1,0))</f>
        <v/>
      </c>
      <c r="NM81" s="152">
        <f>IFERROR(VLOOKUP($MH81,$AV$2:$AZ$84,4,FALSE),0)+IFERROR(VLOOKUP($MI81,$AV$2:$AZ$84,4,FALSE),0)+IFERROR(VLOOKUP($MJ81,$AV$2:$AZ$84,4,FALSE),0)+IFERROR(VLOOKUP($MK81,$AV$2:$AZ$84,4,FALSE),0)</f>
        <v/>
      </c>
      <c r="NN81" s="152">
        <f>TEXTJOIN(", ",TRUE,IF(IFERROR(VLOOKUP($MH81,$AV$2:$AZ$84,5,FALSE),0)=1,$MH81,""),IF(IFERROR(VLOOKUP($MI81,$AV$2:$AZ$84,5,FALSE),0)=1,$MI81,""),IF(IFERROR(VLOOKUP($MJ81,$AV$2:$AZ$84,5,FALSE),0)=1,$MJ81,""),IF(IFERROR(VLOOKUP($MK81,$AV$2:$AZ$84,5,FALSE),0)=1,$MK81,""))</f>
        <v/>
      </c>
      <c r="NO81" s="152">
        <f>IF($MT81=0,0,INDEX($Y$2:$Y$11,$MT81))</f>
        <v/>
      </c>
      <c r="NP81" s="152">
        <f>IF($MT81=0,0,INDEX($Z$2:$Z$11,$MT81))</f>
        <v/>
      </c>
      <c r="NQ81" s="152">
        <f>IF($MT81=0,0,INDEX($AB$2:$AB$11,$MT81))</f>
        <v/>
      </c>
      <c r="NR81" s="152">
        <f>IFERROR(VLOOKUP($ML81,$BB$2:$BF$24,3,FALSE),0)</f>
        <v/>
      </c>
      <c r="NS81" s="152">
        <f>IFERROR(VLOOKUP($MM81,$BB$2:$BF$24,3,FALSE),0)</f>
        <v/>
      </c>
      <c r="NT81" s="152">
        <f>IFERROR(VLOOKUP($ML81,$BB$2:$BF$24,2,FALSE),"")</f>
        <v/>
      </c>
      <c r="NU81" s="152">
        <f>IFERROR(VLOOKUP($MM81,$BB$2:$BF$24,2,FALSE),"")</f>
        <v/>
      </c>
      <c r="NV81" s="152">
        <f>COUNTIF($NC81:$NG81,1)</f>
        <v/>
      </c>
      <c r="NW81" s="152">
        <f>COUNTIF($NC81:$NG81,2)</f>
        <v/>
      </c>
      <c r="NX81" s="152">
        <f>COUNTIF($NC81:$NG81,3)</f>
        <v/>
      </c>
      <c r="NY81" s="152">
        <f>COUNTIF($NC81:$NG81,4)</f>
        <v/>
      </c>
      <c r="NZ81" s="152">
        <f>COUNTIF($NC81:$NG81,5)</f>
        <v/>
      </c>
      <c r="OA81" s="152">
        <f>COUNTIF($NC81:$NG81,6)</f>
        <v/>
      </c>
      <c r="OB81" s="152">
        <f>COUNTIF($NR81:$NS81,1)</f>
        <v/>
      </c>
      <c r="OC81" s="152">
        <f>COUNTIF($NR81:$NS81,2)+$NO81</f>
        <v/>
      </c>
      <c r="OD81" s="152">
        <f>COUNTIF($MH81:$MK81,"?*")</f>
        <v/>
      </c>
      <c r="OE81" s="152">
        <f>COUNTIF($ML81:$MM81,"?*")+$NO81</f>
        <v/>
      </c>
      <c r="OF81" s="152">
        <f>IF($MC81=0,0,SUMPRODUCT($NV81:$OA81,INDEX($I$2:$N$8,MAX(1,$MC81),0)))</f>
        <v/>
      </c>
      <c r="OG81" s="152">
        <f>IF($MC81=0,0,$OB81*CEILING($MC81/2,1)+$OC81*$MC81)</f>
        <v/>
      </c>
      <c r="OH81" s="152">
        <f>MIN(2*$MC81,$OG81)</f>
        <v/>
      </c>
      <c r="OI81" s="152">
        <f>MIN($OH81,$OF81)</f>
        <v/>
      </c>
      <c r="OJ81" s="152">
        <f>$OH81-$OI81</f>
        <v/>
      </c>
      <c r="OK81" s="152">
        <f>IF($MC81=0,0,INDEX($P$2:$P$8,MAX(1,$MC81)))</f>
        <v/>
      </c>
      <c r="OL81" s="152">
        <f>$OK81-$OF81+$OI81</f>
        <v/>
      </c>
      <c r="OM81" s="152">
        <f>IF($MC81=0,MAX(0,$MQ81-IF($OD81&gt;0,1,0)),MAX(0,$OL81))</f>
        <v/>
      </c>
      <c r="ON81" s="152">
        <f>IF($MC81=0,0,(IF(COUNTIF($MH81:$MK81,"Salto")&gt;0,1,0)+IF(COUNTIF($MH81:$MK81,"Queima")&gt;0,1,0)+IF(COUNTIF($MH81:$MK81,"Estilhaço")&gt;0,1,0))*FLOOR($OM81/2,1))</f>
        <v/>
      </c>
      <c r="OO81" s="152">
        <f>MAX(0,2-SUMPRODUCT($NV81:$OA81,$I$2:$N$2)+MIN(2,$OB81*1+$OC81*1,SUMPRODUCT($NV81:$OA81,$I$2:$N$2)))</f>
        <v/>
      </c>
      <c r="OP81" s="152">
        <f>MAX(0,4-SUMPRODUCT($NV81:$OA81,$I$3:$N$3)+MIN(4,$OB81*1+$OC81*2,SUMPRODUCT($NV81:$OA81,$I$3:$N$3)))</f>
        <v/>
      </c>
      <c r="OQ81" s="152">
        <f>MAX(0,6-SUMPRODUCT($NV81:$OA81,$I$4:$N$4)+MIN(6,$OB81*2+$OC81*3,SUMPRODUCT($NV81:$OA81,$I$4:$N$4)))</f>
        <v/>
      </c>
      <c r="OR81" s="152">
        <f>MAX(0,9-SUMPRODUCT($NV81:$OA81,$I$5:$N$5)+MIN(8,$OB81*2+$OC81*4,SUMPRODUCT($NV81:$OA81,$I$5:$N$5)))</f>
        <v/>
      </c>
      <c r="OS81" s="152">
        <f>MAX(0,11-SUMPRODUCT($NV81:$OA81,$I$6:$N$6)+MIN(10,$OB81*3+$OC81*5,SUMPRODUCT($NV81:$OA81,$I$6:$N$6)))</f>
        <v/>
      </c>
      <c r="OT81" s="152">
        <f>MAX(0,13-SUMPRODUCT($NV81:$OA81,$I$7:$N$7)+MIN(12,$OB81*3+$OC81*6,SUMPRODUCT($NV81:$OA81,$I$7:$N$7)))</f>
        <v/>
      </c>
      <c r="OU81" s="152">
        <f>MAX(0,16-SUMPRODUCT($NV81:$OA81,$I$8:$N$8)+MIN(14,$OB81*4+$OC81*7,SUMPRODUCT($NV81:$OA81,$I$8:$N$8)))</f>
        <v/>
      </c>
      <c r="OV81" s="152">
        <f>IF($NP81=2,3*$OO81&amp;" de vida temp.",IF($NP81=3,"sem dano",IF($OO81=0,IF($NP81=1,"sem cura","sem dano"),IF($NP81=1,"cura ","")&amp;$OO81&amp;"d8")))</f>
        <v/>
      </c>
      <c r="OW81" s="152">
        <f>IF($NP81=2,3*$OP81&amp;" de vida temp.",IF($NP81=3,"sem dano",IF($OP81=0,IF($NP81=1,"sem cura","sem dano"),IF($NP81=1,"cura ","")&amp;$OP81&amp;"d8")))</f>
        <v/>
      </c>
      <c r="OX81" s="152">
        <f>IF($NP81=2,3*$OQ81&amp;" de vida temp.",IF($NP81=3,"sem dano",IF($OQ81=0,IF($NP81=1,"sem cura","sem dano"),IF($NP81=1,"cura ","")&amp;$OQ81&amp;"d8")))</f>
        <v/>
      </c>
      <c r="OY81" s="152">
        <f>IF($NP81=2,3*$OR81&amp;" de vida temp.",IF($NP81=3,"sem dano",IF($OR81=0,IF($NP81=1,"sem cura","sem dano"),IF($NP81=1,"cura ","")&amp;$OR81&amp;"d8")))</f>
        <v/>
      </c>
      <c r="OZ81" s="152">
        <f>IF($NP81=2,3*$OS81&amp;" de vida temp.",IF($NP81=3,"sem dano",IF($OS81=0,IF($NP81=1,"sem cura","sem dano"),IF($NP81=1,"cura ","")&amp;$OS81&amp;"d8")))</f>
        <v/>
      </c>
      <c r="PA81" s="152">
        <f>IF($NP81=2,3*$OT81&amp;" de vida temp.",IF($NP81=3,"sem dano",IF($OT81=0,IF($NP81=1,"sem cura","sem dano"),IF($NP81=1,"cura ","")&amp;$OT81&amp;"d8")))</f>
        <v/>
      </c>
      <c r="PB81" s="152">
        <f>IF($NP81=2,3*$OU81&amp;" de vida temp.",IF($NP81=3,"sem dano",IF($OU81=0,IF($NP81=1,"sem cura","sem dano"),IF($NP81=1,"cura ","")&amp;$OU81&amp;"d8")))</f>
        <v/>
      </c>
      <c r="PC81" s="152">
        <f>IF($MN81=0,"",TEXTJOIN(" · ",TRUE,IF($MA81&gt;$MO81,"Este lugar abre no nível "&amp;$MA81,""),IF($MC81&gt;$MP81,"Classe "&amp;$MC81&amp;": o nível "&amp;$MO81&amp;" libera até a "&amp;$MP81,""),IF($NH81=1,"A Forma "&amp;$ME81&amp;" pede "&amp;INDEX($W$2:$W$11,$MT81)&amp;" aberta",""),IF(AND($MC81=0,$MT81&gt;0,IF($MT81=0,0,INDEX($AF$2:$AF$11,$MT81))=0),$ME81&amp;" não existe na Classe 0",""),IF($NI81=1,"Família Fechada: "&amp;$MH81,""),IF($NJ81=1,"Família Fechada: "&amp;$MI81,""),IF($NK81=1,"Família Fechada: "&amp;$MJ81,""),IF($NL81=1,"Família Fechada: "&amp;$MK81,""),IF(AND($MC81&gt;0,$OD81&gt;INDEX($O$2:$O$8,MAX(1,$MC81))),$OD81&amp;" Melhorias: a Classe "&amp;$MC81&amp;" aceita "&amp;INDEX($O$2:$O$8,MAX(1,$MC81)),""),IF(AND($MC81=0,$OD81&gt;1),"A básica aceita uma Melhoria",""),IF(AND($MC81=0,COUNTIF($MY81:$NB81,"&gt;1")&gt;0),"A básica só aceita Melhoria Leve",""),IF(AND($MC81&gt;0,$OE81&gt;2),$OE81&amp;" Restrições"&amp;IF($NO81=1,", contando a que a Forma "&amp;$ME81&amp;" já traz","")&amp;": o limite é 2",""),IF(AND($MC81=0,COUNTIF($ML81:$MM81,"?*")&gt;1),"A básica aceita uma Restrição Leve",""),IF(AND($MC81=0,COUNTIF($NR81:$NS81,2)&gt;0),"A básica só aceita Restrição Leve",""),IF(AND($MC81&gt;0,$OL81&lt;0),"Orçamento estourado: faltam "&amp;(-$OL81)&amp;IF($OL81&lt;-1," pontos"," ponto"),""),IF(IFERROR(VLOOKUP($ML81,$BB$2:$BF$24,4,FALSE),0)+IFERROR(VLOOKUP($MM81,$BB$2:$BF$24,4,FALSE),0)&gt;1,$NT81&amp;" e "&amp;$NU81&amp;" são as duas de frequência",""),IF(AND((COUNTIF($MH81:$MK81,"Rápido")+COUNTIF($NT81:$NU81,"Rápido"))&gt;0,(COUNTIF($MH81:$MK81,"Atrasar")+COUNTIF($NT81:$NU81,"Atrasar"))&gt;0),"Rápido não entra com Atrasar",""),IF(AND((COUNTIF($MH81:$MK81,"Reação")+COUNTIF($NT81:$NU81,"Reação"))&gt;0,(COUNTIF($MH81:$MK81,"Rápido")+COUNTIF($NT81:$NU81,"Rápido"))&gt;0),"Reação não entra com Rápido",""),IF(AND((COUNTIF($MH81:$MK81,"Reação")+COUNTIF($NT81:$NU81,"Reação"))&gt;0,(COUNTIF($MH81:$MK81,"Armado")+COUNTIF($NT81:$NU81,"Armado"))&gt;0),"Reação não entra com Armado",""),IF(AND((COUNTIF($MH81:$MK81,"Reação")+COUNTIF($NT81:$NU81,"Reação"))&gt;0,(COUNTIF($MH81:$MK81,"Atrasar")+COUNTIF($NT81:$NU81,"Atrasar"))&gt;0),"Reação não entra com Atrasar",""),IF(AND((COUNTIF($MH81:$MK81,"Reação")+COUNTIF($NT81:$NU81,"Reação"))&gt;0,(COUNTIF($MH81:$MK81,"Parado")+COUNTIF($NT81:$NU81,"Parado"))&gt;0),"Reação não entra com Parado",""),IF(AND((COUNTIF($MH81:$MK81,"Atrasar")+COUNTIF($NT81:$NU81,"Atrasar"))&gt;0,(COUNTIF($MH81:$MK81,"Parado")+COUNTIF($NT81:$NU81,"Parado"))&gt;0),"Atrasar não entra com Parado",""),IF(AND((COUNTIF($MH81:$MK81,"Armado")+COUNTIF($NT81:$NU81,"Armado"))&gt;0,(COUNTIF($MH81:$MK81,"Carregar")+COUNTIF($NT81:$NU81,"Carregar"))&gt;0),"Armado não entra com Carregar",""),IF(AND(COUNTIF($NT81:$NU81,"Corpo a Corpo")&gt;0,$NO81=0,OR($ME81="Cone",$ME81="Linha")),"Corpo a Corpo não entra em "&amp;$ME81,""),IF(AND(COUNTIF($NT81:$NU81,"Corpo a Corpo")&gt;0,$NO81=1),"A Forma "&amp;$ME81&amp;" já traz o Corpo a Corpo",""),IF(AND(COUNTIF($NT81:$NU81,"Tudo ou Nada")&gt;0,$NQ81=0),"Tudo ou Nada só entra em habilidade de Teste de Resistência",""),IF(AND(COUNTIF($MH81:$MK81,"Inescapável")&gt;0,OR($OD81&gt;1,$OE81&gt;0)),"Inescapável não aceita outra peça",""),IF(AND($MC81&gt;0,$OM81*IF(COUNTIF($MH81:$MK81,"Remate")&gt;0,1.25,1)+$ON81&gt;4*$MC81),($OM81*IF(COUNTIF($MH81:$MK81,"Remate")&gt;0,1.25,1)+$ON81)&amp;" dados somando repetições"&amp;IF(COUNTIF($MH81:$MK81,"Remate")&gt;0," e o Remate","")&amp;": o teto da Classe "&amp;$MC81&amp;" é "&amp;4*$MC81,"")))</f>
        <v/>
      </c>
      <c r="PD81" s="152">
        <f>IF($PC81="",0,(LEN($PC81)-LEN(SUBSTITUTE($PC81," · ","")))/3+1)</f>
        <v/>
      </c>
      <c r="PE81" s="152">
        <f>IF($MN81=0,"",TEXTJOIN(" · ",TRUE,IF($OG81&gt;2*$MC81,"A devolução parou no teto de "&amp;2*$MC81,""),IF($OJ81&gt;0,"Devolução perdida: "&amp;$OJ81&amp;IF($OJ81&gt;1," pontos"," ponto")&amp;" sem peça para pagar",""),IF(AND($NM81&gt;0,AND($MC81&gt;0,$NP81=0),$OM81=0),"Controle sem dano: uma rodada a mais e CD +2",""),IF(AND($NM81&gt;0,AND($MC81&gt;0,$NP81=0),$OM81&gt;0,$OM81&lt;=$MC81),"Controle com saldo até a Classe: uma rodada a mais",""),IF(AND($MC81&gt;0,$NN81&lt;&gt;""),"Efeito de "&amp;$NN81&amp;" pela Classe "&amp;MAX(1,$MC81-1),"")))</f>
        <v/>
      </c>
      <c r="PF81" s="152">
        <f>IF($PE81="",0,(LEN($PE81)-LEN(SUBSTITUTE($PE81," · ","")))/3+1)</f>
        <v/>
      </c>
      <c r="PG81" s="152">
        <f>IF($MN81=0,IF($OD81+COUNTIF($ML81:$MM81,"?*")&gt;0,"Dê um nome",""),IF($PD81&gt;0,"⚠ "&amp;$PD81&amp;IF($PD81&gt;1," erros"," erro"),IF($PF81&gt;0,"! "&amp;$PF81&amp;IF($PF81&gt;1," avisos"," aviso"),"Na regra")))</f>
        <v/>
      </c>
      <c r="PH81" s="152">
        <f>IF($MN81=0,"",IF($PD81+$PF81=0,"Dentro das regras que a ficha confere",$PC81&amp;IF(AND($PD81&gt;0,$PF81&gt;0)," · ","")&amp;$PE81))</f>
        <v/>
      </c>
      <c r="PI81" s="152">
        <f>IF($MA81&gt;$MO81,$MB81&amp;" · ABRE NO NÍVEL "&amp;$MA81,$MB81)</f>
        <v/>
      </c>
      <c r="PJ81" s="152">
        <f>IF($MN81=0,"",IF($MC81=0,"Sem PE",3*$MC81&amp;" PE"))</f>
        <v/>
      </c>
      <c r="PK81" s="152">
        <f>IF($MN81=0,"",IF($MC81=0,"A atuação básica dela",IF(COUNTIF($NT81:$NU81,"Atrasar")&gt;0,"Sua Ação Completa",IF(COUNTIF($MH81:$MK81,"Rápido")&gt;0,"Sua Bônus",IF(COUNTIF($MH81:$MK81,"Reação")&gt;0,"Sua Reação","Sua Padrão")))&amp;" + a básica dela"&amp;IF(COUNTIF($MH81:$MK81,"Reação")&gt;0," e a coletiva","")&amp;IF(COUNTIF($NT81:$NU81,"Carregar")&gt;0," · em dois turnos","")))</f>
        <v/>
      </c>
      <c r="PL81" s="152">
        <f>IF($MG81&lt;&gt;"",$MG81,IF($MT81=0,"",INDEX($AA$2:$AA$11,$MT81)))</f>
        <v/>
      </c>
      <c r="PM81" s="152">
        <f>IF(OR($MN81=0,$MT81=0),"",IF(COUNTIF($MH81:$MK81,"Inescapável")&gt;0,"Automático",IF($PL81="Ataque",IF($MR81="","Ataque","Ataque "&amp;IF(($MR81+2*IF(COUNTIF($MH81:$MK81,"Precisão")&gt;0,1,0))&gt;=0,"+","−")&amp;ABS(($MR81+2*IF(COUNTIF($MH81:$MK81,"Precisão")&gt;0,1,0)))),IF(LEFT($PL81,2)="TR",$PL81&amp;IF($MS81="",""," · CD "&amp;$MS81)&amp;IF(COUNTIF($MH81:$MK81,"Certeiro")&gt;0," · metade",""),"Sem rolagem"))))</f>
        <v/>
      </c>
      <c r="PN81" s="152">
        <f>IF(OR($MN81=0,$MT81=0),"",IF($MC81=0,IF(OR($NP81&gt;=1,$OM81=0),"Sem dano",$OM81&amp;"d6"&amp;IF($MF81="",""," "&amp;$MF81)),IF(OR($NP81&gt;=1,$OM81=0),UPPER(LEFT(INDEX($OV81:$PB81,1,MAX(1,$MC81)),1))&amp;MID(INDEX($OV81:$PB81,1,MAX(1,$MC81)),2,99),UPPER(LEFT(INDEX($OV81:$PB81,1,MAX(1,$MC81)),1))&amp;MID(INDEX($OV81:$PB81,1,MAX(1,$MC81)),2,99)&amp;IF($MF81="",""," "&amp;$MF81)&amp;IF($ON81&gt;0," · +"&amp;$ON81&amp;"d8",""))))</f>
        <v/>
      </c>
      <c r="PO81" s="152">
        <f>COUNTIF($MH81:$MK81,"Longe")+3*COUNTIF($MH81:$MK81,"Muito Longe")</f>
        <v/>
      </c>
      <c r="PP81" s="152">
        <f>COUNTIF($MH81:$MK81,"Maior")+3*COUNTIF($MH81:$MK81,"Muito Maior")</f>
        <v/>
      </c>
      <c r="PQ81" s="152">
        <f>IF($MT81=0,0,CHOOSE(1+INDEX($AC$2:$AC$11,$MT81),0,$PO81,$PP81,$PO81+$PP81))</f>
        <v/>
      </c>
      <c r="PR81" s="152">
        <f>IF($MT81=0,0,CHOOSE(1+INDEX($AD$2:$AD$11,$MT81),0,$PO81,$PP81,$PO81+$PP81))</f>
        <v/>
      </c>
      <c r="PS81" s="152">
        <f>IF(OR($MN81=0,$MT81=0),"",INDEX($AI$2:$AN$41,($MT81-1)*4+IF($MC81=0,1,IF($MC81&lt;=5,2,IF($MC81=6,3,4))),1+MIN(5,$PQ81))&amp;INDEX($AO$2:$AT$41,($MT81-1)*4+IF($MC81=0,1,IF($MC81&lt;=5,2,IF($MC81=6,3,4))),1+MIN(5,$PR81))&amp;IF(INDEX($AE$2:$AE$11,$MT81)=1,IF(COUNTIF($MH81:$MK81,"Mais Um")&gt;0," · +"&amp;COUNTIF($MH81:$MK81,"Mais Um")&amp;IF(COUNTIF($MH81:$MK81,"Mais Um")&gt;1," alvos"," alvo"),"")&amp;IF(COUNTIF($MH81:$MK81,"Rajada")&gt;0,IF($MC81=0," · 1 tiro"," · "&amp;(MAX(1,$MC81-1)+1)&amp;" tiros"),""),""))</f>
        <v/>
      </c>
      <c r="PT81" s="152">
        <f>IF($MN81=0,"",IF($MC81=0,$MQ81&amp;"d6"&amp;IF($OD81&gt;0," − 1 = "&amp;$OM81&amp;"d6"," da básica do nível "&amp;$MO81),$OK81&amp;" − "&amp;$OF81&amp;" + "&amp;$OI81&amp;" = "&amp;$OL81&amp;" · teto "&amp;4*$MC81&amp;"d8"&amp;IF($NO81=1," · a Forma devolve "&amp;$MC81,"")&amp;IF($OJ81&gt;0," · perde "&amp;$OJ81,"")))</f>
        <v/>
      </c>
      <c r="PU81" s="152">
        <f>IF($MN81=0,"",IF($MC81=0,"A básica não amplia: os dados dela sobem com o nível",IF($MC81&gt;=$MP81,"Já está na maior Classe que o nível liberou",TEXTJOIN(" · ",TRUE,IF(AND(2&gt;$MC81,2&lt;=$MP81),"2 → "&amp;$OW81&amp;", 6 PE",""),IF(AND(3&gt;$MC81,3&lt;=$MP81),"3 → "&amp;$OX81&amp;", 9 PE",""),IF(AND(4&gt;$MC81,4&lt;=$MP81),"4 → "&amp;$OY81&amp;", 12 PE",""),IF(AND(5&gt;$MC81,5&lt;=$MP81),"5 → "&amp;$OZ81&amp;", 15 PE",""),IF(AND(6&gt;$MC81,6&lt;=$MP81),"6 → "&amp;$PA81&amp;", 18 PE",""),IF(AND(7&gt;$MC81,7&lt;=$MP81),"7 → "&amp;$PB81&amp;", 21 PE","")))))</f>
        <v/>
      </c>
      <c r="PV81" s="152">
        <f>IF(OR($MN81=0,$MY81=0),"",IF($MC81=0,"−1 dado","−"&amp;INDEX($I$2:$N$8,MAX(1,$MC81),MAX(1,$ND81))&amp;" · "&amp;CHOOSE(MAX(1,$ND81),"Leve","Média","Pesada","Leve · Livre","Média · Livre","Pesada · Livre")))</f>
        <v/>
      </c>
      <c r="PW81" s="152">
        <f>IF(OR($MN81=0,$MZ81=0),"",IF($MC81=0,"−1 dado","−"&amp;INDEX($I$2:$N$8,MAX(1,$MC81),MAX(1,$NE81))&amp;" · "&amp;CHOOSE(MAX(1,$NE81),"Leve","Média","Pesada","Leve · Livre","Média · Livre","Pesada · Livre")))</f>
        <v/>
      </c>
      <c r="PX81" s="152">
        <f>IF(OR($MN81=0,$NA81=0),"",IF($MC81=0,"−1 dado","−"&amp;INDEX($I$2:$N$8,MAX(1,$MC81),MAX(1,$NF81))&amp;" · "&amp;CHOOSE(MAX(1,$NF81),"Leve","Média","Pesada","Leve · Livre","Média · Livre","Pesada · Livre")))</f>
        <v/>
      </c>
      <c r="PY81" s="152">
        <f>IF(OR($MN81=0,$NB81=0),"",IF($MC81=0,"−1 dado","−"&amp;INDEX($I$2:$N$8,MAX(1,$MC81),MAX(1,$NG81))&amp;" · "&amp;CHOOSE(MAX(1,$NG81),"Leve","Média","Pesada","Leve · Livre","Média · Livre","Pesada · Livre")))</f>
        <v/>
      </c>
      <c r="PZ81" s="152">
        <f>IF(OR($MN81=0,$ML81=""),"",IF($MC81=0,"não devolve","+"&amp;IF($NR81=1,CEILING($MC81/2,1),$MC81)))</f>
        <v/>
      </c>
      <c r="QA81" s="152">
        <f>IF(OR($MN81=0,$MM81=""),"",IF($MC81=0,"não devolve","+"&amp;IF($NS81=1,CEILING($MC81/2,1),$MC81)))</f>
        <v/>
      </c>
    </row>
    <row r="82">
      <c r="AV82" s="150" t="inlineStr">
        <is>
          <t>Efeito Próprio (Leve)</t>
        </is>
      </c>
      <c r="AW82" s="150" t="inlineStr"/>
      <c r="AX82" s="152" t="n">
        <v>1</v>
      </c>
      <c r="AY82" s="152" t="n">
        <v>0</v>
      </c>
      <c r="AZ82" s="152" t="n">
        <v>0</v>
      </c>
      <c r="JD82" s="152">
        <f>IF(OR($AW82="",COUNTIF($ED$2:$EH$2,$AW82)&gt;0),$AV82,"")</f>
        <v/>
      </c>
      <c r="JE82" s="152">
        <f>IF(AND($AX82=1,OR($AW82="",COUNTIF($ED$2:$EH$2,$AW82)&gt;0)),$AV82,"")</f>
        <v/>
      </c>
      <c r="JJ82" s="152">
        <f>IF(OR($AW82="",COUNTIF($ED$3:$EH$3,$AW82)&gt;0),$AV82,"")</f>
        <v/>
      </c>
      <c r="JK82" s="152">
        <f>IF(AND($AX82=1,OR($AW82="",COUNTIF($ED$3:$EH$3,$AW82)&gt;0)),$AV82,"")</f>
        <v/>
      </c>
      <c r="JP82" s="152">
        <f>IF(OR($AW82="",COUNTIF($ED$4:$EH$4,$AW82)&gt;0),$AV82,"")</f>
        <v/>
      </c>
      <c r="JQ82" s="152">
        <f>IF(AND($AX82=1,OR($AW82="",COUNTIF($ED$4:$EH$4,$AW82)&gt;0)),$AV82,"")</f>
        <v/>
      </c>
      <c r="JV82" s="152">
        <f>IF(OR($AW82="",COUNTIF($ED$5:$EH$5,$AW82)&gt;0),$AV82,"")</f>
        <v/>
      </c>
      <c r="JW82" s="152">
        <f>IF(AND($AX82=1,OR($AW82="",COUNTIF($ED$5:$EH$5,$AW82)&gt;0)),$AV82,"")</f>
        <v/>
      </c>
      <c r="KB82" s="152">
        <f>IF(OR($AW82="",COUNTIF($ED$6:$EH$6,$AW82)&gt;0),$AV82,"")</f>
        <v/>
      </c>
      <c r="KC82" s="152">
        <f>IF(AND($AX82=1,OR($AW82="",COUNTIF($ED$6:$EH$6,$AW82)&gt;0)),$AV82,"")</f>
        <v/>
      </c>
      <c r="KH82" s="152">
        <f>IF(OR($AW82="",COUNTIF($ED$7:$EH$7,$AW82)&gt;0),$AV82,"")</f>
        <v/>
      </c>
      <c r="KI82" s="152">
        <f>IF(AND($AX82=1,OR($AW82="",COUNTIF($ED$7:$EH$7,$AW82)&gt;0)),$AV82,"")</f>
        <v/>
      </c>
      <c r="KN82" s="152">
        <f>IF(OR($AW82="",COUNTIF($ED$8:$EH$8,$AW82)&gt;0),$AV82,"")</f>
        <v/>
      </c>
      <c r="KO82" s="152">
        <f>IF(AND($AX82=1,OR($AW82="",COUNTIF($ED$8:$EH$8,$AW82)&gt;0)),$AV82,"")</f>
        <v/>
      </c>
      <c r="KT82" s="152">
        <f>IF(OR($AW82="",COUNTIF($ED$9:$EH$9,$AW82)&gt;0),$AV82,"")</f>
        <v/>
      </c>
      <c r="KU82" s="152">
        <f>IF(AND($AX82=1,OR($AW82="",COUNTIF($ED$9:$EH$9,$AW82)&gt;0)),$AV82,"")</f>
        <v/>
      </c>
      <c r="KZ82" s="152">
        <f>IF(OR($AW82="",COUNTIF($ED$10:$EH$10,$AW82)&gt;0),$AV82,"")</f>
        <v/>
      </c>
      <c r="LA82" s="152">
        <f>IF(AND($AX82=1,OR($AW82="",COUNTIF($ED$10:$EH$10,$AW82)&gt;0)),$AV82,"")</f>
        <v/>
      </c>
      <c r="LF82" s="152">
        <f>IF(OR($AW82="",COUNTIF($ED$11:$EH$11,$AW82)&gt;0),$AV82,"")</f>
        <v/>
      </c>
      <c r="LG82" s="152">
        <f>IF(AND($AX82=1,OR($AW82="",COUNTIF($ED$11:$EH$11,$AW82)&gt;0)),$AV82,"")</f>
        <v/>
      </c>
      <c r="LL82" s="152">
        <f>IF(OR($AW82="",COUNTIF($ED$12:$EH$12,$AW82)&gt;0),$AV82,"")</f>
        <v/>
      </c>
      <c r="LM82" s="152">
        <f>IF(AND($AX82=1,OR($AW82="",COUNTIF($ED$12:$EH$12,$AW82)&gt;0)),$AV82,"")</f>
        <v/>
      </c>
      <c r="LR82" s="152">
        <f>IF(OR($AW82="",COUNTIF($ED$13:$EH$13,$AW82)&gt;0),$AV82,"")</f>
        <v/>
      </c>
      <c r="LS82" s="152">
        <f>IF(AND($AX82=1,OR($AW82="",COUNTIF($ED$13:$EH$13,$AW82)&gt;0)),$AV82,"")</f>
        <v/>
      </c>
      <c r="LX82" s="150" t="inlineStr">
        <is>
          <t>Ficha 7 · Especial 2</t>
        </is>
      </c>
      <c r="LY82" s="152" t="n">
        <v>7</v>
      </c>
      <c r="LZ82" s="152" t="n">
        <v>1</v>
      </c>
      <c r="MA82" s="152" t="n">
        <v>4</v>
      </c>
      <c r="MB82" s="150" t="inlineStr">
        <is>
          <t>ESPECIAL 2</t>
        </is>
      </c>
      <c r="MC82" s="152">
        <f>MAX(1,MIN(7,N('INVOCAÇÕES'!$AN$58)))</f>
        <v/>
      </c>
      <c r="MD82" s="152">
        <f>'INVOCAÇÕES'!$AO$58&amp;""</f>
        <v/>
      </c>
      <c r="ME82" s="152">
        <f>'INVOCAÇÕES'!$AN$63&amp;""</f>
        <v/>
      </c>
      <c r="MF82" s="152">
        <f>'INVOCAÇÕES'!$AN$64&amp;""</f>
        <v/>
      </c>
      <c r="MG82" s="152">
        <f>'INVOCAÇÕES'!$AP$64&amp;""</f>
        <v/>
      </c>
      <c r="MH82" s="152">
        <f>'INVOCAÇÕES'!$AO$67&amp;""</f>
        <v/>
      </c>
      <c r="MI82" s="152">
        <f>'INVOCAÇÕES'!$AO$68&amp;""</f>
        <v/>
      </c>
      <c r="MJ82" s="152">
        <f>'INVOCAÇÕES'!$AO$69&amp;""</f>
        <v/>
      </c>
      <c r="MK82" s="152">
        <f>'INVOCAÇÕES'!$AO$70&amp;""</f>
        <v/>
      </c>
      <c r="ML82" s="152">
        <f>'INVOCAÇÕES'!$AO$71&amp;""</f>
        <v/>
      </c>
      <c r="MM82" s="152">
        <f>'INVOCAÇÕES'!$AO$72&amp;""</f>
        <v/>
      </c>
      <c r="MN82" s="152">
        <f>IF($MD82&lt;&gt;"",1,0)</f>
        <v/>
      </c>
      <c r="MO82" s="152">
        <f>INDEX($FG$2:$FG$13,$LY82)</f>
        <v/>
      </c>
      <c r="MP82" s="152">
        <f>INDEX($FH$2:$FH$13,$LY82)</f>
        <v/>
      </c>
      <c r="MQ82" s="152">
        <f>INDEX($FI$2:$FI$13,$LY82)</f>
        <v/>
      </c>
      <c r="MR82" s="152">
        <f>INDEX($FT$2:$FT$13,$LY82)</f>
        <v/>
      </c>
      <c r="MS82" s="152">
        <f>INDEX($FU$2:$FU$13,$LY82)</f>
        <v/>
      </c>
      <c r="MT82" s="152">
        <f>IFERROR(MATCH($ME82,$V$2:$V$11,0),0)</f>
        <v/>
      </c>
      <c r="MU82" s="152">
        <f>IFERROR(VLOOKUP($MH82,$AV$2:$AZ$84,2,FALSE),"")</f>
        <v/>
      </c>
      <c r="MV82" s="152">
        <f>IFERROR(VLOOKUP($MI82,$AV$2:$AZ$84,2,FALSE),"")</f>
        <v/>
      </c>
      <c r="MW82" s="152">
        <f>IFERROR(VLOOKUP($MJ82,$AV$2:$AZ$84,2,FALSE),"")</f>
        <v/>
      </c>
      <c r="MX82" s="152">
        <f>IFERROR(VLOOKUP($MK82,$AV$2:$AZ$84,2,FALSE),"")</f>
        <v/>
      </c>
      <c r="MY82" s="152">
        <f>IFERROR(VLOOKUP($MH82,$AV$2:$AZ$84,3,FALSE),0)</f>
        <v/>
      </c>
      <c r="MZ82" s="152">
        <f>IFERROR(VLOOKUP($MI82,$AV$2:$AZ$84,3,FALSE),0)</f>
        <v/>
      </c>
      <c r="NA82" s="152">
        <f>IFERROR(VLOOKUP($MJ82,$AV$2:$AZ$84,3,FALSE),0)</f>
        <v/>
      </c>
      <c r="NB82" s="152">
        <f>IFERROR(VLOOKUP($MK82,$AV$2:$AZ$84,3,FALSE),0)</f>
        <v/>
      </c>
      <c r="NC82" s="152">
        <f>IF($MC82=0,0,IF($MT82=0,0,INDEX($X$2:$X$11,$MT82)))</f>
        <v/>
      </c>
      <c r="ND82" s="152">
        <f>IF(OR($MY82=0,$MC82=0),0,$MY82+3*IF(AND($MU82&lt;&gt;"",OR($MU82=INDEX($ED$2:$ED$13,$LY82),$MU82=INDEX($EE$2:$EE$13,$LY82))),1,0))</f>
        <v/>
      </c>
      <c r="NE82" s="152">
        <f>IF(OR($MZ82=0,$MC82=0),0,$MZ82+3*IF(AND($MV82&lt;&gt;"",OR($MV82=INDEX($ED$2:$ED$13,$LY82),$MV82=INDEX($EE$2:$EE$13,$LY82))),1,0))</f>
        <v/>
      </c>
      <c r="NF82" s="152">
        <f>IF(OR($NA82=0,$MC82=0),0,$NA82+3*IF(AND($MW82&lt;&gt;"",OR($MW82=INDEX($ED$2:$ED$13,$LY82),$MW82=INDEX($EE$2:$EE$13,$LY82))),1,0))</f>
        <v/>
      </c>
      <c r="NG82" s="152">
        <f>IF(OR($NB82=0,$MC82=0),0,$NB82+3*IF(AND($MX82&lt;&gt;"",OR($MX82=INDEX($ED$2:$ED$13,$LY82),$MX82=INDEX($EE$2:$EE$13,$LY82))),1,0))</f>
        <v/>
      </c>
      <c r="NH82" s="152">
        <f>IF($MT82=0,0,IF(INDEX($W$2:$W$11,$MT82)="",0,IF(COUNTIF(INDEX($ED$2:$EH$13,$LY82,0),INDEX($W$2:$W$11,$MT82))=0,1,0)))</f>
        <v/>
      </c>
      <c r="NI82" s="152">
        <f>IF(OR($MY82=0,$MU82=""),0,IF(COUNTIF(INDEX($ED$2:$EH$13,$LY82,0),$MU82)=0,1,0))</f>
        <v/>
      </c>
      <c r="NJ82" s="152">
        <f>IF(OR($MZ82=0,$MV82=""),0,IF(COUNTIF(INDEX($ED$2:$EH$13,$LY82,0),$MV82)=0,1,0))</f>
        <v/>
      </c>
      <c r="NK82" s="152">
        <f>IF(OR($NA82=0,$MW82=""),0,IF(COUNTIF(INDEX($ED$2:$EH$13,$LY82,0),$MW82)=0,1,0))</f>
        <v/>
      </c>
      <c r="NL82" s="152">
        <f>IF(OR($NB82=0,$MX82=""),0,IF(COUNTIF(INDEX($ED$2:$EH$13,$LY82,0),$MX82)=0,1,0))</f>
        <v/>
      </c>
      <c r="NM82" s="152">
        <f>IFERROR(VLOOKUP($MH82,$AV$2:$AZ$84,4,FALSE),0)+IFERROR(VLOOKUP($MI82,$AV$2:$AZ$84,4,FALSE),0)+IFERROR(VLOOKUP($MJ82,$AV$2:$AZ$84,4,FALSE),0)+IFERROR(VLOOKUP($MK82,$AV$2:$AZ$84,4,FALSE),0)</f>
        <v/>
      </c>
      <c r="NN82" s="152">
        <f>TEXTJOIN(", ",TRUE,IF(IFERROR(VLOOKUP($MH82,$AV$2:$AZ$84,5,FALSE),0)=1,$MH82,""),IF(IFERROR(VLOOKUP($MI82,$AV$2:$AZ$84,5,FALSE),0)=1,$MI82,""),IF(IFERROR(VLOOKUP($MJ82,$AV$2:$AZ$84,5,FALSE),0)=1,$MJ82,""),IF(IFERROR(VLOOKUP($MK82,$AV$2:$AZ$84,5,FALSE),0)=1,$MK82,""))</f>
        <v/>
      </c>
      <c r="NO82" s="152">
        <f>IF($MT82=0,0,INDEX($Y$2:$Y$11,$MT82))</f>
        <v/>
      </c>
      <c r="NP82" s="152">
        <f>IF($MT82=0,0,INDEX($Z$2:$Z$11,$MT82))</f>
        <v/>
      </c>
      <c r="NQ82" s="152">
        <f>IF($MT82=0,0,INDEX($AB$2:$AB$11,$MT82))</f>
        <v/>
      </c>
      <c r="NR82" s="152">
        <f>IFERROR(VLOOKUP($ML82,$BB$2:$BF$24,3,FALSE),0)</f>
        <v/>
      </c>
      <c r="NS82" s="152">
        <f>IFERROR(VLOOKUP($MM82,$BB$2:$BF$24,3,FALSE),0)</f>
        <v/>
      </c>
      <c r="NT82" s="152">
        <f>IFERROR(VLOOKUP($ML82,$BB$2:$BF$24,2,FALSE),"")</f>
        <v/>
      </c>
      <c r="NU82" s="152">
        <f>IFERROR(VLOOKUP($MM82,$BB$2:$BF$24,2,FALSE),"")</f>
        <v/>
      </c>
      <c r="NV82" s="152">
        <f>COUNTIF($NC82:$NG82,1)</f>
        <v/>
      </c>
      <c r="NW82" s="152">
        <f>COUNTIF($NC82:$NG82,2)</f>
        <v/>
      </c>
      <c r="NX82" s="152">
        <f>COUNTIF($NC82:$NG82,3)</f>
        <v/>
      </c>
      <c r="NY82" s="152">
        <f>COUNTIF($NC82:$NG82,4)</f>
        <v/>
      </c>
      <c r="NZ82" s="152">
        <f>COUNTIF($NC82:$NG82,5)</f>
        <v/>
      </c>
      <c r="OA82" s="152">
        <f>COUNTIF($NC82:$NG82,6)</f>
        <v/>
      </c>
      <c r="OB82" s="152">
        <f>COUNTIF($NR82:$NS82,1)</f>
        <v/>
      </c>
      <c r="OC82" s="152">
        <f>COUNTIF($NR82:$NS82,2)+$NO82</f>
        <v/>
      </c>
      <c r="OD82" s="152">
        <f>COUNTIF($MH82:$MK82,"?*")</f>
        <v/>
      </c>
      <c r="OE82" s="152">
        <f>COUNTIF($ML82:$MM82,"?*")+$NO82</f>
        <v/>
      </c>
      <c r="OF82" s="152">
        <f>IF($MC82=0,0,SUMPRODUCT($NV82:$OA82,INDEX($I$2:$N$8,MAX(1,$MC82),0)))</f>
        <v/>
      </c>
      <c r="OG82" s="152">
        <f>IF($MC82=0,0,$OB82*CEILING($MC82/2,1)+$OC82*$MC82)</f>
        <v/>
      </c>
      <c r="OH82" s="152">
        <f>MIN(2*$MC82,$OG82)</f>
        <v/>
      </c>
      <c r="OI82" s="152">
        <f>MIN($OH82,$OF82)</f>
        <v/>
      </c>
      <c r="OJ82" s="152">
        <f>$OH82-$OI82</f>
        <v/>
      </c>
      <c r="OK82" s="152">
        <f>IF($MC82=0,0,INDEX($P$2:$P$8,MAX(1,$MC82)))</f>
        <v/>
      </c>
      <c r="OL82" s="152">
        <f>$OK82-$OF82+$OI82</f>
        <v/>
      </c>
      <c r="OM82" s="152">
        <f>IF($MC82=0,MAX(0,$MQ82-IF($OD82&gt;0,1,0)),MAX(0,$OL82))</f>
        <v/>
      </c>
      <c r="ON82" s="152">
        <f>IF($MC82=0,0,(IF(COUNTIF($MH82:$MK82,"Salto")&gt;0,1,0)+IF(COUNTIF($MH82:$MK82,"Queima")&gt;0,1,0)+IF(COUNTIF($MH82:$MK82,"Estilhaço")&gt;0,1,0))*FLOOR($OM82/2,1))</f>
        <v/>
      </c>
      <c r="OO82" s="152">
        <f>MAX(0,2-SUMPRODUCT($NV82:$OA82,$I$2:$N$2)+MIN(2,$OB82*1+$OC82*1,SUMPRODUCT($NV82:$OA82,$I$2:$N$2)))</f>
        <v/>
      </c>
      <c r="OP82" s="152">
        <f>MAX(0,4-SUMPRODUCT($NV82:$OA82,$I$3:$N$3)+MIN(4,$OB82*1+$OC82*2,SUMPRODUCT($NV82:$OA82,$I$3:$N$3)))</f>
        <v/>
      </c>
      <c r="OQ82" s="152">
        <f>MAX(0,6-SUMPRODUCT($NV82:$OA82,$I$4:$N$4)+MIN(6,$OB82*2+$OC82*3,SUMPRODUCT($NV82:$OA82,$I$4:$N$4)))</f>
        <v/>
      </c>
      <c r="OR82" s="152">
        <f>MAX(0,9-SUMPRODUCT($NV82:$OA82,$I$5:$N$5)+MIN(8,$OB82*2+$OC82*4,SUMPRODUCT($NV82:$OA82,$I$5:$N$5)))</f>
        <v/>
      </c>
      <c r="OS82" s="152">
        <f>MAX(0,11-SUMPRODUCT($NV82:$OA82,$I$6:$N$6)+MIN(10,$OB82*3+$OC82*5,SUMPRODUCT($NV82:$OA82,$I$6:$N$6)))</f>
        <v/>
      </c>
      <c r="OT82" s="152">
        <f>MAX(0,13-SUMPRODUCT($NV82:$OA82,$I$7:$N$7)+MIN(12,$OB82*3+$OC82*6,SUMPRODUCT($NV82:$OA82,$I$7:$N$7)))</f>
        <v/>
      </c>
      <c r="OU82" s="152">
        <f>MAX(0,16-SUMPRODUCT($NV82:$OA82,$I$8:$N$8)+MIN(14,$OB82*4+$OC82*7,SUMPRODUCT($NV82:$OA82,$I$8:$N$8)))</f>
        <v/>
      </c>
      <c r="OV82" s="152">
        <f>IF($NP82=2,3*$OO82&amp;" de vida temp.",IF($NP82=3,"sem dano",IF($OO82=0,IF($NP82=1,"sem cura","sem dano"),IF($NP82=1,"cura ","")&amp;$OO82&amp;"d8")))</f>
        <v/>
      </c>
      <c r="OW82" s="152">
        <f>IF($NP82=2,3*$OP82&amp;" de vida temp.",IF($NP82=3,"sem dano",IF($OP82=0,IF($NP82=1,"sem cura","sem dano"),IF($NP82=1,"cura ","")&amp;$OP82&amp;"d8")))</f>
        <v/>
      </c>
      <c r="OX82" s="152">
        <f>IF($NP82=2,3*$OQ82&amp;" de vida temp.",IF($NP82=3,"sem dano",IF($OQ82=0,IF($NP82=1,"sem cura","sem dano"),IF($NP82=1,"cura ","")&amp;$OQ82&amp;"d8")))</f>
        <v/>
      </c>
      <c r="OY82" s="152">
        <f>IF($NP82=2,3*$OR82&amp;" de vida temp.",IF($NP82=3,"sem dano",IF($OR82=0,IF($NP82=1,"sem cura","sem dano"),IF($NP82=1,"cura ","")&amp;$OR82&amp;"d8")))</f>
        <v/>
      </c>
      <c r="OZ82" s="152">
        <f>IF($NP82=2,3*$OS82&amp;" de vida temp.",IF($NP82=3,"sem dano",IF($OS82=0,IF($NP82=1,"sem cura","sem dano"),IF($NP82=1,"cura ","")&amp;$OS82&amp;"d8")))</f>
        <v/>
      </c>
      <c r="PA82" s="152">
        <f>IF($NP82=2,3*$OT82&amp;" de vida temp.",IF($NP82=3,"sem dano",IF($OT82=0,IF($NP82=1,"sem cura","sem dano"),IF($NP82=1,"cura ","")&amp;$OT82&amp;"d8")))</f>
        <v/>
      </c>
      <c r="PB82" s="152">
        <f>IF($NP82=2,3*$OU82&amp;" de vida temp.",IF($NP82=3,"sem dano",IF($OU82=0,IF($NP82=1,"sem cura","sem dano"),IF($NP82=1,"cura ","")&amp;$OU82&amp;"d8")))</f>
        <v/>
      </c>
      <c r="PC82" s="152">
        <f>IF($MN82=0,"",TEXTJOIN(" · ",TRUE,IF($MA82&gt;$MO82,"Este lugar abre no nível "&amp;$MA82,""),IF($MC82&gt;$MP82,"Classe "&amp;$MC82&amp;": o nível "&amp;$MO82&amp;" libera até a "&amp;$MP82,""),IF($NH82=1,"A Forma "&amp;$ME82&amp;" pede "&amp;INDEX($W$2:$W$11,$MT82)&amp;" aberta",""),IF(AND($MC82=0,$MT82&gt;0,IF($MT82=0,0,INDEX($AF$2:$AF$11,$MT82))=0),$ME82&amp;" não existe na Classe 0",""),IF($NI82=1,"Família Fechada: "&amp;$MH82,""),IF($NJ82=1,"Família Fechada: "&amp;$MI82,""),IF($NK82=1,"Família Fechada: "&amp;$MJ82,""),IF($NL82=1,"Família Fechada: "&amp;$MK82,""),IF(AND($MC82&gt;0,$OD82&gt;INDEX($O$2:$O$8,MAX(1,$MC82))),$OD82&amp;" Melhorias: a Classe "&amp;$MC82&amp;" aceita "&amp;INDEX($O$2:$O$8,MAX(1,$MC82)),""),IF(AND($MC82=0,$OD82&gt;1),"A básica aceita uma Melhoria",""),IF(AND($MC82=0,COUNTIF($MY82:$NB82,"&gt;1")&gt;0),"A básica só aceita Melhoria Leve",""),IF(AND($MC82&gt;0,$OE82&gt;2),$OE82&amp;" Restrições"&amp;IF($NO82=1,", contando a que a Forma "&amp;$ME82&amp;" já traz","")&amp;": o limite é 2",""),IF(AND($MC82=0,COUNTIF($ML82:$MM82,"?*")&gt;1),"A básica aceita uma Restrição Leve",""),IF(AND($MC82=0,COUNTIF($NR82:$NS82,2)&gt;0),"A básica só aceita Restrição Leve",""),IF(AND($MC82&gt;0,$OL82&lt;0),"Orçamento estourado: faltam "&amp;(-$OL82)&amp;IF($OL82&lt;-1," pontos"," ponto"),""),IF(IFERROR(VLOOKUP($ML82,$BB$2:$BF$24,4,FALSE),0)+IFERROR(VLOOKUP($MM82,$BB$2:$BF$24,4,FALSE),0)&gt;1,$NT82&amp;" e "&amp;$NU82&amp;" são as duas de frequência",""),IF(AND((COUNTIF($MH82:$MK82,"Rápido")+COUNTIF($NT82:$NU82,"Rápido"))&gt;0,(COUNTIF($MH82:$MK82,"Atrasar")+COUNTIF($NT82:$NU82,"Atrasar"))&gt;0),"Rápido não entra com Atrasar",""),IF(AND((COUNTIF($MH82:$MK82,"Reação")+COUNTIF($NT82:$NU82,"Reação"))&gt;0,(COUNTIF($MH82:$MK82,"Rápido")+COUNTIF($NT82:$NU82,"Rápido"))&gt;0),"Reação não entra com Rápido",""),IF(AND((COUNTIF($MH82:$MK82,"Reação")+COUNTIF($NT82:$NU82,"Reação"))&gt;0,(COUNTIF($MH82:$MK82,"Armado")+COUNTIF($NT82:$NU82,"Armado"))&gt;0),"Reação não entra com Armado",""),IF(AND((COUNTIF($MH82:$MK82,"Reação")+COUNTIF($NT82:$NU82,"Reação"))&gt;0,(COUNTIF($MH82:$MK82,"Atrasar")+COUNTIF($NT82:$NU82,"Atrasar"))&gt;0),"Reação não entra com Atrasar",""),IF(AND((COUNTIF($MH82:$MK82,"Reação")+COUNTIF($NT82:$NU82,"Reação"))&gt;0,(COUNTIF($MH82:$MK82,"Parado")+COUNTIF($NT82:$NU82,"Parado"))&gt;0),"Reação não entra com Parado",""),IF(AND((COUNTIF($MH82:$MK82,"Atrasar")+COUNTIF($NT82:$NU82,"Atrasar"))&gt;0,(COUNTIF($MH82:$MK82,"Parado")+COUNTIF($NT82:$NU82,"Parado"))&gt;0),"Atrasar não entra com Parado",""),IF(AND((COUNTIF($MH82:$MK82,"Armado")+COUNTIF($NT82:$NU82,"Armado"))&gt;0,(COUNTIF($MH82:$MK82,"Carregar")+COUNTIF($NT82:$NU82,"Carregar"))&gt;0),"Armado não entra com Carregar",""),IF(AND(COUNTIF($NT82:$NU82,"Corpo a Corpo")&gt;0,$NO82=0,OR($ME82="Cone",$ME82="Linha")),"Corpo a Corpo não entra em "&amp;$ME82,""),IF(AND(COUNTIF($NT82:$NU82,"Corpo a Corpo")&gt;0,$NO82=1),"A Forma "&amp;$ME82&amp;" já traz o Corpo a Corpo",""),IF(AND(COUNTIF($NT82:$NU82,"Tudo ou Nada")&gt;0,$NQ82=0),"Tudo ou Nada só entra em habilidade de Teste de Resistência",""),IF(AND(COUNTIF($MH82:$MK82,"Inescapável")&gt;0,OR($OD82&gt;1,$OE82&gt;0)),"Inescapável não aceita outra peça",""),IF(AND($MC82&gt;0,$OM82*IF(COUNTIF($MH82:$MK82,"Remate")&gt;0,1.25,1)+$ON82&gt;4*$MC82),($OM82*IF(COUNTIF($MH82:$MK82,"Remate")&gt;0,1.25,1)+$ON82)&amp;" dados somando repetições"&amp;IF(COUNTIF($MH82:$MK82,"Remate")&gt;0," e o Remate","")&amp;": o teto da Classe "&amp;$MC82&amp;" é "&amp;4*$MC82,"")))</f>
        <v/>
      </c>
      <c r="PD82" s="152">
        <f>IF($PC82="",0,(LEN($PC82)-LEN(SUBSTITUTE($PC82," · ","")))/3+1)</f>
        <v/>
      </c>
      <c r="PE82" s="152">
        <f>IF($MN82=0,"",TEXTJOIN(" · ",TRUE,IF($OG82&gt;2*$MC82,"A devolução parou no teto de "&amp;2*$MC82,""),IF($OJ82&gt;0,"Devolução perdida: "&amp;$OJ82&amp;IF($OJ82&gt;1," pontos"," ponto")&amp;" sem peça para pagar",""),IF(AND($NM82&gt;0,AND($MC82&gt;0,$NP82=0),$OM82=0),"Controle sem dano: uma rodada a mais e CD +2",""),IF(AND($NM82&gt;0,AND($MC82&gt;0,$NP82=0),$OM82&gt;0,$OM82&lt;=$MC82),"Controle com saldo até a Classe: uma rodada a mais",""),IF(AND($MC82&gt;0,$NN82&lt;&gt;""),"Efeito de "&amp;$NN82&amp;" pela Classe "&amp;MAX(1,$MC82-1),"")))</f>
        <v/>
      </c>
      <c r="PF82" s="152">
        <f>IF($PE82="",0,(LEN($PE82)-LEN(SUBSTITUTE($PE82," · ","")))/3+1)</f>
        <v/>
      </c>
      <c r="PG82" s="152">
        <f>IF($MN82=0,IF($OD82+COUNTIF($ML82:$MM82,"?*")&gt;0,"Dê um nome",""),IF($PD82&gt;0,"⚠ "&amp;$PD82&amp;IF($PD82&gt;1," erros"," erro"),IF($PF82&gt;0,"! "&amp;$PF82&amp;IF($PF82&gt;1," avisos"," aviso"),"Na regra")))</f>
        <v/>
      </c>
      <c r="PH82" s="152">
        <f>IF($MN82=0,"",IF($PD82+$PF82=0,"Dentro das regras que a ficha confere",$PC82&amp;IF(AND($PD82&gt;0,$PF82&gt;0)," · ","")&amp;$PE82))</f>
        <v/>
      </c>
      <c r="PI82" s="152">
        <f>IF($MA82&gt;$MO82,$MB82&amp;" · ABRE NO NÍVEL "&amp;$MA82,$MB82)</f>
        <v/>
      </c>
      <c r="PJ82" s="152">
        <f>IF($MN82=0,"",IF($MC82=0,"Sem PE",3*$MC82&amp;" PE"))</f>
        <v/>
      </c>
      <c r="PK82" s="152">
        <f>IF($MN82=0,"",IF($MC82=0,"A atuação básica dela",IF(COUNTIF($NT82:$NU82,"Atrasar")&gt;0,"Sua Ação Completa",IF(COUNTIF($MH82:$MK82,"Rápido")&gt;0,"Sua Bônus",IF(COUNTIF($MH82:$MK82,"Reação")&gt;0,"Sua Reação","Sua Padrão")))&amp;" + a básica dela"&amp;IF(COUNTIF($MH82:$MK82,"Reação")&gt;0," e a coletiva","")&amp;IF(COUNTIF($NT82:$NU82,"Carregar")&gt;0," · em dois turnos","")))</f>
        <v/>
      </c>
      <c r="PL82" s="152">
        <f>IF($MG82&lt;&gt;"",$MG82,IF($MT82=0,"",INDEX($AA$2:$AA$11,$MT82)))</f>
        <v/>
      </c>
      <c r="PM82" s="152">
        <f>IF(OR($MN82=0,$MT82=0),"",IF(COUNTIF($MH82:$MK82,"Inescapável")&gt;0,"Automático",IF($PL82="Ataque",IF($MR82="","Ataque","Ataque "&amp;IF(($MR82+2*IF(COUNTIF($MH82:$MK82,"Precisão")&gt;0,1,0))&gt;=0,"+","−")&amp;ABS(($MR82+2*IF(COUNTIF($MH82:$MK82,"Precisão")&gt;0,1,0)))),IF(LEFT($PL82,2)="TR",$PL82&amp;IF($MS82="",""," · CD "&amp;$MS82)&amp;IF(COUNTIF($MH82:$MK82,"Certeiro")&gt;0," · metade",""),"Sem rolagem"))))</f>
        <v/>
      </c>
      <c r="PN82" s="152">
        <f>IF(OR($MN82=0,$MT82=0),"",IF($MC82=0,IF(OR($NP82&gt;=1,$OM82=0),"Sem dano",$OM82&amp;"d6"&amp;IF($MF82="",""," "&amp;$MF82)),IF(OR($NP82&gt;=1,$OM82=0),UPPER(LEFT(INDEX($OV82:$PB82,1,MAX(1,$MC82)),1))&amp;MID(INDEX($OV82:$PB82,1,MAX(1,$MC82)),2,99),UPPER(LEFT(INDEX($OV82:$PB82,1,MAX(1,$MC82)),1))&amp;MID(INDEX($OV82:$PB82,1,MAX(1,$MC82)),2,99)&amp;IF($MF82="",""," "&amp;$MF82)&amp;IF($ON82&gt;0," · +"&amp;$ON82&amp;"d8",""))))</f>
        <v/>
      </c>
      <c r="PO82" s="152">
        <f>COUNTIF($MH82:$MK82,"Longe")+3*COUNTIF($MH82:$MK82,"Muito Longe")</f>
        <v/>
      </c>
      <c r="PP82" s="152">
        <f>COUNTIF($MH82:$MK82,"Maior")+3*COUNTIF($MH82:$MK82,"Muito Maior")</f>
        <v/>
      </c>
      <c r="PQ82" s="152">
        <f>IF($MT82=0,0,CHOOSE(1+INDEX($AC$2:$AC$11,$MT82),0,$PO82,$PP82,$PO82+$PP82))</f>
        <v/>
      </c>
      <c r="PR82" s="152">
        <f>IF($MT82=0,0,CHOOSE(1+INDEX($AD$2:$AD$11,$MT82),0,$PO82,$PP82,$PO82+$PP82))</f>
        <v/>
      </c>
      <c r="PS82" s="152">
        <f>IF(OR($MN82=0,$MT82=0),"",INDEX($AI$2:$AN$41,($MT82-1)*4+IF($MC82=0,1,IF($MC82&lt;=5,2,IF($MC82=6,3,4))),1+MIN(5,$PQ82))&amp;INDEX($AO$2:$AT$41,($MT82-1)*4+IF($MC82=0,1,IF($MC82&lt;=5,2,IF($MC82=6,3,4))),1+MIN(5,$PR82))&amp;IF(INDEX($AE$2:$AE$11,$MT82)=1,IF(COUNTIF($MH82:$MK82,"Mais Um")&gt;0," · +"&amp;COUNTIF($MH82:$MK82,"Mais Um")&amp;IF(COUNTIF($MH82:$MK82,"Mais Um")&gt;1," alvos"," alvo"),"")&amp;IF(COUNTIF($MH82:$MK82,"Rajada")&gt;0,IF($MC82=0," · 1 tiro"," · "&amp;(MAX(1,$MC82-1)+1)&amp;" tiros"),""),""))</f>
        <v/>
      </c>
      <c r="PT82" s="152">
        <f>IF($MN82=0,"",IF($MC82=0,$MQ82&amp;"d6"&amp;IF($OD82&gt;0," − 1 = "&amp;$OM82&amp;"d6"," da básica do nível "&amp;$MO82),$OK82&amp;" − "&amp;$OF82&amp;" + "&amp;$OI82&amp;" = "&amp;$OL82&amp;" · teto "&amp;4*$MC82&amp;"d8"&amp;IF($NO82=1," · a Forma devolve "&amp;$MC82,"")&amp;IF($OJ82&gt;0," · perde "&amp;$OJ82,"")))</f>
        <v/>
      </c>
      <c r="PU82" s="152">
        <f>IF($MN82=0,"",IF($MC82=0,"A básica não amplia: os dados dela sobem com o nível",IF($MC82&gt;=$MP82,"Já está na maior Classe que o nível liberou",TEXTJOIN(" · ",TRUE,IF(AND(2&gt;$MC82,2&lt;=$MP82),"2 → "&amp;$OW82&amp;", 6 PE",""),IF(AND(3&gt;$MC82,3&lt;=$MP82),"3 → "&amp;$OX82&amp;", 9 PE",""),IF(AND(4&gt;$MC82,4&lt;=$MP82),"4 → "&amp;$OY82&amp;", 12 PE",""),IF(AND(5&gt;$MC82,5&lt;=$MP82),"5 → "&amp;$OZ82&amp;", 15 PE",""),IF(AND(6&gt;$MC82,6&lt;=$MP82),"6 → "&amp;$PA82&amp;", 18 PE",""),IF(AND(7&gt;$MC82,7&lt;=$MP82),"7 → "&amp;$PB82&amp;", 21 PE","")))))</f>
        <v/>
      </c>
      <c r="PV82" s="152">
        <f>IF(OR($MN82=0,$MY82=0),"",IF($MC82=0,"−1 dado","−"&amp;INDEX($I$2:$N$8,MAX(1,$MC82),MAX(1,$ND82))&amp;" · "&amp;CHOOSE(MAX(1,$ND82),"Leve","Média","Pesada","Leve · Livre","Média · Livre","Pesada · Livre")))</f>
        <v/>
      </c>
      <c r="PW82" s="152">
        <f>IF(OR($MN82=0,$MZ82=0),"",IF($MC82=0,"−1 dado","−"&amp;INDEX($I$2:$N$8,MAX(1,$MC82),MAX(1,$NE82))&amp;" · "&amp;CHOOSE(MAX(1,$NE82),"Leve","Média","Pesada","Leve · Livre","Média · Livre","Pesada · Livre")))</f>
        <v/>
      </c>
      <c r="PX82" s="152">
        <f>IF(OR($MN82=0,$NA82=0),"",IF($MC82=0,"−1 dado","−"&amp;INDEX($I$2:$N$8,MAX(1,$MC82),MAX(1,$NF82))&amp;" · "&amp;CHOOSE(MAX(1,$NF82),"Leve","Média","Pesada","Leve · Livre","Média · Livre","Pesada · Livre")))</f>
        <v/>
      </c>
      <c r="PY82" s="152">
        <f>IF(OR($MN82=0,$NB82=0),"",IF($MC82=0,"−1 dado","−"&amp;INDEX($I$2:$N$8,MAX(1,$MC82),MAX(1,$NG82))&amp;" · "&amp;CHOOSE(MAX(1,$NG82),"Leve","Média","Pesada","Leve · Livre","Média · Livre","Pesada · Livre")))</f>
        <v/>
      </c>
      <c r="PZ82" s="152">
        <f>IF(OR($MN82=0,$ML82=""),"",IF($MC82=0,"não devolve","+"&amp;IF($NR82=1,CEILING($MC82/2,1),$MC82)))</f>
        <v/>
      </c>
      <c r="QA82" s="152">
        <f>IF(OR($MN82=0,$MM82=""),"",IF($MC82=0,"não devolve","+"&amp;IF($NS82=1,CEILING($MC82/2,1),$MC82)))</f>
        <v/>
      </c>
    </row>
    <row r="83">
      <c r="AV83" s="150" t="inlineStr">
        <is>
          <t>Efeito Próprio (Média)</t>
        </is>
      </c>
      <c r="AW83" s="150" t="inlineStr"/>
      <c r="AX83" s="152" t="n">
        <v>2</v>
      </c>
      <c r="AY83" s="152" t="n">
        <v>0</v>
      </c>
      <c r="AZ83" s="152" t="n">
        <v>0</v>
      </c>
      <c r="JD83" s="152">
        <f>IF(OR($AW83="",COUNTIF($ED$2:$EH$2,$AW83)&gt;0),$AV83,"")</f>
        <v/>
      </c>
      <c r="JE83" s="152">
        <f>IF(AND($AX83=1,OR($AW83="",COUNTIF($ED$2:$EH$2,$AW83)&gt;0)),$AV83,"")</f>
        <v/>
      </c>
      <c r="JJ83" s="152">
        <f>IF(OR($AW83="",COUNTIF($ED$3:$EH$3,$AW83)&gt;0),$AV83,"")</f>
        <v/>
      </c>
      <c r="JK83" s="152">
        <f>IF(AND($AX83=1,OR($AW83="",COUNTIF($ED$3:$EH$3,$AW83)&gt;0)),$AV83,"")</f>
        <v/>
      </c>
      <c r="JP83" s="152">
        <f>IF(OR($AW83="",COUNTIF($ED$4:$EH$4,$AW83)&gt;0),$AV83,"")</f>
        <v/>
      </c>
      <c r="JQ83" s="152">
        <f>IF(AND($AX83=1,OR($AW83="",COUNTIF($ED$4:$EH$4,$AW83)&gt;0)),$AV83,"")</f>
        <v/>
      </c>
      <c r="JV83" s="152">
        <f>IF(OR($AW83="",COUNTIF($ED$5:$EH$5,$AW83)&gt;0),$AV83,"")</f>
        <v/>
      </c>
      <c r="JW83" s="152">
        <f>IF(AND($AX83=1,OR($AW83="",COUNTIF($ED$5:$EH$5,$AW83)&gt;0)),$AV83,"")</f>
        <v/>
      </c>
      <c r="KB83" s="152">
        <f>IF(OR($AW83="",COUNTIF($ED$6:$EH$6,$AW83)&gt;0),$AV83,"")</f>
        <v/>
      </c>
      <c r="KC83" s="152">
        <f>IF(AND($AX83=1,OR($AW83="",COUNTIF($ED$6:$EH$6,$AW83)&gt;0)),$AV83,"")</f>
        <v/>
      </c>
      <c r="KH83" s="152">
        <f>IF(OR($AW83="",COUNTIF($ED$7:$EH$7,$AW83)&gt;0),$AV83,"")</f>
        <v/>
      </c>
      <c r="KI83" s="152">
        <f>IF(AND($AX83=1,OR($AW83="",COUNTIF($ED$7:$EH$7,$AW83)&gt;0)),$AV83,"")</f>
        <v/>
      </c>
      <c r="KN83" s="152">
        <f>IF(OR($AW83="",COUNTIF($ED$8:$EH$8,$AW83)&gt;0),$AV83,"")</f>
        <v/>
      </c>
      <c r="KO83" s="152">
        <f>IF(AND($AX83=1,OR($AW83="",COUNTIF($ED$8:$EH$8,$AW83)&gt;0)),$AV83,"")</f>
        <v/>
      </c>
      <c r="KT83" s="152">
        <f>IF(OR($AW83="",COUNTIF($ED$9:$EH$9,$AW83)&gt;0),$AV83,"")</f>
        <v/>
      </c>
      <c r="KU83" s="152">
        <f>IF(AND($AX83=1,OR($AW83="",COUNTIF($ED$9:$EH$9,$AW83)&gt;0)),$AV83,"")</f>
        <v/>
      </c>
      <c r="KZ83" s="152">
        <f>IF(OR($AW83="",COUNTIF($ED$10:$EH$10,$AW83)&gt;0),$AV83,"")</f>
        <v/>
      </c>
      <c r="LA83" s="152">
        <f>IF(AND($AX83=1,OR($AW83="",COUNTIF($ED$10:$EH$10,$AW83)&gt;0)),$AV83,"")</f>
        <v/>
      </c>
      <c r="LF83" s="152">
        <f>IF(OR($AW83="",COUNTIF($ED$11:$EH$11,$AW83)&gt;0),$AV83,"")</f>
        <v/>
      </c>
      <c r="LG83" s="152">
        <f>IF(AND($AX83=1,OR($AW83="",COUNTIF($ED$11:$EH$11,$AW83)&gt;0)),$AV83,"")</f>
        <v/>
      </c>
      <c r="LL83" s="152">
        <f>IF(OR($AW83="",COUNTIF($ED$12:$EH$12,$AW83)&gt;0),$AV83,"")</f>
        <v/>
      </c>
      <c r="LM83" s="152">
        <f>IF(AND($AX83=1,OR($AW83="",COUNTIF($ED$12:$EH$12,$AW83)&gt;0)),$AV83,"")</f>
        <v/>
      </c>
      <c r="LR83" s="152">
        <f>IF(OR($AW83="",COUNTIF($ED$13:$EH$13,$AW83)&gt;0),$AV83,"")</f>
        <v/>
      </c>
      <c r="LS83" s="152">
        <f>IF(AND($AX83=1,OR($AW83="",COUNTIF($ED$13:$EH$13,$AW83)&gt;0)),$AV83,"")</f>
        <v/>
      </c>
      <c r="LX83" s="150" t="inlineStr">
        <is>
          <t>Ficha 7 · Básica 2</t>
        </is>
      </c>
      <c r="LY83" s="152" t="n">
        <v>7</v>
      </c>
      <c r="LZ83" s="152" t="n">
        <v>0</v>
      </c>
      <c r="MA83" s="152" t="n">
        <v>11</v>
      </c>
      <c r="MB83" s="150" t="inlineStr">
        <is>
          <t>BÁSICA 2</t>
        </is>
      </c>
      <c r="MC83" s="152" t="n">
        <v>0</v>
      </c>
      <c r="MD83" s="152">
        <f>'INVOCAÇÕES'!$AC$92&amp;""</f>
        <v/>
      </c>
      <c r="ME83" s="152">
        <f>'INVOCAÇÕES'!$AB$97&amp;""</f>
        <v/>
      </c>
      <c r="MF83" s="152">
        <f>'INVOCAÇÕES'!$AB$98&amp;""</f>
        <v/>
      </c>
      <c r="MG83" s="152">
        <f>'INVOCAÇÕES'!$AD$98&amp;""</f>
        <v/>
      </c>
      <c r="MH83" s="152">
        <f>'INVOCAÇÕES'!$AC$101&amp;""</f>
        <v/>
      </c>
      <c r="MI83" s="152">
        <f>'INVOCAÇÕES'!$AC$102&amp;""</f>
        <v/>
      </c>
      <c r="MJ83" s="152">
        <f>'INVOCAÇÕES'!$AC$103&amp;""</f>
        <v/>
      </c>
      <c r="MK83" s="152">
        <f>'INVOCAÇÕES'!$AC$104&amp;""</f>
        <v/>
      </c>
      <c r="ML83" s="152">
        <f>'INVOCAÇÕES'!$AC$105&amp;""</f>
        <v/>
      </c>
      <c r="MM83" s="152">
        <f>'INVOCAÇÕES'!$AC$106&amp;""</f>
        <v/>
      </c>
      <c r="MN83" s="152">
        <f>IF($MD83&lt;&gt;"",1,0)</f>
        <v/>
      </c>
      <c r="MO83" s="152">
        <f>INDEX($FG$2:$FG$13,$LY83)</f>
        <v/>
      </c>
      <c r="MP83" s="152">
        <f>INDEX($FH$2:$FH$13,$LY83)</f>
        <v/>
      </c>
      <c r="MQ83" s="152">
        <f>INDEX($FI$2:$FI$13,$LY83)</f>
        <v/>
      </c>
      <c r="MR83" s="152">
        <f>INDEX($FT$2:$FT$13,$LY83)</f>
        <v/>
      </c>
      <c r="MS83" s="152">
        <f>INDEX($FU$2:$FU$13,$LY83)</f>
        <v/>
      </c>
      <c r="MT83" s="152">
        <f>IFERROR(MATCH($ME83,$V$2:$V$11,0),0)</f>
        <v/>
      </c>
      <c r="MU83" s="152">
        <f>IFERROR(VLOOKUP($MH83,$AV$2:$AZ$84,2,FALSE),"")</f>
        <v/>
      </c>
      <c r="MV83" s="152">
        <f>IFERROR(VLOOKUP($MI83,$AV$2:$AZ$84,2,FALSE),"")</f>
        <v/>
      </c>
      <c r="MW83" s="152">
        <f>IFERROR(VLOOKUP($MJ83,$AV$2:$AZ$84,2,FALSE),"")</f>
        <v/>
      </c>
      <c r="MX83" s="152">
        <f>IFERROR(VLOOKUP($MK83,$AV$2:$AZ$84,2,FALSE),"")</f>
        <v/>
      </c>
      <c r="MY83" s="152">
        <f>IFERROR(VLOOKUP($MH83,$AV$2:$AZ$84,3,FALSE),0)</f>
        <v/>
      </c>
      <c r="MZ83" s="152">
        <f>IFERROR(VLOOKUP($MI83,$AV$2:$AZ$84,3,FALSE),0)</f>
        <v/>
      </c>
      <c r="NA83" s="152">
        <f>IFERROR(VLOOKUP($MJ83,$AV$2:$AZ$84,3,FALSE),0)</f>
        <v/>
      </c>
      <c r="NB83" s="152">
        <f>IFERROR(VLOOKUP($MK83,$AV$2:$AZ$84,3,FALSE),0)</f>
        <v/>
      </c>
      <c r="NC83" s="152">
        <f>IF($MC83=0,0,IF($MT83=0,0,INDEX($X$2:$X$11,$MT83)))</f>
        <v/>
      </c>
      <c r="ND83" s="152">
        <f>IF(OR($MY83=0,$MC83=0),0,$MY83+3*IF(AND($MU83&lt;&gt;"",OR($MU83=INDEX($ED$2:$ED$13,$LY83),$MU83=INDEX($EE$2:$EE$13,$LY83))),1,0))</f>
        <v/>
      </c>
      <c r="NE83" s="152">
        <f>IF(OR($MZ83=0,$MC83=0),0,$MZ83+3*IF(AND($MV83&lt;&gt;"",OR($MV83=INDEX($ED$2:$ED$13,$LY83),$MV83=INDEX($EE$2:$EE$13,$LY83))),1,0))</f>
        <v/>
      </c>
      <c r="NF83" s="152">
        <f>IF(OR($NA83=0,$MC83=0),0,$NA83+3*IF(AND($MW83&lt;&gt;"",OR($MW83=INDEX($ED$2:$ED$13,$LY83),$MW83=INDEX($EE$2:$EE$13,$LY83))),1,0))</f>
        <v/>
      </c>
      <c r="NG83" s="152">
        <f>IF(OR($NB83=0,$MC83=0),0,$NB83+3*IF(AND($MX83&lt;&gt;"",OR($MX83=INDEX($ED$2:$ED$13,$LY83),$MX83=INDEX($EE$2:$EE$13,$LY83))),1,0))</f>
        <v/>
      </c>
      <c r="NH83" s="152">
        <f>IF($MT83=0,0,IF(INDEX($W$2:$W$11,$MT83)="",0,IF(COUNTIF(INDEX($ED$2:$EH$13,$LY83,0),INDEX($W$2:$W$11,$MT83))=0,1,0)))</f>
        <v/>
      </c>
      <c r="NI83" s="152">
        <f>IF(OR($MY83=0,$MU83=""),0,IF(COUNTIF(INDEX($ED$2:$EH$13,$LY83,0),$MU83)=0,1,0))</f>
        <v/>
      </c>
      <c r="NJ83" s="152">
        <f>IF(OR($MZ83=0,$MV83=""),0,IF(COUNTIF(INDEX($ED$2:$EH$13,$LY83,0),$MV83)=0,1,0))</f>
        <v/>
      </c>
      <c r="NK83" s="152">
        <f>IF(OR($NA83=0,$MW83=""),0,IF(COUNTIF(INDEX($ED$2:$EH$13,$LY83,0),$MW83)=0,1,0))</f>
        <v/>
      </c>
      <c r="NL83" s="152">
        <f>IF(OR($NB83=0,$MX83=""),0,IF(COUNTIF(INDEX($ED$2:$EH$13,$LY83,0),$MX83)=0,1,0))</f>
        <v/>
      </c>
      <c r="NM83" s="152">
        <f>IFERROR(VLOOKUP($MH83,$AV$2:$AZ$84,4,FALSE),0)+IFERROR(VLOOKUP($MI83,$AV$2:$AZ$84,4,FALSE),0)+IFERROR(VLOOKUP($MJ83,$AV$2:$AZ$84,4,FALSE),0)+IFERROR(VLOOKUP($MK83,$AV$2:$AZ$84,4,FALSE),0)</f>
        <v/>
      </c>
      <c r="NN83" s="152">
        <f>TEXTJOIN(", ",TRUE,IF(IFERROR(VLOOKUP($MH83,$AV$2:$AZ$84,5,FALSE),0)=1,$MH83,""),IF(IFERROR(VLOOKUP($MI83,$AV$2:$AZ$84,5,FALSE),0)=1,$MI83,""),IF(IFERROR(VLOOKUP($MJ83,$AV$2:$AZ$84,5,FALSE),0)=1,$MJ83,""),IF(IFERROR(VLOOKUP($MK83,$AV$2:$AZ$84,5,FALSE),0)=1,$MK83,""))</f>
        <v/>
      </c>
      <c r="NO83" s="152">
        <f>IF($MT83=0,0,INDEX($Y$2:$Y$11,$MT83))</f>
        <v/>
      </c>
      <c r="NP83" s="152">
        <f>IF($MT83=0,0,INDEX($Z$2:$Z$11,$MT83))</f>
        <v/>
      </c>
      <c r="NQ83" s="152">
        <f>IF($MT83=0,0,INDEX($AB$2:$AB$11,$MT83))</f>
        <v/>
      </c>
      <c r="NR83" s="152">
        <f>IFERROR(VLOOKUP($ML83,$BB$2:$BF$24,3,FALSE),0)</f>
        <v/>
      </c>
      <c r="NS83" s="152">
        <f>IFERROR(VLOOKUP($MM83,$BB$2:$BF$24,3,FALSE),0)</f>
        <v/>
      </c>
      <c r="NT83" s="152">
        <f>IFERROR(VLOOKUP($ML83,$BB$2:$BF$24,2,FALSE),"")</f>
        <v/>
      </c>
      <c r="NU83" s="152">
        <f>IFERROR(VLOOKUP($MM83,$BB$2:$BF$24,2,FALSE),"")</f>
        <v/>
      </c>
      <c r="NV83" s="152">
        <f>COUNTIF($NC83:$NG83,1)</f>
        <v/>
      </c>
      <c r="NW83" s="152">
        <f>COUNTIF($NC83:$NG83,2)</f>
        <v/>
      </c>
      <c r="NX83" s="152">
        <f>COUNTIF($NC83:$NG83,3)</f>
        <v/>
      </c>
      <c r="NY83" s="152">
        <f>COUNTIF($NC83:$NG83,4)</f>
        <v/>
      </c>
      <c r="NZ83" s="152">
        <f>COUNTIF($NC83:$NG83,5)</f>
        <v/>
      </c>
      <c r="OA83" s="152">
        <f>COUNTIF($NC83:$NG83,6)</f>
        <v/>
      </c>
      <c r="OB83" s="152">
        <f>COUNTIF($NR83:$NS83,1)</f>
        <v/>
      </c>
      <c r="OC83" s="152">
        <f>COUNTIF($NR83:$NS83,2)+$NO83</f>
        <v/>
      </c>
      <c r="OD83" s="152">
        <f>COUNTIF($MH83:$MK83,"?*")</f>
        <v/>
      </c>
      <c r="OE83" s="152">
        <f>COUNTIF($ML83:$MM83,"?*")+$NO83</f>
        <v/>
      </c>
      <c r="OF83" s="152">
        <f>IF($MC83=0,0,SUMPRODUCT($NV83:$OA83,INDEX($I$2:$N$8,MAX(1,$MC83),0)))</f>
        <v/>
      </c>
      <c r="OG83" s="152">
        <f>IF($MC83=0,0,$OB83*CEILING($MC83/2,1)+$OC83*$MC83)</f>
        <v/>
      </c>
      <c r="OH83" s="152">
        <f>MIN(2*$MC83,$OG83)</f>
        <v/>
      </c>
      <c r="OI83" s="152">
        <f>MIN($OH83,$OF83)</f>
        <v/>
      </c>
      <c r="OJ83" s="152">
        <f>$OH83-$OI83</f>
        <v/>
      </c>
      <c r="OK83" s="152">
        <f>IF($MC83=0,0,INDEX($P$2:$P$8,MAX(1,$MC83)))</f>
        <v/>
      </c>
      <c r="OL83" s="152">
        <f>$OK83-$OF83+$OI83</f>
        <v/>
      </c>
      <c r="OM83" s="152">
        <f>IF($MC83=0,MAX(0,$MQ83-IF($OD83&gt;0,1,0)),MAX(0,$OL83))</f>
        <v/>
      </c>
      <c r="ON83" s="152">
        <f>IF($MC83=0,0,(IF(COUNTIF($MH83:$MK83,"Salto")&gt;0,1,0)+IF(COUNTIF($MH83:$MK83,"Queima")&gt;0,1,0)+IF(COUNTIF($MH83:$MK83,"Estilhaço")&gt;0,1,0))*FLOOR($OM83/2,1))</f>
        <v/>
      </c>
      <c r="OO83" s="152">
        <f>MAX(0,2-SUMPRODUCT($NV83:$OA83,$I$2:$N$2)+MIN(2,$OB83*1+$OC83*1,SUMPRODUCT($NV83:$OA83,$I$2:$N$2)))</f>
        <v/>
      </c>
      <c r="OP83" s="152">
        <f>MAX(0,4-SUMPRODUCT($NV83:$OA83,$I$3:$N$3)+MIN(4,$OB83*1+$OC83*2,SUMPRODUCT($NV83:$OA83,$I$3:$N$3)))</f>
        <v/>
      </c>
      <c r="OQ83" s="152">
        <f>MAX(0,6-SUMPRODUCT($NV83:$OA83,$I$4:$N$4)+MIN(6,$OB83*2+$OC83*3,SUMPRODUCT($NV83:$OA83,$I$4:$N$4)))</f>
        <v/>
      </c>
      <c r="OR83" s="152">
        <f>MAX(0,9-SUMPRODUCT($NV83:$OA83,$I$5:$N$5)+MIN(8,$OB83*2+$OC83*4,SUMPRODUCT($NV83:$OA83,$I$5:$N$5)))</f>
        <v/>
      </c>
      <c r="OS83" s="152">
        <f>MAX(0,11-SUMPRODUCT($NV83:$OA83,$I$6:$N$6)+MIN(10,$OB83*3+$OC83*5,SUMPRODUCT($NV83:$OA83,$I$6:$N$6)))</f>
        <v/>
      </c>
      <c r="OT83" s="152">
        <f>MAX(0,13-SUMPRODUCT($NV83:$OA83,$I$7:$N$7)+MIN(12,$OB83*3+$OC83*6,SUMPRODUCT($NV83:$OA83,$I$7:$N$7)))</f>
        <v/>
      </c>
      <c r="OU83" s="152">
        <f>MAX(0,16-SUMPRODUCT($NV83:$OA83,$I$8:$N$8)+MIN(14,$OB83*4+$OC83*7,SUMPRODUCT($NV83:$OA83,$I$8:$N$8)))</f>
        <v/>
      </c>
      <c r="OV83" s="152">
        <f>IF($NP83=2,3*$OO83&amp;" de vida temp.",IF($NP83=3,"sem dano",IF($OO83=0,IF($NP83=1,"sem cura","sem dano"),IF($NP83=1,"cura ","")&amp;$OO83&amp;"d8")))</f>
        <v/>
      </c>
      <c r="OW83" s="152">
        <f>IF($NP83=2,3*$OP83&amp;" de vida temp.",IF($NP83=3,"sem dano",IF($OP83=0,IF($NP83=1,"sem cura","sem dano"),IF($NP83=1,"cura ","")&amp;$OP83&amp;"d8")))</f>
        <v/>
      </c>
      <c r="OX83" s="152">
        <f>IF($NP83=2,3*$OQ83&amp;" de vida temp.",IF($NP83=3,"sem dano",IF($OQ83=0,IF($NP83=1,"sem cura","sem dano"),IF($NP83=1,"cura ","")&amp;$OQ83&amp;"d8")))</f>
        <v/>
      </c>
      <c r="OY83" s="152">
        <f>IF($NP83=2,3*$OR83&amp;" de vida temp.",IF($NP83=3,"sem dano",IF($OR83=0,IF($NP83=1,"sem cura","sem dano"),IF($NP83=1,"cura ","")&amp;$OR83&amp;"d8")))</f>
        <v/>
      </c>
      <c r="OZ83" s="152">
        <f>IF($NP83=2,3*$OS83&amp;" de vida temp.",IF($NP83=3,"sem dano",IF($OS83=0,IF($NP83=1,"sem cura","sem dano"),IF($NP83=1,"cura ","")&amp;$OS83&amp;"d8")))</f>
        <v/>
      </c>
      <c r="PA83" s="152">
        <f>IF($NP83=2,3*$OT83&amp;" de vida temp.",IF($NP83=3,"sem dano",IF($OT83=0,IF($NP83=1,"sem cura","sem dano"),IF($NP83=1,"cura ","")&amp;$OT83&amp;"d8")))</f>
        <v/>
      </c>
      <c r="PB83" s="152">
        <f>IF($NP83=2,3*$OU83&amp;" de vida temp.",IF($NP83=3,"sem dano",IF($OU83=0,IF($NP83=1,"sem cura","sem dano"),IF($NP83=1,"cura ","")&amp;$OU83&amp;"d8")))</f>
        <v/>
      </c>
      <c r="PC83" s="152">
        <f>IF($MN83=0,"",TEXTJOIN(" · ",TRUE,IF($MA83&gt;$MO83,"Este lugar abre no nível "&amp;$MA83,""),IF($MC83&gt;$MP83,"Classe "&amp;$MC83&amp;": o nível "&amp;$MO83&amp;" libera até a "&amp;$MP83,""),IF($NH83=1,"A Forma "&amp;$ME83&amp;" pede "&amp;INDEX($W$2:$W$11,$MT83)&amp;" aberta",""),IF(AND($MC83=0,$MT83&gt;0,IF($MT83=0,0,INDEX($AF$2:$AF$11,$MT83))=0),$ME83&amp;" não existe na Classe 0",""),IF($NI83=1,"Família Fechada: "&amp;$MH83,""),IF($NJ83=1,"Família Fechada: "&amp;$MI83,""),IF($NK83=1,"Família Fechada: "&amp;$MJ83,""),IF($NL83=1,"Família Fechada: "&amp;$MK83,""),IF(AND($MC83&gt;0,$OD83&gt;INDEX($O$2:$O$8,MAX(1,$MC83))),$OD83&amp;" Melhorias: a Classe "&amp;$MC83&amp;" aceita "&amp;INDEX($O$2:$O$8,MAX(1,$MC83)),""),IF(AND($MC83=0,$OD83&gt;1),"A básica aceita uma Melhoria",""),IF(AND($MC83=0,COUNTIF($MY83:$NB83,"&gt;1")&gt;0),"A básica só aceita Melhoria Leve",""),IF(AND($MC83&gt;0,$OE83&gt;2),$OE83&amp;" Restrições"&amp;IF($NO83=1,", contando a que a Forma "&amp;$ME83&amp;" já traz","")&amp;": o limite é 2",""),IF(AND($MC83=0,COUNTIF($ML83:$MM83,"?*")&gt;1),"A básica aceita uma Restrição Leve",""),IF(AND($MC83=0,COUNTIF($NR83:$NS83,2)&gt;0),"A básica só aceita Restrição Leve",""),IF(AND($MC83&gt;0,$OL83&lt;0),"Orçamento estourado: faltam "&amp;(-$OL83)&amp;IF($OL83&lt;-1," pontos"," ponto"),""),IF(IFERROR(VLOOKUP($ML83,$BB$2:$BF$24,4,FALSE),0)+IFERROR(VLOOKUP($MM83,$BB$2:$BF$24,4,FALSE),0)&gt;1,$NT83&amp;" e "&amp;$NU83&amp;" são as duas de frequência",""),IF(AND((COUNTIF($MH83:$MK83,"Rápido")+COUNTIF($NT83:$NU83,"Rápido"))&gt;0,(COUNTIF($MH83:$MK83,"Atrasar")+COUNTIF($NT83:$NU83,"Atrasar"))&gt;0),"Rápido não entra com Atrasar",""),IF(AND((COUNTIF($MH83:$MK83,"Reação")+COUNTIF($NT83:$NU83,"Reação"))&gt;0,(COUNTIF($MH83:$MK83,"Rápido")+COUNTIF($NT83:$NU83,"Rápido"))&gt;0),"Reação não entra com Rápido",""),IF(AND((COUNTIF($MH83:$MK83,"Reação")+COUNTIF($NT83:$NU83,"Reação"))&gt;0,(COUNTIF($MH83:$MK83,"Armado")+COUNTIF($NT83:$NU83,"Armado"))&gt;0),"Reação não entra com Armado",""),IF(AND((COUNTIF($MH83:$MK83,"Reação")+COUNTIF($NT83:$NU83,"Reação"))&gt;0,(COUNTIF($MH83:$MK83,"Atrasar")+COUNTIF($NT83:$NU83,"Atrasar"))&gt;0),"Reação não entra com Atrasar",""),IF(AND((COUNTIF($MH83:$MK83,"Reação")+COUNTIF($NT83:$NU83,"Reação"))&gt;0,(COUNTIF($MH83:$MK83,"Parado")+COUNTIF($NT83:$NU83,"Parado"))&gt;0),"Reação não entra com Parado",""),IF(AND((COUNTIF($MH83:$MK83,"Atrasar")+COUNTIF($NT83:$NU83,"Atrasar"))&gt;0,(COUNTIF($MH83:$MK83,"Parado")+COUNTIF($NT83:$NU83,"Parado"))&gt;0),"Atrasar não entra com Parado",""),IF(AND((COUNTIF($MH83:$MK83,"Armado")+COUNTIF($NT83:$NU83,"Armado"))&gt;0,(COUNTIF($MH83:$MK83,"Carregar")+COUNTIF($NT83:$NU83,"Carregar"))&gt;0),"Armado não entra com Carregar",""),IF(AND(COUNTIF($NT83:$NU83,"Corpo a Corpo")&gt;0,$NO83=0,OR($ME83="Cone",$ME83="Linha")),"Corpo a Corpo não entra em "&amp;$ME83,""),IF(AND(COUNTIF($NT83:$NU83,"Corpo a Corpo")&gt;0,$NO83=1),"A Forma "&amp;$ME83&amp;" já traz o Corpo a Corpo",""),IF(AND(COUNTIF($NT83:$NU83,"Tudo ou Nada")&gt;0,$NQ83=0),"Tudo ou Nada só entra em habilidade de Teste de Resistência",""),IF(AND(COUNTIF($MH83:$MK83,"Inescapável")&gt;0,OR($OD83&gt;1,$OE83&gt;0)),"Inescapável não aceita outra peça",""),IF(AND($MC83&gt;0,$OM83*IF(COUNTIF($MH83:$MK83,"Remate")&gt;0,1.25,1)+$ON83&gt;4*$MC83),($OM83*IF(COUNTIF($MH83:$MK83,"Remate")&gt;0,1.25,1)+$ON83)&amp;" dados somando repetições"&amp;IF(COUNTIF($MH83:$MK83,"Remate")&gt;0," e o Remate","")&amp;": o teto da Classe "&amp;$MC83&amp;" é "&amp;4*$MC83,"")))</f>
        <v/>
      </c>
      <c r="PD83" s="152">
        <f>IF($PC83="",0,(LEN($PC83)-LEN(SUBSTITUTE($PC83," · ","")))/3+1)</f>
        <v/>
      </c>
      <c r="PE83" s="152">
        <f>IF($MN83=0,"",TEXTJOIN(" · ",TRUE,IF($OG83&gt;2*$MC83,"A devolução parou no teto de "&amp;2*$MC83,""),IF($OJ83&gt;0,"Devolução perdida: "&amp;$OJ83&amp;IF($OJ83&gt;1," pontos"," ponto")&amp;" sem peça para pagar",""),IF(AND($NM83&gt;0,AND($MC83&gt;0,$NP83=0),$OM83=0),"Controle sem dano: uma rodada a mais e CD +2",""),IF(AND($NM83&gt;0,AND($MC83&gt;0,$NP83=0),$OM83&gt;0,$OM83&lt;=$MC83),"Controle com saldo até a Classe: uma rodada a mais",""),IF(AND($MC83&gt;0,$NN83&lt;&gt;""),"Efeito de "&amp;$NN83&amp;" pela Classe "&amp;MAX(1,$MC83-1),"")))</f>
        <v/>
      </c>
      <c r="PF83" s="152">
        <f>IF($PE83="",0,(LEN($PE83)-LEN(SUBSTITUTE($PE83," · ","")))/3+1)</f>
        <v/>
      </c>
      <c r="PG83" s="152">
        <f>IF($MN83=0,IF($OD83+COUNTIF($ML83:$MM83,"?*")&gt;0,"Dê um nome",""),IF($PD83&gt;0,"⚠ "&amp;$PD83&amp;IF($PD83&gt;1," erros"," erro"),IF($PF83&gt;0,"! "&amp;$PF83&amp;IF($PF83&gt;1," avisos"," aviso"),"Na regra")))</f>
        <v/>
      </c>
      <c r="PH83" s="152">
        <f>IF($MN83=0,"",IF($PD83+$PF83=0,"Dentro das regras que a ficha confere",$PC83&amp;IF(AND($PD83&gt;0,$PF83&gt;0)," · ","")&amp;$PE83))</f>
        <v/>
      </c>
      <c r="PI83" s="152">
        <f>IF($MA83&gt;$MO83,$MB83&amp;" · ABRE NO NÍVEL "&amp;$MA83,$MB83)</f>
        <v/>
      </c>
      <c r="PJ83" s="152">
        <f>IF($MN83=0,"",IF($MC83=0,"Sem PE",3*$MC83&amp;" PE"))</f>
        <v/>
      </c>
      <c r="PK83" s="152">
        <f>IF($MN83=0,"",IF($MC83=0,"A atuação básica dela",IF(COUNTIF($NT83:$NU83,"Atrasar")&gt;0,"Sua Ação Completa",IF(COUNTIF($MH83:$MK83,"Rápido")&gt;0,"Sua Bônus",IF(COUNTIF($MH83:$MK83,"Reação")&gt;0,"Sua Reação","Sua Padrão")))&amp;" + a básica dela"&amp;IF(COUNTIF($MH83:$MK83,"Reação")&gt;0," e a coletiva","")&amp;IF(COUNTIF($NT83:$NU83,"Carregar")&gt;0," · em dois turnos","")))</f>
        <v/>
      </c>
      <c r="PL83" s="152">
        <f>IF($MG83&lt;&gt;"",$MG83,IF($MT83=0,"",INDEX($AA$2:$AA$11,$MT83)))</f>
        <v/>
      </c>
      <c r="PM83" s="152">
        <f>IF(OR($MN83=0,$MT83=0),"",IF(COUNTIF($MH83:$MK83,"Inescapável")&gt;0,"Automático",IF($PL83="Ataque",IF($MR83="","Ataque","Ataque "&amp;IF(($MR83+2*IF(COUNTIF($MH83:$MK83,"Precisão")&gt;0,1,0))&gt;=0,"+","−")&amp;ABS(($MR83+2*IF(COUNTIF($MH83:$MK83,"Precisão")&gt;0,1,0)))),IF(LEFT($PL83,2)="TR",$PL83&amp;IF($MS83="",""," · CD "&amp;$MS83)&amp;IF(COUNTIF($MH83:$MK83,"Certeiro")&gt;0," · metade",""),"Sem rolagem"))))</f>
        <v/>
      </c>
      <c r="PN83" s="152">
        <f>IF(OR($MN83=0,$MT83=0),"",IF($MC83=0,IF(OR($NP83&gt;=1,$OM83=0),"Sem dano",$OM83&amp;"d6"&amp;IF($MF83="",""," "&amp;$MF83)),IF(OR($NP83&gt;=1,$OM83=0),UPPER(LEFT(INDEX($OV83:$PB83,1,MAX(1,$MC83)),1))&amp;MID(INDEX($OV83:$PB83,1,MAX(1,$MC83)),2,99),UPPER(LEFT(INDEX($OV83:$PB83,1,MAX(1,$MC83)),1))&amp;MID(INDEX($OV83:$PB83,1,MAX(1,$MC83)),2,99)&amp;IF($MF83="",""," "&amp;$MF83)&amp;IF($ON83&gt;0," · +"&amp;$ON83&amp;"d8",""))))</f>
        <v/>
      </c>
      <c r="PO83" s="152">
        <f>COUNTIF($MH83:$MK83,"Longe")+3*COUNTIF($MH83:$MK83,"Muito Longe")</f>
        <v/>
      </c>
      <c r="PP83" s="152">
        <f>COUNTIF($MH83:$MK83,"Maior")+3*COUNTIF($MH83:$MK83,"Muito Maior")</f>
        <v/>
      </c>
      <c r="PQ83" s="152">
        <f>IF($MT83=0,0,CHOOSE(1+INDEX($AC$2:$AC$11,$MT83),0,$PO83,$PP83,$PO83+$PP83))</f>
        <v/>
      </c>
      <c r="PR83" s="152">
        <f>IF($MT83=0,0,CHOOSE(1+INDEX($AD$2:$AD$11,$MT83),0,$PO83,$PP83,$PO83+$PP83))</f>
        <v/>
      </c>
      <c r="PS83" s="152">
        <f>IF(OR($MN83=0,$MT83=0),"",INDEX($AI$2:$AN$41,($MT83-1)*4+IF($MC83=0,1,IF($MC83&lt;=5,2,IF($MC83=6,3,4))),1+MIN(5,$PQ83))&amp;INDEX($AO$2:$AT$41,($MT83-1)*4+IF($MC83=0,1,IF($MC83&lt;=5,2,IF($MC83=6,3,4))),1+MIN(5,$PR83))&amp;IF(INDEX($AE$2:$AE$11,$MT83)=1,IF(COUNTIF($MH83:$MK83,"Mais Um")&gt;0," · +"&amp;COUNTIF($MH83:$MK83,"Mais Um")&amp;IF(COUNTIF($MH83:$MK83,"Mais Um")&gt;1," alvos"," alvo"),"")&amp;IF(COUNTIF($MH83:$MK83,"Rajada")&gt;0,IF($MC83=0," · 1 tiro"," · "&amp;(MAX(1,$MC83-1)+1)&amp;" tiros"),""),""))</f>
        <v/>
      </c>
      <c r="PT83" s="152">
        <f>IF($MN83=0,"",IF($MC83=0,$MQ83&amp;"d6"&amp;IF($OD83&gt;0," − 1 = "&amp;$OM83&amp;"d6"," da básica do nível "&amp;$MO83),$OK83&amp;" − "&amp;$OF83&amp;" + "&amp;$OI83&amp;" = "&amp;$OL83&amp;" · teto "&amp;4*$MC83&amp;"d8"&amp;IF($NO83=1," · a Forma devolve "&amp;$MC83,"")&amp;IF($OJ83&gt;0," · perde "&amp;$OJ83,"")))</f>
        <v/>
      </c>
      <c r="PU83" s="152">
        <f>IF($MN83=0,"",IF($MC83=0,"A básica não amplia: os dados dela sobem com o nível",IF($MC83&gt;=$MP83,"Já está na maior Classe que o nível liberou",TEXTJOIN(" · ",TRUE,IF(AND(2&gt;$MC83,2&lt;=$MP83),"2 → "&amp;$OW83&amp;", 6 PE",""),IF(AND(3&gt;$MC83,3&lt;=$MP83),"3 → "&amp;$OX83&amp;", 9 PE",""),IF(AND(4&gt;$MC83,4&lt;=$MP83),"4 → "&amp;$OY83&amp;", 12 PE",""),IF(AND(5&gt;$MC83,5&lt;=$MP83),"5 → "&amp;$OZ83&amp;", 15 PE",""),IF(AND(6&gt;$MC83,6&lt;=$MP83),"6 → "&amp;$PA83&amp;", 18 PE",""),IF(AND(7&gt;$MC83,7&lt;=$MP83),"7 → "&amp;$PB83&amp;", 21 PE","")))))</f>
        <v/>
      </c>
      <c r="PV83" s="152">
        <f>IF(OR($MN83=0,$MY83=0),"",IF($MC83=0,"−1 dado","−"&amp;INDEX($I$2:$N$8,MAX(1,$MC83),MAX(1,$ND83))&amp;" · "&amp;CHOOSE(MAX(1,$ND83),"Leve","Média","Pesada","Leve · Livre","Média · Livre","Pesada · Livre")))</f>
        <v/>
      </c>
      <c r="PW83" s="152">
        <f>IF(OR($MN83=0,$MZ83=0),"",IF($MC83=0,"−1 dado","−"&amp;INDEX($I$2:$N$8,MAX(1,$MC83),MAX(1,$NE83))&amp;" · "&amp;CHOOSE(MAX(1,$NE83),"Leve","Média","Pesada","Leve · Livre","Média · Livre","Pesada · Livre")))</f>
        <v/>
      </c>
      <c r="PX83" s="152">
        <f>IF(OR($MN83=0,$NA83=0),"",IF($MC83=0,"−1 dado","−"&amp;INDEX($I$2:$N$8,MAX(1,$MC83),MAX(1,$NF83))&amp;" · "&amp;CHOOSE(MAX(1,$NF83),"Leve","Média","Pesada","Leve · Livre","Média · Livre","Pesada · Livre")))</f>
        <v/>
      </c>
      <c r="PY83" s="152">
        <f>IF(OR($MN83=0,$NB83=0),"",IF($MC83=0,"−1 dado","−"&amp;INDEX($I$2:$N$8,MAX(1,$MC83),MAX(1,$NG83))&amp;" · "&amp;CHOOSE(MAX(1,$NG83),"Leve","Média","Pesada","Leve · Livre","Média · Livre","Pesada · Livre")))</f>
        <v/>
      </c>
      <c r="PZ83" s="152">
        <f>IF(OR($MN83=0,$ML83=""),"",IF($MC83=0,"não devolve","+"&amp;IF($NR83=1,CEILING($MC83/2,1),$MC83)))</f>
        <v/>
      </c>
      <c r="QA83" s="152">
        <f>IF(OR($MN83=0,$MM83=""),"",IF($MC83=0,"não devolve","+"&amp;IF($NS83=1,CEILING($MC83/2,1),$MC83)))</f>
        <v/>
      </c>
    </row>
    <row r="84">
      <c r="AV84" s="150" t="inlineStr">
        <is>
          <t>Efeito Próprio (Pesada)</t>
        </is>
      </c>
      <c r="AW84" s="150" t="inlineStr"/>
      <c r="AX84" s="152" t="n">
        <v>3</v>
      </c>
      <c r="AY84" s="152" t="n">
        <v>0</v>
      </c>
      <c r="AZ84" s="152" t="n">
        <v>0</v>
      </c>
      <c r="JD84" s="152">
        <f>IF(OR($AW84="",COUNTIF($ED$2:$EH$2,$AW84)&gt;0),$AV84,"")</f>
        <v/>
      </c>
      <c r="JE84" s="152">
        <f>IF(AND($AX84=1,OR($AW84="",COUNTIF($ED$2:$EH$2,$AW84)&gt;0)),$AV84,"")</f>
        <v/>
      </c>
      <c r="JJ84" s="152">
        <f>IF(OR($AW84="",COUNTIF($ED$3:$EH$3,$AW84)&gt;0),$AV84,"")</f>
        <v/>
      </c>
      <c r="JK84" s="152">
        <f>IF(AND($AX84=1,OR($AW84="",COUNTIF($ED$3:$EH$3,$AW84)&gt;0)),$AV84,"")</f>
        <v/>
      </c>
      <c r="JP84" s="152">
        <f>IF(OR($AW84="",COUNTIF($ED$4:$EH$4,$AW84)&gt;0),$AV84,"")</f>
        <v/>
      </c>
      <c r="JQ84" s="152">
        <f>IF(AND($AX84=1,OR($AW84="",COUNTIF($ED$4:$EH$4,$AW84)&gt;0)),$AV84,"")</f>
        <v/>
      </c>
      <c r="JV84" s="152">
        <f>IF(OR($AW84="",COUNTIF($ED$5:$EH$5,$AW84)&gt;0),$AV84,"")</f>
        <v/>
      </c>
      <c r="JW84" s="152">
        <f>IF(AND($AX84=1,OR($AW84="",COUNTIF($ED$5:$EH$5,$AW84)&gt;0)),$AV84,"")</f>
        <v/>
      </c>
      <c r="KB84" s="152">
        <f>IF(OR($AW84="",COUNTIF($ED$6:$EH$6,$AW84)&gt;0),$AV84,"")</f>
        <v/>
      </c>
      <c r="KC84" s="152">
        <f>IF(AND($AX84=1,OR($AW84="",COUNTIF($ED$6:$EH$6,$AW84)&gt;0)),$AV84,"")</f>
        <v/>
      </c>
      <c r="KH84" s="152">
        <f>IF(OR($AW84="",COUNTIF($ED$7:$EH$7,$AW84)&gt;0),$AV84,"")</f>
        <v/>
      </c>
      <c r="KI84" s="152">
        <f>IF(AND($AX84=1,OR($AW84="",COUNTIF($ED$7:$EH$7,$AW84)&gt;0)),$AV84,"")</f>
        <v/>
      </c>
      <c r="KN84" s="152">
        <f>IF(OR($AW84="",COUNTIF($ED$8:$EH$8,$AW84)&gt;0),$AV84,"")</f>
        <v/>
      </c>
      <c r="KO84" s="152">
        <f>IF(AND($AX84=1,OR($AW84="",COUNTIF($ED$8:$EH$8,$AW84)&gt;0)),$AV84,"")</f>
        <v/>
      </c>
      <c r="KT84" s="152">
        <f>IF(OR($AW84="",COUNTIF($ED$9:$EH$9,$AW84)&gt;0),$AV84,"")</f>
        <v/>
      </c>
      <c r="KU84" s="152">
        <f>IF(AND($AX84=1,OR($AW84="",COUNTIF($ED$9:$EH$9,$AW84)&gt;0)),$AV84,"")</f>
        <v/>
      </c>
      <c r="KZ84" s="152">
        <f>IF(OR($AW84="",COUNTIF($ED$10:$EH$10,$AW84)&gt;0),$AV84,"")</f>
        <v/>
      </c>
      <c r="LA84" s="152">
        <f>IF(AND($AX84=1,OR($AW84="",COUNTIF($ED$10:$EH$10,$AW84)&gt;0)),$AV84,"")</f>
        <v/>
      </c>
      <c r="LF84" s="152">
        <f>IF(OR($AW84="",COUNTIF($ED$11:$EH$11,$AW84)&gt;0),$AV84,"")</f>
        <v/>
      </c>
      <c r="LG84" s="152">
        <f>IF(AND($AX84=1,OR($AW84="",COUNTIF($ED$11:$EH$11,$AW84)&gt;0)),$AV84,"")</f>
        <v/>
      </c>
      <c r="LL84" s="152">
        <f>IF(OR($AW84="",COUNTIF($ED$12:$EH$12,$AW84)&gt;0),$AV84,"")</f>
        <v/>
      </c>
      <c r="LM84" s="152">
        <f>IF(AND($AX84=1,OR($AW84="",COUNTIF($ED$12:$EH$12,$AW84)&gt;0)),$AV84,"")</f>
        <v/>
      </c>
      <c r="LR84" s="152">
        <f>IF(OR($AW84="",COUNTIF($ED$13:$EH$13,$AW84)&gt;0),$AV84,"")</f>
        <v/>
      </c>
      <c r="LS84" s="152">
        <f>IF(AND($AX84=1,OR($AW84="",COUNTIF($ED$13:$EH$13,$AW84)&gt;0)),$AV84,"")</f>
        <v/>
      </c>
      <c r="LX84" s="150" t="inlineStr">
        <is>
          <t>Ficha 7 · Especial 3</t>
        </is>
      </c>
      <c r="LY84" s="152" t="n">
        <v>7</v>
      </c>
      <c r="LZ84" s="152" t="n">
        <v>1</v>
      </c>
      <c r="MA84" s="152" t="n">
        <v>8</v>
      </c>
      <c r="MB84" s="150" t="inlineStr">
        <is>
          <t>ESPECIAL 3</t>
        </is>
      </c>
      <c r="MC84" s="152">
        <f>MAX(1,MIN(7,N('INVOCAÇÕES'!$AH$92)))</f>
        <v/>
      </c>
      <c r="MD84" s="152">
        <f>'INVOCAÇÕES'!$AI$92&amp;""</f>
        <v/>
      </c>
      <c r="ME84" s="152">
        <f>'INVOCAÇÕES'!$AH$97&amp;""</f>
        <v/>
      </c>
      <c r="MF84" s="152">
        <f>'INVOCAÇÕES'!$AH$98&amp;""</f>
        <v/>
      </c>
      <c r="MG84" s="152">
        <f>'INVOCAÇÕES'!$AJ$98&amp;""</f>
        <v/>
      </c>
      <c r="MH84" s="152">
        <f>'INVOCAÇÕES'!$AI$101&amp;""</f>
        <v/>
      </c>
      <c r="MI84" s="152">
        <f>'INVOCAÇÕES'!$AI$102&amp;""</f>
        <v/>
      </c>
      <c r="MJ84" s="152">
        <f>'INVOCAÇÕES'!$AI$103&amp;""</f>
        <v/>
      </c>
      <c r="MK84" s="152">
        <f>'INVOCAÇÕES'!$AI$104&amp;""</f>
        <v/>
      </c>
      <c r="ML84" s="152">
        <f>'INVOCAÇÕES'!$AI$105&amp;""</f>
        <v/>
      </c>
      <c r="MM84" s="152">
        <f>'INVOCAÇÕES'!$AI$106&amp;""</f>
        <v/>
      </c>
      <c r="MN84" s="152">
        <f>IF($MD84&lt;&gt;"",1,0)</f>
        <v/>
      </c>
      <c r="MO84" s="152">
        <f>INDEX($FG$2:$FG$13,$LY84)</f>
        <v/>
      </c>
      <c r="MP84" s="152">
        <f>INDEX($FH$2:$FH$13,$LY84)</f>
        <v/>
      </c>
      <c r="MQ84" s="152">
        <f>INDEX($FI$2:$FI$13,$LY84)</f>
        <v/>
      </c>
      <c r="MR84" s="152">
        <f>INDEX($FT$2:$FT$13,$LY84)</f>
        <v/>
      </c>
      <c r="MS84" s="152">
        <f>INDEX($FU$2:$FU$13,$LY84)</f>
        <v/>
      </c>
      <c r="MT84" s="152">
        <f>IFERROR(MATCH($ME84,$V$2:$V$11,0),0)</f>
        <v/>
      </c>
      <c r="MU84" s="152">
        <f>IFERROR(VLOOKUP($MH84,$AV$2:$AZ$84,2,FALSE),"")</f>
        <v/>
      </c>
      <c r="MV84" s="152">
        <f>IFERROR(VLOOKUP($MI84,$AV$2:$AZ$84,2,FALSE),"")</f>
        <v/>
      </c>
      <c r="MW84" s="152">
        <f>IFERROR(VLOOKUP($MJ84,$AV$2:$AZ$84,2,FALSE),"")</f>
        <v/>
      </c>
      <c r="MX84" s="152">
        <f>IFERROR(VLOOKUP($MK84,$AV$2:$AZ$84,2,FALSE),"")</f>
        <v/>
      </c>
      <c r="MY84" s="152">
        <f>IFERROR(VLOOKUP($MH84,$AV$2:$AZ$84,3,FALSE),0)</f>
        <v/>
      </c>
      <c r="MZ84" s="152">
        <f>IFERROR(VLOOKUP($MI84,$AV$2:$AZ$84,3,FALSE),0)</f>
        <v/>
      </c>
      <c r="NA84" s="152">
        <f>IFERROR(VLOOKUP($MJ84,$AV$2:$AZ$84,3,FALSE),0)</f>
        <v/>
      </c>
      <c r="NB84" s="152">
        <f>IFERROR(VLOOKUP($MK84,$AV$2:$AZ$84,3,FALSE),0)</f>
        <v/>
      </c>
      <c r="NC84" s="152">
        <f>IF($MC84=0,0,IF($MT84=0,0,INDEX($X$2:$X$11,$MT84)))</f>
        <v/>
      </c>
      <c r="ND84" s="152">
        <f>IF(OR($MY84=0,$MC84=0),0,$MY84+3*IF(AND($MU84&lt;&gt;"",OR($MU84=INDEX($ED$2:$ED$13,$LY84),$MU84=INDEX($EE$2:$EE$13,$LY84))),1,0))</f>
        <v/>
      </c>
      <c r="NE84" s="152">
        <f>IF(OR($MZ84=0,$MC84=0),0,$MZ84+3*IF(AND($MV84&lt;&gt;"",OR($MV84=INDEX($ED$2:$ED$13,$LY84),$MV84=INDEX($EE$2:$EE$13,$LY84))),1,0))</f>
        <v/>
      </c>
      <c r="NF84" s="152">
        <f>IF(OR($NA84=0,$MC84=0),0,$NA84+3*IF(AND($MW84&lt;&gt;"",OR($MW84=INDEX($ED$2:$ED$13,$LY84),$MW84=INDEX($EE$2:$EE$13,$LY84))),1,0))</f>
        <v/>
      </c>
      <c r="NG84" s="152">
        <f>IF(OR($NB84=0,$MC84=0),0,$NB84+3*IF(AND($MX84&lt;&gt;"",OR($MX84=INDEX($ED$2:$ED$13,$LY84),$MX84=INDEX($EE$2:$EE$13,$LY84))),1,0))</f>
        <v/>
      </c>
      <c r="NH84" s="152">
        <f>IF($MT84=0,0,IF(INDEX($W$2:$W$11,$MT84)="",0,IF(COUNTIF(INDEX($ED$2:$EH$13,$LY84,0),INDEX($W$2:$W$11,$MT84))=0,1,0)))</f>
        <v/>
      </c>
      <c r="NI84" s="152">
        <f>IF(OR($MY84=0,$MU84=""),0,IF(COUNTIF(INDEX($ED$2:$EH$13,$LY84,0),$MU84)=0,1,0))</f>
        <v/>
      </c>
      <c r="NJ84" s="152">
        <f>IF(OR($MZ84=0,$MV84=""),0,IF(COUNTIF(INDEX($ED$2:$EH$13,$LY84,0),$MV84)=0,1,0))</f>
        <v/>
      </c>
      <c r="NK84" s="152">
        <f>IF(OR($NA84=0,$MW84=""),0,IF(COUNTIF(INDEX($ED$2:$EH$13,$LY84,0),$MW84)=0,1,0))</f>
        <v/>
      </c>
      <c r="NL84" s="152">
        <f>IF(OR($NB84=0,$MX84=""),0,IF(COUNTIF(INDEX($ED$2:$EH$13,$LY84,0),$MX84)=0,1,0))</f>
        <v/>
      </c>
      <c r="NM84" s="152">
        <f>IFERROR(VLOOKUP($MH84,$AV$2:$AZ$84,4,FALSE),0)+IFERROR(VLOOKUP($MI84,$AV$2:$AZ$84,4,FALSE),0)+IFERROR(VLOOKUP($MJ84,$AV$2:$AZ$84,4,FALSE),0)+IFERROR(VLOOKUP($MK84,$AV$2:$AZ$84,4,FALSE),0)</f>
        <v/>
      </c>
      <c r="NN84" s="152">
        <f>TEXTJOIN(", ",TRUE,IF(IFERROR(VLOOKUP($MH84,$AV$2:$AZ$84,5,FALSE),0)=1,$MH84,""),IF(IFERROR(VLOOKUP($MI84,$AV$2:$AZ$84,5,FALSE),0)=1,$MI84,""),IF(IFERROR(VLOOKUP($MJ84,$AV$2:$AZ$84,5,FALSE),0)=1,$MJ84,""),IF(IFERROR(VLOOKUP($MK84,$AV$2:$AZ$84,5,FALSE),0)=1,$MK84,""))</f>
        <v/>
      </c>
      <c r="NO84" s="152">
        <f>IF($MT84=0,0,INDEX($Y$2:$Y$11,$MT84))</f>
        <v/>
      </c>
      <c r="NP84" s="152">
        <f>IF($MT84=0,0,INDEX($Z$2:$Z$11,$MT84))</f>
        <v/>
      </c>
      <c r="NQ84" s="152">
        <f>IF($MT84=0,0,INDEX($AB$2:$AB$11,$MT84))</f>
        <v/>
      </c>
      <c r="NR84" s="152">
        <f>IFERROR(VLOOKUP($ML84,$BB$2:$BF$24,3,FALSE),0)</f>
        <v/>
      </c>
      <c r="NS84" s="152">
        <f>IFERROR(VLOOKUP($MM84,$BB$2:$BF$24,3,FALSE),0)</f>
        <v/>
      </c>
      <c r="NT84" s="152">
        <f>IFERROR(VLOOKUP($ML84,$BB$2:$BF$24,2,FALSE),"")</f>
        <v/>
      </c>
      <c r="NU84" s="152">
        <f>IFERROR(VLOOKUP($MM84,$BB$2:$BF$24,2,FALSE),"")</f>
        <v/>
      </c>
      <c r="NV84" s="152">
        <f>COUNTIF($NC84:$NG84,1)</f>
        <v/>
      </c>
      <c r="NW84" s="152">
        <f>COUNTIF($NC84:$NG84,2)</f>
        <v/>
      </c>
      <c r="NX84" s="152">
        <f>COUNTIF($NC84:$NG84,3)</f>
        <v/>
      </c>
      <c r="NY84" s="152">
        <f>COUNTIF($NC84:$NG84,4)</f>
        <v/>
      </c>
      <c r="NZ84" s="152">
        <f>COUNTIF($NC84:$NG84,5)</f>
        <v/>
      </c>
      <c r="OA84" s="152">
        <f>COUNTIF($NC84:$NG84,6)</f>
        <v/>
      </c>
      <c r="OB84" s="152">
        <f>COUNTIF($NR84:$NS84,1)</f>
        <v/>
      </c>
      <c r="OC84" s="152">
        <f>COUNTIF($NR84:$NS84,2)+$NO84</f>
        <v/>
      </c>
      <c r="OD84" s="152">
        <f>COUNTIF($MH84:$MK84,"?*")</f>
        <v/>
      </c>
      <c r="OE84" s="152">
        <f>COUNTIF($ML84:$MM84,"?*")+$NO84</f>
        <v/>
      </c>
      <c r="OF84" s="152">
        <f>IF($MC84=0,0,SUMPRODUCT($NV84:$OA84,INDEX($I$2:$N$8,MAX(1,$MC84),0)))</f>
        <v/>
      </c>
      <c r="OG84" s="152">
        <f>IF($MC84=0,0,$OB84*CEILING($MC84/2,1)+$OC84*$MC84)</f>
        <v/>
      </c>
      <c r="OH84" s="152">
        <f>MIN(2*$MC84,$OG84)</f>
        <v/>
      </c>
      <c r="OI84" s="152">
        <f>MIN($OH84,$OF84)</f>
        <v/>
      </c>
      <c r="OJ84" s="152">
        <f>$OH84-$OI84</f>
        <v/>
      </c>
      <c r="OK84" s="152">
        <f>IF($MC84=0,0,INDEX($P$2:$P$8,MAX(1,$MC84)))</f>
        <v/>
      </c>
      <c r="OL84" s="152">
        <f>$OK84-$OF84+$OI84</f>
        <v/>
      </c>
      <c r="OM84" s="152">
        <f>IF($MC84=0,MAX(0,$MQ84-IF($OD84&gt;0,1,0)),MAX(0,$OL84))</f>
        <v/>
      </c>
      <c r="ON84" s="152">
        <f>IF($MC84=0,0,(IF(COUNTIF($MH84:$MK84,"Salto")&gt;0,1,0)+IF(COUNTIF($MH84:$MK84,"Queima")&gt;0,1,0)+IF(COUNTIF($MH84:$MK84,"Estilhaço")&gt;0,1,0))*FLOOR($OM84/2,1))</f>
        <v/>
      </c>
      <c r="OO84" s="152">
        <f>MAX(0,2-SUMPRODUCT($NV84:$OA84,$I$2:$N$2)+MIN(2,$OB84*1+$OC84*1,SUMPRODUCT($NV84:$OA84,$I$2:$N$2)))</f>
        <v/>
      </c>
      <c r="OP84" s="152">
        <f>MAX(0,4-SUMPRODUCT($NV84:$OA84,$I$3:$N$3)+MIN(4,$OB84*1+$OC84*2,SUMPRODUCT($NV84:$OA84,$I$3:$N$3)))</f>
        <v/>
      </c>
      <c r="OQ84" s="152">
        <f>MAX(0,6-SUMPRODUCT($NV84:$OA84,$I$4:$N$4)+MIN(6,$OB84*2+$OC84*3,SUMPRODUCT($NV84:$OA84,$I$4:$N$4)))</f>
        <v/>
      </c>
      <c r="OR84" s="152">
        <f>MAX(0,9-SUMPRODUCT($NV84:$OA84,$I$5:$N$5)+MIN(8,$OB84*2+$OC84*4,SUMPRODUCT($NV84:$OA84,$I$5:$N$5)))</f>
        <v/>
      </c>
      <c r="OS84" s="152">
        <f>MAX(0,11-SUMPRODUCT($NV84:$OA84,$I$6:$N$6)+MIN(10,$OB84*3+$OC84*5,SUMPRODUCT($NV84:$OA84,$I$6:$N$6)))</f>
        <v/>
      </c>
      <c r="OT84" s="152">
        <f>MAX(0,13-SUMPRODUCT($NV84:$OA84,$I$7:$N$7)+MIN(12,$OB84*3+$OC84*6,SUMPRODUCT($NV84:$OA84,$I$7:$N$7)))</f>
        <v/>
      </c>
      <c r="OU84" s="152">
        <f>MAX(0,16-SUMPRODUCT($NV84:$OA84,$I$8:$N$8)+MIN(14,$OB84*4+$OC84*7,SUMPRODUCT($NV84:$OA84,$I$8:$N$8)))</f>
        <v/>
      </c>
      <c r="OV84" s="152">
        <f>IF($NP84=2,3*$OO84&amp;" de vida temp.",IF($NP84=3,"sem dano",IF($OO84=0,IF($NP84=1,"sem cura","sem dano"),IF($NP84=1,"cura ","")&amp;$OO84&amp;"d8")))</f>
        <v/>
      </c>
      <c r="OW84" s="152">
        <f>IF($NP84=2,3*$OP84&amp;" de vida temp.",IF($NP84=3,"sem dano",IF($OP84=0,IF($NP84=1,"sem cura","sem dano"),IF($NP84=1,"cura ","")&amp;$OP84&amp;"d8")))</f>
        <v/>
      </c>
      <c r="OX84" s="152">
        <f>IF($NP84=2,3*$OQ84&amp;" de vida temp.",IF($NP84=3,"sem dano",IF($OQ84=0,IF($NP84=1,"sem cura","sem dano"),IF($NP84=1,"cura ","")&amp;$OQ84&amp;"d8")))</f>
        <v/>
      </c>
      <c r="OY84" s="152">
        <f>IF($NP84=2,3*$OR84&amp;" de vida temp.",IF($NP84=3,"sem dano",IF($OR84=0,IF($NP84=1,"sem cura","sem dano"),IF($NP84=1,"cura ","")&amp;$OR84&amp;"d8")))</f>
        <v/>
      </c>
      <c r="OZ84" s="152">
        <f>IF($NP84=2,3*$OS84&amp;" de vida temp.",IF($NP84=3,"sem dano",IF($OS84=0,IF($NP84=1,"sem cura","sem dano"),IF($NP84=1,"cura ","")&amp;$OS84&amp;"d8")))</f>
        <v/>
      </c>
      <c r="PA84" s="152">
        <f>IF($NP84=2,3*$OT84&amp;" de vida temp.",IF($NP84=3,"sem dano",IF($OT84=0,IF($NP84=1,"sem cura","sem dano"),IF($NP84=1,"cura ","")&amp;$OT84&amp;"d8")))</f>
        <v/>
      </c>
      <c r="PB84" s="152">
        <f>IF($NP84=2,3*$OU84&amp;" de vida temp.",IF($NP84=3,"sem dano",IF($OU84=0,IF($NP84=1,"sem cura","sem dano"),IF($NP84=1,"cura ","")&amp;$OU84&amp;"d8")))</f>
        <v/>
      </c>
      <c r="PC84" s="152">
        <f>IF($MN84=0,"",TEXTJOIN(" · ",TRUE,IF($MA84&gt;$MO84,"Este lugar abre no nível "&amp;$MA84,""),IF($MC84&gt;$MP84,"Classe "&amp;$MC84&amp;": o nível "&amp;$MO84&amp;" libera até a "&amp;$MP84,""),IF($NH84=1,"A Forma "&amp;$ME84&amp;" pede "&amp;INDEX($W$2:$W$11,$MT84)&amp;" aberta",""),IF(AND($MC84=0,$MT84&gt;0,IF($MT84=0,0,INDEX($AF$2:$AF$11,$MT84))=0),$ME84&amp;" não existe na Classe 0",""),IF($NI84=1,"Família Fechada: "&amp;$MH84,""),IF($NJ84=1,"Família Fechada: "&amp;$MI84,""),IF($NK84=1,"Família Fechada: "&amp;$MJ84,""),IF($NL84=1,"Família Fechada: "&amp;$MK84,""),IF(AND($MC84&gt;0,$OD84&gt;INDEX($O$2:$O$8,MAX(1,$MC84))),$OD84&amp;" Melhorias: a Classe "&amp;$MC84&amp;" aceita "&amp;INDEX($O$2:$O$8,MAX(1,$MC84)),""),IF(AND($MC84=0,$OD84&gt;1),"A básica aceita uma Melhoria",""),IF(AND($MC84=0,COUNTIF($MY84:$NB84,"&gt;1")&gt;0),"A básica só aceita Melhoria Leve",""),IF(AND($MC84&gt;0,$OE84&gt;2),$OE84&amp;" Restrições"&amp;IF($NO84=1,", contando a que a Forma "&amp;$ME84&amp;" já traz","")&amp;": o limite é 2",""),IF(AND($MC84=0,COUNTIF($ML84:$MM84,"?*")&gt;1),"A básica aceita uma Restrição Leve",""),IF(AND($MC84=0,COUNTIF($NR84:$NS84,2)&gt;0),"A básica só aceita Restrição Leve",""),IF(AND($MC84&gt;0,$OL84&lt;0),"Orçamento estourado: faltam "&amp;(-$OL84)&amp;IF($OL84&lt;-1," pontos"," ponto"),""),IF(IFERROR(VLOOKUP($ML84,$BB$2:$BF$24,4,FALSE),0)+IFERROR(VLOOKUP($MM84,$BB$2:$BF$24,4,FALSE),0)&gt;1,$NT84&amp;" e "&amp;$NU84&amp;" são as duas de frequência",""),IF(AND((COUNTIF($MH84:$MK84,"Rápido")+COUNTIF($NT84:$NU84,"Rápido"))&gt;0,(COUNTIF($MH84:$MK84,"Atrasar")+COUNTIF($NT84:$NU84,"Atrasar"))&gt;0),"Rápido não entra com Atrasar",""),IF(AND((COUNTIF($MH84:$MK84,"Reação")+COUNTIF($NT84:$NU84,"Reação"))&gt;0,(COUNTIF($MH84:$MK84,"Rápido")+COUNTIF($NT84:$NU84,"Rápido"))&gt;0),"Reação não entra com Rápido",""),IF(AND((COUNTIF($MH84:$MK84,"Reação")+COUNTIF($NT84:$NU84,"Reação"))&gt;0,(COUNTIF($MH84:$MK84,"Armado")+COUNTIF($NT84:$NU84,"Armado"))&gt;0),"Reação não entra com Armado",""),IF(AND((COUNTIF($MH84:$MK84,"Reação")+COUNTIF($NT84:$NU84,"Reação"))&gt;0,(COUNTIF($MH84:$MK84,"Atrasar")+COUNTIF($NT84:$NU84,"Atrasar"))&gt;0),"Reação não entra com Atrasar",""),IF(AND((COUNTIF($MH84:$MK84,"Reação")+COUNTIF($NT84:$NU84,"Reação"))&gt;0,(COUNTIF($MH84:$MK84,"Parado")+COUNTIF($NT84:$NU84,"Parado"))&gt;0),"Reação não entra com Parado",""),IF(AND((COUNTIF($MH84:$MK84,"Atrasar")+COUNTIF($NT84:$NU84,"Atrasar"))&gt;0,(COUNTIF($MH84:$MK84,"Parado")+COUNTIF($NT84:$NU84,"Parado"))&gt;0),"Atrasar não entra com Parado",""),IF(AND((COUNTIF($MH84:$MK84,"Armado")+COUNTIF($NT84:$NU84,"Armado"))&gt;0,(COUNTIF($MH84:$MK84,"Carregar")+COUNTIF($NT84:$NU84,"Carregar"))&gt;0),"Armado não entra com Carregar",""),IF(AND(COUNTIF($NT84:$NU84,"Corpo a Corpo")&gt;0,$NO84=0,OR($ME84="Cone",$ME84="Linha")),"Corpo a Corpo não entra em "&amp;$ME84,""),IF(AND(COUNTIF($NT84:$NU84,"Corpo a Corpo")&gt;0,$NO84=1),"A Forma "&amp;$ME84&amp;" já traz o Corpo a Corpo",""),IF(AND(COUNTIF($NT84:$NU84,"Tudo ou Nada")&gt;0,$NQ84=0),"Tudo ou Nada só entra em habilidade de Teste de Resistência",""),IF(AND(COUNTIF($MH84:$MK84,"Inescapável")&gt;0,OR($OD84&gt;1,$OE84&gt;0)),"Inescapável não aceita outra peça",""),IF(AND($MC84&gt;0,$OM84*IF(COUNTIF($MH84:$MK84,"Remate")&gt;0,1.25,1)+$ON84&gt;4*$MC84),($OM84*IF(COUNTIF($MH84:$MK84,"Remate")&gt;0,1.25,1)+$ON84)&amp;" dados somando repetições"&amp;IF(COUNTIF($MH84:$MK84,"Remate")&gt;0," e o Remate","")&amp;": o teto da Classe "&amp;$MC84&amp;" é "&amp;4*$MC84,"")))</f>
        <v/>
      </c>
      <c r="PD84" s="152">
        <f>IF($PC84="",0,(LEN($PC84)-LEN(SUBSTITUTE($PC84," · ","")))/3+1)</f>
        <v/>
      </c>
      <c r="PE84" s="152">
        <f>IF($MN84=0,"",TEXTJOIN(" · ",TRUE,IF($OG84&gt;2*$MC84,"A devolução parou no teto de "&amp;2*$MC84,""),IF($OJ84&gt;0,"Devolução perdida: "&amp;$OJ84&amp;IF($OJ84&gt;1," pontos"," ponto")&amp;" sem peça para pagar",""),IF(AND($NM84&gt;0,AND($MC84&gt;0,$NP84=0),$OM84=0),"Controle sem dano: uma rodada a mais e CD +2",""),IF(AND($NM84&gt;0,AND($MC84&gt;0,$NP84=0),$OM84&gt;0,$OM84&lt;=$MC84),"Controle com saldo até a Classe: uma rodada a mais",""),IF(AND($MC84&gt;0,$NN84&lt;&gt;""),"Efeito de "&amp;$NN84&amp;" pela Classe "&amp;MAX(1,$MC84-1),"")))</f>
        <v/>
      </c>
      <c r="PF84" s="152">
        <f>IF($PE84="",0,(LEN($PE84)-LEN(SUBSTITUTE($PE84," · ","")))/3+1)</f>
        <v/>
      </c>
      <c r="PG84" s="152">
        <f>IF($MN84=0,IF($OD84+COUNTIF($ML84:$MM84,"?*")&gt;0,"Dê um nome",""),IF($PD84&gt;0,"⚠ "&amp;$PD84&amp;IF($PD84&gt;1," erros"," erro"),IF($PF84&gt;0,"! "&amp;$PF84&amp;IF($PF84&gt;1," avisos"," aviso"),"Na regra")))</f>
        <v/>
      </c>
      <c r="PH84" s="152">
        <f>IF($MN84=0,"",IF($PD84+$PF84=0,"Dentro das regras que a ficha confere",$PC84&amp;IF(AND($PD84&gt;0,$PF84&gt;0)," · ","")&amp;$PE84))</f>
        <v/>
      </c>
      <c r="PI84" s="152">
        <f>IF($MA84&gt;$MO84,$MB84&amp;" · ABRE NO NÍVEL "&amp;$MA84,$MB84)</f>
        <v/>
      </c>
      <c r="PJ84" s="152">
        <f>IF($MN84=0,"",IF($MC84=0,"Sem PE",3*$MC84&amp;" PE"))</f>
        <v/>
      </c>
      <c r="PK84" s="152">
        <f>IF($MN84=0,"",IF($MC84=0,"A atuação básica dela",IF(COUNTIF($NT84:$NU84,"Atrasar")&gt;0,"Sua Ação Completa",IF(COUNTIF($MH84:$MK84,"Rápido")&gt;0,"Sua Bônus",IF(COUNTIF($MH84:$MK84,"Reação")&gt;0,"Sua Reação","Sua Padrão")))&amp;" + a básica dela"&amp;IF(COUNTIF($MH84:$MK84,"Reação")&gt;0," e a coletiva","")&amp;IF(COUNTIF($NT84:$NU84,"Carregar")&gt;0," · em dois turnos","")))</f>
        <v/>
      </c>
      <c r="PL84" s="152">
        <f>IF($MG84&lt;&gt;"",$MG84,IF($MT84=0,"",INDEX($AA$2:$AA$11,$MT84)))</f>
        <v/>
      </c>
      <c r="PM84" s="152">
        <f>IF(OR($MN84=0,$MT84=0),"",IF(COUNTIF($MH84:$MK84,"Inescapável")&gt;0,"Automático",IF($PL84="Ataque",IF($MR84="","Ataque","Ataque "&amp;IF(($MR84+2*IF(COUNTIF($MH84:$MK84,"Precisão")&gt;0,1,0))&gt;=0,"+","−")&amp;ABS(($MR84+2*IF(COUNTIF($MH84:$MK84,"Precisão")&gt;0,1,0)))),IF(LEFT($PL84,2)="TR",$PL84&amp;IF($MS84="",""," · CD "&amp;$MS84)&amp;IF(COUNTIF($MH84:$MK84,"Certeiro")&gt;0," · metade",""),"Sem rolagem"))))</f>
        <v/>
      </c>
      <c r="PN84" s="152">
        <f>IF(OR($MN84=0,$MT84=0),"",IF($MC84=0,IF(OR($NP84&gt;=1,$OM84=0),"Sem dano",$OM84&amp;"d6"&amp;IF($MF84="",""," "&amp;$MF84)),IF(OR($NP84&gt;=1,$OM84=0),UPPER(LEFT(INDEX($OV84:$PB84,1,MAX(1,$MC84)),1))&amp;MID(INDEX($OV84:$PB84,1,MAX(1,$MC84)),2,99),UPPER(LEFT(INDEX($OV84:$PB84,1,MAX(1,$MC84)),1))&amp;MID(INDEX($OV84:$PB84,1,MAX(1,$MC84)),2,99)&amp;IF($MF84="",""," "&amp;$MF84)&amp;IF($ON84&gt;0," · +"&amp;$ON84&amp;"d8",""))))</f>
        <v/>
      </c>
      <c r="PO84" s="152">
        <f>COUNTIF($MH84:$MK84,"Longe")+3*COUNTIF($MH84:$MK84,"Muito Longe")</f>
        <v/>
      </c>
      <c r="PP84" s="152">
        <f>COUNTIF($MH84:$MK84,"Maior")+3*COUNTIF($MH84:$MK84,"Muito Maior")</f>
        <v/>
      </c>
      <c r="PQ84" s="152">
        <f>IF($MT84=0,0,CHOOSE(1+INDEX($AC$2:$AC$11,$MT84),0,$PO84,$PP84,$PO84+$PP84))</f>
        <v/>
      </c>
      <c r="PR84" s="152">
        <f>IF($MT84=0,0,CHOOSE(1+INDEX($AD$2:$AD$11,$MT84),0,$PO84,$PP84,$PO84+$PP84))</f>
        <v/>
      </c>
      <c r="PS84" s="152">
        <f>IF(OR($MN84=0,$MT84=0),"",INDEX($AI$2:$AN$41,($MT84-1)*4+IF($MC84=0,1,IF($MC84&lt;=5,2,IF($MC84=6,3,4))),1+MIN(5,$PQ84))&amp;INDEX($AO$2:$AT$41,($MT84-1)*4+IF($MC84=0,1,IF($MC84&lt;=5,2,IF($MC84=6,3,4))),1+MIN(5,$PR84))&amp;IF(INDEX($AE$2:$AE$11,$MT84)=1,IF(COUNTIF($MH84:$MK84,"Mais Um")&gt;0," · +"&amp;COUNTIF($MH84:$MK84,"Mais Um")&amp;IF(COUNTIF($MH84:$MK84,"Mais Um")&gt;1," alvos"," alvo"),"")&amp;IF(COUNTIF($MH84:$MK84,"Rajada")&gt;0,IF($MC84=0," · 1 tiro"," · "&amp;(MAX(1,$MC84-1)+1)&amp;" tiros"),""),""))</f>
        <v/>
      </c>
      <c r="PT84" s="152">
        <f>IF($MN84=0,"",IF($MC84=0,$MQ84&amp;"d6"&amp;IF($OD84&gt;0," − 1 = "&amp;$OM84&amp;"d6"," da básica do nível "&amp;$MO84),$OK84&amp;" − "&amp;$OF84&amp;" + "&amp;$OI84&amp;" = "&amp;$OL84&amp;" · teto "&amp;4*$MC84&amp;"d8"&amp;IF($NO84=1," · a Forma devolve "&amp;$MC84,"")&amp;IF($OJ84&gt;0," · perde "&amp;$OJ84,"")))</f>
        <v/>
      </c>
      <c r="PU84" s="152">
        <f>IF($MN84=0,"",IF($MC84=0,"A básica não amplia: os dados dela sobem com o nível",IF($MC84&gt;=$MP84,"Já está na maior Classe que o nível liberou",TEXTJOIN(" · ",TRUE,IF(AND(2&gt;$MC84,2&lt;=$MP84),"2 → "&amp;$OW84&amp;", 6 PE",""),IF(AND(3&gt;$MC84,3&lt;=$MP84),"3 → "&amp;$OX84&amp;", 9 PE",""),IF(AND(4&gt;$MC84,4&lt;=$MP84),"4 → "&amp;$OY84&amp;", 12 PE",""),IF(AND(5&gt;$MC84,5&lt;=$MP84),"5 → "&amp;$OZ84&amp;", 15 PE",""),IF(AND(6&gt;$MC84,6&lt;=$MP84),"6 → "&amp;$PA84&amp;", 18 PE",""),IF(AND(7&gt;$MC84,7&lt;=$MP84),"7 → "&amp;$PB84&amp;", 21 PE","")))))</f>
        <v/>
      </c>
      <c r="PV84" s="152">
        <f>IF(OR($MN84=0,$MY84=0),"",IF($MC84=0,"−1 dado","−"&amp;INDEX($I$2:$N$8,MAX(1,$MC84),MAX(1,$ND84))&amp;" · "&amp;CHOOSE(MAX(1,$ND84),"Leve","Média","Pesada","Leve · Livre","Média · Livre","Pesada · Livre")))</f>
        <v/>
      </c>
      <c r="PW84" s="152">
        <f>IF(OR($MN84=0,$MZ84=0),"",IF($MC84=0,"−1 dado","−"&amp;INDEX($I$2:$N$8,MAX(1,$MC84),MAX(1,$NE84))&amp;" · "&amp;CHOOSE(MAX(1,$NE84),"Leve","Média","Pesada","Leve · Livre","Média · Livre","Pesada · Livre")))</f>
        <v/>
      </c>
      <c r="PX84" s="152">
        <f>IF(OR($MN84=0,$NA84=0),"",IF($MC84=0,"−1 dado","−"&amp;INDEX($I$2:$N$8,MAX(1,$MC84),MAX(1,$NF84))&amp;" · "&amp;CHOOSE(MAX(1,$NF84),"Leve","Média","Pesada","Leve · Livre","Média · Livre","Pesada · Livre")))</f>
        <v/>
      </c>
      <c r="PY84" s="152">
        <f>IF(OR($MN84=0,$NB84=0),"",IF($MC84=0,"−1 dado","−"&amp;INDEX($I$2:$N$8,MAX(1,$MC84),MAX(1,$NG84))&amp;" · "&amp;CHOOSE(MAX(1,$NG84),"Leve","Média","Pesada","Leve · Livre","Média · Livre","Pesada · Livre")))</f>
        <v/>
      </c>
      <c r="PZ84" s="152">
        <f>IF(OR($MN84=0,$ML84=""),"",IF($MC84=0,"não devolve","+"&amp;IF($NR84=1,CEILING($MC84/2,1),$MC84)))</f>
        <v/>
      </c>
      <c r="QA84" s="152">
        <f>IF(OR($MN84=0,$MM84=""),"",IF($MC84=0,"não devolve","+"&amp;IF($NS84=1,CEILING($MC84/2,1),$MC84)))</f>
        <v/>
      </c>
    </row>
    <row r="85">
      <c r="LX85" s="150" t="inlineStr">
        <is>
          <t>Ficha 7 · Especial 4</t>
        </is>
      </c>
      <c r="LY85" s="152" t="n">
        <v>7</v>
      </c>
      <c r="LZ85" s="152" t="n">
        <v>1</v>
      </c>
      <c r="MA85" s="152" t="n">
        <v>12</v>
      </c>
      <c r="MB85" s="150" t="inlineStr">
        <is>
          <t>ESPECIAL 4</t>
        </is>
      </c>
      <c r="MC85" s="152">
        <f>MAX(1,MIN(7,N('INVOCAÇÕES'!$AN$92)))</f>
        <v/>
      </c>
      <c r="MD85" s="152">
        <f>'INVOCAÇÕES'!$AO$92&amp;""</f>
        <v/>
      </c>
      <c r="ME85" s="152">
        <f>'INVOCAÇÕES'!$AN$97&amp;""</f>
        <v/>
      </c>
      <c r="MF85" s="152">
        <f>'INVOCAÇÕES'!$AN$98&amp;""</f>
        <v/>
      </c>
      <c r="MG85" s="152">
        <f>'INVOCAÇÕES'!$AP$98&amp;""</f>
        <v/>
      </c>
      <c r="MH85" s="152">
        <f>'INVOCAÇÕES'!$AO$101&amp;""</f>
        <v/>
      </c>
      <c r="MI85" s="152">
        <f>'INVOCAÇÕES'!$AO$102&amp;""</f>
        <v/>
      </c>
      <c r="MJ85" s="152">
        <f>'INVOCAÇÕES'!$AO$103&amp;""</f>
        <v/>
      </c>
      <c r="MK85" s="152">
        <f>'INVOCAÇÕES'!$AO$104&amp;""</f>
        <v/>
      </c>
      <c r="ML85" s="152">
        <f>'INVOCAÇÕES'!$AO$105&amp;""</f>
        <v/>
      </c>
      <c r="MM85" s="152">
        <f>'INVOCAÇÕES'!$AO$106&amp;""</f>
        <v/>
      </c>
      <c r="MN85" s="152">
        <f>IF($MD85&lt;&gt;"",1,0)</f>
        <v/>
      </c>
      <c r="MO85" s="152">
        <f>INDEX($FG$2:$FG$13,$LY85)</f>
        <v/>
      </c>
      <c r="MP85" s="152">
        <f>INDEX($FH$2:$FH$13,$LY85)</f>
        <v/>
      </c>
      <c r="MQ85" s="152">
        <f>INDEX($FI$2:$FI$13,$LY85)</f>
        <v/>
      </c>
      <c r="MR85" s="152">
        <f>INDEX($FT$2:$FT$13,$LY85)</f>
        <v/>
      </c>
      <c r="MS85" s="152">
        <f>INDEX($FU$2:$FU$13,$LY85)</f>
        <v/>
      </c>
      <c r="MT85" s="152">
        <f>IFERROR(MATCH($ME85,$V$2:$V$11,0),0)</f>
        <v/>
      </c>
      <c r="MU85" s="152">
        <f>IFERROR(VLOOKUP($MH85,$AV$2:$AZ$84,2,FALSE),"")</f>
        <v/>
      </c>
      <c r="MV85" s="152">
        <f>IFERROR(VLOOKUP($MI85,$AV$2:$AZ$84,2,FALSE),"")</f>
        <v/>
      </c>
      <c r="MW85" s="152">
        <f>IFERROR(VLOOKUP($MJ85,$AV$2:$AZ$84,2,FALSE),"")</f>
        <v/>
      </c>
      <c r="MX85" s="152">
        <f>IFERROR(VLOOKUP($MK85,$AV$2:$AZ$84,2,FALSE),"")</f>
        <v/>
      </c>
      <c r="MY85" s="152">
        <f>IFERROR(VLOOKUP($MH85,$AV$2:$AZ$84,3,FALSE),0)</f>
        <v/>
      </c>
      <c r="MZ85" s="152">
        <f>IFERROR(VLOOKUP($MI85,$AV$2:$AZ$84,3,FALSE),0)</f>
        <v/>
      </c>
      <c r="NA85" s="152">
        <f>IFERROR(VLOOKUP($MJ85,$AV$2:$AZ$84,3,FALSE),0)</f>
        <v/>
      </c>
      <c r="NB85" s="152">
        <f>IFERROR(VLOOKUP($MK85,$AV$2:$AZ$84,3,FALSE),0)</f>
        <v/>
      </c>
      <c r="NC85" s="152">
        <f>IF($MC85=0,0,IF($MT85=0,0,INDEX($X$2:$X$11,$MT85)))</f>
        <v/>
      </c>
      <c r="ND85" s="152">
        <f>IF(OR($MY85=0,$MC85=0),0,$MY85+3*IF(AND($MU85&lt;&gt;"",OR($MU85=INDEX($ED$2:$ED$13,$LY85),$MU85=INDEX($EE$2:$EE$13,$LY85))),1,0))</f>
        <v/>
      </c>
      <c r="NE85" s="152">
        <f>IF(OR($MZ85=0,$MC85=0),0,$MZ85+3*IF(AND($MV85&lt;&gt;"",OR($MV85=INDEX($ED$2:$ED$13,$LY85),$MV85=INDEX($EE$2:$EE$13,$LY85))),1,0))</f>
        <v/>
      </c>
      <c r="NF85" s="152">
        <f>IF(OR($NA85=0,$MC85=0),0,$NA85+3*IF(AND($MW85&lt;&gt;"",OR($MW85=INDEX($ED$2:$ED$13,$LY85),$MW85=INDEX($EE$2:$EE$13,$LY85))),1,0))</f>
        <v/>
      </c>
      <c r="NG85" s="152">
        <f>IF(OR($NB85=0,$MC85=0),0,$NB85+3*IF(AND($MX85&lt;&gt;"",OR($MX85=INDEX($ED$2:$ED$13,$LY85),$MX85=INDEX($EE$2:$EE$13,$LY85))),1,0))</f>
        <v/>
      </c>
      <c r="NH85" s="152">
        <f>IF($MT85=0,0,IF(INDEX($W$2:$W$11,$MT85)="",0,IF(COUNTIF(INDEX($ED$2:$EH$13,$LY85,0),INDEX($W$2:$W$11,$MT85))=0,1,0)))</f>
        <v/>
      </c>
      <c r="NI85" s="152">
        <f>IF(OR($MY85=0,$MU85=""),0,IF(COUNTIF(INDEX($ED$2:$EH$13,$LY85,0),$MU85)=0,1,0))</f>
        <v/>
      </c>
      <c r="NJ85" s="152">
        <f>IF(OR($MZ85=0,$MV85=""),0,IF(COUNTIF(INDEX($ED$2:$EH$13,$LY85,0),$MV85)=0,1,0))</f>
        <v/>
      </c>
      <c r="NK85" s="152">
        <f>IF(OR($NA85=0,$MW85=""),0,IF(COUNTIF(INDEX($ED$2:$EH$13,$LY85,0),$MW85)=0,1,0))</f>
        <v/>
      </c>
      <c r="NL85" s="152">
        <f>IF(OR($NB85=0,$MX85=""),0,IF(COUNTIF(INDEX($ED$2:$EH$13,$LY85,0),$MX85)=0,1,0))</f>
        <v/>
      </c>
      <c r="NM85" s="152">
        <f>IFERROR(VLOOKUP($MH85,$AV$2:$AZ$84,4,FALSE),0)+IFERROR(VLOOKUP($MI85,$AV$2:$AZ$84,4,FALSE),0)+IFERROR(VLOOKUP($MJ85,$AV$2:$AZ$84,4,FALSE),0)+IFERROR(VLOOKUP($MK85,$AV$2:$AZ$84,4,FALSE),0)</f>
        <v/>
      </c>
      <c r="NN85" s="152">
        <f>TEXTJOIN(", ",TRUE,IF(IFERROR(VLOOKUP($MH85,$AV$2:$AZ$84,5,FALSE),0)=1,$MH85,""),IF(IFERROR(VLOOKUP($MI85,$AV$2:$AZ$84,5,FALSE),0)=1,$MI85,""),IF(IFERROR(VLOOKUP($MJ85,$AV$2:$AZ$84,5,FALSE),0)=1,$MJ85,""),IF(IFERROR(VLOOKUP($MK85,$AV$2:$AZ$84,5,FALSE),0)=1,$MK85,""))</f>
        <v/>
      </c>
      <c r="NO85" s="152">
        <f>IF($MT85=0,0,INDEX($Y$2:$Y$11,$MT85))</f>
        <v/>
      </c>
      <c r="NP85" s="152">
        <f>IF($MT85=0,0,INDEX($Z$2:$Z$11,$MT85))</f>
        <v/>
      </c>
      <c r="NQ85" s="152">
        <f>IF($MT85=0,0,INDEX($AB$2:$AB$11,$MT85))</f>
        <v/>
      </c>
      <c r="NR85" s="152">
        <f>IFERROR(VLOOKUP($ML85,$BB$2:$BF$24,3,FALSE),0)</f>
        <v/>
      </c>
      <c r="NS85" s="152">
        <f>IFERROR(VLOOKUP($MM85,$BB$2:$BF$24,3,FALSE),0)</f>
        <v/>
      </c>
      <c r="NT85" s="152">
        <f>IFERROR(VLOOKUP($ML85,$BB$2:$BF$24,2,FALSE),"")</f>
        <v/>
      </c>
      <c r="NU85" s="152">
        <f>IFERROR(VLOOKUP($MM85,$BB$2:$BF$24,2,FALSE),"")</f>
        <v/>
      </c>
      <c r="NV85" s="152">
        <f>COUNTIF($NC85:$NG85,1)</f>
        <v/>
      </c>
      <c r="NW85" s="152">
        <f>COUNTIF($NC85:$NG85,2)</f>
        <v/>
      </c>
      <c r="NX85" s="152">
        <f>COUNTIF($NC85:$NG85,3)</f>
        <v/>
      </c>
      <c r="NY85" s="152">
        <f>COUNTIF($NC85:$NG85,4)</f>
        <v/>
      </c>
      <c r="NZ85" s="152">
        <f>COUNTIF($NC85:$NG85,5)</f>
        <v/>
      </c>
      <c r="OA85" s="152">
        <f>COUNTIF($NC85:$NG85,6)</f>
        <v/>
      </c>
      <c r="OB85" s="152">
        <f>COUNTIF($NR85:$NS85,1)</f>
        <v/>
      </c>
      <c r="OC85" s="152">
        <f>COUNTIF($NR85:$NS85,2)+$NO85</f>
        <v/>
      </c>
      <c r="OD85" s="152">
        <f>COUNTIF($MH85:$MK85,"?*")</f>
        <v/>
      </c>
      <c r="OE85" s="152">
        <f>COUNTIF($ML85:$MM85,"?*")+$NO85</f>
        <v/>
      </c>
      <c r="OF85" s="152">
        <f>IF($MC85=0,0,SUMPRODUCT($NV85:$OA85,INDEX($I$2:$N$8,MAX(1,$MC85),0)))</f>
        <v/>
      </c>
      <c r="OG85" s="152">
        <f>IF($MC85=0,0,$OB85*CEILING($MC85/2,1)+$OC85*$MC85)</f>
        <v/>
      </c>
      <c r="OH85" s="152">
        <f>MIN(2*$MC85,$OG85)</f>
        <v/>
      </c>
      <c r="OI85" s="152">
        <f>MIN($OH85,$OF85)</f>
        <v/>
      </c>
      <c r="OJ85" s="152">
        <f>$OH85-$OI85</f>
        <v/>
      </c>
      <c r="OK85" s="152">
        <f>IF($MC85=0,0,INDEX($P$2:$P$8,MAX(1,$MC85)))</f>
        <v/>
      </c>
      <c r="OL85" s="152">
        <f>$OK85-$OF85+$OI85</f>
        <v/>
      </c>
      <c r="OM85" s="152">
        <f>IF($MC85=0,MAX(0,$MQ85-IF($OD85&gt;0,1,0)),MAX(0,$OL85))</f>
        <v/>
      </c>
      <c r="ON85" s="152">
        <f>IF($MC85=0,0,(IF(COUNTIF($MH85:$MK85,"Salto")&gt;0,1,0)+IF(COUNTIF($MH85:$MK85,"Queima")&gt;0,1,0)+IF(COUNTIF($MH85:$MK85,"Estilhaço")&gt;0,1,0))*FLOOR($OM85/2,1))</f>
        <v/>
      </c>
      <c r="OO85" s="152">
        <f>MAX(0,2-SUMPRODUCT($NV85:$OA85,$I$2:$N$2)+MIN(2,$OB85*1+$OC85*1,SUMPRODUCT($NV85:$OA85,$I$2:$N$2)))</f>
        <v/>
      </c>
      <c r="OP85" s="152">
        <f>MAX(0,4-SUMPRODUCT($NV85:$OA85,$I$3:$N$3)+MIN(4,$OB85*1+$OC85*2,SUMPRODUCT($NV85:$OA85,$I$3:$N$3)))</f>
        <v/>
      </c>
      <c r="OQ85" s="152">
        <f>MAX(0,6-SUMPRODUCT($NV85:$OA85,$I$4:$N$4)+MIN(6,$OB85*2+$OC85*3,SUMPRODUCT($NV85:$OA85,$I$4:$N$4)))</f>
        <v/>
      </c>
      <c r="OR85" s="152">
        <f>MAX(0,9-SUMPRODUCT($NV85:$OA85,$I$5:$N$5)+MIN(8,$OB85*2+$OC85*4,SUMPRODUCT($NV85:$OA85,$I$5:$N$5)))</f>
        <v/>
      </c>
      <c r="OS85" s="152">
        <f>MAX(0,11-SUMPRODUCT($NV85:$OA85,$I$6:$N$6)+MIN(10,$OB85*3+$OC85*5,SUMPRODUCT($NV85:$OA85,$I$6:$N$6)))</f>
        <v/>
      </c>
      <c r="OT85" s="152">
        <f>MAX(0,13-SUMPRODUCT($NV85:$OA85,$I$7:$N$7)+MIN(12,$OB85*3+$OC85*6,SUMPRODUCT($NV85:$OA85,$I$7:$N$7)))</f>
        <v/>
      </c>
      <c r="OU85" s="152">
        <f>MAX(0,16-SUMPRODUCT($NV85:$OA85,$I$8:$N$8)+MIN(14,$OB85*4+$OC85*7,SUMPRODUCT($NV85:$OA85,$I$8:$N$8)))</f>
        <v/>
      </c>
      <c r="OV85" s="152">
        <f>IF($NP85=2,3*$OO85&amp;" de vida temp.",IF($NP85=3,"sem dano",IF($OO85=0,IF($NP85=1,"sem cura","sem dano"),IF($NP85=1,"cura ","")&amp;$OO85&amp;"d8")))</f>
        <v/>
      </c>
      <c r="OW85" s="152">
        <f>IF($NP85=2,3*$OP85&amp;" de vida temp.",IF($NP85=3,"sem dano",IF($OP85=0,IF($NP85=1,"sem cura","sem dano"),IF($NP85=1,"cura ","")&amp;$OP85&amp;"d8")))</f>
        <v/>
      </c>
      <c r="OX85" s="152">
        <f>IF($NP85=2,3*$OQ85&amp;" de vida temp.",IF($NP85=3,"sem dano",IF($OQ85=0,IF($NP85=1,"sem cura","sem dano"),IF($NP85=1,"cura ","")&amp;$OQ85&amp;"d8")))</f>
        <v/>
      </c>
      <c r="OY85" s="152">
        <f>IF($NP85=2,3*$OR85&amp;" de vida temp.",IF($NP85=3,"sem dano",IF($OR85=0,IF($NP85=1,"sem cura","sem dano"),IF($NP85=1,"cura ","")&amp;$OR85&amp;"d8")))</f>
        <v/>
      </c>
      <c r="OZ85" s="152">
        <f>IF($NP85=2,3*$OS85&amp;" de vida temp.",IF($NP85=3,"sem dano",IF($OS85=0,IF($NP85=1,"sem cura","sem dano"),IF($NP85=1,"cura ","")&amp;$OS85&amp;"d8")))</f>
        <v/>
      </c>
      <c r="PA85" s="152">
        <f>IF($NP85=2,3*$OT85&amp;" de vida temp.",IF($NP85=3,"sem dano",IF($OT85=0,IF($NP85=1,"sem cura","sem dano"),IF($NP85=1,"cura ","")&amp;$OT85&amp;"d8")))</f>
        <v/>
      </c>
      <c r="PB85" s="152">
        <f>IF($NP85=2,3*$OU85&amp;" de vida temp.",IF($NP85=3,"sem dano",IF($OU85=0,IF($NP85=1,"sem cura","sem dano"),IF($NP85=1,"cura ","")&amp;$OU85&amp;"d8")))</f>
        <v/>
      </c>
      <c r="PC85" s="152">
        <f>IF($MN85=0,"",TEXTJOIN(" · ",TRUE,IF($MA85&gt;$MO85,"Este lugar abre no nível "&amp;$MA85,""),IF($MC85&gt;$MP85,"Classe "&amp;$MC85&amp;": o nível "&amp;$MO85&amp;" libera até a "&amp;$MP85,""),IF($NH85=1,"A Forma "&amp;$ME85&amp;" pede "&amp;INDEX($W$2:$W$11,$MT85)&amp;" aberta",""),IF(AND($MC85=0,$MT85&gt;0,IF($MT85=0,0,INDEX($AF$2:$AF$11,$MT85))=0),$ME85&amp;" não existe na Classe 0",""),IF($NI85=1,"Família Fechada: "&amp;$MH85,""),IF($NJ85=1,"Família Fechada: "&amp;$MI85,""),IF($NK85=1,"Família Fechada: "&amp;$MJ85,""),IF($NL85=1,"Família Fechada: "&amp;$MK85,""),IF(AND($MC85&gt;0,$OD85&gt;INDEX($O$2:$O$8,MAX(1,$MC85))),$OD85&amp;" Melhorias: a Classe "&amp;$MC85&amp;" aceita "&amp;INDEX($O$2:$O$8,MAX(1,$MC85)),""),IF(AND($MC85=0,$OD85&gt;1),"A básica aceita uma Melhoria",""),IF(AND($MC85=0,COUNTIF($MY85:$NB85,"&gt;1")&gt;0),"A básica só aceita Melhoria Leve",""),IF(AND($MC85&gt;0,$OE85&gt;2),$OE85&amp;" Restrições"&amp;IF($NO85=1,", contando a que a Forma "&amp;$ME85&amp;" já traz","")&amp;": o limite é 2",""),IF(AND($MC85=0,COUNTIF($ML85:$MM85,"?*")&gt;1),"A básica aceita uma Restrição Leve",""),IF(AND($MC85=0,COUNTIF($NR85:$NS85,2)&gt;0),"A básica só aceita Restrição Leve",""),IF(AND($MC85&gt;0,$OL85&lt;0),"Orçamento estourado: faltam "&amp;(-$OL85)&amp;IF($OL85&lt;-1," pontos"," ponto"),""),IF(IFERROR(VLOOKUP($ML85,$BB$2:$BF$24,4,FALSE),0)+IFERROR(VLOOKUP($MM85,$BB$2:$BF$24,4,FALSE),0)&gt;1,$NT85&amp;" e "&amp;$NU85&amp;" são as duas de frequência",""),IF(AND((COUNTIF($MH85:$MK85,"Rápido")+COUNTIF($NT85:$NU85,"Rápido"))&gt;0,(COUNTIF($MH85:$MK85,"Atrasar")+COUNTIF($NT85:$NU85,"Atrasar"))&gt;0),"Rápido não entra com Atrasar",""),IF(AND((COUNTIF($MH85:$MK85,"Reação")+COUNTIF($NT85:$NU85,"Reação"))&gt;0,(COUNTIF($MH85:$MK85,"Rápido")+COUNTIF($NT85:$NU85,"Rápido"))&gt;0),"Reação não entra com Rápido",""),IF(AND((COUNTIF($MH85:$MK85,"Reação")+COUNTIF($NT85:$NU85,"Reação"))&gt;0,(COUNTIF($MH85:$MK85,"Armado")+COUNTIF($NT85:$NU85,"Armado"))&gt;0),"Reação não entra com Armado",""),IF(AND((COUNTIF($MH85:$MK85,"Reação")+COUNTIF($NT85:$NU85,"Reação"))&gt;0,(COUNTIF($MH85:$MK85,"Atrasar")+COUNTIF($NT85:$NU85,"Atrasar"))&gt;0),"Reação não entra com Atrasar",""),IF(AND((COUNTIF($MH85:$MK85,"Reação")+COUNTIF($NT85:$NU85,"Reação"))&gt;0,(COUNTIF($MH85:$MK85,"Parado")+COUNTIF($NT85:$NU85,"Parado"))&gt;0),"Reação não entra com Parado",""),IF(AND((COUNTIF($MH85:$MK85,"Atrasar")+COUNTIF($NT85:$NU85,"Atrasar"))&gt;0,(COUNTIF($MH85:$MK85,"Parado")+COUNTIF($NT85:$NU85,"Parado"))&gt;0),"Atrasar não entra com Parado",""),IF(AND((COUNTIF($MH85:$MK85,"Armado")+COUNTIF($NT85:$NU85,"Armado"))&gt;0,(COUNTIF($MH85:$MK85,"Carregar")+COUNTIF($NT85:$NU85,"Carregar"))&gt;0),"Armado não entra com Carregar",""),IF(AND(COUNTIF($NT85:$NU85,"Corpo a Corpo")&gt;0,$NO85=0,OR($ME85="Cone",$ME85="Linha")),"Corpo a Corpo não entra em "&amp;$ME85,""),IF(AND(COUNTIF($NT85:$NU85,"Corpo a Corpo")&gt;0,$NO85=1),"A Forma "&amp;$ME85&amp;" já traz o Corpo a Corpo",""),IF(AND(COUNTIF($NT85:$NU85,"Tudo ou Nada")&gt;0,$NQ85=0),"Tudo ou Nada só entra em habilidade de Teste de Resistência",""),IF(AND(COUNTIF($MH85:$MK85,"Inescapável")&gt;0,OR($OD85&gt;1,$OE85&gt;0)),"Inescapável não aceita outra peça",""),IF(AND($MC85&gt;0,$OM85*IF(COUNTIF($MH85:$MK85,"Remate")&gt;0,1.25,1)+$ON85&gt;4*$MC85),($OM85*IF(COUNTIF($MH85:$MK85,"Remate")&gt;0,1.25,1)+$ON85)&amp;" dados somando repetições"&amp;IF(COUNTIF($MH85:$MK85,"Remate")&gt;0," e o Remate","")&amp;": o teto da Classe "&amp;$MC85&amp;" é "&amp;4*$MC85,"")))</f>
        <v/>
      </c>
      <c r="PD85" s="152">
        <f>IF($PC85="",0,(LEN($PC85)-LEN(SUBSTITUTE($PC85," · ","")))/3+1)</f>
        <v/>
      </c>
      <c r="PE85" s="152">
        <f>IF($MN85=0,"",TEXTJOIN(" · ",TRUE,IF($OG85&gt;2*$MC85,"A devolução parou no teto de "&amp;2*$MC85,""),IF($OJ85&gt;0,"Devolução perdida: "&amp;$OJ85&amp;IF($OJ85&gt;1," pontos"," ponto")&amp;" sem peça para pagar",""),IF(AND($NM85&gt;0,AND($MC85&gt;0,$NP85=0),$OM85=0),"Controle sem dano: uma rodada a mais e CD +2",""),IF(AND($NM85&gt;0,AND($MC85&gt;0,$NP85=0),$OM85&gt;0,$OM85&lt;=$MC85),"Controle com saldo até a Classe: uma rodada a mais",""),IF(AND($MC85&gt;0,$NN85&lt;&gt;""),"Efeito de "&amp;$NN85&amp;" pela Classe "&amp;MAX(1,$MC85-1),"")))</f>
        <v/>
      </c>
      <c r="PF85" s="152">
        <f>IF($PE85="",0,(LEN($PE85)-LEN(SUBSTITUTE($PE85," · ","")))/3+1)</f>
        <v/>
      </c>
      <c r="PG85" s="152">
        <f>IF($MN85=0,IF($OD85+COUNTIF($ML85:$MM85,"?*")&gt;0,"Dê um nome",""),IF($PD85&gt;0,"⚠ "&amp;$PD85&amp;IF($PD85&gt;1," erros"," erro"),IF($PF85&gt;0,"! "&amp;$PF85&amp;IF($PF85&gt;1," avisos"," aviso"),"Na regra")))</f>
        <v/>
      </c>
      <c r="PH85" s="152">
        <f>IF($MN85=0,"",IF($PD85+$PF85=0,"Dentro das regras que a ficha confere",$PC85&amp;IF(AND($PD85&gt;0,$PF85&gt;0)," · ","")&amp;$PE85))</f>
        <v/>
      </c>
      <c r="PI85" s="152">
        <f>IF($MA85&gt;$MO85,$MB85&amp;" · ABRE NO NÍVEL "&amp;$MA85,$MB85)</f>
        <v/>
      </c>
      <c r="PJ85" s="152">
        <f>IF($MN85=0,"",IF($MC85=0,"Sem PE",3*$MC85&amp;" PE"))</f>
        <v/>
      </c>
      <c r="PK85" s="152">
        <f>IF($MN85=0,"",IF($MC85=0,"A atuação básica dela",IF(COUNTIF($NT85:$NU85,"Atrasar")&gt;0,"Sua Ação Completa",IF(COUNTIF($MH85:$MK85,"Rápido")&gt;0,"Sua Bônus",IF(COUNTIF($MH85:$MK85,"Reação")&gt;0,"Sua Reação","Sua Padrão")))&amp;" + a básica dela"&amp;IF(COUNTIF($MH85:$MK85,"Reação")&gt;0," e a coletiva","")&amp;IF(COUNTIF($NT85:$NU85,"Carregar")&gt;0," · em dois turnos","")))</f>
        <v/>
      </c>
      <c r="PL85" s="152">
        <f>IF($MG85&lt;&gt;"",$MG85,IF($MT85=0,"",INDEX($AA$2:$AA$11,$MT85)))</f>
        <v/>
      </c>
      <c r="PM85" s="152">
        <f>IF(OR($MN85=0,$MT85=0),"",IF(COUNTIF($MH85:$MK85,"Inescapável")&gt;0,"Automático",IF($PL85="Ataque",IF($MR85="","Ataque","Ataque "&amp;IF(($MR85+2*IF(COUNTIF($MH85:$MK85,"Precisão")&gt;0,1,0))&gt;=0,"+","−")&amp;ABS(($MR85+2*IF(COUNTIF($MH85:$MK85,"Precisão")&gt;0,1,0)))),IF(LEFT($PL85,2)="TR",$PL85&amp;IF($MS85="",""," · CD "&amp;$MS85)&amp;IF(COUNTIF($MH85:$MK85,"Certeiro")&gt;0," · metade",""),"Sem rolagem"))))</f>
        <v/>
      </c>
      <c r="PN85" s="152">
        <f>IF(OR($MN85=0,$MT85=0),"",IF($MC85=0,IF(OR($NP85&gt;=1,$OM85=0),"Sem dano",$OM85&amp;"d6"&amp;IF($MF85="",""," "&amp;$MF85)),IF(OR($NP85&gt;=1,$OM85=0),UPPER(LEFT(INDEX($OV85:$PB85,1,MAX(1,$MC85)),1))&amp;MID(INDEX($OV85:$PB85,1,MAX(1,$MC85)),2,99),UPPER(LEFT(INDEX($OV85:$PB85,1,MAX(1,$MC85)),1))&amp;MID(INDEX($OV85:$PB85,1,MAX(1,$MC85)),2,99)&amp;IF($MF85="",""," "&amp;$MF85)&amp;IF($ON85&gt;0," · +"&amp;$ON85&amp;"d8",""))))</f>
        <v/>
      </c>
      <c r="PO85" s="152">
        <f>COUNTIF($MH85:$MK85,"Longe")+3*COUNTIF($MH85:$MK85,"Muito Longe")</f>
        <v/>
      </c>
      <c r="PP85" s="152">
        <f>COUNTIF($MH85:$MK85,"Maior")+3*COUNTIF($MH85:$MK85,"Muito Maior")</f>
        <v/>
      </c>
      <c r="PQ85" s="152">
        <f>IF($MT85=0,0,CHOOSE(1+INDEX($AC$2:$AC$11,$MT85),0,$PO85,$PP85,$PO85+$PP85))</f>
        <v/>
      </c>
      <c r="PR85" s="152">
        <f>IF($MT85=0,0,CHOOSE(1+INDEX($AD$2:$AD$11,$MT85),0,$PO85,$PP85,$PO85+$PP85))</f>
        <v/>
      </c>
      <c r="PS85" s="152">
        <f>IF(OR($MN85=0,$MT85=0),"",INDEX($AI$2:$AN$41,($MT85-1)*4+IF($MC85=0,1,IF($MC85&lt;=5,2,IF($MC85=6,3,4))),1+MIN(5,$PQ85))&amp;INDEX($AO$2:$AT$41,($MT85-1)*4+IF($MC85=0,1,IF($MC85&lt;=5,2,IF($MC85=6,3,4))),1+MIN(5,$PR85))&amp;IF(INDEX($AE$2:$AE$11,$MT85)=1,IF(COUNTIF($MH85:$MK85,"Mais Um")&gt;0," · +"&amp;COUNTIF($MH85:$MK85,"Mais Um")&amp;IF(COUNTIF($MH85:$MK85,"Mais Um")&gt;1," alvos"," alvo"),"")&amp;IF(COUNTIF($MH85:$MK85,"Rajada")&gt;0,IF($MC85=0," · 1 tiro"," · "&amp;(MAX(1,$MC85-1)+1)&amp;" tiros"),""),""))</f>
        <v/>
      </c>
      <c r="PT85" s="152">
        <f>IF($MN85=0,"",IF($MC85=0,$MQ85&amp;"d6"&amp;IF($OD85&gt;0," − 1 = "&amp;$OM85&amp;"d6"," da básica do nível "&amp;$MO85),$OK85&amp;" − "&amp;$OF85&amp;" + "&amp;$OI85&amp;" = "&amp;$OL85&amp;" · teto "&amp;4*$MC85&amp;"d8"&amp;IF($NO85=1," · a Forma devolve "&amp;$MC85,"")&amp;IF($OJ85&gt;0," · perde "&amp;$OJ85,"")))</f>
        <v/>
      </c>
      <c r="PU85" s="152">
        <f>IF($MN85=0,"",IF($MC85=0,"A básica não amplia: os dados dela sobem com o nível",IF($MC85&gt;=$MP85,"Já está na maior Classe que o nível liberou",TEXTJOIN(" · ",TRUE,IF(AND(2&gt;$MC85,2&lt;=$MP85),"2 → "&amp;$OW85&amp;", 6 PE",""),IF(AND(3&gt;$MC85,3&lt;=$MP85),"3 → "&amp;$OX85&amp;", 9 PE",""),IF(AND(4&gt;$MC85,4&lt;=$MP85),"4 → "&amp;$OY85&amp;", 12 PE",""),IF(AND(5&gt;$MC85,5&lt;=$MP85),"5 → "&amp;$OZ85&amp;", 15 PE",""),IF(AND(6&gt;$MC85,6&lt;=$MP85),"6 → "&amp;$PA85&amp;", 18 PE",""),IF(AND(7&gt;$MC85,7&lt;=$MP85),"7 → "&amp;$PB85&amp;", 21 PE","")))))</f>
        <v/>
      </c>
      <c r="PV85" s="152">
        <f>IF(OR($MN85=0,$MY85=0),"",IF($MC85=0,"−1 dado","−"&amp;INDEX($I$2:$N$8,MAX(1,$MC85),MAX(1,$ND85))&amp;" · "&amp;CHOOSE(MAX(1,$ND85),"Leve","Média","Pesada","Leve · Livre","Média · Livre","Pesada · Livre")))</f>
        <v/>
      </c>
      <c r="PW85" s="152">
        <f>IF(OR($MN85=0,$MZ85=0),"",IF($MC85=0,"−1 dado","−"&amp;INDEX($I$2:$N$8,MAX(1,$MC85),MAX(1,$NE85))&amp;" · "&amp;CHOOSE(MAX(1,$NE85),"Leve","Média","Pesada","Leve · Livre","Média · Livre","Pesada · Livre")))</f>
        <v/>
      </c>
      <c r="PX85" s="152">
        <f>IF(OR($MN85=0,$NA85=0),"",IF($MC85=0,"−1 dado","−"&amp;INDEX($I$2:$N$8,MAX(1,$MC85),MAX(1,$NF85))&amp;" · "&amp;CHOOSE(MAX(1,$NF85),"Leve","Média","Pesada","Leve · Livre","Média · Livre","Pesada · Livre")))</f>
        <v/>
      </c>
      <c r="PY85" s="152">
        <f>IF(OR($MN85=0,$NB85=0),"",IF($MC85=0,"−1 dado","−"&amp;INDEX($I$2:$N$8,MAX(1,$MC85),MAX(1,$NG85))&amp;" · "&amp;CHOOSE(MAX(1,$NG85),"Leve","Média","Pesada","Leve · Livre","Média · Livre","Pesada · Livre")))</f>
        <v/>
      </c>
      <c r="PZ85" s="152">
        <f>IF(OR($MN85=0,$ML85=""),"",IF($MC85=0,"não devolve","+"&amp;IF($NR85=1,CEILING($MC85/2,1),$MC85)))</f>
        <v/>
      </c>
      <c r="QA85" s="152">
        <f>IF(OR($MN85=0,$MM85=""),"",IF($MC85=0,"não devolve","+"&amp;IF($NS85=1,CEILING($MC85/2,1),$MC85)))</f>
        <v/>
      </c>
    </row>
    <row r="86">
      <c r="LX86" s="150" t="inlineStr">
        <is>
          <t>Ficha 7 · Especial 5</t>
        </is>
      </c>
      <c r="LY86" s="152" t="n">
        <v>7</v>
      </c>
      <c r="LZ86" s="152" t="n">
        <v>1</v>
      </c>
      <c r="MA86" s="152" t="n">
        <v>16</v>
      </c>
      <c r="MB86" s="150" t="inlineStr">
        <is>
          <t>ESPECIAL 5</t>
        </is>
      </c>
      <c r="MC86" s="152">
        <f>MAX(1,MIN(7,N('INVOCAÇÕES'!$AB$114)))</f>
        <v/>
      </c>
      <c r="MD86" s="152">
        <f>'INVOCAÇÕES'!$AC$114&amp;""</f>
        <v/>
      </c>
      <c r="ME86" s="152">
        <f>'INVOCAÇÕES'!$AB$119&amp;""</f>
        <v/>
      </c>
      <c r="MF86" s="152">
        <f>'INVOCAÇÕES'!$AB$120&amp;""</f>
        <v/>
      </c>
      <c r="MG86" s="152">
        <f>'INVOCAÇÕES'!$AD$120&amp;""</f>
        <v/>
      </c>
      <c r="MH86" s="152">
        <f>'INVOCAÇÕES'!$AC$123&amp;""</f>
        <v/>
      </c>
      <c r="MI86" s="152">
        <f>'INVOCAÇÕES'!$AC$124&amp;""</f>
        <v/>
      </c>
      <c r="MJ86" s="152">
        <f>'INVOCAÇÕES'!$AC$125&amp;""</f>
        <v/>
      </c>
      <c r="MK86" s="152">
        <f>'INVOCAÇÕES'!$AC$126&amp;""</f>
        <v/>
      </c>
      <c r="ML86" s="152">
        <f>'INVOCAÇÕES'!$AC$127&amp;""</f>
        <v/>
      </c>
      <c r="MM86" s="152">
        <f>'INVOCAÇÕES'!$AC$128&amp;""</f>
        <v/>
      </c>
      <c r="MN86" s="152">
        <f>IF($MD86&lt;&gt;"",1,0)</f>
        <v/>
      </c>
      <c r="MO86" s="152">
        <f>INDEX($FG$2:$FG$13,$LY86)</f>
        <v/>
      </c>
      <c r="MP86" s="152">
        <f>INDEX($FH$2:$FH$13,$LY86)</f>
        <v/>
      </c>
      <c r="MQ86" s="152">
        <f>INDEX($FI$2:$FI$13,$LY86)</f>
        <v/>
      </c>
      <c r="MR86" s="152">
        <f>INDEX($FT$2:$FT$13,$LY86)</f>
        <v/>
      </c>
      <c r="MS86" s="152">
        <f>INDEX($FU$2:$FU$13,$LY86)</f>
        <v/>
      </c>
      <c r="MT86" s="152">
        <f>IFERROR(MATCH($ME86,$V$2:$V$11,0),0)</f>
        <v/>
      </c>
      <c r="MU86" s="152">
        <f>IFERROR(VLOOKUP($MH86,$AV$2:$AZ$84,2,FALSE),"")</f>
        <v/>
      </c>
      <c r="MV86" s="152">
        <f>IFERROR(VLOOKUP($MI86,$AV$2:$AZ$84,2,FALSE),"")</f>
        <v/>
      </c>
      <c r="MW86" s="152">
        <f>IFERROR(VLOOKUP($MJ86,$AV$2:$AZ$84,2,FALSE),"")</f>
        <v/>
      </c>
      <c r="MX86" s="152">
        <f>IFERROR(VLOOKUP($MK86,$AV$2:$AZ$84,2,FALSE),"")</f>
        <v/>
      </c>
      <c r="MY86" s="152">
        <f>IFERROR(VLOOKUP($MH86,$AV$2:$AZ$84,3,FALSE),0)</f>
        <v/>
      </c>
      <c r="MZ86" s="152">
        <f>IFERROR(VLOOKUP($MI86,$AV$2:$AZ$84,3,FALSE),0)</f>
        <v/>
      </c>
      <c r="NA86" s="152">
        <f>IFERROR(VLOOKUP($MJ86,$AV$2:$AZ$84,3,FALSE),0)</f>
        <v/>
      </c>
      <c r="NB86" s="152">
        <f>IFERROR(VLOOKUP($MK86,$AV$2:$AZ$84,3,FALSE),0)</f>
        <v/>
      </c>
      <c r="NC86" s="152">
        <f>IF($MC86=0,0,IF($MT86=0,0,INDEX($X$2:$X$11,$MT86)))</f>
        <v/>
      </c>
      <c r="ND86" s="152">
        <f>IF(OR($MY86=0,$MC86=0),0,$MY86+3*IF(AND($MU86&lt;&gt;"",OR($MU86=INDEX($ED$2:$ED$13,$LY86),$MU86=INDEX($EE$2:$EE$13,$LY86))),1,0))</f>
        <v/>
      </c>
      <c r="NE86" s="152">
        <f>IF(OR($MZ86=0,$MC86=0),0,$MZ86+3*IF(AND($MV86&lt;&gt;"",OR($MV86=INDEX($ED$2:$ED$13,$LY86),$MV86=INDEX($EE$2:$EE$13,$LY86))),1,0))</f>
        <v/>
      </c>
      <c r="NF86" s="152">
        <f>IF(OR($NA86=0,$MC86=0),0,$NA86+3*IF(AND($MW86&lt;&gt;"",OR($MW86=INDEX($ED$2:$ED$13,$LY86),$MW86=INDEX($EE$2:$EE$13,$LY86))),1,0))</f>
        <v/>
      </c>
      <c r="NG86" s="152">
        <f>IF(OR($NB86=0,$MC86=0),0,$NB86+3*IF(AND($MX86&lt;&gt;"",OR($MX86=INDEX($ED$2:$ED$13,$LY86),$MX86=INDEX($EE$2:$EE$13,$LY86))),1,0))</f>
        <v/>
      </c>
      <c r="NH86" s="152">
        <f>IF($MT86=0,0,IF(INDEX($W$2:$W$11,$MT86)="",0,IF(COUNTIF(INDEX($ED$2:$EH$13,$LY86,0),INDEX($W$2:$W$11,$MT86))=0,1,0)))</f>
        <v/>
      </c>
      <c r="NI86" s="152">
        <f>IF(OR($MY86=0,$MU86=""),0,IF(COUNTIF(INDEX($ED$2:$EH$13,$LY86,0),$MU86)=0,1,0))</f>
        <v/>
      </c>
      <c r="NJ86" s="152">
        <f>IF(OR($MZ86=0,$MV86=""),0,IF(COUNTIF(INDEX($ED$2:$EH$13,$LY86,0),$MV86)=0,1,0))</f>
        <v/>
      </c>
      <c r="NK86" s="152">
        <f>IF(OR($NA86=0,$MW86=""),0,IF(COUNTIF(INDEX($ED$2:$EH$13,$LY86,0),$MW86)=0,1,0))</f>
        <v/>
      </c>
      <c r="NL86" s="152">
        <f>IF(OR($NB86=0,$MX86=""),0,IF(COUNTIF(INDEX($ED$2:$EH$13,$LY86,0),$MX86)=0,1,0))</f>
        <v/>
      </c>
      <c r="NM86" s="152">
        <f>IFERROR(VLOOKUP($MH86,$AV$2:$AZ$84,4,FALSE),0)+IFERROR(VLOOKUP($MI86,$AV$2:$AZ$84,4,FALSE),0)+IFERROR(VLOOKUP($MJ86,$AV$2:$AZ$84,4,FALSE),0)+IFERROR(VLOOKUP($MK86,$AV$2:$AZ$84,4,FALSE),0)</f>
        <v/>
      </c>
      <c r="NN86" s="152">
        <f>TEXTJOIN(", ",TRUE,IF(IFERROR(VLOOKUP($MH86,$AV$2:$AZ$84,5,FALSE),0)=1,$MH86,""),IF(IFERROR(VLOOKUP($MI86,$AV$2:$AZ$84,5,FALSE),0)=1,$MI86,""),IF(IFERROR(VLOOKUP($MJ86,$AV$2:$AZ$84,5,FALSE),0)=1,$MJ86,""),IF(IFERROR(VLOOKUP($MK86,$AV$2:$AZ$84,5,FALSE),0)=1,$MK86,""))</f>
        <v/>
      </c>
      <c r="NO86" s="152">
        <f>IF($MT86=0,0,INDEX($Y$2:$Y$11,$MT86))</f>
        <v/>
      </c>
      <c r="NP86" s="152">
        <f>IF($MT86=0,0,INDEX($Z$2:$Z$11,$MT86))</f>
        <v/>
      </c>
      <c r="NQ86" s="152">
        <f>IF($MT86=0,0,INDEX($AB$2:$AB$11,$MT86))</f>
        <v/>
      </c>
      <c r="NR86" s="152">
        <f>IFERROR(VLOOKUP($ML86,$BB$2:$BF$24,3,FALSE),0)</f>
        <v/>
      </c>
      <c r="NS86" s="152">
        <f>IFERROR(VLOOKUP($MM86,$BB$2:$BF$24,3,FALSE),0)</f>
        <v/>
      </c>
      <c r="NT86" s="152">
        <f>IFERROR(VLOOKUP($ML86,$BB$2:$BF$24,2,FALSE),"")</f>
        <v/>
      </c>
      <c r="NU86" s="152">
        <f>IFERROR(VLOOKUP($MM86,$BB$2:$BF$24,2,FALSE),"")</f>
        <v/>
      </c>
      <c r="NV86" s="152">
        <f>COUNTIF($NC86:$NG86,1)</f>
        <v/>
      </c>
      <c r="NW86" s="152">
        <f>COUNTIF($NC86:$NG86,2)</f>
        <v/>
      </c>
      <c r="NX86" s="152">
        <f>COUNTIF($NC86:$NG86,3)</f>
        <v/>
      </c>
      <c r="NY86" s="152">
        <f>COUNTIF($NC86:$NG86,4)</f>
        <v/>
      </c>
      <c r="NZ86" s="152">
        <f>COUNTIF($NC86:$NG86,5)</f>
        <v/>
      </c>
      <c r="OA86" s="152">
        <f>COUNTIF($NC86:$NG86,6)</f>
        <v/>
      </c>
      <c r="OB86" s="152">
        <f>COUNTIF($NR86:$NS86,1)</f>
        <v/>
      </c>
      <c r="OC86" s="152">
        <f>COUNTIF($NR86:$NS86,2)+$NO86</f>
        <v/>
      </c>
      <c r="OD86" s="152">
        <f>COUNTIF($MH86:$MK86,"?*")</f>
        <v/>
      </c>
      <c r="OE86" s="152">
        <f>COUNTIF($ML86:$MM86,"?*")+$NO86</f>
        <v/>
      </c>
      <c r="OF86" s="152">
        <f>IF($MC86=0,0,SUMPRODUCT($NV86:$OA86,INDEX($I$2:$N$8,MAX(1,$MC86),0)))</f>
        <v/>
      </c>
      <c r="OG86" s="152">
        <f>IF($MC86=0,0,$OB86*CEILING($MC86/2,1)+$OC86*$MC86)</f>
        <v/>
      </c>
      <c r="OH86" s="152">
        <f>MIN(2*$MC86,$OG86)</f>
        <v/>
      </c>
      <c r="OI86" s="152">
        <f>MIN($OH86,$OF86)</f>
        <v/>
      </c>
      <c r="OJ86" s="152">
        <f>$OH86-$OI86</f>
        <v/>
      </c>
      <c r="OK86" s="152">
        <f>IF($MC86=0,0,INDEX($P$2:$P$8,MAX(1,$MC86)))</f>
        <v/>
      </c>
      <c r="OL86" s="152">
        <f>$OK86-$OF86+$OI86</f>
        <v/>
      </c>
      <c r="OM86" s="152">
        <f>IF($MC86=0,MAX(0,$MQ86-IF($OD86&gt;0,1,0)),MAX(0,$OL86))</f>
        <v/>
      </c>
      <c r="ON86" s="152">
        <f>IF($MC86=0,0,(IF(COUNTIF($MH86:$MK86,"Salto")&gt;0,1,0)+IF(COUNTIF($MH86:$MK86,"Queima")&gt;0,1,0)+IF(COUNTIF($MH86:$MK86,"Estilhaço")&gt;0,1,0))*FLOOR($OM86/2,1))</f>
        <v/>
      </c>
      <c r="OO86" s="152">
        <f>MAX(0,2-SUMPRODUCT($NV86:$OA86,$I$2:$N$2)+MIN(2,$OB86*1+$OC86*1,SUMPRODUCT($NV86:$OA86,$I$2:$N$2)))</f>
        <v/>
      </c>
      <c r="OP86" s="152">
        <f>MAX(0,4-SUMPRODUCT($NV86:$OA86,$I$3:$N$3)+MIN(4,$OB86*1+$OC86*2,SUMPRODUCT($NV86:$OA86,$I$3:$N$3)))</f>
        <v/>
      </c>
      <c r="OQ86" s="152">
        <f>MAX(0,6-SUMPRODUCT($NV86:$OA86,$I$4:$N$4)+MIN(6,$OB86*2+$OC86*3,SUMPRODUCT($NV86:$OA86,$I$4:$N$4)))</f>
        <v/>
      </c>
      <c r="OR86" s="152">
        <f>MAX(0,9-SUMPRODUCT($NV86:$OA86,$I$5:$N$5)+MIN(8,$OB86*2+$OC86*4,SUMPRODUCT($NV86:$OA86,$I$5:$N$5)))</f>
        <v/>
      </c>
      <c r="OS86" s="152">
        <f>MAX(0,11-SUMPRODUCT($NV86:$OA86,$I$6:$N$6)+MIN(10,$OB86*3+$OC86*5,SUMPRODUCT($NV86:$OA86,$I$6:$N$6)))</f>
        <v/>
      </c>
      <c r="OT86" s="152">
        <f>MAX(0,13-SUMPRODUCT($NV86:$OA86,$I$7:$N$7)+MIN(12,$OB86*3+$OC86*6,SUMPRODUCT($NV86:$OA86,$I$7:$N$7)))</f>
        <v/>
      </c>
      <c r="OU86" s="152">
        <f>MAX(0,16-SUMPRODUCT($NV86:$OA86,$I$8:$N$8)+MIN(14,$OB86*4+$OC86*7,SUMPRODUCT($NV86:$OA86,$I$8:$N$8)))</f>
        <v/>
      </c>
      <c r="OV86" s="152">
        <f>IF($NP86=2,3*$OO86&amp;" de vida temp.",IF($NP86=3,"sem dano",IF($OO86=0,IF($NP86=1,"sem cura","sem dano"),IF($NP86=1,"cura ","")&amp;$OO86&amp;"d8")))</f>
        <v/>
      </c>
      <c r="OW86" s="152">
        <f>IF($NP86=2,3*$OP86&amp;" de vida temp.",IF($NP86=3,"sem dano",IF($OP86=0,IF($NP86=1,"sem cura","sem dano"),IF($NP86=1,"cura ","")&amp;$OP86&amp;"d8")))</f>
        <v/>
      </c>
      <c r="OX86" s="152">
        <f>IF($NP86=2,3*$OQ86&amp;" de vida temp.",IF($NP86=3,"sem dano",IF($OQ86=0,IF($NP86=1,"sem cura","sem dano"),IF($NP86=1,"cura ","")&amp;$OQ86&amp;"d8")))</f>
        <v/>
      </c>
      <c r="OY86" s="152">
        <f>IF($NP86=2,3*$OR86&amp;" de vida temp.",IF($NP86=3,"sem dano",IF($OR86=0,IF($NP86=1,"sem cura","sem dano"),IF($NP86=1,"cura ","")&amp;$OR86&amp;"d8")))</f>
        <v/>
      </c>
      <c r="OZ86" s="152">
        <f>IF($NP86=2,3*$OS86&amp;" de vida temp.",IF($NP86=3,"sem dano",IF($OS86=0,IF($NP86=1,"sem cura","sem dano"),IF($NP86=1,"cura ","")&amp;$OS86&amp;"d8")))</f>
        <v/>
      </c>
      <c r="PA86" s="152">
        <f>IF($NP86=2,3*$OT86&amp;" de vida temp.",IF($NP86=3,"sem dano",IF($OT86=0,IF($NP86=1,"sem cura","sem dano"),IF($NP86=1,"cura ","")&amp;$OT86&amp;"d8")))</f>
        <v/>
      </c>
      <c r="PB86" s="152">
        <f>IF($NP86=2,3*$OU86&amp;" de vida temp.",IF($NP86=3,"sem dano",IF($OU86=0,IF($NP86=1,"sem cura","sem dano"),IF($NP86=1,"cura ","")&amp;$OU86&amp;"d8")))</f>
        <v/>
      </c>
      <c r="PC86" s="152">
        <f>IF($MN86=0,"",TEXTJOIN(" · ",TRUE,IF($MA86&gt;$MO86,"Este lugar abre no nível "&amp;$MA86,""),IF($MC86&gt;$MP86,"Classe "&amp;$MC86&amp;": o nível "&amp;$MO86&amp;" libera até a "&amp;$MP86,""),IF($NH86=1,"A Forma "&amp;$ME86&amp;" pede "&amp;INDEX($W$2:$W$11,$MT86)&amp;" aberta",""),IF(AND($MC86=0,$MT86&gt;0,IF($MT86=0,0,INDEX($AF$2:$AF$11,$MT86))=0),$ME86&amp;" não existe na Classe 0",""),IF($NI86=1,"Família Fechada: "&amp;$MH86,""),IF($NJ86=1,"Família Fechada: "&amp;$MI86,""),IF($NK86=1,"Família Fechada: "&amp;$MJ86,""),IF($NL86=1,"Família Fechada: "&amp;$MK86,""),IF(AND($MC86&gt;0,$OD86&gt;INDEX($O$2:$O$8,MAX(1,$MC86))),$OD86&amp;" Melhorias: a Classe "&amp;$MC86&amp;" aceita "&amp;INDEX($O$2:$O$8,MAX(1,$MC86)),""),IF(AND($MC86=0,$OD86&gt;1),"A básica aceita uma Melhoria",""),IF(AND($MC86=0,COUNTIF($MY86:$NB86,"&gt;1")&gt;0),"A básica só aceita Melhoria Leve",""),IF(AND($MC86&gt;0,$OE86&gt;2),$OE86&amp;" Restrições"&amp;IF($NO86=1,", contando a que a Forma "&amp;$ME86&amp;" já traz","")&amp;": o limite é 2",""),IF(AND($MC86=0,COUNTIF($ML86:$MM86,"?*")&gt;1),"A básica aceita uma Restrição Leve",""),IF(AND($MC86=0,COUNTIF($NR86:$NS86,2)&gt;0),"A básica só aceita Restrição Leve",""),IF(AND($MC86&gt;0,$OL86&lt;0),"Orçamento estourado: faltam "&amp;(-$OL86)&amp;IF($OL86&lt;-1," pontos"," ponto"),""),IF(IFERROR(VLOOKUP($ML86,$BB$2:$BF$24,4,FALSE),0)+IFERROR(VLOOKUP($MM86,$BB$2:$BF$24,4,FALSE),0)&gt;1,$NT86&amp;" e "&amp;$NU86&amp;" são as duas de frequência",""),IF(AND((COUNTIF($MH86:$MK86,"Rápido")+COUNTIF($NT86:$NU86,"Rápido"))&gt;0,(COUNTIF($MH86:$MK86,"Atrasar")+COUNTIF($NT86:$NU86,"Atrasar"))&gt;0),"Rápido não entra com Atrasar",""),IF(AND((COUNTIF($MH86:$MK86,"Reação")+COUNTIF($NT86:$NU86,"Reação"))&gt;0,(COUNTIF($MH86:$MK86,"Rápido")+COUNTIF($NT86:$NU86,"Rápido"))&gt;0),"Reação não entra com Rápido",""),IF(AND((COUNTIF($MH86:$MK86,"Reação")+COUNTIF($NT86:$NU86,"Reação"))&gt;0,(COUNTIF($MH86:$MK86,"Armado")+COUNTIF($NT86:$NU86,"Armado"))&gt;0),"Reação não entra com Armado",""),IF(AND((COUNTIF($MH86:$MK86,"Reação")+COUNTIF($NT86:$NU86,"Reação"))&gt;0,(COUNTIF($MH86:$MK86,"Atrasar")+COUNTIF($NT86:$NU86,"Atrasar"))&gt;0),"Reação não entra com Atrasar",""),IF(AND((COUNTIF($MH86:$MK86,"Reação")+COUNTIF($NT86:$NU86,"Reação"))&gt;0,(COUNTIF($MH86:$MK86,"Parado")+COUNTIF($NT86:$NU86,"Parado"))&gt;0),"Reação não entra com Parado",""),IF(AND((COUNTIF($MH86:$MK86,"Atrasar")+COUNTIF($NT86:$NU86,"Atrasar"))&gt;0,(COUNTIF($MH86:$MK86,"Parado")+COUNTIF($NT86:$NU86,"Parado"))&gt;0),"Atrasar não entra com Parado",""),IF(AND((COUNTIF($MH86:$MK86,"Armado")+COUNTIF($NT86:$NU86,"Armado"))&gt;0,(COUNTIF($MH86:$MK86,"Carregar")+COUNTIF($NT86:$NU86,"Carregar"))&gt;0),"Armado não entra com Carregar",""),IF(AND(COUNTIF($NT86:$NU86,"Corpo a Corpo")&gt;0,$NO86=0,OR($ME86="Cone",$ME86="Linha")),"Corpo a Corpo não entra em "&amp;$ME86,""),IF(AND(COUNTIF($NT86:$NU86,"Corpo a Corpo")&gt;0,$NO86=1),"A Forma "&amp;$ME86&amp;" já traz o Corpo a Corpo",""),IF(AND(COUNTIF($NT86:$NU86,"Tudo ou Nada")&gt;0,$NQ86=0),"Tudo ou Nada só entra em habilidade de Teste de Resistência",""),IF(AND(COUNTIF($MH86:$MK86,"Inescapável")&gt;0,OR($OD86&gt;1,$OE86&gt;0)),"Inescapável não aceita outra peça",""),IF(AND($MC86&gt;0,$OM86*IF(COUNTIF($MH86:$MK86,"Remate")&gt;0,1.25,1)+$ON86&gt;4*$MC86),($OM86*IF(COUNTIF($MH86:$MK86,"Remate")&gt;0,1.25,1)+$ON86)&amp;" dados somando repetições"&amp;IF(COUNTIF($MH86:$MK86,"Remate")&gt;0," e o Remate","")&amp;": o teto da Classe "&amp;$MC86&amp;" é "&amp;4*$MC86,"")))</f>
        <v/>
      </c>
      <c r="PD86" s="152">
        <f>IF($PC86="",0,(LEN($PC86)-LEN(SUBSTITUTE($PC86," · ","")))/3+1)</f>
        <v/>
      </c>
      <c r="PE86" s="152">
        <f>IF($MN86=0,"",TEXTJOIN(" · ",TRUE,IF($OG86&gt;2*$MC86,"A devolução parou no teto de "&amp;2*$MC86,""),IF($OJ86&gt;0,"Devolução perdida: "&amp;$OJ86&amp;IF($OJ86&gt;1," pontos"," ponto")&amp;" sem peça para pagar",""),IF(AND($NM86&gt;0,AND($MC86&gt;0,$NP86=0),$OM86=0),"Controle sem dano: uma rodada a mais e CD +2",""),IF(AND($NM86&gt;0,AND($MC86&gt;0,$NP86=0),$OM86&gt;0,$OM86&lt;=$MC86),"Controle com saldo até a Classe: uma rodada a mais",""),IF(AND($MC86&gt;0,$NN86&lt;&gt;""),"Efeito de "&amp;$NN86&amp;" pela Classe "&amp;MAX(1,$MC86-1),"")))</f>
        <v/>
      </c>
      <c r="PF86" s="152">
        <f>IF($PE86="",0,(LEN($PE86)-LEN(SUBSTITUTE($PE86," · ","")))/3+1)</f>
        <v/>
      </c>
      <c r="PG86" s="152">
        <f>IF($MN86=0,IF($OD86+COUNTIF($ML86:$MM86,"?*")&gt;0,"Dê um nome",""),IF($PD86&gt;0,"⚠ "&amp;$PD86&amp;IF($PD86&gt;1," erros"," erro"),IF($PF86&gt;0,"! "&amp;$PF86&amp;IF($PF86&gt;1," avisos"," aviso"),"Na regra")))</f>
        <v/>
      </c>
      <c r="PH86" s="152">
        <f>IF($MN86=0,"",IF($PD86+$PF86=0,"Dentro das regras que a ficha confere",$PC86&amp;IF(AND($PD86&gt;0,$PF86&gt;0)," · ","")&amp;$PE86))</f>
        <v/>
      </c>
      <c r="PI86" s="152">
        <f>IF($MA86&gt;$MO86,$MB86&amp;" · ABRE NO NÍVEL "&amp;$MA86,$MB86)</f>
        <v/>
      </c>
      <c r="PJ86" s="152">
        <f>IF($MN86=0,"",IF($MC86=0,"Sem PE",3*$MC86&amp;" PE"))</f>
        <v/>
      </c>
      <c r="PK86" s="152">
        <f>IF($MN86=0,"",IF($MC86=0,"A atuação básica dela",IF(COUNTIF($NT86:$NU86,"Atrasar")&gt;0,"Sua Ação Completa",IF(COUNTIF($MH86:$MK86,"Rápido")&gt;0,"Sua Bônus",IF(COUNTIF($MH86:$MK86,"Reação")&gt;0,"Sua Reação","Sua Padrão")))&amp;" + a básica dela"&amp;IF(COUNTIF($MH86:$MK86,"Reação")&gt;0," e a coletiva","")&amp;IF(COUNTIF($NT86:$NU86,"Carregar")&gt;0," · em dois turnos","")))</f>
        <v/>
      </c>
      <c r="PL86" s="152">
        <f>IF($MG86&lt;&gt;"",$MG86,IF($MT86=0,"",INDEX($AA$2:$AA$11,$MT86)))</f>
        <v/>
      </c>
      <c r="PM86" s="152">
        <f>IF(OR($MN86=0,$MT86=0),"",IF(COUNTIF($MH86:$MK86,"Inescapável")&gt;0,"Automático",IF($PL86="Ataque",IF($MR86="","Ataque","Ataque "&amp;IF(($MR86+2*IF(COUNTIF($MH86:$MK86,"Precisão")&gt;0,1,0))&gt;=0,"+","−")&amp;ABS(($MR86+2*IF(COUNTIF($MH86:$MK86,"Precisão")&gt;0,1,0)))),IF(LEFT($PL86,2)="TR",$PL86&amp;IF($MS86="",""," · CD "&amp;$MS86)&amp;IF(COUNTIF($MH86:$MK86,"Certeiro")&gt;0," · metade",""),"Sem rolagem"))))</f>
        <v/>
      </c>
      <c r="PN86" s="152">
        <f>IF(OR($MN86=0,$MT86=0),"",IF($MC86=0,IF(OR($NP86&gt;=1,$OM86=0),"Sem dano",$OM86&amp;"d6"&amp;IF($MF86="",""," "&amp;$MF86)),IF(OR($NP86&gt;=1,$OM86=0),UPPER(LEFT(INDEX($OV86:$PB86,1,MAX(1,$MC86)),1))&amp;MID(INDEX($OV86:$PB86,1,MAX(1,$MC86)),2,99),UPPER(LEFT(INDEX($OV86:$PB86,1,MAX(1,$MC86)),1))&amp;MID(INDEX($OV86:$PB86,1,MAX(1,$MC86)),2,99)&amp;IF($MF86="",""," "&amp;$MF86)&amp;IF($ON86&gt;0," · +"&amp;$ON86&amp;"d8",""))))</f>
        <v/>
      </c>
      <c r="PO86" s="152">
        <f>COUNTIF($MH86:$MK86,"Longe")+3*COUNTIF($MH86:$MK86,"Muito Longe")</f>
        <v/>
      </c>
      <c r="PP86" s="152">
        <f>COUNTIF($MH86:$MK86,"Maior")+3*COUNTIF($MH86:$MK86,"Muito Maior")</f>
        <v/>
      </c>
      <c r="PQ86" s="152">
        <f>IF($MT86=0,0,CHOOSE(1+INDEX($AC$2:$AC$11,$MT86),0,$PO86,$PP86,$PO86+$PP86))</f>
        <v/>
      </c>
      <c r="PR86" s="152">
        <f>IF($MT86=0,0,CHOOSE(1+INDEX($AD$2:$AD$11,$MT86),0,$PO86,$PP86,$PO86+$PP86))</f>
        <v/>
      </c>
      <c r="PS86" s="152">
        <f>IF(OR($MN86=0,$MT86=0),"",INDEX($AI$2:$AN$41,($MT86-1)*4+IF($MC86=0,1,IF($MC86&lt;=5,2,IF($MC86=6,3,4))),1+MIN(5,$PQ86))&amp;INDEX($AO$2:$AT$41,($MT86-1)*4+IF($MC86=0,1,IF($MC86&lt;=5,2,IF($MC86=6,3,4))),1+MIN(5,$PR86))&amp;IF(INDEX($AE$2:$AE$11,$MT86)=1,IF(COUNTIF($MH86:$MK86,"Mais Um")&gt;0," · +"&amp;COUNTIF($MH86:$MK86,"Mais Um")&amp;IF(COUNTIF($MH86:$MK86,"Mais Um")&gt;1," alvos"," alvo"),"")&amp;IF(COUNTIF($MH86:$MK86,"Rajada")&gt;0,IF($MC86=0," · 1 tiro"," · "&amp;(MAX(1,$MC86-1)+1)&amp;" tiros"),""),""))</f>
        <v/>
      </c>
      <c r="PT86" s="152">
        <f>IF($MN86=0,"",IF($MC86=0,$MQ86&amp;"d6"&amp;IF($OD86&gt;0," − 1 = "&amp;$OM86&amp;"d6"," da básica do nível "&amp;$MO86),$OK86&amp;" − "&amp;$OF86&amp;" + "&amp;$OI86&amp;" = "&amp;$OL86&amp;" · teto "&amp;4*$MC86&amp;"d8"&amp;IF($NO86=1," · a Forma devolve "&amp;$MC86,"")&amp;IF($OJ86&gt;0," · perde "&amp;$OJ86,"")))</f>
        <v/>
      </c>
      <c r="PU86" s="152">
        <f>IF($MN86=0,"",IF($MC86=0,"A básica não amplia: os dados dela sobem com o nível",IF($MC86&gt;=$MP86,"Já está na maior Classe que o nível liberou",TEXTJOIN(" · ",TRUE,IF(AND(2&gt;$MC86,2&lt;=$MP86),"2 → "&amp;$OW86&amp;", 6 PE",""),IF(AND(3&gt;$MC86,3&lt;=$MP86),"3 → "&amp;$OX86&amp;", 9 PE",""),IF(AND(4&gt;$MC86,4&lt;=$MP86),"4 → "&amp;$OY86&amp;", 12 PE",""),IF(AND(5&gt;$MC86,5&lt;=$MP86),"5 → "&amp;$OZ86&amp;", 15 PE",""),IF(AND(6&gt;$MC86,6&lt;=$MP86),"6 → "&amp;$PA86&amp;", 18 PE",""),IF(AND(7&gt;$MC86,7&lt;=$MP86),"7 → "&amp;$PB86&amp;", 21 PE","")))))</f>
        <v/>
      </c>
      <c r="PV86" s="152">
        <f>IF(OR($MN86=0,$MY86=0),"",IF($MC86=0,"−1 dado","−"&amp;INDEX($I$2:$N$8,MAX(1,$MC86),MAX(1,$ND86))&amp;" · "&amp;CHOOSE(MAX(1,$ND86),"Leve","Média","Pesada","Leve · Livre","Média · Livre","Pesada · Livre")))</f>
        <v/>
      </c>
      <c r="PW86" s="152">
        <f>IF(OR($MN86=0,$MZ86=0),"",IF($MC86=0,"−1 dado","−"&amp;INDEX($I$2:$N$8,MAX(1,$MC86),MAX(1,$NE86))&amp;" · "&amp;CHOOSE(MAX(1,$NE86),"Leve","Média","Pesada","Leve · Livre","Média · Livre","Pesada · Livre")))</f>
        <v/>
      </c>
      <c r="PX86" s="152">
        <f>IF(OR($MN86=0,$NA86=0),"",IF($MC86=0,"−1 dado","−"&amp;INDEX($I$2:$N$8,MAX(1,$MC86),MAX(1,$NF86))&amp;" · "&amp;CHOOSE(MAX(1,$NF86),"Leve","Média","Pesada","Leve · Livre","Média · Livre","Pesada · Livre")))</f>
        <v/>
      </c>
      <c r="PY86" s="152">
        <f>IF(OR($MN86=0,$NB86=0),"",IF($MC86=0,"−1 dado","−"&amp;INDEX($I$2:$N$8,MAX(1,$MC86),MAX(1,$NG86))&amp;" · "&amp;CHOOSE(MAX(1,$NG86),"Leve","Média","Pesada","Leve · Livre","Média · Livre","Pesada · Livre")))</f>
        <v/>
      </c>
      <c r="PZ86" s="152">
        <f>IF(OR($MN86=0,$ML86=""),"",IF($MC86=0,"não devolve","+"&amp;IF($NR86=1,CEILING($MC86/2,1),$MC86)))</f>
        <v/>
      </c>
      <c r="QA86" s="152">
        <f>IF(OR($MN86=0,$MM86=""),"",IF($MC86=0,"não devolve","+"&amp;IF($NS86=1,CEILING($MC86/2,1),$MC86)))</f>
        <v/>
      </c>
    </row>
    <row r="87">
      <c r="LX87" s="150" t="inlineStr">
        <is>
          <t>Ficha 7 · Especial 6</t>
        </is>
      </c>
      <c r="LY87" s="152" t="n">
        <v>7</v>
      </c>
      <c r="LZ87" s="152" t="n">
        <v>1</v>
      </c>
      <c r="MA87" s="152" t="n">
        <v>20</v>
      </c>
      <c r="MB87" s="150" t="inlineStr">
        <is>
          <t>ESPECIAL 6</t>
        </is>
      </c>
      <c r="MC87" s="152">
        <f>MAX(1,MIN(7,N('INVOCAÇÕES'!$AH$114)))</f>
        <v/>
      </c>
      <c r="MD87" s="152">
        <f>'INVOCAÇÕES'!$AI$114&amp;""</f>
        <v/>
      </c>
      <c r="ME87" s="152">
        <f>'INVOCAÇÕES'!$AH$119&amp;""</f>
        <v/>
      </c>
      <c r="MF87" s="152">
        <f>'INVOCAÇÕES'!$AH$120&amp;""</f>
        <v/>
      </c>
      <c r="MG87" s="152">
        <f>'INVOCAÇÕES'!$AJ$120&amp;""</f>
        <v/>
      </c>
      <c r="MH87" s="152">
        <f>'INVOCAÇÕES'!$AI$123&amp;""</f>
        <v/>
      </c>
      <c r="MI87" s="152">
        <f>'INVOCAÇÕES'!$AI$124&amp;""</f>
        <v/>
      </c>
      <c r="MJ87" s="152">
        <f>'INVOCAÇÕES'!$AI$125&amp;""</f>
        <v/>
      </c>
      <c r="MK87" s="152">
        <f>'INVOCAÇÕES'!$AI$126&amp;""</f>
        <v/>
      </c>
      <c r="ML87" s="152">
        <f>'INVOCAÇÕES'!$AI$127&amp;""</f>
        <v/>
      </c>
      <c r="MM87" s="152">
        <f>'INVOCAÇÕES'!$AI$128&amp;""</f>
        <v/>
      </c>
      <c r="MN87" s="152">
        <f>IF($MD87&lt;&gt;"",1,0)</f>
        <v/>
      </c>
      <c r="MO87" s="152">
        <f>INDEX($FG$2:$FG$13,$LY87)</f>
        <v/>
      </c>
      <c r="MP87" s="152">
        <f>INDEX($FH$2:$FH$13,$LY87)</f>
        <v/>
      </c>
      <c r="MQ87" s="152">
        <f>INDEX($FI$2:$FI$13,$LY87)</f>
        <v/>
      </c>
      <c r="MR87" s="152">
        <f>INDEX($FT$2:$FT$13,$LY87)</f>
        <v/>
      </c>
      <c r="MS87" s="152">
        <f>INDEX($FU$2:$FU$13,$LY87)</f>
        <v/>
      </c>
      <c r="MT87" s="152">
        <f>IFERROR(MATCH($ME87,$V$2:$V$11,0),0)</f>
        <v/>
      </c>
      <c r="MU87" s="152">
        <f>IFERROR(VLOOKUP($MH87,$AV$2:$AZ$84,2,FALSE),"")</f>
        <v/>
      </c>
      <c r="MV87" s="152">
        <f>IFERROR(VLOOKUP($MI87,$AV$2:$AZ$84,2,FALSE),"")</f>
        <v/>
      </c>
      <c r="MW87" s="152">
        <f>IFERROR(VLOOKUP($MJ87,$AV$2:$AZ$84,2,FALSE),"")</f>
        <v/>
      </c>
      <c r="MX87" s="152">
        <f>IFERROR(VLOOKUP($MK87,$AV$2:$AZ$84,2,FALSE),"")</f>
        <v/>
      </c>
      <c r="MY87" s="152">
        <f>IFERROR(VLOOKUP($MH87,$AV$2:$AZ$84,3,FALSE),0)</f>
        <v/>
      </c>
      <c r="MZ87" s="152">
        <f>IFERROR(VLOOKUP($MI87,$AV$2:$AZ$84,3,FALSE),0)</f>
        <v/>
      </c>
      <c r="NA87" s="152">
        <f>IFERROR(VLOOKUP($MJ87,$AV$2:$AZ$84,3,FALSE),0)</f>
        <v/>
      </c>
      <c r="NB87" s="152">
        <f>IFERROR(VLOOKUP($MK87,$AV$2:$AZ$84,3,FALSE),0)</f>
        <v/>
      </c>
      <c r="NC87" s="152">
        <f>IF($MC87=0,0,IF($MT87=0,0,INDEX($X$2:$X$11,$MT87)))</f>
        <v/>
      </c>
      <c r="ND87" s="152">
        <f>IF(OR($MY87=0,$MC87=0),0,$MY87+3*IF(AND($MU87&lt;&gt;"",OR($MU87=INDEX($ED$2:$ED$13,$LY87),$MU87=INDEX($EE$2:$EE$13,$LY87))),1,0))</f>
        <v/>
      </c>
      <c r="NE87" s="152">
        <f>IF(OR($MZ87=0,$MC87=0),0,$MZ87+3*IF(AND($MV87&lt;&gt;"",OR($MV87=INDEX($ED$2:$ED$13,$LY87),$MV87=INDEX($EE$2:$EE$13,$LY87))),1,0))</f>
        <v/>
      </c>
      <c r="NF87" s="152">
        <f>IF(OR($NA87=0,$MC87=0),0,$NA87+3*IF(AND($MW87&lt;&gt;"",OR($MW87=INDEX($ED$2:$ED$13,$LY87),$MW87=INDEX($EE$2:$EE$13,$LY87))),1,0))</f>
        <v/>
      </c>
      <c r="NG87" s="152">
        <f>IF(OR($NB87=0,$MC87=0),0,$NB87+3*IF(AND($MX87&lt;&gt;"",OR($MX87=INDEX($ED$2:$ED$13,$LY87),$MX87=INDEX($EE$2:$EE$13,$LY87))),1,0))</f>
        <v/>
      </c>
      <c r="NH87" s="152">
        <f>IF($MT87=0,0,IF(INDEX($W$2:$W$11,$MT87)="",0,IF(COUNTIF(INDEX($ED$2:$EH$13,$LY87,0),INDEX($W$2:$W$11,$MT87))=0,1,0)))</f>
        <v/>
      </c>
      <c r="NI87" s="152">
        <f>IF(OR($MY87=0,$MU87=""),0,IF(COUNTIF(INDEX($ED$2:$EH$13,$LY87,0),$MU87)=0,1,0))</f>
        <v/>
      </c>
      <c r="NJ87" s="152">
        <f>IF(OR($MZ87=0,$MV87=""),0,IF(COUNTIF(INDEX($ED$2:$EH$13,$LY87,0),$MV87)=0,1,0))</f>
        <v/>
      </c>
      <c r="NK87" s="152">
        <f>IF(OR($NA87=0,$MW87=""),0,IF(COUNTIF(INDEX($ED$2:$EH$13,$LY87,0),$MW87)=0,1,0))</f>
        <v/>
      </c>
      <c r="NL87" s="152">
        <f>IF(OR($NB87=0,$MX87=""),0,IF(COUNTIF(INDEX($ED$2:$EH$13,$LY87,0),$MX87)=0,1,0))</f>
        <v/>
      </c>
      <c r="NM87" s="152">
        <f>IFERROR(VLOOKUP($MH87,$AV$2:$AZ$84,4,FALSE),0)+IFERROR(VLOOKUP($MI87,$AV$2:$AZ$84,4,FALSE),0)+IFERROR(VLOOKUP($MJ87,$AV$2:$AZ$84,4,FALSE),0)+IFERROR(VLOOKUP($MK87,$AV$2:$AZ$84,4,FALSE),0)</f>
        <v/>
      </c>
      <c r="NN87" s="152">
        <f>TEXTJOIN(", ",TRUE,IF(IFERROR(VLOOKUP($MH87,$AV$2:$AZ$84,5,FALSE),0)=1,$MH87,""),IF(IFERROR(VLOOKUP($MI87,$AV$2:$AZ$84,5,FALSE),0)=1,$MI87,""),IF(IFERROR(VLOOKUP($MJ87,$AV$2:$AZ$84,5,FALSE),0)=1,$MJ87,""),IF(IFERROR(VLOOKUP($MK87,$AV$2:$AZ$84,5,FALSE),0)=1,$MK87,""))</f>
        <v/>
      </c>
      <c r="NO87" s="152">
        <f>IF($MT87=0,0,INDEX($Y$2:$Y$11,$MT87))</f>
        <v/>
      </c>
      <c r="NP87" s="152">
        <f>IF($MT87=0,0,INDEX($Z$2:$Z$11,$MT87))</f>
        <v/>
      </c>
      <c r="NQ87" s="152">
        <f>IF($MT87=0,0,INDEX($AB$2:$AB$11,$MT87))</f>
        <v/>
      </c>
      <c r="NR87" s="152">
        <f>IFERROR(VLOOKUP($ML87,$BB$2:$BF$24,3,FALSE),0)</f>
        <v/>
      </c>
      <c r="NS87" s="152">
        <f>IFERROR(VLOOKUP($MM87,$BB$2:$BF$24,3,FALSE),0)</f>
        <v/>
      </c>
      <c r="NT87" s="152">
        <f>IFERROR(VLOOKUP($ML87,$BB$2:$BF$24,2,FALSE),"")</f>
        <v/>
      </c>
      <c r="NU87" s="152">
        <f>IFERROR(VLOOKUP($MM87,$BB$2:$BF$24,2,FALSE),"")</f>
        <v/>
      </c>
      <c r="NV87" s="152">
        <f>COUNTIF($NC87:$NG87,1)</f>
        <v/>
      </c>
      <c r="NW87" s="152">
        <f>COUNTIF($NC87:$NG87,2)</f>
        <v/>
      </c>
      <c r="NX87" s="152">
        <f>COUNTIF($NC87:$NG87,3)</f>
        <v/>
      </c>
      <c r="NY87" s="152">
        <f>COUNTIF($NC87:$NG87,4)</f>
        <v/>
      </c>
      <c r="NZ87" s="152">
        <f>COUNTIF($NC87:$NG87,5)</f>
        <v/>
      </c>
      <c r="OA87" s="152">
        <f>COUNTIF($NC87:$NG87,6)</f>
        <v/>
      </c>
      <c r="OB87" s="152">
        <f>COUNTIF($NR87:$NS87,1)</f>
        <v/>
      </c>
      <c r="OC87" s="152">
        <f>COUNTIF($NR87:$NS87,2)+$NO87</f>
        <v/>
      </c>
      <c r="OD87" s="152">
        <f>COUNTIF($MH87:$MK87,"?*")</f>
        <v/>
      </c>
      <c r="OE87" s="152">
        <f>COUNTIF($ML87:$MM87,"?*")+$NO87</f>
        <v/>
      </c>
      <c r="OF87" s="152">
        <f>IF($MC87=0,0,SUMPRODUCT($NV87:$OA87,INDEX($I$2:$N$8,MAX(1,$MC87),0)))</f>
        <v/>
      </c>
      <c r="OG87" s="152">
        <f>IF($MC87=0,0,$OB87*CEILING($MC87/2,1)+$OC87*$MC87)</f>
        <v/>
      </c>
      <c r="OH87" s="152">
        <f>MIN(2*$MC87,$OG87)</f>
        <v/>
      </c>
      <c r="OI87" s="152">
        <f>MIN($OH87,$OF87)</f>
        <v/>
      </c>
      <c r="OJ87" s="152">
        <f>$OH87-$OI87</f>
        <v/>
      </c>
      <c r="OK87" s="152">
        <f>IF($MC87=0,0,INDEX($P$2:$P$8,MAX(1,$MC87)))</f>
        <v/>
      </c>
      <c r="OL87" s="152">
        <f>$OK87-$OF87+$OI87</f>
        <v/>
      </c>
      <c r="OM87" s="152">
        <f>IF($MC87=0,MAX(0,$MQ87-IF($OD87&gt;0,1,0)),MAX(0,$OL87))</f>
        <v/>
      </c>
      <c r="ON87" s="152">
        <f>IF($MC87=0,0,(IF(COUNTIF($MH87:$MK87,"Salto")&gt;0,1,0)+IF(COUNTIF($MH87:$MK87,"Queima")&gt;0,1,0)+IF(COUNTIF($MH87:$MK87,"Estilhaço")&gt;0,1,0))*FLOOR($OM87/2,1))</f>
        <v/>
      </c>
      <c r="OO87" s="152">
        <f>MAX(0,2-SUMPRODUCT($NV87:$OA87,$I$2:$N$2)+MIN(2,$OB87*1+$OC87*1,SUMPRODUCT($NV87:$OA87,$I$2:$N$2)))</f>
        <v/>
      </c>
      <c r="OP87" s="152">
        <f>MAX(0,4-SUMPRODUCT($NV87:$OA87,$I$3:$N$3)+MIN(4,$OB87*1+$OC87*2,SUMPRODUCT($NV87:$OA87,$I$3:$N$3)))</f>
        <v/>
      </c>
      <c r="OQ87" s="152">
        <f>MAX(0,6-SUMPRODUCT($NV87:$OA87,$I$4:$N$4)+MIN(6,$OB87*2+$OC87*3,SUMPRODUCT($NV87:$OA87,$I$4:$N$4)))</f>
        <v/>
      </c>
      <c r="OR87" s="152">
        <f>MAX(0,9-SUMPRODUCT($NV87:$OA87,$I$5:$N$5)+MIN(8,$OB87*2+$OC87*4,SUMPRODUCT($NV87:$OA87,$I$5:$N$5)))</f>
        <v/>
      </c>
      <c r="OS87" s="152">
        <f>MAX(0,11-SUMPRODUCT($NV87:$OA87,$I$6:$N$6)+MIN(10,$OB87*3+$OC87*5,SUMPRODUCT($NV87:$OA87,$I$6:$N$6)))</f>
        <v/>
      </c>
      <c r="OT87" s="152">
        <f>MAX(0,13-SUMPRODUCT($NV87:$OA87,$I$7:$N$7)+MIN(12,$OB87*3+$OC87*6,SUMPRODUCT($NV87:$OA87,$I$7:$N$7)))</f>
        <v/>
      </c>
      <c r="OU87" s="152">
        <f>MAX(0,16-SUMPRODUCT($NV87:$OA87,$I$8:$N$8)+MIN(14,$OB87*4+$OC87*7,SUMPRODUCT($NV87:$OA87,$I$8:$N$8)))</f>
        <v/>
      </c>
      <c r="OV87" s="152">
        <f>IF($NP87=2,3*$OO87&amp;" de vida temp.",IF($NP87=3,"sem dano",IF($OO87=0,IF($NP87=1,"sem cura","sem dano"),IF($NP87=1,"cura ","")&amp;$OO87&amp;"d8")))</f>
        <v/>
      </c>
      <c r="OW87" s="152">
        <f>IF($NP87=2,3*$OP87&amp;" de vida temp.",IF($NP87=3,"sem dano",IF($OP87=0,IF($NP87=1,"sem cura","sem dano"),IF($NP87=1,"cura ","")&amp;$OP87&amp;"d8")))</f>
        <v/>
      </c>
      <c r="OX87" s="152">
        <f>IF($NP87=2,3*$OQ87&amp;" de vida temp.",IF($NP87=3,"sem dano",IF($OQ87=0,IF($NP87=1,"sem cura","sem dano"),IF($NP87=1,"cura ","")&amp;$OQ87&amp;"d8")))</f>
        <v/>
      </c>
      <c r="OY87" s="152">
        <f>IF($NP87=2,3*$OR87&amp;" de vida temp.",IF($NP87=3,"sem dano",IF($OR87=0,IF($NP87=1,"sem cura","sem dano"),IF($NP87=1,"cura ","")&amp;$OR87&amp;"d8")))</f>
        <v/>
      </c>
      <c r="OZ87" s="152">
        <f>IF($NP87=2,3*$OS87&amp;" de vida temp.",IF($NP87=3,"sem dano",IF($OS87=0,IF($NP87=1,"sem cura","sem dano"),IF($NP87=1,"cura ","")&amp;$OS87&amp;"d8")))</f>
        <v/>
      </c>
      <c r="PA87" s="152">
        <f>IF($NP87=2,3*$OT87&amp;" de vida temp.",IF($NP87=3,"sem dano",IF($OT87=0,IF($NP87=1,"sem cura","sem dano"),IF($NP87=1,"cura ","")&amp;$OT87&amp;"d8")))</f>
        <v/>
      </c>
      <c r="PB87" s="152">
        <f>IF($NP87=2,3*$OU87&amp;" de vida temp.",IF($NP87=3,"sem dano",IF($OU87=0,IF($NP87=1,"sem cura","sem dano"),IF($NP87=1,"cura ","")&amp;$OU87&amp;"d8")))</f>
        <v/>
      </c>
      <c r="PC87" s="152">
        <f>IF($MN87=0,"",TEXTJOIN(" · ",TRUE,IF($MA87&gt;$MO87,"Este lugar abre no nível "&amp;$MA87,""),IF($MC87&gt;$MP87,"Classe "&amp;$MC87&amp;": o nível "&amp;$MO87&amp;" libera até a "&amp;$MP87,""),IF($NH87=1,"A Forma "&amp;$ME87&amp;" pede "&amp;INDEX($W$2:$W$11,$MT87)&amp;" aberta",""),IF(AND($MC87=0,$MT87&gt;0,IF($MT87=0,0,INDEX($AF$2:$AF$11,$MT87))=0),$ME87&amp;" não existe na Classe 0",""),IF($NI87=1,"Família Fechada: "&amp;$MH87,""),IF($NJ87=1,"Família Fechada: "&amp;$MI87,""),IF($NK87=1,"Família Fechada: "&amp;$MJ87,""),IF($NL87=1,"Família Fechada: "&amp;$MK87,""),IF(AND($MC87&gt;0,$OD87&gt;INDEX($O$2:$O$8,MAX(1,$MC87))),$OD87&amp;" Melhorias: a Classe "&amp;$MC87&amp;" aceita "&amp;INDEX($O$2:$O$8,MAX(1,$MC87)),""),IF(AND($MC87=0,$OD87&gt;1),"A básica aceita uma Melhoria",""),IF(AND($MC87=0,COUNTIF($MY87:$NB87,"&gt;1")&gt;0),"A básica só aceita Melhoria Leve",""),IF(AND($MC87&gt;0,$OE87&gt;2),$OE87&amp;" Restrições"&amp;IF($NO87=1,", contando a que a Forma "&amp;$ME87&amp;" já traz","")&amp;": o limite é 2",""),IF(AND($MC87=0,COUNTIF($ML87:$MM87,"?*")&gt;1),"A básica aceita uma Restrição Leve",""),IF(AND($MC87=0,COUNTIF($NR87:$NS87,2)&gt;0),"A básica só aceita Restrição Leve",""),IF(AND($MC87&gt;0,$OL87&lt;0),"Orçamento estourado: faltam "&amp;(-$OL87)&amp;IF($OL87&lt;-1," pontos"," ponto"),""),IF(IFERROR(VLOOKUP($ML87,$BB$2:$BF$24,4,FALSE),0)+IFERROR(VLOOKUP($MM87,$BB$2:$BF$24,4,FALSE),0)&gt;1,$NT87&amp;" e "&amp;$NU87&amp;" são as duas de frequência",""),IF(AND((COUNTIF($MH87:$MK87,"Rápido")+COUNTIF($NT87:$NU87,"Rápido"))&gt;0,(COUNTIF($MH87:$MK87,"Atrasar")+COUNTIF($NT87:$NU87,"Atrasar"))&gt;0),"Rápido não entra com Atrasar",""),IF(AND((COUNTIF($MH87:$MK87,"Reação")+COUNTIF($NT87:$NU87,"Reação"))&gt;0,(COUNTIF($MH87:$MK87,"Rápido")+COUNTIF($NT87:$NU87,"Rápido"))&gt;0),"Reação não entra com Rápido",""),IF(AND((COUNTIF($MH87:$MK87,"Reação")+COUNTIF($NT87:$NU87,"Reação"))&gt;0,(COUNTIF($MH87:$MK87,"Armado")+COUNTIF($NT87:$NU87,"Armado"))&gt;0),"Reação não entra com Armado",""),IF(AND((COUNTIF($MH87:$MK87,"Reação")+COUNTIF($NT87:$NU87,"Reação"))&gt;0,(COUNTIF($MH87:$MK87,"Atrasar")+COUNTIF($NT87:$NU87,"Atrasar"))&gt;0),"Reação não entra com Atrasar",""),IF(AND((COUNTIF($MH87:$MK87,"Reação")+COUNTIF($NT87:$NU87,"Reação"))&gt;0,(COUNTIF($MH87:$MK87,"Parado")+COUNTIF($NT87:$NU87,"Parado"))&gt;0),"Reação não entra com Parado",""),IF(AND((COUNTIF($MH87:$MK87,"Atrasar")+COUNTIF($NT87:$NU87,"Atrasar"))&gt;0,(COUNTIF($MH87:$MK87,"Parado")+COUNTIF($NT87:$NU87,"Parado"))&gt;0),"Atrasar não entra com Parado",""),IF(AND((COUNTIF($MH87:$MK87,"Armado")+COUNTIF($NT87:$NU87,"Armado"))&gt;0,(COUNTIF($MH87:$MK87,"Carregar")+COUNTIF($NT87:$NU87,"Carregar"))&gt;0),"Armado não entra com Carregar",""),IF(AND(COUNTIF($NT87:$NU87,"Corpo a Corpo")&gt;0,$NO87=0,OR($ME87="Cone",$ME87="Linha")),"Corpo a Corpo não entra em "&amp;$ME87,""),IF(AND(COUNTIF($NT87:$NU87,"Corpo a Corpo")&gt;0,$NO87=1),"A Forma "&amp;$ME87&amp;" já traz o Corpo a Corpo",""),IF(AND(COUNTIF($NT87:$NU87,"Tudo ou Nada")&gt;0,$NQ87=0),"Tudo ou Nada só entra em habilidade de Teste de Resistência",""),IF(AND(COUNTIF($MH87:$MK87,"Inescapável")&gt;0,OR($OD87&gt;1,$OE87&gt;0)),"Inescapável não aceita outra peça",""),IF(AND($MC87&gt;0,$OM87*IF(COUNTIF($MH87:$MK87,"Remate")&gt;0,1.25,1)+$ON87&gt;4*$MC87),($OM87*IF(COUNTIF($MH87:$MK87,"Remate")&gt;0,1.25,1)+$ON87)&amp;" dados somando repetições"&amp;IF(COUNTIF($MH87:$MK87,"Remate")&gt;0," e o Remate","")&amp;": o teto da Classe "&amp;$MC87&amp;" é "&amp;4*$MC87,"")))</f>
        <v/>
      </c>
      <c r="PD87" s="152">
        <f>IF($PC87="",0,(LEN($PC87)-LEN(SUBSTITUTE($PC87," · ","")))/3+1)</f>
        <v/>
      </c>
      <c r="PE87" s="152">
        <f>IF($MN87=0,"",TEXTJOIN(" · ",TRUE,IF($OG87&gt;2*$MC87,"A devolução parou no teto de "&amp;2*$MC87,""),IF($OJ87&gt;0,"Devolução perdida: "&amp;$OJ87&amp;IF($OJ87&gt;1," pontos"," ponto")&amp;" sem peça para pagar",""),IF(AND($NM87&gt;0,AND($MC87&gt;0,$NP87=0),$OM87=0),"Controle sem dano: uma rodada a mais e CD +2",""),IF(AND($NM87&gt;0,AND($MC87&gt;0,$NP87=0),$OM87&gt;0,$OM87&lt;=$MC87),"Controle com saldo até a Classe: uma rodada a mais",""),IF(AND($MC87&gt;0,$NN87&lt;&gt;""),"Efeito de "&amp;$NN87&amp;" pela Classe "&amp;MAX(1,$MC87-1),"")))</f>
        <v/>
      </c>
      <c r="PF87" s="152">
        <f>IF($PE87="",0,(LEN($PE87)-LEN(SUBSTITUTE($PE87," · ","")))/3+1)</f>
        <v/>
      </c>
      <c r="PG87" s="152">
        <f>IF($MN87=0,IF($OD87+COUNTIF($ML87:$MM87,"?*")&gt;0,"Dê um nome",""),IF($PD87&gt;0,"⚠ "&amp;$PD87&amp;IF($PD87&gt;1," erros"," erro"),IF($PF87&gt;0,"! "&amp;$PF87&amp;IF($PF87&gt;1," avisos"," aviso"),"Na regra")))</f>
        <v/>
      </c>
      <c r="PH87" s="152">
        <f>IF($MN87=0,"",IF($PD87+$PF87=0,"Dentro das regras que a ficha confere",$PC87&amp;IF(AND($PD87&gt;0,$PF87&gt;0)," · ","")&amp;$PE87))</f>
        <v/>
      </c>
      <c r="PI87" s="152">
        <f>IF($MA87&gt;$MO87,$MB87&amp;" · ABRE NO NÍVEL "&amp;$MA87,$MB87)</f>
        <v/>
      </c>
      <c r="PJ87" s="152">
        <f>IF($MN87=0,"",IF($MC87=0,"Sem PE",3*$MC87&amp;" PE"))</f>
        <v/>
      </c>
      <c r="PK87" s="152">
        <f>IF($MN87=0,"",IF($MC87=0,"A atuação básica dela",IF(COUNTIF($NT87:$NU87,"Atrasar")&gt;0,"Sua Ação Completa",IF(COUNTIF($MH87:$MK87,"Rápido")&gt;0,"Sua Bônus",IF(COUNTIF($MH87:$MK87,"Reação")&gt;0,"Sua Reação","Sua Padrão")))&amp;" + a básica dela"&amp;IF(COUNTIF($MH87:$MK87,"Reação")&gt;0," e a coletiva","")&amp;IF(COUNTIF($NT87:$NU87,"Carregar")&gt;0," · em dois turnos","")))</f>
        <v/>
      </c>
      <c r="PL87" s="152">
        <f>IF($MG87&lt;&gt;"",$MG87,IF($MT87=0,"",INDEX($AA$2:$AA$11,$MT87)))</f>
        <v/>
      </c>
      <c r="PM87" s="152">
        <f>IF(OR($MN87=0,$MT87=0),"",IF(COUNTIF($MH87:$MK87,"Inescapável")&gt;0,"Automático",IF($PL87="Ataque",IF($MR87="","Ataque","Ataque "&amp;IF(($MR87+2*IF(COUNTIF($MH87:$MK87,"Precisão")&gt;0,1,0))&gt;=0,"+","−")&amp;ABS(($MR87+2*IF(COUNTIF($MH87:$MK87,"Precisão")&gt;0,1,0)))),IF(LEFT($PL87,2)="TR",$PL87&amp;IF($MS87="",""," · CD "&amp;$MS87)&amp;IF(COUNTIF($MH87:$MK87,"Certeiro")&gt;0," · metade",""),"Sem rolagem"))))</f>
        <v/>
      </c>
      <c r="PN87" s="152">
        <f>IF(OR($MN87=0,$MT87=0),"",IF($MC87=0,IF(OR($NP87&gt;=1,$OM87=0),"Sem dano",$OM87&amp;"d6"&amp;IF($MF87="",""," "&amp;$MF87)),IF(OR($NP87&gt;=1,$OM87=0),UPPER(LEFT(INDEX($OV87:$PB87,1,MAX(1,$MC87)),1))&amp;MID(INDEX($OV87:$PB87,1,MAX(1,$MC87)),2,99),UPPER(LEFT(INDEX($OV87:$PB87,1,MAX(1,$MC87)),1))&amp;MID(INDEX($OV87:$PB87,1,MAX(1,$MC87)),2,99)&amp;IF($MF87="",""," "&amp;$MF87)&amp;IF($ON87&gt;0," · +"&amp;$ON87&amp;"d8",""))))</f>
        <v/>
      </c>
      <c r="PO87" s="152">
        <f>COUNTIF($MH87:$MK87,"Longe")+3*COUNTIF($MH87:$MK87,"Muito Longe")</f>
        <v/>
      </c>
      <c r="PP87" s="152">
        <f>COUNTIF($MH87:$MK87,"Maior")+3*COUNTIF($MH87:$MK87,"Muito Maior")</f>
        <v/>
      </c>
      <c r="PQ87" s="152">
        <f>IF($MT87=0,0,CHOOSE(1+INDEX($AC$2:$AC$11,$MT87),0,$PO87,$PP87,$PO87+$PP87))</f>
        <v/>
      </c>
      <c r="PR87" s="152">
        <f>IF($MT87=0,0,CHOOSE(1+INDEX($AD$2:$AD$11,$MT87),0,$PO87,$PP87,$PO87+$PP87))</f>
        <v/>
      </c>
      <c r="PS87" s="152">
        <f>IF(OR($MN87=0,$MT87=0),"",INDEX($AI$2:$AN$41,($MT87-1)*4+IF($MC87=0,1,IF($MC87&lt;=5,2,IF($MC87=6,3,4))),1+MIN(5,$PQ87))&amp;INDEX($AO$2:$AT$41,($MT87-1)*4+IF($MC87=0,1,IF($MC87&lt;=5,2,IF($MC87=6,3,4))),1+MIN(5,$PR87))&amp;IF(INDEX($AE$2:$AE$11,$MT87)=1,IF(COUNTIF($MH87:$MK87,"Mais Um")&gt;0," · +"&amp;COUNTIF($MH87:$MK87,"Mais Um")&amp;IF(COUNTIF($MH87:$MK87,"Mais Um")&gt;1," alvos"," alvo"),"")&amp;IF(COUNTIF($MH87:$MK87,"Rajada")&gt;0,IF($MC87=0," · 1 tiro"," · "&amp;(MAX(1,$MC87-1)+1)&amp;" tiros"),""),""))</f>
        <v/>
      </c>
      <c r="PT87" s="152">
        <f>IF($MN87=0,"",IF($MC87=0,$MQ87&amp;"d6"&amp;IF($OD87&gt;0," − 1 = "&amp;$OM87&amp;"d6"," da básica do nível "&amp;$MO87),$OK87&amp;" − "&amp;$OF87&amp;" + "&amp;$OI87&amp;" = "&amp;$OL87&amp;" · teto "&amp;4*$MC87&amp;"d8"&amp;IF($NO87=1," · a Forma devolve "&amp;$MC87,"")&amp;IF($OJ87&gt;0," · perde "&amp;$OJ87,"")))</f>
        <v/>
      </c>
      <c r="PU87" s="152">
        <f>IF($MN87=0,"",IF($MC87=0,"A básica não amplia: os dados dela sobem com o nível",IF($MC87&gt;=$MP87,"Já está na maior Classe que o nível liberou",TEXTJOIN(" · ",TRUE,IF(AND(2&gt;$MC87,2&lt;=$MP87),"2 → "&amp;$OW87&amp;", 6 PE",""),IF(AND(3&gt;$MC87,3&lt;=$MP87),"3 → "&amp;$OX87&amp;", 9 PE",""),IF(AND(4&gt;$MC87,4&lt;=$MP87),"4 → "&amp;$OY87&amp;", 12 PE",""),IF(AND(5&gt;$MC87,5&lt;=$MP87),"5 → "&amp;$OZ87&amp;", 15 PE",""),IF(AND(6&gt;$MC87,6&lt;=$MP87),"6 → "&amp;$PA87&amp;", 18 PE",""),IF(AND(7&gt;$MC87,7&lt;=$MP87),"7 → "&amp;$PB87&amp;", 21 PE","")))))</f>
        <v/>
      </c>
      <c r="PV87" s="152">
        <f>IF(OR($MN87=0,$MY87=0),"",IF($MC87=0,"−1 dado","−"&amp;INDEX($I$2:$N$8,MAX(1,$MC87),MAX(1,$ND87))&amp;" · "&amp;CHOOSE(MAX(1,$ND87),"Leve","Média","Pesada","Leve · Livre","Média · Livre","Pesada · Livre")))</f>
        <v/>
      </c>
      <c r="PW87" s="152">
        <f>IF(OR($MN87=0,$MZ87=0),"",IF($MC87=0,"−1 dado","−"&amp;INDEX($I$2:$N$8,MAX(1,$MC87),MAX(1,$NE87))&amp;" · "&amp;CHOOSE(MAX(1,$NE87),"Leve","Média","Pesada","Leve · Livre","Média · Livre","Pesada · Livre")))</f>
        <v/>
      </c>
      <c r="PX87" s="152">
        <f>IF(OR($MN87=0,$NA87=0),"",IF($MC87=0,"−1 dado","−"&amp;INDEX($I$2:$N$8,MAX(1,$MC87),MAX(1,$NF87))&amp;" · "&amp;CHOOSE(MAX(1,$NF87),"Leve","Média","Pesada","Leve · Livre","Média · Livre","Pesada · Livre")))</f>
        <v/>
      </c>
      <c r="PY87" s="152">
        <f>IF(OR($MN87=0,$NB87=0),"",IF($MC87=0,"−1 dado","−"&amp;INDEX($I$2:$N$8,MAX(1,$MC87),MAX(1,$NG87))&amp;" · "&amp;CHOOSE(MAX(1,$NG87),"Leve","Média","Pesada","Leve · Livre","Média · Livre","Pesada · Livre")))</f>
        <v/>
      </c>
      <c r="PZ87" s="152">
        <f>IF(OR($MN87=0,$ML87=""),"",IF($MC87=0,"não devolve","+"&amp;IF($NR87=1,CEILING($MC87/2,1),$MC87)))</f>
        <v/>
      </c>
      <c r="QA87" s="152">
        <f>IF(OR($MN87=0,$MM87=""),"",IF($MC87=0,"não devolve","+"&amp;IF($NS87=1,CEILING($MC87/2,1),$MC87)))</f>
        <v/>
      </c>
    </row>
    <row r="88">
      <c r="LX88" s="150" t="inlineStr">
        <is>
          <t>Ficha 7 · Especial 7</t>
        </is>
      </c>
      <c r="LY88" s="152" t="n">
        <v>7</v>
      </c>
      <c r="LZ88" s="152" t="n">
        <v>1</v>
      </c>
      <c r="MA88" s="152" t="n">
        <v>24</v>
      </c>
      <c r="MB88" s="150" t="inlineStr">
        <is>
          <t>ESPECIAL 7</t>
        </is>
      </c>
      <c r="MC88" s="152">
        <f>MAX(1,MIN(7,N('INVOCAÇÕES'!$AN$114)))</f>
        <v/>
      </c>
      <c r="MD88" s="152">
        <f>'INVOCAÇÕES'!$AO$114&amp;""</f>
        <v/>
      </c>
      <c r="ME88" s="152">
        <f>'INVOCAÇÕES'!$AN$119&amp;""</f>
        <v/>
      </c>
      <c r="MF88" s="152">
        <f>'INVOCAÇÕES'!$AN$120&amp;""</f>
        <v/>
      </c>
      <c r="MG88" s="152">
        <f>'INVOCAÇÕES'!$AP$120&amp;""</f>
        <v/>
      </c>
      <c r="MH88" s="152">
        <f>'INVOCAÇÕES'!$AO$123&amp;""</f>
        <v/>
      </c>
      <c r="MI88" s="152">
        <f>'INVOCAÇÕES'!$AO$124&amp;""</f>
        <v/>
      </c>
      <c r="MJ88" s="152">
        <f>'INVOCAÇÕES'!$AO$125&amp;""</f>
        <v/>
      </c>
      <c r="MK88" s="152">
        <f>'INVOCAÇÕES'!$AO$126&amp;""</f>
        <v/>
      </c>
      <c r="ML88" s="152">
        <f>'INVOCAÇÕES'!$AO$127&amp;""</f>
        <v/>
      </c>
      <c r="MM88" s="152">
        <f>'INVOCAÇÕES'!$AO$128&amp;""</f>
        <v/>
      </c>
      <c r="MN88" s="152">
        <f>IF($MD88&lt;&gt;"",1,0)</f>
        <v/>
      </c>
      <c r="MO88" s="152">
        <f>INDEX($FG$2:$FG$13,$LY88)</f>
        <v/>
      </c>
      <c r="MP88" s="152">
        <f>INDEX($FH$2:$FH$13,$LY88)</f>
        <v/>
      </c>
      <c r="MQ88" s="152">
        <f>INDEX($FI$2:$FI$13,$LY88)</f>
        <v/>
      </c>
      <c r="MR88" s="152">
        <f>INDEX($FT$2:$FT$13,$LY88)</f>
        <v/>
      </c>
      <c r="MS88" s="152">
        <f>INDEX($FU$2:$FU$13,$LY88)</f>
        <v/>
      </c>
      <c r="MT88" s="152">
        <f>IFERROR(MATCH($ME88,$V$2:$V$11,0),0)</f>
        <v/>
      </c>
      <c r="MU88" s="152">
        <f>IFERROR(VLOOKUP($MH88,$AV$2:$AZ$84,2,FALSE),"")</f>
        <v/>
      </c>
      <c r="MV88" s="152">
        <f>IFERROR(VLOOKUP($MI88,$AV$2:$AZ$84,2,FALSE),"")</f>
        <v/>
      </c>
      <c r="MW88" s="152">
        <f>IFERROR(VLOOKUP($MJ88,$AV$2:$AZ$84,2,FALSE),"")</f>
        <v/>
      </c>
      <c r="MX88" s="152">
        <f>IFERROR(VLOOKUP($MK88,$AV$2:$AZ$84,2,FALSE),"")</f>
        <v/>
      </c>
      <c r="MY88" s="152">
        <f>IFERROR(VLOOKUP($MH88,$AV$2:$AZ$84,3,FALSE),0)</f>
        <v/>
      </c>
      <c r="MZ88" s="152">
        <f>IFERROR(VLOOKUP($MI88,$AV$2:$AZ$84,3,FALSE),0)</f>
        <v/>
      </c>
      <c r="NA88" s="152">
        <f>IFERROR(VLOOKUP($MJ88,$AV$2:$AZ$84,3,FALSE),0)</f>
        <v/>
      </c>
      <c r="NB88" s="152">
        <f>IFERROR(VLOOKUP($MK88,$AV$2:$AZ$84,3,FALSE),0)</f>
        <v/>
      </c>
      <c r="NC88" s="152">
        <f>IF($MC88=0,0,IF($MT88=0,0,INDEX($X$2:$X$11,$MT88)))</f>
        <v/>
      </c>
      <c r="ND88" s="152">
        <f>IF(OR($MY88=0,$MC88=0),0,$MY88+3*IF(AND($MU88&lt;&gt;"",OR($MU88=INDEX($ED$2:$ED$13,$LY88),$MU88=INDEX($EE$2:$EE$13,$LY88))),1,0))</f>
        <v/>
      </c>
      <c r="NE88" s="152">
        <f>IF(OR($MZ88=0,$MC88=0),0,$MZ88+3*IF(AND($MV88&lt;&gt;"",OR($MV88=INDEX($ED$2:$ED$13,$LY88),$MV88=INDEX($EE$2:$EE$13,$LY88))),1,0))</f>
        <v/>
      </c>
      <c r="NF88" s="152">
        <f>IF(OR($NA88=0,$MC88=0),0,$NA88+3*IF(AND($MW88&lt;&gt;"",OR($MW88=INDEX($ED$2:$ED$13,$LY88),$MW88=INDEX($EE$2:$EE$13,$LY88))),1,0))</f>
        <v/>
      </c>
      <c r="NG88" s="152">
        <f>IF(OR($NB88=0,$MC88=0),0,$NB88+3*IF(AND($MX88&lt;&gt;"",OR($MX88=INDEX($ED$2:$ED$13,$LY88),$MX88=INDEX($EE$2:$EE$13,$LY88))),1,0))</f>
        <v/>
      </c>
      <c r="NH88" s="152">
        <f>IF($MT88=0,0,IF(INDEX($W$2:$W$11,$MT88)="",0,IF(COUNTIF(INDEX($ED$2:$EH$13,$LY88,0),INDEX($W$2:$W$11,$MT88))=0,1,0)))</f>
        <v/>
      </c>
      <c r="NI88" s="152">
        <f>IF(OR($MY88=0,$MU88=""),0,IF(COUNTIF(INDEX($ED$2:$EH$13,$LY88,0),$MU88)=0,1,0))</f>
        <v/>
      </c>
      <c r="NJ88" s="152">
        <f>IF(OR($MZ88=0,$MV88=""),0,IF(COUNTIF(INDEX($ED$2:$EH$13,$LY88,0),$MV88)=0,1,0))</f>
        <v/>
      </c>
      <c r="NK88" s="152">
        <f>IF(OR($NA88=0,$MW88=""),0,IF(COUNTIF(INDEX($ED$2:$EH$13,$LY88,0),$MW88)=0,1,0))</f>
        <v/>
      </c>
      <c r="NL88" s="152">
        <f>IF(OR($NB88=0,$MX88=""),0,IF(COUNTIF(INDEX($ED$2:$EH$13,$LY88,0),$MX88)=0,1,0))</f>
        <v/>
      </c>
      <c r="NM88" s="152">
        <f>IFERROR(VLOOKUP($MH88,$AV$2:$AZ$84,4,FALSE),0)+IFERROR(VLOOKUP($MI88,$AV$2:$AZ$84,4,FALSE),0)+IFERROR(VLOOKUP($MJ88,$AV$2:$AZ$84,4,FALSE),0)+IFERROR(VLOOKUP($MK88,$AV$2:$AZ$84,4,FALSE),0)</f>
        <v/>
      </c>
      <c r="NN88" s="152">
        <f>TEXTJOIN(", ",TRUE,IF(IFERROR(VLOOKUP($MH88,$AV$2:$AZ$84,5,FALSE),0)=1,$MH88,""),IF(IFERROR(VLOOKUP($MI88,$AV$2:$AZ$84,5,FALSE),0)=1,$MI88,""),IF(IFERROR(VLOOKUP($MJ88,$AV$2:$AZ$84,5,FALSE),0)=1,$MJ88,""),IF(IFERROR(VLOOKUP($MK88,$AV$2:$AZ$84,5,FALSE),0)=1,$MK88,""))</f>
        <v/>
      </c>
      <c r="NO88" s="152">
        <f>IF($MT88=0,0,INDEX($Y$2:$Y$11,$MT88))</f>
        <v/>
      </c>
      <c r="NP88" s="152">
        <f>IF($MT88=0,0,INDEX($Z$2:$Z$11,$MT88))</f>
        <v/>
      </c>
      <c r="NQ88" s="152">
        <f>IF($MT88=0,0,INDEX($AB$2:$AB$11,$MT88))</f>
        <v/>
      </c>
      <c r="NR88" s="152">
        <f>IFERROR(VLOOKUP($ML88,$BB$2:$BF$24,3,FALSE),0)</f>
        <v/>
      </c>
      <c r="NS88" s="152">
        <f>IFERROR(VLOOKUP($MM88,$BB$2:$BF$24,3,FALSE),0)</f>
        <v/>
      </c>
      <c r="NT88" s="152">
        <f>IFERROR(VLOOKUP($ML88,$BB$2:$BF$24,2,FALSE),"")</f>
        <v/>
      </c>
      <c r="NU88" s="152">
        <f>IFERROR(VLOOKUP($MM88,$BB$2:$BF$24,2,FALSE),"")</f>
        <v/>
      </c>
      <c r="NV88" s="152">
        <f>COUNTIF($NC88:$NG88,1)</f>
        <v/>
      </c>
      <c r="NW88" s="152">
        <f>COUNTIF($NC88:$NG88,2)</f>
        <v/>
      </c>
      <c r="NX88" s="152">
        <f>COUNTIF($NC88:$NG88,3)</f>
        <v/>
      </c>
      <c r="NY88" s="152">
        <f>COUNTIF($NC88:$NG88,4)</f>
        <v/>
      </c>
      <c r="NZ88" s="152">
        <f>COUNTIF($NC88:$NG88,5)</f>
        <v/>
      </c>
      <c r="OA88" s="152">
        <f>COUNTIF($NC88:$NG88,6)</f>
        <v/>
      </c>
      <c r="OB88" s="152">
        <f>COUNTIF($NR88:$NS88,1)</f>
        <v/>
      </c>
      <c r="OC88" s="152">
        <f>COUNTIF($NR88:$NS88,2)+$NO88</f>
        <v/>
      </c>
      <c r="OD88" s="152">
        <f>COUNTIF($MH88:$MK88,"?*")</f>
        <v/>
      </c>
      <c r="OE88" s="152">
        <f>COUNTIF($ML88:$MM88,"?*")+$NO88</f>
        <v/>
      </c>
      <c r="OF88" s="152">
        <f>IF($MC88=0,0,SUMPRODUCT($NV88:$OA88,INDEX($I$2:$N$8,MAX(1,$MC88),0)))</f>
        <v/>
      </c>
      <c r="OG88" s="152">
        <f>IF($MC88=0,0,$OB88*CEILING($MC88/2,1)+$OC88*$MC88)</f>
        <v/>
      </c>
      <c r="OH88" s="152">
        <f>MIN(2*$MC88,$OG88)</f>
        <v/>
      </c>
      <c r="OI88" s="152">
        <f>MIN($OH88,$OF88)</f>
        <v/>
      </c>
      <c r="OJ88" s="152">
        <f>$OH88-$OI88</f>
        <v/>
      </c>
      <c r="OK88" s="152">
        <f>IF($MC88=0,0,INDEX($P$2:$P$8,MAX(1,$MC88)))</f>
        <v/>
      </c>
      <c r="OL88" s="152">
        <f>$OK88-$OF88+$OI88</f>
        <v/>
      </c>
      <c r="OM88" s="152">
        <f>IF($MC88=0,MAX(0,$MQ88-IF($OD88&gt;0,1,0)),MAX(0,$OL88))</f>
        <v/>
      </c>
      <c r="ON88" s="152">
        <f>IF($MC88=0,0,(IF(COUNTIF($MH88:$MK88,"Salto")&gt;0,1,0)+IF(COUNTIF($MH88:$MK88,"Queima")&gt;0,1,0)+IF(COUNTIF($MH88:$MK88,"Estilhaço")&gt;0,1,0))*FLOOR($OM88/2,1))</f>
        <v/>
      </c>
      <c r="OO88" s="152">
        <f>MAX(0,2-SUMPRODUCT($NV88:$OA88,$I$2:$N$2)+MIN(2,$OB88*1+$OC88*1,SUMPRODUCT($NV88:$OA88,$I$2:$N$2)))</f>
        <v/>
      </c>
      <c r="OP88" s="152">
        <f>MAX(0,4-SUMPRODUCT($NV88:$OA88,$I$3:$N$3)+MIN(4,$OB88*1+$OC88*2,SUMPRODUCT($NV88:$OA88,$I$3:$N$3)))</f>
        <v/>
      </c>
      <c r="OQ88" s="152">
        <f>MAX(0,6-SUMPRODUCT($NV88:$OA88,$I$4:$N$4)+MIN(6,$OB88*2+$OC88*3,SUMPRODUCT($NV88:$OA88,$I$4:$N$4)))</f>
        <v/>
      </c>
      <c r="OR88" s="152">
        <f>MAX(0,9-SUMPRODUCT($NV88:$OA88,$I$5:$N$5)+MIN(8,$OB88*2+$OC88*4,SUMPRODUCT($NV88:$OA88,$I$5:$N$5)))</f>
        <v/>
      </c>
      <c r="OS88" s="152">
        <f>MAX(0,11-SUMPRODUCT($NV88:$OA88,$I$6:$N$6)+MIN(10,$OB88*3+$OC88*5,SUMPRODUCT($NV88:$OA88,$I$6:$N$6)))</f>
        <v/>
      </c>
      <c r="OT88" s="152">
        <f>MAX(0,13-SUMPRODUCT($NV88:$OA88,$I$7:$N$7)+MIN(12,$OB88*3+$OC88*6,SUMPRODUCT($NV88:$OA88,$I$7:$N$7)))</f>
        <v/>
      </c>
      <c r="OU88" s="152">
        <f>MAX(0,16-SUMPRODUCT($NV88:$OA88,$I$8:$N$8)+MIN(14,$OB88*4+$OC88*7,SUMPRODUCT($NV88:$OA88,$I$8:$N$8)))</f>
        <v/>
      </c>
      <c r="OV88" s="152">
        <f>IF($NP88=2,3*$OO88&amp;" de vida temp.",IF($NP88=3,"sem dano",IF($OO88=0,IF($NP88=1,"sem cura","sem dano"),IF($NP88=1,"cura ","")&amp;$OO88&amp;"d8")))</f>
        <v/>
      </c>
      <c r="OW88" s="152">
        <f>IF($NP88=2,3*$OP88&amp;" de vida temp.",IF($NP88=3,"sem dano",IF($OP88=0,IF($NP88=1,"sem cura","sem dano"),IF($NP88=1,"cura ","")&amp;$OP88&amp;"d8")))</f>
        <v/>
      </c>
      <c r="OX88" s="152">
        <f>IF($NP88=2,3*$OQ88&amp;" de vida temp.",IF($NP88=3,"sem dano",IF($OQ88=0,IF($NP88=1,"sem cura","sem dano"),IF($NP88=1,"cura ","")&amp;$OQ88&amp;"d8")))</f>
        <v/>
      </c>
      <c r="OY88" s="152">
        <f>IF($NP88=2,3*$OR88&amp;" de vida temp.",IF($NP88=3,"sem dano",IF($OR88=0,IF($NP88=1,"sem cura","sem dano"),IF($NP88=1,"cura ","")&amp;$OR88&amp;"d8")))</f>
        <v/>
      </c>
      <c r="OZ88" s="152">
        <f>IF($NP88=2,3*$OS88&amp;" de vida temp.",IF($NP88=3,"sem dano",IF($OS88=0,IF($NP88=1,"sem cura","sem dano"),IF($NP88=1,"cura ","")&amp;$OS88&amp;"d8")))</f>
        <v/>
      </c>
      <c r="PA88" s="152">
        <f>IF($NP88=2,3*$OT88&amp;" de vida temp.",IF($NP88=3,"sem dano",IF($OT88=0,IF($NP88=1,"sem cura","sem dano"),IF($NP88=1,"cura ","")&amp;$OT88&amp;"d8")))</f>
        <v/>
      </c>
      <c r="PB88" s="152">
        <f>IF($NP88=2,3*$OU88&amp;" de vida temp.",IF($NP88=3,"sem dano",IF($OU88=0,IF($NP88=1,"sem cura","sem dano"),IF($NP88=1,"cura ","")&amp;$OU88&amp;"d8")))</f>
        <v/>
      </c>
      <c r="PC88" s="152">
        <f>IF($MN88=0,"",TEXTJOIN(" · ",TRUE,IF($MA88&gt;$MO88,"Este lugar abre no nível "&amp;$MA88,""),IF($MC88&gt;$MP88,"Classe "&amp;$MC88&amp;": o nível "&amp;$MO88&amp;" libera até a "&amp;$MP88,""),IF($NH88=1,"A Forma "&amp;$ME88&amp;" pede "&amp;INDEX($W$2:$W$11,$MT88)&amp;" aberta",""),IF(AND($MC88=0,$MT88&gt;0,IF($MT88=0,0,INDEX($AF$2:$AF$11,$MT88))=0),$ME88&amp;" não existe na Classe 0",""),IF($NI88=1,"Família Fechada: "&amp;$MH88,""),IF($NJ88=1,"Família Fechada: "&amp;$MI88,""),IF($NK88=1,"Família Fechada: "&amp;$MJ88,""),IF($NL88=1,"Família Fechada: "&amp;$MK88,""),IF(AND($MC88&gt;0,$OD88&gt;INDEX($O$2:$O$8,MAX(1,$MC88))),$OD88&amp;" Melhorias: a Classe "&amp;$MC88&amp;" aceita "&amp;INDEX($O$2:$O$8,MAX(1,$MC88)),""),IF(AND($MC88=0,$OD88&gt;1),"A básica aceita uma Melhoria",""),IF(AND($MC88=0,COUNTIF($MY88:$NB88,"&gt;1")&gt;0),"A básica só aceita Melhoria Leve",""),IF(AND($MC88&gt;0,$OE88&gt;2),$OE88&amp;" Restrições"&amp;IF($NO88=1,", contando a que a Forma "&amp;$ME88&amp;" já traz","")&amp;": o limite é 2",""),IF(AND($MC88=0,COUNTIF($ML88:$MM88,"?*")&gt;1),"A básica aceita uma Restrição Leve",""),IF(AND($MC88=0,COUNTIF($NR88:$NS88,2)&gt;0),"A básica só aceita Restrição Leve",""),IF(AND($MC88&gt;0,$OL88&lt;0),"Orçamento estourado: faltam "&amp;(-$OL88)&amp;IF($OL88&lt;-1," pontos"," ponto"),""),IF(IFERROR(VLOOKUP($ML88,$BB$2:$BF$24,4,FALSE),0)+IFERROR(VLOOKUP($MM88,$BB$2:$BF$24,4,FALSE),0)&gt;1,$NT88&amp;" e "&amp;$NU88&amp;" são as duas de frequência",""),IF(AND((COUNTIF($MH88:$MK88,"Rápido")+COUNTIF($NT88:$NU88,"Rápido"))&gt;0,(COUNTIF($MH88:$MK88,"Atrasar")+COUNTIF($NT88:$NU88,"Atrasar"))&gt;0),"Rápido não entra com Atrasar",""),IF(AND((COUNTIF($MH88:$MK88,"Reação")+COUNTIF($NT88:$NU88,"Reação"))&gt;0,(COUNTIF($MH88:$MK88,"Rápido")+COUNTIF($NT88:$NU88,"Rápido"))&gt;0),"Reação não entra com Rápido",""),IF(AND((COUNTIF($MH88:$MK88,"Reação")+COUNTIF($NT88:$NU88,"Reação"))&gt;0,(COUNTIF($MH88:$MK88,"Armado")+COUNTIF($NT88:$NU88,"Armado"))&gt;0),"Reação não entra com Armado",""),IF(AND((COUNTIF($MH88:$MK88,"Reação")+COUNTIF($NT88:$NU88,"Reação"))&gt;0,(COUNTIF($MH88:$MK88,"Atrasar")+COUNTIF($NT88:$NU88,"Atrasar"))&gt;0),"Reação não entra com Atrasar",""),IF(AND((COUNTIF($MH88:$MK88,"Reação")+COUNTIF($NT88:$NU88,"Reação"))&gt;0,(COUNTIF($MH88:$MK88,"Parado")+COUNTIF($NT88:$NU88,"Parado"))&gt;0),"Reação não entra com Parado",""),IF(AND((COUNTIF($MH88:$MK88,"Atrasar")+COUNTIF($NT88:$NU88,"Atrasar"))&gt;0,(COUNTIF($MH88:$MK88,"Parado")+COUNTIF($NT88:$NU88,"Parado"))&gt;0),"Atrasar não entra com Parado",""),IF(AND((COUNTIF($MH88:$MK88,"Armado")+COUNTIF($NT88:$NU88,"Armado"))&gt;0,(COUNTIF($MH88:$MK88,"Carregar")+COUNTIF($NT88:$NU88,"Carregar"))&gt;0),"Armado não entra com Carregar",""),IF(AND(COUNTIF($NT88:$NU88,"Corpo a Corpo")&gt;0,$NO88=0,OR($ME88="Cone",$ME88="Linha")),"Corpo a Corpo não entra em "&amp;$ME88,""),IF(AND(COUNTIF($NT88:$NU88,"Corpo a Corpo")&gt;0,$NO88=1),"A Forma "&amp;$ME88&amp;" já traz o Corpo a Corpo",""),IF(AND(COUNTIF($NT88:$NU88,"Tudo ou Nada")&gt;0,$NQ88=0),"Tudo ou Nada só entra em habilidade de Teste de Resistência",""),IF(AND(COUNTIF($MH88:$MK88,"Inescapável")&gt;0,OR($OD88&gt;1,$OE88&gt;0)),"Inescapável não aceita outra peça",""),IF(AND($MC88&gt;0,$OM88*IF(COUNTIF($MH88:$MK88,"Remate")&gt;0,1.25,1)+$ON88&gt;4*$MC88),($OM88*IF(COUNTIF($MH88:$MK88,"Remate")&gt;0,1.25,1)+$ON88)&amp;" dados somando repetições"&amp;IF(COUNTIF($MH88:$MK88,"Remate")&gt;0," e o Remate","")&amp;": o teto da Classe "&amp;$MC88&amp;" é "&amp;4*$MC88,"")))</f>
        <v/>
      </c>
      <c r="PD88" s="152">
        <f>IF($PC88="",0,(LEN($PC88)-LEN(SUBSTITUTE($PC88," · ","")))/3+1)</f>
        <v/>
      </c>
      <c r="PE88" s="152">
        <f>IF($MN88=0,"",TEXTJOIN(" · ",TRUE,IF($OG88&gt;2*$MC88,"A devolução parou no teto de "&amp;2*$MC88,""),IF($OJ88&gt;0,"Devolução perdida: "&amp;$OJ88&amp;IF($OJ88&gt;1," pontos"," ponto")&amp;" sem peça para pagar",""),IF(AND($NM88&gt;0,AND($MC88&gt;0,$NP88=0),$OM88=0),"Controle sem dano: uma rodada a mais e CD +2",""),IF(AND($NM88&gt;0,AND($MC88&gt;0,$NP88=0),$OM88&gt;0,$OM88&lt;=$MC88),"Controle com saldo até a Classe: uma rodada a mais",""),IF(AND($MC88&gt;0,$NN88&lt;&gt;""),"Efeito de "&amp;$NN88&amp;" pela Classe "&amp;MAX(1,$MC88-1),"")))</f>
        <v/>
      </c>
      <c r="PF88" s="152">
        <f>IF($PE88="",0,(LEN($PE88)-LEN(SUBSTITUTE($PE88," · ","")))/3+1)</f>
        <v/>
      </c>
      <c r="PG88" s="152">
        <f>IF($MN88=0,IF($OD88+COUNTIF($ML88:$MM88,"?*")&gt;0,"Dê um nome",""),IF($PD88&gt;0,"⚠ "&amp;$PD88&amp;IF($PD88&gt;1," erros"," erro"),IF($PF88&gt;0,"! "&amp;$PF88&amp;IF($PF88&gt;1," avisos"," aviso"),"Na regra")))</f>
        <v/>
      </c>
      <c r="PH88" s="152">
        <f>IF($MN88=0,"",IF($PD88+$PF88=0,"Dentro das regras que a ficha confere",$PC88&amp;IF(AND($PD88&gt;0,$PF88&gt;0)," · ","")&amp;$PE88))</f>
        <v/>
      </c>
      <c r="PI88" s="152">
        <f>IF($MA88&gt;$MO88,$MB88&amp;" · ABRE NO NÍVEL "&amp;$MA88,$MB88)</f>
        <v/>
      </c>
      <c r="PJ88" s="152">
        <f>IF($MN88=0,"",IF($MC88=0,"Sem PE",3*$MC88&amp;" PE"))</f>
        <v/>
      </c>
      <c r="PK88" s="152">
        <f>IF($MN88=0,"",IF($MC88=0,"A atuação básica dela",IF(COUNTIF($NT88:$NU88,"Atrasar")&gt;0,"Sua Ação Completa",IF(COUNTIF($MH88:$MK88,"Rápido")&gt;0,"Sua Bônus",IF(COUNTIF($MH88:$MK88,"Reação")&gt;0,"Sua Reação","Sua Padrão")))&amp;" + a básica dela"&amp;IF(COUNTIF($MH88:$MK88,"Reação")&gt;0," e a coletiva","")&amp;IF(COUNTIF($NT88:$NU88,"Carregar")&gt;0," · em dois turnos","")))</f>
        <v/>
      </c>
      <c r="PL88" s="152">
        <f>IF($MG88&lt;&gt;"",$MG88,IF($MT88=0,"",INDEX($AA$2:$AA$11,$MT88)))</f>
        <v/>
      </c>
      <c r="PM88" s="152">
        <f>IF(OR($MN88=0,$MT88=0),"",IF(COUNTIF($MH88:$MK88,"Inescapável")&gt;0,"Automático",IF($PL88="Ataque",IF($MR88="","Ataque","Ataque "&amp;IF(($MR88+2*IF(COUNTIF($MH88:$MK88,"Precisão")&gt;0,1,0))&gt;=0,"+","−")&amp;ABS(($MR88+2*IF(COUNTIF($MH88:$MK88,"Precisão")&gt;0,1,0)))),IF(LEFT($PL88,2)="TR",$PL88&amp;IF($MS88="",""," · CD "&amp;$MS88)&amp;IF(COUNTIF($MH88:$MK88,"Certeiro")&gt;0," · metade",""),"Sem rolagem"))))</f>
        <v/>
      </c>
      <c r="PN88" s="152">
        <f>IF(OR($MN88=0,$MT88=0),"",IF($MC88=0,IF(OR($NP88&gt;=1,$OM88=0),"Sem dano",$OM88&amp;"d6"&amp;IF($MF88="",""," "&amp;$MF88)),IF(OR($NP88&gt;=1,$OM88=0),UPPER(LEFT(INDEX($OV88:$PB88,1,MAX(1,$MC88)),1))&amp;MID(INDEX($OV88:$PB88,1,MAX(1,$MC88)),2,99),UPPER(LEFT(INDEX($OV88:$PB88,1,MAX(1,$MC88)),1))&amp;MID(INDEX($OV88:$PB88,1,MAX(1,$MC88)),2,99)&amp;IF($MF88="",""," "&amp;$MF88)&amp;IF($ON88&gt;0," · +"&amp;$ON88&amp;"d8",""))))</f>
        <v/>
      </c>
      <c r="PO88" s="152">
        <f>COUNTIF($MH88:$MK88,"Longe")+3*COUNTIF($MH88:$MK88,"Muito Longe")</f>
        <v/>
      </c>
      <c r="PP88" s="152">
        <f>COUNTIF($MH88:$MK88,"Maior")+3*COUNTIF($MH88:$MK88,"Muito Maior")</f>
        <v/>
      </c>
      <c r="PQ88" s="152">
        <f>IF($MT88=0,0,CHOOSE(1+INDEX($AC$2:$AC$11,$MT88),0,$PO88,$PP88,$PO88+$PP88))</f>
        <v/>
      </c>
      <c r="PR88" s="152">
        <f>IF($MT88=0,0,CHOOSE(1+INDEX($AD$2:$AD$11,$MT88),0,$PO88,$PP88,$PO88+$PP88))</f>
        <v/>
      </c>
      <c r="PS88" s="152">
        <f>IF(OR($MN88=0,$MT88=0),"",INDEX($AI$2:$AN$41,($MT88-1)*4+IF($MC88=0,1,IF($MC88&lt;=5,2,IF($MC88=6,3,4))),1+MIN(5,$PQ88))&amp;INDEX($AO$2:$AT$41,($MT88-1)*4+IF($MC88=0,1,IF($MC88&lt;=5,2,IF($MC88=6,3,4))),1+MIN(5,$PR88))&amp;IF(INDEX($AE$2:$AE$11,$MT88)=1,IF(COUNTIF($MH88:$MK88,"Mais Um")&gt;0," · +"&amp;COUNTIF($MH88:$MK88,"Mais Um")&amp;IF(COUNTIF($MH88:$MK88,"Mais Um")&gt;1," alvos"," alvo"),"")&amp;IF(COUNTIF($MH88:$MK88,"Rajada")&gt;0,IF($MC88=0," · 1 tiro"," · "&amp;(MAX(1,$MC88-1)+1)&amp;" tiros"),""),""))</f>
        <v/>
      </c>
      <c r="PT88" s="152">
        <f>IF($MN88=0,"",IF($MC88=0,$MQ88&amp;"d6"&amp;IF($OD88&gt;0," − 1 = "&amp;$OM88&amp;"d6"," da básica do nível "&amp;$MO88),$OK88&amp;" − "&amp;$OF88&amp;" + "&amp;$OI88&amp;" = "&amp;$OL88&amp;" · teto "&amp;4*$MC88&amp;"d8"&amp;IF($NO88=1," · a Forma devolve "&amp;$MC88,"")&amp;IF($OJ88&gt;0," · perde "&amp;$OJ88,"")))</f>
        <v/>
      </c>
      <c r="PU88" s="152">
        <f>IF($MN88=0,"",IF($MC88=0,"A básica não amplia: os dados dela sobem com o nível",IF($MC88&gt;=$MP88,"Já está na maior Classe que o nível liberou",TEXTJOIN(" · ",TRUE,IF(AND(2&gt;$MC88,2&lt;=$MP88),"2 → "&amp;$OW88&amp;", 6 PE",""),IF(AND(3&gt;$MC88,3&lt;=$MP88),"3 → "&amp;$OX88&amp;", 9 PE",""),IF(AND(4&gt;$MC88,4&lt;=$MP88),"4 → "&amp;$OY88&amp;", 12 PE",""),IF(AND(5&gt;$MC88,5&lt;=$MP88),"5 → "&amp;$OZ88&amp;", 15 PE",""),IF(AND(6&gt;$MC88,6&lt;=$MP88),"6 → "&amp;$PA88&amp;", 18 PE",""),IF(AND(7&gt;$MC88,7&lt;=$MP88),"7 → "&amp;$PB88&amp;", 21 PE","")))))</f>
        <v/>
      </c>
      <c r="PV88" s="152">
        <f>IF(OR($MN88=0,$MY88=0),"",IF($MC88=0,"−1 dado","−"&amp;INDEX($I$2:$N$8,MAX(1,$MC88),MAX(1,$ND88))&amp;" · "&amp;CHOOSE(MAX(1,$ND88),"Leve","Média","Pesada","Leve · Livre","Média · Livre","Pesada · Livre")))</f>
        <v/>
      </c>
      <c r="PW88" s="152">
        <f>IF(OR($MN88=0,$MZ88=0),"",IF($MC88=0,"−1 dado","−"&amp;INDEX($I$2:$N$8,MAX(1,$MC88),MAX(1,$NE88))&amp;" · "&amp;CHOOSE(MAX(1,$NE88),"Leve","Média","Pesada","Leve · Livre","Média · Livre","Pesada · Livre")))</f>
        <v/>
      </c>
      <c r="PX88" s="152">
        <f>IF(OR($MN88=0,$NA88=0),"",IF($MC88=0,"−1 dado","−"&amp;INDEX($I$2:$N$8,MAX(1,$MC88),MAX(1,$NF88))&amp;" · "&amp;CHOOSE(MAX(1,$NF88),"Leve","Média","Pesada","Leve · Livre","Média · Livre","Pesada · Livre")))</f>
        <v/>
      </c>
      <c r="PY88" s="152">
        <f>IF(OR($MN88=0,$NB88=0),"",IF($MC88=0,"−1 dado","−"&amp;INDEX($I$2:$N$8,MAX(1,$MC88),MAX(1,$NG88))&amp;" · "&amp;CHOOSE(MAX(1,$NG88),"Leve","Média","Pesada","Leve · Livre","Média · Livre","Pesada · Livre")))</f>
        <v/>
      </c>
      <c r="PZ88" s="152">
        <f>IF(OR($MN88=0,$ML88=""),"",IF($MC88=0,"não devolve","+"&amp;IF($NR88=1,CEILING($MC88/2,1),$MC88)))</f>
        <v/>
      </c>
      <c r="QA88" s="152">
        <f>IF(OR($MN88=0,$MM88=""),"",IF($MC88=0,"não devolve","+"&amp;IF($NS88=1,CEILING($MC88/2,1),$MC88)))</f>
        <v/>
      </c>
    </row>
    <row r="89">
      <c r="LX89" s="150" t="inlineStr">
        <is>
          <t>Ficha 7 · Especial 8</t>
        </is>
      </c>
      <c r="LY89" s="152" t="n">
        <v>7</v>
      </c>
      <c r="LZ89" s="152" t="n">
        <v>1</v>
      </c>
      <c r="MA89" s="152" t="n">
        <v>28</v>
      </c>
      <c r="MB89" s="150" t="inlineStr">
        <is>
          <t>ESPECIAL 8</t>
        </is>
      </c>
      <c r="MC89" s="152">
        <f>MAX(1,MIN(7,N('INVOCAÇÕES'!$AB$136)))</f>
        <v/>
      </c>
      <c r="MD89" s="152">
        <f>'INVOCAÇÕES'!$AC$136&amp;""</f>
        <v/>
      </c>
      <c r="ME89" s="152">
        <f>'INVOCAÇÕES'!$AB$141&amp;""</f>
        <v/>
      </c>
      <c r="MF89" s="152">
        <f>'INVOCAÇÕES'!$AB$142&amp;""</f>
        <v/>
      </c>
      <c r="MG89" s="152">
        <f>'INVOCAÇÕES'!$AD$142&amp;""</f>
        <v/>
      </c>
      <c r="MH89" s="152">
        <f>'INVOCAÇÕES'!$AC$145&amp;""</f>
        <v/>
      </c>
      <c r="MI89" s="152">
        <f>'INVOCAÇÕES'!$AC$146&amp;""</f>
        <v/>
      </c>
      <c r="MJ89" s="152">
        <f>'INVOCAÇÕES'!$AC$147&amp;""</f>
        <v/>
      </c>
      <c r="MK89" s="152">
        <f>'INVOCAÇÕES'!$AC$148&amp;""</f>
        <v/>
      </c>
      <c r="ML89" s="152">
        <f>'INVOCAÇÕES'!$AC$149&amp;""</f>
        <v/>
      </c>
      <c r="MM89" s="152">
        <f>'INVOCAÇÕES'!$AC$150&amp;""</f>
        <v/>
      </c>
      <c r="MN89" s="152">
        <f>IF($MD89&lt;&gt;"",1,0)</f>
        <v/>
      </c>
      <c r="MO89" s="152">
        <f>INDEX($FG$2:$FG$13,$LY89)</f>
        <v/>
      </c>
      <c r="MP89" s="152">
        <f>INDEX($FH$2:$FH$13,$LY89)</f>
        <v/>
      </c>
      <c r="MQ89" s="152">
        <f>INDEX($FI$2:$FI$13,$LY89)</f>
        <v/>
      </c>
      <c r="MR89" s="152">
        <f>INDEX($FT$2:$FT$13,$LY89)</f>
        <v/>
      </c>
      <c r="MS89" s="152">
        <f>INDEX($FU$2:$FU$13,$LY89)</f>
        <v/>
      </c>
      <c r="MT89" s="152">
        <f>IFERROR(MATCH($ME89,$V$2:$V$11,0),0)</f>
        <v/>
      </c>
      <c r="MU89" s="152">
        <f>IFERROR(VLOOKUP($MH89,$AV$2:$AZ$84,2,FALSE),"")</f>
        <v/>
      </c>
      <c r="MV89" s="152">
        <f>IFERROR(VLOOKUP($MI89,$AV$2:$AZ$84,2,FALSE),"")</f>
        <v/>
      </c>
      <c r="MW89" s="152">
        <f>IFERROR(VLOOKUP($MJ89,$AV$2:$AZ$84,2,FALSE),"")</f>
        <v/>
      </c>
      <c r="MX89" s="152">
        <f>IFERROR(VLOOKUP($MK89,$AV$2:$AZ$84,2,FALSE),"")</f>
        <v/>
      </c>
      <c r="MY89" s="152">
        <f>IFERROR(VLOOKUP($MH89,$AV$2:$AZ$84,3,FALSE),0)</f>
        <v/>
      </c>
      <c r="MZ89" s="152">
        <f>IFERROR(VLOOKUP($MI89,$AV$2:$AZ$84,3,FALSE),0)</f>
        <v/>
      </c>
      <c r="NA89" s="152">
        <f>IFERROR(VLOOKUP($MJ89,$AV$2:$AZ$84,3,FALSE),0)</f>
        <v/>
      </c>
      <c r="NB89" s="152">
        <f>IFERROR(VLOOKUP($MK89,$AV$2:$AZ$84,3,FALSE),0)</f>
        <v/>
      </c>
      <c r="NC89" s="152">
        <f>IF($MC89=0,0,IF($MT89=0,0,INDEX($X$2:$X$11,$MT89)))</f>
        <v/>
      </c>
      <c r="ND89" s="152">
        <f>IF(OR($MY89=0,$MC89=0),0,$MY89+3*IF(AND($MU89&lt;&gt;"",OR($MU89=INDEX($ED$2:$ED$13,$LY89),$MU89=INDEX($EE$2:$EE$13,$LY89))),1,0))</f>
        <v/>
      </c>
      <c r="NE89" s="152">
        <f>IF(OR($MZ89=0,$MC89=0),0,$MZ89+3*IF(AND($MV89&lt;&gt;"",OR($MV89=INDEX($ED$2:$ED$13,$LY89),$MV89=INDEX($EE$2:$EE$13,$LY89))),1,0))</f>
        <v/>
      </c>
      <c r="NF89" s="152">
        <f>IF(OR($NA89=0,$MC89=0),0,$NA89+3*IF(AND($MW89&lt;&gt;"",OR($MW89=INDEX($ED$2:$ED$13,$LY89),$MW89=INDEX($EE$2:$EE$13,$LY89))),1,0))</f>
        <v/>
      </c>
      <c r="NG89" s="152">
        <f>IF(OR($NB89=0,$MC89=0),0,$NB89+3*IF(AND($MX89&lt;&gt;"",OR($MX89=INDEX($ED$2:$ED$13,$LY89),$MX89=INDEX($EE$2:$EE$13,$LY89))),1,0))</f>
        <v/>
      </c>
      <c r="NH89" s="152">
        <f>IF($MT89=0,0,IF(INDEX($W$2:$W$11,$MT89)="",0,IF(COUNTIF(INDEX($ED$2:$EH$13,$LY89,0),INDEX($W$2:$W$11,$MT89))=0,1,0)))</f>
        <v/>
      </c>
      <c r="NI89" s="152">
        <f>IF(OR($MY89=0,$MU89=""),0,IF(COUNTIF(INDEX($ED$2:$EH$13,$LY89,0),$MU89)=0,1,0))</f>
        <v/>
      </c>
      <c r="NJ89" s="152">
        <f>IF(OR($MZ89=0,$MV89=""),0,IF(COUNTIF(INDEX($ED$2:$EH$13,$LY89,0),$MV89)=0,1,0))</f>
        <v/>
      </c>
      <c r="NK89" s="152">
        <f>IF(OR($NA89=0,$MW89=""),0,IF(COUNTIF(INDEX($ED$2:$EH$13,$LY89,0),$MW89)=0,1,0))</f>
        <v/>
      </c>
      <c r="NL89" s="152">
        <f>IF(OR($NB89=0,$MX89=""),0,IF(COUNTIF(INDEX($ED$2:$EH$13,$LY89,0),$MX89)=0,1,0))</f>
        <v/>
      </c>
      <c r="NM89" s="152">
        <f>IFERROR(VLOOKUP($MH89,$AV$2:$AZ$84,4,FALSE),0)+IFERROR(VLOOKUP($MI89,$AV$2:$AZ$84,4,FALSE),0)+IFERROR(VLOOKUP($MJ89,$AV$2:$AZ$84,4,FALSE),0)+IFERROR(VLOOKUP($MK89,$AV$2:$AZ$84,4,FALSE),0)</f>
        <v/>
      </c>
      <c r="NN89" s="152">
        <f>TEXTJOIN(", ",TRUE,IF(IFERROR(VLOOKUP($MH89,$AV$2:$AZ$84,5,FALSE),0)=1,$MH89,""),IF(IFERROR(VLOOKUP($MI89,$AV$2:$AZ$84,5,FALSE),0)=1,$MI89,""),IF(IFERROR(VLOOKUP($MJ89,$AV$2:$AZ$84,5,FALSE),0)=1,$MJ89,""),IF(IFERROR(VLOOKUP($MK89,$AV$2:$AZ$84,5,FALSE),0)=1,$MK89,""))</f>
        <v/>
      </c>
      <c r="NO89" s="152">
        <f>IF($MT89=0,0,INDEX($Y$2:$Y$11,$MT89))</f>
        <v/>
      </c>
      <c r="NP89" s="152">
        <f>IF($MT89=0,0,INDEX($Z$2:$Z$11,$MT89))</f>
        <v/>
      </c>
      <c r="NQ89" s="152">
        <f>IF($MT89=0,0,INDEX($AB$2:$AB$11,$MT89))</f>
        <v/>
      </c>
      <c r="NR89" s="152">
        <f>IFERROR(VLOOKUP($ML89,$BB$2:$BF$24,3,FALSE),0)</f>
        <v/>
      </c>
      <c r="NS89" s="152">
        <f>IFERROR(VLOOKUP($MM89,$BB$2:$BF$24,3,FALSE),0)</f>
        <v/>
      </c>
      <c r="NT89" s="152">
        <f>IFERROR(VLOOKUP($ML89,$BB$2:$BF$24,2,FALSE),"")</f>
        <v/>
      </c>
      <c r="NU89" s="152">
        <f>IFERROR(VLOOKUP($MM89,$BB$2:$BF$24,2,FALSE),"")</f>
        <v/>
      </c>
      <c r="NV89" s="152">
        <f>COUNTIF($NC89:$NG89,1)</f>
        <v/>
      </c>
      <c r="NW89" s="152">
        <f>COUNTIF($NC89:$NG89,2)</f>
        <v/>
      </c>
      <c r="NX89" s="152">
        <f>COUNTIF($NC89:$NG89,3)</f>
        <v/>
      </c>
      <c r="NY89" s="152">
        <f>COUNTIF($NC89:$NG89,4)</f>
        <v/>
      </c>
      <c r="NZ89" s="152">
        <f>COUNTIF($NC89:$NG89,5)</f>
        <v/>
      </c>
      <c r="OA89" s="152">
        <f>COUNTIF($NC89:$NG89,6)</f>
        <v/>
      </c>
      <c r="OB89" s="152">
        <f>COUNTIF($NR89:$NS89,1)</f>
        <v/>
      </c>
      <c r="OC89" s="152">
        <f>COUNTIF($NR89:$NS89,2)+$NO89</f>
        <v/>
      </c>
      <c r="OD89" s="152">
        <f>COUNTIF($MH89:$MK89,"?*")</f>
        <v/>
      </c>
      <c r="OE89" s="152">
        <f>COUNTIF($ML89:$MM89,"?*")+$NO89</f>
        <v/>
      </c>
      <c r="OF89" s="152">
        <f>IF($MC89=0,0,SUMPRODUCT($NV89:$OA89,INDEX($I$2:$N$8,MAX(1,$MC89),0)))</f>
        <v/>
      </c>
      <c r="OG89" s="152">
        <f>IF($MC89=0,0,$OB89*CEILING($MC89/2,1)+$OC89*$MC89)</f>
        <v/>
      </c>
      <c r="OH89" s="152">
        <f>MIN(2*$MC89,$OG89)</f>
        <v/>
      </c>
      <c r="OI89" s="152">
        <f>MIN($OH89,$OF89)</f>
        <v/>
      </c>
      <c r="OJ89" s="152">
        <f>$OH89-$OI89</f>
        <v/>
      </c>
      <c r="OK89" s="152">
        <f>IF($MC89=0,0,INDEX($P$2:$P$8,MAX(1,$MC89)))</f>
        <v/>
      </c>
      <c r="OL89" s="152">
        <f>$OK89-$OF89+$OI89</f>
        <v/>
      </c>
      <c r="OM89" s="152">
        <f>IF($MC89=0,MAX(0,$MQ89-IF($OD89&gt;0,1,0)),MAX(0,$OL89))</f>
        <v/>
      </c>
      <c r="ON89" s="152">
        <f>IF($MC89=0,0,(IF(COUNTIF($MH89:$MK89,"Salto")&gt;0,1,0)+IF(COUNTIF($MH89:$MK89,"Queima")&gt;0,1,0)+IF(COUNTIF($MH89:$MK89,"Estilhaço")&gt;0,1,0))*FLOOR($OM89/2,1))</f>
        <v/>
      </c>
      <c r="OO89" s="152">
        <f>MAX(0,2-SUMPRODUCT($NV89:$OA89,$I$2:$N$2)+MIN(2,$OB89*1+$OC89*1,SUMPRODUCT($NV89:$OA89,$I$2:$N$2)))</f>
        <v/>
      </c>
      <c r="OP89" s="152">
        <f>MAX(0,4-SUMPRODUCT($NV89:$OA89,$I$3:$N$3)+MIN(4,$OB89*1+$OC89*2,SUMPRODUCT($NV89:$OA89,$I$3:$N$3)))</f>
        <v/>
      </c>
      <c r="OQ89" s="152">
        <f>MAX(0,6-SUMPRODUCT($NV89:$OA89,$I$4:$N$4)+MIN(6,$OB89*2+$OC89*3,SUMPRODUCT($NV89:$OA89,$I$4:$N$4)))</f>
        <v/>
      </c>
      <c r="OR89" s="152">
        <f>MAX(0,9-SUMPRODUCT($NV89:$OA89,$I$5:$N$5)+MIN(8,$OB89*2+$OC89*4,SUMPRODUCT($NV89:$OA89,$I$5:$N$5)))</f>
        <v/>
      </c>
      <c r="OS89" s="152">
        <f>MAX(0,11-SUMPRODUCT($NV89:$OA89,$I$6:$N$6)+MIN(10,$OB89*3+$OC89*5,SUMPRODUCT($NV89:$OA89,$I$6:$N$6)))</f>
        <v/>
      </c>
      <c r="OT89" s="152">
        <f>MAX(0,13-SUMPRODUCT($NV89:$OA89,$I$7:$N$7)+MIN(12,$OB89*3+$OC89*6,SUMPRODUCT($NV89:$OA89,$I$7:$N$7)))</f>
        <v/>
      </c>
      <c r="OU89" s="152">
        <f>MAX(0,16-SUMPRODUCT($NV89:$OA89,$I$8:$N$8)+MIN(14,$OB89*4+$OC89*7,SUMPRODUCT($NV89:$OA89,$I$8:$N$8)))</f>
        <v/>
      </c>
      <c r="OV89" s="152">
        <f>IF($NP89=2,3*$OO89&amp;" de vida temp.",IF($NP89=3,"sem dano",IF($OO89=0,IF($NP89=1,"sem cura","sem dano"),IF($NP89=1,"cura ","")&amp;$OO89&amp;"d8")))</f>
        <v/>
      </c>
      <c r="OW89" s="152">
        <f>IF($NP89=2,3*$OP89&amp;" de vida temp.",IF($NP89=3,"sem dano",IF($OP89=0,IF($NP89=1,"sem cura","sem dano"),IF($NP89=1,"cura ","")&amp;$OP89&amp;"d8")))</f>
        <v/>
      </c>
      <c r="OX89" s="152">
        <f>IF($NP89=2,3*$OQ89&amp;" de vida temp.",IF($NP89=3,"sem dano",IF($OQ89=0,IF($NP89=1,"sem cura","sem dano"),IF($NP89=1,"cura ","")&amp;$OQ89&amp;"d8")))</f>
        <v/>
      </c>
      <c r="OY89" s="152">
        <f>IF($NP89=2,3*$OR89&amp;" de vida temp.",IF($NP89=3,"sem dano",IF($OR89=0,IF($NP89=1,"sem cura","sem dano"),IF($NP89=1,"cura ","")&amp;$OR89&amp;"d8")))</f>
        <v/>
      </c>
      <c r="OZ89" s="152">
        <f>IF($NP89=2,3*$OS89&amp;" de vida temp.",IF($NP89=3,"sem dano",IF($OS89=0,IF($NP89=1,"sem cura","sem dano"),IF($NP89=1,"cura ","")&amp;$OS89&amp;"d8")))</f>
        <v/>
      </c>
      <c r="PA89" s="152">
        <f>IF($NP89=2,3*$OT89&amp;" de vida temp.",IF($NP89=3,"sem dano",IF($OT89=0,IF($NP89=1,"sem cura","sem dano"),IF($NP89=1,"cura ","")&amp;$OT89&amp;"d8")))</f>
        <v/>
      </c>
      <c r="PB89" s="152">
        <f>IF($NP89=2,3*$OU89&amp;" de vida temp.",IF($NP89=3,"sem dano",IF($OU89=0,IF($NP89=1,"sem cura","sem dano"),IF($NP89=1,"cura ","")&amp;$OU89&amp;"d8")))</f>
        <v/>
      </c>
      <c r="PC89" s="152">
        <f>IF($MN89=0,"",TEXTJOIN(" · ",TRUE,IF($MA89&gt;$MO89,"Este lugar abre no nível "&amp;$MA89,""),IF($MC89&gt;$MP89,"Classe "&amp;$MC89&amp;": o nível "&amp;$MO89&amp;" libera até a "&amp;$MP89,""),IF($NH89=1,"A Forma "&amp;$ME89&amp;" pede "&amp;INDEX($W$2:$W$11,$MT89)&amp;" aberta",""),IF(AND($MC89=0,$MT89&gt;0,IF($MT89=0,0,INDEX($AF$2:$AF$11,$MT89))=0),$ME89&amp;" não existe na Classe 0",""),IF($NI89=1,"Família Fechada: "&amp;$MH89,""),IF($NJ89=1,"Família Fechada: "&amp;$MI89,""),IF($NK89=1,"Família Fechada: "&amp;$MJ89,""),IF($NL89=1,"Família Fechada: "&amp;$MK89,""),IF(AND($MC89&gt;0,$OD89&gt;INDEX($O$2:$O$8,MAX(1,$MC89))),$OD89&amp;" Melhorias: a Classe "&amp;$MC89&amp;" aceita "&amp;INDEX($O$2:$O$8,MAX(1,$MC89)),""),IF(AND($MC89=0,$OD89&gt;1),"A básica aceita uma Melhoria",""),IF(AND($MC89=0,COUNTIF($MY89:$NB89,"&gt;1")&gt;0),"A básica só aceita Melhoria Leve",""),IF(AND($MC89&gt;0,$OE89&gt;2),$OE89&amp;" Restrições"&amp;IF($NO89=1,", contando a que a Forma "&amp;$ME89&amp;" já traz","")&amp;": o limite é 2",""),IF(AND($MC89=0,COUNTIF($ML89:$MM89,"?*")&gt;1),"A básica aceita uma Restrição Leve",""),IF(AND($MC89=0,COUNTIF($NR89:$NS89,2)&gt;0),"A básica só aceita Restrição Leve",""),IF(AND($MC89&gt;0,$OL89&lt;0),"Orçamento estourado: faltam "&amp;(-$OL89)&amp;IF($OL89&lt;-1," pontos"," ponto"),""),IF(IFERROR(VLOOKUP($ML89,$BB$2:$BF$24,4,FALSE),0)+IFERROR(VLOOKUP($MM89,$BB$2:$BF$24,4,FALSE),0)&gt;1,$NT89&amp;" e "&amp;$NU89&amp;" são as duas de frequência",""),IF(AND((COUNTIF($MH89:$MK89,"Rápido")+COUNTIF($NT89:$NU89,"Rápido"))&gt;0,(COUNTIF($MH89:$MK89,"Atrasar")+COUNTIF($NT89:$NU89,"Atrasar"))&gt;0),"Rápido não entra com Atrasar",""),IF(AND((COUNTIF($MH89:$MK89,"Reação")+COUNTIF($NT89:$NU89,"Reação"))&gt;0,(COUNTIF($MH89:$MK89,"Rápido")+COUNTIF($NT89:$NU89,"Rápido"))&gt;0),"Reação não entra com Rápido",""),IF(AND((COUNTIF($MH89:$MK89,"Reação")+COUNTIF($NT89:$NU89,"Reação"))&gt;0,(COUNTIF($MH89:$MK89,"Armado")+COUNTIF($NT89:$NU89,"Armado"))&gt;0),"Reação não entra com Armado",""),IF(AND((COUNTIF($MH89:$MK89,"Reação")+COUNTIF($NT89:$NU89,"Reação"))&gt;0,(COUNTIF($MH89:$MK89,"Atrasar")+COUNTIF($NT89:$NU89,"Atrasar"))&gt;0),"Reação não entra com Atrasar",""),IF(AND((COUNTIF($MH89:$MK89,"Reação")+COUNTIF($NT89:$NU89,"Reação"))&gt;0,(COUNTIF($MH89:$MK89,"Parado")+COUNTIF($NT89:$NU89,"Parado"))&gt;0),"Reação não entra com Parado",""),IF(AND((COUNTIF($MH89:$MK89,"Atrasar")+COUNTIF($NT89:$NU89,"Atrasar"))&gt;0,(COUNTIF($MH89:$MK89,"Parado")+COUNTIF($NT89:$NU89,"Parado"))&gt;0),"Atrasar não entra com Parado",""),IF(AND((COUNTIF($MH89:$MK89,"Armado")+COUNTIF($NT89:$NU89,"Armado"))&gt;0,(COUNTIF($MH89:$MK89,"Carregar")+COUNTIF($NT89:$NU89,"Carregar"))&gt;0),"Armado não entra com Carregar",""),IF(AND(COUNTIF($NT89:$NU89,"Corpo a Corpo")&gt;0,$NO89=0,OR($ME89="Cone",$ME89="Linha")),"Corpo a Corpo não entra em "&amp;$ME89,""),IF(AND(COUNTIF($NT89:$NU89,"Corpo a Corpo")&gt;0,$NO89=1),"A Forma "&amp;$ME89&amp;" já traz o Corpo a Corpo",""),IF(AND(COUNTIF($NT89:$NU89,"Tudo ou Nada")&gt;0,$NQ89=0),"Tudo ou Nada só entra em habilidade de Teste de Resistência",""),IF(AND(COUNTIF($MH89:$MK89,"Inescapável")&gt;0,OR($OD89&gt;1,$OE89&gt;0)),"Inescapável não aceita outra peça",""),IF(AND($MC89&gt;0,$OM89*IF(COUNTIF($MH89:$MK89,"Remate")&gt;0,1.25,1)+$ON89&gt;4*$MC89),($OM89*IF(COUNTIF($MH89:$MK89,"Remate")&gt;0,1.25,1)+$ON89)&amp;" dados somando repetições"&amp;IF(COUNTIF($MH89:$MK89,"Remate")&gt;0," e o Remate","")&amp;": o teto da Classe "&amp;$MC89&amp;" é "&amp;4*$MC89,"")))</f>
        <v/>
      </c>
      <c r="PD89" s="152">
        <f>IF($PC89="",0,(LEN($PC89)-LEN(SUBSTITUTE($PC89," · ","")))/3+1)</f>
        <v/>
      </c>
      <c r="PE89" s="152">
        <f>IF($MN89=0,"",TEXTJOIN(" · ",TRUE,IF($OG89&gt;2*$MC89,"A devolução parou no teto de "&amp;2*$MC89,""),IF($OJ89&gt;0,"Devolução perdida: "&amp;$OJ89&amp;IF($OJ89&gt;1," pontos"," ponto")&amp;" sem peça para pagar",""),IF(AND($NM89&gt;0,AND($MC89&gt;0,$NP89=0),$OM89=0),"Controle sem dano: uma rodada a mais e CD +2",""),IF(AND($NM89&gt;0,AND($MC89&gt;0,$NP89=0),$OM89&gt;0,$OM89&lt;=$MC89),"Controle com saldo até a Classe: uma rodada a mais",""),IF(AND($MC89&gt;0,$NN89&lt;&gt;""),"Efeito de "&amp;$NN89&amp;" pela Classe "&amp;MAX(1,$MC89-1),"")))</f>
        <v/>
      </c>
      <c r="PF89" s="152">
        <f>IF($PE89="",0,(LEN($PE89)-LEN(SUBSTITUTE($PE89," · ","")))/3+1)</f>
        <v/>
      </c>
      <c r="PG89" s="152">
        <f>IF($MN89=0,IF($OD89+COUNTIF($ML89:$MM89,"?*")&gt;0,"Dê um nome",""),IF($PD89&gt;0,"⚠ "&amp;$PD89&amp;IF($PD89&gt;1," erros"," erro"),IF($PF89&gt;0,"! "&amp;$PF89&amp;IF($PF89&gt;1," avisos"," aviso"),"Na regra")))</f>
        <v/>
      </c>
      <c r="PH89" s="152">
        <f>IF($MN89=0,"",IF($PD89+$PF89=0,"Dentro das regras que a ficha confere",$PC89&amp;IF(AND($PD89&gt;0,$PF89&gt;0)," · ","")&amp;$PE89))</f>
        <v/>
      </c>
      <c r="PI89" s="152">
        <f>IF($MA89&gt;$MO89,$MB89&amp;" · ABRE NO NÍVEL "&amp;$MA89,$MB89)</f>
        <v/>
      </c>
      <c r="PJ89" s="152">
        <f>IF($MN89=0,"",IF($MC89=0,"Sem PE",3*$MC89&amp;" PE"))</f>
        <v/>
      </c>
      <c r="PK89" s="152">
        <f>IF($MN89=0,"",IF($MC89=0,"A atuação básica dela",IF(COUNTIF($NT89:$NU89,"Atrasar")&gt;0,"Sua Ação Completa",IF(COUNTIF($MH89:$MK89,"Rápido")&gt;0,"Sua Bônus",IF(COUNTIF($MH89:$MK89,"Reação")&gt;0,"Sua Reação","Sua Padrão")))&amp;" + a básica dela"&amp;IF(COUNTIF($MH89:$MK89,"Reação")&gt;0," e a coletiva","")&amp;IF(COUNTIF($NT89:$NU89,"Carregar")&gt;0," · em dois turnos","")))</f>
        <v/>
      </c>
      <c r="PL89" s="152">
        <f>IF($MG89&lt;&gt;"",$MG89,IF($MT89=0,"",INDEX($AA$2:$AA$11,$MT89)))</f>
        <v/>
      </c>
      <c r="PM89" s="152">
        <f>IF(OR($MN89=0,$MT89=0),"",IF(COUNTIF($MH89:$MK89,"Inescapável")&gt;0,"Automático",IF($PL89="Ataque",IF($MR89="","Ataque","Ataque "&amp;IF(($MR89+2*IF(COUNTIF($MH89:$MK89,"Precisão")&gt;0,1,0))&gt;=0,"+","−")&amp;ABS(($MR89+2*IF(COUNTIF($MH89:$MK89,"Precisão")&gt;0,1,0)))),IF(LEFT($PL89,2)="TR",$PL89&amp;IF($MS89="",""," · CD "&amp;$MS89)&amp;IF(COUNTIF($MH89:$MK89,"Certeiro")&gt;0," · metade",""),"Sem rolagem"))))</f>
        <v/>
      </c>
      <c r="PN89" s="152">
        <f>IF(OR($MN89=0,$MT89=0),"",IF($MC89=0,IF(OR($NP89&gt;=1,$OM89=0),"Sem dano",$OM89&amp;"d6"&amp;IF($MF89="",""," "&amp;$MF89)),IF(OR($NP89&gt;=1,$OM89=0),UPPER(LEFT(INDEX($OV89:$PB89,1,MAX(1,$MC89)),1))&amp;MID(INDEX($OV89:$PB89,1,MAX(1,$MC89)),2,99),UPPER(LEFT(INDEX($OV89:$PB89,1,MAX(1,$MC89)),1))&amp;MID(INDEX($OV89:$PB89,1,MAX(1,$MC89)),2,99)&amp;IF($MF89="",""," "&amp;$MF89)&amp;IF($ON89&gt;0," · +"&amp;$ON89&amp;"d8",""))))</f>
        <v/>
      </c>
      <c r="PO89" s="152">
        <f>COUNTIF($MH89:$MK89,"Longe")+3*COUNTIF($MH89:$MK89,"Muito Longe")</f>
        <v/>
      </c>
      <c r="PP89" s="152">
        <f>COUNTIF($MH89:$MK89,"Maior")+3*COUNTIF($MH89:$MK89,"Muito Maior")</f>
        <v/>
      </c>
      <c r="PQ89" s="152">
        <f>IF($MT89=0,0,CHOOSE(1+INDEX($AC$2:$AC$11,$MT89),0,$PO89,$PP89,$PO89+$PP89))</f>
        <v/>
      </c>
      <c r="PR89" s="152">
        <f>IF($MT89=0,0,CHOOSE(1+INDEX($AD$2:$AD$11,$MT89),0,$PO89,$PP89,$PO89+$PP89))</f>
        <v/>
      </c>
      <c r="PS89" s="152">
        <f>IF(OR($MN89=0,$MT89=0),"",INDEX($AI$2:$AN$41,($MT89-1)*4+IF($MC89=0,1,IF($MC89&lt;=5,2,IF($MC89=6,3,4))),1+MIN(5,$PQ89))&amp;INDEX($AO$2:$AT$41,($MT89-1)*4+IF($MC89=0,1,IF($MC89&lt;=5,2,IF($MC89=6,3,4))),1+MIN(5,$PR89))&amp;IF(INDEX($AE$2:$AE$11,$MT89)=1,IF(COUNTIF($MH89:$MK89,"Mais Um")&gt;0," · +"&amp;COUNTIF($MH89:$MK89,"Mais Um")&amp;IF(COUNTIF($MH89:$MK89,"Mais Um")&gt;1," alvos"," alvo"),"")&amp;IF(COUNTIF($MH89:$MK89,"Rajada")&gt;0,IF($MC89=0," · 1 tiro"," · "&amp;(MAX(1,$MC89-1)+1)&amp;" tiros"),""),""))</f>
        <v/>
      </c>
      <c r="PT89" s="152">
        <f>IF($MN89=0,"",IF($MC89=0,$MQ89&amp;"d6"&amp;IF($OD89&gt;0," − 1 = "&amp;$OM89&amp;"d6"," da básica do nível "&amp;$MO89),$OK89&amp;" − "&amp;$OF89&amp;" + "&amp;$OI89&amp;" = "&amp;$OL89&amp;" · teto "&amp;4*$MC89&amp;"d8"&amp;IF($NO89=1," · a Forma devolve "&amp;$MC89,"")&amp;IF($OJ89&gt;0," · perde "&amp;$OJ89,"")))</f>
        <v/>
      </c>
      <c r="PU89" s="152">
        <f>IF($MN89=0,"",IF($MC89=0,"A básica não amplia: os dados dela sobem com o nível",IF($MC89&gt;=$MP89,"Já está na maior Classe que o nível liberou",TEXTJOIN(" · ",TRUE,IF(AND(2&gt;$MC89,2&lt;=$MP89),"2 → "&amp;$OW89&amp;", 6 PE",""),IF(AND(3&gt;$MC89,3&lt;=$MP89),"3 → "&amp;$OX89&amp;", 9 PE",""),IF(AND(4&gt;$MC89,4&lt;=$MP89),"4 → "&amp;$OY89&amp;", 12 PE",""),IF(AND(5&gt;$MC89,5&lt;=$MP89),"5 → "&amp;$OZ89&amp;", 15 PE",""),IF(AND(6&gt;$MC89,6&lt;=$MP89),"6 → "&amp;$PA89&amp;", 18 PE",""),IF(AND(7&gt;$MC89,7&lt;=$MP89),"7 → "&amp;$PB89&amp;", 21 PE","")))))</f>
        <v/>
      </c>
      <c r="PV89" s="152">
        <f>IF(OR($MN89=0,$MY89=0),"",IF($MC89=0,"−1 dado","−"&amp;INDEX($I$2:$N$8,MAX(1,$MC89),MAX(1,$ND89))&amp;" · "&amp;CHOOSE(MAX(1,$ND89),"Leve","Média","Pesada","Leve · Livre","Média · Livre","Pesada · Livre")))</f>
        <v/>
      </c>
      <c r="PW89" s="152">
        <f>IF(OR($MN89=0,$MZ89=0),"",IF($MC89=0,"−1 dado","−"&amp;INDEX($I$2:$N$8,MAX(1,$MC89),MAX(1,$NE89))&amp;" · "&amp;CHOOSE(MAX(1,$NE89),"Leve","Média","Pesada","Leve · Livre","Média · Livre","Pesada · Livre")))</f>
        <v/>
      </c>
      <c r="PX89" s="152">
        <f>IF(OR($MN89=0,$NA89=0),"",IF($MC89=0,"−1 dado","−"&amp;INDEX($I$2:$N$8,MAX(1,$MC89),MAX(1,$NF89))&amp;" · "&amp;CHOOSE(MAX(1,$NF89),"Leve","Média","Pesada","Leve · Livre","Média · Livre","Pesada · Livre")))</f>
        <v/>
      </c>
      <c r="PY89" s="152">
        <f>IF(OR($MN89=0,$NB89=0),"",IF($MC89=0,"−1 dado","−"&amp;INDEX($I$2:$N$8,MAX(1,$MC89),MAX(1,$NG89))&amp;" · "&amp;CHOOSE(MAX(1,$NG89),"Leve","Média","Pesada","Leve · Livre","Média · Livre","Pesada · Livre")))</f>
        <v/>
      </c>
      <c r="PZ89" s="152">
        <f>IF(OR($MN89=0,$ML89=""),"",IF($MC89=0,"não devolve","+"&amp;IF($NR89=1,CEILING($MC89/2,1),$MC89)))</f>
        <v/>
      </c>
      <c r="QA89" s="152">
        <f>IF(OR($MN89=0,$MM89=""),"",IF($MC89=0,"não devolve","+"&amp;IF($NS89=1,CEILING($MC89/2,1),$MC89)))</f>
        <v/>
      </c>
    </row>
    <row r="90">
      <c r="LX90" s="150" t="inlineStr">
        <is>
          <t>Ficha 7 · Escolha da trilha 1</t>
        </is>
      </c>
      <c r="LY90" s="152" t="n">
        <v>7</v>
      </c>
      <c r="LZ90" s="152" t="n">
        <v>2</v>
      </c>
      <c r="MA90" s="152" t="n">
        <v>0</v>
      </c>
      <c r="MB90" s="150" t="inlineStr">
        <is>
          <t>ESCOLHA DA TRILHA 1</t>
        </is>
      </c>
      <c r="MC90" s="152">
        <f>MAX(0,MIN(7,N('INVOCAÇÕES'!$AB$160)))</f>
        <v/>
      </c>
      <c r="MD90" s="152">
        <f>'INVOCAÇÕES'!$AC$160&amp;""</f>
        <v/>
      </c>
      <c r="ME90" s="152">
        <f>'INVOCAÇÕES'!$AB$165&amp;""</f>
        <v/>
      </c>
      <c r="MF90" s="152">
        <f>'INVOCAÇÕES'!$AB$166&amp;""</f>
        <v/>
      </c>
      <c r="MG90" s="152">
        <f>'INVOCAÇÕES'!$AD$166&amp;""</f>
        <v/>
      </c>
      <c r="MH90" s="152">
        <f>'INVOCAÇÕES'!$AC$169&amp;""</f>
        <v/>
      </c>
      <c r="MI90" s="152">
        <f>'INVOCAÇÕES'!$AC$170&amp;""</f>
        <v/>
      </c>
      <c r="MJ90" s="152">
        <f>'INVOCAÇÕES'!$AC$171&amp;""</f>
        <v/>
      </c>
      <c r="MK90" s="152">
        <f>'INVOCAÇÕES'!$AC$172&amp;""</f>
        <v/>
      </c>
      <c r="ML90" s="152">
        <f>'INVOCAÇÕES'!$AC$173&amp;""</f>
        <v/>
      </c>
      <c r="MM90" s="152">
        <f>'INVOCAÇÕES'!$AC$174&amp;""</f>
        <v/>
      </c>
      <c r="MN90" s="152">
        <f>IF($MD90&lt;&gt;"",1,0)</f>
        <v/>
      </c>
      <c r="MO90" s="152">
        <f>INDEX($FG$2:$FG$13,$LY90)</f>
        <v/>
      </c>
      <c r="MP90" s="152">
        <f>INDEX($FH$2:$FH$13,$LY90)</f>
        <v/>
      </c>
      <c r="MQ90" s="152">
        <f>INDEX($FI$2:$FI$13,$LY90)</f>
        <v/>
      </c>
      <c r="MR90" s="152">
        <f>INDEX($FT$2:$FT$13,$LY90)</f>
        <v/>
      </c>
      <c r="MS90" s="152">
        <f>INDEX($FU$2:$FU$13,$LY90)</f>
        <v/>
      </c>
      <c r="MT90" s="152">
        <f>IFERROR(MATCH($ME90,$V$2:$V$11,0),0)</f>
        <v/>
      </c>
      <c r="MU90" s="152">
        <f>IFERROR(VLOOKUP($MH90,$AV$2:$AZ$84,2,FALSE),"")</f>
        <v/>
      </c>
      <c r="MV90" s="152">
        <f>IFERROR(VLOOKUP($MI90,$AV$2:$AZ$84,2,FALSE),"")</f>
        <v/>
      </c>
      <c r="MW90" s="152">
        <f>IFERROR(VLOOKUP($MJ90,$AV$2:$AZ$84,2,FALSE),"")</f>
        <v/>
      </c>
      <c r="MX90" s="152">
        <f>IFERROR(VLOOKUP($MK90,$AV$2:$AZ$84,2,FALSE),"")</f>
        <v/>
      </c>
      <c r="MY90" s="152">
        <f>IFERROR(VLOOKUP($MH90,$AV$2:$AZ$84,3,FALSE),0)</f>
        <v/>
      </c>
      <c r="MZ90" s="152">
        <f>IFERROR(VLOOKUP($MI90,$AV$2:$AZ$84,3,FALSE),0)</f>
        <v/>
      </c>
      <c r="NA90" s="152">
        <f>IFERROR(VLOOKUP($MJ90,$AV$2:$AZ$84,3,FALSE),0)</f>
        <v/>
      </c>
      <c r="NB90" s="152">
        <f>IFERROR(VLOOKUP($MK90,$AV$2:$AZ$84,3,FALSE),0)</f>
        <v/>
      </c>
      <c r="NC90" s="152">
        <f>IF($MC90=0,0,IF($MT90=0,0,INDEX($X$2:$X$11,$MT90)))</f>
        <v/>
      </c>
      <c r="ND90" s="152">
        <f>IF(OR($MY90=0,$MC90=0),0,$MY90+3*IF(AND($MU90&lt;&gt;"",OR($MU90=INDEX($ED$2:$ED$13,$LY90),$MU90=INDEX($EE$2:$EE$13,$LY90))),1,0))</f>
        <v/>
      </c>
      <c r="NE90" s="152">
        <f>IF(OR($MZ90=0,$MC90=0),0,$MZ90+3*IF(AND($MV90&lt;&gt;"",OR($MV90=INDEX($ED$2:$ED$13,$LY90),$MV90=INDEX($EE$2:$EE$13,$LY90))),1,0))</f>
        <v/>
      </c>
      <c r="NF90" s="152">
        <f>IF(OR($NA90=0,$MC90=0),0,$NA90+3*IF(AND($MW90&lt;&gt;"",OR($MW90=INDEX($ED$2:$ED$13,$LY90),$MW90=INDEX($EE$2:$EE$13,$LY90))),1,0))</f>
        <v/>
      </c>
      <c r="NG90" s="152">
        <f>IF(OR($NB90=0,$MC90=0),0,$NB90+3*IF(AND($MX90&lt;&gt;"",OR($MX90=INDEX($ED$2:$ED$13,$LY90),$MX90=INDEX($EE$2:$EE$13,$LY90))),1,0))</f>
        <v/>
      </c>
      <c r="NH90" s="152">
        <f>IF($MT90=0,0,IF(INDEX($W$2:$W$11,$MT90)="",0,IF(COUNTIF(INDEX($ED$2:$EH$13,$LY90,0),INDEX($W$2:$W$11,$MT90))=0,1,0)))</f>
        <v/>
      </c>
      <c r="NI90" s="152">
        <f>IF(OR($MY90=0,$MU90=""),0,IF(COUNTIF(INDEX($ED$2:$EH$13,$LY90,0),$MU90)=0,1,0))</f>
        <v/>
      </c>
      <c r="NJ90" s="152">
        <f>IF(OR($MZ90=0,$MV90=""),0,IF(COUNTIF(INDEX($ED$2:$EH$13,$LY90,0),$MV90)=0,1,0))</f>
        <v/>
      </c>
      <c r="NK90" s="152">
        <f>IF(OR($NA90=0,$MW90=""),0,IF(COUNTIF(INDEX($ED$2:$EH$13,$LY90,0),$MW90)=0,1,0))</f>
        <v/>
      </c>
      <c r="NL90" s="152">
        <f>IF(OR($NB90=0,$MX90=""),0,IF(COUNTIF(INDEX($ED$2:$EH$13,$LY90,0),$MX90)=0,1,0))</f>
        <v/>
      </c>
      <c r="NM90" s="152">
        <f>IFERROR(VLOOKUP($MH90,$AV$2:$AZ$84,4,FALSE),0)+IFERROR(VLOOKUP($MI90,$AV$2:$AZ$84,4,FALSE),0)+IFERROR(VLOOKUP($MJ90,$AV$2:$AZ$84,4,FALSE),0)+IFERROR(VLOOKUP($MK90,$AV$2:$AZ$84,4,FALSE),0)</f>
        <v/>
      </c>
      <c r="NN90" s="152">
        <f>TEXTJOIN(", ",TRUE,IF(IFERROR(VLOOKUP($MH90,$AV$2:$AZ$84,5,FALSE),0)=1,$MH90,""),IF(IFERROR(VLOOKUP($MI90,$AV$2:$AZ$84,5,FALSE),0)=1,$MI90,""),IF(IFERROR(VLOOKUP($MJ90,$AV$2:$AZ$84,5,FALSE),0)=1,$MJ90,""),IF(IFERROR(VLOOKUP($MK90,$AV$2:$AZ$84,5,FALSE),0)=1,$MK90,""))</f>
        <v/>
      </c>
      <c r="NO90" s="152">
        <f>IF($MT90=0,0,INDEX($Y$2:$Y$11,$MT90))</f>
        <v/>
      </c>
      <c r="NP90" s="152">
        <f>IF($MT90=0,0,INDEX($Z$2:$Z$11,$MT90))</f>
        <v/>
      </c>
      <c r="NQ90" s="152">
        <f>IF($MT90=0,0,INDEX($AB$2:$AB$11,$MT90))</f>
        <v/>
      </c>
      <c r="NR90" s="152">
        <f>IFERROR(VLOOKUP($ML90,$BB$2:$BF$24,3,FALSE),0)</f>
        <v/>
      </c>
      <c r="NS90" s="152">
        <f>IFERROR(VLOOKUP($MM90,$BB$2:$BF$24,3,FALSE),0)</f>
        <v/>
      </c>
      <c r="NT90" s="152">
        <f>IFERROR(VLOOKUP($ML90,$BB$2:$BF$24,2,FALSE),"")</f>
        <v/>
      </c>
      <c r="NU90" s="152">
        <f>IFERROR(VLOOKUP($MM90,$BB$2:$BF$24,2,FALSE),"")</f>
        <v/>
      </c>
      <c r="NV90" s="152">
        <f>COUNTIF($NC90:$NG90,1)</f>
        <v/>
      </c>
      <c r="NW90" s="152">
        <f>COUNTIF($NC90:$NG90,2)</f>
        <v/>
      </c>
      <c r="NX90" s="152">
        <f>COUNTIF($NC90:$NG90,3)</f>
        <v/>
      </c>
      <c r="NY90" s="152">
        <f>COUNTIF($NC90:$NG90,4)</f>
        <v/>
      </c>
      <c r="NZ90" s="152">
        <f>COUNTIF($NC90:$NG90,5)</f>
        <v/>
      </c>
      <c r="OA90" s="152">
        <f>COUNTIF($NC90:$NG90,6)</f>
        <v/>
      </c>
      <c r="OB90" s="152">
        <f>COUNTIF($NR90:$NS90,1)</f>
        <v/>
      </c>
      <c r="OC90" s="152">
        <f>COUNTIF($NR90:$NS90,2)+$NO90</f>
        <v/>
      </c>
      <c r="OD90" s="152">
        <f>COUNTIF($MH90:$MK90,"?*")</f>
        <v/>
      </c>
      <c r="OE90" s="152">
        <f>COUNTIF($ML90:$MM90,"?*")+$NO90</f>
        <v/>
      </c>
      <c r="OF90" s="152">
        <f>IF($MC90=0,0,SUMPRODUCT($NV90:$OA90,INDEX($I$2:$N$8,MAX(1,$MC90),0)))</f>
        <v/>
      </c>
      <c r="OG90" s="152">
        <f>IF($MC90=0,0,$OB90*CEILING($MC90/2,1)+$OC90*$MC90)</f>
        <v/>
      </c>
      <c r="OH90" s="152">
        <f>MIN(2*$MC90,$OG90)</f>
        <v/>
      </c>
      <c r="OI90" s="152">
        <f>MIN($OH90,$OF90)</f>
        <v/>
      </c>
      <c r="OJ90" s="152">
        <f>$OH90-$OI90</f>
        <v/>
      </c>
      <c r="OK90" s="152">
        <f>IF($MC90=0,0,INDEX($P$2:$P$8,MAX(1,$MC90)))</f>
        <v/>
      </c>
      <c r="OL90" s="152">
        <f>$OK90-$OF90+$OI90</f>
        <v/>
      </c>
      <c r="OM90" s="152">
        <f>IF($MC90=0,MAX(0,$MQ90-IF($OD90&gt;0,1,0)),MAX(0,$OL90))</f>
        <v/>
      </c>
      <c r="ON90" s="152">
        <f>IF($MC90=0,0,(IF(COUNTIF($MH90:$MK90,"Salto")&gt;0,1,0)+IF(COUNTIF($MH90:$MK90,"Queima")&gt;0,1,0)+IF(COUNTIF($MH90:$MK90,"Estilhaço")&gt;0,1,0))*FLOOR($OM90/2,1))</f>
        <v/>
      </c>
      <c r="OO90" s="152">
        <f>MAX(0,2-SUMPRODUCT($NV90:$OA90,$I$2:$N$2)+MIN(2,$OB90*1+$OC90*1,SUMPRODUCT($NV90:$OA90,$I$2:$N$2)))</f>
        <v/>
      </c>
      <c r="OP90" s="152">
        <f>MAX(0,4-SUMPRODUCT($NV90:$OA90,$I$3:$N$3)+MIN(4,$OB90*1+$OC90*2,SUMPRODUCT($NV90:$OA90,$I$3:$N$3)))</f>
        <v/>
      </c>
      <c r="OQ90" s="152">
        <f>MAX(0,6-SUMPRODUCT($NV90:$OA90,$I$4:$N$4)+MIN(6,$OB90*2+$OC90*3,SUMPRODUCT($NV90:$OA90,$I$4:$N$4)))</f>
        <v/>
      </c>
      <c r="OR90" s="152">
        <f>MAX(0,9-SUMPRODUCT($NV90:$OA90,$I$5:$N$5)+MIN(8,$OB90*2+$OC90*4,SUMPRODUCT($NV90:$OA90,$I$5:$N$5)))</f>
        <v/>
      </c>
      <c r="OS90" s="152">
        <f>MAX(0,11-SUMPRODUCT($NV90:$OA90,$I$6:$N$6)+MIN(10,$OB90*3+$OC90*5,SUMPRODUCT($NV90:$OA90,$I$6:$N$6)))</f>
        <v/>
      </c>
      <c r="OT90" s="152">
        <f>MAX(0,13-SUMPRODUCT($NV90:$OA90,$I$7:$N$7)+MIN(12,$OB90*3+$OC90*6,SUMPRODUCT($NV90:$OA90,$I$7:$N$7)))</f>
        <v/>
      </c>
      <c r="OU90" s="152">
        <f>MAX(0,16-SUMPRODUCT($NV90:$OA90,$I$8:$N$8)+MIN(14,$OB90*4+$OC90*7,SUMPRODUCT($NV90:$OA90,$I$8:$N$8)))</f>
        <v/>
      </c>
      <c r="OV90" s="152">
        <f>IF($NP90=2,3*$OO90&amp;" de vida temp.",IF($NP90=3,"sem dano",IF($OO90=0,IF($NP90=1,"sem cura","sem dano"),IF($NP90=1,"cura ","")&amp;$OO90&amp;"d8")))</f>
        <v/>
      </c>
      <c r="OW90" s="152">
        <f>IF($NP90=2,3*$OP90&amp;" de vida temp.",IF($NP90=3,"sem dano",IF($OP90=0,IF($NP90=1,"sem cura","sem dano"),IF($NP90=1,"cura ","")&amp;$OP90&amp;"d8")))</f>
        <v/>
      </c>
      <c r="OX90" s="152">
        <f>IF($NP90=2,3*$OQ90&amp;" de vida temp.",IF($NP90=3,"sem dano",IF($OQ90=0,IF($NP90=1,"sem cura","sem dano"),IF($NP90=1,"cura ","")&amp;$OQ90&amp;"d8")))</f>
        <v/>
      </c>
      <c r="OY90" s="152">
        <f>IF($NP90=2,3*$OR90&amp;" de vida temp.",IF($NP90=3,"sem dano",IF($OR90=0,IF($NP90=1,"sem cura","sem dano"),IF($NP90=1,"cura ","")&amp;$OR90&amp;"d8")))</f>
        <v/>
      </c>
      <c r="OZ90" s="152">
        <f>IF($NP90=2,3*$OS90&amp;" de vida temp.",IF($NP90=3,"sem dano",IF($OS90=0,IF($NP90=1,"sem cura","sem dano"),IF($NP90=1,"cura ","")&amp;$OS90&amp;"d8")))</f>
        <v/>
      </c>
      <c r="PA90" s="152">
        <f>IF($NP90=2,3*$OT90&amp;" de vida temp.",IF($NP90=3,"sem dano",IF($OT90=0,IF($NP90=1,"sem cura","sem dano"),IF($NP90=1,"cura ","")&amp;$OT90&amp;"d8")))</f>
        <v/>
      </c>
      <c r="PB90" s="152">
        <f>IF($NP90=2,3*$OU90&amp;" de vida temp.",IF($NP90=3,"sem dano",IF($OU90=0,IF($NP90=1,"sem cura","sem dano"),IF($NP90=1,"cura ","")&amp;$OU90&amp;"d8")))</f>
        <v/>
      </c>
      <c r="PC90" s="152">
        <f>IF($MN90=0,"",TEXTJOIN(" · ",TRUE,IF($MA90&gt;$MO90,"Este lugar abre no nível "&amp;$MA90,""),IF($MC90&gt;$MP90,"Classe "&amp;$MC90&amp;": o nível "&amp;$MO90&amp;" libera até a "&amp;$MP90,""),IF($NH90=1,"A Forma "&amp;$ME90&amp;" pede "&amp;INDEX($W$2:$W$11,$MT90)&amp;" aberta",""),IF(AND($MC90=0,$MT90&gt;0,IF($MT90=0,0,INDEX($AF$2:$AF$11,$MT90))=0),$ME90&amp;" não existe na Classe 0",""),IF($NI90=1,"Família Fechada: "&amp;$MH90,""),IF($NJ90=1,"Família Fechada: "&amp;$MI90,""),IF($NK90=1,"Família Fechada: "&amp;$MJ90,""),IF($NL90=1,"Família Fechada: "&amp;$MK90,""),IF(AND($MC90&gt;0,$OD90&gt;INDEX($O$2:$O$8,MAX(1,$MC90))),$OD90&amp;" Melhorias: a Classe "&amp;$MC90&amp;" aceita "&amp;INDEX($O$2:$O$8,MAX(1,$MC90)),""),IF(AND($MC90=0,$OD90&gt;1),"A básica aceita uma Melhoria",""),IF(AND($MC90=0,COUNTIF($MY90:$NB90,"&gt;1")&gt;0),"A básica só aceita Melhoria Leve",""),IF(AND($MC90&gt;0,$OE90&gt;2),$OE90&amp;" Restrições"&amp;IF($NO90=1,", contando a que a Forma "&amp;$ME90&amp;" já traz","")&amp;": o limite é 2",""),IF(AND($MC90=0,COUNTIF($ML90:$MM90,"?*")&gt;1),"A básica aceita uma Restrição Leve",""),IF(AND($MC90=0,COUNTIF($NR90:$NS90,2)&gt;0),"A básica só aceita Restrição Leve",""),IF(AND($MC90&gt;0,$OL90&lt;0),"Orçamento estourado: faltam "&amp;(-$OL90)&amp;IF($OL90&lt;-1," pontos"," ponto"),""),IF(IFERROR(VLOOKUP($ML90,$BB$2:$BF$24,4,FALSE),0)+IFERROR(VLOOKUP($MM90,$BB$2:$BF$24,4,FALSE),0)&gt;1,$NT90&amp;" e "&amp;$NU90&amp;" são as duas de frequência",""),IF(AND((COUNTIF($MH90:$MK90,"Rápido")+COUNTIF($NT90:$NU90,"Rápido"))&gt;0,(COUNTIF($MH90:$MK90,"Atrasar")+COUNTIF($NT90:$NU90,"Atrasar"))&gt;0),"Rápido não entra com Atrasar",""),IF(AND((COUNTIF($MH90:$MK90,"Reação")+COUNTIF($NT90:$NU90,"Reação"))&gt;0,(COUNTIF($MH90:$MK90,"Rápido")+COUNTIF($NT90:$NU90,"Rápido"))&gt;0),"Reação não entra com Rápido",""),IF(AND((COUNTIF($MH90:$MK90,"Reação")+COUNTIF($NT90:$NU90,"Reação"))&gt;0,(COUNTIF($MH90:$MK90,"Armado")+COUNTIF($NT90:$NU90,"Armado"))&gt;0),"Reação não entra com Armado",""),IF(AND((COUNTIF($MH90:$MK90,"Reação")+COUNTIF($NT90:$NU90,"Reação"))&gt;0,(COUNTIF($MH90:$MK90,"Atrasar")+COUNTIF($NT90:$NU90,"Atrasar"))&gt;0),"Reação não entra com Atrasar",""),IF(AND((COUNTIF($MH90:$MK90,"Reação")+COUNTIF($NT90:$NU90,"Reação"))&gt;0,(COUNTIF($MH90:$MK90,"Parado")+COUNTIF($NT90:$NU90,"Parado"))&gt;0),"Reação não entra com Parado",""),IF(AND((COUNTIF($MH90:$MK90,"Atrasar")+COUNTIF($NT90:$NU90,"Atrasar"))&gt;0,(COUNTIF($MH90:$MK90,"Parado")+COUNTIF($NT90:$NU90,"Parado"))&gt;0),"Atrasar não entra com Parado",""),IF(AND((COUNTIF($MH90:$MK90,"Armado")+COUNTIF($NT90:$NU90,"Armado"))&gt;0,(COUNTIF($MH90:$MK90,"Carregar")+COUNTIF($NT90:$NU90,"Carregar"))&gt;0),"Armado não entra com Carregar",""),IF(AND(COUNTIF($NT90:$NU90,"Corpo a Corpo")&gt;0,$NO90=0,OR($ME90="Cone",$ME90="Linha")),"Corpo a Corpo não entra em "&amp;$ME90,""),IF(AND(COUNTIF($NT90:$NU90,"Corpo a Corpo")&gt;0,$NO90=1),"A Forma "&amp;$ME90&amp;" já traz o Corpo a Corpo",""),IF(AND(COUNTIF($NT90:$NU90,"Tudo ou Nada")&gt;0,$NQ90=0),"Tudo ou Nada só entra em habilidade de Teste de Resistência",""),IF(AND(COUNTIF($MH90:$MK90,"Inescapável")&gt;0,OR($OD90&gt;1,$OE90&gt;0)),"Inescapável não aceita outra peça",""),IF(AND($MC90&gt;0,$OM90*IF(COUNTIF($MH90:$MK90,"Remate")&gt;0,1.25,1)+$ON90&gt;4*$MC90),($OM90*IF(COUNTIF($MH90:$MK90,"Remate")&gt;0,1.25,1)+$ON90)&amp;" dados somando repetições"&amp;IF(COUNTIF($MH90:$MK90,"Remate")&gt;0," e o Remate","")&amp;": o teto da Classe "&amp;$MC90&amp;" é "&amp;4*$MC90,"")))</f>
        <v/>
      </c>
      <c r="PD90" s="152">
        <f>IF($PC90="",0,(LEN($PC90)-LEN(SUBSTITUTE($PC90," · ","")))/3+1)</f>
        <v/>
      </c>
      <c r="PE90" s="152">
        <f>IF($MN90=0,"",TEXTJOIN(" · ",TRUE,IF($OG90&gt;2*$MC90,"A devolução parou no teto de "&amp;2*$MC90,""),IF($OJ90&gt;0,"Devolução perdida: "&amp;$OJ90&amp;IF($OJ90&gt;1," pontos"," ponto")&amp;" sem peça para pagar",""),IF(AND($NM90&gt;0,AND($MC90&gt;0,$NP90=0),$OM90=0),"Controle sem dano: uma rodada a mais e CD +2",""),IF(AND($NM90&gt;0,AND($MC90&gt;0,$NP90=0),$OM90&gt;0,$OM90&lt;=$MC90),"Controle com saldo até a Classe: uma rodada a mais",""),IF(AND($MC90&gt;0,$NN90&lt;&gt;""),"Efeito de "&amp;$NN90&amp;" pela Classe "&amp;MAX(1,$MC90-1),"")))</f>
        <v/>
      </c>
      <c r="PF90" s="152">
        <f>IF($PE90="",0,(LEN($PE90)-LEN(SUBSTITUTE($PE90," · ","")))/3+1)</f>
        <v/>
      </c>
      <c r="PG90" s="152">
        <f>IF($MN90=0,IF($OD90+COUNTIF($ML90:$MM90,"?*")&gt;0,"Dê um nome",""),IF($PD90&gt;0,"⚠ "&amp;$PD90&amp;IF($PD90&gt;1," erros"," erro"),IF($PF90&gt;0,"! "&amp;$PF90&amp;IF($PF90&gt;1," avisos"," aviso"),"Na regra")))</f>
        <v/>
      </c>
      <c r="PH90" s="152">
        <f>IF($MN90=0,"",IF($PD90+$PF90=0,"Dentro das regras que a ficha confere",$PC90&amp;IF(AND($PD90&gt;0,$PF90&gt;0)," · ","")&amp;$PE90))</f>
        <v/>
      </c>
      <c r="PI90" s="152">
        <f>IF($MA90&gt;$MO90,$MB90&amp;" · ABRE NO NÍVEL "&amp;$MA90,$MB90)</f>
        <v/>
      </c>
      <c r="PJ90" s="152">
        <f>IF($MN90=0,"",IF($MC90=0,"Sem PE",3*$MC90&amp;" PE"))</f>
        <v/>
      </c>
      <c r="PK90" s="152">
        <f>IF($MN90=0,"",IF($MC90=0,"A atuação básica dela",IF(COUNTIF($NT90:$NU90,"Atrasar")&gt;0,"Sua Ação Completa",IF(COUNTIF($MH90:$MK90,"Rápido")&gt;0,"Sua Bônus",IF(COUNTIF($MH90:$MK90,"Reação")&gt;0,"Sua Reação","Sua Padrão")))&amp;" + a básica dela"&amp;IF(COUNTIF($MH90:$MK90,"Reação")&gt;0," e a coletiva","")&amp;IF(COUNTIF($NT90:$NU90,"Carregar")&gt;0," · em dois turnos","")))</f>
        <v/>
      </c>
      <c r="PL90" s="152">
        <f>IF($MG90&lt;&gt;"",$MG90,IF($MT90=0,"",INDEX($AA$2:$AA$11,$MT90)))</f>
        <v/>
      </c>
      <c r="PM90" s="152">
        <f>IF(OR($MN90=0,$MT90=0),"",IF(COUNTIF($MH90:$MK90,"Inescapável")&gt;0,"Automático",IF($PL90="Ataque",IF($MR90="","Ataque","Ataque "&amp;IF(($MR90+2*IF(COUNTIF($MH90:$MK90,"Precisão")&gt;0,1,0))&gt;=0,"+","−")&amp;ABS(($MR90+2*IF(COUNTIF($MH90:$MK90,"Precisão")&gt;0,1,0)))),IF(LEFT($PL90,2)="TR",$PL90&amp;IF($MS90="",""," · CD "&amp;$MS90)&amp;IF(COUNTIF($MH90:$MK90,"Certeiro")&gt;0," · metade",""),"Sem rolagem"))))</f>
        <v/>
      </c>
      <c r="PN90" s="152">
        <f>IF(OR($MN90=0,$MT90=0),"",IF($MC90=0,IF(OR($NP90&gt;=1,$OM90=0),"Sem dano",$OM90&amp;"d6"&amp;IF($MF90="",""," "&amp;$MF90)),IF(OR($NP90&gt;=1,$OM90=0),UPPER(LEFT(INDEX($OV90:$PB90,1,MAX(1,$MC90)),1))&amp;MID(INDEX($OV90:$PB90,1,MAX(1,$MC90)),2,99),UPPER(LEFT(INDEX($OV90:$PB90,1,MAX(1,$MC90)),1))&amp;MID(INDEX($OV90:$PB90,1,MAX(1,$MC90)),2,99)&amp;IF($MF90="",""," "&amp;$MF90)&amp;IF($ON90&gt;0," · +"&amp;$ON90&amp;"d8",""))))</f>
        <v/>
      </c>
      <c r="PO90" s="152">
        <f>COUNTIF($MH90:$MK90,"Longe")+3*COUNTIF($MH90:$MK90,"Muito Longe")</f>
        <v/>
      </c>
      <c r="PP90" s="152">
        <f>COUNTIF($MH90:$MK90,"Maior")+3*COUNTIF($MH90:$MK90,"Muito Maior")</f>
        <v/>
      </c>
      <c r="PQ90" s="152">
        <f>IF($MT90=0,0,CHOOSE(1+INDEX($AC$2:$AC$11,$MT90),0,$PO90,$PP90,$PO90+$PP90))</f>
        <v/>
      </c>
      <c r="PR90" s="152">
        <f>IF($MT90=0,0,CHOOSE(1+INDEX($AD$2:$AD$11,$MT90),0,$PO90,$PP90,$PO90+$PP90))</f>
        <v/>
      </c>
      <c r="PS90" s="152">
        <f>IF(OR($MN90=0,$MT90=0),"",INDEX($AI$2:$AN$41,($MT90-1)*4+IF($MC90=0,1,IF($MC90&lt;=5,2,IF($MC90=6,3,4))),1+MIN(5,$PQ90))&amp;INDEX($AO$2:$AT$41,($MT90-1)*4+IF($MC90=0,1,IF($MC90&lt;=5,2,IF($MC90=6,3,4))),1+MIN(5,$PR90))&amp;IF(INDEX($AE$2:$AE$11,$MT90)=1,IF(COUNTIF($MH90:$MK90,"Mais Um")&gt;0," · +"&amp;COUNTIF($MH90:$MK90,"Mais Um")&amp;IF(COUNTIF($MH90:$MK90,"Mais Um")&gt;1," alvos"," alvo"),"")&amp;IF(COUNTIF($MH90:$MK90,"Rajada")&gt;0,IF($MC90=0," · 1 tiro"," · "&amp;(MAX(1,$MC90-1)+1)&amp;" tiros"),""),""))</f>
        <v/>
      </c>
      <c r="PT90" s="152">
        <f>IF($MN90=0,"",IF($MC90=0,$MQ90&amp;"d6"&amp;IF($OD90&gt;0," − 1 = "&amp;$OM90&amp;"d6"," da básica do nível "&amp;$MO90),$OK90&amp;" − "&amp;$OF90&amp;" + "&amp;$OI90&amp;" = "&amp;$OL90&amp;" · teto "&amp;4*$MC90&amp;"d8"&amp;IF($NO90=1," · a Forma devolve "&amp;$MC90,"")&amp;IF($OJ90&gt;0," · perde "&amp;$OJ90,"")))</f>
        <v/>
      </c>
      <c r="PU90" s="152">
        <f>IF($MN90=0,"",IF($MC90=0,"A básica não amplia: os dados dela sobem com o nível",IF($MC90&gt;=$MP90,"Já está na maior Classe que o nível liberou",TEXTJOIN(" · ",TRUE,IF(AND(2&gt;$MC90,2&lt;=$MP90),"2 → "&amp;$OW90&amp;", 6 PE",""),IF(AND(3&gt;$MC90,3&lt;=$MP90),"3 → "&amp;$OX90&amp;", 9 PE",""),IF(AND(4&gt;$MC90,4&lt;=$MP90),"4 → "&amp;$OY90&amp;", 12 PE",""),IF(AND(5&gt;$MC90,5&lt;=$MP90),"5 → "&amp;$OZ90&amp;", 15 PE",""),IF(AND(6&gt;$MC90,6&lt;=$MP90),"6 → "&amp;$PA90&amp;", 18 PE",""),IF(AND(7&gt;$MC90,7&lt;=$MP90),"7 → "&amp;$PB90&amp;", 21 PE","")))))</f>
        <v/>
      </c>
      <c r="PV90" s="152">
        <f>IF(OR($MN90=0,$MY90=0),"",IF($MC90=0,"−1 dado","−"&amp;INDEX($I$2:$N$8,MAX(1,$MC90),MAX(1,$ND90))&amp;" · "&amp;CHOOSE(MAX(1,$ND90),"Leve","Média","Pesada","Leve · Livre","Média · Livre","Pesada · Livre")))</f>
        <v/>
      </c>
      <c r="PW90" s="152">
        <f>IF(OR($MN90=0,$MZ90=0),"",IF($MC90=0,"−1 dado","−"&amp;INDEX($I$2:$N$8,MAX(1,$MC90),MAX(1,$NE90))&amp;" · "&amp;CHOOSE(MAX(1,$NE90),"Leve","Média","Pesada","Leve · Livre","Média · Livre","Pesada · Livre")))</f>
        <v/>
      </c>
      <c r="PX90" s="152">
        <f>IF(OR($MN90=0,$NA90=0),"",IF($MC90=0,"−1 dado","−"&amp;INDEX($I$2:$N$8,MAX(1,$MC90),MAX(1,$NF90))&amp;" · "&amp;CHOOSE(MAX(1,$NF90),"Leve","Média","Pesada","Leve · Livre","Média · Livre","Pesada · Livre")))</f>
        <v/>
      </c>
      <c r="PY90" s="152">
        <f>IF(OR($MN90=0,$NB90=0),"",IF($MC90=0,"−1 dado","−"&amp;INDEX($I$2:$N$8,MAX(1,$MC90),MAX(1,$NG90))&amp;" · "&amp;CHOOSE(MAX(1,$NG90),"Leve","Média","Pesada","Leve · Livre","Média · Livre","Pesada · Livre")))</f>
        <v/>
      </c>
      <c r="PZ90" s="152">
        <f>IF(OR($MN90=0,$ML90=""),"",IF($MC90=0,"não devolve","+"&amp;IF($NR90=1,CEILING($MC90/2,1),$MC90)))</f>
        <v/>
      </c>
      <c r="QA90" s="152">
        <f>IF(OR($MN90=0,$MM90=""),"",IF($MC90=0,"não devolve","+"&amp;IF($NS90=1,CEILING($MC90/2,1),$MC90)))</f>
        <v/>
      </c>
    </row>
    <row r="91">
      <c r="LX91" s="150" t="inlineStr">
        <is>
          <t>Ficha 7 · Escolha da trilha 2</t>
        </is>
      </c>
      <c r="LY91" s="152" t="n">
        <v>7</v>
      </c>
      <c r="LZ91" s="152" t="n">
        <v>2</v>
      </c>
      <c r="MA91" s="152" t="n">
        <v>0</v>
      </c>
      <c r="MB91" s="150" t="inlineStr">
        <is>
          <t>ESCOLHA DA TRILHA 2</t>
        </is>
      </c>
      <c r="MC91" s="152">
        <f>MAX(0,MIN(7,N('INVOCAÇÕES'!$AH$160)))</f>
        <v/>
      </c>
      <c r="MD91" s="152">
        <f>'INVOCAÇÕES'!$AI$160&amp;""</f>
        <v/>
      </c>
      <c r="ME91" s="152">
        <f>'INVOCAÇÕES'!$AH$165&amp;""</f>
        <v/>
      </c>
      <c r="MF91" s="152">
        <f>'INVOCAÇÕES'!$AH$166&amp;""</f>
        <v/>
      </c>
      <c r="MG91" s="152">
        <f>'INVOCAÇÕES'!$AJ$166&amp;""</f>
        <v/>
      </c>
      <c r="MH91" s="152">
        <f>'INVOCAÇÕES'!$AI$169&amp;""</f>
        <v/>
      </c>
      <c r="MI91" s="152">
        <f>'INVOCAÇÕES'!$AI$170&amp;""</f>
        <v/>
      </c>
      <c r="MJ91" s="152">
        <f>'INVOCAÇÕES'!$AI$171&amp;""</f>
        <v/>
      </c>
      <c r="MK91" s="152">
        <f>'INVOCAÇÕES'!$AI$172&amp;""</f>
        <v/>
      </c>
      <c r="ML91" s="152">
        <f>'INVOCAÇÕES'!$AI$173&amp;""</f>
        <v/>
      </c>
      <c r="MM91" s="152">
        <f>'INVOCAÇÕES'!$AI$174&amp;""</f>
        <v/>
      </c>
      <c r="MN91" s="152">
        <f>IF($MD91&lt;&gt;"",1,0)</f>
        <v/>
      </c>
      <c r="MO91" s="152">
        <f>INDEX($FG$2:$FG$13,$LY91)</f>
        <v/>
      </c>
      <c r="MP91" s="152">
        <f>INDEX($FH$2:$FH$13,$LY91)</f>
        <v/>
      </c>
      <c r="MQ91" s="152">
        <f>INDEX($FI$2:$FI$13,$LY91)</f>
        <v/>
      </c>
      <c r="MR91" s="152">
        <f>INDEX($FT$2:$FT$13,$LY91)</f>
        <v/>
      </c>
      <c r="MS91" s="152">
        <f>INDEX($FU$2:$FU$13,$LY91)</f>
        <v/>
      </c>
      <c r="MT91" s="152">
        <f>IFERROR(MATCH($ME91,$V$2:$V$11,0),0)</f>
        <v/>
      </c>
      <c r="MU91" s="152">
        <f>IFERROR(VLOOKUP($MH91,$AV$2:$AZ$84,2,FALSE),"")</f>
        <v/>
      </c>
      <c r="MV91" s="152">
        <f>IFERROR(VLOOKUP($MI91,$AV$2:$AZ$84,2,FALSE),"")</f>
        <v/>
      </c>
      <c r="MW91" s="152">
        <f>IFERROR(VLOOKUP($MJ91,$AV$2:$AZ$84,2,FALSE),"")</f>
        <v/>
      </c>
      <c r="MX91" s="152">
        <f>IFERROR(VLOOKUP($MK91,$AV$2:$AZ$84,2,FALSE),"")</f>
        <v/>
      </c>
      <c r="MY91" s="152">
        <f>IFERROR(VLOOKUP($MH91,$AV$2:$AZ$84,3,FALSE),0)</f>
        <v/>
      </c>
      <c r="MZ91" s="152">
        <f>IFERROR(VLOOKUP($MI91,$AV$2:$AZ$84,3,FALSE),0)</f>
        <v/>
      </c>
      <c r="NA91" s="152">
        <f>IFERROR(VLOOKUP($MJ91,$AV$2:$AZ$84,3,FALSE),0)</f>
        <v/>
      </c>
      <c r="NB91" s="152">
        <f>IFERROR(VLOOKUP($MK91,$AV$2:$AZ$84,3,FALSE),0)</f>
        <v/>
      </c>
      <c r="NC91" s="152">
        <f>IF($MC91=0,0,IF($MT91=0,0,INDEX($X$2:$X$11,$MT91)))</f>
        <v/>
      </c>
      <c r="ND91" s="152">
        <f>IF(OR($MY91=0,$MC91=0),0,$MY91+3*IF(AND($MU91&lt;&gt;"",OR($MU91=INDEX($ED$2:$ED$13,$LY91),$MU91=INDEX($EE$2:$EE$13,$LY91))),1,0))</f>
        <v/>
      </c>
      <c r="NE91" s="152">
        <f>IF(OR($MZ91=0,$MC91=0),0,$MZ91+3*IF(AND($MV91&lt;&gt;"",OR($MV91=INDEX($ED$2:$ED$13,$LY91),$MV91=INDEX($EE$2:$EE$13,$LY91))),1,0))</f>
        <v/>
      </c>
      <c r="NF91" s="152">
        <f>IF(OR($NA91=0,$MC91=0),0,$NA91+3*IF(AND($MW91&lt;&gt;"",OR($MW91=INDEX($ED$2:$ED$13,$LY91),$MW91=INDEX($EE$2:$EE$13,$LY91))),1,0))</f>
        <v/>
      </c>
      <c r="NG91" s="152">
        <f>IF(OR($NB91=0,$MC91=0),0,$NB91+3*IF(AND($MX91&lt;&gt;"",OR($MX91=INDEX($ED$2:$ED$13,$LY91),$MX91=INDEX($EE$2:$EE$13,$LY91))),1,0))</f>
        <v/>
      </c>
      <c r="NH91" s="152">
        <f>IF($MT91=0,0,IF(INDEX($W$2:$W$11,$MT91)="",0,IF(COUNTIF(INDEX($ED$2:$EH$13,$LY91,0),INDEX($W$2:$W$11,$MT91))=0,1,0)))</f>
        <v/>
      </c>
      <c r="NI91" s="152">
        <f>IF(OR($MY91=0,$MU91=""),0,IF(COUNTIF(INDEX($ED$2:$EH$13,$LY91,0),$MU91)=0,1,0))</f>
        <v/>
      </c>
      <c r="NJ91" s="152">
        <f>IF(OR($MZ91=0,$MV91=""),0,IF(COUNTIF(INDEX($ED$2:$EH$13,$LY91,0),$MV91)=0,1,0))</f>
        <v/>
      </c>
      <c r="NK91" s="152">
        <f>IF(OR($NA91=0,$MW91=""),0,IF(COUNTIF(INDEX($ED$2:$EH$13,$LY91,0),$MW91)=0,1,0))</f>
        <v/>
      </c>
      <c r="NL91" s="152">
        <f>IF(OR($NB91=0,$MX91=""),0,IF(COUNTIF(INDEX($ED$2:$EH$13,$LY91,0),$MX91)=0,1,0))</f>
        <v/>
      </c>
      <c r="NM91" s="152">
        <f>IFERROR(VLOOKUP($MH91,$AV$2:$AZ$84,4,FALSE),0)+IFERROR(VLOOKUP($MI91,$AV$2:$AZ$84,4,FALSE),0)+IFERROR(VLOOKUP($MJ91,$AV$2:$AZ$84,4,FALSE),0)+IFERROR(VLOOKUP($MK91,$AV$2:$AZ$84,4,FALSE),0)</f>
        <v/>
      </c>
      <c r="NN91" s="152">
        <f>TEXTJOIN(", ",TRUE,IF(IFERROR(VLOOKUP($MH91,$AV$2:$AZ$84,5,FALSE),0)=1,$MH91,""),IF(IFERROR(VLOOKUP($MI91,$AV$2:$AZ$84,5,FALSE),0)=1,$MI91,""),IF(IFERROR(VLOOKUP($MJ91,$AV$2:$AZ$84,5,FALSE),0)=1,$MJ91,""),IF(IFERROR(VLOOKUP($MK91,$AV$2:$AZ$84,5,FALSE),0)=1,$MK91,""))</f>
        <v/>
      </c>
      <c r="NO91" s="152">
        <f>IF($MT91=0,0,INDEX($Y$2:$Y$11,$MT91))</f>
        <v/>
      </c>
      <c r="NP91" s="152">
        <f>IF($MT91=0,0,INDEX($Z$2:$Z$11,$MT91))</f>
        <v/>
      </c>
      <c r="NQ91" s="152">
        <f>IF($MT91=0,0,INDEX($AB$2:$AB$11,$MT91))</f>
        <v/>
      </c>
      <c r="NR91" s="152">
        <f>IFERROR(VLOOKUP($ML91,$BB$2:$BF$24,3,FALSE),0)</f>
        <v/>
      </c>
      <c r="NS91" s="152">
        <f>IFERROR(VLOOKUP($MM91,$BB$2:$BF$24,3,FALSE),0)</f>
        <v/>
      </c>
      <c r="NT91" s="152">
        <f>IFERROR(VLOOKUP($ML91,$BB$2:$BF$24,2,FALSE),"")</f>
        <v/>
      </c>
      <c r="NU91" s="152">
        <f>IFERROR(VLOOKUP($MM91,$BB$2:$BF$24,2,FALSE),"")</f>
        <v/>
      </c>
      <c r="NV91" s="152">
        <f>COUNTIF($NC91:$NG91,1)</f>
        <v/>
      </c>
      <c r="NW91" s="152">
        <f>COUNTIF($NC91:$NG91,2)</f>
        <v/>
      </c>
      <c r="NX91" s="152">
        <f>COUNTIF($NC91:$NG91,3)</f>
        <v/>
      </c>
      <c r="NY91" s="152">
        <f>COUNTIF($NC91:$NG91,4)</f>
        <v/>
      </c>
      <c r="NZ91" s="152">
        <f>COUNTIF($NC91:$NG91,5)</f>
        <v/>
      </c>
      <c r="OA91" s="152">
        <f>COUNTIF($NC91:$NG91,6)</f>
        <v/>
      </c>
      <c r="OB91" s="152">
        <f>COUNTIF($NR91:$NS91,1)</f>
        <v/>
      </c>
      <c r="OC91" s="152">
        <f>COUNTIF($NR91:$NS91,2)+$NO91</f>
        <v/>
      </c>
      <c r="OD91" s="152">
        <f>COUNTIF($MH91:$MK91,"?*")</f>
        <v/>
      </c>
      <c r="OE91" s="152">
        <f>COUNTIF($ML91:$MM91,"?*")+$NO91</f>
        <v/>
      </c>
      <c r="OF91" s="152">
        <f>IF($MC91=0,0,SUMPRODUCT($NV91:$OA91,INDEX($I$2:$N$8,MAX(1,$MC91),0)))</f>
        <v/>
      </c>
      <c r="OG91" s="152">
        <f>IF($MC91=0,0,$OB91*CEILING($MC91/2,1)+$OC91*$MC91)</f>
        <v/>
      </c>
      <c r="OH91" s="152">
        <f>MIN(2*$MC91,$OG91)</f>
        <v/>
      </c>
      <c r="OI91" s="152">
        <f>MIN($OH91,$OF91)</f>
        <v/>
      </c>
      <c r="OJ91" s="152">
        <f>$OH91-$OI91</f>
        <v/>
      </c>
      <c r="OK91" s="152">
        <f>IF($MC91=0,0,INDEX($P$2:$P$8,MAX(1,$MC91)))</f>
        <v/>
      </c>
      <c r="OL91" s="152">
        <f>$OK91-$OF91+$OI91</f>
        <v/>
      </c>
      <c r="OM91" s="152">
        <f>IF($MC91=0,MAX(0,$MQ91-IF($OD91&gt;0,1,0)),MAX(0,$OL91))</f>
        <v/>
      </c>
      <c r="ON91" s="152">
        <f>IF($MC91=0,0,(IF(COUNTIF($MH91:$MK91,"Salto")&gt;0,1,0)+IF(COUNTIF($MH91:$MK91,"Queima")&gt;0,1,0)+IF(COUNTIF($MH91:$MK91,"Estilhaço")&gt;0,1,0))*FLOOR($OM91/2,1))</f>
        <v/>
      </c>
      <c r="OO91" s="152">
        <f>MAX(0,2-SUMPRODUCT($NV91:$OA91,$I$2:$N$2)+MIN(2,$OB91*1+$OC91*1,SUMPRODUCT($NV91:$OA91,$I$2:$N$2)))</f>
        <v/>
      </c>
      <c r="OP91" s="152">
        <f>MAX(0,4-SUMPRODUCT($NV91:$OA91,$I$3:$N$3)+MIN(4,$OB91*1+$OC91*2,SUMPRODUCT($NV91:$OA91,$I$3:$N$3)))</f>
        <v/>
      </c>
      <c r="OQ91" s="152">
        <f>MAX(0,6-SUMPRODUCT($NV91:$OA91,$I$4:$N$4)+MIN(6,$OB91*2+$OC91*3,SUMPRODUCT($NV91:$OA91,$I$4:$N$4)))</f>
        <v/>
      </c>
      <c r="OR91" s="152">
        <f>MAX(0,9-SUMPRODUCT($NV91:$OA91,$I$5:$N$5)+MIN(8,$OB91*2+$OC91*4,SUMPRODUCT($NV91:$OA91,$I$5:$N$5)))</f>
        <v/>
      </c>
      <c r="OS91" s="152">
        <f>MAX(0,11-SUMPRODUCT($NV91:$OA91,$I$6:$N$6)+MIN(10,$OB91*3+$OC91*5,SUMPRODUCT($NV91:$OA91,$I$6:$N$6)))</f>
        <v/>
      </c>
      <c r="OT91" s="152">
        <f>MAX(0,13-SUMPRODUCT($NV91:$OA91,$I$7:$N$7)+MIN(12,$OB91*3+$OC91*6,SUMPRODUCT($NV91:$OA91,$I$7:$N$7)))</f>
        <v/>
      </c>
      <c r="OU91" s="152">
        <f>MAX(0,16-SUMPRODUCT($NV91:$OA91,$I$8:$N$8)+MIN(14,$OB91*4+$OC91*7,SUMPRODUCT($NV91:$OA91,$I$8:$N$8)))</f>
        <v/>
      </c>
      <c r="OV91" s="152">
        <f>IF($NP91=2,3*$OO91&amp;" de vida temp.",IF($NP91=3,"sem dano",IF($OO91=0,IF($NP91=1,"sem cura","sem dano"),IF($NP91=1,"cura ","")&amp;$OO91&amp;"d8")))</f>
        <v/>
      </c>
      <c r="OW91" s="152">
        <f>IF($NP91=2,3*$OP91&amp;" de vida temp.",IF($NP91=3,"sem dano",IF($OP91=0,IF($NP91=1,"sem cura","sem dano"),IF($NP91=1,"cura ","")&amp;$OP91&amp;"d8")))</f>
        <v/>
      </c>
      <c r="OX91" s="152">
        <f>IF($NP91=2,3*$OQ91&amp;" de vida temp.",IF($NP91=3,"sem dano",IF($OQ91=0,IF($NP91=1,"sem cura","sem dano"),IF($NP91=1,"cura ","")&amp;$OQ91&amp;"d8")))</f>
        <v/>
      </c>
      <c r="OY91" s="152">
        <f>IF($NP91=2,3*$OR91&amp;" de vida temp.",IF($NP91=3,"sem dano",IF($OR91=0,IF($NP91=1,"sem cura","sem dano"),IF($NP91=1,"cura ","")&amp;$OR91&amp;"d8")))</f>
        <v/>
      </c>
      <c r="OZ91" s="152">
        <f>IF($NP91=2,3*$OS91&amp;" de vida temp.",IF($NP91=3,"sem dano",IF($OS91=0,IF($NP91=1,"sem cura","sem dano"),IF($NP91=1,"cura ","")&amp;$OS91&amp;"d8")))</f>
        <v/>
      </c>
      <c r="PA91" s="152">
        <f>IF($NP91=2,3*$OT91&amp;" de vida temp.",IF($NP91=3,"sem dano",IF($OT91=0,IF($NP91=1,"sem cura","sem dano"),IF($NP91=1,"cura ","")&amp;$OT91&amp;"d8")))</f>
        <v/>
      </c>
      <c r="PB91" s="152">
        <f>IF($NP91=2,3*$OU91&amp;" de vida temp.",IF($NP91=3,"sem dano",IF($OU91=0,IF($NP91=1,"sem cura","sem dano"),IF($NP91=1,"cura ","")&amp;$OU91&amp;"d8")))</f>
        <v/>
      </c>
      <c r="PC91" s="152">
        <f>IF($MN91=0,"",TEXTJOIN(" · ",TRUE,IF($MA91&gt;$MO91,"Este lugar abre no nível "&amp;$MA91,""),IF($MC91&gt;$MP91,"Classe "&amp;$MC91&amp;": o nível "&amp;$MO91&amp;" libera até a "&amp;$MP91,""),IF($NH91=1,"A Forma "&amp;$ME91&amp;" pede "&amp;INDEX($W$2:$W$11,$MT91)&amp;" aberta",""),IF(AND($MC91=0,$MT91&gt;0,IF($MT91=0,0,INDEX($AF$2:$AF$11,$MT91))=0),$ME91&amp;" não existe na Classe 0",""),IF($NI91=1,"Família Fechada: "&amp;$MH91,""),IF($NJ91=1,"Família Fechada: "&amp;$MI91,""),IF($NK91=1,"Família Fechada: "&amp;$MJ91,""),IF($NL91=1,"Família Fechada: "&amp;$MK91,""),IF(AND($MC91&gt;0,$OD91&gt;INDEX($O$2:$O$8,MAX(1,$MC91))),$OD91&amp;" Melhorias: a Classe "&amp;$MC91&amp;" aceita "&amp;INDEX($O$2:$O$8,MAX(1,$MC91)),""),IF(AND($MC91=0,$OD91&gt;1),"A básica aceita uma Melhoria",""),IF(AND($MC91=0,COUNTIF($MY91:$NB91,"&gt;1")&gt;0),"A básica só aceita Melhoria Leve",""),IF(AND($MC91&gt;0,$OE91&gt;2),$OE91&amp;" Restrições"&amp;IF($NO91=1,", contando a que a Forma "&amp;$ME91&amp;" já traz","")&amp;": o limite é 2",""),IF(AND($MC91=0,COUNTIF($ML91:$MM91,"?*")&gt;1),"A básica aceita uma Restrição Leve",""),IF(AND($MC91=0,COUNTIF($NR91:$NS91,2)&gt;0),"A básica só aceita Restrição Leve",""),IF(AND($MC91&gt;0,$OL91&lt;0),"Orçamento estourado: faltam "&amp;(-$OL91)&amp;IF($OL91&lt;-1," pontos"," ponto"),""),IF(IFERROR(VLOOKUP($ML91,$BB$2:$BF$24,4,FALSE),0)+IFERROR(VLOOKUP($MM91,$BB$2:$BF$24,4,FALSE),0)&gt;1,$NT91&amp;" e "&amp;$NU91&amp;" são as duas de frequência",""),IF(AND((COUNTIF($MH91:$MK91,"Rápido")+COUNTIF($NT91:$NU91,"Rápido"))&gt;0,(COUNTIF($MH91:$MK91,"Atrasar")+COUNTIF($NT91:$NU91,"Atrasar"))&gt;0),"Rápido não entra com Atrasar",""),IF(AND((COUNTIF($MH91:$MK91,"Reação")+COUNTIF($NT91:$NU91,"Reação"))&gt;0,(COUNTIF($MH91:$MK91,"Rápido")+COUNTIF($NT91:$NU91,"Rápido"))&gt;0),"Reação não entra com Rápido",""),IF(AND((COUNTIF($MH91:$MK91,"Reação")+COUNTIF($NT91:$NU91,"Reação"))&gt;0,(COUNTIF($MH91:$MK91,"Armado")+COUNTIF($NT91:$NU91,"Armado"))&gt;0),"Reação não entra com Armado",""),IF(AND((COUNTIF($MH91:$MK91,"Reação")+COUNTIF($NT91:$NU91,"Reação"))&gt;0,(COUNTIF($MH91:$MK91,"Atrasar")+COUNTIF($NT91:$NU91,"Atrasar"))&gt;0),"Reação não entra com Atrasar",""),IF(AND((COUNTIF($MH91:$MK91,"Reação")+COUNTIF($NT91:$NU91,"Reação"))&gt;0,(COUNTIF($MH91:$MK91,"Parado")+COUNTIF($NT91:$NU91,"Parado"))&gt;0),"Reação não entra com Parado",""),IF(AND((COUNTIF($MH91:$MK91,"Atrasar")+COUNTIF($NT91:$NU91,"Atrasar"))&gt;0,(COUNTIF($MH91:$MK91,"Parado")+COUNTIF($NT91:$NU91,"Parado"))&gt;0),"Atrasar não entra com Parado",""),IF(AND((COUNTIF($MH91:$MK91,"Armado")+COUNTIF($NT91:$NU91,"Armado"))&gt;0,(COUNTIF($MH91:$MK91,"Carregar")+COUNTIF($NT91:$NU91,"Carregar"))&gt;0),"Armado não entra com Carregar",""),IF(AND(COUNTIF($NT91:$NU91,"Corpo a Corpo")&gt;0,$NO91=0,OR($ME91="Cone",$ME91="Linha")),"Corpo a Corpo não entra em "&amp;$ME91,""),IF(AND(COUNTIF($NT91:$NU91,"Corpo a Corpo")&gt;0,$NO91=1),"A Forma "&amp;$ME91&amp;" já traz o Corpo a Corpo",""),IF(AND(COUNTIF($NT91:$NU91,"Tudo ou Nada")&gt;0,$NQ91=0),"Tudo ou Nada só entra em habilidade de Teste de Resistência",""),IF(AND(COUNTIF($MH91:$MK91,"Inescapável")&gt;0,OR($OD91&gt;1,$OE91&gt;0)),"Inescapável não aceita outra peça",""),IF(AND($MC91&gt;0,$OM91*IF(COUNTIF($MH91:$MK91,"Remate")&gt;0,1.25,1)+$ON91&gt;4*$MC91),($OM91*IF(COUNTIF($MH91:$MK91,"Remate")&gt;0,1.25,1)+$ON91)&amp;" dados somando repetições"&amp;IF(COUNTIF($MH91:$MK91,"Remate")&gt;0," e o Remate","")&amp;": o teto da Classe "&amp;$MC91&amp;" é "&amp;4*$MC91,"")))</f>
        <v/>
      </c>
      <c r="PD91" s="152">
        <f>IF($PC91="",0,(LEN($PC91)-LEN(SUBSTITUTE($PC91," · ","")))/3+1)</f>
        <v/>
      </c>
      <c r="PE91" s="152">
        <f>IF($MN91=0,"",TEXTJOIN(" · ",TRUE,IF($OG91&gt;2*$MC91,"A devolução parou no teto de "&amp;2*$MC91,""),IF($OJ91&gt;0,"Devolução perdida: "&amp;$OJ91&amp;IF($OJ91&gt;1," pontos"," ponto")&amp;" sem peça para pagar",""),IF(AND($NM91&gt;0,AND($MC91&gt;0,$NP91=0),$OM91=0),"Controle sem dano: uma rodada a mais e CD +2",""),IF(AND($NM91&gt;0,AND($MC91&gt;0,$NP91=0),$OM91&gt;0,$OM91&lt;=$MC91),"Controle com saldo até a Classe: uma rodada a mais",""),IF(AND($MC91&gt;0,$NN91&lt;&gt;""),"Efeito de "&amp;$NN91&amp;" pela Classe "&amp;MAX(1,$MC91-1),"")))</f>
        <v/>
      </c>
      <c r="PF91" s="152">
        <f>IF($PE91="",0,(LEN($PE91)-LEN(SUBSTITUTE($PE91," · ","")))/3+1)</f>
        <v/>
      </c>
      <c r="PG91" s="152">
        <f>IF($MN91=0,IF($OD91+COUNTIF($ML91:$MM91,"?*")&gt;0,"Dê um nome",""),IF($PD91&gt;0,"⚠ "&amp;$PD91&amp;IF($PD91&gt;1," erros"," erro"),IF($PF91&gt;0,"! "&amp;$PF91&amp;IF($PF91&gt;1," avisos"," aviso"),"Na regra")))</f>
        <v/>
      </c>
      <c r="PH91" s="152">
        <f>IF($MN91=0,"",IF($PD91+$PF91=0,"Dentro das regras que a ficha confere",$PC91&amp;IF(AND($PD91&gt;0,$PF91&gt;0)," · ","")&amp;$PE91))</f>
        <v/>
      </c>
      <c r="PI91" s="152">
        <f>IF($MA91&gt;$MO91,$MB91&amp;" · ABRE NO NÍVEL "&amp;$MA91,$MB91)</f>
        <v/>
      </c>
      <c r="PJ91" s="152">
        <f>IF($MN91=0,"",IF($MC91=0,"Sem PE",3*$MC91&amp;" PE"))</f>
        <v/>
      </c>
      <c r="PK91" s="152">
        <f>IF($MN91=0,"",IF($MC91=0,"A atuação básica dela",IF(COUNTIF($NT91:$NU91,"Atrasar")&gt;0,"Sua Ação Completa",IF(COUNTIF($MH91:$MK91,"Rápido")&gt;0,"Sua Bônus",IF(COUNTIF($MH91:$MK91,"Reação")&gt;0,"Sua Reação","Sua Padrão")))&amp;" + a básica dela"&amp;IF(COUNTIF($MH91:$MK91,"Reação")&gt;0," e a coletiva","")&amp;IF(COUNTIF($NT91:$NU91,"Carregar")&gt;0," · em dois turnos","")))</f>
        <v/>
      </c>
      <c r="PL91" s="152">
        <f>IF($MG91&lt;&gt;"",$MG91,IF($MT91=0,"",INDEX($AA$2:$AA$11,$MT91)))</f>
        <v/>
      </c>
      <c r="PM91" s="152">
        <f>IF(OR($MN91=0,$MT91=0),"",IF(COUNTIF($MH91:$MK91,"Inescapável")&gt;0,"Automático",IF($PL91="Ataque",IF($MR91="","Ataque","Ataque "&amp;IF(($MR91+2*IF(COUNTIF($MH91:$MK91,"Precisão")&gt;0,1,0))&gt;=0,"+","−")&amp;ABS(($MR91+2*IF(COUNTIF($MH91:$MK91,"Precisão")&gt;0,1,0)))),IF(LEFT($PL91,2)="TR",$PL91&amp;IF($MS91="",""," · CD "&amp;$MS91)&amp;IF(COUNTIF($MH91:$MK91,"Certeiro")&gt;0," · metade",""),"Sem rolagem"))))</f>
        <v/>
      </c>
      <c r="PN91" s="152">
        <f>IF(OR($MN91=0,$MT91=0),"",IF($MC91=0,IF(OR($NP91&gt;=1,$OM91=0),"Sem dano",$OM91&amp;"d6"&amp;IF($MF91="",""," "&amp;$MF91)),IF(OR($NP91&gt;=1,$OM91=0),UPPER(LEFT(INDEX($OV91:$PB91,1,MAX(1,$MC91)),1))&amp;MID(INDEX($OV91:$PB91,1,MAX(1,$MC91)),2,99),UPPER(LEFT(INDEX($OV91:$PB91,1,MAX(1,$MC91)),1))&amp;MID(INDEX($OV91:$PB91,1,MAX(1,$MC91)),2,99)&amp;IF($MF91="",""," "&amp;$MF91)&amp;IF($ON91&gt;0," · +"&amp;$ON91&amp;"d8",""))))</f>
        <v/>
      </c>
      <c r="PO91" s="152">
        <f>COUNTIF($MH91:$MK91,"Longe")+3*COUNTIF($MH91:$MK91,"Muito Longe")</f>
        <v/>
      </c>
      <c r="PP91" s="152">
        <f>COUNTIF($MH91:$MK91,"Maior")+3*COUNTIF($MH91:$MK91,"Muito Maior")</f>
        <v/>
      </c>
      <c r="PQ91" s="152">
        <f>IF($MT91=0,0,CHOOSE(1+INDEX($AC$2:$AC$11,$MT91),0,$PO91,$PP91,$PO91+$PP91))</f>
        <v/>
      </c>
      <c r="PR91" s="152">
        <f>IF($MT91=0,0,CHOOSE(1+INDEX($AD$2:$AD$11,$MT91),0,$PO91,$PP91,$PO91+$PP91))</f>
        <v/>
      </c>
      <c r="PS91" s="152">
        <f>IF(OR($MN91=0,$MT91=0),"",INDEX($AI$2:$AN$41,($MT91-1)*4+IF($MC91=0,1,IF($MC91&lt;=5,2,IF($MC91=6,3,4))),1+MIN(5,$PQ91))&amp;INDEX($AO$2:$AT$41,($MT91-1)*4+IF($MC91=0,1,IF($MC91&lt;=5,2,IF($MC91=6,3,4))),1+MIN(5,$PR91))&amp;IF(INDEX($AE$2:$AE$11,$MT91)=1,IF(COUNTIF($MH91:$MK91,"Mais Um")&gt;0," · +"&amp;COUNTIF($MH91:$MK91,"Mais Um")&amp;IF(COUNTIF($MH91:$MK91,"Mais Um")&gt;1," alvos"," alvo"),"")&amp;IF(COUNTIF($MH91:$MK91,"Rajada")&gt;0,IF($MC91=0," · 1 tiro"," · "&amp;(MAX(1,$MC91-1)+1)&amp;" tiros"),""),""))</f>
        <v/>
      </c>
      <c r="PT91" s="152">
        <f>IF($MN91=0,"",IF($MC91=0,$MQ91&amp;"d6"&amp;IF($OD91&gt;0," − 1 = "&amp;$OM91&amp;"d6"," da básica do nível "&amp;$MO91),$OK91&amp;" − "&amp;$OF91&amp;" + "&amp;$OI91&amp;" = "&amp;$OL91&amp;" · teto "&amp;4*$MC91&amp;"d8"&amp;IF($NO91=1," · a Forma devolve "&amp;$MC91,"")&amp;IF($OJ91&gt;0," · perde "&amp;$OJ91,"")))</f>
        <v/>
      </c>
      <c r="PU91" s="152">
        <f>IF($MN91=0,"",IF($MC91=0,"A básica não amplia: os dados dela sobem com o nível",IF($MC91&gt;=$MP91,"Já está na maior Classe que o nível liberou",TEXTJOIN(" · ",TRUE,IF(AND(2&gt;$MC91,2&lt;=$MP91),"2 → "&amp;$OW91&amp;", 6 PE",""),IF(AND(3&gt;$MC91,3&lt;=$MP91),"3 → "&amp;$OX91&amp;", 9 PE",""),IF(AND(4&gt;$MC91,4&lt;=$MP91),"4 → "&amp;$OY91&amp;", 12 PE",""),IF(AND(5&gt;$MC91,5&lt;=$MP91),"5 → "&amp;$OZ91&amp;", 15 PE",""),IF(AND(6&gt;$MC91,6&lt;=$MP91),"6 → "&amp;$PA91&amp;", 18 PE",""),IF(AND(7&gt;$MC91,7&lt;=$MP91),"7 → "&amp;$PB91&amp;", 21 PE","")))))</f>
        <v/>
      </c>
      <c r="PV91" s="152">
        <f>IF(OR($MN91=0,$MY91=0),"",IF($MC91=0,"−1 dado","−"&amp;INDEX($I$2:$N$8,MAX(1,$MC91),MAX(1,$ND91))&amp;" · "&amp;CHOOSE(MAX(1,$ND91),"Leve","Média","Pesada","Leve · Livre","Média · Livre","Pesada · Livre")))</f>
        <v/>
      </c>
      <c r="PW91" s="152">
        <f>IF(OR($MN91=0,$MZ91=0),"",IF($MC91=0,"−1 dado","−"&amp;INDEX($I$2:$N$8,MAX(1,$MC91),MAX(1,$NE91))&amp;" · "&amp;CHOOSE(MAX(1,$NE91),"Leve","Média","Pesada","Leve · Livre","Média · Livre","Pesada · Livre")))</f>
        <v/>
      </c>
      <c r="PX91" s="152">
        <f>IF(OR($MN91=0,$NA91=0),"",IF($MC91=0,"−1 dado","−"&amp;INDEX($I$2:$N$8,MAX(1,$MC91),MAX(1,$NF91))&amp;" · "&amp;CHOOSE(MAX(1,$NF91),"Leve","Média","Pesada","Leve · Livre","Média · Livre","Pesada · Livre")))</f>
        <v/>
      </c>
      <c r="PY91" s="152">
        <f>IF(OR($MN91=0,$NB91=0),"",IF($MC91=0,"−1 dado","−"&amp;INDEX($I$2:$N$8,MAX(1,$MC91),MAX(1,$NG91))&amp;" · "&amp;CHOOSE(MAX(1,$NG91),"Leve","Média","Pesada","Leve · Livre","Média · Livre","Pesada · Livre")))</f>
        <v/>
      </c>
      <c r="PZ91" s="152">
        <f>IF(OR($MN91=0,$ML91=""),"",IF($MC91=0,"não devolve","+"&amp;IF($NR91=1,CEILING($MC91/2,1),$MC91)))</f>
        <v/>
      </c>
      <c r="QA91" s="152">
        <f>IF(OR($MN91=0,$MM91=""),"",IF($MC91=0,"não devolve","+"&amp;IF($NS91=1,CEILING($MC91/2,1),$MC91)))</f>
        <v/>
      </c>
    </row>
    <row r="92">
      <c r="LX92" s="150" t="inlineStr">
        <is>
          <t>Ficha 7 · Escolha da trilha 3</t>
        </is>
      </c>
      <c r="LY92" s="152" t="n">
        <v>7</v>
      </c>
      <c r="LZ92" s="152" t="n">
        <v>2</v>
      </c>
      <c r="MA92" s="152" t="n">
        <v>0</v>
      </c>
      <c r="MB92" s="150" t="inlineStr">
        <is>
          <t>ESCOLHA DA TRILHA 3</t>
        </is>
      </c>
      <c r="MC92" s="152">
        <f>MAX(0,MIN(7,N('INVOCAÇÕES'!$AN$160)))</f>
        <v/>
      </c>
      <c r="MD92" s="152">
        <f>'INVOCAÇÕES'!$AO$160&amp;""</f>
        <v/>
      </c>
      <c r="ME92" s="152">
        <f>'INVOCAÇÕES'!$AN$165&amp;""</f>
        <v/>
      </c>
      <c r="MF92" s="152">
        <f>'INVOCAÇÕES'!$AN$166&amp;""</f>
        <v/>
      </c>
      <c r="MG92" s="152">
        <f>'INVOCAÇÕES'!$AP$166&amp;""</f>
        <v/>
      </c>
      <c r="MH92" s="152">
        <f>'INVOCAÇÕES'!$AO$169&amp;""</f>
        <v/>
      </c>
      <c r="MI92" s="152">
        <f>'INVOCAÇÕES'!$AO$170&amp;""</f>
        <v/>
      </c>
      <c r="MJ92" s="152">
        <f>'INVOCAÇÕES'!$AO$171&amp;""</f>
        <v/>
      </c>
      <c r="MK92" s="152">
        <f>'INVOCAÇÕES'!$AO$172&amp;""</f>
        <v/>
      </c>
      <c r="ML92" s="152">
        <f>'INVOCAÇÕES'!$AO$173&amp;""</f>
        <v/>
      </c>
      <c r="MM92" s="152">
        <f>'INVOCAÇÕES'!$AO$174&amp;""</f>
        <v/>
      </c>
      <c r="MN92" s="152">
        <f>IF($MD92&lt;&gt;"",1,0)</f>
        <v/>
      </c>
      <c r="MO92" s="152">
        <f>INDEX($FG$2:$FG$13,$LY92)</f>
        <v/>
      </c>
      <c r="MP92" s="152">
        <f>INDEX($FH$2:$FH$13,$LY92)</f>
        <v/>
      </c>
      <c r="MQ92" s="152">
        <f>INDEX($FI$2:$FI$13,$LY92)</f>
        <v/>
      </c>
      <c r="MR92" s="152">
        <f>INDEX($FT$2:$FT$13,$LY92)</f>
        <v/>
      </c>
      <c r="MS92" s="152">
        <f>INDEX($FU$2:$FU$13,$LY92)</f>
        <v/>
      </c>
      <c r="MT92" s="152">
        <f>IFERROR(MATCH($ME92,$V$2:$V$11,0),0)</f>
        <v/>
      </c>
      <c r="MU92" s="152">
        <f>IFERROR(VLOOKUP($MH92,$AV$2:$AZ$84,2,FALSE),"")</f>
        <v/>
      </c>
      <c r="MV92" s="152">
        <f>IFERROR(VLOOKUP($MI92,$AV$2:$AZ$84,2,FALSE),"")</f>
        <v/>
      </c>
      <c r="MW92" s="152">
        <f>IFERROR(VLOOKUP($MJ92,$AV$2:$AZ$84,2,FALSE),"")</f>
        <v/>
      </c>
      <c r="MX92" s="152">
        <f>IFERROR(VLOOKUP($MK92,$AV$2:$AZ$84,2,FALSE),"")</f>
        <v/>
      </c>
      <c r="MY92" s="152">
        <f>IFERROR(VLOOKUP($MH92,$AV$2:$AZ$84,3,FALSE),0)</f>
        <v/>
      </c>
      <c r="MZ92" s="152">
        <f>IFERROR(VLOOKUP($MI92,$AV$2:$AZ$84,3,FALSE),0)</f>
        <v/>
      </c>
      <c r="NA92" s="152">
        <f>IFERROR(VLOOKUP($MJ92,$AV$2:$AZ$84,3,FALSE),0)</f>
        <v/>
      </c>
      <c r="NB92" s="152">
        <f>IFERROR(VLOOKUP($MK92,$AV$2:$AZ$84,3,FALSE),0)</f>
        <v/>
      </c>
      <c r="NC92" s="152">
        <f>IF($MC92=0,0,IF($MT92=0,0,INDEX($X$2:$X$11,$MT92)))</f>
        <v/>
      </c>
      <c r="ND92" s="152">
        <f>IF(OR($MY92=0,$MC92=0),0,$MY92+3*IF(AND($MU92&lt;&gt;"",OR($MU92=INDEX($ED$2:$ED$13,$LY92),$MU92=INDEX($EE$2:$EE$13,$LY92))),1,0))</f>
        <v/>
      </c>
      <c r="NE92" s="152">
        <f>IF(OR($MZ92=0,$MC92=0),0,$MZ92+3*IF(AND($MV92&lt;&gt;"",OR($MV92=INDEX($ED$2:$ED$13,$LY92),$MV92=INDEX($EE$2:$EE$13,$LY92))),1,0))</f>
        <v/>
      </c>
      <c r="NF92" s="152">
        <f>IF(OR($NA92=0,$MC92=0),0,$NA92+3*IF(AND($MW92&lt;&gt;"",OR($MW92=INDEX($ED$2:$ED$13,$LY92),$MW92=INDEX($EE$2:$EE$13,$LY92))),1,0))</f>
        <v/>
      </c>
      <c r="NG92" s="152">
        <f>IF(OR($NB92=0,$MC92=0),0,$NB92+3*IF(AND($MX92&lt;&gt;"",OR($MX92=INDEX($ED$2:$ED$13,$LY92),$MX92=INDEX($EE$2:$EE$13,$LY92))),1,0))</f>
        <v/>
      </c>
      <c r="NH92" s="152">
        <f>IF($MT92=0,0,IF(INDEX($W$2:$W$11,$MT92)="",0,IF(COUNTIF(INDEX($ED$2:$EH$13,$LY92,0),INDEX($W$2:$W$11,$MT92))=0,1,0)))</f>
        <v/>
      </c>
      <c r="NI92" s="152">
        <f>IF(OR($MY92=0,$MU92=""),0,IF(COUNTIF(INDEX($ED$2:$EH$13,$LY92,0),$MU92)=0,1,0))</f>
        <v/>
      </c>
      <c r="NJ92" s="152">
        <f>IF(OR($MZ92=0,$MV92=""),0,IF(COUNTIF(INDEX($ED$2:$EH$13,$LY92,0),$MV92)=0,1,0))</f>
        <v/>
      </c>
      <c r="NK92" s="152">
        <f>IF(OR($NA92=0,$MW92=""),0,IF(COUNTIF(INDEX($ED$2:$EH$13,$LY92,0),$MW92)=0,1,0))</f>
        <v/>
      </c>
      <c r="NL92" s="152">
        <f>IF(OR($NB92=0,$MX92=""),0,IF(COUNTIF(INDEX($ED$2:$EH$13,$LY92,0),$MX92)=0,1,0))</f>
        <v/>
      </c>
      <c r="NM92" s="152">
        <f>IFERROR(VLOOKUP($MH92,$AV$2:$AZ$84,4,FALSE),0)+IFERROR(VLOOKUP($MI92,$AV$2:$AZ$84,4,FALSE),0)+IFERROR(VLOOKUP($MJ92,$AV$2:$AZ$84,4,FALSE),0)+IFERROR(VLOOKUP($MK92,$AV$2:$AZ$84,4,FALSE),0)</f>
        <v/>
      </c>
      <c r="NN92" s="152">
        <f>TEXTJOIN(", ",TRUE,IF(IFERROR(VLOOKUP($MH92,$AV$2:$AZ$84,5,FALSE),0)=1,$MH92,""),IF(IFERROR(VLOOKUP($MI92,$AV$2:$AZ$84,5,FALSE),0)=1,$MI92,""),IF(IFERROR(VLOOKUP($MJ92,$AV$2:$AZ$84,5,FALSE),0)=1,$MJ92,""),IF(IFERROR(VLOOKUP($MK92,$AV$2:$AZ$84,5,FALSE),0)=1,$MK92,""))</f>
        <v/>
      </c>
      <c r="NO92" s="152">
        <f>IF($MT92=0,0,INDEX($Y$2:$Y$11,$MT92))</f>
        <v/>
      </c>
      <c r="NP92" s="152">
        <f>IF($MT92=0,0,INDEX($Z$2:$Z$11,$MT92))</f>
        <v/>
      </c>
      <c r="NQ92" s="152">
        <f>IF($MT92=0,0,INDEX($AB$2:$AB$11,$MT92))</f>
        <v/>
      </c>
      <c r="NR92" s="152">
        <f>IFERROR(VLOOKUP($ML92,$BB$2:$BF$24,3,FALSE),0)</f>
        <v/>
      </c>
      <c r="NS92" s="152">
        <f>IFERROR(VLOOKUP($MM92,$BB$2:$BF$24,3,FALSE),0)</f>
        <v/>
      </c>
      <c r="NT92" s="152">
        <f>IFERROR(VLOOKUP($ML92,$BB$2:$BF$24,2,FALSE),"")</f>
        <v/>
      </c>
      <c r="NU92" s="152">
        <f>IFERROR(VLOOKUP($MM92,$BB$2:$BF$24,2,FALSE),"")</f>
        <v/>
      </c>
      <c r="NV92" s="152">
        <f>COUNTIF($NC92:$NG92,1)</f>
        <v/>
      </c>
      <c r="NW92" s="152">
        <f>COUNTIF($NC92:$NG92,2)</f>
        <v/>
      </c>
      <c r="NX92" s="152">
        <f>COUNTIF($NC92:$NG92,3)</f>
        <v/>
      </c>
      <c r="NY92" s="152">
        <f>COUNTIF($NC92:$NG92,4)</f>
        <v/>
      </c>
      <c r="NZ92" s="152">
        <f>COUNTIF($NC92:$NG92,5)</f>
        <v/>
      </c>
      <c r="OA92" s="152">
        <f>COUNTIF($NC92:$NG92,6)</f>
        <v/>
      </c>
      <c r="OB92" s="152">
        <f>COUNTIF($NR92:$NS92,1)</f>
        <v/>
      </c>
      <c r="OC92" s="152">
        <f>COUNTIF($NR92:$NS92,2)+$NO92</f>
        <v/>
      </c>
      <c r="OD92" s="152">
        <f>COUNTIF($MH92:$MK92,"?*")</f>
        <v/>
      </c>
      <c r="OE92" s="152">
        <f>COUNTIF($ML92:$MM92,"?*")+$NO92</f>
        <v/>
      </c>
      <c r="OF92" s="152">
        <f>IF($MC92=0,0,SUMPRODUCT($NV92:$OA92,INDEX($I$2:$N$8,MAX(1,$MC92),0)))</f>
        <v/>
      </c>
      <c r="OG92" s="152">
        <f>IF($MC92=0,0,$OB92*CEILING($MC92/2,1)+$OC92*$MC92)</f>
        <v/>
      </c>
      <c r="OH92" s="152">
        <f>MIN(2*$MC92,$OG92)</f>
        <v/>
      </c>
      <c r="OI92" s="152">
        <f>MIN($OH92,$OF92)</f>
        <v/>
      </c>
      <c r="OJ92" s="152">
        <f>$OH92-$OI92</f>
        <v/>
      </c>
      <c r="OK92" s="152">
        <f>IF($MC92=0,0,INDEX($P$2:$P$8,MAX(1,$MC92)))</f>
        <v/>
      </c>
      <c r="OL92" s="152">
        <f>$OK92-$OF92+$OI92</f>
        <v/>
      </c>
      <c r="OM92" s="152">
        <f>IF($MC92=0,MAX(0,$MQ92-IF($OD92&gt;0,1,0)),MAX(0,$OL92))</f>
        <v/>
      </c>
      <c r="ON92" s="152">
        <f>IF($MC92=0,0,(IF(COUNTIF($MH92:$MK92,"Salto")&gt;0,1,0)+IF(COUNTIF($MH92:$MK92,"Queima")&gt;0,1,0)+IF(COUNTIF($MH92:$MK92,"Estilhaço")&gt;0,1,0))*FLOOR($OM92/2,1))</f>
        <v/>
      </c>
      <c r="OO92" s="152">
        <f>MAX(0,2-SUMPRODUCT($NV92:$OA92,$I$2:$N$2)+MIN(2,$OB92*1+$OC92*1,SUMPRODUCT($NV92:$OA92,$I$2:$N$2)))</f>
        <v/>
      </c>
      <c r="OP92" s="152">
        <f>MAX(0,4-SUMPRODUCT($NV92:$OA92,$I$3:$N$3)+MIN(4,$OB92*1+$OC92*2,SUMPRODUCT($NV92:$OA92,$I$3:$N$3)))</f>
        <v/>
      </c>
      <c r="OQ92" s="152">
        <f>MAX(0,6-SUMPRODUCT($NV92:$OA92,$I$4:$N$4)+MIN(6,$OB92*2+$OC92*3,SUMPRODUCT($NV92:$OA92,$I$4:$N$4)))</f>
        <v/>
      </c>
      <c r="OR92" s="152">
        <f>MAX(0,9-SUMPRODUCT($NV92:$OA92,$I$5:$N$5)+MIN(8,$OB92*2+$OC92*4,SUMPRODUCT($NV92:$OA92,$I$5:$N$5)))</f>
        <v/>
      </c>
      <c r="OS92" s="152">
        <f>MAX(0,11-SUMPRODUCT($NV92:$OA92,$I$6:$N$6)+MIN(10,$OB92*3+$OC92*5,SUMPRODUCT($NV92:$OA92,$I$6:$N$6)))</f>
        <v/>
      </c>
      <c r="OT92" s="152">
        <f>MAX(0,13-SUMPRODUCT($NV92:$OA92,$I$7:$N$7)+MIN(12,$OB92*3+$OC92*6,SUMPRODUCT($NV92:$OA92,$I$7:$N$7)))</f>
        <v/>
      </c>
      <c r="OU92" s="152">
        <f>MAX(0,16-SUMPRODUCT($NV92:$OA92,$I$8:$N$8)+MIN(14,$OB92*4+$OC92*7,SUMPRODUCT($NV92:$OA92,$I$8:$N$8)))</f>
        <v/>
      </c>
      <c r="OV92" s="152">
        <f>IF($NP92=2,3*$OO92&amp;" de vida temp.",IF($NP92=3,"sem dano",IF($OO92=0,IF($NP92=1,"sem cura","sem dano"),IF($NP92=1,"cura ","")&amp;$OO92&amp;"d8")))</f>
        <v/>
      </c>
      <c r="OW92" s="152">
        <f>IF($NP92=2,3*$OP92&amp;" de vida temp.",IF($NP92=3,"sem dano",IF($OP92=0,IF($NP92=1,"sem cura","sem dano"),IF($NP92=1,"cura ","")&amp;$OP92&amp;"d8")))</f>
        <v/>
      </c>
      <c r="OX92" s="152">
        <f>IF($NP92=2,3*$OQ92&amp;" de vida temp.",IF($NP92=3,"sem dano",IF($OQ92=0,IF($NP92=1,"sem cura","sem dano"),IF($NP92=1,"cura ","")&amp;$OQ92&amp;"d8")))</f>
        <v/>
      </c>
      <c r="OY92" s="152">
        <f>IF($NP92=2,3*$OR92&amp;" de vida temp.",IF($NP92=3,"sem dano",IF($OR92=0,IF($NP92=1,"sem cura","sem dano"),IF($NP92=1,"cura ","")&amp;$OR92&amp;"d8")))</f>
        <v/>
      </c>
      <c r="OZ92" s="152">
        <f>IF($NP92=2,3*$OS92&amp;" de vida temp.",IF($NP92=3,"sem dano",IF($OS92=0,IF($NP92=1,"sem cura","sem dano"),IF($NP92=1,"cura ","")&amp;$OS92&amp;"d8")))</f>
        <v/>
      </c>
      <c r="PA92" s="152">
        <f>IF($NP92=2,3*$OT92&amp;" de vida temp.",IF($NP92=3,"sem dano",IF($OT92=0,IF($NP92=1,"sem cura","sem dano"),IF($NP92=1,"cura ","")&amp;$OT92&amp;"d8")))</f>
        <v/>
      </c>
      <c r="PB92" s="152">
        <f>IF($NP92=2,3*$OU92&amp;" de vida temp.",IF($NP92=3,"sem dano",IF($OU92=0,IF($NP92=1,"sem cura","sem dano"),IF($NP92=1,"cura ","")&amp;$OU92&amp;"d8")))</f>
        <v/>
      </c>
      <c r="PC92" s="152">
        <f>IF($MN92=0,"",TEXTJOIN(" · ",TRUE,IF($MA92&gt;$MO92,"Este lugar abre no nível "&amp;$MA92,""),IF($MC92&gt;$MP92,"Classe "&amp;$MC92&amp;": o nível "&amp;$MO92&amp;" libera até a "&amp;$MP92,""),IF($NH92=1,"A Forma "&amp;$ME92&amp;" pede "&amp;INDEX($W$2:$W$11,$MT92)&amp;" aberta",""),IF(AND($MC92=0,$MT92&gt;0,IF($MT92=0,0,INDEX($AF$2:$AF$11,$MT92))=0),$ME92&amp;" não existe na Classe 0",""),IF($NI92=1,"Família Fechada: "&amp;$MH92,""),IF($NJ92=1,"Família Fechada: "&amp;$MI92,""),IF($NK92=1,"Família Fechada: "&amp;$MJ92,""),IF($NL92=1,"Família Fechada: "&amp;$MK92,""),IF(AND($MC92&gt;0,$OD92&gt;INDEX($O$2:$O$8,MAX(1,$MC92))),$OD92&amp;" Melhorias: a Classe "&amp;$MC92&amp;" aceita "&amp;INDEX($O$2:$O$8,MAX(1,$MC92)),""),IF(AND($MC92=0,$OD92&gt;1),"A básica aceita uma Melhoria",""),IF(AND($MC92=0,COUNTIF($MY92:$NB92,"&gt;1")&gt;0),"A básica só aceita Melhoria Leve",""),IF(AND($MC92&gt;0,$OE92&gt;2),$OE92&amp;" Restrições"&amp;IF($NO92=1,", contando a que a Forma "&amp;$ME92&amp;" já traz","")&amp;": o limite é 2",""),IF(AND($MC92=0,COUNTIF($ML92:$MM92,"?*")&gt;1),"A básica aceita uma Restrição Leve",""),IF(AND($MC92=0,COUNTIF($NR92:$NS92,2)&gt;0),"A básica só aceita Restrição Leve",""),IF(AND($MC92&gt;0,$OL92&lt;0),"Orçamento estourado: faltam "&amp;(-$OL92)&amp;IF($OL92&lt;-1," pontos"," ponto"),""),IF(IFERROR(VLOOKUP($ML92,$BB$2:$BF$24,4,FALSE),0)+IFERROR(VLOOKUP($MM92,$BB$2:$BF$24,4,FALSE),0)&gt;1,$NT92&amp;" e "&amp;$NU92&amp;" são as duas de frequência",""),IF(AND((COUNTIF($MH92:$MK92,"Rápido")+COUNTIF($NT92:$NU92,"Rápido"))&gt;0,(COUNTIF($MH92:$MK92,"Atrasar")+COUNTIF($NT92:$NU92,"Atrasar"))&gt;0),"Rápido não entra com Atrasar",""),IF(AND((COUNTIF($MH92:$MK92,"Reação")+COUNTIF($NT92:$NU92,"Reação"))&gt;0,(COUNTIF($MH92:$MK92,"Rápido")+COUNTIF($NT92:$NU92,"Rápido"))&gt;0),"Reação não entra com Rápido",""),IF(AND((COUNTIF($MH92:$MK92,"Reação")+COUNTIF($NT92:$NU92,"Reação"))&gt;0,(COUNTIF($MH92:$MK92,"Armado")+COUNTIF($NT92:$NU92,"Armado"))&gt;0),"Reação não entra com Armado",""),IF(AND((COUNTIF($MH92:$MK92,"Reação")+COUNTIF($NT92:$NU92,"Reação"))&gt;0,(COUNTIF($MH92:$MK92,"Atrasar")+COUNTIF($NT92:$NU92,"Atrasar"))&gt;0),"Reação não entra com Atrasar",""),IF(AND((COUNTIF($MH92:$MK92,"Reação")+COUNTIF($NT92:$NU92,"Reação"))&gt;0,(COUNTIF($MH92:$MK92,"Parado")+COUNTIF($NT92:$NU92,"Parado"))&gt;0),"Reação não entra com Parado",""),IF(AND((COUNTIF($MH92:$MK92,"Atrasar")+COUNTIF($NT92:$NU92,"Atrasar"))&gt;0,(COUNTIF($MH92:$MK92,"Parado")+COUNTIF($NT92:$NU92,"Parado"))&gt;0),"Atrasar não entra com Parado",""),IF(AND((COUNTIF($MH92:$MK92,"Armado")+COUNTIF($NT92:$NU92,"Armado"))&gt;0,(COUNTIF($MH92:$MK92,"Carregar")+COUNTIF($NT92:$NU92,"Carregar"))&gt;0),"Armado não entra com Carregar",""),IF(AND(COUNTIF($NT92:$NU92,"Corpo a Corpo")&gt;0,$NO92=0,OR($ME92="Cone",$ME92="Linha")),"Corpo a Corpo não entra em "&amp;$ME92,""),IF(AND(COUNTIF($NT92:$NU92,"Corpo a Corpo")&gt;0,$NO92=1),"A Forma "&amp;$ME92&amp;" já traz o Corpo a Corpo",""),IF(AND(COUNTIF($NT92:$NU92,"Tudo ou Nada")&gt;0,$NQ92=0),"Tudo ou Nada só entra em habilidade de Teste de Resistência",""),IF(AND(COUNTIF($MH92:$MK92,"Inescapável")&gt;0,OR($OD92&gt;1,$OE92&gt;0)),"Inescapável não aceita outra peça",""),IF(AND($MC92&gt;0,$OM92*IF(COUNTIF($MH92:$MK92,"Remate")&gt;0,1.25,1)+$ON92&gt;4*$MC92),($OM92*IF(COUNTIF($MH92:$MK92,"Remate")&gt;0,1.25,1)+$ON92)&amp;" dados somando repetições"&amp;IF(COUNTIF($MH92:$MK92,"Remate")&gt;0," e o Remate","")&amp;": o teto da Classe "&amp;$MC92&amp;" é "&amp;4*$MC92,"")))</f>
        <v/>
      </c>
      <c r="PD92" s="152">
        <f>IF($PC92="",0,(LEN($PC92)-LEN(SUBSTITUTE($PC92," · ","")))/3+1)</f>
        <v/>
      </c>
      <c r="PE92" s="152">
        <f>IF($MN92=0,"",TEXTJOIN(" · ",TRUE,IF($OG92&gt;2*$MC92,"A devolução parou no teto de "&amp;2*$MC92,""),IF($OJ92&gt;0,"Devolução perdida: "&amp;$OJ92&amp;IF($OJ92&gt;1," pontos"," ponto")&amp;" sem peça para pagar",""),IF(AND($NM92&gt;0,AND($MC92&gt;0,$NP92=0),$OM92=0),"Controle sem dano: uma rodada a mais e CD +2",""),IF(AND($NM92&gt;0,AND($MC92&gt;0,$NP92=0),$OM92&gt;0,$OM92&lt;=$MC92),"Controle com saldo até a Classe: uma rodada a mais",""),IF(AND($MC92&gt;0,$NN92&lt;&gt;""),"Efeito de "&amp;$NN92&amp;" pela Classe "&amp;MAX(1,$MC92-1),"")))</f>
        <v/>
      </c>
      <c r="PF92" s="152">
        <f>IF($PE92="",0,(LEN($PE92)-LEN(SUBSTITUTE($PE92," · ","")))/3+1)</f>
        <v/>
      </c>
      <c r="PG92" s="152">
        <f>IF($MN92=0,IF($OD92+COUNTIF($ML92:$MM92,"?*")&gt;0,"Dê um nome",""),IF($PD92&gt;0,"⚠ "&amp;$PD92&amp;IF($PD92&gt;1," erros"," erro"),IF($PF92&gt;0,"! "&amp;$PF92&amp;IF($PF92&gt;1," avisos"," aviso"),"Na regra")))</f>
        <v/>
      </c>
      <c r="PH92" s="152">
        <f>IF($MN92=0,"",IF($PD92+$PF92=0,"Dentro das regras que a ficha confere",$PC92&amp;IF(AND($PD92&gt;0,$PF92&gt;0)," · ","")&amp;$PE92))</f>
        <v/>
      </c>
      <c r="PI92" s="152">
        <f>IF($MA92&gt;$MO92,$MB92&amp;" · ABRE NO NÍVEL "&amp;$MA92,$MB92)</f>
        <v/>
      </c>
      <c r="PJ92" s="152">
        <f>IF($MN92=0,"",IF($MC92=0,"Sem PE",3*$MC92&amp;" PE"))</f>
        <v/>
      </c>
      <c r="PK92" s="152">
        <f>IF($MN92=0,"",IF($MC92=0,"A atuação básica dela",IF(COUNTIF($NT92:$NU92,"Atrasar")&gt;0,"Sua Ação Completa",IF(COUNTIF($MH92:$MK92,"Rápido")&gt;0,"Sua Bônus",IF(COUNTIF($MH92:$MK92,"Reação")&gt;0,"Sua Reação","Sua Padrão")))&amp;" + a básica dela"&amp;IF(COUNTIF($MH92:$MK92,"Reação")&gt;0," e a coletiva","")&amp;IF(COUNTIF($NT92:$NU92,"Carregar")&gt;0," · em dois turnos","")))</f>
        <v/>
      </c>
      <c r="PL92" s="152">
        <f>IF($MG92&lt;&gt;"",$MG92,IF($MT92=0,"",INDEX($AA$2:$AA$11,$MT92)))</f>
        <v/>
      </c>
      <c r="PM92" s="152">
        <f>IF(OR($MN92=0,$MT92=0),"",IF(COUNTIF($MH92:$MK92,"Inescapável")&gt;0,"Automático",IF($PL92="Ataque",IF($MR92="","Ataque","Ataque "&amp;IF(($MR92+2*IF(COUNTIF($MH92:$MK92,"Precisão")&gt;0,1,0))&gt;=0,"+","−")&amp;ABS(($MR92+2*IF(COUNTIF($MH92:$MK92,"Precisão")&gt;0,1,0)))),IF(LEFT($PL92,2)="TR",$PL92&amp;IF($MS92="",""," · CD "&amp;$MS92)&amp;IF(COUNTIF($MH92:$MK92,"Certeiro")&gt;0," · metade",""),"Sem rolagem"))))</f>
        <v/>
      </c>
      <c r="PN92" s="152">
        <f>IF(OR($MN92=0,$MT92=0),"",IF($MC92=0,IF(OR($NP92&gt;=1,$OM92=0),"Sem dano",$OM92&amp;"d6"&amp;IF($MF92="",""," "&amp;$MF92)),IF(OR($NP92&gt;=1,$OM92=0),UPPER(LEFT(INDEX($OV92:$PB92,1,MAX(1,$MC92)),1))&amp;MID(INDEX($OV92:$PB92,1,MAX(1,$MC92)),2,99),UPPER(LEFT(INDEX($OV92:$PB92,1,MAX(1,$MC92)),1))&amp;MID(INDEX($OV92:$PB92,1,MAX(1,$MC92)),2,99)&amp;IF($MF92="",""," "&amp;$MF92)&amp;IF($ON92&gt;0," · +"&amp;$ON92&amp;"d8",""))))</f>
        <v/>
      </c>
      <c r="PO92" s="152">
        <f>COUNTIF($MH92:$MK92,"Longe")+3*COUNTIF($MH92:$MK92,"Muito Longe")</f>
        <v/>
      </c>
      <c r="PP92" s="152">
        <f>COUNTIF($MH92:$MK92,"Maior")+3*COUNTIF($MH92:$MK92,"Muito Maior")</f>
        <v/>
      </c>
      <c r="PQ92" s="152">
        <f>IF($MT92=0,0,CHOOSE(1+INDEX($AC$2:$AC$11,$MT92),0,$PO92,$PP92,$PO92+$PP92))</f>
        <v/>
      </c>
      <c r="PR92" s="152">
        <f>IF($MT92=0,0,CHOOSE(1+INDEX($AD$2:$AD$11,$MT92),0,$PO92,$PP92,$PO92+$PP92))</f>
        <v/>
      </c>
      <c r="PS92" s="152">
        <f>IF(OR($MN92=0,$MT92=0),"",INDEX($AI$2:$AN$41,($MT92-1)*4+IF($MC92=0,1,IF($MC92&lt;=5,2,IF($MC92=6,3,4))),1+MIN(5,$PQ92))&amp;INDEX($AO$2:$AT$41,($MT92-1)*4+IF($MC92=0,1,IF($MC92&lt;=5,2,IF($MC92=6,3,4))),1+MIN(5,$PR92))&amp;IF(INDEX($AE$2:$AE$11,$MT92)=1,IF(COUNTIF($MH92:$MK92,"Mais Um")&gt;0," · +"&amp;COUNTIF($MH92:$MK92,"Mais Um")&amp;IF(COUNTIF($MH92:$MK92,"Mais Um")&gt;1," alvos"," alvo"),"")&amp;IF(COUNTIF($MH92:$MK92,"Rajada")&gt;0,IF($MC92=0," · 1 tiro"," · "&amp;(MAX(1,$MC92-1)+1)&amp;" tiros"),""),""))</f>
        <v/>
      </c>
      <c r="PT92" s="152">
        <f>IF($MN92=0,"",IF($MC92=0,$MQ92&amp;"d6"&amp;IF($OD92&gt;0," − 1 = "&amp;$OM92&amp;"d6"," da básica do nível "&amp;$MO92),$OK92&amp;" − "&amp;$OF92&amp;" + "&amp;$OI92&amp;" = "&amp;$OL92&amp;" · teto "&amp;4*$MC92&amp;"d8"&amp;IF($NO92=1," · a Forma devolve "&amp;$MC92,"")&amp;IF($OJ92&gt;0," · perde "&amp;$OJ92,"")))</f>
        <v/>
      </c>
      <c r="PU92" s="152">
        <f>IF($MN92=0,"",IF($MC92=0,"A básica não amplia: os dados dela sobem com o nível",IF($MC92&gt;=$MP92,"Já está na maior Classe que o nível liberou",TEXTJOIN(" · ",TRUE,IF(AND(2&gt;$MC92,2&lt;=$MP92),"2 → "&amp;$OW92&amp;", 6 PE",""),IF(AND(3&gt;$MC92,3&lt;=$MP92),"3 → "&amp;$OX92&amp;", 9 PE",""),IF(AND(4&gt;$MC92,4&lt;=$MP92),"4 → "&amp;$OY92&amp;", 12 PE",""),IF(AND(5&gt;$MC92,5&lt;=$MP92),"5 → "&amp;$OZ92&amp;", 15 PE",""),IF(AND(6&gt;$MC92,6&lt;=$MP92),"6 → "&amp;$PA92&amp;", 18 PE",""),IF(AND(7&gt;$MC92,7&lt;=$MP92),"7 → "&amp;$PB92&amp;", 21 PE","")))))</f>
        <v/>
      </c>
      <c r="PV92" s="152">
        <f>IF(OR($MN92=0,$MY92=0),"",IF($MC92=0,"−1 dado","−"&amp;INDEX($I$2:$N$8,MAX(1,$MC92),MAX(1,$ND92))&amp;" · "&amp;CHOOSE(MAX(1,$ND92),"Leve","Média","Pesada","Leve · Livre","Média · Livre","Pesada · Livre")))</f>
        <v/>
      </c>
      <c r="PW92" s="152">
        <f>IF(OR($MN92=0,$MZ92=0),"",IF($MC92=0,"−1 dado","−"&amp;INDEX($I$2:$N$8,MAX(1,$MC92),MAX(1,$NE92))&amp;" · "&amp;CHOOSE(MAX(1,$NE92),"Leve","Média","Pesada","Leve · Livre","Média · Livre","Pesada · Livre")))</f>
        <v/>
      </c>
      <c r="PX92" s="152">
        <f>IF(OR($MN92=0,$NA92=0),"",IF($MC92=0,"−1 dado","−"&amp;INDEX($I$2:$N$8,MAX(1,$MC92),MAX(1,$NF92))&amp;" · "&amp;CHOOSE(MAX(1,$NF92),"Leve","Média","Pesada","Leve · Livre","Média · Livre","Pesada · Livre")))</f>
        <v/>
      </c>
      <c r="PY92" s="152">
        <f>IF(OR($MN92=0,$NB92=0),"",IF($MC92=0,"−1 dado","−"&amp;INDEX($I$2:$N$8,MAX(1,$MC92),MAX(1,$NG92))&amp;" · "&amp;CHOOSE(MAX(1,$NG92),"Leve","Média","Pesada","Leve · Livre","Média · Livre","Pesada · Livre")))</f>
        <v/>
      </c>
      <c r="PZ92" s="152">
        <f>IF(OR($MN92=0,$ML92=""),"",IF($MC92=0,"não devolve","+"&amp;IF($NR92=1,CEILING($MC92/2,1),$MC92)))</f>
        <v/>
      </c>
      <c r="QA92" s="152">
        <f>IF(OR($MN92=0,$MM92=""),"",IF($MC92=0,"não devolve","+"&amp;IF($NS92=1,CEILING($MC92/2,1),$MC92)))</f>
        <v/>
      </c>
    </row>
    <row r="93">
      <c r="LX93" s="150" t="inlineStr">
        <is>
          <t>Ficha 8 · Básica 1</t>
        </is>
      </c>
      <c r="LY93" s="152" t="n">
        <v>8</v>
      </c>
      <c r="LZ93" s="152" t="n">
        <v>0</v>
      </c>
      <c r="MA93" s="152" t="n">
        <v>1</v>
      </c>
      <c r="MB93" s="150" t="inlineStr">
        <is>
          <t>BÁSICA 1</t>
        </is>
      </c>
      <c r="MC93" s="152" t="n">
        <v>0</v>
      </c>
      <c r="MD93" s="152">
        <f>'INVOCAÇÕES'!$AC$256&amp;""</f>
        <v/>
      </c>
      <c r="ME93" s="152">
        <f>'INVOCAÇÕES'!$AB$261&amp;""</f>
        <v/>
      </c>
      <c r="MF93" s="152">
        <f>'INVOCAÇÕES'!$AB$262&amp;""</f>
        <v/>
      </c>
      <c r="MG93" s="152">
        <f>'INVOCAÇÕES'!$AD$262&amp;""</f>
        <v/>
      </c>
      <c r="MH93" s="152">
        <f>'INVOCAÇÕES'!$AC$265&amp;""</f>
        <v/>
      </c>
      <c r="MI93" s="152">
        <f>'INVOCAÇÕES'!$AC$266&amp;""</f>
        <v/>
      </c>
      <c r="MJ93" s="152">
        <f>'INVOCAÇÕES'!$AC$267&amp;""</f>
        <v/>
      </c>
      <c r="MK93" s="152">
        <f>'INVOCAÇÕES'!$AC$268&amp;""</f>
        <v/>
      </c>
      <c r="ML93" s="152">
        <f>'INVOCAÇÕES'!$AC$269&amp;""</f>
        <v/>
      </c>
      <c r="MM93" s="152">
        <f>'INVOCAÇÕES'!$AC$270&amp;""</f>
        <v/>
      </c>
      <c r="MN93" s="152">
        <f>IF($MD93&lt;&gt;"",1,0)</f>
        <v/>
      </c>
      <c r="MO93" s="152">
        <f>INDEX($FG$2:$FG$13,$LY93)</f>
        <v/>
      </c>
      <c r="MP93" s="152">
        <f>INDEX($FH$2:$FH$13,$LY93)</f>
        <v/>
      </c>
      <c r="MQ93" s="152">
        <f>INDEX($FI$2:$FI$13,$LY93)</f>
        <v/>
      </c>
      <c r="MR93" s="152">
        <f>INDEX($FT$2:$FT$13,$LY93)</f>
        <v/>
      </c>
      <c r="MS93" s="152">
        <f>INDEX($FU$2:$FU$13,$LY93)</f>
        <v/>
      </c>
      <c r="MT93" s="152">
        <f>IFERROR(MATCH($ME93,$V$2:$V$11,0),0)</f>
        <v/>
      </c>
      <c r="MU93" s="152">
        <f>IFERROR(VLOOKUP($MH93,$AV$2:$AZ$84,2,FALSE),"")</f>
        <v/>
      </c>
      <c r="MV93" s="152">
        <f>IFERROR(VLOOKUP($MI93,$AV$2:$AZ$84,2,FALSE),"")</f>
        <v/>
      </c>
      <c r="MW93" s="152">
        <f>IFERROR(VLOOKUP($MJ93,$AV$2:$AZ$84,2,FALSE),"")</f>
        <v/>
      </c>
      <c r="MX93" s="152">
        <f>IFERROR(VLOOKUP($MK93,$AV$2:$AZ$84,2,FALSE),"")</f>
        <v/>
      </c>
      <c r="MY93" s="152">
        <f>IFERROR(VLOOKUP($MH93,$AV$2:$AZ$84,3,FALSE),0)</f>
        <v/>
      </c>
      <c r="MZ93" s="152">
        <f>IFERROR(VLOOKUP($MI93,$AV$2:$AZ$84,3,FALSE),0)</f>
        <v/>
      </c>
      <c r="NA93" s="152">
        <f>IFERROR(VLOOKUP($MJ93,$AV$2:$AZ$84,3,FALSE),0)</f>
        <v/>
      </c>
      <c r="NB93" s="152">
        <f>IFERROR(VLOOKUP($MK93,$AV$2:$AZ$84,3,FALSE),0)</f>
        <v/>
      </c>
      <c r="NC93" s="152">
        <f>IF($MC93=0,0,IF($MT93=0,0,INDEX($X$2:$X$11,$MT93)))</f>
        <v/>
      </c>
      <c r="ND93" s="152">
        <f>IF(OR($MY93=0,$MC93=0),0,$MY93+3*IF(AND($MU93&lt;&gt;"",OR($MU93=INDEX($ED$2:$ED$13,$LY93),$MU93=INDEX($EE$2:$EE$13,$LY93))),1,0))</f>
        <v/>
      </c>
      <c r="NE93" s="152">
        <f>IF(OR($MZ93=0,$MC93=0),0,$MZ93+3*IF(AND($MV93&lt;&gt;"",OR($MV93=INDEX($ED$2:$ED$13,$LY93),$MV93=INDEX($EE$2:$EE$13,$LY93))),1,0))</f>
        <v/>
      </c>
      <c r="NF93" s="152">
        <f>IF(OR($NA93=0,$MC93=0),0,$NA93+3*IF(AND($MW93&lt;&gt;"",OR($MW93=INDEX($ED$2:$ED$13,$LY93),$MW93=INDEX($EE$2:$EE$13,$LY93))),1,0))</f>
        <v/>
      </c>
      <c r="NG93" s="152">
        <f>IF(OR($NB93=0,$MC93=0),0,$NB93+3*IF(AND($MX93&lt;&gt;"",OR($MX93=INDEX($ED$2:$ED$13,$LY93),$MX93=INDEX($EE$2:$EE$13,$LY93))),1,0))</f>
        <v/>
      </c>
      <c r="NH93" s="152">
        <f>IF($MT93=0,0,IF(INDEX($W$2:$W$11,$MT93)="",0,IF(COUNTIF(INDEX($ED$2:$EH$13,$LY93,0),INDEX($W$2:$W$11,$MT93))=0,1,0)))</f>
        <v/>
      </c>
      <c r="NI93" s="152">
        <f>IF(OR($MY93=0,$MU93=""),0,IF(COUNTIF(INDEX($ED$2:$EH$13,$LY93,0),$MU93)=0,1,0))</f>
        <v/>
      </c>
      <c r="NJ93" s="152">
        <f>IF(OR($MZ93=0,$MV93=""),0,IF(COUNTIF(INDEX($ED$2:$EH$13,$LY93,0),$MV93)=0,1,0))</f>
        <v/>
      </c>
      <c r="NK93" s="152">
        <f>IF(OR($NA93=0,$MW93=""),0,IF(COUNTIF(INDEX($ED$2:$EH$13,$LY93,0),$MW93)=0,1,0))</f>
        <v/>
      </c>
      <c r="NL93" s="152">
        <f>IF(OR($NB93=0,$MX93=""),0,IF(COUNTIF(INDEX($ED$2:$EH$13,$LY93,0),$MX93)=0,1,0))</f>
        <v/>
      </c>
      <c r="NM93" s="152">
        <f>IFERROR(VLOOKUP($MH93,$AV$2:$AZ$84,4,FALSE),0)+IFERROR(VLOOKUP($MI93,$AV$2:$AZ$84,4,FALSE),0)+IFERROR(VLOOKUP($MJ93,$AV$2:$AZ$84,4,FALSE),0)+IFERROR(VLOOKUP($MK93,$AV$2:$AZ$84,4,FALSE),0)</f>
        <v/>
      </c>
      <c r="NN93" s="152">
        <f>TEXTJOIN(", ",TRUE,IF(IFERROR(VLOOKUP($MH93,$AV$2:$AZ$84,5,FALSE),0)=1,$MH93,""),IF(IFERROR(VLOOKUP($MI93,$AV$2:$AZ$84,5,FALSE),0)=1,$MI93,""),IF(IFERROR(VLOOKUP($MJ93,$AV$2:$AZ$84,5,FALSE),0)=1,$MJ93,""),IF(IFERROR(VLOOKUP($MK93,$AV$2:$AZ$84,5,FALSE),0)=1,$MK93,""))</f>
        <v/>
      </c>
      <c r="NO93" s="152">
        <f>IF($MT93=0,0,INDEX($Y$2:$Y$11,$MT93))</f>
        <v/>
      </c>
      <c r="NP93" s="152">
        <f>IF($MT93=0,0,INDEX($Z$2:$Z$11,$MT93))</f>
        <v/>
      </c>
      <c r="NQ93" s="152">
        <f>IF($MT93=0,0,INDEX($AB$2:$AB$11,$MT93))</f>
        <v/>
      </c>
      <c r="NR93" s="152">
        <f>IFERROR(VLOOKUP($ML93,$BB$2:$BF$24,3,FALSE),0)</f>
        <v/>
      </c>
      <c r="NS93" s="152">
        <f>IFERROR(VLOOKUP($MM93,$BB$2:$BF$24,3,FALSE),0)</f>
        <v/>
      </c>
      <c r="NT93" s="152">
        <f>IFERROR(VLOOKUP($ML93,$BB$2:$BF$24,2,FALSE),"")</f>
        <v/>
      </c>
      <c r="NU93" s="152">
        <f>IFERROR(VLOOKUP($MM93,$BB$2:$BF$24,2,FALSE),"")</f>
        <v/>
      </c>
      <c r="NV93" s="152">
        <f>COUNTIF($NC93:$NG93,1)</f>
        <v/>
      </c>
      <c r="NW93" s="152">
        <f>COUNTIF($NC93:$NG93,2)</f>
        <v/>
      </c>
      <c r="NX93" s="152">
        <f>COUNTIF($NC93:$NG93,3)</f>
        <v/>
      </c>
      <c r="NY93" s="152">
        <f>COUNTIF($NC93:$NG93,4)</f>
        <v/>
      </c>
      <c r="NZ93" s="152">
        <f>COUNTIF($NC93:$NG93,5)</f>
        <v/>
      </c>
      <c r="OA93" s="152">
        <f>COUNTIF($NC93:$NG93,6)</f>
        <v/>
      </c>
      <c r="OB93" s="152">
        <f>COUNTIF($NR93:$NS93,1)</f>
        <v/>
      </c>
      <c r="OC93" s="152">
        <f>COUNTIF($NR93:$NS93,2)+$NO93</f>
        <v/>
      </c>
      <c r="OD93" s="152">
        <f>COUNTIF($MH93:$MK93,"?*")</f>
        <v/>
      </c>
      <c r="OE93" s="152">
        <f>COUNTIF($ML93:$MM93,"?*")+$NO93</f>
        <v/>
      </c>
      <c r="OF93" s="152">
        <f>IF($MC93=0,0,SUMPRODUCT($NV93:$OA93,INDEX($I$2:$N$8,MAX(1,$MC93),0)))</f>
        <v/>
      </c>
      <c r="OG93" s="152">
        <f>IF($MC93=0,0,$OB93*CEILING($MC93/2,1)+$OC93*$MC93)</f>
        <v/>
      </c>
      <c r="OH93" s="152">
        <f>MIN(2*$MC93,$OG93)</f>
        <v/>
      </c>
      <c r="OI93" s="152">
        <f>MIN($OH93,$OF93)</f>
        <v/>
      </c>
      <c r="OJ93" s="152">
        <f>$OH93-$OI93</f>
        <v/>
      </c>
      <c r="OK93" s="152">
        <f>IF($MC93=0,0,INDEX($P$2:$P$8,MAX(1,$MC93)))</f>
        <v/>
      </c>
      <c r="OL93" s="152">
        <f>$OK93-$OF93+$OI93</f>
        <v/>
      </c>
      <c r="OM93" s="152">
        <f>IF($MC93=0,MAX(0,$MQ93-IF($OD93&gt;0,1,0)),MAX(0,$OL93))</f>
        <v/>
      </c>
      <c r="ON93" s="152">
        <f>IF($MC93=0,0,(IF(COUNTIF($MH93:$MK93,"Salto")&gt;0,1,0)+IF(COUNTIF($MH93:$MK93,"Queima")&gt;0,1,0)+IF(COUNTIF($MH93:$MK93,"Estilhaço")&gt;0,1,0))*FLOOR($OM93/2,1))</f>
        <v/>
      </c>
      <c r="OO93" s="152">
        <f>MAX(0,2-SUMPRODUCT($NV93:$OA93,$I$2:$N$2)+MIN(2,$OB93*1+$OC93*1,SUMPRODUCT($NV93:$OA93,$I$2:$N$2)))</f>
        <v/>
      </c>
      <c r="OP93" s="152">
        <f>MAX(0,4-SUMPRODUCT($NV93:$OA93,$I$3:$N$3)+MIN(4,$OB93*1+$OC93*2,SUMPRODUCT($NV93:$OA93,$I$3:$N$3)))</f>
        <v/>
      </c>
      <c r="OQ93" s="152">
        <f>MAX(0,6-SUMPRODUCT($NV93:$OA93,$I$4:$N$4)+MIN(6,$OB93*2+$OC93*3,SUMPRODUCT($NV93:$OA93,$I$4:$N$4)))</f>
        <v/>
      </c>
      <c r="OR93" s="152">
        <f>MAX(0,9-SUMPRODUCT($NV93:$OA93,$I$5:$N$5)+MIN(8,$OB93*2+$OC93*4,SUMPRODUCT($NV93:$OA93,$I$5:$N$5)))</f>
        <v/>
      </c>
      <c r="OS93" s="152">
        <f>MAX(0,11-SUMPRODUCT($NV93:$OA93,$I$6:$N$6)+MIN(10,$OB93*3+$OC93*5,SUMPRODUCT($NV93:$OA93,$I$6:$N$6)))</f>
        <v/>
      </c>
      <c r="OT93" s="152">
        <f>MAX(0,13-SUMPRODUCT($NV93:$OA93,$I$7:$N$7)+MIN(12,$OB93*3+$OC93*6,SUMPRODUCT($NV93:$OA93,$I$7:$N$7)))</f>
        <v/>
      </c>
      <c r="OU93" s="152">
        <f>MAX(0,16-SUMPRODUCT($NV93:$OA93,$I$8:$N$8)+MIN(14,$OB93*4+$OC93*7,SUMPRODUCT($NV93:$OA93,$I$8:$N$8)))</f>
        <v/>
      </c>
      <c r="OV93" s="152">
        <f>IF($NP93=2,3*$OO93&amp;" de vida temp.",IF($NP93=3,"sem dano",IF($OO93=0,IF($NP93=1,"sem cura","sem dano"),IF($NP93=1,"cura ","")&amp;$OO93&amp;"d8")))</f>
        <v/>
      </c>
      <c r="OW93" s="152">
        <f>IF($NP93=2,3*$OP93&amp;" de vida temp.",IF($NP93=3,"sem dano",IF($OP93=0,IF($NP93=1,"sem cura","sem dano"),IF($NP93=1,"cura ","")&amp;$OP93&amp;"d8")))</f>
        <v/>
      </c>
      <c r="OX93" s="152">
        <f>IF($NP93=2,3*$OQ93&amp;" de vida temp.",IF($NP93=3,"sem dano",IF($OQ93=0,IF($NP93=1,"sem cura","sem dano"),IF($NP93=1,"cura ","")&amp;$OQ93&amp;"d8")))</f>
        <v/>
      </c>
      <c r="OY93" s="152">
        <f>IF($NP93=2,3*$OR93&amp;" de vida temp.",IF($NP93=3,"sem dano",IF($OR93=0,IF($NP93=1,"sem cura","sem dano"),IF($NP93=1,"cura ","")&amp;$OR93&amp;"d8")))</f>
        <v/>
      </c>
      <c r="OZ93" s="152">
        <f>IF($NP93=2,3*$OS93&amp;" de vida temp.",IF($NP93=3,"sem dano",IF($OS93=0,IF($NP93=1,"sem cura","sem dano"),IF($NP93=1,"cura ","")&amp;$OS93&amp;"d8")))</f>
        <v/>
      </c>
      <c r="PA93" s="152">
        <f>IF($NP93=2,3*$OT93&amp;" de vida temp.",IF($NP93=3,"sem dano",IF($OT93=0,IF($NP93=1,"sem cura","sem dano"),IF($NP93=1,"cura ","")&amp;$OT93&amp;"d8")))</f>
        <v/>
      </c>
      <c r="PB93" s="152">
        <f>IF($NP93=2,3*$OU93&amp;" de vida temp.",IF($NP93=3,"sem dano",IF($OU93=0,IF($NP93=1,"sem cura","sem dano"),IF($NP93=1,"cura ","")&amp;$OU93&amp;"d8")))</f>
        <v/>
      </c>
      <c r="PC93" s="152">
        <f>IF($MN93=0,"",TEXTJOIN(" · ",TRUE,IF($MA93&gt;$MO93,"Este lugar abre no nível "&amp;$MA93,""),IF($MC93&gt;$MP93,"Classe "&amp;$MC93&amp;": o nível "&amp;$MO93&amp;" libera até a "&amp;$MP93,""),IF($NH93=1,"A Forma "&amp;$ME93&amp;" pede "&amp;INDEX($W$2:$W$11,$MT93)&amp;" aberta",""),IF(AND($MC93=0,$MT93&gt;0,IF($MT93=0,0,INDEX($AF$2:$AF$11,$MT93))=0),$ME93&amp;" não existe na Classe 0",""),IF($NI93=1,"Família Fechada: "&amp;$MH93,""),IF($NJ93=1,"Família Fechada: "&amp;$MI93,""),IF($NK93=1,"Família Fechada: "&amp;$MJ93,""),IF($NL93=1,"Família Fechada: "&amp;$MK93,""),IF(AND($MC93&gt;0,$OD93&gt;INDEX($O$2:$O$8,MAX(1,$MC93))),$OD93&amp;" Melhorias: a Classe "&amp;$MC93&amp;" aceita "&amp;INDEX($O$2:$O$8,MAX(1,$MC93)),""),IF(AND($MC93=0,$OD93&gt;1),"A básica aceita uma Melhoria",""),IF(AND($MC93=0,COUNTIF($MY93:$NB93,"&gt;1")&gt;0),"A básica só aceita Melhoria Leve",""),IF(AND($MC93&gt;0,$OE93&gt;2),$OE93&amp;" Restrições"&amp;IF($NO93=1,", contando a que a Forma "&amp;$ME93&amp;" já traz","")&amp;": o limite é 2",""),IF(AND($MC93=0,COUNTIF($ML93:$MM93,"?*")&gt;1),"A básica aceita uma Restrição Leve",""),IF(AND($MC93=0,COUNTIF($NR93:$NS93,2)&gt;0),"A básica só aceita Restrição Leve",""),IF(AND($MC93&gt;0,$OL93&lt;0),"Orçamento estourado: faltam "&amp;(-$OL93)&amp;IF($OL93&lt;-1," pontos"," ponto"),""),IF(IFERROR(VLOOKUP($ML93,$BB$2:$BF$24,4,FALSE),0)+IFERROR(VLOOKUP($MM93,$BB$2:$BF$24,4,FALSE),0)&gt;1,$NT93&amp;" e "&amp;$NU93&amp;" são as duas de frequência",""),IF(AND((COUNTIF($MH93:$MK93,"Rápido")+COUNTIF($NT93:$NU93,"Rápido"))&gt;0,(COUNTIF($MH93:$MK93,"Atrasar")+COUNTIF($NT93:$NU93,"Atrasar"))&gt;0),"Rápido não entra com Atrasar",""),IF(AND((COUNTIF($MH93:$MK93,"Reação")+COUNTIF($NT93:$NU93,"Reação"))&gt;0,(COUNTIF($MH93:$MK93,"Rápido")+COUNTIF($NT93:$NU93,"Rápido"))&gt;0),"Reação não entra com Rápido",""),IF(AND((COUNTIF($MH93:$MK93,"Reação")+COUNTIF($NT93:$NU93,"Reação"))&gt;0,(COUNTIF($MH93:$MK93,"Armado")+COUNTIF($NT93:$NU93,"Armado"))&gt;0),"Reação não entra com Armado",""),IF(AND((COUNTIF($MH93:$MK93,"Reação")+COUNTIF($NT93:$NU93,"Reação"))&gt;0,(COUNTIF($MH93:$MK93,"Atrasar")+COUNTIF($NT93:$NU93,"Atrasar"))&gt;0),"Reação não entra com Atrasar",""),IF(AND((COUNTIF($MH93:$MK93,"Reação")+COUNTIF($NT93:$NU93,"Reação"))&gt;0,(COUNTIF($MH93:$MK93,"Parado")+COUNTIF($NT93:$NU93,"Parado"))&gt;0),"Reação não entra com Parado",""),IF(AND((COUNTIF($MH93:$MK93,"Atrasar")+COUNTIF($NT93:$NU93,"Atrasar"))&gt;0,(COUNTIF($MH93:$MK93,"Parado")+COUNTIF($NT93:$NU93,"Parado"))&gt;0),"Atrasar não entra com Parado",""),IF(AND((COUNTIF($MH93:$MK93,"Armado")+COUNTIF($NT93:$NU93,"Armado"))&gt;0,(COUNTIF($MH93:$MK93,"Carregar")+COUNTIF($NT93:$NU93,"Carregar"))&gt;0),"Armado não entra com Carregar",""),IF(AND(COUNTIF($NT93:$NU93,"Corpo a Corpo")&gt;0,$NO93=0,OR($ME93="Cone",$ME93="Linha")),"Corpo a Corpo não entra em "&amp;$ME93,""),IF(AND(COUNTIF($NT93:$NU93,"Corpo a Corpo")&gt;0,$NO93=1),"A Forma "&amp;$ME93&amp;" já traz o Corpo a Corpo",""),IF(AND(COUNTIF($NT93:$NU93,"Tudo ou Nada")&gt;0,$NQ93=0),"Tudo ou Nada só entra em habilidade de Teste de Resistência",""),IF(AND(COUNTIF($MH93:$MK93,"Inescapável")&gt;0,OR($OD93&gt;1,$OE93&gt;0)),"Inescapável não aceita outra peça",""),IF(AND($MC93&gt;0,$OM93*IF(COUNTIF($MH93:$MK93,"Remate")&gt;0,1.25,1)+$ON93&gt;4*$MC93),($OM93*IF(COUNTIF($MH93:$MK93,"Remate")&gt;0,1.25,1)+$ON93)&amp;" dados somando repetições"&amp;IF(COUNTIF($MH93:$MK93,"Remate")&gt;0," e o Remate","")&amp;": o teto da Classe "&amp;$MC93&amp;" é "&amp;4*$MC93,"")))</f>
        <v/>
      </c>
      <c r="PD93" s="152">
        <f>IF($PC93="",0,(LEN($PC93)-LEN(SUBSTITUTE($PC93," · ","")))/3+1)</f>
        <v/>
      </c>
      <c r="PE93" s="152">
        <f>IF($MN93=0,"",TEXTJOIN(" · ",TRUE,IF($OG93&gt;2*$MC93,"A devolução parou no teto de "&amp;2*$MC93,""),IF($OJ93&gt;0,"Devolução perdida: "&amp;$OJ93&amp;IF($OJ93&gt;1," pontos"," ponto")&amp;" sem peça para pagar",""),IF(AND($NM93&gt;0,AND($MC93&gt;0,$NP93=0),$OM93=0),"Controle sem dano: uma rodada a mais e CD +2",""),IF(AND($NM93&gt;0,AND($MC93&gt;0,$NP93=0),$OM93&gt;0,$OM93&lt;=$MC93),"Controle com saldo até a Classe: uma rodada a mais",""),IF(AND($MC93&gt;0,$NN93&lt;&gt;""),"Efeito de "&amp;$NN93&amp;" pela Classe "&amp;MAX(1,$MC93-1),"")))</f>
        <v/>
      </c>
      <c r="PF93" s="152">
        <f>IF($PE93="",0,(LEN($PE93)-LEN(SUBSTITUTE($PE93," · ","")))/3+1)</f>
        <v/>
      </c>
      <c r="PG93" s="152">
        <f>IF($MN93=0,IF($OD93+COUNTIF($ML93:$MM93,"?*")&gt;0,"Dê um nome",""),IF($PD93&gt;0,"⚠ "&amp;$PD93&amp;IF($PD93&gt;1," erros"," erro"),IF($PF93&gt;0,"! "&amp;$PF93&amp;IF($PF93&gt;1," avisos"," aviso"),"Na regra")))</f>
        <v/>
      </c>
      <c r="PH93" s="152">
        <f>IF($MN93=0,"",IF($PD93+$PF93=0,"Dentro das regras que a ficha confere",$PC93&amp;IF(AND($PD93&gt;0,$PF93&gt;0)," · ","")&amp;$PE93))</f>
        <v/>
      </c>
      <c r="PI93" s="152">
        <f>IF($MA93&gt;$MO93,$MB93&amp;" · ABRE NO NÍVEL "&amp;$MA93,$MB93)</f>
        <v/>
      </c>
      <c r="PJ93" s="152">
        <f>IF($MN93=0,"",IF($MC93=0,"Sem PE",3*$MC93&amp;" PE"))</f>
        <v/>
      </c>
      <c r="PK93" s="152">
        <f>IF($MN93=0,"",IF($MC93=0,"A atuação básica dela",IF(COUNTIF($NT93:$NU93,"Atrasar")&gt;0,"Sua Ação Completa",IF(COUNTIF($MH93:$MK93,"Rápido")&gt;0,"Sua Bônus",IF(COUNTIF($MH93:$MK93,"Reação")&gt;0,"Sua Reação","Sua Padrão")))&amp;" + a básica dela"&amp;IF(COUNTIF($MH93:$MK93,"Reação")&gt;0," e a coletiva","")&amp;IF(COUNTIF($NT93:$NU93,"Carregar")&gt;0," · em dois turnos","")))</f>
        <v/>
      </c>
      <c r="PL93" s="152">
        <f>IF($MG93&lt;&gt;"",$MG93,IF($MT93=0,"",INDEX($AA$2:$AA$11,$MT93)))</f>
        <v/>
      </c>
      <c r="PM93" s="152">
        <f>IF(OR($MN93=0,$MT93=0),"",IF(COUNTIF($MH93:$MK93,"Inescapável")&gt;0,"Automático",IF($PL93="Ataque",IF($MR93="","Ataque","Ataque "&amp;IF(($MR93+2*IF(COUNTIF($MH93:$MK93,"Precisão")&gt;0,1,0))&gt;=0,"+","−")&amp;ABS(($MR93+2*IF(COUNTIF($MH93:$MK93,"Precisão")&gt;0,1,0)))),IF(LEFT($PL93,2)="TR",$PL93&amp;IF($MS93="",""," · CD "&amp;$MS93)&amp;IF(COUNTIF($MH93:$MK93,"Certeiro")&gt;0," · metade",""),"Sem rolagem"))))</f>
        <v/>
      </c>
      <c r="PN93" s="152">
        <f>IF(OR($MN93=0,$MT93=0),"",IF($MC93=0,IF(OR($NP93&gt;=1,$OM93=0),"Sem dano",$OM93&amp;"d6"&amp;IF($MF93="",""," "&amp;$MF93)),IF(OR($NP93&gt;=1,$OM93=0),UPPER(LEFT(INDEX($OV93:$PB93,1,MAX(1,$MC93)),1))&amp;MID(INDEX($OV93:$PB93,1,MAX(1,$MC93)),2,99),UPPER(LEFT(INDEX($OV93:$PB93,1,MAX(1,$MC93)),1))&amp;MID(INDEX($OV93:$PB93,1,MAX(1,$MC93)),2,99)&amp;IF($MF93="",""," "&amp;$MF93)&amp;IF($ON93&gt;0," · +"&amp;$ON93&amp;"d8",""))))</f>
        <v/>
      </c>
      <c r="PO93" s="152">
        <f>COUNTIF($MH93:$MK93,"Longe")+3*COUNTIF($MH93:$MK93,"Muito Longe")</f>
        <v/>
      </c>
      <c r="PP93" s="152">
        <f>COUNTIF($MH93:$MK93,"Maior")+3*COUNTIF($MH93:$MK93,"Muito Maior")</f>
        <v/>
      </c>
      <c r="PQ93" s="152">
        <f>IF($MT93=0,0,CHOOSE(1+INDEX($AC$2:$AC$11,$MT93),0,$PO93,$PP93,$PO93+$PP93))</f>
        <v/>
      </c>
      <c r="PR93" s="152">
        <f>IF($MT93=0,0,CHOOSE(1+INDEX($AD$2:$AD$11,$MT93),0,$PO93,$PP93,$PO93+$PP93))</f>
        <v/>
      </c>
      <c r="PS93" s="152">
        <f>IF(OR($MN93=0,$MT93=0),"",INDEX($AI$2:$AN$41,($MT93-1)*4+IF($MC93=0,1,IF($MC93&lt;=5,2,IF($MC93=6,3,4))),1+MIN(5,$PQ93))&amp;INDEX($AO$2:$AT$41,($MT93-1)*4+IF($MC93=0,1,IF($MC93&lt;=5,2,IF($MC93=6,3,4))),1+MIN(5,$PR93))&amp;IF(INDEX($AE$2:$AE$11,$MT93)=1,IF(COUNTIF($MH93:$MK93,"Mais Um")&gt;0," · +"&amp;COUNTIF($MH93:$MK93,"Mais Um")&amp;IF(COUNTIF($MH93:$MK93,"Mais Um")&gt;1," alvos"," alvo"),"")&amp;IF(COUNTIF($MH93:$MK93,"Rajada")&gt;0,IF($MC93=0," · 1 tiro"," · "&amp;(MAX(1,$MC93-1)+1)&amp;" tiros"),""),""))</f>
        <v/>
      </c>
      <c r="PT93" s="152">
        <f>IF($MN93=0,"",IF($MC93=0,$MQ93&amp;"d6"&amp;IF($OD93&gt;0," − 1 = "&amp;$OM93&amp;"d6"," da básica do nível "&amp;$MO93),$OK93&amp;" − "&amp;$OF93&amp;" + "&amp;$OI93&amp;" = "&amp;$OL93&amp;" · teto "&amp;4*$MC93&amp;"d8"&amp;IF($NO93=1," · a Forma devolve "&amp;$MC93,"")&amp;IF($OJ93&gt;0," · perde "&amp;$OJ93,"")))</f>
        <v/>
      </c>
      <c r="PU93" s="152">
        <f>IF($MN93=0,"",IF($MC93=0,"A básica não amplia: os dados dela sobem com o nível",IF($MC93&gt;=$MP93,"Já está na maior Classe que o nível liberou",TEXTJOIN(" · ",TRUE,IF(AND(2&gt;$MC93,2&lt;=$MP93),"2 → "&amp;$OW93&amp;", 6 PE",""),IF(AND(3&gt;$MC93,3&lt;=$MP93),"3 → "&amp;$OX93&amp;", 9 PE",""),IF(AND(4&gt;$MC93,4&lt;=$MP93),"4 → "&amp;$OY93&amp;", 12 PE",""),IF(AND(5&gt;$MC93,5&lt;=$MP93),"5 → "&amp;$OZ93&amp;", 15 PE",""),IF(AND(6&gt;$MC93,6&lt;=$MP93),"6 → "&amp;$PA93&amp;", 18 PE",""),IF(AND(7&gt;$MC93,7&lt;=$MP93),"7 → "&amp;$PB93&amp;", 21 PE","")))))</f>
        <v/>
      </c>
      <c r="PV93" s="152">
        <f>IF(OR($MN93=0,$MY93=0),"",IF($MC93=0,"−1 dado","−"&amp;INDEX($I$2:$N$8,MAX(1,$MC93),MAX(1,$ND93))&amp;" · "&amp;CHOOSE(MAX(1,$ND93),"Leve","Média","Pesada","Leve · Livre","Média · Livre","Pesada · Livre")))</f>
        <v/>
      </c>
      <c r="PW93" s="152">
        <f>IF(OR($MN93=0,$MZ93=0),"",IF($MC93=0,"−1 dado","−"&amp;INDEX($I$2:$N$8,MAX(1,$MC93),MAX(1,$NE93))&amp;" · "&amp;CHOOSE(MAX(1,$NE93),"Leve","Média","Pesada","Leve · Livre","Média · Livre","Pesada · Livre")))</f>
        <v/>
      </c>
      <c r="PX93" s="152">
        <f>IF(OR($MN93=0,$NA93=0),"",IF($MC93=0,"−1 dado","−"&amp;INDEX($I$2:$N$8,MAX(1,$MC93),MAX(1,$NF93))&amp;" · "&amp;CHOOSE(MAX(1,$NF93),"Leve","Média","Pesada","Leve · Livre","Média · Livre","Pesada · Livre")))</f>
        <v/>
      </c>
      <c r="PY93" s="152">
        <f>IF(OR($MN93=0,$NB93=0),"",IF($MC93=0,"−1 dado","−"&amp;INDEX($I$2:$N$8,MAX(1,$MC93),MAX(1,$NG93))&amp;" · "&amp;CHOOSE(MAX(1,$NG93),"Leve","Média","Pesada","Leve · Livre","Média · Livre","Pesada · Livre")))</f>
        <v/>
      </c>
      <c r="PZ93" s="152">
        <f>IF(OR($MN93=0,$ML93=""),"",IF($MC93=0,"não devolve","+"&amp;IF($NR93=1,CEILING($MC93/2,1),$MC93)))</f>
        <v/>
      </c>
      <c r="QA93" s="152">
        <f>IF(OR($MN93=0,$MM93=""),"",IF($MC93=0,"não devolve","+"&amp;IF($NS93=1,CEILING($MC93/2,1),$MC93)))</f>
        <v/>
      </c>
    </row>
    <row r="94">
      <c r="LX94" s="150" t="inlineStr">
        <is>
          <t>Ficha 8 · Especial 1</t>
        </is>
      </c>
      <c r="LY94" s="152" t="n">
        <v>8</v>
      </c>
      <c r="LZ94" s="152" t="n">
        <v>1</v>
      </c>
      <c r="MA94" s="152" t="n">
        <v>1</v>
      </c>
      <c r="MB94" s="150" t="inlineStr">
        <is>
          <t>ESPECIAL 1</t>
        </is>
      </c>
      <c r="MC94" s="152">
        <f>MAX(1,MIN(7,N('INVOCAÇÕES'!$AH$256)))</f>
        <v/>
      </c>
      <c r="MD94" s="152">
        <f>'INVOCAÇÕES'!$AI$256&amp;""</f>
        <v/>
      </c>
      <c r="ME94" s="152">
        <f>'INVOCAÇÕES'!$AH$261&amp;""</f>
        <v/>
      </c>
      <c r="MF94" s="152">
        <f>'INVOCAÇÕES'!$AH$262&amp;""</f>
        <v/>
      </c>
      <c r="MG94" s="152">
        <f>'INVOCAÇÕES'!$AJ$262&amp;""</f>
        <v/>
      </c>
      <c r="MH94" s="152">
        <f>'INVOCAÇÕES'!$AI$265&amp;""</f>
        <v/>
      </c>
      <c r="MI94" s="152">
        <f>'INVOCAÇÕES'!$AI$266&amp;""</f>
        <v/>
      </c>
      <c r="MJ94" s="152">
        <f>'INVOCAÇÕES'!$AI$267&amp;""</f>
        <v/>
      </c>
      <c r="MK94" s="152">
        <f>'INVOCAÇÕES'!$AI$268&amp;""</f>
        <v/>
      </c>
      <c r="ML94" s="152">
        <f>'INVOCAÇÕES'!$AI$269&amp;""</f>
        <v/>
      </c>
      <c r="MM94" s="152">
        <f>'INVOCAÇÕES'!$AI$270&amp;""</f>
        <v/>
      </c>
      <c r="MN94" s="152">
        <f>IF($MD94&lt;&gt;"",1,0)</f>
        <v/>
      </c>
      <c r="MO94" s="152">
        <f>INDEX($FG$2:$FG$13,$LY94)</f>
        <v/>
      </c>
      <c r="MP94" s="152">
        <f>INDEX($FH$2:$FH$13,$LY94)</f>
        <v/>
      </c>
      <c r="MQ94" s="152">
        <f>INDEX($FI$2:$FI$13,$LY94)</f>
        <v/>
      </c>
      <c r="MR94" s="152">
        <f>INDEX($FT$2:$FT$13,$LY94)</f>
        <v/>
      </c>
      <c r="MS94" s="152">
        <f>INDEX($FU$2:$FU$13,$LY94)</f>
        <v/>
      </c>
      <c r="MT94" s="152">
        <f>IFERROR(MATCH($ME94,$V$2:$V$11,0),0)</f>
        <v/>
      </c>
      <c r="MU94" s="152">
        <f>IFERROR(VLOOKUP($MH94,$AV$2:$AZ$84,2,FALSE),"")</f>
        <v/>
      </c>
      <c r="MV94" s="152">
        <f>IFERROR(VLOOKUP($MI94,$AV$2:$AZ$84,2,FALSE),"")</f>
        <v/>
      </c>
      <c r="MW94" s="152">
        <f>IFERROR(VLOOKUP($MJ94,$AV$2:$AZ$84,2,FALSE),"")</f>
        <v/>
      </c>
      <c r="MX94" s="152">
        <f>IFERROR(VLOOKUP($MK94,$AV$2:$AZ$84,2,FALSE),"")</f>
        <v/>
      </c>
      <c r="MY94" s="152">
        <f>IFERROR(VLOOKUP($MH94,$AV$2:$AZ$84,3,FALSE),0)</f>
        <v/>
      </c>
      <c r="MZ94" s="152">
        <f>IFERROR(VLOOKUP($MI94,$AV$2:$AZ$84,3,FALSE),0)</f>
        <v/>
      </c>
      <c r="NA94" s="152">
        <f>IFERROR(VLOOKUP($MJ94,$AV$2:$AZ$84,3,FALSE),0)</f>
        <v/>
      </c>
      <c r="NB94" s="152">
        <f>IFERROR(VLOOKUP($MK94,$AV$2:$AZ$84,3,FALSE),0)</f>
        <v/>
      </c>
      <c r="NC94" s="152">
        <f>IF($MC94=0,0,IF($MT94=0,0,INDEX($X$2:$X$11,$MT94)))</f>
        <v/>
      </c>
      <c r="ND94" s="152">
        <f>IF(OR($MY94=0,$MC94=0),0,$MY94+3*IF(AND($MU94&lt;&gt;"",OR($MU94=INDEX($ED$2:$ED$13,$LY94),$MU94=INDEX($EE$2:$EE$13,$LY94))),1,0))</f>
        <v/>
      </c>
      <c r="NE94" s="152">
        <f>IF(OR($MZ94=0,$MC94=0),0,$MZ94+3*IF(AND($MV94&lt;&gt;"",OR($MV94=INDEX($ED$2:$ED$13,$LY94),$MV94=INDEX($EE$2:$EE$13,$LY94))),1,0))</f>
        <v/>
      </c>
      <c r="NF94" s="152">
        <f>IF(OR($NA94=0,$MC94=0),0,$NA94+3*IF(AND($MW94&lt;&gt;"",OR($MW94=INDEX($ED$2:$ED$13,$LY94),$MW94=INDEX($EE$2:$EE$13,$LY94))),1,0))</f>
        <v/>
      </c>
      <c r="NG94" s="152">
        <f>IF(OR($NB94=0,$MC94=0),0,$NB94+3*IF(AND($MX94&lt;&gt;"",OR($MX94=INDEX($ED$2:$ED$13,$LY94),$MX94=INDEX($EE$2:$EE$13,$LY94))),1,0))</f>
        <v/>
      </c>
      <c r="NH94" s="152">
        <f>IF($MT94=0,0,IF(INDEX($W$2:$W$11,$MT94)="",0,IF(COUNTIF(INDEX($ED$2:$EH$13,$LY94,0),INDEX($W$2:$W$11,$MT94))=0,1,0)))</f>
        <v/>
      </c>
      <c r="NI94" s="152">
        <f>IF(OR($MY94=0,$MU94=""),0,IF(COUNTIF(INDEX($ED$2:$EH$13,$LY94,0),$MU94)=0,1,0))</f>
        <v/>
      </c>
      <c r="NJ94" s="152">
        <f>IF(OR($MZ94=0,$MV94=""),0,IF(COUNTIF(INDEX($ED$2:$EH$13,$LY94,0),$MV94)=0,1,0))</f>
        <v/>
      </c>
      <c r="NK94" s="152">
        <f>IF(OR($NA94=0,$MW94=""),0,IF(COUNTIF(INDEX($ED$2:$EH$13,$LY94,0),$MW94)=0,1,0))</f>
        <v/>
      </c>
      <c r="NL94" s="152">
        <f>IF(OR($NB94=0,$MX94=""),0,IF(COUNTIF(INDEX($ED$2:$EH$13,$LY94,0),$MX94)=0,1,0))</f>
        <v/>
      </c>
      <c r="NM94" s="152">
        <f>IFERROR(VLOOKUP($MH94,$AV$2:$AZ$84,4,FALSE),0)+IFERROR(VLOOKUP($MI94,$AV$2:$AZ$84,4,FALSE),0)+IFERROR(VLOOKUP($MJ94,$AV$2:$AZ$84,4,FALSE),0)+IFERROR(VLOOKUP($MK94,$AV$2:$AZ$84,4,FALSE),0)</f>
        <v/>
      </c>
      <c r="NN94" s="152">
        <f>TEXTJOIN(", ",TRUE,IF(IFERROR(VLOOKUP($MH94,$AV$2:$AZ$84,5,FALSE),0)=1,$MH94,""),IF(IFERROR(VLOOKUP($MI94,$AV$2:$AZ$84,5,FALSE),0)=1,$MI94,""),IF(IFERROR(VLOOKUP($MJ94,$AV$2:$AZ$84,5,FALSE),0)=1,$MJ94,""),IF(IFERROR(VLOOKUP($MK94,$AV$2:$AZ$84,5,FALSE),0)=1,$MK94,""))</f>
        <v/>
      </c>
      <c r="NO94" s="152">
        <f>IF($MT94=0,0,INDEX($Y$2:$Y$11,$MT94))</f>
        <v/>
      </c>
      <c r="NP94" s="152">
        <f>IF($MT94=0,0,INDEX($Z$2:$Z$11,$MT94))</f>
        <v/>
      </c>
      <c r="NQ94" s="152">
        <f>IF($MT94=0,0,INDEX($AB$2:$AB$11,$MT94))</f>
        <v/>
      </c>
      <c r="NR94" s="152">
        <f>IFERROR(VLOOKUP($ML94,$BB$2:$BF$24,3,FALSE),0)</f>
        <v/>
      </c>
      <c r="NS94" s="152">
        <f>IFERROR(VLOOKUP($MM94,$BB$2:$BF$24,3,FALSE),0)</f>
        <v/>
      </c>
      <c r="NT94" s="152">
        <f>IFERROR(VLOOKUP($ML94,$BB$2:$BF$24,2,FALSE),"")</f>
        <v/>
      </c>
      <c r="NU94" s="152">
        <f>IFERROR(VLOOKUP($MM94,$BB$2:$BF$24,2,FALSE),"")</f>
        <v/>
      </c>
      <c r="NV94" s="152">
        <f>COUNTIF($NC94:$NG94,1)</f>
        <v/>
      </c>
      <c r="NW94" s="152">
        <f>COUNTIF($NC94:$NG94,2)</f>
        <v/>
      </c>
      <c r="NX94" s="152">
        <f>COUNTIF($NC94:$NG94,3)</f>
        <v/>
      </c>
      <c r="NY94" s="152">
        <f>COUNTIF($NC94:$NG94,4)</f>
        <v/>
      </c>
      <c r="NZ94" s="152">
        <f>COUNTIF($NC94:$NG94,5)</f>
        <v/>
      </c>
      <c r="OA94" s="152">
        <f>COUNTIF($NC94:$NG94,6)</f>
        <v/>
      </c>
      <c r="OB94" s="152">
        <f>COUNTIF($NR94:$NS94,1)</f>
        <v/>
      </c>
      <c r="OC94" s="152">
        <f>COUNTIF($NR94:$NS94,2)+$NO94</f>
        <v/>
      </c>
      <c r="OD94" s="152">
        <f>COUNTIF($MH94:$MK94,"?*")</f>
        <v/>
      </c>
      <c r="OE94" s="152">
        <f>COUNTIF($ML94:$MM94,"?*")+$NO94</f>
        <v/>
      </c>
      <c r="OF94" s="152">
        <f>IF($MC94=0,0,SUMPRODUCT($NV94:$OA94,INDEX($I$2:$N$8,MAX(1,$MC94),0)))</f>
        <v/>
      </c>
      <c r="OG94" s="152">
        <f>IF($MC94=0,0,$OB94*CEILING($MC94/2,1)+$OC94*$MC94)</f>
        <v/>
      </c>
      <c r="OH94" s="152">
        <f>MIN(2*$MC94,$OG94)</f>
        <v/>
      </c>
      <c r="OI94" s="152">
        <f>MIN($OH94,$OF94)</f>
        <v/>
      </c>
      <c r="OJ94" s="152">
        <f>$OH94-$OI94</f>
        <v/>
      </c>
      <c r="OK94" s="152">
        <f>IF($MC94=0,0,INDEX($P$2:$P$8,MAX(1,$MC94)))</f>
        <v/>
      </c>
      <c r="OL94" s="152">
        <f>$OK94-$OF94+$OI94</f>
        <v/>
      </c>
      <c r="OM94" s="152">
        <f>IF($MC94=0,MAX(0,$MQ94-IF($OD94&gt;0,1,0)),MAX(0,$OL94))</f>
        <v/>
      </c>
      <c r="ON94" s="152">
        <f>IF($MC94=0,0,(IF(COUNTIF($MH94:$MK94,"Salto")&gt;0,1,0)+IF(COUNTIF($MH94:$MK94,"Queima")&gt;0,1,0)+IF(COUNTIF($MH94:$MK94,"Estilhaço")&gt;0,1,0))*FLOOR($OM94/2,1))</f>
        <v/>
      </c>
      <c r="OO94" s="152">
        <f>MAX(0,2-SUMPRODUCT($NV94:$OA94,$I$2:$N$2)+MIN(2,$OB94*1+$OC94*1,SUMPRODUCT($NV94:$OA94,$I$2:$N$2)))</f>
        <v/>
      </c>
      <c r="OP94" s="152">
        <f>MAX(0,4-SUMPRODUCT($NV94:$OA94,$I$3:$N$3)+MIN(4,$OB94*1+$OC94*2,SUMPRODUCT($NV94:$OA94,$I$3:$N$3)))</f>
        <v/>
      </c>
      <c r="OQ94" s="152">
        <f>MAX(0,6-SUMPRODUCT($NV94:$OA94,$I$4:$N$4)+MIN(6,$OB94*2+$OC94*3,SUMPRODUCT($NV94:$OA94,$I$4:$N$4)))</f>
        <v/>
      </c>
      <c r="OR94" s="152">
        <f>MAX(0,9-SUMPRODUCT($NV94:$OA94,$I$5:$N$5)+MIN(8,$OB94*2+$OC94*4,SUMPRODUCT($NV94:$OA94,$I$5:$N$5)))</f>
        <v/>
      </c>
      <c r="OS94" s="152">
        <f>MAX(0,11-SUMPRODUCT($NV94:$OA94,$I$6:$N$6)+MIN(10,$OB94*3+$OC94*5,SUMPRODUCT($NV94:$OA94,$I$6:$N$6)))</f>
        <v/>
      </c>
      <c r="OT94" s="152">
        <f>MAX(0,13-SUMPRODUCT($NV94:$OA94,$I$7:$N$7)+MIN(12,$OB94*3+$OC94*6,SUMPRODUCT($NV94:$OA94,$I$7:$N$7)))</f>
        <v/>
      </c>
      <c r="OU94" s="152">
        <f>MAX(0,16-SUMPRODUCT($NV94:$OA94,$I$8:$N$8)+MIN(14,$OB94*4+$OC94*7,SUMPRODUCT($NV94:$OA94,$I$8:$N$8)))</f>
        <v/>
      </c>
      <c r="OV94" s="152">
        <f>IF($NP94=2,3*$OO94&amp;" de vida temp.",IF($NP94=3,"sem dano",IF($OO94=0,IF($NP94=1,"sem cura","sem dano"),IF($NP94=1,"cura ","")&amp;$OO94&amp;"d8")))</f>
        <v/>
      </c>
      <c r="OW94" s="152">
        <f>IF($NP94=2,3*$OP94&amp;" de vida temp.",IF($NP94=3,"sem dano",IF($OP94=0,IF($NP94=1,"sem cura","sem dano"),IF($NP94=1,"cura ","")&amp;$OP94&amp;"d8")))</f>
        <v/>
      </c>
      <c r="OX94" s="152">
        <f>IF($NP94=2,3*$OQ94&amp;" de vida temp.",IF($NP94=3,"sem dano",IF($OQ94=0,IF($NP94=1,"sem cura","sem dano"),IF($NP94=1,"cura ","")&amp;$OQ94&amp;"d8")))</f>
        <v/>
      </c>
      <c r="OY94" s="152">
        <f>IF($NP94=2,3*$OR94&amp;" de vida temp.",IF($NP94=3,"sem dano",IF($OR94=0,IF($NP94=1,"sem cura","sem dano"),IF($NP94=1,"cura ","")&amp;$OR94&amp;"d8")))</f>
        <v/>
      </c>
      <c r="OZ94" s="152">
        <f>IF($NP94=2,3*$OS94&amp;" de vida temp.",IF($NP94=3,"sem dano",IF($OS94=0,IF($NP94=1,"sem cura","sem dano"),IF($NP94=1,"cura ","")&amp;$OS94&amp;"d8")))</f>
        <v/>
      </c>
      <c r="PA94" s="152">
        <f>IF($NP94=2,3*$OT94&amp;" de vida temp.",IF($NP94=3,"sem dano",IF($OT94=0,IF($NP94=1,"sem cura","sem dano"),IF($NP94=1,"cura ","")&amp;$OT94&amp;"d8")))</f>
        <v/>
      </c>
      <c r="PB94" s="152">
        <f>IF($NP94=2,3*$OU94&amp;" de vida temp.",IF($NP94=3,"sem dano",IF($OU94=0,IF($NP94=1,"sem cura","sem dano"),IF($NP94=1,"cura ","")&amp;$OU94&amp;"d8")))</f>
        <v/>
      </c>
      <c r="PC94" s="152">
        <f>IF($MN94=0,"",TEXTJOIN(" · ",TRUE,IF($MA94&gt;$MO94,"Este lugar abre no nível "&amp;$MA94,""),IF($MC94&gt;$MP94,"Classe "&amp;$MC94&amp;": o nível "&amp;$MO94&amp;" libera até a "&amp;$MP94,""),IF($NH94=1,"A Forma "&amp;$ME94&amp;" pede "&amp;INDEX($W$2:$W$11,$MT94)&amp;" aberta",""),IF(AND($MC94=0,$MT94&gt;0,IF($MT94=0,0,INDEX($AF$2:$AF$11,$MT94))=0),$ME94&amp;" não existe na Classe 0",""),IF($NI94=1,"Família Fechada: "&amp;$MH94,""),IF($NJ94=1,"Família Fechada: "&amp;$MI94,""),IF($NK94=1,"Família Fechada: "&amp;$MJ94,""),IF($NL94=1,"Família Fechada: "&amp;$MK94,""),IF(AND($MC94&gt;0,$OD94&gt;INDEX($O$2:$O$8,MAX(1,$MC94))),$OD94&amp;" Melhorias: a Classe "&amp;$MC94&amp;" aceita "&amp;INDEX($O$2:$O$8,MAX(1,$MC94)),""),IF(AND($MC94=0,$OD94&gt;1),"A básica aceita uma Melhoria",""),IF(AND($MC94=0,COUNTIF($MY94:$NB94,"&gt;1")&gt;0),"A básica só aceita Melhoria Leve",""),IF(AND($MC94&gt;0,$OE94&gt;2),$OE94&amp;" Restrições"&amp;IF($NO94=1,", contando a que a Forma "&amp;$ME94&amp;" já traz","")&amp;": o limite é 2",""),IF(AND($MC94=0,COUNTIF($ML94:$MM94,"?*")&gt;1),"A básica aceita uma Restrição Leve",""),IF(AND($MC94=0,COUNTIF($NR94:$NS94,2)&gt;0),"A básica só aceita Restrição Leve",""),IF(AND($MC94&gt;0,$OL94&lt;0),"Orçamento estourado: faltam "&amp;(-$OL94)&amp;IF($OL94&lt;-1," pontos"," ponto"),""),IF(IFERROR(VLOOKUP($ML94,$BB$2:$BF$24,4,FALSE),0)+IFERROR(VLOOKUP($MM94,$BB$2:$BF$24,4,FALSE),0)&gt;1,$NT94&amp;" e "&amp;$NU94&amp;" são as duas de frequência",""),IF(AND((COUNTIF($MH94:$MK94,"Rápido")+COUNTIF($NT94:$NU94,"Rápido"))&gt;0,(COUNTIF($MH94:$MK94,"Atrasar")+COUNTIF($NT94:$NU94,"Atrasar"))&gt;0),"Rápido não entra com Atrasar",""),IF(AND((COUNTIF($MH94:$MK94,"Reação")+COUNTIF($NT94:$NU94,"Reação"))&gt;0,(COUNTIF($MH94:$MK94,"Rápido")+COUNTIF($NT94:$NU94,"Rápido"))&gt;0),"Reação não entra com Rápido",""),IF(AND((COUNTIF($MH94:$MK94,"Reação")+COUNTIF($NT94:$NU94,"Reação"))&gt;0,(COUNTIF($MH94:$MK94,"Armado")+COUNTIF($NT94:$NU94,"Armado"))&gt;0),"Reação não entra com Armado",""),IF(AND((COUNTIF($MH94:$MK94,"Reação")+COUNTIF($NT94:$NU94,"Reação"))&gt;0,(COUNTIF($MH94:$MK94,"Atrasar")+COUNTIF($NT94:$NU94,"Atrasar"))&gt;0),"Reação não entra com Atrasar",""),IF(AND((COUNTIF($MH94:$MK94,"Reação")+COUNTIF($NT94:$NU94,"Reação"))&gt;0,(COUNTIF($MH94:$MK94,"Parado")+COUNTIF($NT94:$NU94,"Parado"))&gt;0),"Reação não entra com Parado",""),IF(AND((COUNTIF($MH94:$MK94,"Atrasar")+COUNTIF($NT94:$NU94,"Atrasar"))&gt;0,(COUNTIF($MH94:$MK94,"Parado")+COUNTIF($NT94:$NU94,"Parado"))&gt;0),"Atrasar não entra com Parado",""),IF(AND((COUNTIF($MH94:$MK94,"Armado")+COUNTIF($NT94:$NU94,"Armado"))&gt;0,(COUNTIF($MH94:$MK94,"Carregar")+COUNTIF($NT94:$NU94,"Carregar"))&gt;0),"Armado não entra com Carregar",""),IF(AND(COUNTIF($NT94:$NU94,"Corpo a Corpo")&gt;0,$NO94=0,OR($ME94="Cone",$ME94="Linha")),"Corpo a Corpo não entra em "&amp;$ME94,""),IF(AND(COUNTIF($NT94:$NU94,"Corpo a Corpo")&gt;0,$NO94=1),"A Forma "&amp;$ME94&amp;" já traz o Corpo a Corpo",""),IF(AND(COUNTIF($NT94:$NU94,"Tudo ou Nada")&gt;0,$NQ94=0),"Tudo ou Nada só entra em habilidade de Teste de Resistência",""),IF(AND(COUNTIF($MH94:$MK94,"Inescapável")&gt;0,OR($OD94&gt;1,$OE94&gt;0)),"Inescapável não aceita outra peça",""),IF(AND($MC94&gt;0,$OM94*IF(COUNTIF($MH94:$MK94,"Remate")&gt;0,1.25,1)+$ON94&gt;4*$MC94),($OM94*IF(COUNTIF($MH94:$MK94,"Remate")&gt;0,1.25,1)+$ON94)&amp;" dados somando repetições"&amp;IF(COUNTIF($MH94:$MK94,"Remate")&gt;0," e o Remate","")&amp;": o teto da Classe "&amp;$MC94&amp;" é "&amp;4*$MC94,"")))</f>
        <v/>
      </c>
      <c r="PD94" s="152">
        <f>IF($PC94="",0,(LEN($PC94)-LEN(SUBSTITUTE($PC94," · ","")))/3+1)</f>
        <v/>
      </c>
      <c r="PE94" s="152">
        <f>IF($MN94=0,"",TEXTJOIN(" · ",TRUE,IF($OG94&gt;2*$MC94,"A devolução parou no teto de "&amp;2*$MC94,""),IF($OJ94&gt;0,"Devolução perdida: "&amp;$OJ94&amp;IF($OJ94&gt;1," pontos"," ponto")&amp;" sem peça para pagar",""),IF(AND($NM94&gt;0,AND($MC94&gt;0,$NP94=0),$OM94=0),"Controle sem dano: uma rodada a mais e CD +2",""),IF(AND($NM94&gt;0,AND($MC94&gt;0,$NP94=0),$OM94&gt;0,$OM94&lt;=$MC94),"Controle com saldo até a Classe: uma rodada a mais",""),IF(AND($MC94&gt;0,$NN94&lt;&gt;""),"Efeito de "&amp;$NN94&amp;" pela Classe "&amp;MAX(1,$MC94-1),"")))</f>
        <v/>
      </c>
      <c r="PF94" s="152">
        <f>IF($PE94="",0,(LEN($PE94)-LEN(SUBSTITUTE($PE94," · ","")))/3+1)</f>
        <v/>
      </c>
      <c r="PG94" s="152">
        <f>IF($MN94=0,IF($OD94+COUNTIF($ML94:$MM94,"?*")&gt;0,"Dê um nome",""),IF($PD94&gt;0,"⚠ "&amp;$PD94&amp;IF($PD94&gt;1," erros"," erro"),IF($PF94&gt;0,"! "&amp;$PF94&amp;IF($PF94&gt;1," avisos"," aviso"),"Na regra")))</f>
        <v/>
      </c>
      <c r="PH94" s="152">
        <f>IF($MN94=0,"",IF($PD94+$PF94=0,"Dentro das regras que a ficha confere",$PC94&amp;IF(AND($PD94&gt;0,$PF94&gt;0)," · ","")&amp;$PE94))</f>
        <v/>
      </c>
      <c r="PI94" s="152">
        <f>IF($MA94&gt;$MO94,$MB94&amp;" · ABRE NO NÍVEL "&amp;$MA94,$MB94)</f>
        <v/>
      </c>
      <c r="PJ94" s="152">
        <f>IF($MN94=0,"",IF($MC94=0,"Sem PE",3*$MC94&amp;" PE"))</f>
        <v/>
      </c>
      <c r="PK94" s="152">
        <f>IF($MN94=0,"",IF($MC94=0,"A atuação básica dela",IF(COUNTIF($NT94:$NU94,"Atrasar")&gt;0,"Sua Ação Completa",IF(COUNTIF($MH94:$MK94,"Rápido")&gt;0,"Sua Bônus",IF(COUNTIF($MH94:$MK94,"Reação")&gt;0,"Sua Reação","Sua Padrão")))&amp;" + a básica dela"&amp;IF(COUNTIF($MH94:$MK94,"Reação")&gt;0," e a coletiva","")&amp;IF(COUNTIF($NT94:$NU94,"Carregar")&gt;0," · em dois turnos","")))</f>
        <v/>
      </c>
      <c r="PL94" s="152">
        <f>IF($MG94&lt;&gt;"",$MG94,IF($MT94=0,"",INDEX($AA$2:$AA$11,$MT94)))</f>
        <v/>
      </c>
      <c r="PM94" s="152">
        <f>IF(OR($MN94=0,$MT94=0),"",IF(COUNTIF($MH94:$MK94,"Inescapável")&gt;0,"Automático",IF($PL94="Ataque",IF($MR94="","Ataque","Ataque "&amp;IF(($MR94+2*IF(COUNTIF($MH94:$MK94,"Precisão")&gt;0,1,0))&gt;=0,"+","−")&amp;ABS(($MR94+2*IF(COUNTIF($MH94:$MK94,"Precisão")&gt;0,1,0)))),IF(LEFT($PL94,2)="TR",$PL94&amp;IF($MS94="",""," · CD "&amp;$MS94)&amp;IF(COUNTIF($MH94:$MK94,"Certeiro")&gt;0," · metade",""),"Sem rolagem"))))</f>
        <v/>
      </c>
      <c r="PN94" s="152">
        <f>IF(OR($MN94=0,$MT94=0),"",IF($MC94=0,IF(OR($NP94&gt;=1,$OM94=0),"Sem dano",$OM94&amp;"d6"&amp;IF($MF94="",""," "&amp;$MF94)),IF(OR($NP94&gt;=1,$OM94=0),UPPER(LEFT(INDEX($OV94:$PB94,1,MAX(1,$MC94)),1))&amp;MID(INDEX($OV94:$PB94,1,MAX(1,$MC94)),2,99),UPPER(LEFT(INDEX($OV94:$PB94,1,MAX(1,$MC94)),1))&amp;MID(INDEX($OV94:$PB94,1,MAX(1,$MC94)),2,99)&amp;IF($MF94="",""," "&amp;$MF94)&amp;IF($ON94&gt;0," · +"&amp;$ON94&amp;"d8",""))))</f>
        <v/>
      </c>
      <c r="PO94" s="152">
        <f>COUNTIF($MH94:$MK94,"Longe")+3*COUNTIF($MH94:$MK94,"Muito Longe")</f>
        <v/>
      </c>
      <c r="PP94" s="152">
        <f>COUNTIF($MH94:$MK94,"Maior")+3*COUNTIF($MH94:$MK94,"Muito Maior")</f>
        <v/>
      </c>
      <c r="PQ94" s="152">
        <f>IF($MT94=0,0,CHOOSE(1+INDEX($AC$2:$AC$11,$MT94),0,$PO94,$PP94,$PO94+$PP94))</f>
        <v/>
      </c>
      <c r="PR94" s="152">
        <f>IF($MT94=0,0,CHOOSE(1+INDEX($AD$2:$AD$11,$MT94),0,$PO94,$PP94,$PO94+$PP94))</f>
        <v/>
      </c>
      <c r="PS94" s="152">
        <f>IF(OR($MN94=0,$MT94=0),"",INDEX($AI$2:$AN$41,($MT94-1)*4+IF($MC94=0,1,IF($MC94&lt;=5,2,IF($MC94=6,3,4))),1+MIN(5,$PQ94))&amp;INDEX($AO$2:$AT$41,($MT94-1)*4+IF($MC94=0,1,IF($MC94&lt;=5,2,IF($MC94=6,3,4))),1+MIN(5,$PR94))&amp;IF(INDEX($AE$2:$AE$11,$MT94)=1,IF(COUNTIF($MH94:$MK94,"Mais Um")&gt;0," · +"&amp;COUNTIF($MH94:$MK94,"Mais Um")&amp;IF(COUNTIF($MH94:$MK94,"Mais Um")&gt;1," alvos"," alvo"),"")&amp;IF(COUNTIF($MH94:$MK94,"Rajada")&gt;0,IF($MC94=0," · 1 tiro"," · "&amp;(MAX(1,$MC94-1)+1)&amp;" tiros"),""),""))</f>
        <v/>
      </c>
      <c r="PT94" s="152">
        <f>IF($MN94=0,"",IF($MC94=0,$MQ94&amp;"d6"&amp;IF($OD94&gt;0," − 1 = "&amp;$OM94&amp;"d6"," da básica do nível "&amp;$MO94),$OK94&amp;" − "&amp;$OF94&amp;" + "&amp;$OI94&amp;" = "&amp;$OL94&amp;" · teto "&amp;4*$MC94&amp;"d8"&amp;IF($NO94=1," · a Forma devolve "&amp;$MC94,"")&amp;IF($OJ94&gt;0," · perde "&amp;$OJ94,"")))</f>
        <v/>
      </c>
      <c r="PU94" s="152">
        <f>IF($MN94=0,"",IF($MC94=0,"A básica não amplia: os dados dela sobem com o nível",IF($MC94&gt;=$MP94,"Já está na maior Classe que o nível liberou",TEXTJOIN(" · ",TRUE,IF(AND(2&gt;$MC94,2&lt;=$MP94),"2 → "&amp;$OW94&amp;", 6 PE",""),IF(AND(3&gt;$MC94,3&lt;=$MP94),"3 → "&amp;$OX94&amp;", 9 PE",""),IF(AND(4&gt;$MC94,4&lt;=$MP94),"4 → "&amp;$OY94&amp;", 12 PE",""),IF(AND(5&gt;$MC94,5&lt;=$MP94),"5 → "&amp;$OZ94&amp;", 15 PE",""),IF(AND(6&gt;$MC94,6&lt;=$MP94),"6 → "&amp;$PA94&amp;", 18 PE",""),IF(AND(7&gt;$MC94,7&lt;=$MP94),"7 → "&amp;$PB94&amp;", 21 PE","")))))</f>
        <v/>
      </c>
      <c r="PV94" s="152">
        <f>IF(OR($MN94=0,$MY94=0),"",IF($MC94=0,"−1 dado","−"&amp;INDEX($I$2:$N$8,MAX(1,$MC94),MAX(1,$ND94))&amp;" · "&amp;CHOOSE(MAX(1,$ND94),"Leve","Média","Pesada","Leve · Livre","Média · Livre","Pesada · Livre")))</f>
        <v/>
      </c>
      <c r="PW94" s="152">
        <f>IF(OR($MN94=0,$MZ94=0),"",IF($MC94=0,"−1 dado","−"&amp;INDEX($I$2:$N$8,MAX(1,$MC94),MAX(1,$NE94))&amp;" · "&amp;CHOOSE(MAX(1,$NE94),"Leve","Média","Pesada","Leve · Livre","Média · Livre","Pesada · Livre")))</f>
        <v/>
      </c>
      <c r="PX94" s="152">
        <f>IF(OR($MN94=0,$NA94=0),"",IF($MC94=0,"−1 dado","−"&amp;INDEX($I$2:$N$8,MAX(1,$MC94),MAX(1,$NF94))&amp;" · "&amp;CHOOSE(MAX(1,$NF94),"Leve","Média","Pesada","Leve · Livre","Média · Livre","Pesada · Livre")))</f>
        <v/>
      </c>
      <c r="PY94" s="152">
        <f>IF(OR($MN94=0,$NB94=0),"",IF($MC94=0,"−1 dado","−"&amp;INDEX($I$2:$N$8,MAX(1,$MC94),MAX(1,$NG94))&amp;" · "&amp;CHOOSE(MAX(1,$NG94),"Leve","Média","Pesada","Leve · Livre","Média · Livre","Pesada · Livre")))</f>
        <v/>
      </c>
      <c r="PZ94" s="152">
        <f>IF(OR($MN94=0,$ML94=""),"",IF($MC94=0,"não devolve","+"&amp;IF($NR94=1,CEILING($MC94/2,1),$MC94)))</f>
        <v/>
      </c>
      <c r="QA94" s="152">
        <f>IF(OR($MN94=0,$MM94=""),"",IF($MC94=0,"não devolve","+"&amp;IF($NS94=1,CEILING($MC94/2,1),$MC94)))</f>
        <v/>
      </c>
    </row>
    <row r="95">
      <c r="LX95" s="150" t="inlineStr">
        <is>
          <t>Ficha 8 · Especial 2</t>
        </is>
      </c>
      <c r="LY95" s="152" t="n">
        <v>8</v>
      </c>
      <c r="LZ95" s="152" t="n">
        <v>1</v>
      </c>
      <c r="MA95" s="152" t="n">
        <v>4</v>
      </c>
      <c r="MB95" s="150" t="inlineStr">
        <is>
          <t>ESPECIAL 2</t>
        </is>
      </c>
      <c r="MC95" s="152">
        <f>MAX(1,MIN(7,N('INVOCAÇÕES'!$AN$256)))</f>
        <v/>
      </c>
      <c r="MD95" s="152">
        <f>'INVOCAÇÕES'!$AO$256&amp;""</f>
        <v/>
      </c>
      <c r="ME95" s="152">
        <f>'INVOCAÇÕES'!$AN$261&amp;""</f>
        <v/>
      </c>
      <c r="MF95" s="152">
        <f>'INVOCAÇÕES'!$AN$262&amp;""</f>
        <v/>
      </c>
      <c r="MG95" s="152">
        <f>'INVOCAÇÕES'!$AP$262&amp;""</f>
        <v/>
      </c>
      <c r="MH95" s="152">
        <f>'INVOCAÇÕES'!$AO$265&amp;""</f>
        <v/>
      </c>
      <c r="MI95" s="152">
        <f>'INVOCAÇÕES'!$AO$266&amp;""</f>
        <v/>
      </c>
      <c r="MJ95" s="152">
        <f>'INVOCAÇÕES'!$AO$267&amp;""</f>
        <v/>
      </c>
      <c r="MK95" s="152">
        <f>'INVOCAÇÕES'!$AO$268&amp;""</f>
        <v/>
      </c>
      <c r="ML95" s="152">
        <f>'INVOCAÇÕES'!$AO$269&amp;""</f>
        <v/>
      </c>
      <c r="MM95" s="152">
        <f>'INVOCAÇÕES'!$AO$270&amp;""</f>
        <v/>
      </c>
      <c r="MN95" s="152">
        <f>IF($MD95&lt;&gt;"",1,0)</f>
        <v/>
      </c>
      <c r="MO95" s="152">
        <f>INDEX($FG$2:$FG$13,$LY95)</f>
        <v/>
      </c>
      <c r="MP95" s="152">
        <f>INDEX($FH$2:$FH$13,$LY95)</f>
        <v/>
      </c>
      <c r="MQ95" s="152">
        <f>INDEX($FI$2:$FI$13,$LY95)</f>
        <v/>
      </c>
      <c r="MR95" s="152">
        <f>INDEX($FT$2:$FT$13,$LY95)</f>
        <v/>
      </c>
      <c r="MS95" s="152">
        <f>INDEX($FU$2:$FU$13,$LY95)</f>
        <v/>
      </c>
      <c r="MT95" s="152">
        <f>IFERROR(MATCH($ME95,$V$2:$V$11,0),0)</f>
        <v/>
      </c>
      <c r="MU95" s="152">
        <f>IFERROR(VLOOKUP($MH95,$AV$2:$AZ$84,2,FALSE),"")</f>
        <v/>
      </c>
      <c r="MV95" s="152">
        <f>IFERROR(VLOOKUP($MI95,$AV$2:$AZ$84,2,FALSE),"")</f>
        <v/>
      </c>
      <c r="MW95" s="152">
        <f>IFERROR(VLOOKUP($MJ95,$AV$2:$AZ$84,2,FALSE),"")</f>
        <v/>
      </c>
      <c r="MX95" s="152">
        <f>IFERROR(VLOOKUP($MK95,$AV$2:$AZ$84,2,FALSE),"")</f>
        <v/>
      </c>
      <c r="MY95" s="152">
        <f>IFERROR(VLOOKUP($MH95,$AV$2:$AZ$84,3,FALSE),0)</f>
        <v/>
      </c>
      <c r="MZ95" s="152">
        <f>IFERROR(VLOOKUP($MI95,$AV$2:$AZ$84,3,FALSE),0)</f>
        <v/>
      </c>
      <c r="NA95" s="152">
        <f>IFERROR(VLOOKUP($MJ95,$AV$2:$AZ$84,3,FALSE),0)</f>
        <v/>
      </c>
      <c r="NB95" s="152">
        <f>IFERROR(VLOOKUP($MK95,$AV$2:$AZ$84,3,FALSE),0)</f>
        <v/>
      </c>
      <c r="NC95" s="152">
        <f>IF($MC95=0,0,IF($MT95=0,0,INDEX($X$2:$X$11,$MT95)))</f>
        <v/>
      </c>
      <c r="ND95" s="152">
        <f>IF(OR($MY95=0,$MC95=0),0,$MY95+3*IF(AND($MU95&lt;&gt;"",OR($MU95=INDEX($ED$2:$ED$13,$LY95),$MU95=INDEX($EE$2:$EE$13,$LY95))),1,0))</f>
        <v/>
      </c>
      <c r="NE95" s="152">
        <f>IF(OR($MZ95=0,$MC95=0),0,$MZ95+3*IF(AND($MV95&lt;&gt;"",OR($MV95=INDEX($ED$2:$ED$13,$LY95),$MV95=INDEX($EE$2:$EE$13,$LY95))),1,0))</f>
        <v/>
      </c>
      <c r="NF95" s="152">
        <f>IF(OR($NA95=0,$MC95=0),0,$NA95+3*IF(AND($MW95&lt;&gt;"",OR($MW95=INDEX($ED$2:$ED$13,$LY95),$MW95=INDEX($EE$2:$EE$13,$LY95))),1,0))</f>
        <v/>
      </c>
      <c r="NG95" s="152">
        <f>IF(OR($NB95=0,$MC95=0),0,$NB95+3*IF(AND($MX95&lt;&gt;"",OR($MX95=INDEX($ED$2:$ED$13,$LY95),$MX95=INDEX($EE$2:$EE$13,$LY95))),1,0))</f>
        <v/>
      </c>
      <c r="NH95" s="152">
        <f>IF($MT95=0,0,IF(INDEX($W$2:$W$11,$MT95)="",0,IF(COUNTIF(INDEX($ED$2:$EH$13,$LY95,0),INDEX($W$2:$W$11,$MT95))=0,1,0)))</f>
        <v/>
      </c>
      <c r="NI95" s="152">
        <f>IF(OR($MY95=0,$MU95=""),0,IF(COUNTIF(INDEX($ED$2:$EH$13,$LY95,0),$MU95)=0,1,0))</f>
        <v/>
      </c>
      <c r="NJ95" s="152">
        <f>IF(OR($MZ95=0,$MV95=""),0,IF(COUNTIF(INDEX($ED$2:$EH$13,$LY95,0),$MV95)=0,1,0))</f>
        <v/>
      </c>
      <c r="NK95" s="152">
        <f>IF(OR($NA95=0,$MW95=""),0,IF(COUNTIF(INDEX($ED$2:$EH$13,$LY95,0),$MW95)=0,1,0))</f>
        <v/>
      </c>
      <c r="NL95" s="152">
        <f>IF(OR($NB95=0,$MX95=""),0,IF(COUNTIF(INDEX($ED$2:$EH$13,$LY95,0),$MX95)=0,1,0))</f>
        <v/>
      </c>
      <c r="NM95" s="152">
        <f>IFERROR(VLOOKUP($MH95,$AV$2:$AZ$84,4,FALSE),0)+IFERROR(VLOOKUP($MI95,$AV$2:$AZ$84,4,FALSE),0)+IFERROR(VLOOKUP($MJ95,$AV$2:$AZ$84,4,FALSE),0)+IFERROR(VLOOKUP($MK95,$AV$2:$AZ$84,4,FALSE),0)</f>
        <v/>
      </c>
      <c r="NN95" s="152">
        <f>TEXTJOIN(", ",TRUE,IF(IFERROR(VLOOKUP($MH95,$AV$2:$AZ$84,5,FALSE),0)=1,$MH95,""),IF(IFERROR(VLOOKUP($MI95,$AV$2:$AZ$84,5,FALSE),0)=1,$MI95,""),IF(IFERROR(VLOOKUP($MJ95,$AV$2:$AZ$84,5,FALSE),0)=1,$MJ95,""),IF(IFERROR(VLOOKUP($MK95,$AV$2:$AZ$84,5,FALSE),0)=1,$MK95,""))</f>
        <v/>
      </c>
      <c r="NO95" s="152">
        <f>IF($MT95=0,0,INDEX($Y$2:$Y$11,$MT95))</f>
        <v/>
      </c>
      <c r="NP95" s="152">
        <f>IF($MT95=0,0,INDEX($Z$2:$Z$11,$MT95))</f>
        <v/>
      </c>
      <c r="NQ95" s="152">
        <f>IF($MT95=0,0,INDEX($AB$2:$AB$11,$MT95))</f>
        <v/>
      </c>
      <c r="NR95" s="152">
        <f>IFERROR(VLOOKUP($ML95,$BB$2:$BF$24,3,FALSE),0)</f>
        <v/>
      </c>
      <c r="NS95" s="152">
        <f>IFERROR(VLOOKUP($MM95,$BB$2:$BF$24,3,FALSE),0)</f>
        <v/>
      </c>
      <c r="NT95" s="152">
        <f>IFERROR(VLOOKUP($ML95,$BB$2:$BF$24,2,FALSE),"")</f>
        <v/>
      </c>
      <c r="NU95" s="152">
        <f>IFERROR(VLOOKUP($MM95,$BB$2:$BF$24,2,FALSE),"")</f>
        <v/>
      </c>
      <c r="NV95" s="152">
        <f>COUNTIF($NC95:$NG95,1)</f>
        <v/>
      </c>
      <c r="NW95" s="152">
        <f>COUNTIF($NC95:$NG95,2)</f>
        <v/>
      </c>
      <c r="NX95" s="152">
        <f>COUNTIF($NC95:$NG95,3)</f>
        <v/>
      </c>
      <c r="NY95" s="152">
        <f>COUNTIF($NC95:$NG95,4)</f>
        <v/>
      </c>
      <c r="NZ95" s="152">
        <f>COUNTIF($NC95:$NG95,5)</f>
        <v/>
      </c>
      <c r="OA95" s="152">
        <f>COUNTIF($NC95:$NG95,6)</f>
        <v/>
      </c>
      <c r="OB95" s="152">
        <f>COUNTIF($NR95:$NS95,1)</f>
        <v/>
      </c>
      <c r="OC95" s="152">
        <f>COUNTIF($NR95:$NS95,2)+$NO95</f>
        <v/>
      </c>
      <c r="OD95" s="152">
        <f>COUNTIF($MH95:$MK95,"?*")</f>
        <v/>
      </c>
      <c r="OE95" s="152">
        <f>COUNTIF($ML95:$MM95,"?*")+$NO95</f>
        <v/>
      </c>
      <c r="OF95" s="152">
        <f>IF($MC95=0,0,SUMPRODUCT($NV95:$OA95,INDEX($I$2:$N$8,MAX(1,$MC95),0)))</f>
        <v/>
      </c>
      <c r="OG95" s="152">
        <f>IF($MC95=0,0,$OB95*CEILING($MC95/2,1)+$OC95*$MC95)</f>
        <v/>
      </c>
      <c r="OH95" s="152">
        <f>MIN(2*$MC95,$OG95)</f>
        <v/>
      </c>
      <c r="OI95" s="152">
        <f>MIN($OH95,$OF95)</f>
        <v/>
      </c>
      <c r="OJ95" s="152">
        <f>$OH95-$OI95</f>
        <v/>
      </c>
      <c r="OK95" s="152">
        <f>IF($MC95=0,0,INDEX($P$2:$P$8,MAX(1,$MC95)))</f>
        <v/>
      </c>
      <c r="OL95" s="152">
        <f>$OK95-$OF95+$OI95</f>
        <v/>
      </c>
      <c r="OM95" s="152">
        <f>IF($MC95=0,MAX(0,$MQ95-IF($OD95&gt;0,1,0)),MAX(0,$OL95))</f>
        <v/>
      </c>
      <c r="ON95" s="152">
        <f>IF($MC95=0,0,(IF(COUNTIF($MH95:$MK95,"Salto")&gt;0,1,0)+IF(COUNTIF($MH95:$MK95,"Queima")&gt;0,1,0)+IF(COUNTIF($MH95:$MK95,"Estilhaço")&gt;0,1,0))*FLOOR($OM95/2,1))</f>
        <v/>
      </c>
      <c r="OO95" s="152">
        <f>MAX(0,2-SUMPRODUCT($NV95:$OA95,$I$2:$N$2)+MIN(2,$OB95*1+$OC95*1,SUMPRODUCT($NV95:$OA95,$I$2:$N$2)))</f>
        <v/>
      </c>
      <c r="OP95" s="152">
        <f>MAX(0,4-SUMPRODUCT($NV95:$OA95,$I$3:$N$3)+MIN(4,$OB95*1+$OC95*2,SUMPRODUCT($NV95:$OA95,$I$3:$N$3)))</f>
        <v/>
      </c>
      <c r="OQ95" s="152">
        <f>MAX(0,6-SUMPRODUCT($NV95:$OA95,$I$4:$N$4)+MIN(6,$OB95*2+$OC95*3,SUMPRODUCT($NV95:$OA95,$I$4:$N$4)))</f>
        <v/>
      </c>
      <c r="OR95" s="152">
        <f>MAX(0,9-SUMPRODUCT($NV95:$OA95,$I$5:$N$5)+MIN(8,$OB95*2+$OC95*4,SUMPRODUCT($NV95:$OA95,$I$5:$N$5)))</f>
        <v/>
      </c>
      <c r="OS95" s="152">
        <f>MAX(0,11-SUMPRODUCT($NV95:$OA95,$I$6:$N$6)+MIN(10,$OB95*3+$OC95*5,SUMPRODUCT($NV95:$OA95,$I$6:$N$6)))</f>
        <v/>
      </c>
      <c r="OT95" s="152">
        <f>MAX(0,13-SUMPRODUCT($NV95:$OA95,$I$7:$N$7)+MIN(12,$OB95*3+$OC95*6,SUMPRODUCT($NV95:$OA95,$I$7:$N$7)))</f>
        <v/>
      </c>
      <c r="OU95" s="152">
        <f>MAX(0,16-SUMPRODUCT($NV95:$OA95,$I$8:$N$8)+MIN(14,$OB95*4+$OC95*7,SUMPRODUCT($NV95:$OA95,$I$8:$N$8)))</f>
        <v/>
      </c>
      <c r="OV95" s="152">
        <f>IF($NP95=2,3*$OO95&amp;" de vida temp.",IF($NP95=3,"sem dano",IF($OO95=0,IF($NP95=1,"sem cura","sem dano"),IF($NP95=1,"cura ","")&amp;$OO95&amp;"d8")))</f>
        <v/>
      </c>
      <c r="OW95" s="152">
        <f>IF($NP95=2,3*$OP95&amp;" de vida temp.",IF($NP95=3,"sem dano",IF($OP95=0,IF($NP95=1,"sem cura","sem dano"),IF($NP95=1,"cura ","")&amp;$OP95&amp;"d8")))</f>
        <v/>
      </c>
      <c r="OX95" s="152">
        <f>IF($NP95=2,3*$OQ95&amp;" de vida temp.",IF($NP95=3,"sem dano",IF($OQ95=0,IF($NP95=1,"sem cura","sem dano"),IF($NP95=1,"cura ","")&amp;$OQ95&amp;"d8")))</f>
        <v/>
      </c>
      <c r="OY95" s="152">
        <f>IF($NP95=2,3*$OR95&amp;" de vida temp.",IF($NP95=3,"sem dano",IF($OR95=0,IF($NP95=1,"sem cura","sem dano"),IF($NP95=1,"cura ","")&amp;$OR95&amp;"d8")))</f>
        <v/>
      </c>
      <c r="OZ95" s="152">
        <f>IF($NP95=2,3*$OS95&amp;" de vida temp.",IF($NP95=3,"sem dano",IF($OS95=0,IF($NP95=1,"sem cura","sem dano"),IF($NP95=1,"cura ","")&amp;$OS95&amp;"d8")))</f>
        <v/>
      </c>
      <c r="PA95" s="152">
        <f>IF($NP95=2,3*$OT95&amp;" de vida temp.",IF($NP95=3,"sem dano",IF($OT95=0,IF($NP95=1,"sem cura","sem dano"),IF($NP95=1,"cura ","")&amp;$OT95&amp;"d8")))</f>
        <v/>
      </c>
      <c r="PB95" s="152">
        <f>IF($NP95=2,3*$OU95&amp;" de vida temp.",IF($NP95=3,"sem dano",IF($OU95=0,IF($NP95=1,"sem cura","sem dano"),IF($NP95=1,"cura ","")&amp;$OU95&amp;"d8")))</f>
        <v/>
      </c>
      <c r="PC95" s="152">
        <f>IF($MN95=0,"",TEXTJOIN(" · ",TRUE,IF($MA95&gt;$MO95,"Este lugar abre no nível "&amp;$MA95,""),IF($MC95&gt;$MP95,"Classe "&amp;$MC95&amp;": o nível "&amp;$MO95&amp;" libera até a "&amp;$MP95,""),IF($NH95=1,"A Forma "&amp;$ME95&amp;" pede "&amp;INDEX($W$2:$W$11,$MT95)&amp;" aberta",""),IF(AND($MC95=0,$MT95&gt;0,IF($MT95=0,0,INDEX($AF$2:$AF$11,$MT95))=0),$ME95&amp;" não existe na Classe 0",""),IF($NI95=1,"Família Fechada: "&amp;$MH95,""),IF($NJ95=1,"Família Fechada: "&amp;$MI95,""),IF($NK95=1,"Família Fechada: "&amp;$MJ95,""),IF($NL95=1,"Família Fechada: "&amp;$MK95,""),IF(AND($MC95&gt;0,$OD95&gt;INDEX($O$2:$O$8,MAX(1,$MC95))),$OD95&amp;" Melhorias: a Classe "&amp;$MC95&amp;" aceita "&amp;INDEX($O$2:$O$8,MAX(1,$MC95)),""),IF(AND($MC95=0,$OD95&gt;1),"A básica aceita uma Melhoria",""),IF(AND($MC95=0,COUNTIF($MY95:$NB95,"&gt;1")&gt;0),"A básica só aceita Melhoria Leve",""),IF(AND($MC95&gt;0,$OE95&gt;2),$OE95&amp;" Restrições"&amp;IF($NO95=1,", contando a que a Forma "&amp;$ME95&amp;" já traz","")&amp;": o limite é 2",""),IF(AND($MC95=0,COUNTIF($ML95:$MM95,"?*")&gt;1),"A básica aceita uma Restrição Leve",""),IF(AND($MC95=0,COUNTIF($NR95:$NS95,2)&gt;0),"A básica só aceita Restrição Leve",""),IF(AND($MC95&gt;0,$OL95&lt;0),"Orçamento estourado: faltam "&amp;(-$OL95)&amp;IF($OL95&lt;-1," pontos"," ponto"),""),IF(IFERROR(VLOOKUP($ML95,$BB$2:$BF$24,4,FALSE),0)+IFERROR(VLOOKUP($MM95,$BB$2:$BF$24,4,FALSE),0)&gt;1,$NT95&amp;" e "&amp;$NU95&amp;" são as duas de frequência",""),IF(AND((COUNTIF($MH95:$MK95,"Rápido")+COUNTIF($NT95:$NU95,"Rápido"))&gt;0,(COUNTIF($MH95:$MK95,"Atrasar")+COUNTIF($NT95:$NU95,"Atrasar"))&gt;0),"Rápido não entra com Atrasar",""),IF(AND((COUNTIF($MH95:$MK95,"Reação")+COUNTIF($NT95:$NU95,"Reação"))&gt;0,(COUNTIF($MH95:$MK95,"Rápido")+COUNTIF($NT95:$NU95,"Rápido"))&gt;0),"Reação não entra com Rápido",""),IF(AND((COUNTIF($MH95:$MK95,"Reação")+COUNTIF($NT95:$NU95,"Reação"))&gt;0,(COUNTIF($MH95:$MK95,"Armado")+COUNTIF($NT95:$NU95,"Armado"))&gt;0),"Reação não entra com Armado",""),IF(AND((COUNTIF($MH95:$MK95,"Reação")+COUNTIF($NT95:$NU95,"Reação"))&gt;0,(COUNTIF($MH95:$MK95,"Atrasar")+COUNTIF($NT95:$NU95,"Atrasar"))&gt;0),"Reação não entra com Atrasar",""),IF(AND((COUNTIF($MH95:$MK95,"Reação")+COUNTIF($NT95:$NU95,"Reação"))&gt;0,(COUNTIF($MH95:$MK95,"Parado")+COUNTIF($NT95:$NU95,"Parado"))&gt;0),"Reação não entra com Parado",""),IF(AND((COUNTIF($MH95:$MK95,"Atrasar")+COUNTIF($NT95:$NU95,"Atrasar"))&gt;0,(COUNTIF($MH95:$MK95,"Parado")+COUNTIF($NT95:$NU95,"Parado"))&gt;0),"Atrasar não entra com Parado",""),IF(AND((COUNTIF($MH95:$MK95,"Armado")+COUNTIF($NT95:$NU95,"Armado"))&gt;0,(COUNTIF($MH95:$MK95,"Carregar")+COUNTIF($NT95:$NU95,"Carregar"))&gt;0),"Armado não entra com Carregar",""),IF(AND(COUNTIF($NT95:$NU95,"Corpo a Corpo")&gt;0,$NO95=0,OR($ME95="Cone",$ME95="Linha")),"Corpo a Corpo não entra em "&amp;$ME95,""),IF(AND(COUNTIF($NT95:$NU95,"Corpo a Corpo")&gt;0,$NO95=1),"A Forma "&amp;$ME95&amp;" já traz o Corpo a Corpo",""),IF(AND(COUNTIF($NT95:$NU95,"Tudo ou Nada")&gt;0,$NQ95=0),"Tudo ou Nada só entra em habilidade de Teste de Resistência",""),IF(AND(COUNTIF($MH95:$MK95,"Inescapável")&gt;0,OR($OD95&gt;1,$OE95&gt;0)),"Inescapável não aceita outra peça",""),IF(AND($MC95&gt;0,$OM95*IF(COUNTIF($MH95:$MK95,"Remate")&gt;0,1.25,1)+$ON95&gt;4*$MC95),($OM95*IF(COUNTIF($MH95:$MK95,"Remate")&gt;0,1.25,1)+$ON95)&amp;" dados somando repetições"&amp;IF(COUNTIF($MH95:$MK95,"Remate")&gt;0," e o Remate","")&amp;": o teto da Classe "&amp;$MC95&amp;" é "&amp;4*$MC95,"")))</f>
        <v/>
      </c>
      <c r="PD95" s="152">
        <f>IF($PC95="",0,(LEN($PC95)-LEN(SUBSTITUTE($PC95," · ","")))/3+1)</f>
        <v/>
      </c>
      <c r="PE95" s="152">
        <f>IF($MN95=0,"",TEXTJOIN(" · ",TRUE,IF($OG95&gt;2*$MC95,"A devolução parou no teto de "&amp;2*$MC95,""),IF($OJ95&gt;0,"Devolução perdida: "&amp;$OJ95&amp;IF($OJ95&gt;1," pontos"," ponto")&amp;" sem peça para pagar",""),IF(AND($NM95&gt;0,AND($MC95&gt;0,$NP95=0),$OM95=0),"Controle sem dano: uma rodada a mais e CD +2",""),IF(AND($NM95&gt;0,AND($MC95&gt;0,$NP95=0),$OM95&gt;0,$OM95&lt;=$MC95),"Controle com saldo até a Classe: uma rodada a mais",""),IF(AND($MC95&gt;0,$NN95&lt;&gt;""),"Efeito de "&amp;$NN95&amp;" pela Classe "&amp;MAX(1,$MC95-1),"")))</f>
        <v/>
      </c>
      <c r="PF95" s="152">
        <f>IF($PE95="",0,(LEN($PE95)-LEN(SUBSTITUTE($PE95," · ","")))/3+1)</f>
        <v/>
      </c>
      <c r="PG95" s="152">
        <f>IF($MN95=0,IF($OD95+COUNTIF($ML95:$MM95,"?*")&gt;0,"Dê um nome",""),IF($PD95&gt;0,"⚠ "&amp;$PD95&amp;IF($PD95&gt;1," erros"," erro"),IF($PF95&gt;0,"! "&amp;$PF95&amp;IF($PF95&gt;1," avisos"," aviso"),"Na regra")))</f>
        <v/>
      </c>
      <c r="PH95" s="152">
        <f>IF($MN95=0,"",IF($PD95+$PF95=0,"Dentro das regras que a ficha confere",$PC95&amp;IF(AND($PD95&gt;0,$PF95&gt;0)," · ","")&amp;$PE95))</f>
        <v/>
      </c>
      <c r="PI95" s="152">
        <f>IF($MA95&gt;$MO95,$MB95&amp;" · ABRE NO NÍVEL "&amp;$MA95,$MB95)</f>
        <v/>
      </c>
      <c r="PJ95" s="152">
        <f>IF($MN95=0,"",IF($MC95=0,"Sem PE",3*$MC95&amp;" PE"))</f>
        <v/>
      </c>
      <c r="PK95" s="152">
        <f>IF($MN95=0,"",IF($MC95=0,"A atuação básica dela",IF(COUNTIF($NT95:$NU95,"Atrasar")&gt;0,"Sua Ação Completa",IF(COUNTIF($MH95:$MK95,"Rápido")&gt;0,"Sua Bônus",IF(COUNTIF($MH95:$MK95,"Reação")&gt;0,"Sua Reação","Sua Padrão")))&amp;" + a básica dela"&amp;IF(COUNTIF($MH95:$MK95,"Reação")&gt;0," e a coletiva","")&amp;IF(COUNTIF($NT95:$NU95,"Carregar")&gt;0," · em dois turnos","")))</f>
        <v/>
      </c>
      <c r="PL95" s="152">
        <f>IF($MG95&lt;&gt;"",$MG95,IF($MT95=0,"",INDEX($AA$2:$AA$11,$MT95)))</f>
        <v/>
      </c>
      <c r="PM95" s="152">
        <f>IF(OR($MN95=0,$MT95=0),"",IF(COUNTIF($MH95:$MK95,"Inescapável")&gt;0,"Automático",IF($PL95="Ataque",IF($MR95="","Ataque","Ataque "&amp;IF(($MR95+2*IF(COUNTIF($MH95:$MK95,"Precisão")&gt;0,1,0))&gt;=0,"+","−")&amp;ABS(($MR95+2*IF(COUNTIF($MH95:$MK95,"Precisão")&gt;0,1,0)))),IF(LEFT($PL95,2)="TR",$PL95&amp;IF($MS95="",""," · CD "&amp;$MS95)&amp;IF(COUNTIF($MH95:$MK95,"Certeiro")&gt;0," · metade",""),"Sem rolagem"))))</f>
        <v/>
      </c>
      <c r="PN95" s="152">
        <f>IF(OR($MN95=0,$MT95=0),"",IF($MC95=0,IF(OR($NP95&gt;=1,$OM95=0),"Sem dano",$OM95&amp;"d6"&amp;IF($MF95="",""," "&amp;$MF95)),IF(OR($NP95&gt;=1,$OM95=0),UPPER(LEFT(INDEX($OV95:$PB95,1,MAX(1,$MC95)),1))&amp;MID(INDEX($OV95:$PB95,1,MAX(1,$MC95)),2,99),UPPER(LEFT(INDEX($OV95:$PB95,1,MAX(1,$MC95)),1))&amp;MID(INDEX($OV95:$PB95,1,MAX(1,$MC95)),2,99)&amp;IF($MF95="",""," "&amp;$MF95)&amp;IF($ON95&gt;0," · +"&amp;$ON95&amp;"d8",""))))</f>
        <v/>
      </c>
      <c r="PO95" s="152">
        <f>COUNTIF($MH95:$MK95,"Longe")+3*COUNTIF($MH95:$MK95,"Muito Longe")</f>
        <v/>
      </c>
      <c r="PP95" s="152">
        <f>COUNTIF($MH95:$MK95,"Maior")+3*COUNTIF($MH95:$MK95,"Muito Maior")</f>
        <v/>
      </c>
      <c r="PQ95" s="152">
        <f>IF($MT95=0,0,CHOOSE(1+INDEX($AC$2:$AC$11,$MT95),0,$PO95,$PP95,$PO95+$PP95))</f>
        <v/>
      </c>
      <c r="PR95" s="152">
        <f>IF($MT95=0,0,CHOOSE(1+INDEX($AD$2:$AD$11,$MT95),0,$PO95,$PP95,$PO95+$PP95))</f>
        <v/>
      </c>
      <c r="PS95" s="152">
        <f>IF(OR($MN95=0,$MT95=0),"",INDEX($AI$2:$AN$41,($MT95-1)*4+IF($MC95=0,1,IF($MC95&lt;=5,2,IF($MC95=6,3,4))),1+MIN(5,$PQ95))&amp;INDEX($AO$2:$AT$41,($MT95-1)*4+IF($MC95=0,1,IF($MC95&lt;=5,2,IF($MC95=6,3,4))),1+MIN(5,$PR95))&amp;IF(INDEX($AE$2:$AE$11,$MT95)=1,IF(COUNTIF($MH95:$MK95,"Mais Um")&gt;0," · +"&amp;COUNTIF($MH95:$MK95,"Mais Um")&amp;IF(COUNTIF($MH95:$MK95,"Mais Um")&gt;1," alvos"," alvo"),"")&amp;IF(COUNTIF($MH95:$MK95,"Rajada")&gt;0,IF($MC95=0," · 1 tiro"," · "&amp;(MAX(1,$MC95-1)+1)&amp;" tiros"),""),""))</f>
        <v/>
      </c>
      <c r="PT95" s="152">
        <f>IF($MN95=0,"",IF($MC95=0,$MQ95&amp;"d6"&amp;IF($OD95&gt;0," − 1 = "&amp;$OM95&amp;"d6"," da básica do nível "&amp;$MO95),$OK95&amp;" − "&amp;$OF95&amp;" + "&amp;$OI95&amp;" = "&amp;$OL95&amp;" · teto "&amp;4*$MC95&amp;"d8"&amp;IF($NO95=1," · a Forma devolve "&amp;$MC95,"")&amp;IF($OJ95&gt;0," · perde "&amp;$OJ95,"")))</f>
        <v/>
      </c>
      <c r="PU95" s="152">
        <f>IF($MN95=0,"",IF($MC95=0,"A básica não amplia: os dados dela sobem com o nível",IF($MC95&gt;=$MP95,"Já está na maior Classe que o nível liberou",TEXTJOIN(" · ",TRUE,IF(AND(2&gt;$MC95,2&lt;=$MP95),"2 → "&amp;$OW95&amp;", 6 PE",""),IF(AND(3&gt;$MC95,3&lt;=$MP95),"3 → "&amp;$OX95&amp;", 9 PE",""),IF(AND(4&gt;$MC95,4&lt;=$MP95),"4 → "&amp;$OY95&amp;", 12 PE",""),IF(AND(5&gt;$MC95,5&lt;=$MP95),"5 → "&amp;$OZ95&amp;", 15 PE",""),IF(AND(6&gt;$MC95,6&lt;=$MP95),"6 → "&amp;$PA95&amp;", 18 PE",""),IF(AND(7&gt;$MC95,7&lt;=$MP95),"7 → "&amp;$PB95&amp;", 21 PE","")))))</f>
        <v/>
      </c>
      <c r="PV95" s="152">
        <f>IF(OR($MN95=0,$MY95=0),"",IF($MC95=0,"−1 dado","−"&amp;INDEX($I$2:$N$8,MAX(1,$MC95),MAX(1,$ND95))&amp;" · "&amp;CHOOSE(MAX(1,$ND95),"Leve","Média","Pesada","Leve · Livre","Média · Livre","Pesada · Livre")))</f>
        <v/>
      </c>
      <c r="PW95" s="152">
        <f>IF(OR($MN95=0,$MZ95=0),"",IF($MC95=0,"−1 dado","−"&amp;INDEX($I$2:$N$8,MAX(1,$MC95),MAX(1,$NE95))&amp;" · "&amp;CHOOSE(MAX(1,$NE95),"Leve","Média","Pesada","Leve · Livre","Média · Livre","Pesada · Livre")))</f>
        <v/>
      </c>
      <c r="PX95" s="152">
        <f>IF(OR($MN95=0,$NA95=0),"",IF($MC95=0,"−1 dado","−"&amp;INDEX($I$2:$N$8,MAX(1,$MC95),MAX(1,$NF95))&amp;" · "&amp;CHOOSE(MAX(1,$NF95),"Leve","Média","Pesada","Leve · Livre","Média · Livre","Pesada · Livre")))</f>
        <v/>
      </c>
      <c r="PY95" s="152">
        <f>IF(OR($MN95=0,$NB95=0),"",IF($MC95=0,"−1 dado","−"&amp;INDEX($I$2:$N$8,MAX(1,$MC95),MAX(1,$NG95))&amp;" · "&amp;CHOOSE(MAX(1,$NG95),"Leve","Média","Pesada","Leve · Livre","Média · Livre","Pesada · Livre")))</f>
        <v/>
      </c>
      <c r="PZ95" s="152">
        <f>IF(OR($MN95=0,$ML95=""),"",IF($MC95=0,"não devolve","+"&amp;IF($NR95=1,CEILING($MC95/2,1),$MC95)))</f>
        <v/>
      </c>
      <c r="QA95" s="152">
        <f>IF(OR($MN95=0,$MM95=""),"",IF($MC95=0,"não devolve","+"&amp;IF($NS95=1,CEILING($MC95/2,1),$MC95)))</f>
        <v/>
      </c>
    </row>
    <row r="96">
      <c r="LX96" s="150" t="inlineStr">
        <is>
          <t>Ficha 8 · Básica 2</t>
        </is>
      </c>
      <c r="LY96" s="152" t="n">
        <v>8</v>
      </c>
      <c r="LZ96" s="152" t="n">
        <v>0</v>
      </c>
      <c r="MA96" s="152" t="n">
        <v>11</v>
      </c>
      <c r="MB96" s="150" t="inlineStr">
        <is>
          <t>BÁSICA 2</t>
        </is>
      </c>
      <c r="MC96" s="152" t="n">
        <v>0</v>
      </c>
      <c r="MD96" s="152">
        <f>'INVOCAÇÕES'!$AC$290&amp;""</f>
        <v/>
      </c>
      <c r="ME96" s="152">
        <f>'INVOCAÇÕES'!$AB$295&amp;""</f>
        <v/>
      </c>
      <c r="MF96" s="152">
        <f>'INVOCAÇÕES'!$AB$296&amp;""</f>
        <v/>
      </c>
      <c r="MG96" s="152">
        <f>'INVOCAÇÕES'!$AD$296&amp;""</f>
        <v/>
      </c>
      <c r="MH96" s="152">
        <f>'INVOCAÇÕES'!$AC$299&amp;""</f>
        <v/>
      </c>
      <c r="MI96" s="152">
        <f>'INVOCAÇÕES'!$AC$300&amp;""</f>
        <v/>
      </c>
      <c r="MJ96" s="152">
        <f>'INVOCAÇÕES'!$AC$301&amp;""</f>
        <v/>
      </c>
      <c r="MK96" s="152">
        <f>'INVOCAÇÕES'!$AC$302&amp;""</f>
        <v/>
      </c>
      <c r="ML96" s="152">
        <f>'INVOCAÇÕES'!$AC$303&amp;""</f>
        <v/>
      </c>
      <c r="MM96" s="152">
        <f>'INVOCAÇÕES'!$AC$304&amp;""</f>
        <v/>
      </c>
      <c r="MN96" s="152">
        <f>IF($MD96&lt;&gt;"",1,0)</f>
        <v/>
      </c>
      <c r="MO96" s="152">
        <f>INDEX($FG$2:$FG$13,$LY96)</f>
        <v/>
      </c>
      <c r="MP96" s="152">
        <f>INDEX($FH$2:$FH$13,$LY96)</f>
        <v/>
      </c>
      <c r="MQ96" s="152">
        <f>INDEX($FI$2:$FI$13,$LY96)</f>
        <v/>
      </c>
      <c r="MR96" s="152">
        <f>INDEX($FT$2:$FT$13,$LY96)</f>
        <v/>
      </c>
      <c r="MS96" s="152">
        <f>INDEX($FU$2:$FU$13,$LY96)</f>
        <v/>
      </c>
      <c r="MT96" s="152">
        <f>IFERROR(MATCH($ME96,$V$2:$V$11,0),0)</f>
        <v/>
      </c>
      <c r="MU96" s="152">
        <f>IFERROR(VLOOKUP($MH96,$AV$2:$AZ$84,2,FALSE),"")</f>
        <v/>
      </c>
      <c r="MV96" s="152">
        <f>IFERROR(VLOOKUP($MI96,$AV$2:$AZ$84,2,FALSE),"")</f>
        <v/>
      </c>
      <c r="MW96" s="152">
        <f>IFERROR(VLOOKUP($MJ96,$AV$2:$AZ$84,2,FALSE),"")</f>
        <v/>
      </c>
      <c r="MX96" s="152">
        <f>IFERROR(VLOOKUP($MK96,$AV$2:$AZ$84,2,FALSE),"")</f>
        <v/>
      </c>
      <c r="MY96" s="152">
        <f>IFERROR(VLOOKUP($MH96,$AV$2:$AZ$84,3,FALSE),0)</f>
        <v/>
      </c>
      <c r="MZ96" s="152">
        <f>IFERROR(VLOOKUP($MI96,$AV$2:$AZ$84,3,FALSE),0)</f>
        <v/>
      </c>
      <c r="NA96" s="152">
        <f>IFERROR(VLOOKUP($MJ96,$AV$2:$AZ$84,3,FALSE),0)</f>
        <v/>
      </c>
      <c r="NB96" s="152">
        <f>IFERROR(VLOOKUP($MK96,$AV$2:$AZ$84,3,FALSE),0)</f>
        <v/>
      </c>
      <c r="NC96" s="152">
        <f>IF($MC96=0,0,IF($MT96=0,0,INDEX($X$2:$X$11,$MT96)))</f>
        <v/>
      </c>
      <c r="ND96" s="152">
        <f>IF(OR($MY96=0,$MC96=0),0,$MY96+3*IF(AND($MU96&lt;&gt;"",OR($MU96=INDEX($ED$2:$ED$13,$LY96),$MU96=INDEX($EE$2:$EE$13,$LY96))),1,0))</f>
        <v/>
      </c>
      <c r="NE96" s="152">
        <f>IF(OR($MZ96=0,$MC96=0),0,$MZ96+3*IF(AND($MV96&lt;&gt;"",OR($MV96=INDEX($ED$2:$ED$13,$LY96),$MV96=INDEX($EE$2:$EE$13,$LY96))),1,0))</f>
        <v/>
      </c>
      <c r="NF96" s="152">
        <f>IF(OR($NA96=0,$MC96=0),0,$NA96+3*IF(AND($MW96&lt;&gt;"",OR($MW96=INDEX($ED$2:$ED$13,$LY96),$MW96=INDEX($EE$2:$EE$13,$LY96))),1,0))</f>
        <v/>
      </c>
      <c r="NG96" s="152">
        <f>IF(OR($NB96=0,$MC96=0),0,$NB96+3*IF(AND($MX96&lt;&gt;"",OR($MX96=INDEX($ED$2:$ED$13,$LY96),$MX96=INDEX($EE$2:$EE$13,$LY96))),1,0))</f>
        <v/>
      </c>
      <c r="NH96" s="152">
        <f>IF($MT96=0,0,IF(INDEX($W$2:$W$11,$MT96)="",0,IF(COUNTIF(INDEX($ED$2:$EH$13,$LY96,0),INDEX($W$2:$W$11,$MT96))=0,1,0)))</f>
        <v/>
      </c>
      <c r="NI96" s="152">
        <f>IF(OR($MY96=0,$MU96=""),0,IF(COUNTIF(INDEX($ED$2:$EH$13,$LY96,0),$MU96)=0,1,0))</f>
        <v/>
      </c>
      <c r="NJ96" s="152">
        <f>IF(OR($MZ96=0,$MV96=""),0,IF(COUNTIF(INDEX($ED$2:$EH$13,$LY96,0),$MV96)=0,1,0))</f>
        <v/>
      </c>
      <c r="NK96" s="152">
        <f>IF(OR($NA96=0,$MW96=""),0,IF(COUNTIF(INDEX($ED$2:$EH$13,$LY96,0),$MW96)=0,1,0))</f>
        <v/>
      </c>
      <c r="NL96" s="152">
        <f>IF(OR($NB96=0,$MX96=""),0,IF(COUNTIF(INDEX($ED$2:$EH$13,$LY96,0),$MX96)=0,1,0))</f>
        <v/>
      </c>
      <c r="NM96" s="152">
        <f>IFERROR(VLOOKUP($MH96,$AV$2:$AZ$84,4,FALSE),0)+IFERROR(VLOOKUP($MI96,$AV$2:$AZ$84,4,FALSE),0)+IFERROR(VLOOKUP($MJ96,$AV$2:$AZ$84,4,FALSE),0)+IFERROR(VLOOKUP($MK96,$AV$2:$AZ$84,4,FALSE),0)</f>
        <v/>
      </c>
      <c r="NN96" s="152">
        <f>TEXTJOIN(", ",TRUE,IF(IFERROR(VLOOKUP($MH96,$AV$2:$AZ$84,5,FALSE),0)=1,$MH96,""),IF(IFERROR(VLOOKUP($MI96,$AV$2:$AZ$84,5,FALSE),0)=1,$MI96,""),IF(IFERROR(VLOOKUP($MJ96,$AV$2:$AZ$84,5,FALSE),0)=1,$MJ96,""),IF(IFERROR(VLOOKUP($MK96,$AV$2:$AZ$84,5,FALSE),0)=1,$MK96,""))</f>
        <v/>
      </c>
      <c r="NO96" s="152">
        <f>IF($MT96=0,0,INDEX($Y$2:$Y$11,$MT96))</f>
        <v/>
      </c>
      <c r="NP96" s="152">
        <f>IF($MT96=0,0,INDEX($Z$2:$Z$11,$MT96))</f>
        <v/>
      </c>
      <c r="NQ96" s="152">
        <f>IF($MT96=0,0,INDEX($AB$2:$AB$11,$MT96))</f>
        <v/>
      </c>
      <c r="NR96" s="152">
        <f>IFERROR(VLOOKUP($ML96,$BB$2:$BF$24,3,FALSE),0)</f>
        <v/>
      </c>
      <c r="NS96" s="152">
        <f>IFERROR(VLOOKUP($MM96,$BB$2:$BF$24,3,FALSE),0)</f>
        <v/>
      </c>
      <c r="NT96" s="152">
        <f>IFERROR(VLOOKUP($ML96,$BB$2:$BF$24,2,FALSE),"")</f>
        <v/>
      </c>
      <c r="NU96" s="152">
        <f>IFERROR(VLOOKUP($MM96,$BB$2:$BF$24,2,FALSE),"")</f>
        <v/>
      </c>
      <c r="NV96" s="152">
        <f>COUNTIF($NC96:$NG96,1)</f>
        <v/>
      </c>
      <c r="NW96" s="152">
        <f>COUNTIF($NC96:$NG96,2)</f>
        <v/>
      </c>
      <c r="NX96" s="152">
        <f>COUNTIF($NC96:$NG96,3)</f>
        <v/>
      </c>
      <c r="NY96" s="152">
        <f>COUNTIF($NC96:$NG96,4)</f>
        <v/>
      </c>
      <c r="NZ96" s="152">
        <f>COUNTIF($NC96:$NG96,5)</f>
        <v/>
      </c>
      <c r="OA96" s="152">
        <f>COUNTIF($NC96:$NG96,6)</f>
        <v/>
      </c>
      <c r="OB96" s="152">
        <f>COUNTIF($NR96:$NS96,1)</f>
        <v/>
      </c>
      <c r="OC96" s="152">
        <f>COUNTIF($NR96:$NS96,2)+$NO96</f>
        <v/>
      </c>
      <c r="OD96" s="152">
        <f>COUNTIF($MH96:$MK96,"?*")</f>
        <v/>
      </c>
      <c r="OE96" s="152">
        <f>COUNTIF($ML96:$MM96,"?*")+$NO96</f>
        <v/>
      </c>
      <c r="OF96" s="152">
        <f>IF($MC96=0,0,SUMPRODUCT($NV96:$OA96,INDEX($I$2:$N$8,MAX(1,$MC96),0)))</f>
        <v/>
      </c>
      <c r="OG96" s="152">
        <f>IF($MC96=0,0,$OB96*CEILING($MC96/2,1)+$OC96*$MC96)</f>
        <v/>
      </c>
      <c r="OH96" s="152">
        <f>MIN(2*$MC96,$OG96)</f>
        <v/>
      </c>
      <c r="OI96" s="152">
        <f>MIN($OH96,$OF96)</f>
        <v/>
      </c>
      <c r="OJ96" s="152">
        <f>$OH96-$OI96</f>
        <v/>
      </c>
      <c r="OK96" s="152">
        <f>IF($MC96=0,0,INDEX($P$2:$P$8,MAX(1,$MC96)))</f>
        <v/>
      </c>
      <c r="OL96" s="152">
        <f>$OK96-$OF96+$OI96</f>
        <v/>
      </c>
      <c r="OM96" s="152">
        <f>IF($MC96=0,MAX(0,$MQ96-IF($OD96&gt;0,1,0)),MAX(0,$OL96))</f>
        <v/>
      </c>
      <c r="ON96" s="152">
        <f>IF($MC96=0,0,(IF(COUNTIF($MH96:$MK96,"Salto")&gt;0,1,0)+IF(COUNTIF($MH96:$MK96,"Queima")&gt;0,1,0)+IF(COUNTIF($MH96:$MK96,"Estilhaço")&gt;0,1,0))*FLOOR($OM96/2,1))</f>
        <v/>
      </c>
      <c r="OO96" s="152">
        <f>MAX(0,2-SUMPRODUCT($NV96:$OA96,$I$2:$N$2)+MIN(2,$OB96*1+$OC96*1,SUMPRODUCT($NV96:$OA96,$I$2:$N$2)))</f>
        <v/>
      </c>
      <c r="OP96" s="152">
        <f>MAX(0,4-SUMPRODUCT($NV96:$OA96,$I$3:$N$3)+MIN(4,$OB96*1+$OC96*2,SUMPRODUCT($NV96:$OA96,$I$3:$N$3)))</f>
        <v/>
      </c>
      <c r="OQ96" s="152">
        <f>MAX(0,6-SUMPRODUCT($NV96:$OA96,$I$4:$N$4)+MIN(6,$OB96*2+$OC96*3,SUMPRODUCT($NV96:$OA96,$I$4:$N$4)))</f>
        <v/>
      </c>
      <c r="OR96" s="152">
        <f>MAX(0,9-SUMPRODUCT($NV96:$OA96,$I$5:$N$5)+MIN(8,$OB96*2+$OC96*4,SUMPRODUCT($NV96:$OA96,$I$5:$N$5)))</f>
        <v/>
      </c>
      <c r="OS96" s="152">
        <f>MAX(0,11-SUMPRODUCT($NV96:$OA96,$I$6:$N$6)+MIN(10,$OB96*3+$OC96*5,SUMPRODUCT($NV96:$OA96,$I$6:$N$6)))</f>
        <v/>
      </c>
      <c r="OT96" s="152">
        <f>MAX(0,13-SUMPRODUCT($NV96:$OA96,$I$7:$N$7)+MIN(12,$OB96*3+$OC96*6,SUMPRODUCT($NV96:$OA96,$I$7:$N$7)))</f>
        <v/>
      </c>
      <c r="OU96" s="152">
        <f>MAX(0,16-SUMPRODUCT($NV96:$OA96,$I$8:$N$8)+MIN(14,$OB96*4+$OC96*7,SUMPRODUCT($NV96:$OA96,$I$8:$N$8)))</f>
        <v/>
      </c>
      <c r="OV96" s="152">
        <f>IF($NP96=2,3*$OO96&amp;" de vida temp.",IF($NP96=3,"sem dano",IF($OO96=0,IF($NP96=1,"sem cura","sem dano"),IF($NP96=1,"cura ","")&amp;$OO96&amp;"d8")))</f>
        <v/>
      </c>
      <c r="OW96" s="152">
        <f>IF($NP96=2,3*$OP96&amp;" de vida temp.",IF($NP96=3,"sem dano",IF($OP96=0,IF($NP96=1,"sem cura","sem dano"),IF($NP96=1,"cura ","")&amp;$OP96&amp;"d8")))</f>
        <v/>
      </c>
      <c r="OX96" s="152">
        <f>IF($NP96=2,3*$OQ96&amp;" de vida temp.",IF($NP96=3,"sem dano",IF($OQ96=0,IF($NP96=1,"sem cura","sem dano"),IF($NP96=1,"cura ","")&amp;$OQ96&amp;"d8")))</f>
        <v/>
      </c>
      <c r="OY96" s="152">
        <f>IF($NP96=2,3*$OR96&amp;" de vida temp.",IF($NP96=3,"sem dano",IF($OR96=0,IF($NP96=1,"sem cura","sem dano"),IF($NP96=1,"cura ","")&amp;$OR96&amp;"d8")))</f>
        <v/>
      </c>
      <c r="OZ96" s="152">
        <f>IF($NP96=2,3*$OS96&amp;" de vida temp.",IF($NP96=3,"sem dano",IF($OS96=0,IF($NP96=1,"sem cura","sem dano"),IF($NP96=1,"cura ","")&amp;$OS96&amp;"d8")))</f>
        <v/>
      </c>
      <c r="PA96" s="152">
        <f>IF($NP96=2,3*$OT96&amp;" de vida temp.",IF($NP96=3,"sem dano",IF($OT96=0,IF($NP96=1,"sem cura","sem dano"),IF($NP96=1,"cura ","")&amp;$OT96&amp;"d8")))</f>
        <v/>
      </c>
      <c r="PB96" s="152">
        <f>IF($NP96=2,3*$OU96&amp;" de vida temp.",IF($NP96=3,"sem dano",IF($OU96=0,IF($NP96=1,"sem cura","sem dano"),IF($NP96=1,"cura ","")&amp;$OU96&amp;"d8")))</f>
        <v/>
      </c>
      <c r="PC96" s="152">
        <f>IF($MN96=0,"",TEXTJOIN(" · ",TRUE,IF($MA96&gt;$MO96,"Este lugar abre no nível "&amp;$MA96,""),IF($MC96&gt;$MP96,"Classe "&amp;$MC96&amp;": o nível "&amp;$MO96&amp;" libera até a "&amp;$MP96,""),IF($NH96=1,"A Forma "&amp;$ME96&amp;" pede "&amp;INDEX($W$2:$W$11,$MT96)&amp;" aberta",""),IF(AND($MC96=0,$MT96&gt;0,IF($MT96=0,0,INDEX($AF$2:$AF$11,$MT96))=0),$ME96&amp;" não existe na Classe 0",""),IF($NI96=1,"Família Fechada: "&amp;$MH96,""),IF($NJ96=1,"Família Fechada: "&amp;$MI96,""),IF($NK96=1,"Família Fechada: "&amp;$MJ96,""),IF($NL96=1,"Família Fechada: "&amp;$MK96,""),IF(AND($MC96&gt;0,$OD96&gt;INDEX($O$2:$O$8,MAX(1,$MC96))),$OD96&amp;" Melhorias: a Classe "&amp;$MC96&amp;" aceita "&amp;INDEX($O$2:$O$8,MAX(1,$MC96)),""),IF(AND($MC96=0,$OD96&gt;1),"A básica aceita uma Melhoria",""),IF(AND($MC96=0,COUNTIF($MY96:$NB96,"&gt;1")&gt;0),"A básica só aceita Melhoria Leve",""),IF(AND($MC96&gt;0,$OE96&gt;2),$OE96&amp;" Restrições"&amp;IF($NO96=1,", contando a que a Forma "&amp;$ME96&amp;" já traz","")&amp;": o limite é 2",""),IF(AND($MC96=0,COUNTIF($ML96:$MM96,"?*")&gt;1),"A básica aceita uma Restrição Leve",""),IF(AND($MC96=0,COUNTIF($NR96:$NS96,2)&gt;0),"A básica só aceita Restrição Leve",""),IF(AND($MC96&gt;0,$OL96&lt;0),"Orçamento estourado: faltam "&amp;(-$OL96)&amp;IF($OL96&lt;-1," pontos"," ponto"),""),IF(IFERROR(VLOOKUP($ML96,$BB$2:$BF$24,4,FALSE),0)+IFERROR(VLOOKUP($MM96,$BB$2:$BF$24,4,FALSE),0)&gt;1,$NT96&amp;" e "&amp;$NU96&amp;" são as duas de frequência",""),IF(AND((COUNTIF($MH96:$MK96,"Rápido")+COUNTIF($NT96:$NU96,"Rápido"))&gt;0,(COUNTIF($MH96:$MK96,"Atrasar")+COUNTIF($NT96:$NU96,"Atrasar"))&gt;0),"Rápido não entra com Atrasar",""),IF(AND((COUNTIF($MH96:$MK96,"Reação")+COUNTIF($NT96:$NU96,"Reação"))&gt;0,(COUNTIF($MH96:$MK96,"Rápido")+COUNTIF($NT96:$NU96,"Rápido"))&gt;0),"Reação não entra com Rápido",""),IF(AND((COUNTIF($MH96:$MK96,"Reação")+COUNTIF($NT96:$NU96,"Reação"))&gt;0,(COUNTIF($MH96:$MK96,"Armado")+COUNTIF($NT96:$NU96,"Armado"))&gt;0),"Reação não entra com Armado",""),IF(AND((COUNTIF($MH96:$MK96,"Reação")+COUNTIF($NT96:$NU96,"Reação"))&gt;0,(COUNTIF($MH96:$MK96,"Atrasar")+COUNTIF($NT96:$NU96,"Atrasar"))&gt;0),"Reação não entra com Atrasar",""),IF(AND((COUNTIF($MH96:$MK96,"Reação")+COUNTIF($NT96:$NU96,"Reação"))&gt;0,(COUNTIF($MH96:$MK96,"Parado")+COUNTIF($NT96:$NU96,"Parado"))&gt;0),"Reação não entra com Parado",""),IF(AND((COUNTIF($MH96:$MK96,"Atrasar")+COUNTIF($NT96:$NU96,"Atrasar"))&gt;0,(COUNTIF($MH96:$MK96,"Parado")+COUNTIF($NT96:$NU96,"Parado"))&gt;0),"Atrasar não entra com Parado",""),IF(AND((COUNTIF($MH96:$MK96,"Armado")+COUNTIF($NT96:$NU96,"Armado"))&gt;0,(COUNTIF($MH96:$MK96,"Carregar")+COUNTIF($NT96:$NU96,"Carregar"))&gt;0),"Armado não entra com Carregar",""),IF(AND(COUNTIF($NT96:$NU96,"Corpo a Corpo")&gt;0,$NO96=0,OR($ME96="Cone",$ME96="Linha")),"Corpo a Corpo não entra em "&amp;$ME96,""),IF(AND(COUNTIF($NT96:$NU96,"Corpo a Corpo")&gt;0,$NO96=1),"A Forma "&amp;$ME96&amp;" já traz o Corpo a Corpo",""),IF(AND(COUNTIF($NT96:$NU96,"Tudo ou Nada")&gt;0,$NQ96=0),"Tudo ou Nada só entra em habilidade de Teste de Resistência",""),IF(AND(COUNTIF($MH96:$MK96,"Inescapável")&gt;0,OR($OD96&gt;1,$OE96&gt;0)),"Inescapável não aceita outra peça",""),IF(AND($MC96&gt;0,$OM96*IF(COUNTIF($MH96:$MK96,"Remate")&gt;0,1.25,1)+$ON96&gt;4*$MC96),($OM96*IF(COUNTIF($MH96:$MK96,"Remate")&gt;0,1.25,1)+$ON96)&amp;" dados somando repetições"&amp;IF(COUNTIF($MH96:$MK96,"Remate")&gt;0," e o Remate","")&amp;": o teto da Classe "&amp;$MC96&amp;" é "&amp;4*$MC96,"")))</f>
        <v/>
      </c>
      <c r="PD96" s="152">
        <f>IF($PC96="",0,(LEN($PC96)-LEN(SUBSTITUTE($PC96," · ","")))/3+1)</f>
        <v/>
      </c>
      <c r="PE96" s="152">
        <f>IF($MN96=0,"",TEXTJOIN(" · ",TRUE,IF($OG96&gt;2*$MC96,"A devolução parou no teto de "&amp;2*$MC96,""),IF($OJ96&gt;0,"Devolução perdida: "&amp;$OJ96&amp;IF($OJ96&gt;1," pontos"," ponto")&amp;" sem peça para pagar",""),IF(AND($NM96&gt;0,AND($MC96&gt;0,$NP96=0),$OM96=0),"Controle sem dano: uma rodada a mais e CD +2",""),IF(AND($NM96&gt;0,AND($MC96&gt;0,$NP96=0),$OM96&gt;0,$OM96&lt;=$MC96),"Controle com saldo até a Classe: uma rodada a mais",""),IF(AND($MC96&gt;0,$NN96&lt;&gt;""),"Efeito de "&amp;$NN96&amp;" pela Classe "&amp;MAX(1,$MC96-1),"")))</f>
        <v/>
      </c>
      <c r="PF96" s="152">
        <f>IF($PE96="",0,(LEN($PE96)-LEN(SUBSTITUTE($PE96," · ","")))/3+1)</f>
        <v/>
      </c>
      <c r="PG96" s="152">
        <f>IF($MN96=0,IF($OD96+COUNTIF($ML96:$MM96,"?*")&gt;0,"Dê um nome",""),IF($PD96&gt;0,"⚠ "&amp;$PD96&amp;IF($PD96&gt;1," erros"," erro"),IF($PF96&gt;0,"! "&amp;$PF96&amp;IF($PF96&gt;1," avisos"," aviso"),"Na regra")))</f>
        <v/>
      </c>
      <c r="PH96" s="152">
        <f>IF($MN96=0,"",IF($PD96+$PF96=0,"Dentro das regras que a ficha confere",$PC96&amp;IF(AND($PD96&gt;0,$PF96&gt;0)," · ","")&amp;$PE96))</f>
        <v/>
      </c>
      <c r="PI96" s="152">
        <f>IF($MA96&gt;$MO96,$MB96&amp;" · ABRE NO NÍVEL "&amp;$MA96,$MB96)</f>
        <v/>
      </c>
      <c r="PJ96" s="152">
        <f>IF($MN96=0,"",IF($MC96=0,"Sem PE",3*$MC96&amp;" PE"))</f>
        <v/>
      </c>
      <c r="PK96" s="152">
        <f>IF($MN96=0,"",IF($MC96=0,"A atuação básica dela",IF(COUNTIF($NT96:$NU96,"Atrasar")&gt;0,"Sua Ação Completa",IF(COUNTIF($MH96:$MK96,"Rápido")&gt;0,"Sua Bônus",IF(COUNTIF($MH96:$MK96,"Reação")&gt;0,"Sua Reação","Sua Padrão")))&amp;" + a básica dela"&amp;IF(COUNTIF($MH96:$MK96,"Reação")&gt;0," e a coletiva","")&amp;IF(COUNTIF($NT96:$NU96,"Carregar")&gt;0," · em dois turnos","")))</f>
        <v/>
      </c>
      <c r="PL96" s="152">
        <f>IF($MG96&lt;&gt;"",$MG96,IF($MT96=0,"",INDEX($AA$2:$AA$11,$MT96)))</f>
        <v/>
      </c>
      <c r="PM96" s="152">
        <f>IF(OR($MN96=0,$MT96=0),"",IF(COUNTIF($MH96:$MK96,"Inescapável")&gt;0,"Automático",IF($PL96="Ataque",IF($MR96="","Ataque","Ataque "&amp;IF(($MR96+2*IF(COUNTIF($MH96:$MK96,"Precisão")&gt;0,1,0))&gt;=0,"+","−")&amp;ABS(($MR96+2*IF(COUNTIF($MH96:$MK96,"Precisão")&gt;0,1,0)))),IF(LEFT($PL96,2)="TR",$PL96&amp;IF($MS96="",""," · CD "&amp;$MS96)&amp;IF(COUNTIF($MH96:$MK96,"Certeiro")&gt;0," · metade",""),"Sem rolagem"))))</f>
        <v/>
      </c>
      <c r="PN96" s="152">
        <f>IF(OR($MN96=0,$MT96=0),"",IF($MC96=0,IF(OR($NP96&gt;=1,$OM96=0),"Sem dano",$OM96&amp;"d6"&amp;IF($MF96="",""," "&amp;$MF96)),IF(OR($NP96&gt;=1,$OM96=0),UPPER(LEFT(INDEX($OV96:$PB96,1,MAX(1,$MC96)),1))&amp;MID(INDEX($OV96:$PB96,1,MAX(1,$MC96)),2,99),UPPER(LEFT(INDEX($OV96:$PB96,1,MAX(1,$MC96)),1))&amp;MID(INDEX($OV96:$PB96,1,MAX(1,$MC96)),2,99)&amp;IF($MF96="",""," "&amp;$MF96)&amp;IF($ON96&gt;0," · +"&amp;$ON96&amp;"d8",""))))</f>
        <v/>
      </c>
      <c r="PO96" s="152">
        <f>COUNTIF($MH96:$MK96,"Longe")+3*COUNTIF($MH96:$MK96,"Muito Longe")</f>
        <v/>
      </c>
      <c r="PP96" s="152">
        <f>COUNTIF($MH96:$MK96,"Maior")+3*COUNTIF($MH96:$MK96,"Muito Maior")</f>
        <v/>
      </c>
      <c r="PQ96" s="152">
        <f>IF($MT96=0,0,CHOOSE(1+INDEX($AC$2:$AC$11,$MT96),0,$PO96,$PP96,$PO96+$PP96))</f>
        <v/>
      </c>
      <c r="PR96" s="152">
        <f>IF($MT96=0,0,CHOOSE(1+INDEX($AD$2:$AD$11,$MT96),0,$PO96,$PP96,$PO96+$PP96))</f>
        <v/>
      </c>
      <c r="PS96" s="152">
        <f>IF(OR($MN96=0,$MT96=0),"",INDEX($AI$2:$AN$41,($MT96-1)*4+IF($MC96=0,1,IF($MC96&lt;=5,2,IF($MC96=6,3,4))),1+MIN(5,$PQ96))&amp;INDEX($AO$2:$AT$41,($MT96-1)*4+IF($MC96=0,1,IF($MC96&lt;=5,2,IF($MC96=6,3,4))),1+MIN(5,$PR96))&amp;IF(INDEX($AE$2:$AE$11,$MT96)=1,IF(COUNTIF($MH96:$MK96,"Mais Um")&gt;0," · +"&amp;COUNTIF($MH96:$MK96,"Mais Um")&amp;IF(COUNTIF($MH96:$MK96,"Mais Um")&gt;1," alvos"," alvo"),"")&amp;IF(COUNTIF($MH96:$MK96,"Rajada")&gt;0,IF($MC96=0," · 1 tiro"," · "&amp;(MAX(1,$MC96-1)+1)&amp;" tiros"),""),""))</f>
        <v/>
      </c>
      <c r="PT96" s="152">
        <f>IF($MN96=0,"",IF($MC96=0,$MQ96&amp;"d6"&amp;IF($OD96&gt;0," − 1 = "&amp;$OM96&amp;"d6"," da básica do nível "&amp;$MO96),$OK96&amp;" − "&amp;$OF96&amp;" + "&amp;$OI96&amp;" = "&amp;$OL96&amp;" · teto "&amp;4*$MC96&amp;"d8"&amp;IF($NO96=1," · a Forma devolve "&amp;$MC96,"")&amp;IF($OJ96&gt;0," · perde "&amp;$OJ96,"")))</f>
        <v/>
      </c>
      <c r="PU96" s="152">
        <f>IF($MN96=0,"",IF($MC96=0,"A básica não amplia: os dados dela sobem com o nível",IF($MC96&gt;=$MP96,"Já está na maior Classe que o nível liberou",TEXTJOIN(" · ",TRUE,IF(AND(2&gt;$MC96,2&lt;=$MP96),"2 → "&amp;$OW96&amp;", 6 PE",""),IF(AND(3&gt;$MC96,3&lt;=$MP96),"3 → "&amp;$OX96&amp;", 9 PE",""),IF(AND(4&gt;$MC96,4&lt;=$MP96),"4 → "&amp;$OY96&amp;", 12 PE",""),IF(AND(5&gt;$MC96,5&lt;=$MP96),"5 → "&amp;$OZ96&amp;", 15 PE",""),IF(AND(6&gt;$MC96,6&lt;=$MP96),"6 → "&amp;$PA96&amp;", 18 PE",""),IF(AND(7&gt;$MC96,7&lt;=$MP96),"7 → "&amp;$PB96&amp;", 21 PE","")))))</f>
        <v/>
      </c>
      <c r="PV96" s="152">
        <f>IF(OR($MN96=0,$MY96=0),"",IF($MC96=0,"−1 dado","−"&amp;INDEX($I$2:$N$8,MAX(1,$MC96),MAX(1,$ND96))&amp;" · "&amp;CHOOSE(MAX(1,$ND96),"Leve","Média","Pesada","Leve · Livre","Média · Livre","Pesada · Livre")))</f>
        <v/>
      </c>
      <c r="PW96" s="152">
        <f>IF(OR($MN96=0,$MZ96=0),"",IF($MC96=0,"−1 dado","−"&amp;INDEX($I$2:$N$8,MAX(1,$MC96),MAX(1,$NE96))&amp;" · "&amp;CHOOSE(MAX(1,$NE96),"Leve","Média","Pesada","Leve · Livre","Média · Livre","Pesada · Livre")))</f>
        <v/>
      </c>
      <c r="PX96" s="152">
        <f>IF(OR($MN96=0,$NA96=0),"",IF($MC96=0,"−1 dado","−"&amp;INDEX($I$2:$N$8,MAX(1,$MC96),MAX(1,$NF96))&amp;" · "&amp;CHOOSE(MAX(1,$NF96),"Leve","Média","Pesada","Leve · Livre","Média · Livre","Pesada · Livre")))</f>
        <v/>
      </c>
      <c r="PY96" s="152">
        <f>IF(OR($MN96=0,$NB96=0),"",IF($MC96=0,"−1 dado","−"&amp;INDEX($I$2:$N$8,MAX(1,$MC96),MAX(1,$NG96))&amp;" · "&amp;CHOOSE(MAX(1,$NG96),"Leve","Média","Pesada","Leve · Livre","Média · Livre","Pesada · Livre")))</f>
        <v/>
      </c>
      <c r="PZ96" s="152">
        <f>IF(OR($MN96=0,$ML96=""),"",IF($MC96=0,"não devolve","+"&amp;IF($NR96=1,CEILING($MC96/2,1),$MC96)))</f>
        <v/>
      </c>
      <c r="QA96" s="152">
        <f>IF(OR($MN96=0,$MM96=""),"",IF($MC96=0,"não devolve","+"&amp;IF($NS96=1,CEILING($MC96/2,1),$MC96)))</f>
        <v/>
      </c>
    </row>
    <row r="97">
      <c r="LX97" s="150" t="inlineStr">
        <is>
          <t>Ficha 8 · Especial 3</t>
        </is>
      </c>
      <c r="LY97" s="152" t="n">
        <v>8</v>
      </c>
      <c r="LZ97" s="152" t="n">
        <v>1</v>
      </c>
      <c r="MA97" s="152" t="n">
        <v>8</v>
      </c>
      <c r="MB97" s="150" t="inlineStr">
        <is>
          <t>ESPECIAL 3</t>
        </is>
      </c>
      <c r="MC97" s="152">
        <f>MAX(1,MIN(7,N('INVOCAÇÕES'!$AH$290)))</f>
        <v/>
      </c>
      <c r="MD97" s="152">
        <f>'INVOCAÇÕES'!$AI$290&amp;""</f>
        <v/>
      </c>
      <c r="ME97" s="152">
        <f>'INVOCAÇÕES'!$AH$295&amp;""</f>
        <v/>
      </c>
      <c r="MF97" s="152">
        <f>'INVOCAÇÕES'!$AH$296&amp;""</f>
        <v/>
      </c>
      <c r="MG97" s="152">
        <f>'INVOCAÇÕES'!$AJ$296&amp;""</f>
        <v/>
      </c>
      <c r="MH97" s="152">
        <f>'INVOCAÇÕES'!$AI$299&amp;""</f>
        <v/>
      </c>
      <c r="MI97" s="152">
        <f>'INVOCAÇÕES'!$AI$300&amp;""</f>
        <v/>
      </c>
      <c r="MJ97" s="152">
        <f>'INVOCAÇÕES'!$AI$301&amp;""</f>
        <v/>
      </c>
      <c r="MK97" s="152">
        <f>'INVOCAÇÕES'!$AI$302&amp;""</f>
        <v/>
      </c>
      <c r="ML97" s="152">
        <f>'INVOCAÇÕES'!$AI$303&amp;""</f>
        <v/>
      </c>
      <c r="MM97" s="152">
        <f>'INVOCAÇÕES'!$AI$304&amp;""</f>
        <v/>
      </c>
      <c r="MN97" s="152">
        <f>IF($MD97&lt;&gt;"",1,0)</f>
        <v/>
      </c>
      <c r="MO97" s="152">
        <f>INDEX($FG$2:$FG$13,$LY97)</f>
        <v/>
      </c>
      <c r="MP97" s="152">
        <f>INDEX($FH$2:$FH$13,$LY97)</f>
        <v/>
      </c>
      <c r="MQ97" s="152">
        <f>INDEX($FI$2:$FI$13,$LY97)</f>
        <v/>
      </c>
      <c r="MR97" s="152">
        <f>INDEX($FT$2:$FT$13,$LY97)</f>
        <v/>
      </c>
      <c r="MS97" s="152">
        <f>INDEX($FU$2:$FU$13,$LY97)</f>
        <v/>
      </c>
      <c r="MT97" s="152">
        <f>IFERROR(MATCH($ME97,$V$2:$V$11,0),0)</f>
        <v/>
      </c>
      <c r="MU97" s="152">
        <f>IFERROR(VLOOKUP($MH97,$AV$2:$AZ$84,2,FALSE),"")</f>
        <v/>
      </c>
      <c r="MV97" s="152">
        <f>IFERROR(VLOOKUP($MI97,$AV$2:$AZ$84,2,FALSE),"")</f>
        <v/>
      </c>
      <c r="MW97" s="152">
        <f>IFERROR(VLOOKUP($MJ97,$AV$2:$AZ$84,2,FALSE),"")</f>
        <v/>
      </c>
      <c r="MX97" s="152">
        <f>IFERROR(VLOOKUP($MK97,$AV$2:$AZ$84,2,FALSE),"")</f>
        <v/>
      </c>
      <c r="MY97" s="152">
        <f>IFERROR(VLOOKUP($MH97,$AV$2:$AZ$84,3,FALSE),0)</f>
        <v/>
      </c>
      <c r="MZ97" s="152">
        <f>IFERROR(VLOOKUP($MI97,$AV$2:$AZ$84,3,FALSE),0)</f>
        <v/>
      </c>
      <c r="NA97" s="152">
        <f>IFERROR(VLOOKUP($MJ97,$AV$2:$AZ$84,3,FALSE),0)</f>
        <v/>
      </c>
      <c r="NB97" s="152">
        <f>IFERROR(VLOOKUP($MK97,$AV$2:$AZ$84,3,FALSE),0)</f>
        <v/>
      </c>
      <c r="NC97" s="152">
        <f>IF($MC97=0,0,IF($MT97=0,0,INDEX($X$2:$X$11,$MT97)))</f>
        <v/>
      </c>
      <c r="ND97" s="152">
        <f>IF(OR($MY97=0,$MC97=0),0,$MY97+3*IF(AND($MU97&lt;&gt;"",OR($MU97=INDEX($ED$2:$ED$13,$LY97),$MU97=INDEX($EE$2:$EE$13,$LY97))),1,0))</f>
        <v/>
      </c>
      <c r="NE97" s="152">
        <f>IF(OR($MZ97=0,$MC97=0),0,$MZ97+3*IF(AND($MV97&lt;&gt;"",OR($MV97=INDEX($ED$2:$ED$13,$LY97),$MV97=INDEX($EE$2:$EE$13,$LY97))),1,0))</f>
        <v/>
      </c>
      <c r="NF97" s="152">
        <f>IF(OR($NA97=0,$MC97=0),0,$NA97+3*IF(AND($MW97&lt;&gt;"",OR($MW97=INDEX($ED$2:$ED$13,$LY97),$MW97=INDEX($EE$2:$EE$13,$LY97))),1,0))</f>
        <v/>
      </c>
      <c r="NG97" s="152">
        <f>IF(OR($NB97=0,$MC97=0),0,$NB97+3*IF(AND($MX97&lt;&gt;"",OR($MX97=INDEX($ED$2:$ED$13,$LY97),$MX97=INDEX($EE$2:$EE$13,$LY97))),1,0))</f>
        <v/>
      </c>
      <c r="NH97" s="152">
        <f>IF($MT97=0,0,IF(INDEX($W$2:$W$11,$MT97)="",0,IF(COUNTIF(INDEX($ED$2:$EH$13,$LY97,0),INDEX($W$2:$W$11,$MT97))=0,1,0)))</f>
        <v/>
      </c>
      <c r="NI97" s="152">
        <f>IF(OR($MY97=0,$MU97=""),0,IF(COUNTIF(INDEX($ED$2:$EH$13,$LY97,0),$MU97)=0,1,0))</f>
        <v/>
      </c>
      <c r="NJ97" s="152">
        <f>IF(OR($MZ97=0,$MV97=""),0,IF(COUNTIF(INDEX($ED$2:$EH$13,$LY97,0),$MV97)=0,1,0))</f>
        <v/>
      </c>
      <c r="NK97" s="152">
        <f>IF(OR($NA97=0,$MW97=""),0,IF(COUNTIF(INDEX($ED$2:$EH$13,$LY97,0),$MW97)=0,1,0))</f>
        <v/>
      </c>
      <c r="NL97" s="152">
        <f>IF(OR($NB97=0,$MX97=""),0,IF(COUNTIF(INDEX($ED$2:$EH$13,$LY97,0),$MX97)=0,1,0))</f>
        <v/>
      </c>
      <c r="NM97" s="152">
        <f>IFERROR(VLOOKUP($MH97,$AV$2:$AZ$84,4,FALSE),0)+IFERROR(VLOOKUP($MI97,$AV$2:$AZ$84,4,FALSE),0)+IFERROR(VLOOKUP($MJ97,$AV$2:$AZ$84,4,FALSE),0)+IFERROR(VLOOKUP($MK97,$AV$2:$AZ$84,4,FALSE),0)</f>
        <v/>
      </c>
      <c r="NN97" s="152">
        <f>TEXTJOIN(", ",TRUE,IF(IFERROR(VLOOKUP($MH97,$AV$2:$AZ$84,5,FALSE),0)=1,$MH97,""),IF(IFERROR(VLOOKUP($MI97,$AV$2:$AZ$84,5,FALSE),0)=1,$MI97,""),IF(IFERROR(VLOOKUP($MJ97,$AV$2:$AZ$84,5,FALSE),0)=1,$MJ97,""),IF(IFERROR(VLOOKUP($MK97,$AV$2:$AZ$84,5,FALSE),0)=1,$MK97,""))</f>
        <v/>
      </c>
      <c r="NO97" s="152">
        <f>IF($MT97=0,0,INDEX($Y$2:$Y$11,$MT97))</f>
        <v/>
      </c>
      <c r="NP97" s="152">
        <f>IF($MT97=0,0,INDEX($Z$2:$Z$11,$MT97))</f>
        <v/>
      </c>
      <c r="NQ97" s="152">
        <f>IF($MT97=0,0,INDEX($AB$2:$AB$11,$MT97))</f>
        <v/>
      </c>
      <c r="NR97" s="152">
        <f>IFERROR(VLOOKUP($ML97,$BB$2:$BF$24,3,FALSE),0)</f>
        <v/>
      </c>
      <c r="NS97" s="152">
        <f>IFERROR(VLOOKUP($MM97,$BB$2:$BF$24,3,FALSE),0)</f>
        <v/>
      </c>
      <c r="NT97" s="152">
        <f>IFERROR(VLOOKUP($ML97,$BB$2:$BF$24,2,FALSE),"")</f>
        <v/>
      </c>
      <c r="NU97" s="152">
        <f>IFERROR(VLOOKUP($MM97,$BB$2:$BF$24,2,FALSE),"")</f>
        <v/>
      </c>
      <c r="NV97" s="152">
        <f>COUNTIF($NC97:$NG97,1)</f>
        <v/>
      </c>
      <c r="NW97" s="152">
        <f>COUNTIF($NC97:$NG97,2)</f>
        <v/>
      </c>
      <c r="NX97" s="152">
        <f>COUNTIF($NC97:$NG97,3)</f>
        <v/>
      </c>
      <c r="NY97" s="152">
        <f>COUNTIF($NC97:$NG97,4)</f>
        <v/>
      </c>
      <c r="NZ97" s="152">
        <f>COUNTIF($NC97:$NG97,5)</f>
        <v/>
      </c>
      <c r="OA97" s="152">
        <f>COUNTIF($NC97:$NG97,6)</f>
        <v/>
      </c>
      <c r="OB97" s="152">
        <f>COUNTIF($NR97:$NS97,1)</f>
        <v/>
      </c>
      <c r="OC97" s="152">
        <f>COUNTIF($NR97:$NS97,2)+$NO97</f>
        <v/>
      </c>
      <c r="OD97" s="152">
        <f>COUNTIF($MH97:$MK97,"?*")</f>
        <v/>
      </c>
      <c r="OE97" s="152">
        <f>COUNTIF($ML97:$MM97,"?*")+$NO97</f>
        <v/>
      </c>
      <c r="OF97" s="152">
        <f>IF($MC97=0,0,SUMPRODUCT($NV97:$OA97,INDEX($I$2:$N$8,MAX(1,$MC97),0)))</f>
        <v/>
      </c>
      <c r="OG97" s="152">
        <f>IF($MC97=0,0,$OB97*CEILING($MC97/2,1)+$OC97*$MC97)</f>
        <v/>
      </c>
      <c r="OH97" s="152">
        <f>MIN(2*$MC97,$OG97)</f>
        <v/>
      </c>
      <c r="OI97" s="152">
        <f>MIN($OH97,$OF97)</f>
        <v/>
      </c>
      <c r="OJ97" s="152">
        <f>$OH97-$OI97</f>
        <v/>
      </c>
      <c r="OK97" s="152">
        <f>IF($MC97=0,0,INDEX($P$2:$P$8,MAX(1,$MC97)))</f>
        <v/>
      </c>
      <c r="OL97" s="152">
        <f>$OK97-$OF97+$OI97</f>
        <v/>
      </c>
      <c r="OM97" s="152">
        <f>IF($MC97=0,MAX(0,$MQ97-IF($OD97&gt;0,1,0)),MAX(0,$OL97))</f>
        <v/>
      </c>
      <c r="ON97" s="152">
        <f>IF($MC97=0,0,(IF(COUNTIF($MH97:$MK97,"Salto")&gt;0,1,0)+IF(COUNTIF($MH97:$MK97,"Queima")&gt;0,1,0)+IF(COUNTIF($MH97:$MK97,"Estilhaço")&gt;0,1,0))*FLOOR($OM97/2,1))</f>
        <v/>
      </c>
      <c r="OO97" s="152">
        <f>MAX(0,2-SUMPRODUCT($NV97:$OA97,$I$2:$N$2)+MIN(2,$OB97*1+$OC97*1,SUMPRODUCT($NV97:$OA97,$I$2:$N$2)))</f>
        <v/>
      </c>
      <c r="OP97" s="152">
        <f>MAX(0,4-SUMPRODUCT($NV97:$OA97,$I$3:$N$3)+MIN(4,$OB97*1+$OC97*2,SUMPRODUCT($NV97:$OA97,$I$3:$N$3)))</f>
        <v/>
      </c>
      <c r="OQ97" s="152">
        <f>MAX(0,6-SUMPRODUCT($NV97:$OA97,$I$4:$N$4)+MIN(6,$OB97*2+$OC97*3,SUMPRODUCT($NV97:$OA97,$I$4:$N$4)))</f>
        <v/>
      </c>
      <c r="OR97" s="152">
        <f>MAX(0,9-SUMPRODUCT($NV97:$OA97,$I$5:$N$5)+MIN(8,$OB97*2+$OC97*4,SUMPRODUCT($NV97:$OA97,$I$5:$N$5)))</f>
        <v/>
      </c>
      <c r="OS97" s="152">
        <f>MAX(0,11-SUMPRODUCT($NV97:$OA97,$I$6:$N$6)+MIN(10,$OB97*3+$OC97*5,SUMPRODUCT($NV97:$OA97,$I$6:$N$6)))</f>
        <v/>
      </c>
      <c r="OT97" s="152">
        <f>MAX(0,13-SUMPRODUCT($NV97:$OA97,$I$7:$N$7)+MIN(12,$OB97*3+$OC97*6,SUMPRODUCT($NV97:$OA97,$I$7:$N$7)))</f>
        <v/>
      </c>
      <c r="OU97" s="152">
        <f>MAX(0,16-SUMPRODUCT($NV97:$OA97,$I$8:$N$8)+MIN(14,$OB97*4+$OC97*7,SUMPRODUCT($NV97:$OA97,$I$8:$N$8)))</f>
        <v/>
      </c>
      <c r="OV97" s="152">
        <f>IF($NP97=2,3*$OO97&amp;" de vida temp.",IF($NP97=3,"sem dano",IF($OO97=0,IF($NP97=1,"sem cura","sem dano"),IF($NP97=1,"cura ","")&amp;$OO97&amp;"d8")))</f>
        <v/>
      </c>
      <c r="OW97" s="152">
        <f>IF($NP97=2,3*$OP97&amp;" de vida temp.",IF($NP97=3,"sem dano",IF($OP97=0,IF($NP97=1,"sem cura","sem dano"),IF($NP97=1,"cura ","")&amp;$OP97&amp;"d8")))</f>
        <v/>
      </c>
      <c r="OX97" s="152">
        <f>IF($NP97=2,3*$OQ97&amp;" de vida temp.",IF($NP97=3,"sem dano",IF($OQ97=0,IF($NP97=1,"sem cura","sem dano"),IF($NP97=1,"cura ","")&amp;$OQ97&amp;"d8")))</f>
        <v/>
      </c>
      <c r="OY97" s="152">
        <f>IF($NP97=2,3*$OR97&amp;" de vida temp.",IF($NP97=3,"sem dano",IF($OR97=0,IF($NP97=1,"sem cura","sem dano"),IF($NP97=1,"cura ","")&amp;$OR97&amp;"d8")))</f>
        <v/>
      </c>
      <c r="OZ97" s="152">
        <f>IF($NP97=2,3*$OS97&amp;" de vida temp.",IF($NP97=3,"sem dano",IF($OS97=0,IF($NP97=1,"sem cura","sem dano"),IF($NP97=1,"cura ","")&amp;$OS97&amp;"d8")))</f>
        <v/>
      </c>
      <c r="PA97" s="152">
        <f>IF($NP97=2,3*$OT97&amp;" de vida temp.",IF($NP97=3,"sem dano",IF($OT97=0,IF($NP97=1,"sem cura","sem dano"),IF($NP97=1,"cura ","")&amp;$OT97&amp;"d8")))</f>
        <v/>
      </c>
      <c r="PB97" s="152">
        <f>IF($NP97=2,3*$OU97&amp;" de vida temp.",IF($NP97=3,"sem dano",IF($OU97=0,IF($NP97=1,"sem cura","sem dano"),IF($NP97=1,"cura ","")&amp;$OU97&amp;"d8")))</f>
        <v/>
      </c>
      <c r="PC97" s="152">
        <f>IF($MN97=0,"",TEXTJOIN(" · ",TRUE,IF($MA97&gt;$MO97,"Este lugar abre no nível "&amp;$MA97,""),IF($MC97&gt;$MP97,"Classe "&amp;$MC97&amp;": o nível "&amp;$MO97&amp;" libera até a "&amp;$MP97,""),IF($NH97=1,"A Forma "&amp;$ME97&amp;" pede "&amp;INDEX($W$2:$W$11,$MT97)&amp;" aberta",""),IF(AND($MC97=0,$MT97&gt;0,IF($MT97=0,0,INDEX($AF$2:$AF$11,$MT97))=0),$ME97&amp;" não existe na Classe 0",""),IF($NI97=1,"Família Fechada: "&amp;$MH97,""),IF($NJ97=1,"Família Fechada: "&amp;$MI97,""),IF($NK97=1,"Família Fechada: "&amp;$MJ97,""),IF($NL97=1,"Família Fechada: "&amp;$MK97,""),IF(AND($MC97&gt;0,$OD97&gt;INDEX($O$2:$O$8,MAX(1,$MC97))),$OD97&amp;" Melhorias: a Classe "&amp;$MC97&amp;" aceita "&amp;INDEX($O$2:$O$8,MAX(1,$MC97)),""),IF(AND($MC97=0,$OD97&gt;1),"A básica aceita uma Melhoria",""),IF(AND($MC97=0,COUNTIF($MY97:$NB97,"&gt;1")&gt;0),"A básica só aceita Melhoria Leve",""),IF(AND($MC97&gt;0,$OE97&gt;2),$OE97&amp;" Restrições"&amp;IF($NO97=1,", contando a que a Forma "&amp;$ME97&amp;" já traz","")&amp;": o limite é 2",""),IF(AND($MC97=0,COUNTIF($ML97:$MM97,"?*")&gt;1),"A básica aceita uma Restrição Leve",""),IF(AND($MC97=0,COUNTIF($NR97:$NS97,2)&gt;0),"A básica só aceita Restrição Leve",""),IF(AND($MC97&gt;0,$OL97&lt;0),"Orçamento estourado: faltam "&amp;(-$OL97)&amp;IF($OL97&lt;-1," pontos"," ponto"),""),IF(IFERROR(VLOOKUP($ML97,$BB$2:$BF$24,4,FALSE),0)+IFERROR(VLOOKUP($MM97,$BB$2:$BF$24,4,FALSE),0)&gt;1,$NT97&amp;" e "&amp;$NU97&amp;" são as duas de frequência",""),IF(AND((COUNTIF($MH97:$MK97,"Rápido")+COUNTIF($NT97:$NU97,"Rápido"))&gt;0,(COUNTIF($MH97:$MK97,"Atrasar")+COUNTIF($NT97:$NU97,"Atrasar"))&gt;0),"Rápido não entra com Atrasar",""),IF(AND((COUNTIF($MH97:$MK97,"Reação")+COUNTIF($NT97:$NU97,"Reação"))&gt;0,(COUNTIF($MH97:$MK97,"Rápido")+COUNTIF($NT97:$NU97,"Rápido"))&gt;0),"Reação não entra com Rápido",""),IF(AND((COUNTIF($MH97:$MK97,"Reação")+COUNTIF($NT97:$NU97,"Reação"))&gt;0,(COUNTIF($MH97:$MK97,"Armado")+COUNTIF($NT97:$NU97,"Armado"))&gt;0),"Reação não entra com Armado",""),IF(AND((COUNTIF($MH97:$MK97,"Reação")+COUNTIF($NT97:$NU97,"Reação"))&gt;0,(COUNTIF($MH97:$MK97,"Atrasar")+COUNTIF($NT97:$NU97,"Atrasar"))&gt;0),"Reação não entra com Atrasar",""),IF(AND((COUNTIF($MH97:$MK97,"Reação")+COUNTIF($NT97:$NU97,"Reação"))&gt;0,(COUNTIF($MH97:$MK97,"Parado")+COUNTIF($NT97:$NU97,"Parado"))&gt;0),"Reação não entra com Parado",""),IF(AND((COUNTIF($MH97:$MK97,"Atrasar")+COUNTIF($NT97:$NU97,"Atrasar"))&gt;0,(COUNTIF($MH97:$MK97,"Parado")+COUNTIF($NT97:$NU97,"Parado"))&gt;0),"Atrasar não entra com Parado",""),IF(AND((COUNTIF($MH97:$MK97,"Armado")+COUNTIF($NT97:$NU97,"Armado"))&gt;0,(COUNTIF($MH97:$MK97,"Carregar")+COUNTIF($NT97:$NU97,"Carregar"))&gt;0),"Armado não entra com Carregar",""),IF(AND(COUNTIF($NT97:$NU97,"Corpo a Corpo")&gt;0,$NO97=0,OR($ME97="Cone",$ME97="Linha")),"Corpo a Corpo não entra em "&amp;$ME97,""),IF(AND(COUNTIF($NT97:$NU97,"Corpo a Corpo")&gt;0,$NO97=1),"A Forma "&amp;$ME97&amp;" já traz o Corpo a Corpo",""),IF(AND(COUNTIF($NT97:$NU97,"Tudo ou Nada")&gt;0,$NQ97=0),"Tudo ou Nada só entra em habilidade de Teste de Resistência",""),IF(AND(COUNTIF($MH97:$MK97,"Inescapável")&gt;0,OR($OD97&gt;1,$OE97&gt;0)),"Inescapável não aceita outra peça",""),IF(AND($MC97&gt;0,$OM97*IF(COUNTIF($MH97:$MK97,"Remate")&gt;0,1.25,1)+$ON97&gt;4*$MC97),($OM97*IF(COUNTIF($MH97:$MK97,"Remate")&gt;0,1.25,1)+$ON97)&amp;" dados somando repetições"&amp;IF(COUNTIF($MH97:$MK97,"Remate")&gt;0," e o Remate","")&amp;": o teto da Classe "&amp;$MC97&amp;" é "&amp;4*$MC97,"")))</f>
        <v/>
      </c>
      <c r="PD97" s="152">
        <f>IF($PC97="",0,(LEN($PC97)-LEN(SUBSTITUTE($PC97," · ","")))/3+1)</f>
        <v/>
      </c>
      <c r="PE97" s="152">
        <f>IF($MN97=0,"",TEXTJOIN(" · ",TRUE,IF($OG97&gt;2*$MC97,"A devolução parou no teto de "&amp;2*$MC97,""),IF($OJ97&gt;0,"Devolução perdida: "&amp;$OJ97&amp;IF($OJ97&gt;1," pontos"," ponto")&amp;" sem peça para pagar",""),IF(AND($NM97&gt;0,AND($MC97&gt;0,$NP97=0),$OM97=0),"Controle sem dano: uma rodada a mais e CD +2",""),IF(AND($NM97&gt;0,AND($MC97&gt;0,$NP97=0),$OM97&gt;0,$OM97&lt;=$MC97),"Controle com saldo até a Classe: uma rodada a mais",""),IF(AND($MC97&gt;0,$NN97&lt;&gt;""),"Efeito de "&amp;$NN97&amp;" pela Classe "&amp;MAX(1,$MC97-1),"")))</f>
        <v/>
      </c>
      <c r="PF97" s="152">
        <f>IF($PE97="",0,(LEN($PE97)-LEN(SUBSTITUTE($PE97," · ","")))/3+1)</f>
        <v/>
      </c>
      <c r="PG97" s="152">
        <f>IF($MN97=0,IF($OD97+COUNTIF($ML97:$MM97,"?*")&gt;0,"Dê um nome",""),IF($PD97&gt;0,"⚠ "&amp;$PD97&amp;IF($PD97&gt;1," erros"," erro"),IF($PF97&gt;0,"! "&amp;$PF97&amp;IF($PF97&gt;1," avisos"," aviso"),"Na regra")))</f>
        <v/>
      </c>
      <c r="PH97" s="152">
        <f>IF($MN97=0,"",IF($PD97+$PF97=0,"Dentro das regras que a ficha confere",$PC97&amp;IF(AND($PD97&gt;0,$PF97&gt;0)," · ","")&amp;$PE97))</f>
        <v/>
      </c>
      <c r="PI97" s="152">
        <f>IF($MA97&gt;$MO97,$MB97&amp;" · ABRE NO NÍVEL "&amp;$MA97,$MB97)</f>
        <v/>
      </c>
      <c r="PJ97" s="152">
        <f>IF($MN97=0,"",IF($MC97=0,"Sem PE",3*$MC97&amp;" PE"))</f>
        <v/>
      </c>
      <c r="PK97" s="152">
        <f>IF($MN97=0,"",IF($MC97=0,"A atuação básica dela",IF(COUNTIF($NT97:$NU97,"Atrasar")&gt;0,"Sua Ação Completa",IF(COUNTIF($MH97:$MK97,"Rápido")&gt;0,"Sua Bônus",IF(COUNTIF($MH97:$MK97,"Reação")&gt;0,"Sua Reação","Sua Padrão")))&amp;" + a básica dela"&amp;IF(COUNTIF($MH97:$MK97,"Reação")&gt;0," e a coletiva","")&amp;IF(COUNTIF($NT97:$NU97,"Carregar")&gt;0," · em dois turnos","")))</f>
        <v/>
      </c>
      <c r="PL97" s="152">
        <f>IF($MG97&lt;&gt;"",$MG97,IF($MT97=0,"",INDEX($AA$2:$AA$11,$MT97)))</f>
        <v/>
      </c>
      <c r="PM97" s="152">
        <f>IF(OR($MN97=0,$MT97=0),"",IF(COUNTIF($MH97:$MK97,"Inescapável")&gt;0,"Automático",IF($PL97="Ataque",IF($MR97="","Ataque","Ataque "&amp;IF(($MR97+2*IF(COUNTIF($MH97:$MK97,"Precisão")&gt;0,1,0))&gt;=0,"+","−")&amp;ABS(($MR97+2*IF(COUNTIF($MH97:$MK97,"Precisão")&gt;0,1,0)))),IF(LEFT($PL97,2)="TR",$PL97&amp;IF($MS97="",""," · CD "&amp;$MS97)&amp;IF(COUNTIF($MH97:$MK97,"Certeiro")&gt;0," · metade",""),"Sem rolagem"))))</f>
        <v/>
      </c>
      <c r="PN97" s="152">
        <f>IF(OR($MN97=0,$MT97=0),"",IF($MC97=0,IF(OR($NP97&gt;=1,$OM97=0),"Sem dano",$OM97&amp;"d6"&amp;IF($MF97="",""," "&amp;$MF97)),IF(OR($NP97&gt;=1,$OM97=0),UPPER(LEFT(INDEX($OV97:$PB97,1,MAX(1,$MC97)),1))&amp;MID(INDEX($OV97:$PB97,1,MAX(1,$MC97)),2,99),UPPER(LEFT(INDEX($OV97:$PB97,1,MAX(1,$MC97)),1))&amp;MID(INDEX($OV97:$PB97,1,MAX(1,$MC97)),2,99)&amp;IF($MF97="",""," "&amp;$MF97)&amp;IF($ON97&gt;0," · +"&amp;$ON97&amp;"d8",""))))</f>
        <v/>
      </c>
      <c r="PO97" s="152">
        <f>COUNTIF($MH97:$MK97,"Longe")+3*COUNTIF($MH97:$MK97,"Muito Longe")</f>
        <v/>
      </c>
      <c r="PP97" s="152">
        <f>COUNTIF($MH97:$MK97,"Maior")+3*COUNTIF($MH97:$MK97,"Muito Maior")</f>
        <v/>
      </c>
      <c r="PQ97" s="152">
        <f>IF($MT97=0,0,CHOOSE(1+INDEX($AC$2:$AC$11,$MT97),0,$PO97,$PP97,$PO97+$PP97))</f>
        <v/>
      </c>
      <c r="PR97" s="152">
        <f>IF($MT97=0,0,CHOOSE(1+INDEX($AD$2:$AD$11,$MT97),0,$PO97,$PP97,$PO97+$PP97))</f>
        <v/>
      </c>
      <c r="PS97" s="152">
        <f>IF(OR($MN97=0,$MT97=0),"",INDEX($AI$2:$AN$41,($MT97-1)*4+IF($MC97=0,1,IF($MC97&lt;=5,2,IF($MC97=6,3,4))),1+MIN(5,$PQ97))&amp;INDEX($AO$2:$AT$41,($MT97-1)*4+IF($MC97=0,1,IF($MC97&lt;=5,2,IF($MC97=6,3,4))),1+MIN(5,$PR97))&amp;IF(INDEX($AE$2:$AE$11,$MT97)=1,IF(COUNTIF($MH97:$MK97,"Mais Um")&gt;0," · +"&amp;COUNTIF($MH97:$MK97,"Mais Um")&amp;IF(COUNTIF($MH97:$MK97,"Mais Um")&gt;1," alvos"," alvo"),"")&amp;IF(COUNTIF($MH97:$MK97,"Rajada")&gt;0,IF($MC97=0," · 1 tiro"," · "&amp;(MAX(1,$MC97-1)+1)&amp;" tiros"),""),""))</f>
        <v/>
      </c>
      <c r="PT97" s="152">
        <f>IF($MN97=0,"",IF($MC97=0,$MQ97&amp;"d6"&amp;IF($OD97&gt;0," − 1 = "&amp;$OM97&amp;"d6"," da básica do nível "&amp;$MO97),$OK97&amp;" − "&amp;$OF97&amp;" + "&amp;$OI97&amp;" = "&amp;$OL97&amp;" · teto "&amp;4*$MC97&amp;"d8"&amp;IF($NO97=1," · a Forma devolve "&amp;$MC97,"")&amp;IF($OJ97&gt;0," · perde "&amp;$OJ97,"")))</f>
        <v/>
      </c>
      <c r="PU97" s="152">
        <f>IF($MN97=0,"",IF($MC97=0,"A básica não amplia: os dados dela sobem com o nível",IF($MC97&gt;=$MP97,"Já está na maior Classe que o nível liberou",TEXTJOIN(" · ",TRUE,IF(AND(2&gt;$MC97,2&lt;=$MP97),"2 → "&amp;$OW97&amp;", 6 PE",""),IF(AND(3&gt;$MC97,3&lt;=$MP97),"3 → "&amp;$OX97&amp;", 9 PE",""),IF(AND(4&gt;$MC97,4&lt;=$MP97),"4 → "&amp;$OY97&amp;", 12 PE",""),IF(AND(5&gt;$MC97,5&lt;=$MP97),"5 → "&amp;$OZ97&amp;", 15 PE",""),IF(AND(6&gt;$MC97,6&lt;=$MP97),"6 → "&amp;$PA97&amp;", 18 PE",""),IF(AND(7&gt;$MC97,7&lt;=$MP97),"7 → "&amp;$PB97&amp;", 21 PE","")))))</f>
        <v/>
      </c>
      <c r="PV97" s="152">
        <f>IF(OR($MN97=0,$MY97=0),"",IF($MC97=0,"−1 dado","−"&amp;INDEX($I$2:$N$8,MAX(1,$MC97),MAX(1,$ND97))&amp;" · "&amp;CHOOSE(MAX(1,$ND97),"Leve","Média","Pesada","Leve · Livre","Média · Livre","Pesada · Livre")))</f>
        <v/>
      </c>
      <c r="PW97" s="152">
        <f>IF(OR($MN97=0,$MZ97=0),"",IF($MC97=0,"−1 dado","−"&amp;INDEX($I$2:$N$8,MAX(1,$MC97),MAX(1,$NE97))&amp;" · "&amp;CHOOSE(MAX(1,$NE97),"Leve","Média","Pesada","Leve · Livre","Média · Livre","Pesada · Livre")))</f>
        <v/>
      </c>
      <c r="PX97" s="152">
        <f>IF(OR($MN97=0,$NA97=0),"",IF($MC97=0,"−1 dado","−"&amp;INDEX($I$2:$N$8,MAX(1,$MC97),MAX(1,$NF97))&amp;" · "&amp;CHOOSE(MAX(1,$NF97),"Leve","Média","Pesada","Leve · Livre","Média · Livre","Pesada · Livre")))</f>
        <v/>
      </c>
      <c r="PY97" s="152">
        <f>IF(OR($MN97=0,$NB97=0),"",IF($MC97=0,"−1 dado","−"&amp;INDEX($I$2:$N$8,MAX(1,$MC97),MAX(1,$NG97))&amp;" · "&amp;CHOOSE(MAX(1,$NG97),"Leve","Média","Pesada","Leve · Livre","Média · Livre","Pesada · Livre")))</f>
        <v/>
      </c>
      <c r="PZ97" s="152">
        <f>IF(OR($MN97=0,$ML97=""),"",IF($MC97=0,"não devolve","+"&amp;IF($NR97=1,CEILING($MC97/2,1),$MC97)))</f>
        <v/>
      </c>
      <c r="QA97" s="152">
        <f>IF(OR($MN97=0,$MM97=""),"",IF($MC97=0,"não devolve","+"&amp;IF($NS97=1,CEILING($MC97/2,1),$MC97)))</f>
        <v/>
      </c>
    </row>
    <row r="98">
      <c r="LX98" s="150" t="inlineStr">
        <is>
          <t>Ficha 8 · Especial 4</t>
        </is>
      </c>
      <c r="LY98" s="152" t="n">
        <v>8</v>
      </c>
      <c r="LZ98" s="152" t="n">
        <v>1</v>
      </c>
      <c r="MA98" s="152" t="n">
        <v>12</v>
      </c>
      <c r="MB98" s="150" t="inlineStr">
        <is>
          <t>ESPECIAL 4</t>
        </is>
      </c>
      <c r="MC98" s="152">
        <f>MAX(1,MIN(7,N('INVOCAÇÕES'!$AN$290)))</f>
        <v/>
      </c>
      <c r="MD98" s="152">
        <f>'INVOCAÇÕES'!$AO$290&amp;""</f>
        <v/>
      </c>
      <c r="ME98" s="152">
        <f>'INVOCAÇÕES'!$AN$295&amp;""</f>
        <v/>
      </c>
      <c r="MF98" s="152">
        <f>'INVOCAÇÕES'!$AN$296&amp;""</f>
        <v/>
      </c>
      <c r="MG98" s="152">
        <f>'INVOCAÇÕES'!$AP$296&amp;""</f>
        <v/>
      </c>
      <c r="MH98" s="152">
        <f>'INVOCAÇÕES'!$AO$299&amp;""</f>
        <v/>
      </c>
      <c r="MI98" s="152">
        <f>'INVOCAÇÕES'!$AO$300&amp;""</f>
        <v/>
      </c>
      <c r="MJ98" s="152">
        <f>'INVOCAÇÕES'!$AO$301&amp;""</f>
        <v/>
      </c>
      <c r="MK98" s="152">
        <f>'INVOCAÇÕES'!$AO$302&amp;""</f>
        <v/>
      </c>
      <c r="ML98" s="152">
        <f>'INVOCAÇÕES'!$AO$303&amp;""</f>
        <v/>
      </c>
      <c r="MM98" s="152">
        <f>'INVOCAÇÕES'!$AO$304&amp;""</f>
        <v/>
      </c>
      <c r="MN98" s="152">
        <f>IF($MD98&lt;&gt;"",1,0)</f>
        <v/>
      </c>
      <c r="MO98" s="152">
        <f>INDEX($FG$2:$FG$13,$LY98)</f>
        <v/>
      </c>
      <c r="MP98" s="152">
        <f>INDEX($FH$2:$FH$13,$LY98)</f>
        <v/>
      </c>
      <c r="MQ98" s="152">
        <f>INDEX($FI$2:$FI$13,$LY98)</f>
        <v/>
      </c>
      <c r="MR98" s="152">
        <f>INDEX($FT$2:$FT$13,$LY98)</f>
        <v/>
      </c>
      <c r="MS98" s="152">
        <f>INDEX($FU$2:$FU$13,$LY98)</f>
        <v/>
      </c>
      <c r="MT98" s="152">
        <f>IFERROR(MATCH($ME98,$V$2:$V$11,0),0)</f>
        <v/>
      </c>
      <c r="MU98" s="152">
        <f>IFERROR(VLOOKUP($MH98,$AV$2:$AZ$84,2,FALSE),"")</f>
        <v/>
      </c>
      <c r="MV98" s="152">
        <f>IFERROR(VLOOKUP($MI98,$AV$2:$AZ$84,2,FALSE),"")</f>
        <v/>
      </c>
      <c r="MW98" s="152">
        <f>IFERROR(VLOOKUP($MJ98,$AV$2:$AZ$84,2,FALSE),"")</f>
        <v/>
      </c>
      <c r="MX98" s="152">
        <f>IFERROR(VLOOKUP($MK98,$AV$2:$AZ$84,2,FALSE),"")</f>
        <v/>
      </c>
      <c r="MY98" s="152">
        <f>IFERROR(VLOOKUP($MH98,$AV$2:$AZ$84,3,FALSE),0)</f>
        <v/>
      </c>
      <c r="MZ98" s="152">
        <f>IFERROR(VLOOKUP($MI98,$AV$2:$AZ$84,3,FALSE),0)</f>
        <v/>
      </c>
      <c r="NA98" s="152">
        <f>IFERROR(VLOOKUP($MJ98,$AV$2:$AZ$84,3,FALSE),0)</f>
        <v/>
      </c>
      <c r="NB98" s="152">
        <f>IFERROR(VLOOKUP($MK98,$AV$2:$AZ$84,3,FALSE),0)</f>
        <v/>
      </c>
      <c r="NC98" s="152">
        <f>IF($MC98=0,0,IF($MT98=0,0,INDEX($X$2:$X$11,$MT98)))</f>
        <v/>
      </c>
      <c r="ND98" s="152">
        <f>IF(OR($MY98=0,$MC98=0),0,$MY98+3*IF(AND($MU98&lt;&gt;"",OR($MU98=INDEX($ED$2:$ED$13,$LY98),$MU98=INDEX($EE$2:$EE$13,$LY98))),1,0))</f>
        <v/>
      </c>
      <c r="NE98" s="152">
        <f>IF(OR($MZ98=0,$MC98=0),0,$MZ98+3*IF(AND($MV98&lt;&gt;"",OR($MV98=INDEX($ED$2:$ED$13,$LY98),$MV98=INDEX($EE$2:$EE$13,$LY98))),1,0))</f>
        <v/>
      </c>
      <c r="NF98" s="152">
        <f>IF(OR($NA98=0,$MC98=0),0,$NA98+3*IF(AND($MW98&lt;&gt;"",OR($MW98=INDEX($ED$2:$ED$13,$LY98),$MW98=INDEX($EE$2:$EE$13,$LY98))),1,0))</f>
        <v/>
      </c>
      <c r="NG98" s="152">
        <f>IF(OR($NB98=0,$MC98=0),0,$NB98+3*IF(AND($MX98&lt;&gt;"",OR($MX98=INDEX($ED$2:$ED$13,$LY98),$MX98=INDEX($EE$2:$EE$13,$LY98))),1,0))</f>
        <v/>
      </c>
      <c r="NH98" s="152">
        <f>IF($MT98=0,0,IF(INDEX($W$2:$W$11,$MT98)="",0,IF(COUNTIF(INDEX($ED$2:$EH$13,$LY98,0),INDEX($W$2:$W$11,$MT98))=0,1,0)))</f>
        <v/>
      </c>
      <c r="NI98" s="152">
        <f>IF(OR($MY98=0,$MU98=""),0,IF(COUNTIF(INDEX($ED$2:$EH$13,$LY98,0),$MU98)=0,1,0))</f>
        <v/>
      </c>
      <c r="NJ98" s="152">
        <f>IF(OR($MZ98=0,$MV98=""),0,IF(COUNTIF(INDEX($ED$2:$EH$13,$LY98,0),$MV98)=0,1,0))</f>
        <v/>
      </c>
      <c r="NK98" s="152">
        <f>IF(OR($NA98=0,$MW98=""),0,IF(COUNTIF(INDEX($ED$2:$EH$13,$LY98,0),$MW98)=0,1,0))</f>
        <v/>
      </c>
      <c r="NL98" s="152">
        <f>IF(OR($NB98=0,$MX98=""),0,IF(COUNTIF(INDEX($ED$2:$EH$13,$LY98,0),$MX98)=0,1,0))</f>
        <v/>
      </c>
      <c r="NM98" s="152">
        <f>IFERROR(VLOOKUP($MH98,$AV$2:$AZ$84,4,FALSE),0)+IFERROR(VLOOKUP($MI98,$AV$2:$AZ$84,4,FALSE),0)+IFERROR(VLOOKUP($MJ98,$AV$2:$AZ$84,4,FALSE),0)+IFERROR(VLOOKUP($MK98,$AV$2:$AZ$84,4,FALSE),0)</f>
        <v/>
      </c>
      <c r="NN98" s="152">
        <f>TEXTJOIN(", ",TRUE,IF(IFERROR(VLOOKUP($MH98,$AV$2:$AZ$84,5,FALSE),0)=1,$MH98,""),IF(IFERROR(VLOOKUP($MI98,$AV$2:$AZ$84,5,FALSE),0)=1,$MI98,""),IF(IFERROR(VLOOKUP($MJ98,$AV$2:$AZ$84,5,FALSE),0)=1,$MJ98,""),IF(IFERROR(VLOOKUP($MK98,$AV$2:$AZ$84,5,FALSE),0)=1,$MK98,""))</f>
        <v/>
      </c>
      <c r="NO98" s="152">
        <f>IF($MT98=0,0,INDEX($Y$2:$Y$11,$MT98))</f>
        <v/>
      </c>
      <c r="NP98" s="152">
        <f>IF($MT98=0,0,INDEX($Z$2:$Z$11,$MT98))</f>
        <v/>
      </c>
      <c r="NQ98" s="152">
        <f>IF($MT98=0,0,INDEX($AB$2:$AB$11,$MT98))</f>
        <v/>
      </c>
      <c r="NR98" s="152">
        <f>IFERROR(VLOOKUP($ML98,$BB$2:$BF$24,3,FALSE),0)</f>
        <v/>
      </c>
      <c r="NS98" s="152">
        <f>IFERROR(VLOOKUP($MM98,$BB$2:$BF$24,3,FALSE),0)</f>
        <v/>
      </c>
      <c r="NT98" s="152">
        <f>IFERROR(VLOOKUP($ML98,$BB$2:$BF$24,2,FALSE),"")</f>
        <v/>
      </c>
      <c r="NU98" s="152">
        <f>IFERROR(VLOOKUP($MM98,$BB$2:$BF$24,2,FALSE),"")</f>
        <v/>
      </c>
      <c r="NV98" s="152">
        <f>COUNTIF($NC98:$NG98,1)</f>
        <v/>
      </c>
      <c r="NW98" s="152">
        <f>COUNTIF($NC98:$NG98,2)</f>
        <v/>
      </c>
      <c r="NX98" s="152">
        <f>COUNTIF($NC98:$NG98,3)</f>
        <v/>
      </c>
      <c r="NY98" s="152">
        <f>COUNTIF($NC98:$NG98,4)</f>
        <v/>
      </c>
      <c r="NZ98" s="152">
        <f>COUNTIF($NC98:$NG98,5)</f>
        <v/>
      </c>
      <c r="OA98" s="152">
        <f>COUNTIF($NC98:$NG98,6)</f>
        <v/>
      </c>
      <c r="OB98" s="152">
        <f>COUNTIF($NR98:$NS98,1)</f>
        <v/>
      </c>
      <c r="OC98" s="152">
        <f>COUNTIF($NR98:$NS98,2)+$NO98</f>
        <v/>
      </c>
      <c r="OD98" s="152">
        <f>COUNTIF($MH98:$MK98,"?*")</f>
        <v/>
      </c>
      <c r="OE98" s="152">
        <f>COUNTIF($ML98:$MM98,"?*")+$NO98</f>
        <v/>
      </c>
      <c r="OF98" s="152">
        <f>IF($MC98=0,0,SUMPRODUCT($NV98:$OA98,INDEX($I$2:$N$8,MAX(1,$MC98),0)))</f>
        <v/>
      </c>
      <c r="OG98" s="152">
        <f>IF($MC98=0,0,$OB98*CEILING($MC98/2,1)+$OC98*$MC98)</f>
        <v/>
      </c>
      <c r="OH98" s="152">
        <f>MIN(2*$MC98,$OG98)</f>
        <v/>
      </c>
      <c r="OI98" s="152">
        <f>MIN($OH98,$OF98)</f>
        <v/>
      </c>
      <c r="OJ98" s="152">
        <f>$OH98-$OI98</f>
        <v/>
      </c>
      <c r="OK98" s="152">
        <f>IF($MC98=0,0,INDEX($P$2:$P$8,MAX(1,$MC98)))</f>
        <v/>
      </c>
      <c r="OL98" s="152">
        <f>$OK98-$OF98+$OI98</f>
        <v/>
      </c>
      <c r="OM98" s="152">
        <f>IF($MC98=0,MAX(0,$MQ98-IF($OD98&gt;0,1,0)),MAX(0,$OL98))</f>
        <v/>
      </c>
      <c r="ON98" s="152">
        <f>IF($MC98=0,0,(IF(COUNTIF($MH98:$MK98,"Salto")&gt;0,1,0)+IF(COUNTIF($MH98:$MK98,"Queima")&gt;0,1,0)+IF(COUNTIF($MH98:$MK98,"Estilhaço")&gt;0,1,0))*FLOOR($OM98/2,1))</f>
        <v/>
      </c>
      <c r="OO98" s="152">
        <f>MAX(0,2-SUMPRODUCT($NV98:$OA98,$I$2:$N$2)+MIN(2,$OB98*1+$OC98*1,SUMPRODUCT($NV98:$OA98,$I$2:$N$2)))</f>
        <v/>
      </c>
      <c r="OP98" s="152">
        <f>MAX(0,4-SUMPRODUCT($NV98:$OA98,$I$3:$N$3)+MIN(4,$OB98*1+$OC98*2,SUMPRODUCT($NV98:$OA98,$I$3:$N$3)))</f>
        <v/>
      </c>
      <c r="OQ98" s="152">
        <f>MAX(0,6-SUMPRODUCT($NV98:$OA98,$I$4:$N$4)+MIN(6,$OB98*2+$OC98*3,SUMPRODUCT($NV98:$OA98,$I$4:$N$4)))</f>
        <v/>
      </c>
      <c r="OR98" s="152">
        <f>MAX(0,9-SUMPRODUCT($NV98:$OA98,$I$5:$N$5)+MIN(8,$OB98*2+$OC98*4,SUMPRODUCT($NV98:$OA98,$I$5:$N$5)))</f>
        <v/>
      </c>
      <c r="OS98" s="152">
        <f>MAX(0,11-SUMPRODUCT($NV98:$OA98,$I$6:$N$6)+MIN(10,$OB98*3+$OC98*5,SUMPRODUCT($NV98:$OA98,$I$6:$N$6)))</f>
        <v/>
      </c>
      <c r="OT98" s="152">
        <f>MAX(0,13-SUMPRODUCT($NV98:$OA98,$I$7:$N$7)+MIN(12,$OB98*3+$OC98*6,SUMPRODUCT($NV98:$OA98,$I$7:$N$7)))</f>
        <v/>
      </c>
      <c r="OU98" s="152">
        <f>MAX(0,16-SUMPRODUCT($NV98:$OA98,$I$8:$N$8)+MIN(14,$OB98*4+$OC98*7,SUMPRODUCT($NV98:$OA98,$I$8:$N$8)))</f>
        <v/>
      </c>
      <c r="OV98" s="152">
        <f>IF($NP98=2,3*$OO98&amp;" de vida temp.",IF($NP98=3,"sem dano",IF($OO98=0,IF($NP98=1,"sem cura","sem dano"),IF($NP98=1,"cura ","")&amp;$OO98&amp;"d8")))</f>
        <v/>
      </c>
      <c r="OW98" s="152">
        <f>IF($NP98=2,3*$OP98&amp;" de vida temp.",IF($NP98=3,"sem dano",IF($OP98=0,IF($NP98=1,"sem cura","sem dano"),IF($NP98=1,"cura ","")&amp;$OP98&amp;"d8")))</f>
        <v/>
      </c>
      <c r="OX98" s="152">
        <f>IF($NP98=2,3*$OQ98&amp;" de vida temp.",IF($NP98=3,"sem dano",IF($OQ98=0,IF($NP98=1,"sem cura","sem dano"),IF($NP98=1,"cura ","")&amp;$OQ98&amp;"d8")))</f>
        <v/>
      </c>
      <c r="OY98" s="152">
        <f>IF($NP98=2,3*$OR98&amp;" de vida temp.",IF($NP98=3,"sem dano",IF($OR98=0,IF($NP98=1,"sem cura","sem dano"),IF($NP98=1,"cura ","")&amp;$OR98&amp;"d8")))</f>
        <v/>
      </c>
      <c r="OZ98" s="152">
        <f>IF($NP98=2,3*$OS98&amp;" de vida temp.",IF($NP98=3,"sem dano",IF($OS98=0,IF($NP98=1,"sem cura","sem dano"),IF($NP98=1,"cura ","")&amp;$OS98&amp;"d8")))</f>
        <v/>
      </c>
      <c r="PA98" s="152">
        <f>IF($NP98=2,3*$OT98&amp;" de vida temp.",IF($NP98=3,"sem dano",IF($OT98=0,IF($NP98=1,"sem cura","sem dano"),IF($NP98=1,"cura ","")&amp;$OT98&amp;"d8")))</f>
        <v/>
      </c>
      <c r="PB98" s="152">
        <f>IF($NP98=2,3*$OU98&amp;" de vida temp.",IF($NP98=3,"sem dano",IF($OU98=0,IF($NP98=1,"sem cura","sem dano"),IF($NP98=1,"cura ","")&amp;$OU98&amp;"d8")))</f>
        <v/>
      </c>
      <c r="PC98" s="152">
        <f>IF($MN98=0,"",TEXTJOIN(" · ",TRUE,IF($MA98&gt;$MO98,"Este lugar abre no nível "&amp;$MA98,""),IF($MC98&gt;$MP98,"Classe "&amp;$MC98&amp;": o nível "&amp;$MO98&amp;" libera até a "&amp;$MP98,""),IF($NH98=1,"A Forma "&amp;$ME98&amp;" pede "&amp;INDEX($W$2:$W$11,$MT98)&amp;" aberta",""),IF(AND($MC98=0,$MT98&gt;0,IF($MT98=0,0,INDEX($AF$2:$AF$11,$MT98))=0),$ME98&amp;" não existe na Classe 0",""),IF($NI98=1,"Família Fechada: "&amp;$MH98,""),IF($NJ98=1,"Família Fechada: "&amp;$MI98,""),IF($NK98=1,"Família Fechada: "&amp;$MJ98,""),IF($NL98=1,"Família Fechada: "&amp;$MK98,""),IF(AND($MC98&gt;0,$OD98&gt;INDEX($O$2:$O$8,MAX(1,$MC98))),$OD98&amp;" Melhorias: a Classe "&amp;$MC98&amp;" aceita "&amp;INDEX($O$2:$O$8,MAX(1,$MC98)),""),IF(AND($MC98=0,$OD98&gt;1),"A básica aceita uma Melhoria",""),IF(AND($MC98=0,COUNTIF($MY98:$NB98,"&gt;1")&gt;0),"A básica só aceita Melhoria Leve",""),IF(AND($MC98&gt;0,$OE98&gt;2),$OE98&amp;" Restrições"&amp;IF($NO98=1,", contando a que a Forma "&amp;$ME98&amp;" já traz","")&amp;": o limite é 2",""),IF(AND($MC98=0,COUNTIF($ML98:$MM98,"?*")&gt;1),"A básica aceita uma Restrição Leve",""),IF(AND($MC98=0,COUNTIF($NR98:$NS98,2)&gt;0),"A básica só aceita Restrição Leve",""),IF(AND($MC98&gt;0,$OL98&lt;0),"Orçamento estourado: faltam "&amp;(-$OL98)&amp;IF($OL98&lt;-1," pontos"," ponto"),""),IF(IFERROR(VLOOKUP($ML98,$BB$2:$BF$24,4,FALSE),0)+IFERROR(VLOOKUP($MM98,$BB$2:$BF$24,4,FALSE),0)&gt;1,$NT98&amp;" e "&amp;$NU98&amp;" são as duas de frequência",""),IF(AND((COUNTIF($MH98:$MK98,"Rápido")+COUNTIF($NT98:$NU98,"Rápido"))&gt;0,(COUNTIF($MH98:$MK98,"Atrasar")+COUNTIF($NT98:$NU98,"Atrasar"))&gt;0),"Rápido não entra com Atrasar",""),IF(AND((COUNTIF($MH98:$MK98,"Reação")+COUNTIF($NT98:$NU98,"Reação"))&gt;0,(COUNTIF($MH98:$MK98,"Rápido")+COUNTIF($NT98:$NU98,"Rápido"))&gt;0),"Reação não entra com Rápido",""),IF(AND((COUNTIF($MH98:$MK98,"Reação")+COUNTIF($NT98:$NU98,"Reação"))&gt;0,(COUNTIF($MH98:$MK98,"Armado")+COUNTIF($NT98:$NU98,"Armado"))&gt;0),"Reação não entra com Armado",""),IF(AND((COUNTIF($MH98:$MK98,"Reação")+COUNTIF($NT98:$NU98,"Reação"))&gt;0,(COUNTIF($MH98:$MK98,"Atrasar")+COUNTIF($NT98:$NU98,"Atrasar"))&gt;0),"Reação não entra com Atrasar",""),IF(AND((COUNTIF($MH98:$MK98,"Reação")+COUNTIF($NT98:$NU98,"Reação"))&gt;0,(COUNTIF($MH98:$MK98,"Parado")+COUNTIF($NT98:$NU98,"Parado"))&gt;0),"Reação não entra com Parado",""),IF(AND((COUNTIF($MH98:$MK98,"Atrasar")+COUNTIF($NT98:$NU98,"Atrasar"))&gt;0,(COUNTIF($MH98:$MK98,"Parado")+COUNTIF($NT98:$NU98,"Parado"))&gt;0),"Atrasar não entra com Parado",""),IF(AND((COUNTIF($MH98:$MK98,"Armado")+COUNTIF($NT98:$NU98,"Armado"))&gt;0,(COUNTIF($MH98:$MK98,"Carregar")+COUNTIF($NT98:$NU98,"Carregar"))&gt;0),"Armado não entra com Carregar",""),IF(AND(COUNTIF($NT98:$NU98,"Corpo a Corpo")&gt;0,$NO98=0,OR($ME98="Cone",$ME98="Linha")),"Corpo a Corpo não entra em "&amp;$ME98,""),IF(AND(COUNTIF($NT98:$NU98,"Corpo a Corpo")&gt;0,$NO98=1),"A Forma "&amp;$ME98&amp;" já traz o Corpo a Corpo",""),IF(AND(COUNTIF($NT98:$NU98,"Tudo ou Nada")&gt;0,$NQ98=0),"Tudo ou Nada só entra em habilidade de Teste de Resistência",""),IF(AND(COUNTIF($MH98:$MK98,"Inescapável")&gt;0,OR($OD98&gt;1,$OE98&gt;0)),"Inescapável não aceita outra peça",""),IF(AND($MC98&gt;0,$OM98*IF(COUNTIF($MH98:$MK98,"Remate")&gt;0,1.25,1)+$ON98&gt;4*$MC98),($OM98*IF(COUNTIF($MH98:$MK98,"Remate")&gt;0,1.25,1)+$ON98)&amp;" dados somando repetições"&amp;IF(COUNTIF($MH98:$MK98,"Remate")&gt;0," e o Remate","")&amp;": o teto da Classe "&amp;$MC98&amp;" é "&amp;4*$MC98,"")))</f>
        <v/>
      </c>
      <c r="PD98" s="152">
        <f>IF($PC98="",0,(LEN($PC98)-LEN(SUBSTITUTE($PC98," · ","")))/3+1)</f>
        <v/>
      </c>
      <c r="PE98" s="152">
        <f>IF($MN98=0,"",TEXTJOIN(" · ",TRUE,IF($OG98&gt;2*$MC98,"A devolução parou no teto de "&amp;2*$MC98,""),IF($OJ98&gt;0,"Devolução perdida: "&amp;$OJ98&amp;IF($OJ98&gt;1," pontos"," ponto")&amp;" sem peça para pagar",""),IF(AND($NM98&gt;0,AND($MC98&gt;0,$NP98=0),$OM98=0),"Controle sem dano: uma rodada a mais e CD +2",""),IF(AND($NM98&gt;0,AND($MC98&gt;0,$NP98=0),$OM98&gt;0,$OM98&lt;=$MC98),"Controle com saldo até a Classe: uma rodada a mais",""),IF(AND($MC98&gt;0,$NN98&lt;&gt;""),"Efeito de "&amp;$NN98&amp;" pela Classe "&amp;MAX(1,$MC98-1),"")))</f>
        <v/>
      </c>
      <c r="PF98" s="152">
        <f>IF($PE98="",0,(LEN($PE98)-LEN(SUBSTITUTE($PE98," · ","")))/3+1)</f>
        <v/>
      </c>
      <c r="PG98" s="152">
        <f>IF($MN98=0,IF($OD98+COUNTIF($ML98:$MM98,"?*")&gt;0,"Dê um nome",""),IF($PD98&gt;0,"⚠ "&amp;$PD98&amp;IF($PD98&gt;1," erros"," erro"),IF($PF98&gt;0,"! "&amp;$PF98&amp;IF($PF98&gt;1," avisos"," aviso"),"Na regra")))</f>
        <v/>
      </c>
      <c r="PH98" s="152">
        <f>IF($MN98=0,"",IF($PD98+$PF98=0,"Dentro das regras que a ficha confere",$PC98&amp;IF(AND($PD98&gt;0,$PF98&gt;0)," · ","")&amp;$PE98))</f>
        <v/>
      </c>
      <c r="PI98" s="152">
        <f>IF($MA98&gt;$MO98,$MB98&amp;" · ABRE NO NÍVEL "&amp;$MA98,$MB98)</f>
        <v/>
      </c>
      <c r="PJ98" s="152">
        <f>IF($MN98=0,"",IF($MC98=0,"Sem PE",3*$MC98&amp;" PE"))</f>
        <v/>
      </c>
      <c r="PK98" s="152">
        <f>IF($MN98=0,"",IF($MC98=0,"A atuação básica dela",IF(COUNTIF($NT98:$NU98,"Atrasar")&gt;0,"Sua Ação Completa",IF(COUNTIF($MH98:$MK98,"Rápido")&gt;0,"Sua Bônus",IF(COUNTIF($MH98:$MK98,"Reação")&gt;0,"Sua Reação","Sua Padrão")))&amp;" + a básica dela"&amp;IF(COUNTIF($MH98:$MK98,"Reação")&gt;0," e a coletiva","")&amp;IF(COUNTIF($NT98:$NU98,"Carregar")&gt;0," · em dois turnos","")))</f>
        <v/>
      </c>
      <c r="PL98" s="152">
        <f>IF($MG98&lt;&gt;"",$MG98,IF($MT98=0,"",INDEX($AA$2:$AA$11,$MT98)))</f>
        <v/>
      </c>
      <c r="PM98" s="152">
        <f>IF(OR($MN98=0,$MT98=0),"",IF(COUNTIF($MH98:$MK98,"Inescapável")&gt;0,"Automático",IF($PL98="Ataque",IF($MR98="","Ataque","Ataque "&amp;IF(($MR98+2*IF(COUNTIF($MH98:$MK98,"Precisão")&gt;0,1,0))&gt;=0,"+","−")&amp;ABS(($MR98+2*IF(COUNTIF($MH98:$MK98,"Precisão")&gt;0,1,0)))),IF(LEFT($PL98,2)="TR",$PL98&amp;IF($MS98="",""," · CD "&amp;$MS98)&amp;IF(COUNTIF($MH98:$MK98,"Certeiro")&gt;0," · metade",""),"Sem rolagem"))))</f>
        <v/>
      </c>
      <c r="PN98" s="152">
        <f>IF(OR($MN98=0,$MT98=0),"",IF($MC98=0,IF(OR($NP98&gt;=1,$OM98=0),"Sem dano",$OM98&amp;"d6"&amp;IF($MF98="",""," "&amp;$MF98)),IF(OR($NP98&gt;=1,$OM98=0),UPPER(LEFT(INDEX($OV98:$PB98,1,MAX(1,$MC98)),1))&amp;MID(INDEX($OV98:$PB98,1,MAX(1,$MC98)),2,99),UPPER(LEFT(INDEX($OV98:$PB98,1,MAX(1,$MC98)),1))&amp;MID(INDEX($OV98:$PB98,1,MAX(1,$MC98)),2,99)&amp;IF($MF98="",""," "&amp;$MF98)&amp;IF($ON98&gt;0," · +"&amp;$ON98&amp;"d8",""))))</f>
        <v/>
      </c>
      <c r="PO98" s="152">
        <f>COUNTIF($MH98:$MK98,"Longe")+3*COUNTIF($MH98:$MK98,"Muito Longe")</f>
        <v/>
      </c>
      <c r="PP98" s="152">
        <f>COUNTIF($MH98:$MK98,"Maior")+3*COUNTIF($MH98:$MK98,"Muito Maior")</f>
        <v/>
      </c>
      <c r="PQ98" s="152">
        <f>IF($MT98=0,0,CHOOSE(1+INDEX($AC$2:$AC$11,$MT98),0,$PO98,$PP98,$PO98+$PP98))</f>
        <v/>
      </c>
      <c r="PR98" s="152">
        <f>IF($MT98=0,0,CHOOSE(1+INDEX($AD$2:$AD$11,$MT98),0,$PO98,$PP98,$PO98+$PP98))</f>
        <v/>
      </c>
      <c r="PS98" s="152">
        <f>IF(OR($MN98=0,$MT98=0),"",INDEX($AI$2:$AN$41,($MT98-1)*4+IF($MC98=0,1,IF($MC98&lt;=5,2,IF($MC98=6,3,4))),1+MIN(5,$PQ98))&amp;INDEX($AO$2:$AT$41,($MT98-1)*4+IF($MC98=0,1,IF($MC98&lt;=5,2,IF($MC98=6,3,4))),1+MIN(5,$PR98))&amp;IF(INDEX($AE$2:$AE$11,$MT98)=1,IF(COUNTIF($MH98:$MK98,"Mais Um")&gt;0," · +"&amp;COUNTIF($MH98:$MK98,"Mais Um")&amp;IF(COUNTIF($MH98:$MK98,"Mais Um")&gt;1," alvos"," alvo"),"")&amp;IF(COUNTIF($MH98:$MK98,"Rajada")&gt;0,IF($MC98=0," · 1 tiro"," · "&amp;(MAX(1,$MC98-1)+1)&amp;" tiros"),""),""))</f>
        <v/>
      </c>
      <c r="PT98" s="152">
        <f>IF($MN98=0,"",IF($MC98=0,$MQ98&amp;"d6"&amp;IF($OD98&gt;0," − 1 = "&amp;$OM98&amp;"d6"," da básica do nível "&amp;$MO98),$OK98&amp;" − "&amp;$OF98&amp;" + "&amp;$OI98&amp;" = "&amp;$OL98&amp;" · teto "&amp;4*$MC98&amp;"d8"&amp;IF($NO98=1," · a Forma devolve "&amp;$MC98,"")&amp;IF($OJ98&gt;0," · perde "&amp;$OJ98,"")))</f>
        <v/>
      </c>
      <c r="PU98" s="152">
        <f>IF($MN98=0,"",IF($MC98=0,"A básica não amplia: os dados dela sobem com o nível",IF($MC98&gt;=$MP98,"Já está na maior Classe que o nível liberou",TEXTJOIN(" · ",TRUE,IF(AND(2&gt;$MC98,2&lt;=$MP98),"2 → "&amp;$OW98&amp;", 6 PE",""),IF(AND(3&gt;$MC98,3&lt;=$MP98),"3 → "&amp;$OX98&amp;", 9 PE",""),IF(AND(4&gt;$MC98,4&lt;=$MP98),"4 → "&amp;$OY98&amp;", 12 PE",""),IF(AND(5&gt;$MC98,5&lt;=$MP98),"5 → "&amp;$OZ98&amp;", 15 PE",""),IF(AND(6&gt;$MC98,6&lt;=$MP98),"6 → "&amp;$PA98&amp;", 18 PE",""),IF(AND(7&gt;$MC98,7&lt;=$MP98),"7 → "&amp;$PB98&amp;", 21 PE","")))))</f>
        <v/>
      </c>
      <c r="PV98" s="152">
        <f>IF(OR($MN98=0,$MY98=0),"",IF($MC98=0,"−1 dado","−"&amp;INDEX($I$2:$N$8,MAX(1,$MC98),MAX(1,$ND98))&amp;" · "&amp;CHOOSE(MAX(1,$ND98),"Leve","Média","Pesada","Leve · Livre","Média · Livre","Pesada · Livre")))</f>
        <v/>
      </c>
      <c r="PW98" s="152">
        <f>IF(OR($MN98=0,$MZ98=0),"",IF($MC98=0,"−1 dado","−"&amp;INDEX($I$2:$N$8,MAX(1,$MC98),MAX(1,$NE98))&amp;" · "&amp;CHOOSE(MAX(1,$NE98),"Leve","Média","Pesada","Leve · Livre","Média · Livre","Pesada · Livre")))</f>
        <v/>
      </c>
      <c r="PX98" s="152">
        <f>IF(OR($MN98=0,$NA98=0),"",IF($MC98=0,"−1 dado","−"&amp;INDEX($I$2:$N$8,MAX(1,$MC98),MAX(1,$NF98))&amp;" · "&amp;CHOOSE(MAX(1,$NF98),"Leve","Média","Pesada","Leve · Livre","Média · Livre","Pesada · Livre")))</f>
        <v/>
      </c>
      <c r="PY98" s="152">
        <f>IF(OR($MN98=0,$NB98=0),"",IF($MC98=0,"−1 dado","−"&amp;INDEX($I$2:$N$8,MAX(1,$MC98),MAX(1,$NG98))&amp;" · "&amp;CHOOSE(MAX(1,$NG98),"Leve","Média","Pesada","Leve · Livre","Média · Livre","Pesada · Livre")))</f>
        <v/>
      </c>
      <c r="PZ98" s="152">
        <f>IF(OR($MN98=0,$ML98=""),"",IF($MC98=0,"não devolve","+"&amp;IF($NR98=1,CEILING($MC98/2,1),$MC98)))</f>
        <v/>
      </c>
      <c r="QA98" s="152">
        <f>IF(OR($MN98=0,$MM98=""),"",IF($MC98=0,"não devolve","+"&amp;IF($NS98=1,CEILING($MC98/2,1),$MC98)))</f>
        <v/>
      </c>
    </row>
    <row r="99">
      <c r="LX99" s="150" t="inlineStr">
        <is>
          <t>Ficha 8 · Especial 5</t>
        </is>
      </c>
      <c r="LY99" s="152" t="n">
        <v>8</v>
      </c>
      <c r="LZ99" s="152" t="n">
        <v>1</v>
      </c>
      <c r="MA99" s="152" t="n">
        <v>16</v>
      </c>
      <c r="MB99" s="150" t="inlineStr">
        <is>
          <t>ESPECIAL 5</t>
        </is>
      </c>
      <c r="MC99" s="152">
        <f>MAX(1,MIN(7,N('INVOCAÇÕES'!$AB$312)))</f>
        <v/>
      </c>
      <c r="MD99" s="152">
        <f>'INVOCAÇÕES'!$AC$312&amp;""</f>
        <v/>
      </c>
      <c r="ME99" s="152">
        <f>'INVOCAÇÕES'!$AB$317&amp;""</f>
        <v/>
      </c>
      <c r="MF99" s="152">
        <f>'INVOCAÇÕES'!$AB$318&amp;""</f>
        <v/>
      </c>
      <c r="MG99" s="152">
        <f>'INVOCAÇÕES'!$AD$318&amp;""</f>
        <v/>
      </c>
      <c r="MH99" s="152">
        <f>'INVOCAÇÕES'!$AC$321&amp;""</f>
        <v/>
      </c>
      <c r="MI99" s="152">
        <f>'INVOCAÇÕES'!$AC$322&amp;""</f>
        <v/>
      </c>
      <c r="MJ99" s="152">
        <f>'INVOCAÇÕES'!$AC$323&amp;""</f>
        <v/>
      </c>
      <c r="MK99" s="152">
        <f>'INVOCAÇÕES'!$AC$324&amp;""</f>
        <v/>
      </c>
      <c r="ML99" s="152">
        <f>'INVOCAÇÕES'!$AC$325&amp;""</f>
        <v/>
      </c>
      <c r="MM99" s="152">
        <f>'INVOCAÇÕES'!$AC$326&amp;""</f>
        <v/>
      </c>
      <c r="MN99" s="152">
        <f>IF($MD99&lt;&gt;"",1,0)</f>
        <v/>
      </c>
      <c r="MO99" s="152">
        <f>INDEX($FG$2:$FG$13,$LY99)</f>
        <v/>
      </c>
      <c r="MP99" s="152">
        <f>INDEX($FH$2:$FH$13,$LY99)</f>
        <v/>
      </c>
      <c r="MQ99" s="152">
        <f>INDEX($FI$2:$FI$13,$LY99)</f>
        <v/>
      </c>
      <c r="MR99" s="152">
        <f>INDEX($FT$2:$FT$13,$LY99)</f>
        <v/>
      </c>
      <c r="MS99" s="152">
        <f>INDEX($FU$2:$FU$13,$LY99)</f>
        <v/>
      </c>
      <c r="MT99" s="152">
        <f>IFERROR(MATCH($ME99,$V$2:$V$11,0),0)</f>
        <v/>
      </c>
      <c r="MU99" s="152">
        <f>IFERROR(VLOOKUP($MH99,$AV$2:$AZ$84,2,FALSE),"")</f>
        <v/>
      </c>
      <c r="MV99" s="152">
        <f>IFERROR(VLOOKUP($MI99,$AV$2:$AZ$84,2,FALSE),"")</f>
        <v/>
      </c>
      <c r="MW99" s="152">
        <f>IFERROR(VLOOKUP($MJ99,$AV$2:$AZ$84,2,FALSE),"")</f>
        <v/>
      </c>
      <c r="MX99" s="152">
        <f>IFERROR(VLOOKUP($MK99,$AV$2:$AZ$84,2,FALSE),"")</f>
        <v/>
      </c>
      <c r="MY99" s="152">
        <f>IFERROR(VLOOKUP($MH99,$AV$2:$AZ$84,3,FALSE),0)</f>
        <v/>
      </c>
      <c r="MZ99" s="152">
        <f>IFERROR(VLOOKUP($MI99,$AV$2:$AZ$84,3,FALSE),0)</f>
        <v/>
      </c>
      <c r="NA99" s="152">
        <f>IFERROR(VLOOKUP($MJ99,$AV$2:$AZ$84,3,FALSE),0)</f>
        <v/>
      </c>
      <c r="NB99" s="152">
        <f>IFERROR(VLOOKUP($MK99,$AV$2:$AZ$84,3,FALSE),0)</f>
        <v/>
      </c>
      <c r="NC99" s="152">
        <f>IF($MC99=0,0,IF($MT99=0,0,INDEX($X$2:$X$11,$MT99)))</f>
        <v/>
      </c>
      <c r="ND99" s="152">
        <f>IF(OR($MY99=0,$MC99=0),0,$MY99+3*IF(AND($MU99&lt;&gt;"",OR($MU99=INDEX($ED$2:$ED$13,$LY99),$MU99=INDEX($EE$2:$EE$13,$LY99))),1,0))</f>
        <v/>
      </c>
      <c r="NE99" s="152">
        <f>IF(OR($MZ99=0,$MC99=0),0,$MZ99+3*IF(AND($MV99&lt;&gt;"",OR($MV99=INDEX($ED$2:$ED$13,$LY99),$MV99=INDEX($EE$2:$EE$13,$LY99))),1,0))</f>
        <v/>
      </c>
      <c r="NF99" s="152">
        <f>IF(OR($NA99=0,$MC99=0),0,$NA99+3*IF(AND($MW99&lt;&gt;"",OR($MW99=INDEX($ED$2:$ED$13,$LY99),$MW99=INDEX($EE$2:$EE$13,$LY99))),1,0))</f>
        <v/>
      </c>
      <c r="NG99" s="152">
        <f>IF(OR($NB99=0,$MC99=0),0,$NB99+3*IF(AND($MX99&lt;&gt;"",OR($MX99=INDEX($ED$2:$ED$13,$LY99),$MX99=INDEX($EE$2:$EE$13,$LY99))),1,0))</f>
        <v/>
      </c>
      <c r="NH99" s="152">
        <f>IF($MT99=0,0,IF(INDEX($W$2:$W$11,$MT99)="",0,IF(COUNTIF(INDEX($ED$2:$EH$13,$LY99,0),INDEX($W$2:$W$11,$MT99))=0,1,0)))</f>
        <v/>
      </c>
      <c r="NI99" s="152">
        <f>IF(OR($MY99=0,$MU99=""),0,IF(COUNTIF(INDEX($ED$2:$EH$13,$LY99,0),$MU99)=0,1,0))</f>
        <v/>
      </c>
      <c r="NJ99" s="152">
        <f>IF(OR($MZ99=0,$MV99=""),0,IF(COUNTIF(INDEX($ED$2:$EH$13,$LY99,0),$MV99)=0,1,0))</f>
        <v/>
      </c>
      <c r="NK99" s="152">
        <f>IF(OR($NA99=0,$MW99=""),0,IF(COUNTIF(INDEX($ED$2:$EH$13,$LY99,0),$MW99)=0,1,0))</f>
        <v/>
      </c>
      <c r="NL99" s="152">
        <f>IF(OR($NB99=0,$MX99=""),0,IF(COUNTIF(INDEX($ED$2:$EH$13,$LY99,0),$MX99)=0,1,0))</f>
        <v/>
      </c>
      <c r="NM99" s="152">
        <f>IFERROR(VLOOKUP($MH99,$AV$2:$AZ$84,4,FALSE),0)+IFERROR(VLOOKUP($MI99,$AV$2:$AZ$84,4,FALSE),0)+IFERROR(VLOOKUP($MJ99,$AV$2:$AZ$84,4,FALSE),0)+IFERROR(VLOOKUP($MK99,$AV$2:$AZ$84,4,FALSE),0)</f>
        <v/>
      </c>
      <c r="NN99" s="152">
        <f>TEXTJOIN(", ",TRUE,IF(IFERROR(VLOOKUP($MH99,$AV$2:$AZ$84,5,FALSE),0)=1,$MH99,""),IF(IFERROR(VLOOKUP($MI99,$AV$2:$AZ$84,5,FALSE),0)=1,$MI99,""),IF(IFERROR(VLOOKUP($MJ99,$AV$2:$AZ$84,5,FALSE),0)=1,$MJ99,""),IF(IFERROR(VLOOKUP($MK99,$AV$2:$AZ$84,5,FALSE),0)=1,$MK99,""))</f>
        <v/>
      </c>
      <c r="NO99" s="152">
        <f>IF($MT99=0,0,INDEX($Y$2:$Y$11,$MT99))</f>
        <v/>
      </c>
      <c r="NP99" s="152">
        <f>IF($MT99=0,0,INDEX($Z$2:$Z$11,$MT99))</f>
        <v/>
      </c>
      <c r="NQ99" s="152">
        <f>IF($MT99=0,0,INDEX($AB$2:$AB$11,$MT99))</f>
        <v/>
      </c>
      <c r="NR99" s="152">
        <f>IFERROR(VLOOKUP($ML99,$BB$2:$BF$24,3,FALSE),0)</f>
        <v/>
      </c>
      <c r="NS99" s="152">
        <f>IFERROR(VLOOKUP($MM99,$BB$2:$BF$24,3,FALSE),0)</f>
        <v/>
      </c>
      <c r="NT99" s="152">
        <f>IFERROR(VLOOKUP($ML99,$BB$2:$BF$24,2,FALSE),"")</f>
        <v/>
      </c>
      <c r="NU99" s="152">
        <f>IFERROR(VLOOKUP($MM99,$BB$2:$BF$24,2,FALSE),"")</f>
        <v/>
      </c>
      <c r="NV99" s="152">
        <f>COUNTIF($NC99:$NG99,1)</f>
        <v/>
      </c>
      <c r="NW99" s="152">
        <f>COUNTIF($NC99:$NG99,2)</f>
        <v/>
      </c>
      <c r="NX99" s="152">
        <f>COUNTIF($NC99:$NG99,3)</f>
        <v/>
      </c>
      <c r="NY99" s="152">
        <f>COUNTIF($NC99:$NG99,4)</f>
        <v/>
      </c>
      <c r="NZ99" s="152">
        <f>COUNTIF($NC99:$NG99,5)</f>
        <v/>
      </c>
      <c r="OA99" s="152">
        <f>COUNTIF($NC99:$NG99,6)</f>
        <v/>
      </c>
      <c r="OB99" s="152">
        <f>COUNTIF($NR99:$NS99,1)</f>
        <v/>
      </c>
      <c r="OC99" s="152">
        <f>COUNTIF($NR99:$NS99,2)+$NO99</f>
        <v/>
      </c>
      <c r="OD99" s="152">
        <f>COUNTIF($MH99:$MK99,"?*")</f>
        <v/>
      </c>
      <c r="OE99" s="152">
        <f>COUNTIF($ML99:$MM99,"?*")+$NO99</f>
        <v/>
      </c>
      <c r="OF99" s="152">
        <f>IF($MC99=0,0,SUMPRODUCT($NV99:$OA99,INDEX($I$2:$N$8,MAX(1,$MC99),0)))</f>
        <v/>
      </c>
      <c r="OG99" s="152">
        <f>IF($MC99=0,0,$OB99*CEILING($MC99/2,1)+$OC99*$MC99)</f>
        <v/>
      </c>
      <c r="OH99" s="152">
        <f>MIN(2*$MC99,$OG99)</f>
        <v/>
      </c>
      <c r="OI99" s="152">
        <f>MIN($OH99,$OF99)</f>
        <v/>
      </c>
      <c r="OJ99" s="152">
        <f>$OH99-$OI99</f>
        <v/>
      </c>
      <c r="OK99" s="152">
        <f>IF($MC99=0,0,INDEX($P$2:$P$8,MAX(1,$MC99)))</f>
        <v/>
      </c>
      <c r="OL99" s="152">
        <f>$OK99-$OF99+$OI99</f>
        <v/>
      </c>
      <c r="OM99" s="152">
        <f>IF($MC99=0,MAX(0,$MQ99-IF($OD99&gt;0,1,0)),MAX(0,$OL99))</f>
        <v/>
      </c>
      <c r="ON99" s="152">
        <f>IF($MC99=0,0,(IF(COUNTIF($MH99:$MK99,"Salto")&gt;0,1,0)+IF(COUNTIF($MH99:$MK99,"Queima")&gt;0,1,0)+IF(COUNTIF($MH99:$MK99,"Estilhaço")&gt;0,1,0))*FLOOR($OM99/2,1))</f>
        <v/>
      </c>
      <c r="OO99" s="152">
        <f>MAX(0,2-SUMPRODUCT($NV99:$OA99,$I$2:$N$2)+MIN(2,$OB99*1+$OC99*1,SUMPRODUCT($NV99:$OA99,$I$2:$N$2)))</f>
        <v/>
      </c>
      <c r="OP99" s="152">
        <f>MAX(0,4-SUMPRODUCT($NV99:$OA99,$I$3:$N$3)+MIN(4,$OB99*1+$OC99*2,SUMPRODUCT($NV99:$OA99,$I$3:$N$3)))</f>
        <v/>
      </c>
      <c r="OQ99" s="152">
        <f>MAX(0,6-SUMPRODUCT($NV99:$OA99,$I$4:$N$4)+MIN(6,$OB99*2+$OC99*3,SUMPRODUCT($NV99:$OA99,$I$4:$N$4)))</f>
        <v/>
      </c>
      <c r="OR99" s="152">
        <f>MAX(0,9-SUMPRODUCT($NV99:$OA99,$I$5:$N$5)+MIN(8,$OB99*2+$OC99*4,SUMPRODUCT($NV99:$OA99,$I$5:$N$5)))</f>
        <v/>
      </c>
      <c r="OS99" s="152">
        <f>MAX(0,11-SUMPRODUCT($NV99:$OA99,$I$6:$N$6)+MIN(10,$OB99*3+$OC99*5,SUMPRODUCT($NV99:$OA99,$I$6:$N$6)))</f>
        <v/>
      </c>
      <c r="OT99" s="152">
        <f>MAX(0,13-SUMPRODUCT($NV99:$OA99,$I$7:$N$7)+MIN(12,$OB99*3+$OC99*6,SUMPRODUCT($NV99:$OA99,$I$7:$N$7)))</f>
        <v/>
      </c>
      <c r="OU99" s="152">
        <f>MAX(0,16-SUMPRODUCT($NV99:$OA99,$I$8:$N$8)+MIN(14,$OB99*4+$OC99*7,SUMPRODUCT($NV99:$OA99,$I$8:$N$8)))</f>
        <v/>
      </c>
      <c r="OV99" s="152">
        <f>IF($NP99=2,3*$OO99&amp;" de vida temp.",IF($NP99=3,"sem dano",IF($OO99=0,IF($NP99=1,"sem cura","sem dano"),IF($NP99=1,"cura ","")&amp;$OO99&amp;"d8")))</f>
        <v/>
      </c>
      <c r="OW99" s="152">
        <f>IF($NP99=2,3*$OP99&amp;" de vida temp.",IF($NP99=3,"sem dano",IF($OP99=0,IF($NP99=1,"sem cura","sem dano"),IF($NP99=1,"cura ","")&amp;$OP99&amp;"d8")))</f>
        <v/>
      </c>
      <c r="OX99" s="152">
        <f>IF($NP99=2,3*$OQ99&amp;" de vida temp.",IF($NP99=3,"sem dano",IF($OQ99=0,IF($NP99=1,"sem cura","sem dano"),IF($NP99=1,"cura ","")&amp;$OQ99&amp;"d8")))</f>
        <v/>
      </c>
      <c r="OY99" s="152">
        <f>IF($NP99=2,3*$OR99&amp;" de vida temp.",IF($NP99=3,"sem dano",IF($OR99=0,IF($NP99=1,"sem cura","sem dano"),IF($NP99=1,"cura ","")&amp;$OR99&amp;"d8")))</f>
        <v/>
      </c>
      <c r="OZ99" s="152">
        <f>IF($NP99=2,3*$OS99&amp;" de vida temp.",IF($NP99=3,"sem dano",IF($OS99=0,IF($NP99=1,"sem cura","sem dano"),IF($NP99=1,"cura ","")&amp;$OS99&amp;"d8")))</f>
        <v/>
      </c>
      <c r="PA99" s="152">
        <f>IF($NP99=2,3*$OT99&amp;" de vida temp.",IF($NP99=3,"sem dano",IF($OT99=0,IF($NP99=1,"sem cura","sem dano"),IF($NP99=1,"cura ","")&amp;$OT99&amp;"d8")))</f>
        <v/>
      </c>
      <c r="PB99" s="152">
        <f>IF($NP99=2,3*$OU99&amp;" de vida temp.",IF($NP99=3,"sem dano",IF($OU99=0,IF($NP99=1,"sem cura","sem dano"),IF($NP99=1,"cura ","")&amp;$OU99&amp;"d8")))</f>
        <v/>
      </c>
      <c r="PC99" s="152">
        <f>IF($MN99=0,"",TEXTJOIN(" · ",TRUE,IF($MA99&gt;$MO99,"Este lugar abre no nível "&amp;$MA99,""),IF($MC99&gt;$MP99,"Classe "&amp;$MC99&amp;": o nível "&amp;$MO99&amp;" libera até a "&amp;$MP99,""),IF($NH99=1,"A Forma "&amp;$ME99&amp;" pede "&amp;INDEX($W$2:$W$11,$MT99)&amp;" aberta",""),IF(AND($MC99=0,$MT99&gt;0,IF($MT99=0,0,INDEX($AF$2:$AF$11,$MT99))=0),$ME99&amp;" não existe na Classe 0",""),IF($NI99=1,"Família Fechada: "&amp;$MH99,""),IF($NJ99=1,"Família Fechada: "&amp;$MI99,""),IF($NK99=1,"Família Fechada: "&amp;$MJ99,""),IF($NL99=1,"Família Fechada: "&amp;$MK99,""),IF(AND($MC99&gt;0,$OD99&gt;INDEX($O$2:$O$8,MAX(1,$MC99))),$OD99&amp;" Melhorias: a Classe "&amp;$MC99&amp;" aceita "&amp;INDEX($O$2:$O$8,MAX(1,$MC99)),""),IF(AND($MC99=0,$OD99&gt;1),"A básica aceita uma Melhoria",""),IF(AND($MC99=0,COUNTIF($MY99:$NB99,"&gt;1")&gt;0),"A básica só aceita Melhoria Leve",""),IF(AND($MC99&gt;0,$OE99&gt;2),$OE99&amp;" Restrições"&amp;IF($NO99=1,", contando a que a Forma "&amp;$ME99&amp;" já traz","")&amp;": o limite é 2",""),IF(AND($MC99=0,COUNTIF($ML99:$MM99,"?*")&gt;1),"A básica aceita uma Restrição Leve",""),IF(AND($MC99=0,COUNTIF($NR99:$NS99,2)&gt;0),"A básica só aceita Restrição Leve",""),IF(AND($MC99&gt;0,$OL99&lt;0),"Orçamento estourado: faltam "&amp;(-$OL99)&amp;IF($OL99&lt;-1," pontos"," ponto"),""),IF(IFERROR(VLOOKUP($ML99,$BB$2:$BF$24,4,FALSE),0)+IFERROR(VLOOKUP($MM99,$BB$2:$BF$24,4,FALSE),0)&gt;1,$NT99&amp;" e "&amp;$NU99&amp;" são as duas de frequência",""),IF(AND((COUNTIF($MH99:$MK99,"Rápido")+COUNTIF($NT99:$NU99,"Rápido"))&gt;0,(COUNTIF($MH99:$MK99,"Atrasar")+COUNTIF($NT99:$NU99,"Atrasar"))&gt;0),"Rápido não entra com Atrasar",""),IF(AND((COUNTIF($MH99:$MK99,"Reação")+COUNTIF($NT99:$NU99,"Reação"))&gt;0,(COUNTIF($MH99:$MK99,"Rápido")+COUNTIF($NT99:$NU99,"Rápido"))&gt;0),"Reação não entra com Rápido",""),IF(AND((COUNTIF($MH99:$MK99,"Reação")+COUNTIF($NT99:$NU99,"Reação"))&gt;0,(COUNTIF($MH99:$MK99,"Armado")+COUNTIF($NT99:$NU99,"Armado"))&gt;0),"Reação não entra com Armado",""),IF(AND((COUNTIF($MH99:$MK99,"Reação")+COUNTIF($NT99:$NU99,"Reação"))&gt;0,(COUNTIF($MH99:$MK99,"Atrasar")+COUNTIF($NT99:$NU99,"Atrasar"))&gt;0),"Reação não entra com Atrasar",""),IF(AND((COUNTIF($MH99:$MK99,"Reação")+COUNTIF($NT99:$NU99,"Reação"))&gt;0,(COUNTIF($MH99:$MK99,"Parado")+COUNTIF($NT99:$NU99,"Parado"))&gt;0),"Reação não entra com Parado",""),IF(AND((COUNTIF($MH99:$MK99,"Atrasar")+COUNTIF($NT99:$NU99,"Atrasar"))&gt;0,(COUNTIF($MH99:$MK99,"Parado")+COUNTIF($NT99:$NU99,"Parado"))&gt;0),"Atrasar não entra com Parado",""),IF(AND((COUNTIF($MH99:$MK99,"Armado")+COUNTIF($NT99:$NU99,"Armado"))&gt;0,(COUNTIF($MH99:$MK99,"Carregar")+COUNTIF($NT99:$NU99,"Carregar"))&gt;0),"Armado não entra com Carregar",""),IF(AND(COUNTIF($NT99:$NU99,"Corpo a Corpo")&gt;0,$NO99=0,OR($ME99="Cone",$ME99="Linha")),"Corpo a Corpo não entra em "&amp;$ME99,""),IF(AND(COUNTIF($NT99:$NU99,"Corpo a Corpo")&gt;0,$NO99=1),"A Forma "&amp;$ME99&amp;" já traz o Corpo a Corpo",""),IF(AND(COUNTIF($NT99:$NU99,"Tudo ou Nada")&gt;0,$NQ99=0),"Tudo ou Nada só entra em habilidade de Teste de Resistência",""),IF(AND(COUNTIF($MH99:$MK99,"Inescapável")&gt;0,OR($OD99&gt;1,$OE99&gt;0)),"Inescapável não aceita outra peça",""),IF(AND($MC99&gt;0,$OM99*IF(COUNTIF($MH99:$MK99,"Remate")&gt;0,1.25,1)+$ON99&gt;4*$MC99),($OM99*IF(COUNTIF($MH99:$MK99,"Remate")&gt;0,1.25,1)+$ON99)&amp;" dados somando repetições"&amp;IF(COUNTIF($MH99:$MK99,"Remate")&gt;0," e o Remate","")&amp;": o teto da Classe "&amp;$MC99&amp;" é "&amp;4*$MC99,"")))</f>
        <v/>
      </c>
      <c r="PD99" s="152">
        <f>IF($PC99="",0,(LEN($PC99)-LEN(SUBSTITUTE($PC99," · ","")))/3+1)</f>
        <v/>
      </c>
      <c r="PE99" s="152">
        <f>IF($MN99=0,"",TEXTJOIN(" · ",TRUE,IF($OG99&gt;2*$MC99,"A devolução parou no teto de "&amp;2*$MC99,""),IF($OJ99&gt;0,"Devolução perdida: "&amp;$OJ99&amp;IF($OJ99&gt;1," pontos"," ponto")&amp;" sem peça para pagar",""),IF(AND($NM99&gt;0,AND($MC99&gt;0,$NP99=0),$OM99=0),"Controle sem dano: uma rodada a mais e CD +2",""),IF(AND($NM99&gt;0,AND($MC99&gt;0,$NP99=0),$OM99&gt;0,$OM99&lt;=$MC99),"Controle com saldo até a Classe: uma rodada a mais",""),IF(AND($MC99&gt;0,$NN99&lt;&gt;""),"Efeito de "&amp;$NN99&amp;" pela Classe "&amp;MAX(1,$MC99-1),"")))</f>
        <v/>
      </c>
      <c r="PF99" s="152">
        <f>IF($PE99="",0,(LEN($PE99)-LEN(SUBSTITUTE($PE99," · ","")))/3+1)</f>
        <v/>
      </c>
      <c r="PG99" s="152">
        <f>IF($MN99=0,IF($OD99+COUNTIF($ML99:$MM99,"?*")&gt;0,"Dê um nome",""),IF($PD99&gt;0,"⚠ "&amp;$PD99&amp;IF($PD99&gt;1," erros"," erro"),IF($PF99&gt;0,"! "&amp;$PF99&amp;IF($PF99&gt;1," avisos"," aviso"),"Na regra")))</f>
        <v/>
      </c>
      <c r="PH99" s="152">
        <f>IF($MN99=0,"",IF($PD99+$PF99=0,"Dentro das regras que a ficha confere",$PC99&amp;IF(AND($PD99&gt;0,$PF99&gt;0)," · ","")&amp;$PE99))</f>
        <v/>
      </c>
      <c r="PI99" s="152">
        <f>IF($MA99&gt;$MO99,$MB99&amp;" · ABRE NO NÍVEL "&amp;$MA99,$MB99)</f>
        <v/>
      </c>
      <c r="PJ99" s="152">
        <f>IF($MN99=0,"",IF($MC99=0,"Sem PE",3*$MC99&amp;" PE"))</f>
        <v/>
      </c>
      <c r="PK99" s="152">
        <f>IF($MN99=0,"",IF($MC99=0,"A atuação básica dela",IF(COUNTIF($NT99:$NU99,"Atrasar")&gt;0,"Sua Ação Completa",IF(COUNTIF($MH99:$MK99,"Rápido")&gt;0,"Sua Bônus",IF(COUNTIF($MH99:$MK99,"Reação")&gt;0,"Sua Reação","Sua Padrão")))&amp;" + a básica dela"&amp;IF(COUNTIF($MH99:$MK99,"Reação")&gt;0," e a coletiva","")&amp;IF(COUNTIF($NT99:$NU99,"Carregar")&gt;0," · em dois turnos","")))</f>
        <v/>
      </c>
      <c r="PL99" s="152">
        <f>IF($MG99&lt;&gt;"",$MG99,IF($MT99=0,"",INDEX($AA$2:$AA$11,$MT99)))</f>
        <v/>
      </c>
      <c r="PM99" s="152">
        <f>IF(OR($MN99=0,$MT99=0),"",IF(COUNTIF($MH99:$MK99,"Inescapável")&gt;0,"Automático",IF($PL99="Ataque",IF($MR99="","Ataque","Ataque "&amp;IF(($MR99+2*IF(COUNTIF($MH99:$MK99,"Precisão")&gt;0,1,0))&gt;=0,"+","−")&amp;ABS(($MR99+2*IF(COUNTIF($MH99:$MK99,"Precisão")&gt;0,1,0)))),IF(LEFT($PL99,2)="TR",$PL99&amp;IF($MS99="",""," · CD "&amp;$MS99)&amp;IF(COUNTIF($MH99:$MK99,"Certeiro")&gt;0," · metade",""),"Sem rolagem"))))</f>
        <v/>
      </c>
      <c r="PN99" s="152">
        <f>IF(OR($MN99=0,$MT99=0),"",IF($MC99=0,IF(OR($NP99&gt;=1,$OM99=0),"Sem dano",$OM99&amp;"d6"&amp;IF($MF99="",""," "&amp;$MF99)),IF(OR($NP99&gt;=1,$OM99=0),UPPER(LEFT(INDEX($OV99:$PB99,1,MAX(1,$MC99)),1))&amp;MID(INDEX($OV99:$PB99,1,MAX(1,$MC99)),2,99),UPPER(LEFT(INDEX($OV99:$PB99,1,MAX(1,$MC99)),1))&amp;MID(INDEX($OV99:$PB99,1,MAX(1,$MC99)),2,99)&amp;IF($MF99="",""," "&amp;$MF99)&amp;IF($ON99&gt;0," · +"&amp;$ON99&amp;"d8",""))))</f>
        <v/>
      </c>
      <c r="PO99" s="152">
        <f>COUNTIF($MH99:$MK99,"Longe")+3*COUNTIF($MH99:$MK99,"Muito Longe")</f>
        <v/>
      </c>
      <c r="PP99" s="152">
        <f>COUNTIF($MH99:$MK99,"Maior")+3*COUNTIF($MH99:$MK99,"Muito Maior")</f>
        <v/>
      </c>
      <c r="PQ99" s="152">
        <f>IF($MT99=0,0,CHOOSE(1+INDEX($AC$2:$AC$11,$MT99),0,$PO99,$PP99,$PO99+$PP99))</f>
        <v/>
      </c>
      <c r="PR99" s="152">
        <f>IF($MT99=0,0,CHOOSE(1+INDEX($AD$2:$AD$11,$MT99),0,$PO99,$PP99,$PO99+$PP99))</f>
        <v/>
      </c>
      <c r="PS99" s="152">
        <f>IF(OR($MN99=0,$MT99=0),"",INDEX($AI$2:$AN$41,($MT99-1)*4+IF($MC99=0,1,IF($MC99&lt;=5,2,IF($MC99=6,3,4))),1+MIN(5,$PQ99))&amp;INDEX($AO$2:$AT$41,($MT99-1)*4+IF($MC99=0,1,IF($MC99&lt;=5,2,IF($MC99=6,3,4))),1+MIN(5,$PR99))&amp;IF(INDEX($AE$2:$AE$11,$MT99)=1,IF(COUNTIF($MH99:$MK99,"Mais Um")&gt;0," · +"&amp;COUNTIF($MH99:$MK99,"Mais Um")&amp;IF(COUNTIF($MH99:$MK99,"Mais Um")&gt;1," alvos"," alvo"),"")&amp;IF(COUNTIF($MH99:$MK99,"Rajada")&gt;0,IF($MC99=0," · 1 tiro"," · "&amp;(MAX(1,$MC99-1)+1)&amp;" tiros"),""),""))</f>
        <v/>
      </c>
      <c r="PT99" s="152">
        <f>IF($MN99=0,"",IF($MC99=0,$MQ99&amp;"d6"&amp;IF($OD99&gt;0," − 1 = "&amp;$OM99&amp;"d6"," da básica do nível "&amp;$MO99),$OK99&amp;" − "&amp;$OF99&amp;" + "&amp;$OI99&amp;" = "&amp;$OL99&amp;" · teto "&amp;4*$MC99&amp;"d8"&amp;IF($NO99=1," · a Forma devolve "&amp;$MC99,"")&amp;IF($OJ99&gt;0," · perde "&amp;$OJ99,"")))</f>
        <v/>
      </c>
      <c r="PU99" s="152">
        <f>IF($MN99=0,"",IF($MC99=0,"A básica não amplia: os dados dela sobem com o nível",IF($MC99&gt;=$MP99,"Já está na maior Classe que o nível liberou",TEXTJOIN(" · ",TRUE,IF(AND(2&gt;$MC99,2&lt;=$MP99),"2 → "&amp;$OW99&amp;", 6 PE",""),IF(AND(3&gt;$MC99,3&lt;=$MP99),"3 → "&amp;$OX99&amp;", 9 PE",""),IF(AND(4&gt;$MC99,4&lt;=$MP99),"4 → "&amp;$OY99&amp;", 12 PE",""),IF(AND(5&gt;$MC99,5&lt;=$MP99),"5 → "&amp;$OZ99&amp;", 15 PE",""),IF(AND(6&gt;$MC99,6&lt;=$MP99),"6 → "&amp;$PA99&amp;", 18 PE",""),IF(AND(7&gt;$MC99,7&lt;=$MP99),"7 → "&amp;$PB99&amp;", 21 PE","")))))</f>
        <v/>
      </c>
      <c r="PV99" s="152">
        <f>IF(OR($MN99=0,$MY99=0),"",IF($MC99=0,"−1 dado","−"&amp;INDEX($I$2:$N$8,MAX(1,$MC99),MAX(1,$ND99))&amp;" · "&amp;CHOOSE(MAX(1,$ND99),"Leve","Média","Pesada","Leve · Livre","Média · Livre","Pesada · Livre")))</f>
        <v/>
      </c>
      <c r="PW99" s="152">
        <f>IF(OR($MN99=0,$MZ99=0),"",IF($MC99=0,"−1 dado","−"&amp;INDEX($I$2:$N$8,MAX(1,$MC99),MAX(1,$NE99))&amp;" · "&amp;CHOOSE(MAX(1,$NE99),"Leve","Média","Pesada","Leve · Livre","Média · Livre","Pesada · Livre")))</f>
        <v/>
      </c>
      <c r="PX99" s="152">
        <f>IF(OR($MN99=0,$NA99=0),"",IF($MC99=0,"−1 dado","−"&amp;INDEX($I$2:$N$8,MAX(1,$MC99),MAX(1,$NF99))&amp;" · "&amp;CHOOSE(MAX(1,$NF99),"Leve","Média","Pesada","Leve · Livre","Média · Livre","Pesada · Livre")))</f>
        <v/>
      </c>
      <c r="PY99" s="152">
        <f>IF(OR($MN99=0,$NB99=0),"",IF($MC99=0,"−1 dado","−"&amp;INDEX($I$2:$N$8,MAX(1,$MC99),MAX(1,$NG99))&amp;" · "&amp;CHOOSE(MAX(1,$NG99),"Leve","Média","Pesada","Leve · Livre","Média · Livre","Pesada · Livre")))</f>
        <v/>
      </c>
      <c r="PZ99" s="152">
        <f>IF(OR($MN99=0,$ML99=""),"",IF($MC99=0,"não devolve","+"&amp;IF($NR99=1,CEILING($MC99/2,1),$MC99)))</f>
        <v/>
      </c>
      <c r="QA99" s="152">
        <f>IF(OR($MN99=0,$MM99=""),"",IF($MC99=0,"não devolve","+"&amp;IF($NS99=1,CEILING($MC99/2,1),$MC99)))</f>
        <v/>
      </c>
    </row>
    <row r="100">
      <c r="LX100" s="150" t="inlineStr">
        <is>
          <t>Ficha 8 · Especial 6</t>
        </is>
      </c>
      <c r="LY100" s="152" t="n">
        <v>8</v>
      </c>
      <c r="LZ100" s="152" t="n">
        <v>1</v>
      </c>
      <c r="MA100" s="152" t="n">
        <v>20</v>
      </c>
      <c r="MB100" s="150" t="inlineStr">
        <is>
          <t>ESPECIAL 6</t>
        </is>
      </c>
      <c r="MC100" s="152">
        <f>MAX(1,MIN(7,N('INVOCAÇÕES'!$AH$312)))</f>
        <v/>
      </c>
      <c r="MD100" s="152">
        <f>'INVOCAÇÕES'!$AI$312&amp;""</f>
        <v/>
      </c>
      <c r="ME100" s="152">
        <f>'INVOCAÇÕES'!$AH$317&amp;""</f>
        <v/>
      </c>
      <c r="MF100" s="152">
        <f>'INVOCAÇÕES'!$AH$318&amp;""</f>
        <v/>
      </c>
      <c r="MG100" s="152">
        <f>'INVOCAÇÕES'!$AJ$318&amp;""</f>
        <v/>
      </c>
      <c r="MH100" s="152">
        <f>'INVOCAÇÕES'!$AI$321&amp;""</f>
        <v/>
      </c>
      <c r="MI100" s="152">
        <f>'INVOCAÇÕES'!$AI$322&amp;""</f>
        <v/>
      </c>
      <c r="MJ100" s="152">
        <f>'INVOCAÇÕES'!$AI$323&amp;""</f>
        <v/>
      </c>
      <c r="MK100" s="152">
        <f>'INVOCAÇÕES'!$AI$324&amp;""</f>
        <v/>
      </c>
      <c r="ML100" s="152">
        <f>'INVOCAÇÕES'!$AI$325&amp;""</f>
        <v/>
      </c>
      <c r="MM100" s="152">
        <f>'INVOCAÇÕES'!$AI$326&amp;""</f>
        <v/>
      </c>
      <c r="MN100" s="152">
        <f>IF($MD100&lt;&gt;"",1,0)</f>
        <v/>
      </c>
      <c r="MO100" s="152">
        <f>INDEX($FG$2:$FG$13,$LY100)</f>
        <v/>
      </c>
      <c r="MP100" s="152">
        <f>INDEX($FH$2:$FH$13,$LY100)</f>
        <v/>
      </c>
      <c r="MQ100" s="152">
        <f>INDEX($FI$2:$FI$13,$LY100)</f>
        <v/>
      </c>
      <c r="MR100" s="152">
        <f>INDEX($FT$2:$FT$13,$LY100)</f>
        <v/>
      </c>
      <c r="MS100" s="152">
        <f>INDEX($FU$2:$FU$13,$LY100)</f>
        <v/>
      </c>
      <c r="MT100" s="152">
        <f>IFERROR(MATCH($ME100,$V$2:$V$11,0),0)</f>
        <v/>
      </c>
      <c r="MU100" s="152">
        <f>IFERROR(VLOOKUP($MH100,$AV$2:$AZ$84,2,FALSE),"")</f>
        <v/>
      </c>
      <c r="MV100" s="152">
        <f>IFERROR(VLOOKUP($MI100,$AV$2:$AZ$84,2,FALSE),"")</f>
        <v/>
      </c>
      <c r="MW100" s="152">
        <f>IFERROR(VLOOKUP($MJ100,$AV$2:$AZ$84,2,FALSE),"")</f>
        <v/>
      </c>
      <c r="MX100" s="152">
        <f>IFERROR(VLOOKUP($MK100,$AV$2:$AZ$84,2,FALSE),"")</f>
        <v/>
      </c>
      <c r="MY100" s="152">
        <f>IFERROR(VLOOKUP($MH100,$AV$2:$AZ$84,3,FALSE),0)</f>
        <v/>
      </c>
      <c r="MZ100" s="152">
        <f>IFERROR(VLOOKUP($MI100,$AV$2:$AZ$84,3,FALSE),0)</f>
        <v/>
      </c>
      <c r="NA100" s="152">
        <f>IFERROR(VLOOKUP($MJ100,$AV$2:$AZ$84,3,FALSE),0)</f>
        <v/>
      </c>
      <c r="NB100" s="152">
        <f>IFERROR(VLOOKUP($MK100,$AV$2:$AZ$84,3,FALSE),0)</f>
        <v/>
      </c>
      <c r="NC100" s="152">
        <f>IF($MC100=0,0,IF($MT100=0,0,INDEX($X$2:$X$11,$MT100)))</f>
        <v/>
      </c>
      <c r="ND100" s="152">
        <f>IF(OR($MY100=0,$MC100=0),0,$MY100+3*IF(AND($MU100&lt;&gt;"",OR($MU100=INDEX($ED$2:$ED$13,$LY100),$MU100=INDEX($EE$2:$EE$13,$LY100))),1,0))</f>
        <v/>
      </c>
      <c r="NE100" s="152">
        <f>IF(OR($MZ100=0,$MC100=0),0,$MZ100+3*IF(AND($MV100&lt;&gt;"",OR($MV100=INDEX($ED$2:$ED$13,$LY100),$MV100=INDEX($EE$2:$EE$13,$LY100))),1,0))</f>
        <v/>
      </c>
      <c r="NF100" s="152">
        <f>IF(OR($NA100=0,$MC100=0),0,$NA100+3*IF(AND($MW100&lt;&gt;"",OR($MW100=INDEX($ED$2:$ED$13,$LY100),$MW100=INDEX($EE$2:$EE$13,$LY100))),1,0))</f>
        <v/>
      </c>
      <c r="NG100" s="152">
        <f>IF(OR($NB100=0,$MC100=0),0,$NB100+3*IF(AND($MX100&lt;&gt;"",OR($MX100=INDEX($ED$2:$ED$13,$LY100),$MX100=INDEX($EE$2:$EE$13,$LY100))),1,0))</f>
        <v/>
      </c>
      <c r="NH100" s="152">
        <f>IF($MT100=0,0,IF(INDEX($W$2:$W$11,$MT100)="",0,IF(COUNTIF(INDEX($ED$2:$EH$13,$LY100,0),INDEX($W$2:$W$11,$MT100))=0,1,0)))</f>
        <v/>
      </c>
      <c r="NI100" s="152">
        <f>IF(OR($MY100=0,$MU100=""),0,IF(COUNTIF(INDEX($ED$2:$EH$13,$LY100,0),$MU100)=0,1,0))</f>
        <v/>
      </c>
      <c r="NJ100" s="152">
        <f>IF(OR($MZ100=0,$MV100=""),0,IF(COUNTIF(INDEX($ED$2:$EH$13,$LY100,0),$MV100)=0,1,0))</f>
        <v/>
      </c>
      <c r="NK100" s="152">
        <f>IF(OR($NA100=0,$MW100=""),0,IF(COUNTIF(INDEX($ED$2:$EH$13,$LY100,0),$MW100)=0,1,0))</f>
        <v/>
      </c>
      <c r="NL100" s="152">
        <f>IF(OR($NB100=0,$MX100=""),0,IF(COUNTIF(INDEX($ED$2:$EH$13,$LY100,0),$MX100)=0,1,0))</f>
        <v/>
      </c>
      <c r="NM100" s="152">
        <f>IFERROR(VLOOKUP($MH100,$AV$2:$AZ$84,4,FALSE),0)+IFERROR(VLOOKUP($MI100,$AV$2:$AZ$84,4,FALSE),0)+IFERROR(VLOOKUP($MJ100,$AV$2:$AZ$84,4,FALSE),0)+IFERROR(VLOOKUP($MK100,$AV$2:$AZ$84,4,FALSE),0)</f>
        <v/>
      </c>
      <c r="NN100" s="152">
        <f>TEXTJOIN(", ",TRUE,IF(IFERROR(VLOOKUP($MH100,$AV$2:$AZ$84,5,FALSE),0)=1,$MH100,""),IF(IFERROR(VLOOKUP($MI100,$AV$2:$AZ$84,5,FALSE),0)=1,$MI100,""),IF(IFERROR(VLOOKUP($MJ100,$AV$2:$AZ$84,5,FALSE),0)=1,$MJ100,""),IF(IFERROR(VLOOKUP($MK100,$AV$2:$AZ$84,5,FALSE),0)=1,$MK100,""))</f>
        <v/>
      </c>
      <c r="NO100" s="152">
        <f>IF($MT100=0,0,INDEX($Y$2:$Y$11,$MT100))</f>
        <v/>
      </c>
      <c r="NP100" s="152">
        <f>IF($MT100=0,0,INDEX($Z$2:$Z$11,$MT100))</f>
        <v/>
      </c>
      <c r="NQ100" s="152">
        <f>IF($MT100=0,0,INDEX($AB$2:$AB$11,$MT100))</f>
        <v/>
      </c>
      <c r="NR100" s="152">
        <f>IFERROR(VLOOKUP($ML100,$BB$2:$BF$24,3,FALSE),0)</f>
        <v/>
      </c>
      <c r="NS100" s="152">
        <f>IFERROR(VLOOKUP($MM100,$BB$2:$BF$24,3,FALSE),0)</f>
        <v/>
      </c>
      <c r="NT100" s="152">
        <f>IFERROR(VLOOKUP($ML100,$BB$2:$BF$24,2,FALSE),"")</f>
        <v/>
      </c>
      <c r="NU100" s="152">
        <f>IFERROR(VLOOKUP($MM100,$BB$2:$BF$24,2,FALSE),"")</f>
        <v/>
      </c>
      <c r="NV100" s="152">
        <f>COUNTIF($NC100:$NG100,1)</f>
        <v/>
      </c>
      <c r="NW100" s="152">
        <f>COUNTIF($NC100:$NG100,2)</f>
        <v/>
      </c>
      <c r="NX100" s="152">
        <f>COUNTIF($NC100:$NG100,3)</f>
        <v/>
      </c>
      <c r="NY100" s="152">
        <f>COUNTIF($NC100:$NG100,4)</f>
        <v/>
      </c>
      <c r="NZ100" s="152">
        <f>COUNTIF($NC100:$NG100,5)</f>
        <v/>
      </c>
      <c r="OA100" s="152">
        <f>COUNTIF($NC100:$NG100,6)</f>
        <v/>
      </c>
      <c r="OB100" s="152">
        <f>COUNTIF($NR100:$NS100,1)</f>
        <v/>
      </c>
      <c r="OC100" s="152">
        <f>COUNTIF($NR100:$NS100,2)+$NO100</f>
        <v/>
      </c>
      <c r="OD100" s="152">
        <f>COUNTIF($MH100:$MK100,"?*")</f>
        <v/>
      </c>
      <c r="OE100" s="152">
        <f>COUNTIF($ML100:$MM100,"?*")+$NO100</f>
        <v/>
      </c>
      <c r="OF100" s="152">
        <f>IF($MC100=0,0,SUMPRODUCT($NV100:$OA100,INDEX($I$2:$N$8,MAX(1,$MC100),0)))</f>
        <v/>
      </c>
      <c r="OG100" s="152">
        <f>IF($MC100=0,0,$OB100*CEILING($MC100/2,1)+$OC100*$MC100)</f>
        <v/>
      </c>
      <c r="OH100" s="152">
        <f>MIN(2*$MC100,$OG100)</f>
        <v/>
      </c>
      <c r="OI100" s="152">
        <f>MIN($OH100,$OF100)</f>
        <v/>
      </c>
      <c r="OJ100" s="152">
        <f>$OH100-$OI100</f>
        <v/>
      </c>
      <c r="OK100" s="152">
        <f>IF($MC100=0,0,INDEX($P$2:$P$8,MAX(1,$MC100)))</f>
        <v/>
      </c>
      <c r="OL100" s="152">
        <f>$OK100-$OF100+$OI100</f>
        <v/>
      </c>
      <c r="OM100" s="152">
        <f>IF($MC100=0,MAX(0,$MQ100-IF($OD100&gt;0,1,0)),MAX(0,$OL100))</f>
        <v/>
      </c>
      <c r="ON100" s="152">
        <f>IF($MC100=0,0,(IF(COUNTIF($MH100:$MK100,"Salto")&gt;0,1,0)+IF(COUNTIF($MH100:$MK100,"Queima")&gt;0,1,0)+IF(COUNTIF($MH100:$MK100,"Estilhaço")&gt;0,1,0))*FLOOR($OM100/2,1))</f>
        <v/>
      </c>
      <c r="OO100" s="152">
        <f>MAX(0,2-SUMPRODUCT($NV100:$OA100,$I$2:$N$2)+MIN(2,$OB100*1+$OC100*1,SUMPRODUCT($NV100:$OA100,$I$2:$N$2)))</f>
        <v/>
      </c>
      <c r="OP100" s="152">
        <f>MAX(0,4-SUMPRODUCT($NV100:$OA100,$I$3:$N$3)+MIN(4,$OB100*1+$OC100*2,SUMPRODUCT($NV100:$OA100,$I$3:$N$3)))</f>
        <v/>
      </c>
      <c r="OQ100" s="152">
        <f>MAX(0,6-SUMPRODUCT($NV100:$OA100,$I$4:$N$4)+MIN(6,$OB100*2+$OC100*3,SUMPRODUCT($NV100:$OA100,$I$4:$N$4)))</f>
        <v/>
      </c>
      <c r="OR100" s="152">
        <f>MAX(0,9-SUMPRODUCT($NV100:$OA100,$I$5:$N$5)+MIN(8,$OB100*2+$OC100*4,SUMPRODUCT($NV100:$OA100,$I$5:$N$5)))</f>
        <v/>
      </c>
      <c r="OS100" s="152">
        <f>MAX(0,11-SUMPRODUCT($NV100:$OA100,$I$6:$N$6)+MIN(10,$OB100*3+$OC100*5,SUMPRODUCT($NV100:$OA100,$I$6:$N$6)))</f>
        <v/>
      </c>
      <c r="OT100" s="152">
        <f>MAX(0,13-SUMPRODUCT($NV100:$OA100,$I$7:$N$7)+MIN(12,$OB100*3+$OC100*6,SUMPRODUCT($NV100:$OA100,$I$7:$N$7)))</f>
        <v/>
      </c>
      <c r="OU100" s="152">
        <f>MAX(0,16-SUMPRODUCT($NV100:$OA100,$I$8:$N$8)+MIN(14,$OB100*4+$OC100*7,SUMPRODUCT($NV100:$OA100,$I$8:$N$8)))</f>
        <v/>
      </c>
      <c r="OV100" s="152">
        <f>IF($NP100=2,3*$OO100&amp;" de vida temp.",IF($NP100=3,"sem dano",IF($OO100=0,IF($NP100=1,"sem cura","sem dano"),IF($NP100=1,"cura ","")&amp;$OO100&amp;"d8")))</f>
        <v/>
      </c>
      <c r="OW100" s="152">
        <f>IF($NP100=2,3*$OP100&amp;" de vida temp.",IF($NP100=3,"sem dano",IF($OP100=0,IF($NP100=1,"sem cura","sem dano"),IF($NP100=1,"cura ","")&amp;$OP100&amp;"d8")))</f>
        <v/>
      </c>
      <c r="OX100" s="152">
        <f>IF($NP100=2,3*$OQ100&amp;" de vida temp.",IF($NP100=3,"sem dano",IF($OQ100=0,IF($NP100=1,"sem cura","sem dano"),IF($NP100=1,"cura ","")&amp;$OQ100&amp;"d8")))</f>
        <v/>
      </c>
      <c r="OY100" s="152">
        <f>IF($NP100=2,3*$OR100&amp;" de vida temp.",IF($NP100=3,"sem dano",IF($OR100=0,IF($NP100=1,"sem cura","sem dano"),IF($NP100=1,"cura ","")&amp;$OR100&amp;"d8")))</f>
        <v/>
      </c>
      <c r="OZ100" s="152">
        <f>IF($NP100=2,3*$OS100&amp;" de vida temp.",IF($NP100=3,"sem dano",IF($OS100=0,IF($NP100=1,"sem cura","sem dano"),IF($NP100=1,"cura ","")&amp;$OS100&amp;"d8")))</f>
        <v/>
      </c>
      <c r="PA100" s="152">
        <f>IF($NP100=2,3*$OT100&amp;" de vida temp.",IF($NP100=3,"sem dano",IF($OT100=0,IF($NP100=1,"sem cura","sem dano"),IF($NP100=1,"cura ","")&amp;$OT100&amp;"d8")))</f>
        <v/>
      </c>
      <c r="PB100" s="152">
        <f>IF($NP100=2,3*$OU100&amp;" de vida temp.",IF($NP100=3,"sem dano",IF($OU100=0,IF($NP100=1,"sem cura","sem dano"),IF($NP100=1,"cura ","")&amp;$OU100&amp;"d8")))</f>
        <v/>
      </c>
      <c r="PC100" s="152">
        <f>IF($MN100=0,"",TEXTJOIN(" · ",TRUE,IF($MA100&gt;$MO100,"Este lugar abre no nível "&amp;$MA100,""),IF($MC100&gt;$MP100,"Classe "&amp;$MC100&amp;": o nível "&amp;$MO100&amp;" libera até a "&amp;$MP100,""),IF($NH100=1,"A Forma "&amp;$ME100&amp;" pede "&amp;INDEX($W$2:$W$11,$MT100)&amp;" aberta",""),IF(AND($MC100=0,$MT100&gt;0,IF($MT100=0,0,INDEX($AF$2:$AF$11,$MT100))=0),$ME100&amp;" não existe na Classe 0",""),IF($NI100=1,"Família Fechada: "&amp;$MH100,""),IF($NJ100=1,"Família Fechada: "&amp;$MI100,""),IF($NK100=1,"Família Fechada: "&amp;$MJ100,""),IF($NL100=1,"Família Fechada: "&amp;$MK100,""),IF(AND($MC100&gt;0,$OD100&gt;INDEX($O$2:$O$8,MAX(1,$MC100))),$OD100&amp;" Melhorias: a Classe "&amp;$MC100&amp;" aceita "&amp;INDEX($O$2:$O$8,MAX(1,$MC100)),""),IF(AND($MC100=0,$OD100&gt;1),"A básica aceita uma Melhoria",""),IF(AND($MC100=0,COUNTIF($MY100:$NB100,"&gt;1")&gt;0),"A básica só aceita Melhoria Leve",""),IF(AND($MC100&gt;0,$OE100&gt;2),$OE100&amp;" Restrições"&amp;IF($NO100=1,", contando a que a Forma "&amp;$ME100&amp;" já traz","")&amp;": o limite é 2",""),IF(AND($MC100=0,COUNTIF($ML100:$MM100,"?*")&gt;1),"A básica aceita uma Restrição Leve",""),IF(AND($MC100=0,COUNTIF($NR100:$NS100,2)&gt;0),"A básica só aceita Restrição Leve",""),IF(AND($MC100&gt;0,$OL100&lt;0),"Orçamento estourado: faltam "&amp;(-$OL100)&amp;IF($OL100&lt;-1," pontos"," ponto"),""),IF(IFERROR(VLOOKUP($ML100,$BB$2:$BF$24,4,FALSE),0)+IFERROR(VLOOKUP($MM100,$BB$2:$BF$24,4,FALSE),0)&gt;1,$NT100&amp;" e "&amp;$NU100&amp;" são as duas de frequência",""),IF(AND((COUNTIF($MH100:$MK100,"Rápido")+COUNTIF($NT100:$NU100,"Rápido"))&gt;0,(COUNTIF($MH100:$MK100,"Atrasar")+COUNTIF($NT100:$NU100,"Atrasar"))&gt;0),"Rápido não entra com Atrasar",""),IF(AND((COUNTIF($MH100:$MK100,"Reação")+COUNTIF($NT100:$NU100,"Reação"))&gt;0,(COUNTIF($MH100:$MK100,"Rápido")+COUNTIF($NT100:$NU100,"Rápido"))&gt;0),"Reação não entra com Rápido",""),IF(AND((COUNTIF($MH100:$MK100,"Reação")+COUNTIF($NT100:$NU100,"Reação"))&gt;0,(COUNTIF($MH100:$MK100,"Armado")+COUNTIF($NT100:$NU100,"Armado"))&gt;0),"Reação não entra com Armado",""),IF(AND((COUNTIF($MH100:$MK100,"Reação")+COUNTIF($NT100:$NU100,"Reação"))&gt;0,(COUNTIF($MH100:$MK100,"Atrasar")+COUNTIF($NT100:$NU100,"Atrasar"))&gt;0),"Reação não entra com Atrasar",""),IF(AND((COUNTIF($MH100:$MK100,"Reação")+COUNTIF($NT100:$NU100,"Reação"))&gt;0,(COUNTIF($MH100:$MK100,"Parado")+COUNTIF($NT100:$NU100,"Parado"))&gt;0),"Reação não entra com Parado",""),IF(AND((COUNTIF($MH100:$MK100,"Atrasar")+COUNTIF($NT100:$NU100,"Atrasar"))&gt;0,(COUNTIF($MH100:$MK100,"Parado")+COUNTIF($NT100:$NU100,"Parado"))&gt;0),"Atrasar não entra com Parado",""),IF(AND((COUNTIF($MH100:$MK100,"Armado")+COUNTIF($NT100:$NU100,"Armado"))&gt;0,(COUNTIF($MH100:$MK100,"Carregar")+COUNTIF($NT100:$NU100,"Carregar"))&gt;0),"Armado não entra com Carregar",""),IF(AND(COUNTIF($NT100:$NU100,"Corpo a Corpo")&gt;0,$NO100=0,OR($ME100="Cone",$ME100="Linha")),"Corpo a Corpo não entra em "&amp;$ME100,""),IF(AND(COUNTIF($NT100:$NU100,"Corpo a Corpo")&gt;0,$NO100=1),"A Forma "&amp;$ME100&amp;" já traz o Corpo a Corpo",""),IF(AND(COUNTIF($NT100:$NU100,"Tudo ou Nada")&gt;0,$NQ100=0),"Tudo ou Nada só entra em habilidade de Teste de Resistência",""),IF(AND(COUNTIF($MH100:$MK100,"Inescapável")&gt;0,OR($OD100&gt;1,$OE100&gt;0)),"Inescapável não aceita outra peça",""),IF(AND($MC100&gt;0,$OM100*IF(COUNTIF($MH100:$MK100,"Remate")&gt;0,1.25,1)+$ON100&gt;4*$MC100),($OM100*IF(COUNTIF($MH100:$MK100,"Remate")&gt;0,1.25,1)+$ON100)&amp;" dados somando repetições"&amp;IF(COUNTIF($MH100:$MK100,"Remate")&gt;0," e o Remate","")&amp;": o teto da Classe "&amp;$MC100&amp;" é "&amp;4*$MC100,"")))</f>
        <v/>
      </c>
      <c r="PD100" s="152">
        <f>IF($PC100="",0,(LEN($PC100)-LEN(SUBSTITUTE($PC100," · ","")))/3+1)</f>
        <v/>
      </c>
      <c r="PE100" s="152">
        <f>IF($MN100=0,"",TEXTJOIN(" · ",TRUE,IF($OG100&gt;2*$MC100,"A devolução parou no teto de "&amp;2*$MC100,""),IF($OJ100&gt;0,"Devolução perdida: "&amp;$OJ100&amp;IF($OJ100&gt;1," pontos"," ponto")&amp;" sem peça para pagar",""),IF(AND($NM100&gt;0,AND($MC100&gt;0,$NP100=0),$OM100=0),"Controle sem dano: uma rodada a mais e CD +2",""),IF(AND($NM100&gt;0,AND($MC100&gt;0,$NP100=0),$OM100&gt;0,$OM100&lt;=$MC100),"Controle com saldo até a Classe: uma rodada a mais",""),IF(AND($MC100&gt;0,$NN100&lt;&gt;""),"Efeito de "&amp;$NN100&amp;" pela Classe "&amp;MAX(1,$MC100-1),"")))</f>
        <v/>
      </c>
      <c r="PF100" s="152">
        <f>IF($PE100="",0,(LEN($PE100)-LEN(SUBSTITUTE($PE100," · ","")))/3+1)</f>
        <v/>
      </c>
      <c r="PG100" s="152">
        <f>IF($MN100=0,IF($OD100+COUNTIF($ML100:$MM100,"?*")&gt;0,"Dê um nome",""),IF($PD100&gt;0,"⚠ "&amp;$PD100&amp;IF($PD100&gt;1," erros"," erro"),IF($PF100&gt;0,"! "&amp;$PF100&amp;IF($PF100&gt;1," avisos"," aviso"),"Na regra")))</f>
        <v/>
      </c>
      <c r="PH100" s="152">
        <f>IF($MN100=0,"",IF($PD100+$PF100=0,"Dentro das regras que a ficha confere",$PC100&amp;IF(AND($PD100&gt;0,$PF100&gt;0)," · ","")&amp;$PE100))</f>
        <v/>
      </c>
      <c r="PI100" s="152">
        <f>IF($MA100&gt;$MO100,$MB100&amp;" · ABRE NO NÍVEL "&amp;$MA100,$MB100)</f>
        <v/>
      </c>
      <c r="PJ100" s="152">
        <f>IF($MN100=0,"",IF($MC100=0,"Sem PE",3*$MC100&amp;" PE"))</f>
        <v/>
      </c>
      <c r="PK100" s="152">
        <f>IF($MN100=0,"",IF($MC100=0,"A atuação básica dela",IF(COUNTIF($NT100:$NU100,"Atrasar")&gt;0,"Sua Ação Completa",IF(COUNTIF($MH100:$MK100,"Rápido")&gt;0,"Sua Bônus",IF(COUNTIF($MH100:$MK100,"Reação")&gt;0,"Sua Reação","Sua Padrão")))&amp;" + a básica dela"&amp;IF(COUNTIF($MH100:$MK100,"Reação")&gt;0," e a coletiva","")&amp;IF(COUNTIF($NT100:$NU100,"Carregar")&gt;0," · em dois turnos","")))</f>
        <v/>
      </c>
      <c r="PL100" s="152">
        <f>IF($MG100&lt;&gt;"",$MG100,IF($MT100=0,"",INDEX($AA$2:$AA$11,$MT100)))</f>
        <v/>
      </c>
      <c r="PM100" s="152">
        <f>IF(OR($MN100=0,$MT100=0),"",IF(COUNTIF($MH100:$MK100,"Inescapável")&gt;0,"Automático",IF($PL100="Ataque",IF($MR100="","Ataque","Ataque "&amp;IF(($MR100+2*IF(COUNTIF($MH100:$MK100,"Precisão")&gt;0,1,0))&gt;=0,"+","−")&amp;ABS(($MR100+2*IF(COUNTIF($MH100:$MK100,"Precisão")&gt;0,1,0)))),IF(LEFT($PL100,2)="TR",$PL100&amp;IF($MS100="",""," · CD "&amp;$MS100)&amp;IF(COUNTIF($MH100:$MK100,"Certeiro")&gt;0," · metade",""),"Sem rolagem"))))</f>
        <v/>
      </c>
      <c r="PN100" s="152">
        <f>IF(OR($MN100=0,$MT100=0),"",IF($MC100=0,IF(OR($NP100&gt;=1,$OM100=0),"Sem dano",$OM100&amp;"d6"&amp;IF($MF100="",""," "&amp;$MF100)),IF(OR($NP100&gt;=1,$OM100=0),UPPER(LEFT(INDEX($OV100:$PB100,1,MAX(1,$MC100)),1))&amp;MID(INDEX($OV100:$PB100,1,MAX(1,$MC100)),2,99),UPPER(LEFT(INDEX($OV100:$PB100,1,MAX(1,$MC100)),1))&amp;MID(INDEX($OV100:$PB100,1,MAX(1,$MC100)),2,99)&amp;IF($MF100="",""," "&amp;$MF100)&amp;IF($ON100&gt;0," · +"&amp;$ON100&amp;"d8",""))))</f>
        <v/>
      </c>
      <c r="PO100" s="152">
        <f>COUNTIF($MH100:$MK100,"Longe")+3*COUNTIF($MH100:$MK100,"Muito Longe")</f>
        <v/>
      </c>
      <c r="PP100" s="152">
        <f>COUNTIF($MH100:$MK100,"Maior")+3*COUNTIF($MH100:$MK100,"Muito Maior")</f>
        <v/>
      </c>
      <c r="PQ100" s="152">
        <f>IF($MT100=0,0,CHOOSE(1+INDEX($AC$2:$AC$11,$MT100),0,$PO100,$PP100,$PO100+$PP100))</f>
        <v/>
      </c>
      <c r="PR100" s="152">
        <f>IF($MT100=0,0,CHOOSE(1+INDEX($AD$2:$AD$11,$MT100),0,$PO100,$PP100,$PO100+$PP100))</f>
        <v/>
      </c>
      <c r="PS100" s="152">
        <f>IF(OR($MN100=0,$MT100=0),"",INDEX($AI$2:$AN$41,($MT100-1)*4+IF($MC100=0,1,IF($MC100&lt;=5,2,IF($MC100=6,3,4))),1+MIN(5,$PQ100))&amp;INDEX($AO$2:$AT$41,($MT100-1)*4+IF($MC100=0,1,IF($MC100&lt;=5,2,IF($MC100=6,3,4))),1+MIN(5,$PR100))&amp;IF(INDEX($AE$2:$AE$11,$MT100)=1,IF(COUNTIF($MH100:$MK100,"Mais Um")&gt;0," · +"&amp;COUNTIF($MH100:$MK100,"Mais Um")&amp;IF(COUNTIF($MH100:$MK100,"Mais Um")&gt;1," alvos"," alvo"),"")&amp;IF(COUNTIF($MH100:$MK100,"Rajada")&gt;0,IF($MC100=0," · 1 tiro"," · "&amp;(MAX(1,$MC100-1)+1)&amp;" tiros"),""),""))</f>
        <v/>
      </c>
      <c r="PT100" s="152">
        <f>IF($MN100=0,"",IF($MC100=0,$MQ100&amp;"d6"&amp;IF($OD100&gt;0," − 1 = "&amp;$OM100&amp;"d6"," da básica do nível "&amp;$MO100),$OK100&amp;" − "&amp;$OF100&amp;" + "&amp;$OI100&amp;" = "&amp;$OL100&amp;" · teto "&amp;4*$MC100&amp;"d8"&amp;IF($NO100=1," · a Forma devolve "&amp;$MC100,"")&amp;IF($OJ100&gt;0," · perde "&amp;$OJ100,"")))</f>
        <v/>
      </c>
      <c r="PU100" s="152">
        <f>IF($MN100=0,"",IF($MC100=0,"A básica não amplia: os dados dela sobem com o nível",IF($MC100&gt;=$MP100,"Já está na maior Classe que o nível liberou",TEXTJOIN(" · ",TRUE,IF(AND(2&gt;$MC100,2&lt;=$MP100),"2 → "&amp;$OW100&amp;", 6 PE",""),IF(AND(3&gt;$MC100,3&lt;=$MP100),"3 → "&amp;$OX100&amp;", 9 PE",""),IF(AND(4&gt;$MC100,4&lt;=$MP100),"4 → "&amp;$OY100&amp;", 12 PE",""),IF(AND(5&gt;$MC100,5&lt;=$MP100),"5 → "&amp;$OZ100&amp;", 15 PE",""),IF(AND(6&gt;$MC100,6&lt;=$MP100),"6 → "&amp;$PA100&amp;", 18 PE",""),IF(AND(7&gt;$MC100,7&lt;=$MP100),"7 → "&amp;$PB100&amp;", 21 PE","")))))</f>
        <v/>
      </c>
      <c r="PV100" s="152">
        <f>IF(OR($MN100=0,$MY100=0),"",IF($MC100=0,"−1 dado","−"&amp;INDEX($I$2:$N$8,MAX(1,$MC100),MAX(1,$ND100))&amp;" · "&amp;CHOOSE(MAX(1,$ND100),"Leve","Média","Pesada","Leve · Livre","Média · Livre","Pesada · Livre")))</f>
        <v/>
      </c>
      <c r="PW100" s="152">
        <f>IF(OR($MN100=0,$MZ100=0),"",IF($MC100=0,"−1 dado","−"&amp;INDEX($I$2:$N$8,MAX(1,$MC100),MAX(1,$NE100))&amp;" · "&amp;CHOOSE(MAX(1,$NE100),"Leve","Média","Pesada","Leve · Livre","Média · Livre","Pesada · Livre")))</f>
        <v/>
      </c>
      <c r="PX100" s="152">
        <f>IF(OR($MN100=0,$NA100=0),"",IF($MC100=0,"−1 dado","−"&amp;INDEX($I$2:$N$8,MAX(1,$MC100),MAX(1,$NF100))&amp;" · "&amp;CHOOSE(MAX(1,$NF100),"Leve","Média","Pesada","Leve · Livre","Média · Livre","Pesada · Livre")))</f>
        <v/>
      </c>
      <c r="PY100" s="152">
        <f>IF(OR($MN100=0,$NB100=0),"",IF($MC100=0,"−1 dado","−"&amp;INDEX($I$2:$N$8,MAX(1,$MC100),MAX(1,$NG100))&amp;" · "&amp;CHOOSE(MAX(1,$NG100),"Leve","Média","Pesada","Leve · Livre","Média · Livre","Pesada · Livre")))</f>
        <v/>
      </c>
      <c r="PZ100" s="152">
        <f>IF(OR($MN100=0,$ML100=""),"",IF($MC100=0,"não devolve","+"&amp;IF($NR100=1,CEILING($MC100/2,1),$MC100)))</f>
        <v/>
      </c>
      <c r="QA100" s="152">
        <f>IF(OR($MN100=0,$MM100=""),"",IF($MC100=0,"não devolve","+"&amp;IF($NS100=1,CEILING($MC100/2,1),$MC100)))</f>
        <v/>
      </c>
    </row>
    <row r="101">
      <c r="LX101" s="150" t="inlineStr">
        <is>
          <t>Ficha 8 · Especial 7</t>
        </is>
      </c>
      <c r="LY101" s="152" t="n">
        <v>8</v>
      </c>
      <c r="LZ101" s="152" t="n">
        <v>1</v>
      </c>
      <c r="MA101" s="152" t="n">
        <v>24</v>
      </c>
      <c r="MB101" s="150" t="inlineStr">
        <is>
          <t>ESPECIAL 7</t>
        </is>
      </c>
      <c r="MC101" s="152">
        <f>MAX(1,MIN(7,N('INVOCAÇÕES'!$AN$312)))</f>
        <v/>
      </c>
      <c r="MD101" s="152">
        <f>'INVOCAÇÕES'!$AO$312&amp;""</f>
        <v/>
      </c>
      <c r="ME101" s="152">
        <f>'INVOCAÇÕES'!$AN$317&amp;""</f>
        <v/>
      </c>
      <c r="MF101" s="152">
        <f>'INVOCAÇÕES'!$AN$318&amp;""</f>
        <v/>
      </c>
      <c r="MG101" s="152">
        <f>'INVOCAÇÕES'!$AP$318&amp;""</f>
        <v/>
      </c>
      <c r="MH101" s="152">
        <f>'INVOCAÇÕES'!$AO$321&amp;""</f>
        <v/>
      </c>
      <c r="MI101" s="152">
        <f>'INVOCAÇÕES'!$AO$322&amp;""</f>
        <v/>
      </c>
      <c r="MJ101" s="152">
        <f>'INVOCAÇÕES'!$AO$323&amp;""</f>
        <v/>
      </c>
      <c r="MK101" s="152">
        <f>'INVOCAÇÕES'!$AO$324&amp;""</f>
        <v/>
      </c>
      <c r="ML101" s="152">
        <f>'INVOCAÇÕES'!$AO$325&amp;""</f>
        <v/>
      </c>
      <c r="MM101" s="152">
        <f>'INVOCAÇÕES'!$AO$326&amp;""</f>
        <v/>
      </c>
      <c r="MN101" s="152">
        <f>IF($MD101&lt;&gt;"",1,0)</f>
        <v/>
      </c>
      <c r="MO101" s="152">
        <f>INDEX($FG$2:$FG$13,$LY101)</f>
        <v/>
      </c>
      <c r="MP101" s="152">
        <f>INDEX($FH$2:$FH$13,$LY101)</f>
        <v/>
      </c>
      <c r="MQ101" s="152">
        <f>INDEX($FI$2:$FI$13,$LY101)</f>
        <v/>
      </c>
      <c r="MR101" s="152">
        <f>INDEX($FT$2:$FT$13,$LY101)</f>
        <v/>
      </c>
      <c r="MS101" s="152">
        <f>INDEX($FU$2:$FU$13,$LY101)</f>
        <v/>
      </c>
      <c r="MT101" s="152">
        <f>IFERROR(MATCH($ME101,$V$2:$V$11,0),0)</f>
        <v/>
      </c>
      <c r="MU101" s="152">
        <f>IFERROR(VLOOKUP($MH101,$AV$2:$AZ$84,2,FALSE),"")</f>
        <v/>
      </c>
      <c r="MV101" s="152">
        <f>IFERROR(VLOOKUP($MI101,$AV$2:$AZ$84,2,FALSE),"")</f>
        <v/>
      </c>
      <c r="MW101" s="152">
        <f>IFERROR(VLOOKUP($MJ101,$AV$2:$AZ$84,2,FALSE),"")</f>
        <v/>
      </c>
      <c r="MX101" s="152">
        <f>IFERROR(VLOOKUP($MK101,$AV$2:$AZ$84,2,FALSE),"")</f>
        <v/>
      </c>
      <c r="MY101" s="152">
        <f>IFERROR(VLOOKUP($MH101,$AV$2:$AZ$84,3,FALSE),0)</f>
        <v/>
      </c>
      <c r="MZ101" s="152">
        <f>IFERROR(VLOOKUP($MI101,$AV$2:$AZ$84,3,FALSE),0)</f>
        <v/>
      </c>
      <c r="NA101" s="152">
        <f>IFERROR(VLOOKUP($MJ101,$AV$2:$AZ$84,3,FALSE),0)</f>
        <v/>
      </c>
      <c r="NB101" s="152">
        <f>IFERROR(VLOOKUP($MK101,$AV$2:$AZ$84,3,FALSE),0)</f>
        <v/>
      </c>
      <c r="NC101" s="152">
        <f>IF($MC101=0,0,IF($MT101=0,0,INDEX($X$2:$X$11,$MT101)))</f>
        <v/>
      </c>
      <c r="ND101" s="152">
        <f>IF(OR($MY101=0,$MC101=0),0,$MY101+3*IF(AND($MU101&lt;&gt;"",OR($MU101=INDEX($ED$2:$ED$13,$LY101),$MU101=INDEX($EE$2:$EE$13,$LY101))),1,0))</f>
        <v/>
      </c>
      <c r="NE101" s="152">
        <f>IF(OR($MZ101=0,$MC101=0),0,$MZ101+3*IF(AND($MV101&lt;&gt;"",OR($MV101=INDEX($ED$2:$ED$13,$LY101),$MV101=INDEX($EE$2:$EE$13,$LY101))),1,0))</f>
        <v/>
      </c>
      <c r="NF101" s="152">
        <f>IF(OR($NA101=0,$MC101=0),0,$NA101+3*IF(AND($MW101&lt;&gt;"",OR($MW101=INDEX($ED$2:$ED$13,$LY101),$MW101=INDEX($EE$2:$EE$13,$LY101))),1,0))</f>
        <v/>
      </c>
      <c r="NG101" s="152">
        <f>IF(OR($NB101=0,$MC101=0),0,$NB101+3*IF(AND($MX101&lt;&gt;"",OR($MX101=INDEX($ED$2:$ED$13,$LY101),$MX101=INDEX($EE$2:$EE$13,$LY101))),1,0))</f>
        <v/>
      </c>
      <c r="NH101" s="152">
        <f>IF($MT101=0,0,IF(INDEX($W$2:$W$11,$MT101)="",0,IF(COUNTIF(INDEX($ED$2:$EH$13,$LY101,0),INDEX($W$2:$W$11,$MT101))=0,1,0)))</f>
        <v/>
      </c>
      <c r="NI101" s="152">
        <f>IF(OR($MY101=0,$MU101=""),0,IF(COUNTIF(INDEX($ED$2:$EH$13,$LY101,0),$MU101)=0,1,0))</f>
        <v/>
      </c>
      <c r="NJ101" s="152">
        <f>IF(OR($MZ101=0,$MV101=""),0,IF(COUNTIF(INDEX($ED$2:$EH$13,$LY101,0),$MV101)=0,1,0))</f>
        <v/>
      </c>
      <c r="NK101" s="152">
        <f>IF(OR($NA101=0,$MW101=""),0,IF(COUNTIF(INDEX($ED$2:$EH$13,$LY101,0),$MW101)=0,1,0))</f>
        <v/>
      </c>
      <c r="NL101" s="152">
        <f>IF(OR($NB101=0,$MX101=""),0,IF(COUNTIF(INDEX($ED$2:$EH$13,$LY101,0),$MX101)=0,1,0))</f>
        <v/>
      </c>
      <c r="NM101" s="152">
        <f>IFERROR(VLOOKUP($MH101,$AV$2:$AZ$84,4,FALSE),0)+IFERROR(VLOOKUP($MI101,$AV$2:$AZ$84,4,FALSE),0)+IFERROR(VLOOKUP($MJ101,$AV$2:$AZ$84,4,FALSE),0)+IFERROR(VLOOKUP($MK101,$AV$2:$AZ$84,4,FALSE),0)</f>
        <v/>
      </c>
      <c r="NN101" s="152">
        <f>TEXTJOIN(", ",TRUE,IF(IFERROR(VLOOKUP($MH101,$AV$2:$AZ$84,5,FALSE),0)=1,$MH101,""),IF(IFERROR(VLOOKUP($MI101,$AV$2:$AZ$84,5,FALSE),0)=1,$MI101,""),IF(IFERROR(VLOOKUP($MJ101,$AV$2:$AZ$84,5,FALSE),0)=1,$MJ101,""),IF(IFERROR(VLOOKUP($MK101,$AV$2:$AZ$84,5,FALSE),0)=1,$MK101,""))</f>
        <v/>
      </c>
      <c r="NO101" s="152">
        <f>IF($MT101=0,0,INDEX($Y$2:$Y$11,$MT101))</f>
        <v/>
      </c>
      <c r="NP101" s="152">
        <f>IF($MT101=0,0,INDEX($Z$2:$Z$11,$MT101))</f>
        <v/>
      </c>
      <c r="NQ101" s="152">
        <f>IF($MT101=0,0,INDEX($AB$2:$AB$11,$MT101))</f>
        <v/>
      </c>
      <c r="NR101" s="152">
        <f>IFERROR(VLOOKUP($ML101,$BB$2:$BF$24,3,FALSE),0)</f>
        <v/>
      </c>
      <c r="NS101" s="152">
        <f>IFERROR(VLOOKUP($MM101,$BB$2:$BF$24,3,FALSE),0)</f>
        <v/>
      </c>
      <c r="NT101" s="152">
        <f>IFERROR(VLOOKUP($ML101,$BB$2:$BF$24,2,FALSE),"")</f>
        <v/>
      </c>
      <c r="NU101" s="152">
        <f>IFERROR(VLOOKUP($MM101,$BB$2:$BF$24,2,FALSE),"")</f>
        <v/>
      </c>
      <c r="NV101" s="152">
        <f>COUNTIF($NC101:$NG101,1)</f>
        <v/>
      </c>
      <c r="NW101" s="152">
        <f>COUNTIF($NC101:$NG101,2)</f>
        <v/>
      </c>
      <c r="NX101" s="152">
        <f>COUNTIF($NC101:$NG101,3)</f>
        <v/>
      </c>
      <c r="NY101" s="152">
        <f>COUNTIF($NC101:$NG101,4)</f>
        <v/>
      </c>
      <c r="NZ101" s="152">
        <f>COUNTIF($NC101:$NG101,5)</f>
        <v/>
      </c>
      <c r="OA101" s="152">
        <f>COUNTIF($NC101:$NG101,6)</f>
        <v/>
      </c>
      <c r="OB101" s="152">
        <f>COUNTIF($NR101:$NS101,1)</f>
        <v/>
      </c>
      <c r="OC101" s="152">
        <f>COUNTIF($NR101:$NS101,2)+$NO101</f>
        <v/>
      </c>
      <c r="OD101" s="152">
        <f>COUNTIF($MH101:$MK101,"?*")</f>
        <v/>
      </c>
      <c r="OE101" s="152">
        <f>COUNTIF($ML101:$MM101,"?*")+$NO101</f>
        <v/>
      </c>
      <c r="OF101" s="152">
        <f>IF($MC101=0,0,SUMPRODUCT($NV101:$OA101,INDEX($I$2:$N$8,MAX(1,$MC101),0)))</f>
        <v/>
      </c>
      <c r="OG101" s="152">
        <f>IF($MC101=0,0,$OB101*CEILING($MC101/2,1)+$OC101*$MC101)</f>
        <v/>
      </c>
      <c r="OH101" s="152">
        <f>MIN(2*$MC101,$OG101)</f>
        <v/>
      </c>
      <c r="OI101" s="152">
        <f>MIN($OH101,$OF101)</f>
        <v/>
      </c>
      <c r="OJ101" s="152">
        <f>$OH101-$OI101</f>
        <v/>
      </c>
      <c r="OK101" s="152">
        <f>IF($MC101=0,0,INDEX($P$2:$P$8,MAX(1,$MC101)))</f>
        <v/>
      </c>
      <c r="OL101" s="152">
        <f>$OK101-$OF101+$OI101</f>
        <v/>
      </c>
      <c r="OM101" s="152">
        <f>IF($MC101=0,MAX(0,$MQ101-IF($OD101&gt;0,1,0)),MAX(0,$OL101))</f>
        <v/>
      </c>
      <c r="ON101" s="152">
        <f>IF($MC101=0,0,(IF(COUNTIF($MH101:$MK101,"Salto")&gt;0,1,0)+IF(COUNTIF($MH101:$MK101,"Queima")&gt;0,1,0)+IF(COUNTIF($MH101:$MK101,"Estilhaço")&gt;0,1,0))*FLOOR($OM101/2,1))</f>
        <v/>
      </c>
      <c r="OO101" s="152">
        <f>MAX(0,2-SUMPRODUCT($NV101:$OA101,$I$2:$N$2)+MIN(2,$OB101*1+$OC101*1,SUMPRODUCT($NV101:$OA101,$I$2:$N$2)))</f>
        <v/>
      </c>
      <c r="OP101" s="152">
        <f>MAX(0,4-SUMPRODUCT($NV101:$OA101,$I$3:$N$3)+MIN(4,$OB101*1+$OC101*2,SUMPRODUCT($NV101:$OA101,$I$3:$N$3)))</f>
        <v/>
      </c>
      <c r="OQ101" s="152">
        <f>MAX(0,6-SUMPRODUCT($NV101:$OA101,$I$4:$N$4)+MIN(6,$OB101*2+$OC101*3,SUMPRODUCT($NV101:$OA101,$I$4:$N$4)))</f>
        <v/>
      </c>
      <c r="OR101" s="152">
        <f>MAX(0,9-SUMPRODUCT($NV101:$OA101,$I$5:$N$5)+MIN(8,$OB101*2+$OC101*4,SUMPRODUCT($NV101:$OA101,$I$5:$N$5)))</f>
        <v/>
      </c>
      <c r="OS101" s="152">
        <f>MAX(0,11-SUMPRODUCT($NV101:$OA101,$I$6:$N$6)+MIN(10,$OB101*3+$OC101*5,SUMPRODUCT($NV101:$OA101,$I$6:$N$6)))</f>
        <v/>
      </c>
      <c r="OT101" s="152">
        <f>MAX(0,13-SUMPRODUCT($NV101:$OA101,$I$7:$N$7)+MIN(12,$OB101*3+$OC101*6,SUMPRODUCT($NV101:$OA101,$I$7:$N$7)))</f>
        <v/>
      </c>
      <c r="OU101" s="152">
        <f>MAX(0,16-SUMPRODUCT($NV101:$OA101,$I$8:$N$8)+MIN(14,$OB101*4+$OC101*7,SUMPRODUCT($NV101:$OA101,$I$8:$N$8)))</f>
        <v/>
      </c>
      <c r="OV101" s="152">
        <f>IF($NP101=2,3*$OO101&amp;" de vida temp.",IF($NP101=3,"sem dano",IF($OO101=0,IF($NP101=1,"sem cura","sem dano"),IF($NP101=1,"cura ","")&amp;$OO101&amp;"d8")))</f>
        <v/>
      </c>
      <c r="OW101" s="152">
        <f>IF($NP101=2,3*$OP101&amp;" de vida temp.",IF($NP101=3,"sem dano",IF($OP101=0,IF($NP101=1,"sem cura","sem dano"),IF($NP101=1,"cura ","")&amp;$OP101&amp;"d8")))</f>
        <v/>
      </c>
      <c r="OX101" s="152">
        <f>IF($NP101=2,3*$OQ101&amp;" de vida temp.",IF($NP101=3,"sem dano",IF($OQ101=0,IF($NP101=1,"sem cura","sem dano"),IF($NP101=1,"cura ","")&amp;$OQ101&amp;"d8")))</f>
        <v/>
      </c>
      <c r="OY101" s="152">
        <f>IF($NP101=2,3*$OR101&amp;" de vida temp.",IF($NP101=3,"sem dano",IF($OR101=0,IF($NP101=1,"sem cura","sem dano"),IF($NP101=1,"cura ","")&amp;$OR101&amp;"d8")))</f>
        <v/>
      </c>
      <c r="OZ101" s="152">
        <f>IF($NP101=2,3*$OS101&amp;" de vida temp.",IF($NP101=3,"sem dano",IF($OS101=0,IF($NP101=1,"sem cura","sem dano"),IF($NP101=1,"cura ","")&amp;$OS101&amp;"d8")))</f>
        <v/>
      </c>
      <c r="PA101" s="152">
        <f>IF($NP101=2,3*$OT101&amp;" de vida temp.",IF($NP101=3,"sem dano",IF($OT101=0,IF($NP101=1,"sem cura","sem dano"),IF($NP101=1,"cura ","")&amp;$OT101&amp;"d8")))</f>
        <v/>
      </c>
      <c r="PB101" s="152">
        <f>IF($NP101=2,3*$OU101&amp;" de vida temp.",IF($NP101=3,"sem dano",IF($OU101=0,IF($NP101=1,"sem cura","sem dano"),IF($NP101=1,"cura ","")&amp;$OU101&amp;"d8")))</f>
        <v/>
      </c>
      <c r="PC101" s="152">
        <f>IF($MN101=0,"",TEXTJOIN(" · ",TRUE,IF($MA101&gt;$MO101,"Este lugar abre no nível "&amp;$MA101,""),IF($MC101&gt;$MP101,"Classe "&amp;$MC101&amp;": o nível "&amp;$MO101&amp;" libera até a "&amp;$MP101,""),IF($NH101=1,"A Forma "&amp;$ME101&amp;" pede "&amp;INDEX($W$2:$W$11,$MT101)&amp;" aberta",""),IF(AND($MC101=0,$MT101&gt;0,IF($MT101=0,0,INDEX($AF$2:$AF$11,$MT101))=0),$ME101&amp;" não existe na Classe 0",""),IF($NI101=1,"Família Fechada: "&amp;$MH101,""),IF($NJ101=1,"Família Fechada: "&amp;$MI101,""),IF($NK101=1,"Família Fechada: "&amp;$MJ101,""),IF($NL101=1,"Família Fechada: "&amp;$MK101,""),IF(AND($MC101&gt;0,$OD101&gt;INDEX($O$2:$O$8,MAX(1,$MC101))),$OD101&amp;" Melhorias: a Classe "&amp;$MC101&amp;" aceita "&amp;INDEX($O$2:$O$8,MAX(1,$MC101)),""),IF(AND($MC101=0,$OD101&gt;1),"A básica aceita uma Melhoria",""),IF(AND($MC101=0,COUNTIF($MY101:$NB101,"&gt;1")&gt;0),"A básica só aceita Melhoria Leve",""),IF(AND($MC101&gt;0,$OE101&gt;2),$OE101&amp;" Restrições"&amp;IF($NO101=1,", contando a que a Forma "&amp;$ME101&amp;" já traz","")&amp;": o limite é 2",""),IF(AND($MC101=0,COUNTIF($ML101:$MM101,"?*")&gt;1),"A básica aceita uma Restrição Leve",""),IF(AND($MC101=0,COUNTIF($NR101:$NS101,2)&gt;0),"A básica só aceita Restrição Leve",""),IF(AND($MC101&gt;0,$OL101&lt;0),"Orçamento estourado: faltam "&amp;(-$OL101)&amp;IF($OL101&lt;-1," pontos"," ponto"),""),IF(IFERROR(VLOOKUP($ML101,$BB$2:$BF$24,4,FALSE),0)+IFERROR(VLOOKUP($MM101,$BB$2:$BF$24,4,FALSE),0)&gt;1,$NT101&amp;" e "&amp;$NU101&amp;" são as duas de frequência",""),IF(AND((COUNTIF($MH101:$MK101,"Rápido")+COUNTIF($NT101:$NU101,"Rápido"))&gt;0,(COUNTIF($MH101:$MK101,"Atrasar")+COUNTIF($NT101:$NU101,"Atrasar"))&gt;0),"Rápido não entra com Atrasar",""),IF(AND((COUNTIF($MH101:$MK101,"Reação")+COUNTIF($NT101:$NU101,"Reação"))&gt;0,(COUNTIF($MH101:$MK101,"Rápido")+COUNTIF($NT101:$NU101,"Rápido"))&gt;0),"Reação não entra com Rápido",""),IF(AND((COUNTIF($MH101:$MK101,"Reação")+COUNTIF($NT101:$NU101,"Reação"))&gt;0,(COUNTIF($MH101:$MK101,"Armado")+COUNTIF($NT101:$NU101,"Armado"))&gt;0),"Reação não entra com Armado",""),IF(AND((COUNTIF($MH101:$MK101,"Reação")+COUNTIF($NT101:$NU101,"Reação"))&gt;0,(COUNTIF($MH101:$MK101,"Atrasar")+COUNTIF($NT101:$NU101,"Atrasar"))&gt;0),"Reação não entra com Atrasar",""),IF(AND((COUNTIF($MH101:$MK101,"Reação")+COUNTIF($NT101:$NU101,"Reação"))&gt;0,(COUNTIF($MH101:$MK101,"Parado")+COUNTIF($NT101:$NU101,"Parado"))&gt;0),"Reação não entra com Parado",""),IF(AND((COUNTIF($MH101:$MK101,"Atrasar")+COUNTIF($NT101:$NU101,"Atrasar"))&gt;0,(COUNTIF($MH101:$MK101,"Parado")+COUNTIF($NT101:$NU101,"Parado"))&gt;0),"Atrasar não entra com Parado",""),IF(AND((COUNTIF($MH101:$MK101,"Armado")+COUNTIF($NT101:$NU101,"Armado"))&gt;0,(COUNTIF($MH101:$MK101,"Carregar")+COUNTIF($NT101:$NU101,"Carregar"))&gt;0),"Armado não entra com Carregar",""),IF(AND(COUNTIF($NT101:$NU101,"Corpo a Corpo")&gt;0,$NO101=0,OR($ME101="Cone",$ME101="Linha")),"Corpo a Corpo não entra em "&amp;$ME101,""),IF(AND(COUNTIF($NT101:$NU101,"Corpo a Corpo")&gt;0,$NO101=1),"A Forma "&amp;$ME101&amp;" já traz o Corpo a Corpo",""),IF(AND(COUNTIF($NT101:$NU101,"Tudo ou Nada")&gt;0,$NQ101=0),"Tudo ou Nada só entra em habilidade de Teste de Resistência",""),IF(AND(COUNTIF($MH101:$MK101,"Inescapável")&gt;0,OR($OD101&gt;1,$OE101&gt;0)),"Inescapável não aceita outra peça",""),IF(AND($MC101&gt;0,$OM101*IF(COUNTIF($MH101:$MK101,"Remate")&gt;0,1.25,1)+$ON101&gt;4*$MC101),($OM101*IF(COUNTIF($MH101:$MK101,"Remate")&gt;0,1.25,1)+$ON101)&amp;" dados somando repetições"&amp;IF(COUNTIF($MH101:$MK101,"Remate")&gt;0," e o Remate","")&amp;": o teto da Classe "&amp;$MC101&amp;" é "&amp;4*$MC101,"")))</f>
        <v/>
      </c>
      <c r="PD101" s="152">
        <f>IF($PC101="",0,(LEN($PC101)-LEN(SUBSTITUTE($PC101," · ","")))/3+1)</f>
        <v/>
      </c>
      <c r="PE101" s="152">
        <f>IF($MN101=0,"",TEXTJOIN(" · ",TRUE,IF($OG101&gt;2*$MC101,"A devolução parou no teto de "&amp;2*$MC101,""),IF($OJ101&gt;0,"Devolução perdida: "&amp;$OJ101&amp;IF($OJ101&gt;1," pontos"," ponto")&amp;" sem peça para pagar",""),IF(AND($NM101&gt;0,AND($MC101&gt;0,$NP101=0),$OM101=0),"Controle sem dano: uma rodada a mais e CD +2",""),IF(AND($NM101&gt;0,AND($MC101&gt;0,$NP101=0),$OM101&gt;0,$OM101&lt;=$MC101),"Controle com saldo até a Classe: uma rodada a mais",""),IF(AND($MC101&gt;0,$NN101&lt;&gt;""),"Efeito de "&amp;$NN101&amp;" pela Classe "&amp;MAX(1,$MC101-1),"")))</f>
        <v/>
      </c>
      <c r="PF101" s="152">
        <f>IF($PE101="",0,(LEN($PE101)-LEN(SUBSTITUTE($PE101," · ","")))/3+1)</f>
        <v/>
      </c>
      <c r="PG101" s="152">
        <f>IF($MN101=0,IF($OD101+COUNTIF($ML101:$MM101,"?*")&gt;0,"Dê um nome",""),IF($PD101&gt;0,"⚠ "&amp;$PD101&amp;IF($PD101&gt;1," erros"," erro"),IF($PF101&gt;0,"! "&amp;$PF101&amp;IF($PF101&gt;1," avisos"," aviso"),"Na regra")))</f>
        <v/>
      </c>
      <c r="PH101" s="152">
        <f>IF($MN101=0,"",IF($PD101+$PF101=0,"Dentro das regras que a ficha confere",$PC101&amp;IF(AND($PD101&gt;0,$PF101&gt;0)," · ","")&amp;$PE101))</f>
        <v/>
      </c>
      <c r="PI101" s="152">
        <f>IF($MA101&gt;$MO101,$MB101&amp;" · ABRE NO NÍVEL "&amp;$MA101,$MB101)</f>
        <v/>
      </c>
      <c r="PJ101" s="152">
        <f>IF($MN101=0,"",IF($MC101=0,"Sem PE",3*$MC101&amp;" PE"))</f>
        <v/>
      </c>
      <c r="PK101" s="152">
        <f>IF($MN101=0,"",IF($MC101=0,"A atuação básica dela",IF(COUNTIF($NT101:$NU101,"Atrasar")&gt;0,"Sua Ação Completa",IF(COUNTIF($MH101:$MK101,"Rápido")&gt;0,"Sua Bônus",IF(COUNTIF($MH101:$MK101,"Reação")&gt;0,"Sua Reação","Sua Padrão")))&amp;" + a básica dela"&amp;IF(COUNTIF($MH101:$MK101,"Reação")&gt;0," e a coletiva","")&amp;IF(COUNTIF($NT101:$NU101,"Carregar")&gt;0," · em dois turnos","")))</f>
        <v/>
      </c>
      <c r="PL101" s="152">
        <f>IF($MG101&lt;&gt;"",$MG101,IF($MT101=0,"",INDEX($AA$2:$AA$11,$MT101)))</f>
        <v/>
      </c>
      <c r="PM101" s="152">
        <f>IF(OR($MN101=0,$MT101=0),"",IF(COUNTIF($MH101:$MK101,"Inescapável")&gt;0,"Automático",IF($PL101="Ataque",IF($MR101="","Ataque","Ataque "&amp;IF(($MR101+2*IF(COUNTIF($MH101:$MK101,"Precisão")&gt;0,1,0))&gt;=0,"+","−")&amp;ABS(($MR101+2*IF(COUNTIF($MH101:$MK101,"Precisão")&gt;0,1,0)))),IF(LEFT($PL101,2)="TR",$PL101&amp;IF($MS101="",""," · CD "&amp;$MS101)&amp;IF(COUNTIF($MH101:$MK101,"Certeiro")&gt;0," · metade",""),"Sem rolagem"))))</f>
        <v/>
      </c>
      <c r="PN101" s="152">
        <f>IF(OR($MN101=0,$MT101=0),"",IF($MC101=0,IF(OR($NP101&gt;=1,$OM101=0),"Sem dano",$OM101&amp;"d6"&amp;IF($MF101="",""," "&amp;$MF101)),IF(OR($NP101&gt;=1,$OM101=0),UPPER(LEFT(INDEX($OV101:$PB101,1,MAX(1,$MC101)),1))&amp;MID(INDEX($OV101:$PB101,1,MAX(1,$MC101)),2,99),UPPER(LEFT(INDEX($OV101:$PB101,1,MAX(1,$MC101)),1))&amp;MID(INDEX($OV101:$PB101,1,MAX(1,$MC101)),2,99)&amp;IF($MF101="",""," "&amp;$MF101)&amp;IF($ON101&gt;0," · +"&amp;$ON101&amp;"d8",""))))</f>
        <v/>
      </c>
      <c r="PO101" s="152">
        <f>COUNTIF($MH101:$MK101,"Longe")+3*COUNTIF($MH101:$MK101,"Muito Longe")</f>
        <v/>
      </c>
      <c r="PP101" s="152">
        <f>COUNTIF($MH101:$MK101,"Maior")+3*COUNTIF($MH101:$MK101,"Muito Maior")</f>
        <v/>
      </c>
      <c r="PQ101" s="152">
        <f>IF($MT101=0,0,CHOOSE(1+INDEX($AC$2:$AC$11,$MT101),0,$PO101,$PP101,$PO101+$PP101))</f>
        <v/>
      </c>
      <c r="PR101" s="152">
        <f>IF($MT101=0,0,CHOOSE(1+INDEX($AD$2:$AD$11,$MT101),0,$PO101,$PP101,$PO101+$PP101))</f>
        <v/>
      </c>
      <c r="PS101" s="152">
        <f>IF(OR($MN101=0,$MT101=0),"",INDEX($AI$2:$AN$41,($MT101-1)*4+IF($MC101=0,1,IF($MC101&lt;=5,2,IF($MC101=6,3,4))),1+MIN(5,$PQ101))&amp;INDEX($AO$2:$AT$41,($MT101-1)*4+IF($MC101=0,1,IF($MC101&lt;=5,2,IF($MC101=6,3,4))),1+MIN(5,$PR101))&amp;IF(INDEX($AE$2:$AE$11,$MT101)=1,IF(COUNTIF($MH101:$MK101,"Mais Um")&gt;0," · +"&amp;COUNTIF($MH101:$MK101,"Mais Um")&amp;IF(COUNTIF($MH101:$MK101,"Mais Um")&gt;1," alvos"," alvo"),"")&amp;IF(COUNTIF($MH101:$MK101,"Rajada")&gt;0,IF($MC101=0," · 1 tiro"," · "&amp;(MAX(1,$MC101-1)+1)&amp;" tiros"),""),""))</f>
        <v/>
      </c>
      <c r="PT101" s="152">
        <f>IF($MN101=0,"",IF($MC101=0,$MQ101&amp;"d6"&amp;IF($OD101&gt;0," − 1 = "&amp;$OM101&amp;"d6"," da básica do nível "&amp;$MO101),$OK101&amp;" − "&amp;$OF101&amp;" + "&amp;$OI101&amp;" = "&amp;$OL101&amp;" · teto "&amp;4*$MC101&amp;"d8"&amp;IF($NO101=1," · a Forma devolve "&amp;$MC101,"")&amp;IF($OJ101&gt;0," · perde "&amp;$OJ101,"")))</f>
        <v/>
      </c>
      <c r="PU101" s="152">
        <f>IF($MN101=0,"",IF($MC101=0,"A básica não amplia: os dados dela sobem com o nível",IF($MC101&gt;=$MP101,"Já está na maior Classe que o nível liberou",TEXTJOIN(" · ",TRUE,IF(AND(2&gt;$MC101,2&lt;=$MP101),"2 → "&amp;$OW101&amp;", 6 PE",""),IF(AND(3&gt;$MC101,3&lt;=$MP101),"3 → "&amp;$OX101&amp;", 9 PE",""),IF(AND(4&gt;$MC101,4&lt;=$MP101),"4 → "&amp;$OY101&amp;", 12 PE",""),IF(AND(5&gt;$MC101,5&lt;=$MP101),"5 → "&amp;$OZ101&amp;", 15 PE",""),IF(AND(6&gt;$MC101,6&lt;=$MP101),"6 → "&amp;$PA101&amp;", 18 PE",""),IF(AND(7&gt;$MC101,7&lt;=$MP101),"7 → "&amp;$PB101&amp;", 21 PE","")))))</f>
        <v/>
      </c>
      <c r="PV101" s="152">
        <f>IF(OR($MN101=0,$MY101=0),"",IF($MC101=0,"−1 dado","−"&amp;INDEX($I$2:$N$8,MAX(1,$MC101),MAX(1,$ND101))&amp;" · "&amp;CHOOSE(MAX(1,$ND101),"Leve","Média","Pesada","Leve · Livre","Média · Livre","Pesada · Livre")))</f>
        <v/>
      </c>
      <c r="PW101" s="152">
        <f>IF(OR($MN101=0,$MZ101=0),"",IF($MC101=0,"−1 dado","−"&amp;INDEX($I$2:$N$8,MAX(1,$MC101),MAX(1,$NE101))&amp;" · "&amp;CHOOSE(MAX(1,$NE101),"Leve","Média","Pesada","Leve · Livre","Média · Livre","Pesada · Livre")))</f>
        <v/>
      </c>
      <c r="PX101" s="152">
        <f>IF(OR($MN101=0,$NA101=0),"",IF($MC101=0,"−1 dado","−"&amp;INDEX($I$2:$N$8,MAX(1,$MC101),MAX(1,$NF101))&amp;" · "&amp;CHOOSE(MAX(1,$NF101),"Leve","Média","Pesada","Leve · Livre","Média · Livre","Pesada · Livre")))</f>
        <v/>
      </c>
      <c r="PY101" s="152">
        <f>IF(OR($MN101=0,$NB101=0),"",IF($MC101=0,"−1 dado","−"&amp;INDEX($I$2:$N$8,MAX(1,$MC101),MAX(1,$NG101))&amp;" · "&amp;CHOOSE(MAX(1,$NG101),"Leve","Média","Pesada","Leve · Livre","Média · Livre","Pesada · Livre")))</f>
        <v/>
      </c>
      <c r="PZ101" s="152">
        <f>IF(OR($MN101=0,$ML101=""),"",IF($MC101=0,"não devolve","+"&amp;IF($NR101=1,CEILING($MC101/2,1),$MC101)))</f>
        <v/>
      </c>
      <c r="QA101" s="152">
        <f>IF(OR($MN101=0,$MM101=""),"",IF($MC101=0,"não devolve","+"&amp;IF($NS101=1,CEILING($MC101/2,1),$MC101)))</f>
        <v/>
      </c>
    </row>
    <row r="102">
      <c r="LX102" s="150" t="inlineStr">
        <is>
          <t>Ficha 8 · Especial 8</t>
        </is>
      </c>
      <c r="LY102" s="152" t="n">
        <v>8</v>
      </c>
      <c r="LZ102" s="152" t="n">
        <v>1</v>
      </c>
      <c r="MA102" s="152" t="n">
        <v>28</v>
      </c>
      <c r="MB102" s="150" t="inlineStr">
        <is>
          <t>ESPECIAL 8</t>
        </is>
      </c>
      <c r="MC102" s="152">
        <f>MAX(1,MIN(7,N('INVOCAÇÕES'!$AB$334)))</f>
        <v/>
      </c>
      <c r="MD102" s="152">
        <f>'INVOCAÇÕES'!$AC$334&amp;""</f>
        <v/>
      </c>
      <c r="ME102" s="152">
        <f>'INVOCAÇÕES'!$AB$339&amp;""</f>
        <v/>
      </c>
      <c r="MF102" s="152">
        <f>'INVOCAÇÕES'!$AB$340&amp;""</f>
        <v/>
      </c>
      <c r="MG102" s="152">
        <f>'INVOCAÇÕES'!$AD$340&amp;""</f>
        <v/>
      </c>
      <c r="MH102" s="152">
        <f>'INVOCAÇÕES'!$AC$343&amp;""</f>
        <v/>
      </c>
      <c r="MI102" s="152">
        <f>'INVOCAÇÕES'!$AC$344&amp;""</f>
        <v/>
      </c>
      <c r="MJ102" s="152">
        <f>'INVOCAÇÕES'!$AC$345&amp;""</f>
        <v/>
      </c>
      <c r="MK102" s="152">
        <f>'INVOCAÇÕES'!$AC$346&amp;""</f>
        <v/>
      </c>
      <c r="ML102" s="152">
        <f>'INVOCAÇÕES'!$AC$347&amp;""</f>
        <v/>
      </c>
      <c r="MM102" s="152">
        <f>'INVOCAÇÕES'!$AC$348&amp;""</f>
        <v/>
      </c>
      <c r="MN102" s="152">
        <f>IF($MD102&lt;&gt;"",1,0)</f>
        <v/>
      </c>
      <c r="MO102" s="152">
        <f>INDEX($FG$2:$FG$13,$LY102)</f>
        <v/>
      </c>
      <c r="MP102" s="152">
        <f>INDEX($FH$2:$FH$13,$LY102)</f>
        <v/>
      </c>
      <c r="MQ102" s="152">
        <f>INDEX($FI$2:$FI$13,$LY102)</f>
        <v/>
      </c>
      <c r="MR102" s="152">
        <f>INDEX($FT$2:$FT$13,$LY102)</f>
        <v/>
      </c>
      <c r="MS102" s="152">
        <f>INDEX($FU$2:$FU$13,$LY102)</f>
        <v/>
      </c>
      <c r="MT102" s="152">
        <f>IFERROR(MATCH($ME102,$V$2:$V$11,0),0)</f>
        <v/>
      </c>
      <c r="MU102" s="152">
        <f>IFERROR(VLOOKUP($MH102,$AV$2:$AZ$84,2,FALSE),"")</f>
        <v/>
      </c>
      <c r="MV102" s="152">
        <f>IFERROR(VLOOKUP($MI102,$AV$2:$AZ$84,2,FALSE),"")</f>
        <v/>
      </c>
      <c r="MW102" s="152">
        <f>IFERROR(VLOOKUP($MJ102,$AV$2:$AZ$84,2,FALSE),"")</f>
        <v/>
      </c>
      <c r="MX102" s="152">
        <f>IFERROR(VLOOKUP($MK102,$AV$2:$AZ$84,2,FALSE),"")</f>
        <v/>
      </c>
      <c r="MY102" s="152">
        <f>IFERROR(VLOOKUP($MH102,$AV$2:$AZ$84,3,FALSE),0)</f>
        <v/>
      </c>
      <c r="MZ102" s="152">
        <f>IFERROR(VLOOKUP($MI102,$AV$2:$AZ$84,3,FALSE),0)</f>
        <v/>
      </c>
      <c r="NA102" s="152">
        <f>IFERROR(VLOOKUP($MJ102,$AV$2:$AZ$84,3,FALSE),0)</f>
        <v/>
      </c>
      <c r="NB102" s="152">
        <f>IFERROR(VLOOKUP($MK102,$AV$2:$AZ$84,3,FALSE),0)</f>
        <v/>
      </c>
      <c r="NC102" s="152">
        <f>IF($MC102=0,0,IF($MT102=0,0,INDEX($X$2:$X$11,$MT102)))</f>
        <v/>
      </c>
      <c r="ND102" s="152">
        <f>IF(OR($MY102=0,$MC102=0),0,$MY102+3*IF(AND($MU102&lt;&gt;"",OR($MU102=INDEX($ED$2:$ED$13,$LY102),$MU102=INDEX($EE$2:$EE$13,$LY102))),1,0))</f>
        <v/>
      </c>
      <c r="NE102" s="152">
        <f>IF(OR($MZ102=0,$MC102=0),0,$MZ102+3*IF(AND($MV102&lt;&gt;"",OR($MV102=INDEX($ED$2:$ED$13,$LY102),$MV102=INDEX($EE$2:$EE$13,$LY102))),1,0))</f>
        <v/>
      </c>
      <c r="NF102" s="152">
        <f>IF(OR($NA102=0,$MC102=0),0,$NA102+3*IF(AND($MW102&lt;&gt;"",OR($MW102=INDEX($ED$2:$ED$13,$LY102),$MW102=INDEX($EE$2:$EE$13,$LY102))),1,0))</f>
        <v/>
      </c>
      <c r="NG102" s="152">
        <f>IF(OR($NB102=0,$MC102=0),0,$NB102+3*IF(AND($MX102&lt;&gt;"",OR($MX102=INDEX($ED$2:$ED$13,$LY102),$MX102=INDEX($EE$2:$EE$13,$LY102))),1,0))</f>
        <v/>
      </c>
      <c r="NH102" s="152">
        <f>IF($MT102=0,0,IF(INDEX($W$2:$W$11,$MT102)="",0,IF(COUNTIF(INDEX($ED$2:$EH$13,$LY102,0),INDEX($W$2:$W$11,$MT102))=0,1,0)))</f>
        <v/>
      </c>
      <c r="NI102" s="152">
        <f>IF(OR($MY102=0,$MU102=""),0,IF(COUNTIF(INDEX($ED$2:$EH$13,$LY102,0),$MU102)=0,1,0))</f>
        <v/>
      </c>
      <c r="NJ102" s="152">
        <f>IF(OR($MZ102=0,$MV102=""),0,IF(COUNTIF(INDEX($ED$2:$EH$13,$LY102,0),$MV102)=0,1,0))</f>
        <v/>
      </c>
      <c r="NK102" s="152">
        <f>IF(OR($NA102=0,$MW102=""),0,IF(COUNTIF(INDEX($ED$2:$EH$13,$LY102,0),$MW102)=0,1,0))</f>
        <v/>
      </c>
      <c r="NL102" s="152">
        <f>IF(OR($NB102=0,$MX102=""),0,IF(COUNTIF(INDEX($ED$2:$EH$13,$LY102,0),$MX102)=0,1,0))</f>
        <v/>
      </c>
      <c r="NM102" s="152">
        <f>IFERROR(VLOOKUP($MH102,$AV$2:$AZ$84,4,FALSE),0)+IFERROR(VLOOKUP($MI102,$AV$2:$AZ$84,4,FALSE),0)+IFERROR(VLOOKUP($MJ102,$AV$2:$AZ$84,4,FALSE),0)+IFERROR(VLOOKUP($MK102,$AV$2:$AZ$84,4,FALSE),0)</f>
        <v/>
      </c>
      <c r="NN102" s="152">
        <f>TEXTJOIN(", ",TRUE,IF(IFERROR(VLOOKUP($MH102,$AV$2:$AZ$84,5,FALSE),0)=1,$MH102,""),IF(IFERROR(VLOOKUP($MI102,$AV$2:$AZ$84,5,FALSE),0)=1,$MI102,""),IF(IFERROR(VLOOKUP($MJ102,$AV$2:$AZ$84,5,FALSE),0)=1,$MJ102,""),IF(IFERROR(VLOOKUP($MK102,$AV$2:$AZ$84,5,FALSE),0)=1,$MK102,""))</f>
        <v/>
      </c>
      <c r="NO102" s="152">
        <f>IF($MT102=0,0,INDEX($Y$2:$Y$11,$MT102))</f>
        <v/>
      </c>
      <c r="NP102" s="152">
        <f>IF($MT102=0,0,INDEX($Z$2:$Z$11,$MT102))</f>
        <v/>
      </c>
      <c r="NQ102" s="152">
        <f>IF($MT102=0,0,INDEX($AB$2:$AB$11,$MT102))</f>
        <v/>
      </c>
      <c r="NR102" s="152">
        <f>IFERROR(VLOOKUP($ML102,$BB$2:$BF$24,3,FALSE),0)</f>
        <v/>
      </c>
      <c r="NS102" s="152">
        <f>IFERROR(VLOOKUP($MM102,$BB$2:$BF$24,3,FALSE),0)</f>
        <v/>
      </c>
      <c r="NT102" s="152">
        <f>IFERROR(VLOOKUP($ML102,$BB$2:$BF$24,2,FALSE),"")</f>
        <v/>
      </c>
      <c r="NU102" s="152">
        <f>IFERROR(VLOOKUP($MM102,$BB$2:$BF$24,2,FALSE),"")</f>
        <v/>
      </c>
      <c r="NV102" s="152">
        <f>COUNTIF($NC102:$NG102,1)</f>
        <v/>
      </c>
      <c r="NW102" s="152">
        <f>COUNTIF($NC102:$NG102,2)</f>
        <v/>
      </c>
      <c r="NX102" s="152">
        <f>COUNTIF($NC102:$NG102,3)</f>
        <v/>
      </c>
      <c r="NY102" s="152">
        <f>COUNTIF($NC102:$NG102,4)</f>
        <v/>
      </c>
      <c r="NZ102" s="152">
        <f>COUNTIF($NC102:$NG102,5)</f>
        <v/>
      </c>
      <c r="OA102" s="152">
        <f>COUNTIF($NC102:$NG102,6)</f>
        <v/>
      </c>
      <c r="OB102" s="152">
        <f>COUNTIF($NR102:$NS102,1)</f>
        <v/>
      </c>
      <c r="OC102" s="152">
        <f>COUNTIF($NR102:$NS102,2)+$NO102</f>
        <v/>
      </c>
      <c r="OD102" s="152">
        <f>COUNTIF($MH102:$MK102,"?*")</f>
        <v/>
      </c>
      <c r="OE102" s="152">
        <f>COUNTIF($ML102:$MM102,"?*")+$NO102</f>
        <v/>
      </c>
      <c r="OF102" s="152">
        <f>IF($MC102=0,0,SUMPRODUCT($NV102:$OA102,INDEX($I$2:$N$8,MAX(1,$MC102),0)))</f>
        <v/>
      </c>
      <c r="OG102" s="152">
        <f>IF($MC102=0,0,$OB102*CEILING($MC102/2,1)+$OC102*$MC102)</f>
        <v/>
      </c>
      <c r="OH102" s="152">
        <f>MIN(2*$MC102,$OG102)</f>
        <v/>
      </c>
      <c r="OI102" s="152">
        <f>MIN($OH102,$OF102)</f>
        <v/>
      </c>
      <c r="OJ102" s="152">
        <f>$OH102-$OI102</f>
        <v/>
      </c>
      <c r="OK102" s="152">
        <f>IF($MC102=0,0,INDEX($P$2:$P$8,MAX(1,$MC102)))</f>
        <v/>
      </c>
      <c r="OL102" s="152">
        <f>$OK102-$OF102+$OI102</f>
        <v/>
      </c>
      <c r="OM102" s="152">
        <f>IF($MC102=0,MAX(0,$MQ102-IF($OD102&gt;0,1,0)),MAX(0,$OL102))</f>
        <v/>
      </c>
      <c r="ON102" s="152">
        <f>IF($MC102=0,0,(IF(COUNTIF($MH102:$MK102,"Salto")&gt;0,1,0)+IF(COUNTIF($MH102:$MK102,"Queima")&gt;0,1,0)+IF(COUNTIF($MH102:$MK102,"Estilhaço")&gt;0,1,0))*FLOOR($OM102/2,1))</f>
        <v/>
      </c>
      <c r="OO102" s="152">
        <f>MAX(0,2-SUMPRODUCT($NV102:$OA102,$I$2:$N$2)+MIN(2,$OB102*1+$OC102*1,SUMPRODUCT($NV102:$OA102,$I$2:$N$2)))</f>
        <v/>
      </c>
      <c r="OP102" s="152">
        <f>MAX(0,4-SUMPRODUCT($NV102:$OA102,$I$3:$N$3)+MIN(4,$OB102*1+$OC102*2,SUMPRODUCT($NV102:$OA102,$I$3:$N$3)))</f>
        <v/>
      </c>
      <c r="OQ102" s="152">
        <f>MAX(0,6-SUMPRODUCT($NV102:$OA102,$I$4:$N$4)+MIN(6,$OB102*2+$OC102*3,SUMPRODUCT($NV102:$OA102,$I$4:$N$4)))</f>
        <v/>
      </c>
      <c r="OR102" s="152">
        <f>MAX(0,9-SUMPRODUCT($NV102:$OA102,$I$5:$N$5)+MIN(8,$OB102*2+$OC102*4,SUMPRODUCT($NV102:$OA102,$I$5:$N$5)))</f>
        <v/>
      </c>
      <c r="OS102" s="152">
        <f>MAX(0,11-SUMPRODUCT($NV102:$OA102,$I$6:$N$6)+MIN(10,$OB102*3+$OC102*5,SUMPRODUCT($NV102:$OA102,$I$6:$N$6)))</f>
        <v/>
      </c>
      <c r="OT102" s="152">
        <f>MAX(0,13-SUMPRODUCT($NV102:$OA102,$I$7:$N$7)+MIN(12,$OB102*3+$OC102*6,SUMPRODUCT($NV102:$OA102,$I$7:$N$7)))</f>
        <v/>
      </c>
      <c r="OU102" s="152">
        <f>MAX(0,16-SUMPRODUCT($NV102:$OA102,$I$8:$N$8)+MIN(14,$OB102*4+$OC102*7,SUMPRODUCT($NV102:$OA102,$I$8:$N$8)))</f>
        <v/>
      </c>
      <c r="OV102" s="152">
        <f>IF($NP102=2,3*$OO102&amp;" de vida temp.",IF($NP102=3,"sem dano",IF($OO102=0,IF($NP102=1,"sem cura","sem dano"),IF($NP102=1,"cura ","")&amp;$OO102&amp;"d8")))</f>
        <v/>
      </c>
      <c r="OW102" s="152">
        <f>IF($NP102=2,3*$OP102&amp;" de vida temp.",IF($NP102=3,"sem dano",IF($OP102=0,IF($NP102=1,"sem cura","sem dano"),IF($NP102=1,"cura ","")&amp;$OP102&amp;"d8")))</f>
        <v/>
      </c>
      <c r="OX102" s="152">
        <f>IF($NP102=2,3*$OQ102&amp;" de vida temp.",IF($NP102=3,"sem dano",IF($OQ102=0,IF($NP102=1,"sem cura","sem dano"),IF($NP102=1,"cura ","")&amp;$OQ102&amp;"d8")))</f>
        <v/>
      </c>
      <c r="OY102" s="152">
        <f>IF($NP102=2,3*$OR102&amp;" de vida temp.",IF($NP102=3,"sem dano",IF($OR102=0,IF($NP102=1,"sem cura","sem dano"),IF($NP102=1,"cura ","")&amp;$OR102&amp;"d8")))</f>
        <v/>
      </c>
      <c r="OZ102" s="152">
        <f>IF($NP102=2,3*$OS102&amp;" de vida temp.",IF($NP102=3,"sem dano",IF($OS102=0,IF($NP102=1,"sem cura","sem dano"),IF($NP102=1,"cura ","")&amp;$OS102&amp;"d8")))</f>
        <v/>
      </c>
      <c r="PA102" s="152">
        <f>IF($NP102=2,3*$OT102&amp;" de vida temp.",IF($NP102=3,"sem dano",IF($OT102=0,IF($NP102=1,"sem cura","sem dano"),IF($NP102=1,"cura ","")&amp;$OT102&amp;"d8")))</f>
        <v/>
      </c>
      <c r="PB102" s="152">
        <f>IF($NP102=2,3*$OU102&amp;" de vida temp.",IF($NP102=3,"sem dano",IF($OU102=0,IF($NP102=1,"sem cura","sem dano"),IF($NP102=1,"cura ","")&amp;$OU102&amp;"d8")))</f>
        <v/>
      </c>
      <c r="PC102" s="152">
        <f>IF($MN102=0,"",TEXTJOIN(" · ",TRUE,IF($MA102&gt;$MO102,"Este lugar abre no nível "&amp;$MA102,""),IF($MC102&gt;$MP102,"Classe "&amp;$MC102&amp;": o nível "&amp;$MO102&amp;" libera até a "&amp;$MP102,""),IF($NH102=1,"A Forma "&amp;$ME102&amp;" pede "&amp;INDEX($W$2:$W$11,$MT102)&amp;" aberta",""),IF(AND($MC102=0,$MT102&gt;0,IF($MT102=0,0,INDEX($AF$2:$AF$11,$MT102))=0),$ME102&amp;" não existe na Classe 0",""),IF($NI102=1,"Família Fechada: "&amp;$MH102,""),IF($NJ102=1,"Família Fechada: "&amp;$MI102,""),IF($NK102=1,"Família Fechada: "&amp;$MJ102,""),IF($NL102=1,"Família Fechada: "&amp;$MK102,""),IF(AND($MC102&gt;0,$OD102&gt;INDEX($O$2:$O$8,MAX(1,$MC102))),$OD102&amp;" Melhorias: a Classe "&amp;$MC102&amp;" aceita "&amp;INDEX($O$2:$O$8,MAX(1,$MC102)),""),IF(AND($MC102=0,$OD102&gt;1),"A básica aceita uma Melhoria",""),IF(AND($MC102=0,COUNTIF($MY102:$NB102,"&gt;1")&gt;0),"A básica só aceita Melhoria Leve",""),IF(AND($MC102&gt;0,$OE102&gt;2),$OE102&amp;" Restrições"&amp;IF($NO102=1,", contando a que a Forma "&amp;$ME102&amp;" já traz","")&amp;": o limite é 2",""),IF(AND($MC102=0,COUNTIF($ML102:$MM102,"?*")&gt;1),"A básica aceita uma Restrição Leve",""),IF(AND($MC102=0,COUNTIF($NR102:$NS102,2)&gt;0),"A básica só aceita Restrição Leve",""),IF(AND($MC102&gt;0,$OL102&lt;0),"Orçamento estourado: faltam "&amp;(-$OL102)&amp;IF($OL102&lt;-1," pontos"," ponto"),""),IF(IFERROR(VLOOKUP($ML102,$BB$2:$BF$24,4,FALSE),0)+IFERROR(VLOOKUP($MM102,$BB$2:$BF$24,4,FALSE),0)&gt;1,$NT102&amp;" e "&amp;$NU102&amp;" são as duas de frequência",""),IF(AND((COUNTIF($MH102:$MK102,"Rápido")+COUNTIF($NT102:$NU102,"Rápido"))&gt;0,(COUNTIF($MH102:$MK102,"Atrasar")+COUNTIF($NT102:$NU102,"Atrasar"))&gt;0),"Rápido não entra com Atrasar",""),IF(AND((COUNTIF($MH102:$MK102,"Reação")+COUNTIF($NT102:$NU102,"Reação"))&gt;0,(COUNTIF($MH102:$MK102,"Rápido")+COUNTIF($NT102:$NU102,"Rápido"))&gt;0),"Reação não entra com Rápido",""),IF(AND((COUNTIF($MH102:$MK102,"Reação")+COUNTIF($NT102:$NU102,"Reação"))&gt;0,(COUNTIF($MH102:$MK102,"Armado")+COUNTIF($NT102:$NU102,"Armado"))&gt;0),"Reação não entra com Armado",""),IF(AND((COUNTIF($MH102:$MK102,"Reação")+COUNTIF($NT102:$NU102,"Reação"))&gt;0,(COUNTIF($MH102:$MK102,"Atrasar")+COUNTIF($NT102:$NU102,"Atrasar"))&gt;0),"Reação não entra com Atrasar",""),IF(AND((COUNTIF($MH102:$MK102,"Reação")+COUNTIF($NT102:$NU102,"Reação"))&gt;0,(COUNTIF($MH102:$MK102,"Parado")+COUNTIF($NT102:$NU102,"Parado"))&gt;0),"Reação não entra com Parado",""),IF(AND((COUNTIF($MH102:$MK102,"Atrasar")+COUNTIF($NT102:$NU102,"Atrasar"))&gt;0,(COUNTIF($MH102:$MK102,"Parado")+COUNTIF($NT102:$NU102,"Parado"))&gt;0),"Atrasar não entra com Parado",""),IF(AND((COUNTIF($MH102:$MK102,"Armado")+COUNTIF($NT102:$NU102,"Armado"))&gt;0,(COUNTIF($MH102:$MK102,"Carregar")+COUNTIF($NT102:$NU102,"Carregar"))&gt;0),"Armado não entra com Carregar",""),IF(AND(COUNTIF($NT102:$NU102,"Corpo a Corpo")&gt;0,$NO102=0,OR($ME102="Cone",$ME102="Linha")),"Corpo a Corpo não entra em "&amp;$ME102,""),IF(AND(COUNTIF($NT102:$NU102,"Corpo a Corpo")&gt;0,$NO102=1),"A Forma "&amp;$ME102&amp;" já traz o Corpo a Corpo",""),IF(AND(COUNTIF($NT102:$NU102,"Tudo ou Nada")&gt;0,$NQ102=0),"Tudo ou Nada só entra em habilidade de Teste de Resistência",""),IF(AND(COUNTIF($MH102:$MK102,"Inescapável")&gt;0,OR($OD102&gt;1,$OE102&gt;0)),"Inescapável não aceita outra peça",""),IF(AND($MC102&gt;0,$OM102*IF(COUNTIF($MH102:$MK102,"Remate")&gt;0,1.25,1)+$ON102&gt;4*$MC102),($OM102*IF(COUNTIF($MH102:$MK102,"Remate")&gt;0,1.25,1)+$ON102)&amp;" dados somando repetições"&amp;IF(COUNTIF($MH102:$MK102,"Remate")&gt;0," e o Remate","")&amp;": o teto da Classe "&amp;$MC102&amp;" é "&amp;4*$MC102,"")))</f>
        <v/>
      </c>
      <c r="PD102" s="152">
        <f>IF($PC102="",0,(LEN($PC102)-LEN(SUBSTITUTE($PC102," · ","")))/3+1)</f>
        <v/>
      </c>
      <c r="PE102" s="152">
        <f>IF($MN102=0,"",TEXTJOIN(" · ",TRUE,IF($OG102&gt;2*$MC102,"A devolução parou no teto de "&amp;2*$MC102,""),IF($OJ102&gt;0,"Devolução perdida: "&amp;$OJ102&amp;IF($OJ102&gt;1," pontos"," ponto")&amp;" sem peça para pagar",""),IF(AND($NM102&gt;0,AND($MC102&gt;0,$NP102=0),$OM102=0),"Controle sem dano: uma rodada a mais e CD +2",""),IF(AND($NM102&gt;0,AND($MC102&gt;0,$NP102=0),$OM102&gt;0,$OM102&lt;=$MC102),"Controle com saldo até a Classe: uma rodada a mais",""),IF(AND($MC102&gt;0,$NN102&lt;&gt;""),"Efeito de "&amp;$NN102&amp;" pela Classe "&amp;MAX(1,$MC102-1),"")))</f>
        <v/>
      </c>
      <c r="PF102" s="152">
        <f>IF($PE102="",0,(LEN($PE102)-LEN(SUBSTITUTE($PE102," · ","")))/3+1)</f>
        <v/>
      </c>
      <c r="PG102" s="152">
        <f>IF($MN102=0,IF($OD102+COUNTIF($ML102:$MM102,"?*")&gt;0,"Dê um nome",""),IF($PD102&gt;0,"⚠ "&amp;$PD102&amp;IF($PD102&gt;1," erros"," erro"),IF($PF102&gt;0,"! "&amp;$PF102&amp;IF($PF102&gt;1," avisos"," aviso"),"Na regra")))</f>
        <v/>
      </c>
      <c r="PH102" s="152">
        <f>IF($MN102=0,"",IF($PD102+$PF102=0,"Dentro das regras que a ficha confere",$PC102&amp;IF(AND($PD102&gt;0,$PF102&gt;0)," · ","")&amp;$PE102))</f>
        <v/>
      </c>
      <c r="PI102" s="152">
        <f>IF($MA102&gt;$MO102,$MB102&amp;" · ABRE NO NÍVEL "&amp;$MA102,$MB102)</f>
        <v/>
      </c>
      <c r="PJ102" s="152">
        <f>IF($MN102=0,"",IF($MC102=0,"Sem PE",3*$MC102&amp;" PE"))</f>
        <v/>
      </c>
      <c r="PK102" s="152">
        <f>IF($MN102=0,"",IF($MC102=0,"A atuação básica dela",IF(COUNTIF($NT102:$NU102,"Atrasar")&gt;0,"Sua Ação Completa",IF(COUNTIF($MH102:$MK102,"Rápido")&gt;0,"Sua Bônus",IF(COUNTIF($MH102:$MK102,"Reação")&gt;0,"Sua Reação","Sua Padrão")))&amp;" + a básica dela"&amp;IF(COUNTIF($MH102:$MK102,"Reação")&gt;0," e a coletiva","")&amp;IF(COUNTIF($NT102:$NU102,"Carregar")&gt;0," · em dois turnos","")))</f>
        <v/>
      </c>
      <c r="PL102" s="152">
        <f>IF($MG102&lt;&gt;"",$MG102,IF($MT102=0,"",INDEX($AA$2:$AA$11,$MT102)))</f>
        <v/>
      </c>
      <c r="PM102" s="152">
        <f>IF(OR($MN102=0,$MT102=0),"",IF(COUNTIF($MH102:$MK102,"Inescapável")&gt;0,"Automático",IF($PL102="Ataque",IF($MR102="","Ataque","Ataque "&amp;IF(($MR102+2*IF(COUNTIF($MH102:$MK102,"Precisão")&gt;0,1,0))&gt;=0,"+","−")&amp;ABS(($MR102+2*IF(COUNTIF($MH102:$MK102,"Precisão")&gt;0,1,0)))),IF(LEFT($PL102,2)="TR",$PL102&amp;IF($MS102="",""," · CD "&amp;$MS102)&amp;IF(COUNTIF($MH102:$MK102,"Certeiro")&gt;0," · metade",""),"Sem rolagem"))))</f>
        <v/>
      </c>
      <c r="PN102" s="152">
        <f>IF(OR($MN102=0,$MT102=0),"",IF($MC102=0,IF(OR($NP102&gt;=1,$OM102=0),"Sem dano",$OM102&amp;"d6"&amp;IF($MF102="",""," "&amp;$MF102)),IF(OR($NP102&gt;=1,$OM102=0),UPPER(LEFT(INDEX($OV102:$PB102,1,MAX(1,$MC102)),1))&amp;MID(INDEX($OV102:$PB102,1,MAX(1,$MC102)),2,99),UPPER(LEFT(INDEX($OV102:$PB102,1,MAX(1,$MC102)),1))&amp;MID(INDEX($OV102:$PB102,1,MAX(1,$MC102)),2,99)&amp;IF($MF102="",""," "&amp;$MF102)&amp;IF($ON102&gt;0," · +"&amp;$ON102&amp;"d8",""))))</f>
        <v/>
      </c>
      <c r="PO102" s="152">
        <f>COUNTIF($MH102:$MK102,"Longe")+3*COUNTIF($MH102:$MK102,"Muito Longe")</f>
        <v/>
      </c>
      <c r="PP102" s="152">
        <f>COUNTIF($MH102:$MK102,"Maior")+3*COUNTIF($MH102:$MK102,"Muito Maior")</f>
        <v/>
      </c>
      <c r="PQ102" s="152">
        <f>IF($MT102=0,0,CHOOSE(1+INDEX($AC$2:$AC$11,$MT102),0,$PO102,$PP102,$PO102+$PP102))</f>
        <v/>
      </c>
      <c r="PR102" s="152">
        <f>IF($MT102=0,0,CHOOSE(1+INDEX($AD$2:$AD$11,$MT102),0,$PO102,$PP102,$PO102+$PP102))</f>
        <v/>
      </c>
      <c r="PS102" s="152">
        <f>IF(OR($MN102=0,$MT102=0),"",INDEX($AI$2:$AN$41,($MT102-1)*4+IF($MC102=0,1,IF($MC102&lt;=5,2,IF($MC102=6,3,4))),1+MIN(5,$PQ102))&amp;INDEX($AO$2:$AT$41,($MT102-1)*4+IF($MC102=0,1,IF($MC102&lt;=5,2,IF($MC102=6,3,4))),1+MIN(5,$PR102))&amp;IF(INDEX($AE$2:$AE$11,$MT102)=1,IF(COUNTIF($MH102:$MK102,"Mais Um")&gt;0," · +"&amp;COUNTIF($MH102:$MK102,"Mais Um")&amp;IF(COUNTIF($MH102:$MK102,"Mais Um")&gt;1," alvos"," alvo"),"")&amp;IF(COUNTIF($MH102:$MK102,"Rajada")&gt;0,IF($MC102=0," · 1 tiro"," · "&amp;(MAX(1,$MC102-1)+1)&amp;" tiros"),""),""))</f>
        <v/>
      </c>
      <c r="PT102" s="152">
        <f>IF($MN102=0,"",IF($MC102=0,$MQ102&amp;"d6"&amp;IF($OD102&gt;0," − 1 = "&amp;$OM102&amp;"d6"," da básica do nível "&amp;$MO102),$OK102&amp;" − "&amp;$OF102&amp;" + "&amp;$OI102&amp;" = "&amp;$OL102&amp;" · teto "&amp;4*$MC102&amp;"d8"&amp;IF($NO102=1," · a Forma devolve "&amp;$MC102,"")&amp;IF($OJ102&gt;0," · perde "&amp;$OJ102,"")))</f>
        <v/>
      </c>
      <c r="PU102" s="152">
        <f>IF($MN102=0,"",IF($MC102=0,"A básica não amplia: os dados dela sobem com o nível",IF($MC102&gt;=$MP102,"Já está na maior Classe que o nível liberou",TEXTJOIN(" · ",TRUE,IF(AND(2&gt;$MC102,2&lt;=$MP102),"2 → "&amp;$OW102&amp;", 6 PE",""),IF(AND(3&gt;$MC102,3&lt;=$MP102),"3 → "&amp;$OX102&amp;", 9 PE",""),IF(AND(4&gt;$MC102,4&lt;=$MP102),"4 → "&amp;$OY102&amp;", 12 PE",""),IF(AND(5&gt;$MC102,5&lt;=$MP102),"5 → "&amp;$OZ102&amp;", 15 PE",""),IF(AND(6&gt;$MC102,6&lt;=$MP102),"6 → "&amp;$PA102&amp;", 18 PE",""),IF(AND(7&gt;$MC102,7&lt;=$MP102),"7 → "&amp;$PB102&amp;", 21 PE","")))))</f>
        <v/>
      </c>
      <c r="PV102" s="152">
        <f>IF(OR($MN102=0,$MY102=0),"",IF($MC102=0,"−1 dado","−"&amp;INDEX($I$2:$N$8,MAX(1,$MC102),MAX(1,$ND102))&amp;" · "&amp;CHOOSE(MAX(1,$ND102),"Leve","Média","Pesada","Leve · Livre","Média · Livre","Pesada · Livre")))</f>
        <v/>
      </c>
      <c r="PW102" s="152">
        <f>IF(OR($MN102=0,$MZ102=0),"",IF($MC102=0,"−1 dado","−"&amp;INDEX($I$2:$N$8,MAX(1,$MC102),MAX(1,$NE102))&amp;" · "&amp;CHOOSE(MAX(1,$NE102),"Leve","Média","Pesada","Leve · Livre","Média · Livre","Pesada · Livre")))</f>
        <v/>
      </c>
      <c r="PX102" s="152">
        <f>IF(OR($MN102=0,$NA102=0),"",IF($MC102=0,"−1 dado","−"&amp;INDEX($I$2:$N$8,MAX(1,$MC102),MAX(1,$NF102))&amp;" · "&amp;CHOOSE(MAX(1,$NF102),"Leve","Média","Pesada","Leve · Livre","Média · Livre","Pesada · Livre")))</f>
        <v/>
      </c>
      <c r="PY102" s="152">
        <f>IF(OR($MN102=0,$NB102=0),"",IF($MC102=0,"−1 dado","−"&amp;INDEX($I$2:$N$8,MAX(1,$MC102),MAX(1,$NG102))&amp;" · "&amp;CHOOSE(MAX(1,$NG102),"Leve","Média","Pesada","Leve · Livre","Média · Livre","Pesada · Livre")))</f>
        <v/>
      </c>
      <c r="PZ102" s="152">
        <f>IF(OR($MN102=0,$ML102=""),"",IF($MC102=0,"não devolve","+"&amp;IF($NR102=1,CEILING($MC102/2,1),$MC102)))</f>
        <v/>
      </c>
      <c r="QA102" s="152">
        <f>IF(OR($MN102=0,$MM102=""),"",IF($MC102=0,"não devolve","+"&amp;IF($NS102=1,CEILING($MC102/2,1),$MC102)))</f>
        <v/>
      </c>
    </row>
    <row r="103">
      <c r="LX103" s="150" t="inlineStr">
        <is>
          <t>Ficha 8 · Escolha da trilha 1</t>
        </is>
      </c>
      <c r="LY103" s="152" t="n">
        <v>8</v>
      </c>
      <c r="LZ103" s="152" t="n">
        <v>2</v>
      </c>
      <c r="MA103" s="152" t="n">
        <v>0</v>
      </c>
      <c r="MB103" s="150" t="inlineStr">
        <is>
          <t>ESCOLHA DA TRILHA 1</t>
        </is>
      </c>
      <c r="MC103" s="152">
        <f>MAX(0,MIN(7,N('INVOCAÇÕES'!$AB$358)))</f>
        <v/>
      </c>
      <c r="MD103" s="152">
        <f>'INVOCAÇÕES'!$AC$358&amp;""</f>
        <v/>
      </c>
      <c r="ME103" s="152">
        <f>'INVOCAÇÕES'!$AB$363&amp;""</f>
        <v/>
      </c>
      <c r="MF103" s="152">
        <f>'INVOCAÇÕES'!$AB$364&amp;""</f>
        <v/>
      </c>
      <c r="MG103" s="152">
        <f>'INVOCAÇÕES'!$AD$364&amp;""</f>
        <v/>
      </c>
      <c r="MH103" s="152">
        <f>'INVOCAÇÕES'!$AC$367&amp;""</f>
        <v/>
      </c>
      <c r="MI103" s="152">
        <f>'INVOCAÇÕES'!$AC$368&amp;""</f>
        <v/>
      </c>
      <c r="MJ103" s="152">
        <f>'INVOCAÇÕES'!$AC$369&amp;""</f>
        <v/>
      </c>
      <c r="MK103" s="152">
        <f>'INVOCAÇÕES'!$AC$370&amp;""</f>
        <v/>
      </c>
      <c r="ML103" s="152">
        <f>'INVOCAÇÕES'!$AC$371&amp;""</f>
        <v/>
      </c>
      <c r="MM103" s="152">
        <f>'INVOCAÇÕES'!$AC$372&amp;""</f>
        <v/>
      </c>
      <c r="MN103" s="152">
        <f>IF($MD103&lt;&gt;"",1,0)</f>
        <v/>
      </c>
      <c r="MO103" s="152">
        <f>INDEX($FG$2:$FG$13,$LY103)</f>
        <v/>
      </c>
      <c r="MP103" s="152">
        <f>INDEX($FH$2:$FH$13,$LY103)</f>
        <v/>
      </c>
      <c r="MQ103" s="152">
        <f>INDEX($FI$2:$FI$13,$LY103)</f>
        <v/>
      </c>
      <c r="MR103" s="152">
        <f>INDEX($FT$2:$FT$13,$LY103)</f>
        <v/>
      </c>
      <c r="MS103" s="152">
        <f>INDEX($FU$2:$FU$13,$LY103)</f>
        <v/>
      </c>
      <c r="MT103" s="152">
        <f>IFERROR(MATCH($ME103,$V$2:$V$11,0),0)</f>
        <v/>
      </c>
      <c r="MU103" s="152">
        <f>IFERROR(VLOOKUP($MH103,$AV$2:$AZ$84,2,FALSE),"")</f>
        <v/>
      </c>
      <c r="MV103" s="152">
        <f>IFERROR(VLOOKUP($MI103,$AV$2:$AZ$84,2,FALSE),"")</f>
        <v/>
      </c>
      <c r="MW103" s="152">
        <f>IFERROR(VLOOKUP($MJ103,$AV$2:$AZ$84,2,FALSE),"")</f>
        <v/>
      </c>
      <c r="MX103" s="152">
        <f>IFERROR(VLOOKUP($MK103,$AV$2:$AZ$84,2,FALSE),"")</f>
        <v/>
      </c>
      <c r="MY103" s="152">
        <f>IFERROR(VLOOKUP($MH103,$AV$2:$AZ$84,3,FALSE),0)</f>
        <v/>
      </c>
      <c r="MZ103" s="152">
        <f>IFERROR(VLOOKUP($MI103,$AV$2:$AZ$84,3,FALSE),0)</f>
        <v/>
      </c>
      <c r="NA103" s="152">
        <f>IFERROR(VLOOKUP($MJ103,$AV$2:$AZ$84,3,FALSE),0)</f>
        <v/>
      </c>
      <c r="NB103" s="152">
        <f>IFERROR(VLOOKUP($MK103,$AV$2:$AZ$84,3,FALSE),0)</f>
        <v/>
      </c>
      <c r="NC103" s="152">
        <f>IF($MC103=0,0,IF($MT103=0,0,INDEX($X$2:$X$11,$MT103)))</f>
        <v/>
      </c>
      <c r="ND103" s="152">
        <f>IF(OR($MY103=0,$MC103=0),0,$MY103+3*IF(AND($MU103&lt;&gt;"",OR($MU103=INDEX($ED$2:$ED$13,$LY103),$MU103=INDEX($EE$2:$EE$13,$LY103))),1,0))</f>
        <v/>
      </c>
      <c r="NE103" s="152">
        <f>IF(OR($MZ103=0,$MC103=0),0,$MZ103+3*IF(AND($MV103&lt;&gt;"",OR($MV103=INDEX($ED$2:$ED$13,$LY103),$MV103=INDEX($EE$2:$EE$13,$LY103))),1,0))</f>
        <v/>
      </c>
      <c r="NF103" s="152">
        <f>IF(OR($NA103=0,$MC103=0),0,$NA103+3*IF(AND($MW103&lt;&gt;"",OR($MW103=INDEX($ED$2:$ED$13,$LY103),$MW103=INDEX($EE$2:$EE$13,$LY103))),1,0))</f>
        <v/>
      </c>
      <c r="NG103" s="152">
        <f>IF(OR($NB103=0,$MC103=0),0,$NB103+3*IF(AND($MX103&lt;&gt;"",OR($MX103=INDEX($ED$2:$ED$13,$LY103),$MX103=INDEX($EE$2:$EE$13,$LY103))),1,0))</f>
        <v/>
      </c>
      <c r="NH103" s="152">
        <f>IF($MT103=0,0,IF(INDEX($W$2:$W$11,$MT103)="",0,IF(COUNTIF(INDEX($ED$2:$EH$13,$LY103,0),INDEX($W$2:$W$11,$MT103))=0,1,0)))</f>
        <v/>
      </c>
      <c r="NI103" s="152">
        <f>IF(OR($MY103=0,$MU103=""),0,IF(COUNTIF(INDEX($ED$2:$EH$13,$LY103,0),$MU103)=0,1,0))</f>
        <v/>
      </c>
      <c r="NJ103" s="152">
        <f>IF(OR($MZ103=0,$MV103=""),0,IF(COUNTIF(INDEX($ED$2:$EH$13,$LY103,0),$MV103)=0,1,0))</f>
        <v/>
      </c>
      <c r="NK103" s="152">
        <f>IF(OR($NA103=0,$MW103=""),0,IF(COUNTIF(INDEX($ED$2:$EH$13,$LY103,0),$MW103)=0,1,0))</f>
        <v/>
      </c>
      <c r="NL103" s="152">
        <f>IF(OR($NB103=0,$MX103=""),0,IF(COUNTIF(INDEX($ED$2:$EH$13,$LY103,0),$MX103)=0,1,0))</f>
        <v/>
      </c>
      <c r="NM103" s="152">
        <f>IFERROR(VLOOKUP($MH103,$AV$2:$AZ$84,4,FALSE),0)+IFERROR(VLOOKUP($MI103,$AV$2:$AZ$84,4,FALSE),0)+IFERROR(VLOOKUP($MJ103,$AV$2:$AZ$84,4,FALSE),0)+IFERROR(VLOOKUP($MK103,$AV$2:$AZ$84,4,FALSE),0)</f>
        <v/>
      </c>
      <c r="NN103" s="152">
        <f>TEXTJOIN(", ",TRUE,IF(IFERROR(VLOOKUP($MH103,$AV$2:$AZ$84,5,FALSE),0)=1,$MH103,""),IF(IFERROR(VLOOKUP($MI103,$AV$2:$AZ$84,5,FALSE),0)=1,$MI103,""),IF(IFERROR(VLOOKUP($MJ103,$AV$2:$AZ$84,5,FALSE),0)=1,$MJ103,""),IF(IFERROR(VLOOKUP($MK103,$AV$2:$AZ$84,5,FALSE),0)=1,$MK103,""))</f>
        <v/>
      </c>
      <c r="NO103" s="152">
        <f>IF($MT103=0,0,INDEX($Y$2:$Y$11,$MT103))</f>
        <v/>
      </c>
      <c r="NP103" s="152">
        <f>IF($MT103=0,0,INDEX($Z$2:$Z$11,$MT103))</f>
        <v/>
      </c>
      <c r="NQ103" s="152">
        <f>IF($MT103=0,0,INDEX($AB$2:$AB$11,$MT103))</f>
        <v/>
      </c>
      <c r="NR103" s="152">
        <f>IFERROR(VLOOKUP($ML103,$BB$2:$BF$24,3,FALSE),0)</f>
        <v/>
      </c>
      <c r="NS103" s="152">
        <f>IFERROR(VLOOKUP($MM103,$BB$2:$BF$24,3,FALSE),0)</f>
        <v/>
      </c>
      <c r="NT103" s="152">
        <f>IFERROR(VLOOKUP($ML103,$BB$2:$BF$24,2,FALSE),"")</f>
        <v/>
      </c>
      <c r="NU103" s="152">
        <f>IFERROR(VLOOKUP($MM103,$BB$2:$BF$24,2,FALSE),"")</f>
        <v/>
      </c>
      <c r="NV103" s="152">
        <f>COUNTIF($NC103:$NG103,1)</f>
        <v/>
      </c>
      <c r="NW103" s="152">
        <f>COUNTIF($NC103:$NG103,2)</f>
        <v/>
      </c>
      <c r="NX103" s="152">
        <f>COUNTIF($NC103:$NG103,3)</f>
        <v/>
      </c>
      <c r="NY103" s="152">
        <f>COUNTIF($NC103:$NG103,4)</f>
        <v/>
      </c>
      <c r="NZ103" s="152">
        <f>COUNTIF($NC103:$NG103,5)</f>
        <v/>
      </c>
      <c r="OA103" s="152">
        <f>COUNTIF($NC103:$NG103,6)</f>
        <v/>
      </c>
      <c r="OB103" s="152">
        <f>COUNTIF($NR103:$NS103,1)</f>
        <v/>
      </c>
      <c r="OC103" s="152">
        <f>COUNTIF($NR103:$NS103,2)+$NO103</f>
        <v/>
      </c>
      <c r="OD103" s="152">
        <f>COUNTIF($MH103:$MK103,"?*")</f>
        <v/>
      </c>
      <c r="OE103" s="152">
        <f>COUNTIF($ML103:$MM103,"?*")+$NO103</f>
        <v/>
      </c>
      <c r="OF103" s="152">
        <f>IF($MC103=0,0,SUMPRODUCT($NV103:$OA103,INDEX($I$2:$N$8,MAX(1,$MC103),0)))</f>
        <v/>
      </c>
      <c r="OG103" s="152">
        <f>IF($MC103=0,0,$OB103*CEILING($MC103/2,1)+$OC103*$MC103)</f>
        <v/>
      </c>
      <c r="OH103" s="152">
        <f>MIN(2*$MC103,$OG103)</f>
        <v/>
      </c>
      <c r="OI103" s="152">
        <f>MIN($OH103,$OF103)</f>
        <v/>
      </c>
      <c r="OJ103" s="152">
        <f>$OH103-$OI103</f>
        <v/>
      </c>
      <c r="OK103" s="152">
        <f>IF($MC103=0,0,INDEX($P$2:$P$8,MAX(1,$MC103)))</f>
        <v/>
      </c>
      <c r="OL103" s="152">
        <f>$OK103-$OF103+$OI103</f>
        <v/>
      </c>
      <c r="OM103" s="152">
        <f>IF($MC103=0,MAX(0,$MQ103-IF($OD103&gt;0,1,0)),MAX(0,$OL103))</f>
        <v/>
      </c>
      <c r="ON103" s="152">
        <f>IF($MC103=0,0,(IF(COUNTIF($MH103:$MK103,"Salto")&gt;0,1,0)+IF(COUNTIF($MH103:$MK103,"Queima")&gt;0,1,0)+IF(COUNTIF($MH103:$MK103,"Estilhaço")&gt;0,1,0))*FLOOR($OM103/2,1))</f>
        <v/>
      </c>
      <c r="OO103" s="152">
        <f>MAX(0,2-SUMPRODUCT($NV103:$OA103,$I$2:$N$2)+MIN(2,$OB103*1+$OC103*1,SUMPRODUCT($NV103:$OA103,$I$2:$N$2)))</f>
        <v/>
      </c>
      <c r="OP103" s="152">
        <f>MAX(0,4-SUMPRODUCT($NV103:$OA103,$I$3:$N$3)+MIN(4,$OB103*1+$OC103*2,SUMPRODUCT($NV103:$OA103,$I$3:$N$3)))</f>
        <v/>
      </c>
      <c r="OQ103" s="152">
        <f>MAX(0,6-SUMPRODUCT($NV103:$OA103,$I$4:$N$4)+MIN(6,$OB103*2+$OC103*3,SUMPRODUCT($NV103:$OA103,$I$4:$N$4)))</f>
        <v/>
      </c>
      <c r="OR103" s="152">
        <f>MAX(0,9-SUMPRODUCT($NV103:$OA103,$I$5:$N$5)+MIN(8,$OB103*2+$OC103*4,SUMPRODUCT($NV103:$OA103,$I$5:$N$5)))</f>
        <v/>
      </c>
      <c r="OS103" s="152">
        <f>MAX(0,11-SUMPRODUCT($NV103:$OA103,$I$6:$N$6)+MIN(10,$OB103*3+$OC103*5,SUMPRODUCT($NV103:$OA103,$I$6:$N$6)))</f>
        <v/>
      </c>
      <c r="OT103" s="152">
        <f>MAX(0,13-SUMPRODUCT($NV103:$OA103,$I$7:$N$7)+MIN(12,$OB103*3+$OC103*6,SUMPRODUCT($NV103:$OA103,$I$7:$N$7)))</f>
        <v/>
      </c>
      <c r="OU103" s="152">
        <f>MAX(0,16-SUMPRODUCT($NV103:$OA103,$I$8:$N$8)+MIN(14,$OB103*4+$OC103*7,SUMPRODUCT($NV103:$OA103,$I$8:$N$8)))</f>
        <v/>
      </c>
      <c r="OV103" s="152">
        <f>IF($NP103=2,3*$OO103&amp;" de vida temp.",IF($NP103=3,"sem dano",IF($OO103=0,IF($NP103=1,"sem cura","sem dano"),IF($NP103=1,"cura ","")&amp;$OO103&amp;"d8")))</f>
        <v/>
      </c>
      <c r="OW103" s="152">
        <f>IF($NP103=2,3*$OP103&amp;" de vida temp.",IF($NP103=3,"sem dano",IF($OP103=0,IF($NP103=1,"sem cura","sem dano"),IF($NP103=1,"cura ","")&amp;$OP103&amp;"d8")))</f>
        <v/>
      </c>
      <c r="OX103" s="152">
        <f>IF($NP103=2,3*$OQ103&amp;" de vida temp.",IF($NP103=3,"sem dano",IF($OQ103=0,IF($NP103=1,"sem cura","sem dano"),IF($NP103=1,"cura ","")&amp;$OQ103&amp;"d8")))</f>
        <v/>
      </c>
      <c r="OY103" s="152">
        <f>IF($NP103=2,3*$OR103&amp;" de vida temp.",IF($NP103=3,"sem dano",IF($OR103=0,IF($NP103=1,"sem cura","sem dano"),IF($NP103=1,"cura ","")&amp;$OR103&amp;"d8")))</f>
        <v/>
      </c>
      <c r="OZ103" s="152">
        <f>IF($NP103=2,3*$OS103&amp;" de vida temp.",IF($NP103=3,"sem dano",IF($OS103=0,IF($NP103=1,"sem cura","sem dano"),IF($NP103=1,"cura ","")&amp;$OS103&amp;"d8")))</f>
        <v/>
      </c>
      <c r="PA103" s="152">
        <f>IF($NP103=2,3*$OT103&amp;" de vida temp.",IF($NP103=3,"sem dano",IF($OT103=0,IF($NP103=1,"sem cura","sem dano"),IF($NP103=1,"cura ","")&amp;$OT103&amp;"d8")))</f>
        <v/>
      </c>
      <c r="PB103" s="152">
        <f>IF($NP103=2,3*$OU103&amp;" de vida temp.",IF($NP103=3,"sem dano",IF($OU103=0,IF($NP103=1,"sem cura","sem dano"),IF($NP103=1,"cura ","")&amp;$OU103&amp;"d8")))</f>
        <v/>
      </c>
      <c r="PC103" s="152">
        <f>IF($MN103=0,"",TEXTJOIN(" · ",TRUE,IF($MA103&gt;$MO103,"Este lugar abre no nível "&amp;$MA103,""),IF($MC103&gt;$MP103,"Classe "&amp;$MC103&amp;": o nível "&amp;$MO103&amp;" libera até a "&amp;$MP103,""),IF($NH103=1,"A Forma "&amp;$ME103&amp;" pede "&amp;INDEX($W$2:$W$11,$MT103)&amp;" aberta",""),IF(AND($MC103=0,$MT103&gt;0,IF($MT103=0,0,INDEX($AF$2:$AF$11,$MT103))=0),$ME103&amp;" não existe na Classe 0",""),IF($NI103=1,"Família Fechada: "&amp;$MH103,""),IF($NJ103=1,"Família Fechada: "&amp;$MI103,""),IF($NK103=1,"Família Fechada: "&amp;$MJ103,""),IF($NL103=1,"Família Fechada: "&amp;$MK103,""),IF(AND($MC103&gt;0,$OD103&gt;INDEX($O$2:$O$8,MAX(1,$MC103))),$OD103&amp;" Melhorias: a Classe "&amp;$MC103&amp;" aceita "&amp;INDEX($O$2:$O$8,MAX(1,$MC103)),""),IF(AND($MC103=0,$OD103&gt;1),"A básica aceita uma Melhoria",""),IF(AND($MC103=0,COUNTIF($MY103:$NB103,"&gt;1")&gt;0),"A básica só aceita Melhoria Leve",""),IF(AND($MC103&gt;0,$OE103&gt;2),$OE103&amp;" Restrições"&amp;IF($NO103=1,", contando a que a Forma "&amp;$ME103&amp;" já traz","")&amp;": o limite é 2",""),IF(AND($MC103=0,COUNTIF($ML103:$MM103,"?*")&gt;1),"A básica aceita uma Restrição Leve",""),IF(AND($MC103=0,COUNTIF($NR103:$NS103,2)&gt;0),"A básica só aceita Restrição Leve",""),IF(AND($MC103&gt;0,$OL103&lt;0),"Orçamento estourado: faltam "&amp;(-$OL103)&amp;IF($OL103&lt;-1," pontos"," ponto"),""),IF(IFERROR(VLOOKUP($ML103,$BB$2:$BF$24,4,FALSE),0)+IFERROR(VLOOKUP($MM103,$BB$2:$BF$24,4,FALSE),0)&gt;1,$NT103&amp;" e "&amp;$NU103&amp;" são as duas de frequência",""),IF(AND((COUNTIF($MH103:$MK103,"Rápido")+COUNTIF($NT103:$NU103,"Rápido"))&gt;0,(COUNTIF($MH103:$MK103,"Atrasar")+COUNTIF($NT103:$NU103,"Atrasar"))&gt;0),"Rápido não entra com Atrasar",""),IF(AND((COUNTIF($MH103:$MK103,"Reação")+COUNTIF($NT103:$NU103,"Reação"))&gt;0,(COUNTIF($MH103:$MK103,"Rápido")+COUNTIF($NT103:$NU103,"Rápido"))&gt;0),"Reação não entra com Rápido",""),IF(AND((COUNTIF($MH103:$MK103,"Reação")+COUNTIF($NT103:$NU103,"Reação"))&gt;0,(COUNTIF($MH103:$MK103,"Armado")+COUNTIF($NT103:$NU103,"Armado"))&gt;0),"Reação não entra com Armado",""),IF(AND((COUNTIF($MH103:$MK103,"Reação")+COUNTIF($NT103:$NU103,"Reação"))&gt;0,(COUNTIF($MH103:$MK103,"Atrasar")+COUNTIF($NT103:$NU103,"Atrasar"))&gt;0),"Reação não entra com Atrasar",""),IF(AND((COUNTIF($MH103:$MK103,"Reação")+COUNTIF($NT103:$NU103,"Reação"))&gt;0,(COUNTIF($MH103:$MK103,"Parado")+COUNTIF($NT103:$NU103,"Parado"))&gt;0),"Reação não entra com Parado",""),IF(AND((COUNTIF($MH103:$MK103,"Atrasar")+COUNTIF($NT103:$NU103,"Atrasar"))&gt;0,(COUNTIF($MH103:$MK103,"Parado")+COUNTIF($NT103:$NU103,"Parado"))&gt;0),"Atrasar não entra com Parado",""),IF(AND((COUNTIF($MH103:$MK103,"Armado")+COUNTIF($NT103:$NU103,"Armado"))&gt;0,(COUNTIF($MH103:$MK103,"Carregar")+COUNTIF($NT103:$NU103,"Carregar"))&gt;0),"Armado não entra com Carregar",""),IF(AND(COUNTIF($NT103:$NU103,"Corpo a Corpo")&gt;0,$NO103=0,OR($ME103="Cone",$ME103="Linha")),"Corpo a Corpo não entra em "&amp;$ME103,""),IF(AND(COUNTIF($NT103:$NU103,"Corpo a Corpo")&gt;0,$NO103=1),"A Forma "&amp;$ME103&amp;" já traz o Corpo a Corpo",""),IF(AND(COUNTIF($NT103:$NU103,"Tudo ou Nada")&gt;0,$NQ103=0),"Tudo ou Nada só entra em habilidade de Teste de Resistência",""),IF(AND(COUNTIF($MH103:$MK103,"Inescapável")&gt;0,OR($OD103&gt;1,$OE103&gt;0)),"Inescapável não aceita outra peça",""),IF(AND($MC103&gt;0,$OM103*IF(COUNTIF($MH103:$MK103,"Remate")&gt;0,1.25,1)+$ON103&gt;4*$MC103),($OM103*IF(COUNTIF($MH103:$MK103,"Remate")&gt;0,1.25,1)+$ON103)&amp;" dados somando repetições"&amp;IF(COUNTIF($MH103:$MK103,"Remate")&gt;0," e o Remate","")&amp;": o teto da Classe "&amp;$MC103&amp;" é "&amp;4*$MC103,"")))</f>
        <v/>
      </c>
      <c r="PD103" s="152">
        <f>IF($PC103="",0,(LEN($PC103)-LEN(SUBSTITUTE($PC103," · ","")))/3+1)</f>
        <v/>
      </c>
      <c r="PE103" s="152">
        <f>IF($MN103=0,"",TEXTJOIN(" · ",TRUE,IF($OG103&gt;2*$MC103,"A devolução parou no teto de "&amp;2*$MC103,""),IF($OJ103&gt;0,"Devolução perdida: "&amp;$OJ103&amp;IF($OJ103&gt;1," pontos"," ponto")&amp;" sem peça para pagar",""),IF(AND($NM103&gt;0,AND($MC103&gt;0,$NP103=0),$OM103=0),"Controle sem dano: uma rodada a mais e CD +2",""),IF(AND($NM103&gt;0,AND($MC103&gt;0,$NP103=0),$OM103&gt;0,$OM103&lt;=$MC103),"Controle com saldo até a Classe: uma rodada a mais",""),IF(AND($MC103&gt;0,$NN103&lt;&gt;""),"Efeito de "&amp;$NN103&amp;" pela Classe "&amp;MAX(1,$MC103-1),"")))</f>
        <v/>
      </c>
      <c r="PF103" s="152">
        <f>IF($PE103="",0,(LEN($PE103)-LEN(SUBSTITUTE($PE103," · ","")))/3+1)</f>
        <v/>
      </c>
      <c r="PG103" s="152">
        <f>IF($MN103=0,IF($OD103+COUNTIF($ML103:$MM103,"?*")&gt;0,"Dê um nome",""),IF($PD103&gt;0,"⚠ "&amp;$PD103&amp;IF($PD103&gt;1," erros"," erro"),IF($PF103&gt;0,"! "&amp;$PF103&amp;IF($PF103&gt;1," avisos"," aviso"),"Na regra")))</f>
        <v/>
      </c>
      <c r="PH103" s="152">
        <f>IF($MN103=0,"",IF($PD103+$PF103=0,"Dentro das regras que a ficha confere",$PC103&amp;IF(AND($PD103&gt;0,$PF103&gt;0)," · ","")&amp;$PE103))</f>
        <v/>
      </c>
      <c r="PI103" s="152">
        <f>IF($MA103&gt;$MO103,$MB103&amp;" · ABRE NO NÍVEL "&amp;$MA103,$MB103)</f>
        <v/>
      </c>
      <c r="PJ103" s="152">
        <f>IF($MN103=0,"",IF($MC103=0,"Sem PE",3*$MC103&amp;" PE"))</f>
        <v/>
      </c>
      <c r="PK103" s="152">
        <f>IF($MN103=0,"",IF($MC103=0,"A atuação básica dela",IF(COUNTIF($NT103:$NU103,"Atrasar")&gt;0,"Sua Ação Completa",IF(COUNTIF($MH103:$MK103,"Rápido")&gt;0,"Sua Bônus",IF(COUNTIF($MH103:$MK103,"Reação")&gt;0,"Sua Reação","Sua Padrão")))&amp;" + a básica dela"&amp;IF(COUNTIF($MH103:$MK103,"Reação")&gt;0," e a coletiva","")&amp;IF(COUNTIF($NT103:$NU103,"Carregar")&gt;0," · em dois turnos","")))</f>
        <v/>
      </c>
      <c r="PL103" s="152">
        <f>IF($MG103&lt;&gt;"",$MG103,IF($MT103=0,"",INDEX($AA$2:$AA$11,$MT103)))</f>
        <v/>
      </c>
      <c r="PM103" s="152">
        <f>IF(OR($MN103=0,$MT103=0),"",IF(COUNTIF($MH103:$MK103,"Inescapável")&gt;0,"Automático",IF($PL103="Ataque",IF($MR103="","Ataque","Ataque "&amp;IF(($MR103+2*IF(COUNTIF($MH103:$MK103,"Precisão")&gt;0,1,0))&gt;=0,"+","−")&amp;ABS(($MR103+2*IF(COUNTIF($MH103:$MK103,"Precisão")&gt;0,1,0)))),IF(LEFT($PL103,2)="TR",$PL103&amp;IF($MS103="",""," · CD "&amp;$MS103)&amp;IF(COUNTIF($MH103:$MK103,"Certeiro")&gt;0," · metade",""),"Sem rolagem"))))</f>
        <v/>
      </c>
      <c r="PN103" s="152">
        <f>IF(OR($MN103=0,$MT103=0),"",IF($MC103=0,IF(OR($NP103&gt;=1,$OM103=0),"Sem dano",$OM103&amp;"d6"&amp;IF($MF103="",""," "&amp;$MF103)),IF(OR($NP103&gt;=1,$OM103=0),UPPER(LEFT(INDEX($OV103:$PB103,1,MAX(1,$MC103)),1))&amp;MID(INDEX($OV103:$PB103,1,MAX(1,$MC103)),2,99),UPPER(LEFT(INDEX($OV103:$PB103,1,MAX(1,$MC103)),1))&amp;MID(INDEX($OV103:$PB103,1,MAX(1,$MC103)),2,99)&amp;IF($MF103="",""," "&amp;$MF103)&amp;IF($ON103&gt;0," · +"&amp;$ON103&amp;"d8",""))))</f>
        <v/>
      </c>
      <c r="PO103" s="152">
        <f>COUNTIF($MH103:$MK103,"Longe")+3*COUNTIF($MH103:$MK103,"Muito Longe")</f>
        <v/>
      </c>
      <c r="PP103" s="152">
        <f>COUNTIF($MH103:$MK103,"Maior")+3*COUNTIF($MH103:$MK103,"Muito Maior")</f>
        <v/>
      </c>
      <c r="PQ103" s="152">
        <f>IF($MT103=0,0,CHOOSE(1+INDEX($AC$2:$AC$11,$MT103),0,$PO103,$PP103,$PO103+$PP103))</f>
        <v/>
      </c>
      <c r="PR103" s="152">
        <f>IF($MT103=0,0,CHOOSE(1+INDEX($AD$2:$AD$11,$MT103),0,$PO103,$PP103,$PO103+$PP103))</f>
        <v/>
      </c>
      <c r="PS103" s="152">
        <f>IF(OR($MN103=0,$MT103=0),"",INDEX($AI$2:$AN$41,($MT103-1)*4+IF($MC103=0,1,IF($MC103&lt;=5,2,IF($MC103=6,3,4))),1+MIN(5,$PQ103))&amp;INDEX($AO$2:$AT$41,($MT103-1)*4+IF($MC103=0,1,IF($MC103&lt;=5,2,IF($MC103=6,3,4))),1+MIN(5,$PR103))&amp;IF(INDEX($AE$2:$AE$11,$MT103)=1,IF(COUNTIF($MH103:$MK103,"Mais Um")&gt;0," · +"&amp;COUNTIF($MH103:$MK103,"Mais Um")&amp;IF(COUNTIF($MH103:$MK103,"Mais Um")&gt;1," alvos"," alvo"),"")&amp;IF(COUNTIF($MH103:$MK103,"Rajada")&gt;0,IF($MC103=0," · 1 tiro"," · "&amp;(MAX(1,$MC103-1)+1)&amp;" tiros"),""),""))</f>
        <v/>
      </c>
      <c r="PT103" s="152">
        <f>IF($MN103=0,"",IF($MC103=0,$MQ103&amp;"d6"&amp;IF($OD103&gt;0," − 1 = "&amp;$OM103&amp;"d6"," da básica do nível "&amp;$MO103),$OK103&amp;" − "&amp;$OF103&amp;" + "&amp;$OI103&amp;" = "&amp;$OL103&amp;" · teto "&amp;4*$MC103&amp;"d8"&amp;IF($NO103=1," · a Forma devolve "&amp;$MC103,"")&amp;IF($OJ103&gt;0," · perde "&amp;$OJ103,"")))</f>
        <v/>
      </c>
      <c r="PU103" s="152">
        <f>IF($MN103=0,"",IF($MC103=0,"A básica não amplia: os dados dela sobem com o nível",IF($MC103&gt;=$MP103,"Já está na maior Classe que o nível liberou",TEXTJOIN(" · ",TRUE,IF(AND(2&gt;$MC103,2&lt;=$MP103),"2 → "&amp;$OW103&amp;", 6 PE",""),IF(AND(3&gt;$MC103,3&lt;=$MP103),"3 → "&amp;$OX103&amp;", 9 PE",""),IF(AND(4&gt;$MC103,4&lt;=$MP103),"4 → "&amp;$OY103&amp;", 12 PE",""),IF(AND(5&gt;$MC103,5&lt;=$MP103),"5 → "&amp;$OZ103&amp;", 15 PE",""),IF(AND(6&gt;$MC103,6&lt;=$MP103),"6 → "&amp;$PA103&amp;", 18 PE",""),IF(AND(7&gt;$MC103,7&lt;=$MP103),"7 → "&amp;$PB103&amp;", 21 PE","")))))</f>
        <v/>
      </c>
      <c r="PV103" s="152">
        <f>IF(OR($MN103=0,$MY103=0),"",IF($MC103=0,"−1 dado","−"&amp;INDEX($I$2:$N$8,MAX(1,$MC103),MAX(1,$ND103))&amp;" · "&amp;CHOOSE(MAX(1,$ND103),"Leve","Média","Pesada","Leve · Livre","Média · Livre","Pesada · Livre")))</f>
        <v/>
      </c>
      <c r="PW103" s="152">
        <f>IF(OR($MN103=0,$MZ103=0),"",IF($MC103=0,"−1 dado","−"&amp;INDEX($I$2:$N$8,MAX(1,$MC103),MAX(1,$NE103))&amp;" · "&amp;CHOOSE(MAX(1,$NE103),"Leve","Média","Pesada","Leve · Livre","Média · Livre","Pesada · Livre")))</f>
        <v/>
      </c>
      <c r="PX103" s="152">
        <f>IF(OR($MN103=0,$NA103=0),"",IF($MC103=0,"−1 dado","−"&amp;INDEX($I$2:$N$8,MAX(1,$MC103),MAX(1,$NF103))&amp;" · "&amp;CHOOSE(MAX(1,$NF103),"Leve","Média","Pesada","Leve · Livre","Média · Livre","Pesada · Livre")))</f>
        <v/>
      </c>
      <c r="PY103" s="152">
        <f>IF(OR($MN103=0,$NB103=0),"",IF($MC103=0,"−1 dado","−"&amp;INDEX($I$2:$N$8,MAX(1,$MC103),MAX(1,$NG103))&amp;" · "&amp;CHOOSE(MAX(1,$NG103),"Leve","Média","Pesada","Leve · Livre","Média · Livre","Pesada · Livre")))</f>
        <v/>
      </c>
      <c r="PZ103" s="152">
        <f>IF(OR($MN103=0,$ML103=""),"",IF($MC103=0,"não devolve","+"&amp;IF($NR103=1,CEILING($MC103/2,1),$MC103)))</f>
        <v/>
      </c>
      <c r="QA103" s="152">
        <f>IF(OR($MN103=0,$MM103=""),"",IF($MC103=0,"não devolve","+"&amp;IF($NS103=1,CEILING($MC103/2,1),$MC103)))</f>
        <v/>
      </c>
    </row>
    <row r="104">
      <c r="LX104" s="150" t="inlineStr">
        <is>
          <t>Ficha 8 · Escolha da trilha 2</t>
        </is>
      </c>
      <c r="LY104" s="152" t="n">
        <v>8</v>
      </c>
      <c r="LZ104" s="152" t="n">
        <v>2</v>
      </c>
      <c r="MA104" s="152" t="n">
        <v>0</v>
      </c>
      <c r="MB104" s="150" t="inlineStr">
        <is>
          <t>ESCOLHA DA TRILHA 2</t>
        </is>
      </c>
      <c r="MC104" s="152">
        <f>MAX(0,MIN(7,N('INVOCAÇÕES'!$AH$358)))</f>
        <v/>
      </c>
      <c r="MD104" s="152">
        <f>'INVOCAÇÕES'!$AI$358&amp;""</f>
        <v/>
      </c>
      <c r="ME104" s="152">
        <f>'INVOCAÇÕES'!$AH$363&amp;""</f>
        <v/>
      </c>
      <c r="MF104" s="152">
        <f>'INVOCAÇÕES'!$AH$364&amp;""</f>
        <v/>
      </c>
      <c r="MG104" s="152">
        <f>'INVOCAÇÕES'!$AJ$364&amp;""</f>
        <v/>
      </c>
      <c r="MH104" s="152">
        <f>'INVOCAÇÕES'!$AI$367&amp;""</f>
        <v/>
      </c>
      <c r="MI104" s="152">
        <f>'INVOCAÇÕES'!$AI$368&amp;""</f>
        <v/>
      </c>
      <c r="MJ104" s="152">
        <f>'INVOCAÇÕES'!$AI$369&amp;""</f>
        <v/>
      </c>
      <c r="MK104" s="152">
        <f>'INVOCAÇÕES'!$AI$370&amp;""</f>
        <v/>
      </c>
      <c r="ML104" s="152">
        <f>'INVOCAÇÕES'!$AI$371&amp;""</f>
        <v/>
      </c>
      <c r="MM104" s="152">
        <f>'INVOCAÇÕES'!$AI$372&amp;""</f>
        <v/>
      </c>
      <c r="MN104" s="152">
        <f>IF($MD104&lt;&gt;"",1,0)</f>
        <v/>
      </c>
      <c r="MO104" s="152">
        <f>INDEX($FG$2:$FG$13,$LY104)</f>
        <v/>
      </c>
      <c r="MP104" s="152">
        <f>INDEX($FH$2:$FH$13,$LY104)</f>
        <v/>
      </c>
      <c r="MQ104" s="152">
        <f>INDEX($FI$2:$FI$13,$LY104)</f>
        <v/>
      </c>
      <c r="MR104" s="152">
        <f>INDEX($FT$2:$FT$13,$LY104)</f>
        <v/>
      </c>
      <c r="MS104" s="152">
        <f>INDEX($FU$2:$FU$13,$LY104)</f>
        <v/>
      </c>
      <c r="MT104" s="152">
        <f>IFERROR(MATCH($ME104,$V$2:$V$11,0),0)</f>
        <v/>
      </c>
      <c r="MU104" s="152">
        <f>IFERROR(VLOOKUP($MH104,$AV$2:$AZ$84,2,FALSE),"")</f>
        <v/>
      </c>
      <c r="MV104" s="152">
        <f>IFERROR(VLOOKUP($MI104,$AV$2:$AZ$84,2,FALSE),"")</f>
        <v/>
      </c>
      <c r="MW104" s="152">
        <f>IFERROR(VLOOKUP($MJ104,$AV$2:$AZ$84,2,FALSE),"")</f>
        <v/>
      </c>
      <c r="MX104" s="152">
        <f>IFERROR(VLOOKUP($MK104,$AV$2:$AZ$84,2,FALSE),"")</f>
        <v/>
      </c>
      <c r="MY104" s="152">
        <f>IFERROR(VLOOKUP($MH104,$AV$2:$AZ$84,3,FALSE),0)</f>
        <v/>
      </c>
      <c r="MZ104" s="152">
        <f>IFERROR(VLOOKUP($MI104,$AV$2:$AZ$84,3,FALSE),0)</f>
        <v/>
      </c>
      <c r="NA104" s="152">
        <f>IFERROR(VLOOKUP($MJ104,$AV$2:$AZ$84,3,FALSE),0)</f>
        <v/>
      </c>
      <c r="NB104" s="152">
        <f>IFERROR(VLOOKUP($MK104,$AV$2:$AZ$84,3,FALSE),0)</f>
        <v/>
      </c>
      <c r="NC104" s="152">
        <f>IF($MC104=0,0,IF($MT104=0,0,INDEX($X$2:$X$11,$MT104)))</f>
        <v/>
      </c>
      <c r="ND104" s="152">
        <f>IF(OR($MY104=0,$MC104=0),0,$MY104+3*IF(AND($MU104&lt;&gt;"",OR($MU104=INDEX($ED$2:$ED$13,$LY104),$MU104=INDEX($EE$2:$EE$13,$LY104))),1,0))</f>
        <v/>
      </c>
      <c r="NE104" s="152">
        <f>IF(OR($MZ104=0,$MC104=0),0,$MZ104+3*IF(AND($MV104&lt;&gt;"",OR($MV104=INDEX($ED$2:$ED$13,$LY104),$MV104=INDEX($EE$2:$EE$13,$LY104))),1,0))</f>
        <v/>
      </c>
      <c r="NF104" s="152">
        <f>IF(OR($NA104=0,$MC104=0),0,$NA104+3*IF(AND($MW104&lt;&gt;"",OR($MW104=INDEX($ED$2:$ED$13,$LY104),$MW104=INDEX($EE$2:$EE$13,$LY104))),1,0))</f>
        <v/>
      </c>
      <c r="NG104" s="152">
        <f>IF(OR($NB104=0,$MC104=0),0,$NB104+3*IF(AND($MX104&lt;&gt;"",OR($MX104=INDEX($ED$2:$ED$13,$LY104),$MX104=INDEX($EE$2:$EE$13,$LY104))),1,0))</f>
        <v/>
      </c>
      <c r="NH104" s="152">
        <f>IF($MT104=0,0,IF(INDEX($W$2:$W$11,$MT104)="",0,IF(COUNTIF(INDEX($ED$2:$EH$13,$LY104,0),INDEX($W$2:$W$11,$MT104))=0,1,0)))</f>
        <v/>
      </c>
      <c r="NI104" s="152">
        <f>IF(OR($MY104=0,$MU104=""),0,IF(COUNTIF(INDEX($ED$2:$EH$13,$LY104,0),$MU104)=0,1,0))</f>
        <v/>
      </c>
      <c r="NJ104" s="152">
        <f>IF(OR($MZ104=0,$MV104=""),0,IF(COUNTIF(INDEX($ED$2:$EH$13,$LY104,0),$MV104)=0,1,0))</f>
        <v/>
      </c>
      <c r="NK104" s="152">
        <f>IF(OR($NA104=0,$MW104=""),0,IF(COUNTIF(INDEX($ED$2:$EH$13,$LY104,0),$MW104)=0,1,0))</f>
        <v/>
      </c>
      <c r="NL104" s="152">
        <f>IF(OR($NB104=0,$MX104=""),0,IF(COUNTIF(INDEX($ED$2:$EH$13,$LY104,0),$MX104)=0,1,0))</f>
        <v/>
      </c>
      <c r="NM104" s="152">
        <f>IFERROR(VLOOKUP($MH104,$AV$2:$AZ$84,4,FALSE),0)+IFERROR(VLOOKUP($MI104,$AV$2:$AZ$84,4,FALSE),0)+IFERROR(VLOOKUP($MJ104,$AV$2:$AZ$84,4,FALSE),0)+IFERROR(VLOOKUP($MK104,$AV$2:$AZ$84,4,FALSE),0)</f>
        <v/>
      </c>
      <c r="NN104" s="152">
        <f>TEXTJOIN(", ",TRUE,IF(IFERROR(VLOOKUP($MH104,$AV$2:$AZ$84,5,FALSE),0)=1,$MH104,""),IF(IFERROR(VLOOKUP($MI104,$AV$2:$AZ$84,5,FALSE),0)=1,$MI104,""),IF(IFERROR(VLOOKUP($MJ104,$AV$2:$AZ$84,5,FALSE),0)=1,$MJ104,""),IF(IFERROR(VLOOKUP($MK104,$AV$2:$AZ$84,5,FALSE),0)=1,$MK104,""))</f>
        <v/>
      </c>
      <c r="NO104" s="152">
        <f>IF($MT104=0,0,INDEX($Y$2:$Y$11,$MT104))</f>
        <v/>
      </c>
      <c r="NP104" s="152">
        <f>IF($MT104=0,0,INDEX($Z$2:$Z$11,$MT104))</f>
        <v/>
      </c>
      <c r="NQ104" s="152">
        <f>IF($MT104=0,0,INDEX($AB$2:$AB$11,$MT104))</f>
        <v/>
      </c>
      <c r="NR104" s="152">
        <f>IFERROR(VLOOKUP($ML104,$BB$2:$BF$24,3,FALSE),0)</f>
        <v/>
      </c>
      <c r="NS104" s="152">
        <f>IFERROR(VLOOKUP($MM104,$BB$2:$BF$24,3,FALSE),0)</f>
        <v/>
      </c>
      <c r="NT104" s="152">
        <f>IFERROR(VLOOKUP($ML104,$BB$2:$BF$24,2,FALSE),"")</f>
        <v/>
      </c>
      <c r="NU104" s="152">
        <f>IFERROR(VLOOKUP($MM104,$BB$2:$BF$24,2,FALSE),"")</f>
        <v/>
      </c>
      <c r="NV104" s="152">
        <f>COUNTIF($NC104:$NG104,1)</f>
        <v/>
      </c>
      <c r="NW104" s="152">
        <f>COUNTIF($NC104:$NG104,2)</f>
        <v/>
      </c>
      <c r="NX104" s="152">
        <f>COUNTIF($NC104:$NG104,3)</f>
        <v/>
      </c>
      <c r="NY104" s="152">
        <f>COUNTIF($NC104:$NG104,4)</f>
        <v/>
      </c>
      <c r="NZ104" s="152">
        <f>COUNTIF($NC104:$NG104,5)</f>
        <v/>
      </c>
      <c r="OA104" s="152">
        <f>COUNTIF($NC104:$NG104,6)</f>
        <v/>
      </c>
      <c r="OB104" s="152">
        <f>COUNTIF($NR104:$NS104,1)</f>
        <v/>
      </c>
      <c r="OC104" s="152">
        <f>COUNTIF($NR104:$NS104,2)+$NO104</f>
        <v/>
      </c>
      <c r="OD104" s="152">
        <f>COUNTIF($MH104:$MK104,"?*")</f>
        <v/>
      </c>
      <c r="OE104" s="152">
        <f>COUNTIF($ML104:$MM104,"?*")+$NO104</f>
        <v/>
      </c>
      <c r="OF104" s="152">
        <f>IF($MC104=0,0,SUMPRODUCT($NV104:$OA104,INDEX($I$2:$N$8,MAX(1,$MC104),0)))</f>
        <v/>
      </c>
      <c r="OG104" s="152">
        <f>IF($MC104=0,0,$OB104*CEILING($MC104/2,1)+$OC104*$MC104)</f>
        <v/>
      </c>
      <c r="OH104" s="152">
        <f>MIN(2*$MC104,$OG104)</f>
        <v/>
      </c>
      <c r="OI104" s="152">
        <f>MIN($OH104,$OF104)</f>
        <v/>
      </c>
      <c r="OJ104" s="152">
        <f>$OH104-$OI104</f>
        <v/>
      </c>
      <c r="OK104" s="152">
        <f>IF($MC104=0,0,INDEX($P$2:$P$8,MAX(1,$MC104)))</f>
        <v/>
      </c>
      <c r="OL104" s="152">
        <f>$OK104-$OF104+$OI104</f>
        <v/>
      </c>
      <c r="OM104" s="152">
        <f>IF($MC104=0,MAX(0,$MQ104-IF($OD104&gt;0,1,0)),MAX(0,$OL104))</f>
        <v/>
      </c>
      <c r="ON104" s="152">
        <f>IF($MC104=0,0,(IF(COUNTIF($MH104:$MK104,"Salto")&gt;0,1,0)+IF(COUNTIF($MH104:$MK104,"Queima")&gt;0,1,0)+IF(COUNTIF($MH104:$MK104,"Estilhaço")&gt;0,1,0))*FLOOR($OM104/2,1))</f>
        <v/>
      </c>
      <c r="OO104" s="152">
        <f>MAX(0,2-SUMPRODUCT($NV104:$OA104,$I$2:$N$2)+MIN(2,$OB104*1+$OC104*1,SUMPRODUCT($NV104:$OA104,$I$2:$N$2)))</f>
        <v/>
      </c>
      <c r="OP104" s="152">
        <f>MAX(0,4-SUMPRODUCT($NV104:$OA104,$I$3:$N$3)+MIN(4,$OB104*1+$OC104*2,SUMPRODUCT($NV104:$OA104,$I$3:$N$3)))</f>
        <v/>
      </c>
      <c r="OQ104" s="152">
        <f>MAX(0,6-SUMPRODUCT($NV104:$OA104,$I$4:$N$4)+MIN(6,$OB104*2+$OC104*3,SUMPRODUCT($NV104:$OA104,$I$4:$N$4)))</f>
        <v/>
      </c>
      <c r="OR104" s="152">
        <f>MAX(0,9-SUMPRODUCT($NV104:$OA104,$I$5:$N$5)+MIN(8,$OB104*2+$OC104*4,SUMPRODUCT($NV104:$OA104,$I$5:$N$5)))</f>
        <v/>
      </c>
      <c r="OS104" s="152">
        <f>MAX(0,11-SUMPRODUCT($NV104:$OA104,$I$6:$N$6)+MIN(10,$OB104*3+$OC104*5,SUMPRODUCT($NV104:$OA104,$I$6:$N$6)))</f>
        <v/>
      </c>
      <c r="OT104" s="152">
        <f>MAX(0,13-SUMPRODUCT($NV104:$OA104,$I$7:$N$7)+MIN(12,$OB104*3+$OC104*6,SUMPRODUCT($NV104:$OA104,$I$7:$N$7)))</f>
        <v/>
      </c>
      <c r="OU104" s="152">
        <f>MAX(0,16-SUMPRODUCT($NV104:$OA104,$I$8:$N$8)+MIN(14,$OB104*4+$OC104*7,SUMPRODUCT($NV104:$OA104,$I$8:$N$8)))</f>
        <v/>
      </c>
      <c r="OV104" s="152">
        <f>IF($NP104=2,3*$OO104&amp;" de vida temp.",IF($NP104=3,"sem dano",IF($OO104=0,IF($NP104=1,"sem cura","sem dano"),IF($NP104=1,"cura ","")&amp;$OO104&amp;"d8")))</f>
        <v/>
      </c>
      <c r="OW104" s="152">
        <f>IF($NP104=2,3*$OP104&amp;" de vida temp.",IF($NP104=3,"sem dano",IF($OP104=0,IF($NP104=1,"sem cura","sem dano"),IF($NP104=1,"cura ","")&amp;$OP104&amp;"d8")))</f>
        <v/>
      </c>
      <c r="OX104" s="152">
        <f>IF($NP104=2,3*$OQ104&amp;" de vida temp.",IF($NP104=3,"sem dano",IF($OQ104=0,IF($NP104=1,"sem cura","sem dano"),IF($NP104=1,"cura ","")&amp;$OQ104&amp;"d8")))</f>
        <v/>
      </c>
      <c r="OY104" s="152">
        <f>IF($NP104=2,3*$OR104&amp;" de vida temp.",IF($NP104=3,"sem dano",IF($OR104=0,IF($NP104=1,"sem cura","sem dano"),IF($NP104=1,"cura ","")&amp;$OR104&amp;"d8")))</f>
        <v/>
      </c>
      <c r="OZ104" s="152">
        <f>IF($NP104=2,3*$OS104&amp;" de vida temp.",IF($NP104=3,"sem dano",IF($OS104=0,IF($NP104=1,"sem cura","sem dano"),IF($NP104=1,"cura ","")&amp;$OS104&amp;"d8")))</f>
        <v/>
      </c>
      <c r="PA104" s="152">
        <f>IF($NP104=2,3*$OT104&amp;" de vida temp.",IF($NP104=3,"sem dano",IF($OT104=0,IF($NP104=1,"sem cura","sem dano"),IF($NP104=1,"cura ","")&amp;$OT104&amp;"d8")))</f>
        <v/>
      </c>
      <c r="PB104" s="152">
        <f>IF($NP104=2,3*$OU104&amp;" de vida temp.",IF($NP104=3,"sem dano",IF($OU104=0,IF($NP104=1,"sem cura","sem dano"),IF($NP104=1,"cura ","")&amp;$OU104&amp;"d8")))</f>
        <v/>
      </c>
      <c r="PC104" s="152">
        <f>IF($MN104=0,"",TEXTJOIN(" · ",TRUE,IF($MA104&gt;$MO104,"Este lugar abre no nível "&amp;$MA104,""),IF($MC104&gt;$MP104,"Classe "&amp;$MC104&amp;": o nível "&amp;$MO104&amp;" libera até a "&amp;$MP104,""),IF($NH104=1,"A Forma "&amp;$ME104&amp;" pede "&amp;INDEX($W$2:$W$11,$MT104)&amp;" aberta",""),IF(AND($MC104=0,$MT104&gt;0,IF($MT104=0,0,INDEX($AF$2:$AF$11,$MT104))=0),$ME104&amp;" não existe na Classe 0",""),IF($NI104=1,"Família Fechada: "&amp;$MH104,""),IF($NJ104=1,"Família Fechada: "&amp;$MI104,""),IF($NK104=1,"Família Fechada: "&amp;$MJ104,""),IF($NL104=1,"Família Fechada: "&amp;$MK104,""),IF(AND($MC104&gt;0,$OD104&gt;INDEX($O$2:$O$8,MAX(1,$MC104))),$OD104&amp;" Melhorias: a Classe "&amp;$MC104&amp;" aceita "&amp;INDEX($O$2:$O$8,MAX(1,$MC104)),""),IF(AND($MC104=0,$OD104&gt;1),"A básica aceita uma Melhoria",""),IF(AND($MC104=0,COUNTIF($MY104:$NB104,"&gt;1")&gt;0),"A básica só aceita Melhoria Leve",""),IF(AND($MC104&gt;0,$OE104&gt;2),$OE104&amp;" Restrições"&amp;IF($NO104=1,", contando a que a Forma "&amp;$ME104&amp;" já traz","")&amp;": o limite é 2",""),IF(AND($MC104=0,COUNTIF($ML104:$MM104,"?*")&gt;1),"A básica aceita uma Restrição Leve",""),IF(AND($MC104=0,COUNTIF($NR104:$NS104,2)&gt;0),"A básica só aceita Restrição Leve",""),IF(AND($MC104&gt;0,$OL104&lt;0),"Orçamento estourado: faltam "&amp;(-$OL104)&amp;IF($OL104&lt;-1," pontos"," ponto"),""),IF(IFERROR(VLOOKUP($ML104,$BB$2:$BF$24,4,FALSE),0)+IFERROR(VLOOKUP($MM104,$BB$2:$BF$24,4,FALSE),0)&gt;1,$NT104&amp;" e "&amp;$NU104&amp;" são as duas de frequência",""),IF(AND((COUNTIF($MH104:$MK104,"Rápido")+COUNTIF($NT104:$NU104,"Rápido"))&gt;0,(COUNTIF($MH104:$MK104,"Atrasar")+COUNTIF($NT104:$NU104,"Atrasar"))&gt;0),"Rápido não entra com Atrasar",""),IF(AND((COUNTIF($MH104:$MK104,"Reação")+COUNTIF($NT104:$NU104,"Reação"))&gt;0,(COUNTIF($MH104:$MK104,"Rápido")+COUNTIF($NT104:$NU104,"Rápido"))&gt;0),"Reação não entra com Rápido",""),IF(AND((COUNTIF($MH104:$MK104,"Reação")+COUNTIF($NT104:$NU104,"Reação"))&gt;0,(COUNTIF($MH104:$MK104,"Armado")+COUNTIF($NT104:$NU104,"Armado"))&gt;0),"Reação não entra com Armado",""),IF(AND((COUNTIF($MH104:$MK104,"Reação")+COUNTIF($NT104:$NU104,"Reação"))&gt;0,(COUNTIF($MH104:$MK104,"Atrasar")+COUNTIF($NT104:$NU104,"Atrasar"))&gt;0),"Reação não entra com Atrasar",""),IF(AND((COUNTIF($MH104:$MK104,"Reação")+COUNTIF($NT104:$NU104,"Reação"))&gt;0,(COUNTIF($MH104:$MK104,"Parado")+COUNTIF($NT104:$NU104,"Parado"))&gt;0),"Reação não entra com Parado",""),IF(AND((COUNTIF($MH104:$MK104,"Atrasar")+COUNTIF($NT104:$NU104,"Atrasar"))&gt;0,(COUNTIF($MH104:$MK104,"Parado")+COUNTIF($NT104:$NU104,"Parado"))&gt;0),"Atrasar não entra com Parado",""),IF(AND((COUNTIF($MH104:$MK104,"Armado")+COUNTIF($NT104:$NU104,"Armado"))&gt;0,(COUNTIF($MH104:$MK104,"Carregar")+COUNTIF($NT104:$NU104,"Carregar"))&gt;0),"Armado não entra com Carregar",""),IF(AND(COUNTIF($NT104:$NU104,"Corpo a Corpo")&gt;0,$NO104=0,OR($ME104="Cone",$ME104="Linha")),"Corpo a Corpo não entra em "&amp;$ME104,""),IF(AND(COUNTIF($NT104:$NU104,"Corpo a Corpo")&gt;0,$NO104=1),"A Forma "&amp;$ME104&amp;" já traz o Corpo a Corpo",""),IF(AND(COUNTIF($NT104:$NU104,"Tudo ou Nada")&gt;0,$NQ104=0),"Tudo ou Nada só entra em habilidade de Teste de Resistência",""),IF(AND(COUNTIF($MH104:$MK104,"Inescapável")&gt;0,OR($OD104&gt;1,$OE104&gt;0)),"Inescapável não aceita outra peça",""),IF(AND($MC104&gt;0,$OM104*IF(COUNTIF($MH104:$MK104,"Remate")&gt;0,1.25,1)+$ON104&gt;4*$MC104),($OM104*IF(COUNTIF($MH104:$MK104,"Remate")&gt;0,1.25,1)+$ON104)&amp;" dados somando repetições"&amp;IF(COUNTIF($MH104:$MK104,"Remate")&gt;0," e o Remate","")&amp;": o teto da Classe "&amp;$MC104&amp;" é "&amp;4*$MC104,"")))</f>
        <v/>
      </c>
      <c r="PD104" s="152">
        <f>IF($PC104="",0,(LEN($PC104)-LEN(SUBSTITUTE($PC104," · ","")))/3+1)</f>
        <v/>
      </c>
      <c r="PE104" s="152">
        <f>IF($MN104=0,"",TEXTJOIN(" · ",TRUE,IF($OG104&gt;2*$MC104,"A devolução parou no teto de "&amp;2*$MC104,""),IF($OJ104&gt;0,"Devolução perdida: "&amp;$OJ104&amp;IF($OJ104&gt;1," pontos"," ponto")&amp;" sem peça para pagar",""),IF(AND($NM104&gt;0,AND($MC104&gt;0,$NP104=0),$OM104=0),"Controle sem dano: uma rodada a mais e CD +2",""),IF(AND($NM104&gt;0,AND($MC104&gt;0,$NP104=0),$OM104&gt;0,$OM104&lt;=$MC104),"Controle com saldo até a Classe: uma rodada a mais",""),IF(AND($MC104&gt;0,$NN104&lt;&gt;""),"Efeito de "&amp;$NN104&amp;" pela Classe "&amp;MAX(1,$MC104-1),"")))</f>
        <v/>
      </c>
      <c r="PF104" s="152">
        <f>IF($PE104="",0,(LEN($PE104)-LEN(SUBSTITUTE($PE104," · ","")))/3+1)</f>
        <v/>
      </c>
      <c r="PG104" s="152">
        <f>IF($MN104=0,IF($OD104+COUNTIF($ML104:$MM104,"?*")&gt;0,"Dê um nome",""),IF($PD104&gt;0,"⚠ "&amp;$PD104&amp;IF($PD104&gt;1," erros"," erro"),IF($PF104&gt;0,"! "&amp;$PF104&amp;IF($PF104&gt;1," avisos"," aviso"),"Na regra")))</f>
        <v/>
      </c>
      <c r="PH104" s="152">
        <f>IF($MN104=0,"",IF($PD104+$PF104=0,"Dentro das regras que a ficha confere",$PC104&amp;IF(AND($PD104&gt;0,$PF104&gt;0)," · ","")&amp;$PE104))</f>
        <v/>
      </c>
      <c r="PI104" s="152">
        <f>IF($MA104&gt;$MO104,$MB104&amp;" · ABRE NO NÍVEL "&amp;$MA104,$MB104)</f>
        <v/>
      </c>
      <c r="PJ104" s="152">
        <f>IF($MN104=0,"",IF($MC104=0,"Sem PE",3*$MC104&amp;" PE"))</f>
        <v/>
      </c>
      <c r="PK104" s="152">
        <f>IF($MN104=0,"",IF($MC104=0,"A atuação básica dela",IF(COUNTIF($NT104:$NU104,"Atrasar")&gt;0,"Sua Ação Completa",IF(COUNTIF($MH104:$MK104,"Rápido")&gt;0,"Sua Bônus",IF(COUNTIF($MH104:$MK104,"Reação")&gt;0,"Sua Reação","Sua Padrão")))&amp;" + a básica dela"&amp;IF(COUNTIF($MH104:$MK104,"Reação")&gt;0," e a coletiva","")&amp;IF(COUNTIF($NT104:$NU104,"Carregar")&gt;0," · em dois turnos","")))</f>
        <v/>
      </c>
      <c r="PL104" s="152">
        <f>IF($MG104&lt;&gt;"",$MG104,IF($MT104=0,"",INDEX($AA$2:$AA$11,$MT104)))</f>
        <v/>
      </c>
      <c r="PM104" s="152">
        <f>IF(OR($MN104=0,$MT104=0),"",IF(COUNTIF($MH104:$MK104,"Inescapável")&gt;0,"Automático",IF($PL104="Ataque",IF($MR104="","Ataque","Ataque "&amp;IF(($MR104+2*IF(COUNTIF($MH104:$MK104,"Precisão")&gt;0,1,0))&gt;=0,"+","−")&amp;ABS(($MR104+2*IF(COUNTIF($MH104:$MK104,"Precisão")&gt;0,1,0)))),IF(LEFT($PL104,2)="TR",$PL104&amp;IF($MS104="",""," · CD "&amp;$MS104)&amp;IF(COUNTIF($MH104:$MK104,"Certeiro")&gt;0," · metade",""),"Sem rolagem"))))</f>
        <v/>
      </c>
      <c r="PN104" s="152">
        <f>IF(OR($MN104=0,$MT104=0),"",IF($MC104=0,IF(OR($NP104&gt;=1,$OM104=0),"Sem dano",$OM104&amp;"d6"&amp;IF($MF104="",""," "&amp;$MF104)),IF(OR($NP104&gt;=1,$OM104=0),UPPER(LEFT(INDEX($OV104:$PB104,1,MAX(1,$MC104)),1))&amp;MID(INDEX($OV104:$PB104,1,MAX(1,$MC104)),2,99),UPPER(LEFT(INDEX($OV104:$PB104,1,MAX(1,$MC104)),1))&amp;MID(INDEX($OV104:$PB104,1,MAX(1,$MC104)),2,99)&amp;IF($MF104="",""," "&amp;$MF104)&amp;IF($ON104&gt;0," · +"&amp;$ON104&amp;"d8",""))))</f>
        <v/>
      </c>
      <c r="PO104" s="152">
        <f>COUNTIF($MH104:$MK104,"Longe")+3*COUNTIF($MH104:$MK104,"Muito Longe")</f>
        <v/>
      </c>
      <c r="PP104" s="152">
        <f>COUNTIF($MH104:$MK104,"Maior")+3*COUNTIF($MH104:$MK104,"Muito Maior")</f>
        <v/>
      </c>
      <c r="PQ104" s="152">
        <f>IF($MT104=0,0,CHOOSE(1+INDEX($AC$2:$AC$11,$MT104),0,$PO104,$PP104,$PO104+$PP104))</f>
        <v/>
      </c>
      <c r="PR104" s="152">
        <f>IF($MT104=0,0,CHOOSE(1+INDEX($AD$2:$AD$11,$MT104),0,$PO104,$PP104,$PO104+$PP104))</f>
        <v/>
      </c>
      <c r="PS104" s="152">
        <f>IF(OR($MN104=0,$MT104=0),"",INDEX($AI$2:$AN$41,($MT104-1)*4+IF($MC104=0,1,IF($MC104&lt;=5,2,IF($MC104=6,3,4))),1+MIN(5,$PQ104))&amp;INDEX($AO$2:$AT$41,($MT104-1)*4+IF($MC104=0,1,IF($MC104&lt;=5,2,IF($MC104=6,3,4))),1+MIN(5,$PR104))&amp;IF(INDEX($AE$2:$AE$11,$MT104)=1,IF(COUNTIF($MH104:$MK104,"Mais Um")&gt;0," · +"&amp;COUNTIF($MH104:$MK104,"Mais Um")&amp;IF(COUNTIF($MH104:$MK104,"Mais Um")&gt;1," alvos"," alvo"),"")&amp;IF(COUNTIF($MH104:$MK104,"Rajada")&gt;0,IF($MC104=0," · 1 tiro"," · "&amp;(MAX(1,$MC104-1)+1)&amp;" tiros"),""),""))</f>
        <v/>
      </c>
      <c r="PT104" s="152">
        <f>IF($MN104=0,"",IF($MC104=0,$MQ104&amp;"d6"&amp;IF($OD104&gt;0," − 1 = "&amp;$OM104&amp;"d6"," da básica do nível "&amp;$MO104),$OK104&amp;" − "&amp;$OF104&amp;" + "&amp;$OI104&amp;" = "&amp;$OL104&amp;" · teto "&amp;4*$MC104&amp;"d8"&amp;IF($NO104=1," · a Forma devolve "&amp;$MC104,"")&amp;IF($OJ104&gt;0," · perde "&amp;$OJ104,"")))</f>
        <v/>
      </c>
      <c r="PU104" s="152">
        <f>IF($MN104=0,"",IF($MC104=0,"A básica não amplia: os dados dela sobem com o nível",IF($MC104&gt;=$MP104,"Já está na maior Classe que o nível liberou",TEXTJOIN(" · ",TRUE,IF(AND(2&gt;$MC104,2&lt;=$MP104),"2 → "&amp;$OW104&amp;", 6 PE",""),IF(AND(3&gt;$MC104,3&lt;=$MP104),"3 → "&amp;$OX104&amp;", 9 PE",""),IF(AND(4&gt;$MC104,4&lt;=$MP104),"4 → "&amp;$OY104&amp;", 12 PE",""),IF(AND(5&gt;$MC104,5&lt;=$MP104),"5 → "&amp;$OZ104&amp;", 15 PE",""),IF(AND(6&gt;$MC104,6&lt;=$MP104),"6 → "&amp;$PA104&amp;", 18 PE",""),IF(AND(7&gt;$MC104,7&lt;=$MP104),"7 → "&amp;$PB104&amp;", 21 PE","")))))</f>
        <v/>
      </c>
      <c r="PV104" s="152">
        <f>IF(OR($MN104=0,$MY104=0),"",IF($MC104=0,"−1 dado","−"&amp;INDEX($I$2:$N$8,MAX(1,$MC104),MAX(1,$ND104))&amp;" · "&amp;CHOOSE(MAX(1,$ND104),"Leve","Média","Pesada","Leve · Livre","Média · Livre","Pesada · Livre")))</f>
        <v/>
      </c>
      <c r="PW104" s="152">
        <f>IF(OR($MN104=0,$MZ104=0),"",IF($MC104=0,"−1 dado","−"&amp;INDEX($I$2:$N$8,MAX(1,$MC104),MAX(1,$NE104))&amp;" · "&amp;CHOOSE(MAX(1,$NE104),"Leve","Média","Pesada","Leve · Livre","Média · Livre","Pesada · Livre")))</f>
        <v/>
      </c>
      <c r="PX104" s="152">
        <f>IF(OR($MN104=0,$NA104=0),"",IF($MC104=0,"−1 dado","−"&amp;INDEX($I$2:$N$8,MAX(1,$MC104),MAX(1,$NF104))&amp;" · "&amp;CHOOSE(MAX(1,$NF104),"Leve","Média","Pesada","Leve · Livre","Média · Livre","Pesada · Livre")))</f>
        <v/>
      </c>
      <c r="PY104" s="152">
        <f>IF(OR($MN104=0,$NB104=0),"",IF($MC104=0,"−1 dado","−"&amp;INDEX($I$2:$N$8,MAX(1,$MC104),MAX(1,$NG104))&amp;" · "&amp;CHOOSE(MAX(1,$NG104),"Leve","Média","Pesada","Leve · Livre","Média · Livre","Pesada · Livre")))</f>
        <v/>
      </c>
      <c r="PZ104" s="152">
        <f>IF(OR($MN104=0,$ML104=""),"",IF($MC104=0,"não devolve","+"&amp;IF($NR104=1,CEILING($MC104/2,1),$MC104)))</f>
        <v/>
      </c>
      <c r="QA104" s="152">
        <f>IF(OR($MN104=0,$MM104=""),"",IF($MC104=0,"não devolve","+"&amp;IF($NS104=1,CEILING($MC104/2,1),$MC104)))</f>
        <v/>
      </c>
    </row>
    <row r="105">
      <c r="LX105" s="150" t="inlineStr">
        <is>
          <t>Ficha 8 · Escolha da trilha 3</t>
        </is>
      </c>
      <c r="LY105" s="152" t="n">
        <v>8</v>
      </c>
      <c r="LZ105" s="152" t="n">
        <v>2</v>
      </c>
      <c r="MA105" s="152" t="n">
        <v>0</v>
      </c>
      <c r="MB105" s="150" t="inlineStr">
        <is>
          <t>ESCOLHA DA TRILHA 3</t>
        </is>
      </c>
      <c r="MC105" s="152">
        <f>MAX(0,MIN(7,N('INVOCAÇÕES'!$AN$358)))</f>
        <v/>
      </c>
      <c r="MD105" s="152">
        <f>'INVOCAÇÕES'!$AO$358&amp;""</f>
        <v/>
      </c>
      <c r="ME105" s="152">
        <f>'INVOCAÇÕES'!$AN$363&amp;""</f>
        <v/>
      </c>
      <c r="MF105" s="152">
        <f>'INVOCAÇÕES'!$AN$364&amp;""</f>
        <v/>
      </c>
      <c r="MG105" s="152">
        <f>'INVOCAÇÕES'!$AP$364&amp;""</f>
        <v/>
      </c>
      <c r="MH105" s="152">
        <f>'INVOCAÇÕES'!$AO$367&amp;""</f>
        <v/>
      </c>
      <c r="MI105" s="152">
        <f>'INVOCAÇÕES'!$AO$368&amp;""</f>
        <v/>
      </c>
      <c r="MJ105" s="152">
        <f>'INVOCAÇÕES'!$AO$369&amp;""</f>
        <v/>
      </c>
      <c r="MK105" s="152">
        <f>'INVOCAÇÕES'!$AO$370&amp;""</f>
        <v/>
      </c>
      <c r="ML105" s="152">
        <f>'INVOCAÇÕES'!$AO$371&amp;""</f>
        <v/>
      </c>
      <c r="MM105" s="152">
        <f>'INVOCAÇÕES'!$AO$372&amp;""</f>
        <v/>
      </c>
      <c r="MN105" s="152">
        <f>IF($MD105&lt;&gt;"",1,0)</f>
        <v/>
      </c>
      <c r="MO105" s="152">
        <f>INDEX($FG$2:$FG$13,$LY105)</f>
        <v/>
      </c>
      <c r="MP105" s="152">
        <f>INDEX($FH$2:$FH$13,$LY105)</f>
        <v/>
      </c>
      <c r="MQ105" s="152">
        <f>INDEX($FI$2:$FI$13,$LY105)</f>
        <v/>
      </c>
      <c r="MR105" s="152">
        <f>INDEX($FT$2:$FT$13,$LY105)</f>
        <v/>
      </c>
      <c r="MS105" s="152">
        <f>INDEX($FU$2:$FU$13,$LY105)</f>
        <v/>
      </c>
      <c r="MT105" s="152">
        <f>IFERROR(MATCH($ME105,$V$2:$V$11,0),0)</f>
        <v/>
      </c>
      <c r="MU105" s="152">
        <f>IFERROR(VLOOKUP($MH105,$AV$2:$AZ$84,2,FALSE),"")</f>
        <v/>
      </c>
      <c r="MV105" s="152">
        <f>IFERROR(VLOOKUP($MI105,$AV$2:$AZ$84,2,FALSE),"")</f>
        <v/>
      </c>
      <c r="MW105" s="152">
        <f>IFERROR(VLOOKUP($MJ105,$AV$2:$AZ$84,2,FALSE),"")</f>
        <v/>
      </c>
      <c r="MX105" s="152">
        <f>IFERROR(VLOOKUP($MK105,$AV$2:$AZ$84,2,FALSE),"")</f>
        <v/>
      </c>
      <c r="MY105" s="152">
        <f>IFERROR(VLOOKUP($MH105,$AV$2:$AZ$84,3,FALSE),0)</f>
        <v/>
      </c>
      <c r="MZ105" s="152">
        <f>IFERROR(VLOOKUP($MI105,$AV$2:$AZ$84,3,FALSE),0)</f>
        <v/>
      </c>
      <c r="NA105" s="152">
        <f>IFERROR(VLOOKUP($MJ105,$AV$2:$AZ$84,3,FALSE),0)</f>
        <v/>
      </c>
      <c r="NB105" s="152">
        <f>IFERROR(VLOOKUP($MK105,$AV$2:$AZ$84,3,FALSE),0)</f>
        <v/>
      </c>
      <c r="NC105" s="152">
        <f>IF($MC105=0,0,IF($MT105=0,0,INDEX($X$2:$X$11,$MT105)))</f>
        <v/>
      </c>
      <c r="ND105" s="152">
        <f>IF(OR($MY105=0,$MC105=0),0,$MY105+3*IF(AND($MU105&lt;&gt;"",OR($MU105=INDEX($ED$2:$ED$13,$LY105),$MU105=INDEX($EE$2:$EE$13,$LY105))),1,0))</f>
        <v/>
      </c>
      <c r="NE105" s="152">
        <f>IF(OR($MZ105=0,$MC105=0),0,$MZ105+3*IF(AND($MV105&lt;&gt;"",OR($MV105=INDEX($ED$2:$ED$13,$LY105),$MV105=INDEX($EE$2:$EE$13,$LY105))),1,0))</f>
        <v/>
      </c>
      <c r="NF105" s="152">
        <f>IF(OR($NA105=0,$MC105=0),0,$NA105+3*IF(AND($MW105&lt;&gt;"",OR($MW105=INDEX($ED$2:$ED$13,$LY105),$MW105=INDEX($EE$2:$EE$13,$LY105))),1,0))</f>
        <v/>
      </c>
      <c r="NG105" s="152">
        <f>IF(OR($NB105=0,$MC105=0),0,$NB105+3*IF(AND($MX105&lt;&gt;"",OR($MX105=INDEX($ED$2:$ED$13,$LY105),$MX105=INDEX($EE$2:$EE$13,$LY105))),1,0))</f>
        <v/>
      </c>
      <c r="NH105" s="152">
        <f>IF($MT105=0,0,IF(INDEX($W$2:$W$11,$MT105)="",0,IF(COUNTIF(INDEX($ED$2:$EH$13,$LY105,0),INDEX($W$2:$W$11,$MT105))=0,1,0)))</f>
        <v/>
      </c>
      <c r="NI105" s="152">
        <f>IF(OR($MY105=0,$MU105=""),0,IF(COUNTIF(INDEX($ED$2:$EH$13,$LY105,0),$MU105)=0,1,0))</f>
        <v/>
      </c>
      <c r="NJ105" s="152">
        <f>IF(OR($MZ105=0,$MV105=""),0,IF(COUNTIF(INDEX($ED$2:$EH$13,$LY105,0),$MV105)=0,1,0))</f>
        <v/>
      </c>
      <c r="NK105" s="152">
        <f>IF(OR($NA105=0,$MW105=""),0,IF(COUNTIF(INDEX($ED$2:$EH$13,$LY105,0),$MW105)=0,1,0))</f>
        <v/>
      </c>
      <c r="NL105" s="152">
        <f>IF(OR($NB105=0,$MX105=""),0,IF(COUNTIF(INDEX($ED$2:$EH$13,$LY105,0),$MX105)=0,1,0))</f>
        <v/>
      </c>
      <c r="NM105" s="152">
        <f>IFERROR(VLOOKUP($MH105,$AV$2:$AZ$84,4,FALSE),0)+IFERROR(VLOOKUP($MI105,$AV$2:$AZ$84,4,FALSE),0)+IFERROR(VLOOKUP($MJ105,$AV$2:$AZ$84,4,FALSE),0)+IFERROR(VLOOKUP($MK105,$AV$2:$AZ$84,4,FALSE),0)</f>
        <v/>
      </c>
      <c r="NN105" s="152">
        <f>TEXTJOIN(", ",TRUE,IF(IFERROR(VLOOKUP($MH105,$AV$2:$AZ$84,5,FALSE),0)=1,$MH105,""),IF(IFERROR(VLOOKUP($MI105,$AV$2:$AZ$84,5,FALSE),0)=1,$MI105,""),IF(IFERROR(VLOOKUP($MJ105,$AV$2:$AZ$84,5,FALSE),0)=1,$MJ105,""),IF(IFERROR(VLOOKUP($MK105,$AV$2:$AZ$84,5,FALSE),0)=1,$MK105,""))</f>
        <v/>
      </c>
      <c r="NO105" s="152">
        <f>IF($MT105=0,0,INDEX($Y$2:$Y$11,$MT105))</f>
        <v/>
      </c>
      <c r="NP105" s="152">
        <f>IF($MT105=0,0,INDEX($Z$2:$Z$11,$MT105))</f>
        <v/>
      </c>
      <c r="NQ105" s="152">
        <f>IF($MT105=0,0,INDEX($AB$2:$AB$11,$MT105))</f>
        <v/>
      </c>
      <c r="NR105" s="152">
        <f>IFERROR(VLOOKUP($ML105,$BB$2:$BF$24,3,FALSE),0)</f>
        <v/>
      </c>
      <c r="NS105" s="152">
        <f>IFERROR(VLOOKUP($MM105,$BB$2:$BF$24,3,FALSE),0)</f>
        <v/>
      </c>
      <c r="NT105" s="152">
        <f>IFERROR(VLOOKUP($ML105,$BB$2:$BF$24,2,FALSE),"")</f>
        <v/>
      </c>
      <c r="NU105" s="152">
        <f>IFERROR(VLOOKUP($MM105,$BB$2:$BF$24,2,FALSE),"")</f>
        <v/>
      </c>
      <c r="NV105" s="152">
        <f>COUNTIF($NC105:$NG105,1)</f>
        <v/>
      </c>
      <c r="NW105" s="152">
        <f>COUNTIF($NC105:$NG105,2)</f>
        <v/>
      </c>
      <c r="NX105" s="152">
        <f>COUNTIF($NC105:$NG105,3)</f>
        <v/>
      </c>
      <c r="NY105" s="152">
        <f>COUNTIF($NC105:$NG105,4)</f>
        <v/>
      </c>
      <c r="NZ105" s="152">
        <f>COUNTIF($NC105:$NG105,5)</f>
        <v/>
      </c>
      <c r="OA105" s="152">
        <f>COUNTIF($NC105:$NG105,6)</f>
        <v/>
      </c>
      <c r="OB105" s="152">
        <f>COUNTIF($NR105:$NS105,1)</f>
        <v/>
      </c>
      <c r="OC105" s="152">
        <f>COUNTIF($NR105:$NS105,2)+$NO105</f>
        <v/>
      </c>
      <c r="OD105" s="152">
        <f>COUNTIF($MH105:$MK105,"?*")</f>
        <v/>
      </c>
      <c r="OE105" s="152">
        <f>COUNTIF($ML105:$MM105,"?*")+$NO105</f>
        <v/>
      </c>
      <c r="OF105" s="152">
        <f>IF($MC105=0,0,SUMPRODUCT($NV105:$OA105,INDEX($I$2:$N$8,MAX(1,$MC105),0)))</f>
        <v/>
      </c>
      <c r="OG105" s="152">
        <f>IF($MC105=0,0,$OB105*CEILING($MC105/2,1)+$OC105*$MC105)</f>
        <v/>
      </c>
      <c r="OH105" s="152">
        <f>MIN(2*$MC105,$OG105)</f>
        <v/>
      </c>
      <c r="OI105" s="152">
        <f>MIN($OH105,$OF105)</f>
        <v/>
      </c>
      <c r="OJ105" s="152">
        <f>$OH105-$OI105</f>
        <v/>
      </c>
      <c r="OK105" s="152">
        <f>IF($MC105=0,0,INDEX($P$2:$P$8,MAX(1,$MC105)))</f>
        <v/>
      </c>
      <c r="OL105" s="152">
        <f>$OK105-$OF105+$OI105</f>
        <v/>
      </c>
      <c r="OM105" s="152">
        <f>IF($MC105=0,MAX(0,$MQ105-IF($OD105&gt;0,1,0)),MAX(0,$OL105))</f>
        <v/>
      </c>
      <c r="ON105" s="152">
        <f>IF($MC105=0,0,(IF(COUNTIF($MH105:$MK105,"Salto")&gt;0,1,0)+IF(COUNTIF($MH105:$MK105,"Queima")&gt;0,1,0)+IF(COUNTIF($MH105:$MK105,"Estilhaço")&gt;0,1,0))*FLOOR($OM105/2,1))</f>
        <v/>
      </c>
      <c r="OO105" s="152">
        <f>MAX(0,2-SUMPRODUCT($NV105:$OA105,$I$2:$N$2)+MIN(2,$OB105*1+$OC105*1,SUMPRODUCT($NV105:$OA105,$I$2:$N$2)))</f>
        <v/>
      </c>
      <c r="OP105" s="152">
        <f>MAX(0,4-SUMPRODUCT($NV105:$OA105,$I$3:$N$3)+MIN(4,$OB105*1+$OC105*2,SUMPRODUCT($NV105:$OA105,$I$3:$N$3)))</f>
        <v/>
      </c>
      <c r="OQ105" s="152">
        <f>MAX(0,6-SUMPRODUCT($NV105:$OA105,$I$4:$N$4)+MIN(6,$OB105*2+$OC105*3,SUMPRODUCT($NV105:$OA105,$I$4:$N$4)))</f>
        <v/>
      </c>
      <c r="OR105" s="152">
        <f>MAX(0,9-SUMPRODUCT($NV105:$OA105,$I$5:$N$5)+MIN(8,$OB105*2+$OC105*4,SUMPRODUCT($NV105:$OA105,$I$5:$N$5)))</f>
        <v/>
      </c>
      <c r="OS105" s="152">
        <f>MAX(0,11-SUMPRODUCT($NV105:$OA105,$I$6:$N$6)+MIN(10,$OB105*3+$OC105*5,SUMPRODUCT($NV105:$OA105,$I$6:$N$6)))</f>
        <v/>
      </c>
      <c r="OT105" s="152">
        <f>MAX(0,13-SUMPRODUCT($NV105:$OA105,$I$7:$N$7)+MIN(12,$OB105*3+$OC105*6,SUMPRODUCT($NV105:$OA105,$I$7:$N$7)))</f>
        <v/>
      </c>
      <c r="OU105" s="152">
        <f>MAX(0,16-SUMPRODUCT($NV105:$OA105,$I$8:$N$8)+MIN(14,$OB105*4+$OC105*7,SUMPRODUCT($NV105:$OA105,$I$8:$N$8)))</f>
        <v/>
      </c>
      <c r="OV105" s="152">
        <f>IF($NP105=2,3*$OO105&amp;" de vida temp.",IF($NP105=3,"sem dano",IF($OO105=0,IF($NP105=1,"sem cura","sem dano"),IF($NP105=1,"cura ","")&amp;$OO105&amp;"d8")))</f>
        <v/>
      </c>
      <c r="OW105" s="152">
        <f>IF($NP105=2,3*$OP105&amp;" de vida temp.",IF($NP105=3,"sem dano",IF($OP105=0,IF($NP105=1,"sem cura","sem dano"),IF($NP105=1,"cura ","")&amp;$OP105&amp;"d8")))</f>
        <v/>
      </c>
      <c r="OX105" s="152">
        <f>IF($NP105=2,3*$OQ105&amp;" de vida temp.",IF($NP105=3,"sem dano",IF($OQ105=0,IF($NP105=1,"sem cura","sem dano"),IF($NP105=1,"cura ","")&amp;$OQ105&amp;"d8")))</f>
        <v/>
      </c>
      <c r="OY105" s="152">
        <f>IF($NP105=2,3*$OR105&amp;" de vida temp.",IF($NP105=3,"sem dano",IF($OR105=0,IF($NP105=1,"sem cura","sem dano"),IF($NP105=1,"cura ","")&amp;$OR105&amp;"d8")))</f>
        <v/>
      </c>
      <c r="OZ105" s="152">
        <f>IF($NP105=2,3*$OS105&amp;" de vida temp.",IF($NP105=3,"sem dano",IF($OS105=0,IF($NP105=1,"sem cura","sem dano"),IF($NP105=1,"cura ","")&amp;$OS105&amp;"d8")))</f>
        <v/>
      </c>
      <c r="PA105" s="152">
        <f>IF($NP105=2,3*$OT105&amp;" de vida temp.",IF($NP105=3,"sem dano",IF($OT105=0,IF($NP105=1,"sem cura","sem dano"),IF($NP105=1,"cura ","")&amp;$OT105&amp;"d8")))</f>
        <v/>
      </c>
      <c r="PB105" s="152">
        <f>IF($NP105=2,3*$OU105&amp;" de vida temp.",IF($NP105=3,"sem dano",IF($OU105=0,IF($NP105=1,"sem cura","sem dano"),IF($NP105=1,"cura ","")&amp;$OU105&amp;"d8")))</f>
        <v/>
      </c>
      <c r="PC105" s="152">
        <f>IF($MN105=0,"",TEXTJOIN(" · ",TRUE,IF($MA105&gt;$MO105,"Este lugar abre no nível "&amp;$MA105,""),IF($MC105&gt;$MP105,"Classe "&amp;$MC105&amp;": o nível "&amp;$MO105&amp;" libera até a "&amp;$MP105,""),IF($NH105=1,"A Forma "&amp;$ME105&amp;" pede "&amp;INDEX($W$2:$W$11,$MT105)&amp;" aberta",""),IF(AND($MC105=0,$MT105&gt;0,IF($MT105=0,0,INDEX($AF$2:$AF$11,$MT105))=0),$ME105&amp;" não existe na Classe 0",""),IF($NI105=1,"Família Fechada: "&amp;$MH105,""),IF($NJ105=1,"Família Fechada: "&amp;$MI105,""),IF($NK105=1,"Família Fechada: "&amp;$MJ105,""),IF($NL105=1,"Família Fechada: "&amp;$MK105,""),IF(AND($MC105&gt;0,$OD105&gt;INDEX($O$2:$O$8,MAX(1,$MC105))),$OD105&amp;" Melhorias: a Classe "&amp;$MC105&amp;" aceita "&amp;INDEX($O$2:$O$8,MAX(1,$MC105)),""),IF(AND($MC105=0,$OD105&gt;1),"A básica aceita uma Melhoria",""),IF(AND($MC105=0,COUNTIF($MY105:$NB105,"&gt;1")&gt;0),"A básica só aceita Melhoria Leve",""),IF(AND($MC105&gt;0,$OE105&gt;2),$OE105&amp;" Restrições"&amp;IF($NO105=1,", contando a que a Forma "&amp;$ME105&amp;" já traz","")&amp;": o limite é 2",""),IF(AND($MC105=0,COUNTIF($ML105:$MM105,"?*")&gt;1),"A básica aceita uma Restrição Leve",""),IF(AND($MC105=0,COUNTIF($NR105:$NS105,2)&gt;0),"A básica só aceita Restrição Leve",""),IF(AND($MC105&gt;0,$OL105&lt;0),"Orçamento estourado: faltam "&amp;(-$OL105)&amp;IF($OL105&lt;-1," pontos"," ponto"),""),IF(IFERROR(VLOOKUP($ML105,$BB$2:$BF$24,4,FALSE),0)+IFERROR(VLOOKUP($MM105,$BB$2:$BF$24,4,FALSE),0)&gt;1,$NT105&amp;" e "&amp;$NU105&amp;" são as duas de frequência",""),IF(AND((COUNTIF($MH105:$MK105,"Rápido")+COUNTIF($NT105:$NU105,"Rápido"))&gt;0,(COUNTIF($MH105:$MK105,"Atrasar")+COUNTIF($NT105:$NU105,"Atrasar"))&gt;0),"Rápido não entra com Atrasar",""),IF(AND((COUNTIF($MH105:$MK105,"Reação")+COUNTIF($NT105:$NU105,"Reação"))&gt;0,(COUNTIF($MH105:$MK105,"Rápido")+COUNTIF($NT105:$NU105,"Rápido"))&gt;0),"Reação não entra com Rápido",""),IF(AND((COUNTIF($MH105:$MK105,"Reação")+COUNTIF($NT105:$NU105,"Reação"))&gt;0,(COUNTIF($MH105:$MK105,"Armado")+COUNTIF($NT105:$NU105,"Armado"))&gt;0),"Reação não entra com Armado",""),IF(AND((COUNTIF($MH105:$MK105,"Reação")+COUNTIF($NT105:$NU105,"Reação"))&gt;0,(COUNTIF($MH105:$MK105,"Atrasar")+COUNTIF($NT105:$NU105,"Atrasar"))&gt;0),"Reação não entra com Atrasar",""),IF(AND((COUNTIF($MH105:$MK105,"Reação")+COUNTIF($NT105:$NU105,"Reação"))&gt;0,(COUNTIF($MH105:$MK105,"Parado")+COUNTIF($NT105:$NU105,"Parado"))&gt;0),"Reação não entra com Parado",""),IF(AND((COUNTIF($MH105:$MK105,"Atrasar")+COUNTIF($NT105:$NU105,"Atrasar"))&gt;0,(COUNTIF($MH105:$MK105,"Parado")+COUNTIF($NT105:$NU105,"Parado"))&gt;0),"Atrasar não entra com Parado",""),IF(AND((COUNTIF($MH105:$MK105,"Armado")+COUNTIF($NT105:$NU105,"Armado"))&gt;0,(COUNTIF($MH105:$MK105,"Carregar")+COUNTIF($NT105:$NU105,"Carregar"))&gt;0),"Armado não entra com Carregar",""),IF(AND(COUNTIF($NT105:$NU105,"Corpo a Corpo")&gt;0,$NO105=0,OR($ME105="Cone",$ME105="Linha")),"Corpo a Corpo não entra em "&amp;$ME105,""),IF(AND(COUNTIF($NT105:$NU105,"Corpo a Corpo")&gt;0,$NO105=1),"A Forma "&amp;$ME105&amp;" já traz o Corpo a Corpo",""),IF(AND(COUNTIF($NT105:$NU105,"Tudo ou Nada")&gt;0,$NQ105=0),"Tudo ou Nada só entra em habilidade de Teste de Resistência",""),IF(AND(COUNTIF($MH105:$MK105,"Inescapável")&gt;0,OR($OD105&gt;1,$OE105&gt;0)),"Inescapável não aceita outra peça",""),IF(AND($MC105&gt;0,$OM105*IF(COUNTIF($MH105:$MK105,"Remate")&gt;0,1.25,1)+$ON105&gt;4*$MC105),($OM105*IF(COUNTIF($MH105:$MK105,"Remate")&gt;0,1.25,1)+$ON105)&amp;" dados somando repetições"&amp;IF(COUNTIF($MH105:$MK105,"Remate")&gt;0," e o Remate","")&amp;": o teto da Classe "&amp;$MC105&amp;" é "&amp;4*$MC105,"")))</f>
        <v/>
      </c>
      <c r="PD105" s="152">
        <f>IF($PC105="",0,(LEN($PC105)-LEN(SUBSTITUTE($PC105," · ","")))/3+1)</f>
        <v/>
      </c>
      <c r="PE105" s="152">
        <f>IF($MN105=0,"",TEXTJOIN(" · ",TRUE,IF($OG105&gt;2*$MC105,"A devolução parou no teto de "&amp;2*$MC105,""),IF($OJ105&gt;0,"Devolução perdida: "&amp;$OJ105&amp;IF($OJ105&gt;1," pontos"," ponto")&amp;" sem peça para pagar",""),IF(AND($NM105&gt;0,AND($MC105&gt;0,$NP105=0),$OM105=0),"Controle sem dano: uma rodada a mais e CD +2",""),IF(AND($NM105&gt;0,AND($MC105&gt;0,$NP105=0),$OM105&gt;0,$OM105&lt;=$MC105),"Controle com saldo até a Classe: uma rodada a mais",""),IF(AND($MC105&gt;0,$NN105&lt;&gt;""),"Efeito de "&amp;$NN105&amp;" pela Classe "&amp;MAX(1,$MC105-1),"")))</f>
        <v/>
      </c>
      <c r="PF105" s="152">
        <f>IF($PE105="",0,(LEN($PE105)-LEN(SUBSTITUTE($PE105," · ","")))/3+1)</f>
        <v/>
      </c>
      <c r="PG105" s="152">
        <f>IF($MN105=0,IF($OD105+COUNTIF($ML105:$MM105,"?*")&gt;0,"Dê um nome",""),IF($PD105&gt;0,"⚠ "&amp;$PD105&amp;IF($PD105&gt;1," erros"," erro"),IF($PF105&gt;0,"! "&amp;$PF105&amp;IF($PF105&gt;1," avisos"," aviso"),"Na regra")))</f>
        <v/>
      </c>
      <c r="PH105" s="152">
        <f>IF($MN105=0,"",IF($PD105+$PF105=0,"Dentro das regras que a ficha confere",$PC105&amp;IF(AND($PD105&gt;0,$PF105&gt;0)," · ","")&amp;$PE105))</f>
        <v/>
      </c>
      <c r="PI105" s="152">
        <f>IF($MA105&gt;$MO105,$MB105&amp;" · ABRE NO NÍVEL "&amp;$MA105,$MB105)</f>
        <v/>
      </c>
      <c r="PJ105" s="152">
        <f>IF($MN105=0,"",IF($MC105=0,"Sem PE",3*$MC105&amp;" PE"))</f>
        <v/>
      </c>
      <c r="PK105" s="152">
        <f>IF($MN105=0,"",IF($MC105=0,"A atuação básica dela",IF(COUNTIF($NT105:$NU105,"Atrasar")&gt;0,"Sua Ação Completa",IF(COUNTIF($MH105:$MK105,"Rápido")&gt;0,"Sua Bônus",IF(COUNTIF($MH105:$MK105,"Reação")&gt;0,"Sua Reação","Sua Padrão")))&amp;" + a básica dela"&amp;IF(COUNTIF($MH105:$MK105,"Reação")&gt;0," e a coletiva","")&amp;IF(COUNTIF($NT105:$NU105,"Carregar")&gt;0," · em dois turnos","")))</f>
        <v/>
      </c>
      <c r="PL105" s="152">
        <f>IF($MG105&lt;&gt;"",$MG105,IF($MT105=0,"",INDEX($AA$2:$AA$11,$MT105)))</f>
        <v/>
      </c>
      <c r="PM105" s="152">
        <f>IF(OR($MN105=0,$MT105=0),"",IF(COUNTIF($MH105:$MK105,"Inescapável")&gt;0,"Automático",IF($PL105="Ataque",IF($MR105="","Ataque","Ataque "&amp;IF(($MR105+2*IF(COUNTIF($MH105:$MK105,"Precisão")&gt;0,1,0))&gt;=0,"+","−")&amp;ABS(($MR105+2*IF(COUNTIF($MH105:$MK105,"Precisão")&gt;0,1,0)))),IF(LEFT($PL105,2)="TR",$PL105&amp;IF($MS105="",""," · CD "&amp;$MS105)&amp;IF(COUNTIF($MH105:$MK105,"Certeiro")&gt;0," · metade",""),"Sem rolagem"))))</f>
        <v/>
      </c>
      <c r="PN105" s="152">
        <f>IF(OR($MN105=0,$MT105=0),"",IF($MC105=0,IF(OR($NP105&gt;=1,$OM105=0),"Sem dano",$OM105&amp;"d6"&amp;IF($MF105="",""," "&amp;$MF105)),IF(OR($NP105&gt;=1,$OM105=0),UPPER(LEFT(INDEX($OV105:$PB105,1,MAX(1,$MC105)),1))&amp;MID(INDEX($OV105:$PB105,1,MAX(1,$MC105)),2,99),UPPER(LEFT(INDEX($OV105:$PB105,1,MAX(1,$MC105)),1))&amp;MID(INDEX($OV105:$PB105,1,MAX(1,$MC105)),2,99)&amp;IF($MF105="",""," "&amp;$MF105)&amp;IF($ON105&gt;0," · +"&amp;$ON105&amp;"d8",""))))</f>
        <v/>
      </c>
      <c r="PO105" s="152">
        <f>COUNTIF($MH105:$MK105,"Longe")+3*COUNTIF($MH105:$MK105,"Muito Longe")</f>
        <v/>
      </c>
      <c r="PP105" s="152">
        <f>COUNTIF($MH105:$MK105,"Maior")+3*COUNTIF($MH105:$MK105,"Muito Maior")</f>
        <v/>
      </c>
      <c r="PQ105" s="152">
        <f>IF($MT105=0,0,CHOOSE(1+INDEX($AC$2:$AC$11,$MT105),0,$PO105,$PP105,$PO105+$PP105))</f>
        <v/>
      </c>
      <c r="PR105" s="152">
        <f>IF($MT105=0,0,CHOOSE(1+INDEX($AD$2:$AD$11,$MT105),0,$PO105,$PP105,$PO105+$PP105))</f>
        <v/>
      </c>
      <c r="PS105" s="152">
        <f>IF(OR($MN105=0,$MT105=0),"",INDEX($AI$2:$AN$41,($MT105-1)*4+IF($MC105=0,1,IF($MC105&lt;=5,2,IF($MC105=6,3,4))),1+MIN(5,$PQ105))&amp;INDEX($AO$2:$AT$41,($MT105-1)*4+IF($MC105=0,1,IF($MC105&lt;=5,2,IF($MC105=6,3,4))),1+MIN(5,$PR105))&amp;IF(INDEX($AE$2:$AE$11,$MT105)=1,IF(COUNTIF($MH105:$MK105,"Mais Um")&gt;0," · +"&amp;COUNTIF($MH105:$MK105,"Mais Um")&amp;IF(COUNTIF($MH105:$MK105,"Mais Um")&gt;1," alvos"," alvo"),"")&amp;IF(COUNTIF($MH105:$MK105,"Rajada")&gt;0,IF($MC105=0," · 1 tiro"," · "&amp;(MAX(1,$MC105-1)+1)&amp;" tiros"),""),""))</f>
        <v/>
      </c>
      <c r="PT105" s="152">
        <f>IF($MN105=0,"",IF($MC105=0,$MQ105&amp;"d6"&amp;IF($OD105&gt;0," − 1 = "&amp;$OM105&amp;"d6"," da básica do nível "&amp;$MO105),$OK105&amp;" − "&amp;$OF105&amp;" + "&amp;$OI105&amp;" = "&amp;$OL105&amp;" · teto "&amp;4*$MC105&amp;"d8"&amp;IF($NO105=1," · a Forma devolve "&amp;$MC105,"")&amp;IF($OJ105&gt;0," · perde "&amp;$OJ105,"")))</f>
        <v/>
      </c>
      <c r="PU105" s="152">
        <f>IF($MN105=0,"",IF($MC105=0,"A básica não amplia: os dados dela sobem com o nível",IF($MC105&gt;=$MP105,"Já está na maior Classe que o nível liberou",TEXTJOIN(" · ",TRUE,IF(AND(2&gt;$MC105,2&lt;=$MP105),"2 → "&amp;$OW105&amp;", 6 PE",""),IF(AND(3&gt;$MC105,3&lt;=$MP105),"3 → "&amp;$OX105&amp;", 9 PE",""),IF(AND(4&gt;$MC105,4&lt;=$MP105),"4 → "&amp;$OY105&amp;", 12 PE",""),IF(AND(5&gt;$MC105,5&lt;=$MP105),"5 → "&amp;$OZ105&amp;", 15 PE",""),IF(AND(6&gt;$MC105,6&lt;=$MP105),"6 → "&amp;$PA105&amp;", 18 PE",""),IF(AND(7&gt;$MC105,7&lt;=$MP105),"7 → "&amp;$PB105&amp;", 21 PE","")))))</f>
        <v/>
      </c>
      <c r="PV105" s="152">
        <f>IF(OR($MN105=0,$MY105=0),"",IF($MC105=0,"−1 dado","−"&amp;INDEX($I$2:$N$8,MAX(1,$MC105),MAX(1,$ND105))&amp;" · "&amp;CHOOSE(MAX(1,$ND105),"Leve","Média","Pesada","Leve · Livre","Média · Livre","Pesada · Livre")))</f>
        <v/>
      </c>
      <c r="PW105" s="152">
        <f>IF(OR($MN105=0,$MZ105=0),"",IF($MC105=0,"−1 dado","−"&amp;INDEX($I$2:$N$8,MAX(1,$MC105),MAX(1,$NE105))&amp;" · "&amp;CHOOSE(MAX(1,$NE105),"Leve","Média","Pesada","Leve · Livre","Média · Livre","Pesada · Livre")))</f>
        <v/>
      </c>
      <c r="PX105" s="152">
        <f>IF(OR($MN105=0,$NA105=0),"",IF($MC105=0,"−1 dado","−"&amp;INDEX($I$2:$N$8,MAX(1,$MC105),MAX(1,$NF105))&amp;" · "&amp;CHOOSE(MAX(1,$NF105),"Leve","Média","Pesada","Leve · Livre","Média · Livre","Pesada · Livre")))</f>
        <v/>
      </c>
      <c r="PY105" s="152">
        <f>IF(OR($MN105=0,$NB105=0),"",IF($MC105=0,"−1 dado","−"&amp;INDEX($I$2:$N$8,MAX(1,$MC105),MAX(1,$NG105))&amp;" · "&amp;CHOOSE(MAX(1,$NG105),"Leve","Média","Pesada","Leve · Livre","Média · Livre","Pesada · Livre")))</f>
        <v/>
      </c>
      <c r="PZ105" s="152">
        <f>IF(OR($MN105=0,$ML105=""),"",IF($MC105=0,"não devolve","+"&amp;IF($NR105=1,CEILING($MC105/2,1),$MC105)))</f>
        <v/>
      </c>
      <c r="QA105" s="152">
        <f>IF(OR($MN105=0,$MM105=""),"",IF($MC105=0,"não devolve","+"&amp;IF($NS105=1,CEILING($MC105/2,1),$MC105)))</f>
        <v/>
      </c>
    </row>
    <row r="106">
      <c r="LX106" s="150" t="inlineStr">
        <is>
          <t>Ficha 9 · Básica 1</t>
        </is>
      </c>
      <c r="LY106" s="152" t="n">
        <v>9</v>
      </c>
      <c r="LZ106" s="152" t="n">
        <v>0</v>
      </c>
      <c r="MA106" s="152" t="n">
        <v>1</v>
      </c>
      <c r="MB106" s="150" t="inlineStr">
        <is>
          <t>BÁSICA 1</t>
        </is>
      </c>
      <c r="MC106" s="152" t="n">
        <v>0</v>
      </c>
      <c r="MD106" s="152">
        <f>'INVOCAÇÕES'!$AC$454&amp;""</f>
        <v/>
      </c>
      <c r="ME106" s="152">
        <f>'INVOCAÇÕES'!$AB$459&amp;""</f>
        <v/>
      </c>
      <c r="MF106" s="152">
        <f>'INVOCAÇÕES'!$AB$460&amp;""</f>
        <v/>
      </c>
      <c r="MG106" s="152">
        <f>'INVOCAÇÕES'!$AD$460&amp;""</f>
        <v/>
      </c>
      <c r="MH106" s="152">
        <f>'INVOCAÇÕES'!$AC$463&amp;""</f>
        <v/>
      </c>
      <c r="MI106" s="152">
        <f>'INVOCAÇÕES'!$AC$464&amp;""</f>
        <v/>
      </c>
      <c r="MJ106" s="152">
        <f>'INVOCAÇÕES'!$AC$465&amp;""</f>
        <v/>
      </c>
      <c r="MK106" s="152">
        <f>'INVOCAÇÕES'!$AC$466&amp;""</f>
        <v/>
      </c>
      <c r="ML106" s="152">
        <f>'INVOCAÇÕES'!$AC$467&amp;""</f>
        <v/>
      </c>
      <c r="MM106" s="152">
        <f>'INVOCAÇÕES'!$AC$468&amp;""</f>
        <v/>
      </c>
      <c r="MN106" s="152">
        <f>IF($MD106&lt;&gt;"",1,0)</f>
        <v/>
      </c>
      <c r="MO106" s="152">
        <f>INDEX($FG$2:$FG$13,$LY106)</f>
        <v/>
      </c>
      <c r="MP106" s="152">
        <f>INDEX($FH$2:$FH$13,$LY106)</f>
        <v/>
      </c>
      <c r="MQ106" s="152">
        <f>INDEX($FI$2:$FI$13,$LY106)</f>
        <v/>
      </c>
      <c r="MR106" s="152">
        <f>INDEX($FT$2:$FT$13,$LY106)</f>
        <v/>
      </c>
      <c r="MS106" s="152">
        <f>INDEX($FU$2:$FU$13,$LY106)</f>
        <v/>
      </c>
      <c r="MT106" s="152">
        <f>IFERROR(MATCH($ME106,$V$2:$V$11,0),0)</f>
        <v/>
      </c>
      <c r="MU106" s="152">
        <f>IFERROR(VLOOKUP($MH106,$AV$2:$AZ$84,2,FALSE),"")</f>
        <v/>
      </c>
      <c r="MV106" s="152">
        <f>IFERROR(VLOOKUP($MI106,$AV$2:$AZ$84,2,FALSE),"")</f>
        <v/>
      </c>
      <c r="MW106" s="152">
        <f>IFERROR(VLOOKUP($MJ106,$AV$2:$AZ$84,2,FALSE),"")</f>
        <v/>
      </c>
      <c r="MX106" s="152">
        <f>IFERROR(VLOOKUP($MK106,$AV$2:$AZ$84,2,FALSE),"")</f>
        <v/>
      </c>
      <c r="MY106" s="152">
        <f>IFERROR(VLOOKUP($MH106,$AV$2:$AZ$84,3,FALSE),0)</f>
        <v/>
      </c>
      <c r="MZ106" s="152">
        <f>IFERROR(VLOOKUP($MI106,$AV$2:$AZ$84,3,FALSE),0)</f>
        <v/>
      </c>
      <c r="NA106" s="152">
        <f>IFERROR(VLOOKUP($MJ106,$AV$2:$AZ$84,3,FALSE),0)</f>
        <v/>
      </c>
      <c r="NB106" s="152">
        <f>IFERROR(VLOOKUP($MK106,$AV$2:$AZ$84,3,FALSE),0)</f>
        <v/>
      </c>
      <c r="NC106" s="152">
        <f>IF($MC106=0,0,IF($MT106=0,0,INDEX($X$2:$X$11,$MT106)))</f>
        <v/>
      </c>
      <c r="ND106" s="152">
        <f>IF(OR($MY106=0,$MC106=0),0,$MY106+3*IF(AND($MU106&lt;&gt;"",OR($MU106=INDEX($ED$2:$ED$13,$LY106),$MU106=INDEX($EE$2:$EE$13,$LY106))),1,0))</f>
        <v/>
      </c>
      <c r="NE106" s="152">
        <f>IF(OR($MZ106=0,$MC106=0),0,$MZ106+3*IF(AND($MV106&lt;&gt;"",OR($MV106=INDEX($ED$2:$ED$13,$LY106),$MV106=INDEX($EE$2:$EE$13,$LY106))),1,0))</f>
        <v/>
      </c>
      <c r="NF106" s="152">
        <f>IF(OR($NA106=0,$MC106=0),0,$NA106+3*IF(AND($MW106&lt;&gt;"",OR($MW106=INDEX($ED$2:$ED$13,$LY106),$MW106=INDEX($EE$2:$EE$13,$LY106))),1,0))</f>
        <v/>
      </c>
      <c r="NG106" s="152">
        <f>IF(OR($NB106=0,$MC106=0),0,$NB106+3*IF(AND($MX106&lt;&gt;"",OR($MX106=INDEX($ED$2:$ED$13,$LY106),$MX106=INDEX($EE$2:$EE$13,$LY106))),1,0))</f>
        <v/>
      </c>
      <c r="NH106" s="152">
        <f>IF($MT106=0,0,IF(INDEX($W$2:$W$11,$MT106)="",0,IF(COUNTIF(INDEX($ED$2:$EH$13,$LY106,0),INDEX($W$2:$W$11,$MT106))=0,1,0)))</f>
        <v/>
      </c>
      <c r="NI106" s="152">
        <f>IF(OR($MY106=0,$MU106=""),0,IF(COUNTIF(INDEX($ED$2:$EH$13,$LY106,0),$MU106)=0,1,0))</f>
        <v/>
      </c>
      <c r="NJ106" s="152">
        <f>IF(OR($MZ106=0,$MV106=""),0,IF(COUNTIF(INDEX($ED$2:$EH$13,$LY106,0),$MV106)=0,1,0))</f>
        <v/>
      </c>
      <c r="NK106" s="152">
        <f>IF(OR($NA106=0,$MW106=""),0,IF(COUNTIF(INDEX($ED$2:$EH$13,$LY106,0),$MW106)=0,1,0))</f>
        <v/>
      </c>
      <c r="NL106" s="152">
        <f>IF(OR($NB106=0,$MX106=""),0,IF(COUNTIF(INDEX($ED$2:$EH$13,$LY106,0),$MX106)=0,1,0))</f>
        <v/>
      </c>
      <c r="NM106" s="152">
        <f>IFERROR(VLOOKUP($MH106,$AV$2:$AZ$84,4,FALSE),0)+IFERROR(VLOOKUP($MI106,$AV$2:$AZ$84,4,FALSE),0)+IFERROR(VLOOKUP($MJ106,$AV$2:$AZ$84,4,FALSE),0)+IFERROR(VLOOKUP($MK106,$AV$2:$AZ$84,4,FALSE),0)</f>
        <v/>
      </c>
      <c r="NN106" s="152">
        <f>TEXTJOIN(", ",TRUE,IF(IFERROR(VLOOKUP($MH106,$AV$2:$AZ$84,5,FALSE),0)=1,$MH106,""),IF(IFERROR(VLOOKUP($MI106,$AV$2:$AZ$84,5,FALSE),0)=1,$MI106,""),IF(IFERROR(VLOOKUP($MJ106,$AV$2:$AZ$84,5,FALSE),0)=1,$MJ106,""),IF(IFERROR(VLOOKUP($MK106,$AV$2:$AZ$84,5,FALSE),0)=1,$MK106,""))</f>
        <v/>
      </c>
      <c r="NO106" s="152">
        <f>IF($MT106=0,0,INDEX($Y$2:$Y$11,$MT106))</f>
        <v/>
      </c>
      <c r="NP106" s="152">
        <f>IF($MT106=0,0,INDEX($Z$2:$Z$11,$MT106))</f>
        <v/>
      </c>
      <c r="NQ106" s="152">
        <f>IF($MT106=0,0,INDEX($AB$2:$AB$11,$MT106))</f>
        <v/>
      </c>
      <c r="NR106" s="152">
        <f>IFERROR(VLOOKUP($ML106,$BB$2:$BF$24,3,FALSE),0)</f>
        <v/>
      </c>
      <c r="NS106" s="152">
        <f>IFERROR(VLOOKUP($MM106,$BB$2:$BF$24,3,FALSE),0)</f>
        <v/>
      </c>
      <c r="NT106" s="152">
        <f>IFERROR(VLOOKUP($ML106,$BB$2:$BF$24,2,FALSE),"")</f>
        <v/>
      </c>
      <c r="NU106" s="152">
        <f>IFERROR(VLOOKUP($MM106,$BB$2:$BF$24,2,FALSE),"")</f>
        <v/>
      </c>
      <c r="NV106" s="152">
        <f>COUNTIF($NC106:$NG106,1)</f>
        <v/>
      </c>
      <c r="NW106" s="152">
        <f>COUNTIF($NC106:$NG106,2)</f>
        <v/>
      </c>
      <c r="NX106" s="152">
        <f>COUNTIF($NC106:$NG106,3)</f>
        <v/>
      </c>
      <c r="NY106" s="152">
        <f>COUNTIF($NC106:$NG106,4)</f>
        <v/>
      </c>
      <c r="NZ106" s="152">
        <f>COUNTIF($NC106:$NG106,5)</f>
        <v/>
      </c>
      <c r="OA106" s="152">
        <f>COUNTIF($NC106:$NG106,6)</f>
        <v/>
      </c>
      <c r="OB106" s="152">
        <f>COUNTIF($NR106:$NS106,1)</f>
        <v/>
      </c>
      <c r="OC106" s="152">
        <f>COUNTIF($NR106:$NS106,2)+$NO106</f>
        <v/>
      </c>
      <c r="OD106" s="152">
        <f>COUNTIF($MH106:$MK106,"?*")</f>
        <v/>
      </c>
      <c r="OE106" s="152">
        <f>COUNTIF($ML106:$MM106,"?*")+$NO106</f>
        <v/>
      </c>
      <c r="OF106" s="152">
        <f>IF($MC106=0,0,SUMPRODUCT($NV106:$OA106,INDEX($I$2:$N$8,MAX(1,$MC106),0)))</f>
        <v/>
      </c>
      <c r="OG106" s="152">
        <f>IF($MC106=0,0,$OB106*CEILING($MC106/2,1)+$OC106*$MC106)</f>
        <v/>
      </c>
      <c r="OH106" s="152">
        <f>MIN(2*$MC106,$OG106)</f>
        <v/>
      </c>
      <c r="OI106" s="152">
        <f>MIN($OH106,$OF106)</f>
        <v/>
      </c>
      <c r="OJ106" s="152">
        <f>$OH106-$OI106</f>
        <v/>
      </c>
      <c r="OK106" s="152">
        <f>IF($MC106=0,0,INDEX($P$2:$P$8,MAX(1,$MC106)))</f>
        <v/>
      </c>
      <c r="OL106" s="152">
        <f>$OK106-$OF106+$OI106</f>
        <v/>
      </c>
      <c r="OM106" s="152">
        <f>IF($MC106=0,MAX(0,$MQ106-IF($OD106&gt;0,1,0)),MAX(0,$OL106))</f>
        <v/>
      </c>
      <c r="ON106" s="152">
        <f>IF($MC106=0,0,(IF(COUNTIF($MH106:$MK106,"Salto")&gt;0,1,0)+IF(COUNTIF($MH106:$MK106,"Queima")&gt;0,1,0)+IF(COUNTIF($MH106:$MK106,"Estilhaço")&gt;0,1,0))*FLOOR($OM106/2,1))</f>
        <v/>
      </c>
      <c r="OO106" s="152">
        <f>MAX(0,2-SUMPRODUCT($NV106:$OA106,$I$2:$N$2)+MIN(2,$OB106*1+$OC106*1,SUMPRODUCT($NV106:$OA106,$I$2:$N$2)))</f>
        <v/>
      </c>
      <c r="OP106" s="152">
        <f>MAX(0,4-SUMPRODUCT($NV106:$OA106,$I$3:$N$3)+MIN(4,$OB106*1+$OC106*2,SUMPRODUCT($NV106:$OA106,$I$3:$N$3)))</f>
        <v/>
      </c>
      <c r="OQ106" s="152">
        <f>MAX(0,6-SUMPRODUCT($NV106:$OA106,$I$4:$N$4)+MIN(6,$OB106*2+$OC106*3,SUMPRODUCT($NV106:$OA106,$I$4:$N$4)))</f>
        <v/>
      </c>
      <c r="OR106" s="152">
        <f>MAX(0,9-SUMPRODUCT($NV106:$OA106,$I$5:$N$5)+MIN(8,$OB106*2+$OC106*4,SUMPRODUCT($NV106:$OA106,$I$5:$N$5)))</f>
        <v/>
      </c>
      <c r="OS106" s="152">
        <f>MAX(0,11-SUMPRODUCT($NV106:$OA106,$I$6:$N$6)+MIN(10,$OB106*3+$OC106*5,SUMPRODUCT($NV106:$OA106,$I$6:$N$6)))</f>
        <v/>
      </c>
      <c r="OT106" s="152">
        <f>MAX(0,13-SUMPRODUCT($NV106:$OA106,$I$7:$N$7)+MIN(12,$OB106*3+$OC106*6,SUMPRODUCT($NV106:$OA106,$I$7:$N$7)))</f>
        <v/>
      </c>
      <c r="OU106" s="152">
        <f>MAX(0,16-SUMPRODUCT($NV106:$OA106,$I$8:$N$8)+MIN(14,$OB106*4+$OC106*7,SUMPRODUCT($NV106:$OA106,$I$8:$N$8)))</f>
        <v/>
      </c>
      <c r="OV106" s="152">
        <f>IF($NP106=2,3*$OO106&amp;" de vida temp.",IF($NP106=3,"sem dano",IF($OO106=0,IF($NP106=1,"sem cura","sem dano"),IF($NP106=1,"cura ","")&amp;$OO106&amp;"d8")))</f>
        <v/>
      </c>
      <c r="OW106" s="152">
        <f>IF($NP106=2,3*$OP106&amp;" de vida temp.",IF($NP106=3,"sem dano",IF($OP106=0,IF($NP106=1,"sem cura","sem dano"),IF($NP106=1,"cura ","")&amp;$OP106&amp;"d8")))</f>
        <v/>
      </c>
      <c r="OX106" s="152">
        <f>IF($NP106=2,3*$OQ106&amp;" de vida temp.",IF($NP106=3,"sem dano",IF($OQ106=0,IF($NP106=1,"sem cura","sem dano"),IF($NP106=1,"cura ","")&amp;$OQ106&amp;"d8")))</f>
        <v/>
      </c>
      <c r="OY106" s="152">
        <f>IF($NP106=2,3*$OR106&amp;" de vida temp.",IF($NP106=3,"sem dano",IF($OR106=0,IF($NP106=1,"sem cura","sem dano"),IF($NP106=1,"cura ","")&amp;$OR106&amp;"d8")))</f>
        <v/>
      </c>
      <c r="OZ106" s="152">
        <f>IF($NP106=2,3*$OS106&amp;" de vida temp.",IF($NP106=3,"sem dano",IF($OS106=0,IF($NP106=1,"sem cura","sem dano"),IF($NP106=1,"cura ","")&amp;$OS106&amp;"d8")))</f>
        <v/>
      </c>
      <c r="PA106" s="152">
        <f>IF($NP106=2,3*$OT106&amp;" de vida temp.",IF($NP106=3,"sem dano",IF($OT106=0,IF($NP106=1,"sem cura","sem dano"),IF($NP106=1,"cura ","")&amp;$OT106&amp;"d8")))</f>
        <v/>
      </c>
      <c r="PB106" s="152">
        <f>IF($NP106=2,3*$OU106&amp;" de vida temp.",IF($NP106=3,"sem dano",IF($OU106=0,IF($NP106=1,"sem cura","sem dano"),IF($NP106=1,"cura ","")&amp;$OU106&amp;"d8")))</f>
        <v/>
      </c>
      <c r="PC106" s="152">
        <f>IF($MN106=0,"",TEXTJOIN(" · ",TRUE,IF($MA106&gt;$MO106,"Este lugar abre no nível "&amp;$MA106,""),IF($MC106&gt;$MP106,"Classe "&amp;$MC106&amp;": o nível "&amp;$MO106&amp;" libera até a "&amp;$MP106,""),IF($NH106=1,"A Forma "&amp;$ME106&amp;" pede "&amp;INDEX($W$2:$W$11,$MT106)&amp;" aberta",""),IF(AND($MC106=0,$MT106&gt;0,IF($MT106=0,0,INDEX($AF$2:$AF$11,$MT106))=0),$ME106&amp;" não existe na Classe 0",""),IF($NI106=1,"Família Fechada: "&amp;$MH106,""),IF($NJ106=1,"Família Fechada: "&amp;$MI106,""),IF($NK106=1,"Família Fechada: "&amp;$MJ106,""),IF($NL106=1,"Família Fechada: "&amp;$MK106,""),IF(AND($MC106&gt;0,$OD106&gt;INDEX($O$2:$O$8,MAX(1,$MC106))),$OD106&amp;" Melhorias: a Classe "&amp;$MC106&amp;" aceita "&amp;INDEX($O$2:$O$8,MAX(1,$MC106)),""),IF(AND($MC106=0,$OD106&gt;1),"A básica aceita uma Melhoria",""),IF(AND($MC106=0,COUNTIF($MY106:$NB106,"&gt;1")&gt;0),"A básica só aceita Melhoria Leve",""),IF(AND($MC106&gt;0,$OE106&gt;2),$OE106&amp;" Restrições"&amp;IF($NO106=1,", contando a que a Forma "&amp;$ME106&amp;" já traz","")&amp;": o limite é 2",""),IF(AND($MC106=0,COUNTIF($ML106:$MM106,"?*")&gt;1),"A básica aceita uma Restrição Leve",""),IF(AND($MC106=0,COUNTIF($NR106:$NS106,2)&gt;0),"A básica só aceita Restrição Leve",""),IF(AND($MC106&gt;0,$OL106&lt;0),"Orçamento estourado: faltam "&amp;(-$OL106)&amp;IF($OL106&lt;-1," pontos"," ponto"),""),IF(IFERROR(VLOOKUP($ML106,$BB$2:$BF$24,4,FALSE),0)+IFERROR(VLOOKUP($MM106,$BB$2:$BF$24,4,FALSE),0)&gt;1,$NT106&amp;" e "&amp;$NU106&amp;" são as duas de frequência",""),IF(AND((COUNTIF($MH106:$MK106,"Rápido")+COUNTIF($NT106:$NU106,"Rápido"))&gt;0,(COUNTIF($MH106:$MK106,"Atrasar")+COUNTIF($NT106:$NU106,"Atrasar"))&gt;0),"Rápido não entra com Atrasar",""),IF(AND((COUNTIF($MH106:$MK106,"Reação")+COUNTIF($NT106:$NU106,"Reação"))&gt;0,(COUNTIF($MH106:$MK106,"Rápido")+COUNTIF($NT106:$NU106,"Rápido"))&gt;0),"Reação não entra com Rápido",""),IF(AND((COUNTIF($MH106:$MK106,"Reação")+COUNTIF($NT106:$NU106,"Reação"))&gt;0,(COUNTIF($MH106:$MK106,"Armado")+COUNTIF($NT106:$NU106,"Armado"))&gt;0),"Reação não entra com Armado",""),IF(AND((COUNTIF($MH106:$MK106,"Reação")+COUNTIF($NT106:$NU106,"Reação"))&gt;0,(COUNTIF($MH106:$MK106,"Atrasar")+COUNTIF($NT106:$NU106,"Atrasar"))&gt;0),"Reação não entra com Atrasar",""),IF(AND((COUNTIF($MH106:$MK106,"Reação")+COUNTIF($NT106:$NU106,"Reação"))&gt;0,(COUNTIF($MH106:$MK106,"Parado")+COUNTIF($NT106:$NU106,"Parado"))&gt;0),"Reação não entra com Parado",""),IF(AND((COUNTIF($MH106:$MK106,"Atrasar")+COUNTIF($NT106:$NU106,"Atrasar"))&gt;0,(COUNTIF($MH106:$MK106,"Parado")+COUNTIF($NT106:$NU106,"Parado"))&gt;0),"Atrasar não entra com Parado",""),IF(AND((COUNTIF($MH106:$MK106,"Armado")+COUNTIF($NT106:$NU106,"Armado"))&gt;0,(COUNTIF($MH106:$MK106,"Carregar")+COUNTIF($NT106:$NU106,"Carregar"))&gt;0),"Armado não entra com Carregar",""),IF(AND(COUNTIF($NT106:$NU106,"Corpo a Corpo")&gt;0,$NO106=0,OR($ME106="Cone",$ME106="Linha")),"Corpo a Corpo não entra em "&amp;$ME106,""),IF(AND(COUNTIF($NT106:$NU106,"Corpo a Corpo")&gt;0,$NO106=1),"A Forma "&amp;$ME106&amp;" já traz o Corpo a Corpo",""),IF(AND(COUNTIF($NT106:$NU106,"Tudo ou Nada")&gt;0,$NQ106=0),"Tudo ou Nada só entra em habilidade de Teste de Resistência",""),IF(AND(COUNTIF($MH106:$MK106,"Inescapável")&gt;0,OR($OD106&gt;1,$OE106&gt;0)),"Inescapável não aceita outra peça",""),IF(AND($MC106&gt;0,$OM106*IF(COUNTIF($MH106:$MK106,"Remate")&gt;0,1.25,1)+$ON106&gt;4*$MC106),($OM106*IF(COUNTIF($MH106:$MK106,"Remate")&gt;0,1.25,1)+$ON106)&amp;" dados somando repetições"&amp;IF(COUNTIF($MH106:$MK106,"Remate")&gt;0," e o Remate","")&amp;": o teto da Classe "&amp;$MC106&amp;" é "&amp;4*$MC106,"")))</f>
        <v/>
      </c>
      <c r="PD106" s="152">
        <f>IF($PC106="",0,(LEN($PC106)-LEN(SUBSTITUTE($PC106," · ","")))/3+1)</f>
        <v/>
      </c>
      <c r="PE106" s="152">
        <f>IF($MN106=0,"",TEXTJOIN(" · ",TRUE,IF($OG106&gt;2*$MC106,"A devolução parou no teto de "&amp;2*$MC106,""),IF($OJ106&gt;0,"Devolução perdida: "&amp;$OJ106&amp;IF($OJ106&gt;1," pontos"," ponto")&amp;" sem peça para pagar",""),IF(AND($NM106&gt;0,AND($MC106&gt;0,$NP106=0),$OM106=0),"Controle sem dano: uma rodada a mais e CD +2",""),IF(AND($NM106&gt;0,AND($MC106&gt;0,$NP106=0),$OM106&gt;0,$OM106&lt;=$MC106),"Controle com saldo até a Classe: uma rodada a mais",""),IF(AND($MC106&gt;0,$NN106&lt;&gt;""),"Efeito de "&amp;$NN106&amp;" pela Classe "&amp;MAX(1,$MC106-1),"")))</f>
        <v/>
      </c>
      <c r="PF106" s="152">
        <f>IF($PE106="",0,(LEN($PE106)-LEN(SUBSTITUTE($PE106," · ","")))/3+1)</f>
        <v/>
      </c>
      <c r="PG106" s="152">
        <f>IF($MN106=0,IF($OD106+COUNTIF($ML106:$MM106,"?*")&gt;0,"Dê um nome",""),IF($PD106&gt;0,"⚠ "&amp;$PD106&amp;IF($PD106&gt;1," erros"," erro"),IF($PF106&gt;0,"! "&amp;$PF106&amp;IF($PF106&gt;1," avisos"," aviso"),"Na regra")))</f>
        <v/>
      </c>
      <c r="PH106" s="152">
        <f>IF($MN106=0,"",IF($PD106+$PF106=0,"Dentro das regras que a ficha confere",$PC106&amp;IF(AND($PD106&gt;0,$PF106&gt;0)," · ","")&amp;$PE106))</f>
        <v/>
      </c>
      <c r="PI106" s="152">
        <f>IF($MA106&gt;$MO106,$MB106&amp;" · ABRE NO NÍVEL "&amp;$MA106,$MB106)</f>
        <v/>
      </c>
      <c r="PJ106" s="152">
        <f>IF($MN106=0,"",IF($MC106=0,"Sem PE",3*$MC106&amp;" PE"))</f>
        <v/>
      </c>
      <c r="PK106" s="152">
        <f>IF($MN106=0,"",IF($MC106=0,"A atuação básica dela",IF(COUNTIF($NT106:$NU106,"Atrasar")&gt;0,"Sua Ação Completa",IF(COUNTIF($MH106:$MK106,"Rápido")&gt;0,"Sua Bônus",IF(COUNTIF($MH106:$MK106,"Reação")&gt;0,"Sua Reação","Sua Padrão")))&amp;" + a básica dela"&amp;IF(COUNTIF($MH106:$MK106,"Reação")&gt;0," e a coletiva","")&amp;IF(COUNTIF($NT106:$NU106,"Carregar")&gt;0," · em dois turnos","")))</f>
        <v/>
      </c>
      <c r="PL106" s="152">
        <f>IF($MG106&lt;&gt;"",$MG106,IF($MT106=0,"",INDEX($AA$2:$AA$11,$MT106)))</f>
        <v/>
      </c>
      <c r="PM106" s="152">
        <f>IF(OR($MN106=0,$MT106=0),"",IF(COUNTIF($MH106:$MK106,"Inescapável")&gt;0,"Automático",IF($PL106="Ataque",IF($MR106="","Ataque","Ataque "&amp;IF(($MR106+2*IF(COUNTIF($MH106:$MK106,"Precisão")&gt;0,1,0))&gt;=0,"+","−")&amp;ABS(($MR106+2*IF(COUNTIF($MH106:$MK106,"Precisão")&gt;0,1,0)))),IF(LEFT($PL106,2)="TR",$PL106&amp;IF($MS106="",""," · CD "&amp;$MS106)&amp;IF(COUNTIF($MH106:$MK106,"Certeiro")&gt;0," · metade",""),"Sem rolagem"))))</f>
        <v/>
      </c>
      <c r="PN106" s="152">
        <f>IF(OR($MN106=0,$MT106=0),"",IF($MC106=0,IF(OR($NP106&gt;=1,$OM106=0),"Sem dano",$OM106&amp;"d6"&amp;IF($MF106="",""," "&amp;$MF106)),IF(OR($NP106&gt;=1,$OM106=0),UPPER(LEFT(INDEX($OV106:$PB106,1,MAX(1,$MC106)),1))&amp;MID(INDEX($OV106:$PB106,1,MAX(1,$MC106)),2,99),UPPER(LEFT(INDEX($OV106:$PB106,1,MAX(1,$MC106)),1))&amp;MID(INDEX($OV106:$PB106,1,MAX(1,$MC106)),2,99)&amp;IF($MF106="",""," "&amp;$MF106)&amp;IF($ON106&gt;0," · +"&amp;$ON106&amp;"d8",""))))</f>
        <v/>
      </c>
      <c r="PO106" s="152">
        <f>COUNTIF($MH106:$MK106,"Longe")+3*COUNTIF($MH106:$MK106,"Muito Longe")</f>
        <v/>
      </c>
      <c r="PP106" s="152">
        <f>COUNTIF($MH106:$MK106,"Maior")+3*COUNTIF($MH106:$MK106,"Muito Maior")</f>
        <v/>
      </c>
      <c r="PQ106" s="152">
        <f>IF($MT106=0,0,CHOOSE(1+INDEX($AC$2:$AC$11,$MT106),0,$PO106,$PP106,$PO106+$PP106))</f>
        <v/>
      </c>
      <c r="PR106" s="152">
        <f>IF($MT106=0,0,CHOOSE(1+INDEX($AD$2:$AD$11,$MT106),0,$PO106,$PP106,$PO106+$PP106))</f>
        <v/>
      </c>
      <c r="PS106" s="152">
        <f>IF(OR($MN106=0,$MT106=0),"",INDEX($AI$2:$AN$41,($MT106-1)*4+IF($MC106=0,1,IF($MC106&lt;=5,2,IF($MC106=6,3,4))),1+MIN(5,$PQ106))&amp;INDEX($AO$2:$AT$41,($MT106-1)*4+IF($MC106=0,1,IF($MC106&lt;=5,2,IF($MC106=6,3,4))),1+MIN(5,$PR106))&amp;IF(INDEX($AE$2:$AE$11,$MT106)=1,IF(COUNTIF($MH106:$MK106,"Mais Um")&gt;0," · +"&amp;COUNTIF($MH106:$MK106,"Mais Um")&amp;IF(COUNTIF($MH106:$MK106,"Mais Um")&gt;1," alvos"," alvo"),"")&amp;IF(COUNTIF($MH106:$MK106,"Rajada")&gt;0,IF($MC106=0," · 1 tiro"," · "&amp;(MAX(1,$MC106-1)+1)&amp;" tiros"),""),""))</f>
        <v/>
      </c>
      <c r="PT106" s="152">
        <f>IF($MN106=0,"",IF($MC106=0,$MQ106&amp;"d6"&amp;IF($OD106&gt;0," − 1 = "&amp;$OM106&amp;"d6"," da básica do nível "&amp;$MO106),$OK106&amp;" − "&amp;$OF106&amp;" + "&amp;$OI106&amp;" = "&amp;$OL106&amp;" · teto "&amp;4*$MC106&amp;"d8"&amp;IF($NO106=1," · a Forma devolve "&amp;$MC106,"")&amp;IF($OJ106&gt;0," · perde "&amp;$OJ106,"")))</f>
        <v/>
      </c>
      <c r="PU106" s="152">
        <f>IF($MN106=0,"",IF($MC106=0,"A básica não amplia: os dados dela sobem com o nível",IF($MC106&gt;=$MP106,"Já está na maior Classe que o nível liberou",TEXTJOIN(" · ",TRUE,IF(AND(2&gt;$MC106,2&lt;=$MP106),"2 → "&amp;$OW106&amp;", 6 PE",""),IF(AND(3&gt;$MC106,3&lt;=$MP106),"3 → "&amp;$OX106&amp;", 9 PE",""),IF(AND(4&gt;$MC106,4&lt;=$MP106),"4 → "&amp;$OY106&amp;", 12 PE",""),IF(AND(5&gt;$MC106,5&lt;=$MP106),"5 → "&amp;$OZ106&amp;", 15 PE",""),IF(AND(6&gt;$MC106,6&lt;=$MP106),"6 → "&amp;$PA106&amp;", 18 PE",""),IF(AND(7&gt;$MC106,7&lt;=$MP106),"7 → "&amp;$PB106&amp;", 21 PE","")))))</f>
        <v/>
      </c>
      <c r="PV106" s="152">
        <f>IF(OR($MN106=0,$MY106=0),"",IF($MC106=0,"−1 dado","−"&amp;INDEX($I$2:$N$8,MAX(1,$MC106),MAX(1,$ND106))&amp;" · "&amp;CHOOSE(MAX(1,$ND106),"Leve","Média","Pesada","Leve · Livre","Média · Livre","Pesada · Livre")))</f>
        <v/>
      </c>
      <c r="PW106" s="152">
        <f>IF(OR($MN106=0,$MZ106=0),"",IF($MC106=0,"−1 dado","−"&amp;INDEX($I$2:$N$8,MAX(1,$MC106),MAX(1,$NE106))&amp;" · "&amp;CHOOSE(MAX(1,$NE106),"Leve","Média","Pesada","Leve · Livre","Média · Livre","Pesada · Livre")))</f>
        <v/>
      </c>
      <c r="PX106" s="152">
        <f>IF(OR($MN106=0,$NA106=0),"",IF($MC106=0,"−1 dado","−"&amp;INDEX($I$2:$N$8,MAX(1,$MC106),MAX(1,$NF106))&amp;" · "&amp;CHOOSE(MAX(1,$NF106),"Leve","Média","Pesada","Leve · Livre","Média · Livre","Pesada · Livre")))</f>
        <v/>
      </c>
      <c r="PY106" s="152">
        <f>IF(OR($MN106=0,$NB106=0),"",IF($MC106=0,"−1 dado","−"&amp;INDEX($I$2:$N$8,MAX(1,$MC106),MAX(1,$NG106))&amp;" · "&amp;CHOOSE(MAX(1,$NG106),"Leve","Média","Pesada","Leve · Livre","Média · Livre","Pesada · Livre")))</f>
        <v/>
      </c>
      <c r="PZ106" s="152">
        <f>IF(OR($MN106=0,$ML106=""),"",IF($MC106=0,"não devolve","+"&amp;IF($NR106=1,CEILING($MC106/2,1),$MC106)))</f>
        <v/>
      </c>
      <c r="QA106" s="152">
        <f>IF(OR($MN106=0,$MM106=""),"",IF($MC106=0,"não devolve","+"&amp;IF($NS106=1,CEILING($MC106/2,1),$MC106)))</f>
        <v/>
      </c>
    </row>
    <row r="107">
      <c r="LX107" s="150" t="inlineStr">
        <is>
          <t>Ficha 9 · Especial 1</t>
        </is>
      </c>
      <c r="LY107" s="152" t="n">
        <v>9</v>
      </c>
      <c r="LZ107" s="152" t="n">
        <v>1</v>
      </c>
      <c r="MA107" s="152" t="n">
        <v>1</v>
      </c>
      <c r="MB107" s="150" t="inlineStr">
        <is>
          <t>ESPECIAL 1</t>
        </is>
      </c>
      <c r="MC107" s="152">
        <f>MAX(1,MIN(7,N('INVOCAÇÕES'!$AH$454)))</f>
        <v/>
      </c>
      <c r="MD107" s="152">
        <f>'INVOCAÇÕES'!$AI$454&amp;""</f>
        <v/>
      </c>
      <c r="ME107" s="152">
        <f>'INVOCAÇÕES'!$AH$459&amp;""</f>
        <v/>
      </c>
      <c r="MF107" s="152">
        <f>'INVOCAÇÕES'!$AH$460&amp;""</f>
        <v/>
      </c>
      <c r="MG107" s="152">
        <f>'INVOCAÇÕES'!$AJ$460&amp;""</f>
        <v/>
      </c>
      <c r="MH107" s="152">
        <f>'INVOCAÇÕES'!$AI$463&amp;""</f>
        <v/>
      </c>
      <c r="MI107" s="152">
        <f>'INVOCAÇÕES'!$AI$464&amp;""</f>
        <v/>
      </c>
      <c r="MJ107" s="152">
        <f>'INVOCAÇÕES'!$AI$465&amp;""</f>
        <v/>
      </c>
      <c r="MK107" s="152">
        <f>'INVOCAÇÕES'!$AI$466&amp;""</f>
        <v/>
      </c>
      <c r="ML107" s="152">
        <f>'INVOCAÇÕES'!$AI$467&amp;""</f>
        <v/>
      </c>
      <c r="MM107" s="152">
        <f>'INVOCAÇÕES'!$AI$468&amp;""</f>
        <v/>
      </c>
      <c r="MN107" s="152">
        <f>IF($MD107&lt;&gt;"",1,0)</f>
        <v/>
      </c>
      <c r="MO107" s="152">
        <f>INDEX($FG$2:$FG$13,$LY107)</f>
        <v/>
      </c>
      <c r="MP107" s="152">
        <f>INDEX($FH$2:$FH$13,$LY107)</f>
        <v/>
      </c>
      <c r="MQ107" s="152">
        <f>INDEX($FI$2:$FI$13,$LY107)</f>
        <v/>
      </c>
      <c r="MR107" s="152">
        <f>INDEX($FT$2:$FT$13,$LY107)</f>
        <v/>
      </c>
      <c r="MS107" s="152">
        <f>INDEX($FU$2:$FU$13,$LY107)</f>
        <v/>
      </c>
      <c r="MT107" s="152">
        <f>IFERROR(MATCH($ME107,$V$2:$V$11,0),0)</f>
        <v/>
      </c>
      <c r="MU107" s="152">
        <f>IFERROR(VLOOKUP($MH107,$AV$2:$AZ$84,2,FALSE),"")</f>
        <v/>
      </c>
      <c r="MV107" s="152">
        <f>IFERROR(VLOOKUP($MI107,$AV$2:$AZ$84,2,FALSE),"")</f>
        <v/>
      </c>
      <c r="MW107" s="152">
        <f>IFERROR(VLOOKUP($MJ107,$AV$2:$AZ$84,2,FALSE),"")</f>
        <v/>
      </c>
      <c r="MX107" s="152">
        <f>IFERROR(VLOOKUP($MK107,$AV$2:$AZ$84,2,FALSE),"")</f>
        <v/>
      </c>
      <c r="MY107" s="152">
        <f>IFERROR(VLOOKUP($MH107,$AV$2:$AZ$84,3,FALSE),0)</f>
        <v/>
      </c>
      <c r="MZ107" s="152">
        <f>IFERROR(VLOOKUP($MI107,$AV$2:$AZ$84,3,FALSE),0)</f>
        <v/>
      </c>
      <c r="NA107" s="152">
        <f>IFERROR(VLOOKUP($MJ107,$AV$2:$AZ$84,3,FALSE),0)</f>
        <v/>
      </c>
      <c r="NB107" s="152">
        <f>IFERROR(VLOOKUP($MK107,$AV$2:$AZ$84,3,FALSE),0)</f>
        <v/>
      </c>
      <c r="NC107" s="152">
        <f>IF($MC107=0,0,IF($MT107=0,0,INDEX($X$2:$X$11,$MT107)))</f>
        <v/>
      </c>
      <c r="ND107" s="152">
        <f>IF(OR($MY107=0,$MC107=0),0,$MY107+3*IF(AND($MU107&lt;&gt;"",OR($MU107=INDEX($ED$2:$ED$13,$LY107),$MU107=INDEX($EE$2:$EE$13,$LY107))),1,0))</f>
        <v/>
      </c>
      <c r="NE107" s="152">
        <f>IF(OR($MZ107=0,$MC107=0),0,$MZ107+3*IF(AND($MV107&lt;&gt;"",OR($MV107=INDEX($ED$2:$ED$13,$LY107),$MV107=INDEX($EE$2:$EE$13,$LY107))),1,0))</f>
        <v/>
      </c>
      <c r="NF107" s="152">
        <f>IF(OR($NA107=0,$MC107=0),0,$NA107+3*IF(AND($MW107&lt;&gt;"",OR($MW107=INDEX($ED$2:$ED$13,$LY107),$MW107=INDEX($EE$2:$EE$13,$LY107))),1,0))</f>
        <v/>
      </c>
      <c r="NG107" s="152">
        <f>IF(OR($NB107=0,$MC107=0),0,$NB107+3*IF(AND($MX107&lt;&gt;"",OR($MX107=INDEX($ED$2:$ED$13,$LY107),$MX107=INDEX($EE$2:$EE$13,$LY107))),1,0))</f>
        <v/>
      </c>
      <c r="NH107" s="152">
        <f>IF($MT107=0,0,IF(INDEX($W$2:$W$11,$MT107)="",0,IF(COUNTIF(INDEX($ED$2:$EH$13,$LY107,0),INDEX($W$2:$W$11,$MT107))=0,1,0)))</f>
        <v/>
      </c>
      <c r="NI107" s="152">
        <f>IF(OR($MY107=0,$MU107=""),0,IF(COUNTIF(INDEX($ED$2:$EH$13,$LY107,0),$MU107)=0,1,0))</f>
        <v/>
      </c>
      <c r="NJ107" s="152">
        <f>IF(OR($MZ107=0,$MV107=""),0,IF(COUNTIF(INDEX($ED$2:$EH$13,$LY107,0),$MV107)=0,1,0))</f>
        <v/>
      </c>
      <c r="NK107" s="152">
        <f>IF(OR($NA107=0,$MW107=""),0,IF(COUNTIF(INDEX($ED$2:$EH$13,$LY107,0),$MW107)=0,1,0))</f>
        <v/>
      </c>
      <c r="NL107" s="152">
        <f>IF(OR($NB107=0,$MX107=""),0,IF(COUNTIF(INDEX($ED$2:$EH$13,$LY107,0),$MX107)=0,1,0))</f>
        <v/>
      </c>
      <c r="NM107" s="152">
        <f>IFERROR(VLOOKUP($MH107,$AV$2:$AZ$84,4,FALSE),0)+IFERROR(VLOOKUP($MI107,$AV$2:$AZ$84,4,FALSE),0)+IFERROR(VLOOKUP($MJ107,$AV$2:$AZ$84,4,FALSE),0)+IFERROR(VLOOKUP($MK107,$AV$2:$AZ$84,4,FALSE),0)</f>
        <v/>
      </c>
      <c r="NN107" s="152">
        <f>TEXTJOIN(", ",TRUE,IF(IFERROR(VLOOKUP($MH107,$AV$2:$AZ$84,5,FALSE),0)=1,$MH107,""),IF(IFERROR(VLOOKUP($MI107,$AV$2:$AZ$84,5,FALSE),0)=1,$MI107,""),IF(IFERROR(VLOOKUP($MJ107,$AV$2:$AZ$84,5,FALSE),0)=1,$MJ107,""),IF(IFERROR(VLOOKUP($MK107,$AV$2:$AZ$84,5,FALSE),0)=1,$MK107,""))</f>
        <v/>
      </c>
      <c r="NO107" s="152">
        <f>IF($MT107=0,0,INDEX($Y$2:$Y$11,$MT107))</f>
        <v/>
      </c>
      <c r="NP107" s="152">
        <f>IF($MT107=0,0,INDEX($Z$2:$Z$11,$MT107))</f>
        <v/>
      </c>
      <c r="NQ107" s="152">
        <f>IF($MT107=0,0,INDEX($AB$2:$AB$11,$MT107))</f>
        <v/>
      </c>
      <c r="NR107" s="152">
        <f>IFERROR(VLOOKUP($ML107,$BB$2:$BF$24,3,FALSE),0)</f>
        <v/>
      </c>
      <c r="NS107" s="152">
        <f>IFERROR(VLOOKUP($MM107,$BB$2:$BF$24,3,FALSE),0)</f>
        <v/>
      </c>
      <c r="NT107" s="152">
        <f>IFERROR(VLOOKUP($ML107,$BB$2:$BF$24,2,FALSE),"")</f>
        <v/>
      </c>
      <c r="NU107" s="152">
        <f>IFERROR(VLOOKUP($MM107,$BB$2:$BF$24,2,FALSE),"")</f>
        <v/>
      </c>
      <c r="NV107" s="152">
        <f>COUNTIF($NC107:$NG107,1)</f>
        <v/>
      </c>
      <c r="NW107" s="152">
        <f>COUNTIF($NC107:$NG107,2)</f>
        <v/>
      </c>
      <c r="NX107" s="152">
        <f>COUNTIF($NC107:$NG107,3)</f>
        <v/>
      </c>
      <c r="NY107" s="152">
        <f>COUNTIF($NC107:$NG107,4)</f>
        <v/>
      </c>
      <c r="NZ107" s="152">
        <f>COUNTIF($NC107:$NG107,5)</f>
        <v/>
      </c>
      <c r="OA107" s="152">
        <f>COUNTIF($NC107:$NG107,6)</f>
        <v/>
      </c>
      <c r="OB107" s="152">
        <f>COUNTIF($NR107:$NS107,1)</f>
        <v/>
      </c>
      <c r="OC107" s="152">
        <f>COUNTIF($NR107:$NS107,2)+$NO107</f>
        <v/>
      </c>
      <c r="OD107" s="152">
        <f>COUNTIF($MH107:$MK107,"?*")</f>
        <v/>
      </c>
      <c r="OE107" s="152">
        <f>COUNTIF($ML107:$MM107,"?*")+$NO107</f>
        <v/>
      </c>
      <c r="OF107" s="152">
        <f>IF($MC107=0,0,SUMPRODUCT($NV107:$OA107,INDEX($I$2:$N$8,MAX(1,$MC107),0)))</f>
        <v/>
      </c>
      <c r="OG107" s="152">
        <f>IF($MC107=0,0,$OB107*CEILING($MC107/2,1)+$OC107*$MC107)</f>
        <v/>
      </c>
      <c r="OH107" s="152">
        <f>MIN(2*$MC107,$OG107)</f>
        <v/>
      </c>
      <c r="OI107" s="152">
        <f>MIN($OH107,$OF107)</f>
        <v/>
      </c>
      <c r="OJ107" s="152">
        <f>$OH107-$OI107</f>
        <v/>
      </c>
      <c r="OK107" s="152">
        <f>IF($MC107=0,0,INDEX($P$2:$P$8,MAX(1,$MC107)))</f>
        <v/>
      </c>
      <c r="OL107" s="152">
        <f>$OK107-$OF107+$OI107</f>
        <v/>
      </c>
      <c r="OM107" s="152">
        <f>IF($MC107=0,MAX(0,$MQ107-IF($OD107&gt;0,1,0)),MAX(0,$OL107))</f>
        <v/>
      </c>
      <c r="ON107" s="152">
        <f>IF($MC107=0,0,(IF(COUNTIF($MH107:$MK107,"Salto")&gt;0,1,0)+IF(COUNTIF($MH107:$MK107,"Queima")&gt;0,1,0)+IF(COUNTIF($MH107:$MK107,"Estilhaço")&gt;0,1,0))*FLOOR($OM107/2,1))</f>
        <v/>
      </c>
      <c r="OO107" s="152">
        <f>MAX(0,2-SUMPRODUCT($NV107:$OA107,$I$2:$N$2)+MIN(2,$OB107*1+$OC107*1,SUMPRODUCT($NV107:$OA107,$I$2:$N$2)))</f>
        <v/>
      </c>
      <c r="OP107" s="152">
        <f>MAX(0,4-SUMPRODUCT($NV107:$OA107,$I$3:$N$3)+MIN(4,$OB107*1+$OC107*2,SUMPRODUCT($NV107:$OA107,$I$3:$N$3)))</f>
        <v/>
      </c>
      <c r="OQ107" s="152">
        <f>MAX(0,6-SUMPRODUCT($NV107:$OA107,$I$4:$N$4)+MIN(6,$OB107*2+$OC107*3,SUMPRODUCT($NV107:$OA107,$I$4:$N$4)))</f>
        <v/>
      </c>
      <c r="OR107" s="152">
        <f>MAX(0,9-SUMPRODUCT($NV107:$OA107,$I$5:$N$5)+MIN(8,$OB107*2+$OC107*4,SUMPRODUCT($NV107:$OA107,$I$5:$N$5)))</f>
        <v/>
      </c>
      <c r="OS107" s="152">
        <f>MAX(0,11-SUMPRODUCT($NV107:$OA107,$I$6:$N$6)+MIN(10,$OB107*3+$OC107*5,SUMPRODUCT($NV107:$OA107,$I$6:$N$6)))</f>
        <v/>
      </c>
      <c r="OT107" s="152">
        <f>MAX(0,13-SUMPRODUCT($NV107:$OA107,$I$7:$N$7)+MIN(12,$OB107*3+$OC107*6,SUMPRODUCT($NV107:$OA107,$I$7:$N$7)))</f>
        <v/>
      </c>
      <c r="OU107" s="152">
        <f>MAX(0,16-SUMPRODUCT($NV107:$OA107,$I$8:$N$8)+MIN(14,$OB107*4+$OC107*7,SUMPRODUCT($NV107:$OA107,$I$8:$N$8)))</f>
        <v/>
      </c>
      <c r="OV107" s="152">
        <f>IF($NP107=2,3*$OO107&amp;" de vida temp.",IF($NP107=3,"sem dano",IF($OO107=0,IF($NP107=1,"sem cura","sem dano"),IF($NP107=1,"cura ","")&amp;$OO107&amp;"d8")))</f>
        <v/>
      </c>
      <c r="OW107" s="152">
        <f>IF($NP107=2,3*$OP107&amp;" de vida temp.",IF($NP107=3,"sem dano",IF($OP107=0,IF($NP107=1,"sem cura","sem dano"),IF($NP107=1,"cura ","")&amp;$OP107&amp;"d8")))</f>
        <v/>
      </c>
      <c r="OX107" s="152">
        <f>IF($NP107=2,3*$OQ107&amp;" de vida temp.",IF($NP107=3,"sem dano",IF($OQ107=0,IF($NP107=1,"sem cura","sem dano"),IF($NP107=1,"cura ","")&amp;$OQ107&amp;"d8")))</f>
        <v/>
      </c>
      <c r="OY107" s="152">
        <f>IF($NP107=2,3*$OR107&amp;" de vida temp.",IF($NP107=3,"sem dano",IF($OR107=0,IF($NP107=1,"sem cura","sem dano"),IF($NP107=1,"cura ","")&amp;$OR107&amp;"d8")))</f>
        <v/>
      </c>
      <c r="OZ107" s="152">
        <f>IF($NP107=2,3*$OS107&amp;" de vida temp.",IF($NP107=3,"sem dano",IF($OS107=0,IF($NP107=1,"sem cura","sem dano"),IF($NP107=1,"cura ","")&amp;$OS107&amp;"d8")))</f>
        <v/>
      </c>
      <c r="PA107" s="152">
        <f>IF($NP107=2,3*$OT107&amp;" de vida temp.",IF($NP107=3,"sem dano",IF($OT107=0,IF($NP107=1,"sem cura","sem dano"),IF($NP107=1,"cura ","")&amp;$OT107&amp;"d8")))</f>
        <v/>
      </c>
      <c r="PB107" s="152">
        <f>IF($NP107=2,3*$OU107&amp;" de vida temp.",IF($NP107=3,"sem dano",IF($OU107=0,IF($NP107=1,"sem cura","sem dano"),IF($NP107=1,"cura ","")&amp;$OU107&amp;"d8")))</f>
        <v/>
      </c>
      <c r="PC107" s="152">
        <f>IF($MN107=0,"",TEXTJOIN(" · ",TRUE,IF($MA107&gt;$MO107,"Este lugar abre no nível "&amp;$MA107,""),IF($MC107&gt;$MP107,"Classe "&amp;$MC107&amp;": o nível "&amp;$MO107&amp;" libera até a "&amp;$MP107,""),IF($NH107=1,"A Forma "&amp;$ME107&amp;" pede "&amp;INDEX($W$2:$W$11,$MT107)&amp;" aberta",""),IF(AND($MC107=0,$MT107&gt;0,IF($MT107=0,0,INDEX($AF$2:$AF$11,$MT107))=0),$ME107&amp;" não existe na Classe 0",""),IF($NI107=1,"Família Fechada: "&amp;$MH107,""),IF($NJ107=1,"Família Fechada: "&amp;$MI107,""),IF($NK107=1,"Família Fechada: "&amp;$MJ107,""),IF($NL107=1,"Família Fechada: "&amp;$MK107,""),IF(AND($MC107&gt;0,$OD107&gt;INDEX($O$2:$O$8,MAX(1,$MC107))),$OD107&amp;" Melhorias: a Classe "&amp;$MC107&amp;" aceita "&amp;INDEX($O$2:$O$8,MAX(1,$MC107)),""),IF(AND($MC107=0,$OD107&gt;1),"A básica aceita uma Melhoria",""),IF(AND($MC107=0,COUNTIF($MY107:$NB107,"&gt;1")&gt;0),"A básica só aceita Melhoria Leve",""),IF(AND($MC107&gt;0,$OE107&gt;2),$OE107&amp;" Restrições"&amp;IF($NO107=1,", contando a que a Forma "&amp;$ME107&amp;" já traz","")&amp;": o limite é 2",""),IF(AND($MC107=0,COUNTIF($ML107:$MM107,"?*")&gt;1),"A básica aceita uma Restrição Leve",""),IF(AND($MC107=0,COUNTIF($NR107:$NS107,2)&gt;0),"A básica só aceita Restrição Leve",""),IF(AND($MC107&gt;0,$OL107&lt;0),"Orçamento estourado: faltam "&amp;(-$OL107)&amp;IF($OL107&lt;-1," pontos"," ponto"),""),IF(IFERROR(VLOOKUP($ML107,$BB$2:$BF$24,4,FALSE),0)+IFERROR(VLOOKUP($MM107,$BB$2:$BF$24,4,FALSE),0)&gt;1,$NT107&amp;" e "&amp;$NU107&amp;" são as duas de frequência",""),IF(AND((COUNTIF($MH107:$MK107,"Rápido")+COUNTIF($NT107:$NU107,"Rápido"))&gt;0,(COUNTIF($MH107:$MK107,"Atrasar")+COUNTIF($NT107:$NU107,"Atrasar"))&gt;0),"Rápido não entra com Atrasar",""),IF(AND((COUNTIF($MH107:$MK107,"Reação")+COUNTIF($NT107:$NU107,"Reação"))&gt;0,(COUNTIF($MH107:$MK107,"Rápido")+COUNTIF($NT107:$NU107,"Rápido"))&gt;0),"Reação não entra com Rápido",""),IF(AND((COUNTIF($MH107:$MK107,"Reação")+COUNTIF($NT107:$NU107,"Reação"))&gt;0,(COUNTIF($MH107:$MK107,"Armado")+COUNTIF($NT107:$NU107,"Armado"))&gt;0),"Reação não entra com Armado",""),IF(AND((COUNTIF($MH107:$MK107,"Reação")+COUNTIF($NT107:$NU107,"Reação"))&gt;0,(COUNTIF($MH107:$MK107,"Atrasar")+COUNTIF($NT107:$NU107,"Atrasar"))&gt;0),"Reação não entra com Atrasar",""),IF(AND((COUNTIF($MH107:$MK107,"Reação")+COUNTIF($NT107:$NU107,"Reação"))&gt;0,(COUNTIF($MH107:$MK107,"Parado")+COUNTIF($NT107:$NU107,"Parado"))&gt;0),"Reação não entra com Parado",""),IF(AND((COUNTIF($MH107:$MK107,"Atrasar")+COUNTIF($NT107:$NU107,"Atrasar"))&gt;0,(COUNTIF($MH107:$MK107,"Parado")+COUNTIF($NT107:$NU107,"Parado"))&gt;0),"Atrasar não entra com Parado",""),IF(AND((COUNTIF($MH107:$MK107,"Armado")+COUNTIF($NT107:$NU107,"Armado"))&gt;0,(COUNTIF($MH107:$MK107,"Carregar")+COUNTIF($NT107:$NU107,"Carregar"))&gt;0),"Armado não entra com Carregar",""),IF(AND(COUNTIF($NT107:$NU107,"Corpo a Corpo")&gt;0,$NO107=0,OR($ME107="Cone",$ME107="Linha")),"Corpo a Corpo não entra em "&amp;$ME107,""),IF(AND(COUNTIF($NT107:$NU107,"Corpo a Corpo")&gt;0,$NO107=1),"A Forma "&amp;$ME107&amp;" já traz o Corpo a Corpo",""),IF(AND(COUNTIF($NT107:$NU107,"Tudo ou Nada")&gt;0,$NQ107=0),"Tudo ou Nada só entra em habilidade de Teste de Resistência",""),IF(AND(COUNTIF($MH107:$MK107,"Inescapável")&gt;0,OR($OD107&gt;1,$OE107&gt;0)),"Inescapável não aceita outra peça",""),IF(AND($MC107&gt;0,$OM107*IF(COUNTIF($MH107:$MK107,"Remate")&gt;0,1.25,1)+$ON107&gt;4*$MC107),($OM107*IF(COUNTIF($MH107:$MK107,"Remate")&gt;0,1.25,1)+$ON107)&amp;" dados somando repetições"&amp;IF(COUNTIF($MH107:$MK107,"Remate")&gt;0," e o Remate","")&amp;": o teto da Classe "&amp;$MC107&amp;" é "&amp;4*$MC107,"")))</f>
        <v/>
      </c>
      <c r="PD107" s="152">
        <f>IF($PC107="",0,(LEN($PC107)-LEN(SUBSTITUTE($PC107," · ","")))/3+1)</f>
        <v/>
      </c>
      <c r="PE107" s="152">
        <f>IF($MN107=0,"",TEXTJOIN(" · ",TRUE,IF($OG107&gt;2*$MC107,"A devolução parou no teto de "&amp;2*$MC107,""),IF($OJ107&gt;0,"Devolução perdida: "&amp;$OJ107&amp;IF($OJ107&gt;1," pontos"," ponto")&amp;" sem peça para pagar",""),IF(AND($NM107&gt;0,AND($MC107&gt;0,$NP107=0),$OM107=0),"Controle sem dano: uma rodada a mais e CD +2",""),IF(AND($NM107&gt;0,AND($MC107&gt;0,$NP107=0),$OM107&gt;0,$OM107&lt;=$MC107),"Controle com saldo até a Classe: uma rodada a mais",""),IF(AND($MC107&gt;0,$NN107&lt;&gt;""),"Efeito de "&amp;$NN107&amp;" pela Classe "&amp;MAX(1,$MC107-1),"")))</f>
        <v/>
      </c>
      <c r="PF107" s="152">
        <f>IF($PE107="",0,(LEN($PE107)-LEN(SUBSTITUTE($PE107," · ","")))/3+1)</f>
        <v/>
      </c>
      <c r="PG107" s="152">
        <f>IF($MN107=0,IF($OD107+COUNTIF($ML107:$MM107,"?*")&gt;0,"Dê um nome",""),IF($PD107&gt;0,"⚠ "&amp;$PD107&amp;IF($PD107&gt;1," erros"," erro"),IF($PF107&gt;0,"! "&amp;$PF107&amp;IF($PF107&gt;1," avisos"," aviso"),"Na regra")))</f>
        <v/>
      </c>
      <c r="PH107" s="152">
        <f>IF($MN107=0,"",IF($PD107+$PF107=0,"Dentro das regras que a ficha confere",$PC107&amp;IF(AND($PD107&gt;0,$PF107&gt;0)," · ","")&amp;$PE107))</f>
        <v/>
      </c>
      <c r="PI107" s="152">
        <f>IF($MA107&gt;$MO107,$MB107&amp;" · ABRE NO NÍVEL "&amp;$MA107,$MB107)</f>
        <v/>
      </c>
      <c r="PJ107" s="152">
        <f>IF($MN107=0,"",IF($MC107=0,"Sem PE",3*$MC107&amp;" PE"))</f>
        <v/>
      </c>
      <c r="PK107" s="152">
        <f>IF($MN107=0,"",IF($MC107=0,"A atuação básica dela",IF(COUNTIF($NT107:$NU107,"Atrasar")&gt;0,"Sua Ação Completa",IF(COUNTIF($MH107:$MK107,"Rápido")&gt;0,"Sua Bônus",IF(COUNTIF($MH107:$MK107,"Reação")&gt;0,"Sua Reação","Sua Padrão")))&amp;" + a básica dela"&amp;IF(COUNTIF($MH107:$MK107,"Reação")&gt;0," e a coletiva","")&amp;IF(COUNTIF($NT107:$NU107,"Carregar")&gt;0," · em dois turnos","")))</f>
        <v/>
      </c>
      <c r="PL107" s="152">
        <f>IF($MG107&lt;&gt;"",$MG107,IF($MT107=0,"",INDEX($AA$2:$AA$11,$MT107)))</f>
        <v/>
      </c>
      <c r="PM107" s="152">
        <f>IF(OR($MN107=0,$MT107=0),"",IF(COUNTIF($MH107:$MK107,"Inescapável")&gt;0,"Automático",IF($PL107="Ataque",IF($MR107="","Ataque","Ataque "&amp;IF(($MR107+2*IF(COUNTIF($MH107:$MK107,"Precisão")&gt;0,1,0))&gt;=0,"+","−")&amp;ABS(($MR107+2*IF(COUNTIF($MH107:$MK107,"Precisão")&gt;0,1,0)))),IF(LEFT($PL107,2)="TR",$PL107&amp;IF($MS107="",""," · CD "&amp;$MS107)&amp;IF(COUNTIF($MH107:$MK107,"Certeiro")&gt;0," · metade",""),"Sem rolagem"))))</f>
        <v/>
      </c>
      <c r="PN107" s="152">
        <f>IF(OR($MN107=0,$MT107=0),"",IF($MC107=0,IF(OR($NP107&gt;=1,$OM107=0),"Sem dano",$OM107&amp;"d6"&amp;IF($MF107="",""," "&amp;$MF107)),IF(OR($NP107&gt;=1,$OM107=0),UPPER(LEFT(INDEX($OV107:$PB107,1,MAX(1,$MC107)),1))&amp;MID(INDEX($OV107:$PB107,1,MAX(1,$MC107)),2,99),UPPER(LEFT(INDEX($OV107:$PB107,1,MAX(1,$MC107)),1))&amp;MID(INDEX($OV107:$PB107,1,MAX(1,$MC107)),2,99)&amp;IF($MF107="",""," "&amp;$MF107)&amp;IF($ON107&gt;0," · +"&amp;$ON107&amp;"d8",""))))</f>
        <v/>
      </c>
      <c r="PO107" s="152">
        <f>COUNTIF($MH107:$MK107,"Longe")+3*COUNTIF($MH107:$MK107,"Muito Longe")</f>
        <v/>
      </c>
      <c r="PP107" s="152">
        <f>COUNTIF($MH107:$MK107,"Maior")+3*COUNTIF($MH107:$MK107,"Muito Maior")</f>
        <v/>
      </c>
      <c r="PQ107" s="152">
        <f>IF($MT107=0,0,CHOOSE(1+INDEX($AC$2:$AC$11,$MT107),0,$PO107,$PP107,$PO107+$PP107))</f>
        <v/>
      </c>
      <c r="PR107" s="152">
        <f>IF($MT107=0,0,CHOOSE(1+INDEX($AD$2:$AD$11,$MT107),0,$PO107,$PP107,$PO107+$PP107))</f>
        <v/>
      </c>
      <c r="PS107" s="152">
        <f>IF(OR($MN107=0,$MT107=0),"",INDEX($AI$2:$AN$41,($MT107-1)*4+IF($MC107=0,1,IF($MC107&lt;=5,2,IF($MC107=6,3,4))),1+MIN(5,$PQ107))&amp;INDEX($AO$2:$AT$41,($MT107-1)*4+IF($MC107=0,1,IF($MC107&lt;=5,2,IF($MC107=6,3,4))),1+MIN(5,$PR107))&amp;IF(INDEX($AE$2:$AE$11,$MT107)=1,IF(COUNTIF($MH107:$MK107,"Mais Um")&gt;0," · +"&amp;COUNTIF($MH107:$MK107,"Mais Um")&amp;IF(COUNTIF($MH107:$MK107,"Mais Um")&gt;1," alvos"," alvo"),"")&amp;IF(COUNTIF($MH107:$MK107,"Rajada")&gt;0,IF($MC107=0," · 1 tiro"," · "&amp;(MAX(1,$MC107-1)+1)&amp;" tiros"),""),""))</f>
        <v/>
      </c>
      <c r="PT107" s="152">
        <f>IF($MN107=0,"",IF($MC107=0,$MQ107&amp;"d6"&amp;IF($OD107&gt;0," − 1 = "&amp;$OM107&amp;"d6"," da básica do nível "&amp;$MO107),$OK107&amp;" − "&amp;$OF107&amp;" + "&amp;$OI107&amp;" = "&amp;$OL107&amp;" · teto "&amp;4*$MC107&amp;"d8"&amp;IF($NO107=1," · a Forma devolve "&amp;$MC107,"")&amp;IF($OJ107&gt;0," · perde "&amp;$OJ107,"")))</f>
        <v/>
      </c>
      <c r="PU107" s="152">
        <f>IF($MN107=0,"",IF($MC107=0,"A básica não amplia: os dados dela sobem com o nível",IF($MC107&gt;=$MP107,"Já está na maior Classe que o nível liberou",TEXTJOIN(" · ",TRUE,IF(AND(2&gt;$MC107,2&lt;=$MP107),"2 → "&amp;$OW107&amp;", 6 PE",""),IF(AND(3&gt;$MC107,3&lt;=$MP107),"3 → "&amp;$OX107&amp;", 9 PE",""),IF(AND(4&gt;$MC107,4&lt;=$MP107),"4 → "&amp;$OY107&amp;", 12 PE",""),IF(AND(5&gt;$MC107,5&lt;=$MP107),"5 → "&amp;$OZ107&amp;", 15 PE",""),IF(AND(6&gt;$MC107,6&lt;=$MP107),"6 → "&amp;$PA107&amp;", 18 PE",""),IF(AND(7&gt;$MC107,7&lt;=$MP107),"7 → "&amp;$PB107&amp;", 21 PE","")))))</f>
        <v/>
      </c>
      <c r="PV107" s="152">
        <f>IF(OR($MN107=0,$MY107=0),"",IF($MC107=0,"−1 dado","−"&amp;INDEX($I$2:$N$8,MAX(1,$MC107),MAX(1,$ND107))&amp;" · "&amp;CHOOSE(MAX(1,$ND107),"Leve","Média","Pesada","Leve · Livre","Média · Livre","Pesada · Livre")))</f>
        <v/>
      </c>
      <c r="PW107" s="152">
        <f>IF(OR($MN107=0,$MZ107=0),"",IF($MC107=0,"−1 dado","−"&amp;INDEX($I$2:$N$8,MAX(1,$MC107),MAX(1,$NE107))&amp;" · "&amp;CHOOSE(MAX(1,$NE107),"Leve","Média","Pesada","Leve · Livre","Média · Livre","Pesada · Livre")))</f>
        <v/>
      </c>
      <c r="PX107" s="152">
        <f>IF(OR($MN107=0,$NA107=0),"",IF($MC107=0,"−1 dado","−"&amp;INDEX($I$2:$N$8,MAX(1,$MC107),MAX(1,$NF107))&amp;" · "&amp;CHOOSE(MAX(1,$NF107),"Leve","Média","Pesada","Leve · Livre","Média · Livre","Pesada · Livre")))</f>
        <v/>
      </c>
      <c r="PY107" s="152">
        <f>IF(OR($MN107=0,$NB107=0),"",IF($MC107=0,"−1 dado","−"&amp;INDEX($I$2:$N$8,MAX(1,$MC107),MAX(1,$NG107))&amp;" · "&amp;CHOOSE(MAX(1,$NG107),"Leve","Média","Pesada","Leve · Livre","Média · Livre","Pesada · Livre")))</f>
        <v/>
      </c>
      <c r="PZ107" s="152">
        <f>IF(OR($MN107=0,$ML107=""),"",IF($MC107=0,"não devolve","+"&amp;IF($NR107=1,CEILING($MC107/2,1),$MC107)))</f>
        <v/>
      </c>
      <c r="QA107" s="152">
        <f>IF(OR($MN107=0,$MM107=""),"",IF($MC107=0,"não devolve","+"&amp;IF($NS107=1,CEILING($MC107/2,1),$MC107)))</f>
        <v/>
      </c>
    </row>
    <row r="108">
      <c r="LX108" s="150" t="inlineStr">
        <is>
          <t>Ficha 9 · Especial 2</t>
        </is>
      </c>
      <c r="LY108" s="152" t="n">
        <v>9</v>
      </c>
      <c r="LZ108" s="152" t="n">
        <v>1</v>
      </c>
      <c r="MA108" s="152" t="n">
        <v>4</v>
      </c>
      <c r="MB108" s="150" t="inlineStr">
        <is>
          <t>ESPECIAL 2</t>
        </is>
      </c>
      <c r="MC108" s="152">
        <f>MAX(1,MIN(7,N('INVOCAÇÕES'!$AN$454)))</f>
        <v/>
      </c>
      <c r="MD108" s="152">
        <f>'INVOCAÇÕES'!$AO$454&amp;""</f>
        <v/>
      </c>
      <c r="ME108" s="152">
        <f>'INVOCAÇÕES'!$AN$459&amp;""</f>
        <v/>
      </c>
      <c r="MF108" s="152">
        <f>'INVOCAÇÕES'!$AN$460&amp;""</f>
        <v/>
      </c>
      <c r="MG108" s="152">
        <f>'INVOCAÇÕES'!$AP$460&amp;""</f>
        <v/>
      </c>
      <c r="MH108" s="152">
        <f>'INVOCAÇÕES'!$AO$463&amp;""</f>
        <v/>
      </c>
      <c r="MI108" s="152">
        <f>'INVOCAÇÕES'!$AO$464&amp;""</f>
        <v/>
      </c>
      <c r="MJ108" s="152">
        <f>'INVOCAÇÕES'!$AO$465&amp;""</f>
        <v/>
      </c>
      <c r="MK108" s="152">
        <f>'INVOCAÇÕES'!$AO$466&amp;""</f>
        <v/>
      </c>
      <c r="ML108" s="152">
        <f>'INVOCAÇÕES'!$AO$467&amp;""</f>
        <v/>
      </c>
      <c r="MM108" s="152">
        <f>'INVOCAÇÕES'!$AO$468&amp;""</f>
        <v/>
      </c>
      <c r="MN108" s="152">
        <f>IF($MD108&lt;&gt;"",1,0)</f>
        <v/>
      </c>
      <c r="MO108" s="152">
        <f>INDEX($FG$2:$FG$13,$LY108)</f>
        <v/>
      </c>
      <c r="MP108" s="152">
        <f>INDEX($FH$2:$FH$13,$LY108)</f>
        <v/>
      </c>
      <c r="MQ108" s="152">
        <f>INDEX($FI$2:$FI$13,$LY108)</f>
        <v/>
      </c>
      <c r="MR108" s="152">
        <f>INDEX($FT$2:$FT$13,$LY108)</f>
        <v/>
      </c>
      <c r="MS108" s="152">
        <f>INDEX($FU$2:$FU$13,$LY108)</f>
        <v/>
      </c>
      <c r="MT108" s="152">
        <f>IFERROR(MATCH($ME108,$V$2:$V$11,0),0)</f>
        <v/>
      </c>
      <c r="MU108" s="152">
        <f>IFERROR(VLOOKUP($MH108,$AV$2:$AZ$84,2,FALSE),"")</f>
        <v/>
      </c>
      <c r="MV108" s="152">
        <f>IFERROR(VLOOKUP($MI108,$AV$2:$AZ$84,2,FALSE),"")</f>
        <v/>
      </c>
      <c r="MW108" s="152">
        <f>IFERROR(VLOOKUP($MJ108,$AV$2:$AZ$84,2,FALSE),"")</f>
        <v/>
      </c>
      <c r="MX108" s="152">
        <f>IFERROR(VLOOKUP($MK108,$AV$2:$AZ$84,2,FALSE),"")</f>
        <v/>
      </c>
      <c r="MY108" s="152">
        <f>IFERROR(VLOOKUP($MH108,$AV$2:$AZ$84,3,FALSE),0)</f>
        <v/>
      </c>
      <c r="MZ108" s="152">
        <f>IFERROR(VLOOKUP($MI108,$AV$2:$AZ$84,3,FALSE),0)</f>
        <v/>
      </c>
      <c r="NA108" s="152">
        <f>IFERROR(VLOOKUP($MJ108,$AV$2:$AZ$84,3,FALSE),0)</f>
        <v/>
      </c>
      <c r="NB108" s="152">
        <f>IFERROR(VLOOKUP($MK108,$AV$2:$AZ$84,3,FALSE),0)</f>
        <v/>
      </c>
      <c r="NC108" s="152">
        <f>IF($MC108=0,0,IF($MT108=0,0,INDEX($X$2:$X$11,$MT108)))</f>
        <v/>
      </c>
      <c r="ND108" s="152">
        <f>IF(OR($MY108=0,$MC108=0),0,$MY108+3*IF(AND($MU108&lt;&gt;"",OR($MU108=INDEX($ED$2:$ED$13,$LY108),$MU108=INDEX($EE$2:$EE$13,$LY108))),1,0))</f>
        <v/>
      </c>
      <c r="NE108" s="152">
        <f>IF(OR($MZ108=0,$MC108=0),0,$MZ108+3*IF(AND($MV108&lt;&gt;"",OR($MV108=INDEX($ED$2:$ED$13,$LY108),$MV108=INDEX($EE$2:$EE$13,$LY108))),1,0))</f>
        <v/>
      </c>
      <c r="NF108" s="152">
        <f>IF(OR($NA108=0,$MC108=0),0,$NA108+3*IF(AND($MW108&lt;&gt;"",OR($MW108=INDEX($ED$2:$ED$13,$LY108),$MW108=INDEX($EE$2:$EE$13,$LY108))),1,0))</f>
        <v/>
      </c>
      <c r="NG108" s="152">
        <f>IF(OR($NB108=0,$MC108=0),0,$NB108+3*IF(AND($MX108&lt;&gt;"",OR($MX108=INDEX($ED$2:$ED$13,$LY108),$MX108=INDEX($EE$2:$EE$13,$LY108))),1,0))</f>
        <v/>
      </c>
      <c r="NH108" s="152">
        <f>IF($MT108=0,0,IF(INDEX($W$2:$W$11,$MT108)="",0,IF(COUNTIF(INDEX($ED$2:$EH$13,$LY108,0),INDEX($W$2:$W$11,$MT108))=0,1,0)))</f>
        <v/>
      </c>
      <c r="NI108" s="152">
        <f>IF(OR($MY108=0,$MU108=""),0,IF(COUNTIF(INDEX($ED$2:$EH$13,$LY108,0),$MU108)=0,1,0))</f>
        <v/>
      </c>
      <c r="NJ108" s="152">
        <f>IF(OR($MZ108=0,$MV108=""),0,IF(COUNTIF(INDEX($ED$2:$EH$13,$LY108,0),$MV108)=0,1,0))</f>
        <v/>
      </c>
      <c r="NK108" s="152">
        <f>IF(OR($NA108=0,$MW108=""),0,IF(COUNTIF(INDEX($ED$2:$EH$13,$LY108,0),$MW108)=0,1,0))</f>
        <v/>
      </c>
      <c r="NL108" s="152">
        <f>IF(OR($NB108=0,$MX108=""),0,IF(COUNTIF(INDEX($ED$2:$EH$13,$LY108,0),$MX108)=0,1,0))</f>
        <v/>
      </c>
      <c r="NM108" s="152">
        <f>IFERROR(VLOOKUP($MH108,$AV$2:$AZ$84,4,FALSE),0)+IFERROR(VLOOKUP($MI108,$AV$2:$AZ$84,4,FALSE),0)+IFERROR(VLOOKUP($MJ108,$AV$2:$AZ$84,4,FALSE),0)+IFERROR(VLOOKUP($MK108,$AV$2:$AZ$84,4,FALSE),0)</f>
        <v/>
      </c>
      <c r="NN108" s="152">
        <f>TEXTJOIN(", ",TRUE,IF(IFERROR(VLOOKUP($MH108,$AV$2:$AZ$84,5,FALSE),0)=1,$MH108,""),IF(IFERROR(VLOOKUP($MI108,$AV$2:$AZ$84,5,FALSE),0)=1,$MI108,""),IF(IFERROR(VLOOKUP($MJ108,$AV$2:$AZ$84,5,FALSE),0)=1,$MJ108,""),IF(IFERROR(VLOOKUP($MK108,$AV$2:$AZ$84,5,FALSE),0)=1,$MK108,""))</f>
        <v/>
      </c>
      <c r="NO108" s="152">
        <f>IF($MT108=0,0,INDEX($Y$2:$Y$11,$MT108))</f>
        <v/>
      </c>
      <c r="NP108" s="152">
        <f>IF($MT108=0,0,INDEX($Z$2:$Z$11,$MT108))</f>
        <v/>
      </c>
      <c r="NQ108" s="152">
        <f>IF($MT108=0,0,INDEX($AB$2:$AB$11,$MT108))</f>
        <v/>
      </c>
      <c r="NR108" s="152">
        <f>IFERROR(VLOOKUP($ML108,$BB$2:$BF$24,3,FALSE),0)</f>
        <v/>
      </c>
      <c r="NS108" s="152">
        <f>IFERROR(VLOOKUP($MM108,$BB$2:$BF$24,3,FALSE),0)</f>
        <v/>
      </c>
      <c r="NT108" s="152">
        <f>IFERROR(VLOOKUP($ML108,$BB$2:$BF$24,2,FALSE),"")</f>
        <v/>
      </c>
      <c r="NU108" s="152">
        <f>IFERROR(VLOOKUP($MM108,$BB$2:$BF$24,2,FALSE),"")</f>
        <v/>
      </c>
      <c r="NV108" s="152">
        <f>COUNTIF($NC108:$NG108,1)</f>
        <v/>
      </c>
      <c r="NW108" s="152">
        <f>COUNTIF($NC108:$NG108,2)</f>
        <v/>
      </c>
      <c r="NX108" s="152">
        <f>COUNTIF($NC108:$NG108,3)</f>
        <v/>
      </c>
      <c r="NY108" s="152">
        <f>COUNTIF($NC108:$NG108,4)</f>
        <v/>
      </c>
      <c r="NZ108" s="152">
        <f>COUNTIF($NC108:$NG108,5)</f>
        <v/>
      </c>
      <c r="OA108" s="152">
        <f>COUNTIF($NC108:$NG108,6)</f>
        <v/>
      </c>
      <c r="OB108" s="152">
        <f>COUNTIF($NR108:$NS108,1)</f>
        <v/>
      </c>
      <c r="OC108" s="152">
        <f>COUNTIF($NR108:$NS108,2)+$NO108</f>
        <v/>
      </c>
      <c r="OD108" s="152">
        <f>COUNTIF($MH108:$MK108,"?*")</f>
        <v/>
      </c>
      <c r="OE108" s="152">
        <f>COUNTIF($ML108:$MM108,"?*")+$NO108</f>
        <v/>
      </c>
      <c r="OF108" s="152">
        <f>IF($MC108=0,0,SUMPRODUCT($NV108:$OA108,INDEX($I$2:$N$8,MAX(1,$MC108),0)))</f>
        <v/>
      </c>
      <c r="OG108" s="152">
        <f>IF($MC108=0,0,$OB108*CEILING($MC108/2,1)+$OC108*$MC108)</f>
        <v/>
      </c>
      <c r="OH108" s="152">
        <f>MIN(2*$MC108,$OG108)</f>
        <v/>
      </c>
      <c r="OI108" s="152">
        <f>MIN($OH108,$OF108)</f>
        <v/>
      </c>
      <c r="OJ108" s="152">
        <f>$OH108-$OI108</f>
        <v/>
      </c>
      <c r="OK108" s="152">
        <f>IF($MC108=0,0,INDEX($P$2:$P$8,MAX(1,$MC108)))</f>
        <v/>
      </c>
      <c r="OL108" s="152">
        <f>$OK108-$OF108+$OI108</f>
        <v/>
      </c>
      <c r="OM108" s="152">
        <f>IF($MC108=0,MAX(0,$MQ108-IF($OD108&gt;0,1,0)),MAX(0,$OL108))</f>
        <v/>
      </c>
      <c r="ON108" s="152">
        <f>IF($MC108=0,0,(IF(COUNTIF($MH108:$MK108,"Salto")&gt;0,1,0)+IF(COUNTIF($MH108:$MK108,"Queima")&gt;0,1,0)+IF(COUNTIF($MH108:$MK108,"Estilhaço")&gt;0,1,0))*FLOOR($OM108/2,1))</f>
        <v/>
      </c>
      <c r="OO108" s="152">
        <f>MAX(0,2-SUMPRODUCT($NV108:$OA108,$I$2:$N$2)+MIN(2,$OB108*1+$OC108*1,SUMPRODUCT($NV108:$OA108,$I$2:$N$2)))</f>
        <v/>
      </c>
      <c r="OP108" s="152">
        <f>MAX(0,4-SUMPRODUCT($NV108:$OA108,$I$3:$N$3)+MIN(4,$OB108*1+$OC108*2,SUMPRODUCT($NV108:$OA108,$I$3:$N$3)))</f>
        <v/>
      </c>
      <c r="OQ108" s="152">
        <f>MAX(0,6-SUMPRODUCT($NV108:$OA108,$I$4:$N$4)+MIN(6,$OB108*2+$OC108*3,SUMPRODUCT($NV108:$OA108,$I$4:$N$4)))</f>
        <v/>
      </c>
      <c r="OR108" s="152">
        <f>MAX(0,9-SUMPRODUCT($NV108:$OA108,$I$5:$N$5)+MIN(8,$OB108*2+$OC108*4,SUMPRODUCT($NV108:$OA108,$I$5:$N$5)))</f>
        <v/>
      </c>
      <c r="OS108" s="152">
        <f>MAX(0,11-SUMPRODUCT($NV108:$OA108,$I$6:$N$6)+MIN(10,$OB108*3+$OC108*5,SUMPRODUCT($NV108:$OA108,$I$6:$N$6)))</f>
        <v/>
      </c>
      <c r="OT108" s="152">
        <f>MAX(0,13-SUMPRODUCT($NV108:$OA108,$I$7:$N$7)+MIN(12,$OB108*3+$OC108*6,SUMPRODUCT($NV108:$OA108,$I$7:$N$7)))</f>
        <v/>
      </c>
      <c r="OU108" s="152">
        <f>MAX(0,16-SUMPRODUCT($NV108:$OA108,$I$8:$N$8)+MIN(14,$OB108*4+$OC108*7,SUMPRODUCT($NV108:$OA108,$I$8:$N$8)))</f>
        <v/>
      </c>
      <c r="OV108" s="152">
        <f>IF($NP108=2,3*$OO108&amp;" de vida temp.",IF($NP108=3,"sem dano",IF($OO108=0,IF($NP108=1,"sem cura","sem dano"),IF($NP108=1,"cura ","")&amp;$OO108&amp;"d8")))</f>
        <v/>
      </c>
      <c r="OW108" s="152">
        <f>IF($NP108=2,3*$OP108&amp;" de vida temp.",IF($NP108=3,"sem dano",IF($OP108=0,IF($NP108=1,"sem cura","sem dano"),IF($NP108=1,"cura ","")&amp;$OP108&amp;"d8")))</f>
        <v/>
      </c>
      <c r="OX108" s="152">
        <f>IF($NP108=2,3*$OQ108&amp;" de vida temp.",IF($NP108=3,"sem dano",IF($OQ108=0,IF($NP108=1,"sem cura","sem dano"),IF($NP108=1,"cura ","")&amp;$OQ108&amp;"d8")))</f>
        <v/>
      </c>
      <c r="OY108" s="152">
        <f>IF($NP108=2,3*$OR108&amp;" de vida temp.",IF($NP108=3,"sem dano",IF($OR108=0,IF($NP108=1,"sem cura","sem dano"),IF($NP108=1,"cura ","")&amp;$OR108&amp;"d8")))</f>
        <v/>
      </c>
      <c r="OZ108" s="152">
        <f>IF($NP108=2,3*$OS108&amp;" de vida temp.",IF($NP108=3,"sem dano",IF($OS108=0,IF($NP108=1,"sem cura","sem dano"),IF($NP108=1,"cura ","")&amp;$OS108&amp;"d8")))</f>
        <v/>
      </c>
      <c r="PA108" s="152">
        <f>IF($NP108=2,3*$OT108&amp;" de vida temp.",IF($NP108=3,"sem dano",IF($OT108=0,IF($NP108=1,"sem cura","sem dano"),IF($NP108=1,"cura ","")&amp;$OT108&amp;"d8")))</f>
        <v/>
      </c>
      <c r="PB108" s="152">
        <f>IF($NP108=2,3*$OU108&amp;" de vida temp.",IF($NP108=3,"sem dano",IF($OU108=0,IF($NP108=1,"sem cura","sem dano"),IF($NP108=1,"cura ","")&amp;$OU108&amp;"d8")))</f>
        <v/>
      </c>
      <c r="PC108" s="152">
        <f>IF($MN108=0,"",TEXTJOIN(" · ",TRUE,IF($MA108&gt;$MO108,"Este lugar abre no nível "&amp;$MA108,""),IF($MC108&gt;$MP108,"Classe "&amp;$MC108&amp;": o nível "&amp;$MO108&amp;" libera até a "&amp;$MP108,""),IF($NH108=1,"A Forma "&amp;$ME108&amp;" pede "&amp;INDEX($W$2:$W$11,$MT108)&amp;" aberta",""),IF(AND($MC108=0,$MT108&gt;0,IF($MT108=0,0,INDEX($AF$2:$AF$11,$MT108))=0),$ME108&amp;" não existe na Classe 0",""),IF($NI108=1,"Família Fechada: "&amp;$MH108,""),IF($NJ108=1,"Família Fechada: "&amp;$MI108,""),IF($NK108=1,"Família Fechada: "&amp;$MJ108,""),IF($NL108=1,"Família Fechada: "&amp;$MK108,""),IF(AND($MC108&gt;0,$OD108&gt;INDEX($O$2:$O$8,MAX(1,$MC108))),$OD108&amp;" Melhorias: a Classe "&amp;$MC108&amp;" aceita "&amp;INDEX($O$2:$O$8,MAX(1,$MC108)),""),IF(AND($MC108=0,$OD108&gt;1),"A básica aceita uma Melhoria",""),IF(AND($MC108=0,COUNTIF($MY108:$NB108,"&gt;1")&gt;0),"A básica só aceita Melhoria Leve",""),IF(AND($MC108&gt;0,$OE108&gt;2),$OE108&amp;" Restrições"&amp;IF($NO108=1,", contando a que a Forma "&amp;$ME108&amp;" já traz","")&amp;": o limite é 2",""),IF(AND($MC108=0,COUNTIF($ML108:$MM108,"?*")&gt;1),"A básica aceita uma Restrição Leve",""),IF(AND($MC108=0,COUNTIF($NR108:$NS108,2)&gt;0),"A básica só aceita Restrição Leve",""),IF(AND($MC108&gt;0,$OL108&lt;0),"Orçamento estourado: faltam "&amp;(-$OL108)&amp;IF($OL108&lt;-1," pontos"," ponto"),""),IF(IFERROR(VLOOKUP($ML108,$BB$2:$BF$24,4,FALSE),0)+IFERROR(VLOOKUP($MM108,$BB$2:$BF$24,4,FALSE),0)&gt;1,$NT108&amp;" e "&amp;$NU108&amp;" são as duas de frequência",""),IF(AND((COUNTIF($MH108:$MK108,"Rápido")+COUNTIF($NT108:$NU108,"Rápido"))&gt;0,(COUNTIF($MH108:$MK108,"Atrasar")+COUNTIF($NT108:$NU108,"Atrasar"))&gt;0),"Rápido não entra com Atrasar",""),IF(AND((COUNTIF($MH108:$MK108,"Reação")+COUNTIF($NT108:$NU108,"Reação"))&gt;0,(COUNTIF($MH108:$MK108,"Rápido")+COUNTIF($NT108:$NU108,"Rápido"))&gt;0),"Reação não entra com Rápido",""),IF(AND((COUNTIF($MH108:$MK108,"Reação")+COUNTIF($NT108:$NU108,"Reação"))&gt;0,(COUNTIF($MH108:$MK108,"Armado")+COUNTIF($NT108:$NU108,"Armado"))&gt;0),"Reação não entra com Armado",""),IF(AND((COUNTIF($MH108:$MK108,"Reação")+COUNTIF($NT108:$NU108,"Reação"))&gt;0,(COUNTIF($MH108:$MK108,"Atrasar")+COUNTIF($NT108:$NU108,"Atrasar"))&gt;0),"Reação não entra com Atrasar",""),IF(AND((COUNTIF($MH108:$MK108,"Reação")+COUNTIF($NT108:$NU108,"Reação"))&gt;0,(COUNTIF($MH108:$MK108,"Parado")+COUNTIF($NT108:$NU108,"Parado"))&gt;0),"Reação não entra com Parado",""),IF(AND((COUNTIF($MH108:$MK108,"Atrasar")+COUNTIF($NT108:$NU108,"Atrasar"))&gt;0,(COUNTIF($MH108:$MK108,"Parado")+COUNTIF($NT108:$NU108,"Parado"))&gt;0),"Atrasar não entra com Parado",""),IF(AND((COUNTIF($MH108:$MK108,"Armado")+COUNTIF($NT108:$NU108,"Armado"))&gt;0,(COUNTIF($MH108:$MK108,"Carregar")+COUNTIF($NT108:$NU108,"Carregar"))&gt;0),"Armado não entra com Carregar",""),IF(AND(COUNTIF($NT108:$NU108,"Corpo a Corpo")&gt;0,$NO108=0,OR($ME108="Cone",$ME108="Linha")),"Corpo a Corpo não entra em "&amp;$ME108,""),IF(AND(COUNTIF($NT108:$NU108,"Corpo a Corpo")&gt;0,$NO108=1),"A Forma "&amp;$ME108&amp;" já traz o Corpo a Corpo",""),IF(AND(COUNTIF($NT108:$NU108,"Tudo ou Nada")&gt;0,$NQ108=0),"Tudo ou Nada só entra em habilidade de Teste de Resistência",""),IF(AND(COUNTIF($MH108:$MK108,"Inescapável")&gt;0,OR($OD108&gt;1,$OE108&gt;0)),"Inescapável não aceita outra peça",""),IF(AND($MC108&gt;0,$OM108*IF(COUNTIF($MH108:$MK108,"Remate")&gt;0,1.25,1)+$ON108&gt;4*$MC108),($OM108*IF(COUNTIF($MH108:$MK108,"Remate")&gt;0,1.25,1)+$ON108)&amp;" dados somando repetições"&amp;IF(COUNTIF($MH108:$MK108,"Remate")&gt;0," e o Remate","")&amp;": o teto da Classe "&amp;$MC108&amp;" é "&amp;4*$MC108,"")))</f>
        <v/>
      </c>
      <c r="PD108" s="152">
        <f>IF($PC108="",0,(LEN($PC108)-LEN(SUBSTITUTE($PC108," · ","")))/3+1)</f>
        <v/>
      </c>
      <c r="PE108" s="152">
        <f>IF($MN108=0,"",TEXTJOIN(" · ",TRUE,IF($OG108&gt;2*$MC108,"A devolução parou no teto de "&amp;2*$MC108,""),IF($OJ108&gt;0,"Devolução perdida: "&amp;$OJ108&amp;IF($OJ108&gt;1," pontos"," ponto")&amp;" sem peça para pagar",""),IF(AND($NM108&gt;0,AND($MC108&gt;0,$NP108=0),$OM108=0),"Controle sem dano: uma rodada a mais e CD +2",""),IF(AND($NM108&gt;0,AND($MC108&gt;0,$NP108=0),$OM108&gt;0,$OM108&lt;=$MC108),"Controle com saldo até a Classe: uma rodada a mais",""),IF(AND($MC108&gt;0,$NN108&lt;&gt;""),"Efeito de "&amp;$NN108&amp;" pela Classe "&amp;MAX(1,$MC108-1),"")))</f>
        <v/>
      </c>
      <c r="PF108" s="152">
        <f>IF($PE108="",0,(LEN($PE108)-LEN(SUBSTITUTE($PE108," · ","")))/3+1)</f>
        <v/>
      </c>
      <c r="PG108" s="152">
        <f>IF($MN108=0,IF($OD108+COUNTIF($ML108:$MM108,"?*")&gt;0,"Dê um nome",""),IF($PD108&gt;0,"⚠ "&amp;$PD108&amp;IF($PD108&gt;1," erros"," erro"),IF($PF108&gt;0,"! "&amp;$PF108&amp;IF($PF108&gt;1," avisos"," aviso"),"Na regra")))</f>
        <v/>
      </c>
      <c r="PH108" s="152">
        <f>IF($MN108=0,"",IF($PD108+$PF108=0,"Dentro das regras que a ficha confere",$PC108&amp;IF(AND($PD108&gt;0,$PF108&gt;0)," · ","")&amp;$PE108))</f>
        <v/>
      </c>
      <c r="PI108" s="152">
        <f>IF($MA108&gt;$MO108,$MB108&amp;" · ABRE NO NÍVEL "&amp;$MA108,$MB108)</f>
        <v/>
      </c>
      <c r="PJ108" s="152">
        <f>IF($MN108=0,"",IF($MC108=0,"Sem PE",3*$MC108&amp;" PE"))</f>
        <v/>
      </c>
      <c r="PK108" s="152">
        <f>IF($MN108=0,"",IF($MC108=0,"A atuação básica dela",IF(COUNTIF($NT108:$NU108,"Atrasar")&gt;0,"Sua Ação Completa",IF(COUNTIF($MH108:$MK108,"Rápido")&gt;0,"Sua Bônus",IF(COUNTIF($MH108:$MK108,"Reação")&gt;0,"Sua Reação","Sua Padrão")))&amp;" + a básica dela"&amp;IF(COUNTIF($MH108:$MK108,"Reação")&gt;0," e a coletiva","")&amp;IF(COUNTIF($NT108:$NU108,"Carregar")&gt;0," · em dois turnos","")))</f>
        <v/>
      </c>
      <c r="PL108" s="152">
        <f>IF($MG108&lt;&gt;"",$MG108,IF($MT108=0,"",INDEX($AA$2:$AA$11,$MT108)))</f>
        <v/>
      </c>
      <c r="PM108" s="152">
        <f>IF(OR($MN108=0,$MT108=0),"",IF(COUNTIF($MH108:$MK108,"Inescapável")&gt;0,"Automático",IF($PL108="Ataque",IF($MR108="","Ataque","Ataque "&amp;IF(($MR108+2*IF(COUNTIF($MH108:$MK108,"Precisão")&gt;0,1,0))&gt;=0,"+","−")&amp;ABS(($MR108+2*IF(COUNTIF($MH108:$MK108,"Precisão")&gt;0,1,0)))),IF(LEFT($PL108,2)="TR",$PL108&amp;IF($MS108="",""," · CD "&amp;$MS108)&amp;IF(COUNTIF($MH108:$MK108,"Certeiro")&gt;0," · metade",""),"Sem rolagem"))))</f>
        <v/>
      </c>
      <c r="PN108" s="152">
        <f>IF(OR($MN108=0,$MT108=0),"",IF($MC108=0,IF(OR($NP108&gt;=1,$OM108=0),"Sem dano",$OM108&amp;"d6"&amp;IF($MF108="",""," "&amp;$MF108)),IF(OR($NP108&gt;=1,$OM108=0),UPPER(LEFT(INDEX($OV108:$PB108,1,MAX(1,$MC108)),1))&amp;MID(INDEX($OV108:$PB108,1,MAX(1,$MC108)),2,99),UPPER(LEFT(INDEX($OV108:$PB108,1,MAX(1,$MC108)),1))&amp;MID(INDEX($OV108:$PB108,1,MAX(1,$MC108)),2,99)&amp;IF($MF108="",""," "&amp;$MF108)&amp;IF($ON108&gt;0," · +"&amp;$ON108&amp;"d8",""))))</f>
        <v/>
      </c>
      <c r="PO108" s="152">
        <f>COUNTIF($MH108:$MK108,"Longe")+3*COUNTIF($MH108:$MK108,"Muito Longe")</f>
        <v/>
      </c>
      <c r="PP108" s="152">
        <f>COUNTIF($MH108:$MK108,"Maior")+3*COUNTIF($MH108:$MK108,"Muito Maior")</f>
        <v/>
      </c>
      <c r="PQ108" s="152">
        <f>IF($MT108=0,0,CHOOSE(1+INDEX($AC$2:$AC$11,$MT108),0,$PO108,$PP108,$PO108+$PP108))</f>
        <v/>
      </c>
      <c r="PR108" s="152">
        <f>IF($MT108=0,0,CHOOSE(1+INDEX($AD$2:$AD$11,$MT108),0,$PO108,$PP108,$PO108+$PP108))</f>
        <v/>
      </c>
      <c r="PS108" s="152">
        <f>IF(OR($MN108=0,$MT108=0),"",INDEX($AI$2:$AN$41,($MT108-1)*4+IF($MC108=0,1,IF($MC108&lt;=5,2,IF($MC108=6,3,4))),1+MIN(5,$PQ108))&amp;INDEX($AO$2:$AT$41,($MT108-1)*4+IF($MC108=0,1,IF($MC108&lt;=5,2,IF($MC108=6,3,4))),1+MIN(5,$PR108))&amp;IF(INDEX($AE$2:$AE$11,$MT108)=1,IF(COUNTIF($MH108:$MK108,"Mais Um")&gt;0," · +"&amp;COUNTIF($MH108:$MK108,"Mais Um")&amp;IF(COUNTIF($MH108:$MK108,"Mais Um")&gt;1," alvos"," alvo"),"")&amp;IF(COUNTIF($MH108:$MK108,"Rajada")&gt;0,IF($MC108=0," · 1 tiro"," · "&amp;(MAX(1,$MC108-1)+1)&amp;" tiros"),""),""))</f>
        <v/>
      </c>
      <c r="PT108" s="152">
        <f>IF($MN108=0,"",IF($MC108=0,$MQ108&amp;"d6"&amp;IF($OD108&gt;0," − 1 = "&amp;$OM108&amp;"d6"," da básica do nível "&amp;$MO108),$OK108&amp;" − "&amp;$OF108&amp;" + "&amp;$OI108&amp;" = "&amp;$OL108&amp;" · teto "&amp;4*$MC108&amp;"d8"&amp;IF($NO108=1," · a Forma devolve "&amp;$MC108,"")&amp;IF($OJ108&gt;0," · perde "&amp;$OJ108,"")))</f>
        <v/>
      </c>
      <c r="PU108" s="152">
        <f>IF($MN108=0,"",IF($MC108=0,"A básica não amplia: os dados dela sobem com o nível",IF($MC108&gt;=$MP108,"Já está na maior Classe que o nível liberou",TEXTJOIN(" · ",TRUE,IF(AND(2&gt;$MC108,2&lt;=$MP108),"2 → "&amp;$OW108&amp;", 6 PE",""),IF(AND(3&gt;$MC108,3&lt;=$MP108),"3 → "&amp;$OX108&amp;", 9 PE",""),IF(AND(4&gt;$MC108,4&lt;=$MP108),"4 → "&amp;$OY108&amp;", 12 PE",""),IF(AND(5&gt;$MC108,5&lt;=$MP108),"5 → "&amp;$OZ108&amp;", 15 PE",""),IF(AND(6&gt;$MC108,6&lt;=$MP108),"6 → "&amp;$PA108&amp;", 18 PE",""),IF(AND(7&gt;$MC108,7&lt;=$MP108),"7 → "&amp;$PB108&amp;", 21 PE","")))))</f>
        <v/>
      </c>
      <c r="PV108" s="152">
        <f>IF(OR($MN108=0,$MY108=0),"",IF($MC108=0,"−1 dado","−"&amp;INDEX($I$2:$N$8,MAX(1,$MC108),MAX(1,$ND108))&amp;" · "&amp;CHOOSE(MAX(1,$ND108),"Leve","Média","Pesada","Leve · Livre","Média · Livre","Pesada · Livre")))</f>
        <v/>
      </c>
      <c r="PW108" s="152">
        <f>IF(OR($MN108=0,$MZ108=0),"",IF($MC108=0,"−1 dado","−"&amp;INDEX($I$2:$N$8,MAX(1,$MC108),MAX(1,$NE108))&amp;" · "&amp;CHOOSE(MAX(1,$NE108),"Leve","Média","Pesada","Leve · Livre","Média · Livre","Pesada · Livre")))</f>
        <v/>
      </c>
      <c r="PX108" s="152">
        <f>IF(OR($MN108=0,$NA108=0),"",IF($MC108=0,"−1 dado","−"&amp;INDEX($I$2:$N$8,MAX(1,$MC108),MAX(1,$NF108))&amp;" · "&amp;CHOOSE(MAX(1,$NF108),"Leve","Média","Pesada","Leve · Livre","Média · Livre","Pesada · Livre")))</f>
        <v/>
      </c>
      <c r="PY108" s="152">
        <f>IF(OR($MN108=0,$NB108=0),"",IF($MC108=0,"−1 dado","−"&amp;INDEX($I$2:$N$8,MAX(1,$MC108),MAX(1,$NG108))&amp;" · "&amp;CHOOSE(MAX(1,$NG108),"Leve","Média","Pesada","Leve · Livre","Média · Livre","Pesada · Livre")))</f>
        <v/>
      </c>
      <c r="PZ108" s="152">
        <f>IF(OR($MN108=0,$ML108=""),"",IF($MC108=0,"não devolve","+"&amp;IF($NR108=1,CEILING($MC108/2,1),$MC108)))</f>
        <v/>
      </c>
      <c r="QA108" s="152">
        <f>IF(OR($MN108=0,$MM108=""),"",IF($MC108=0,"não devolve","+"&amp;IF($NS108=1,CEILING($MC108/2,1),$MC108)))</f>
        <v/>
      </c>
    </row>
    <row r="109">
      <c r="LX109" s="150" t="inlineStr">
        <is>
          <t>Ficha 9 · Básica 2</t>
        </is>
      </c>
      <c r="LY109" s="152" t="n">
        <v>9</v>
      </c>
      <c r="LZ109" s="152" t="n">
        <v>0</v>
      </c>
      <c r="MA109" s="152" t="n">
        <v>11</v>
      </c>
      <c r="MB109" s="150" t="inlineStr">
        <is>
          <t>BÁSICA 2</t>
        </is>
      </c>
      <c r="MC109" s="152" t="n">
        <v>0</v>
      </c>
      <c r="MD109" s="152">
        <f>'INVOCAÇÕES'!$AC$488&amp;""</f>
        <v/>
      </c>
      <c r="ME109" s="152">
        <f>'INVOCAÇÕES'!$AB$493&amp;""</f>
        <v/>
      </c>
      <c r="MF109" s="152">
        <f>'INVOCAÇÕES'!$AB$494&amp;""</f>
        <v/>
      </c>
      <c r="MG109" s="152">
        <f>'INVOCAÇÕES'!$AD$494&amp;""</f>
        <v/>
      </c>
      <c r="MH109" s="152">
        <f>'INVOCAÇÕES'!$AC$497&amp;""</f>
        <v/>
      </c>
      <c r="MI109" s="152">
        <f>'INVOCAÇÕES'!$AC$498&amp;""</f>
        <v/>
      </c>
      <c r="MJ109" s="152">
        <f>'INVOCAÇÕES'!$AC$499&amp;""</f>
        <v/>
      </c>
      <c r="MK109" s="152">
        <f>'INVOCAÇÕES'!$AC$500&amp;""</f>
        <v/>
      </c>
      <c r="ML109" s="152">
        <f>'INVOCAÇÕES'!$AC$501&amp;""</f>
        <v/>
      </c>
      <c r="MM109" s="152">
        <f>'INVOCAÇÕES'!$AC$502&amp;""</f>
        <v/>
      </c>
      <c r="MN109" s="152">
        <f>IF($MD109&lt;&gt;"",1,0)</f>
        <v/>
      </c>
      <c r="MO109" s="152">
        <f>INDEX($FG$2:$FG$13,$LY109)</f>
        <v/>
      </c>
      <c r="MP109" s="152">
        <f>INDEX($FH$2:$FH$13,$LY109)</f>
        <v/>
      </c>
      <c r="MQ109" s="152">
        <f>INDEX($FI$2:$FI$13,$LY109)</f>
        <v/>
      </c>
      <c r="MR109" s="152">
        <f>INDEX($FT$2:$FT$13,$LY109)</f>
        <v/>
      </c>
      <c r="MS109" s="152">
        <f>INDEX($FU$2:$FU$13,$LY109)</f>
        <v/>
      </c>
      <c r="MT109" s="152">
        <f>IFERROR(MATCH($ME109,$V$2:$V$11,0),0)</f>
        <v/>
      </c>
      <c r="MU109" s="152">
        <f>IFERROR(VLOOKUP($MH109,$AV$2:$AZ$84,2,FALSE),"")</f>
        <v/>
      </c>
      <c r="MV109" s="152">
        <f>IFERROR(VLOOKUP($MI109,$AV$2:$AZ$84,2,FALSE),"")</f>
        <v/>
      </c>
      <c r="MW109" s="152">
        <f>IFERROR(VLOOKUP($MJ109,$AV$2:$AZ$84,2,FALSE),"")</f>
        <v/>
      </c>
      <c r="MX109" s="152">
        <f>IFERROR(VLOOKUP($MK109,$AV$2:$AZ$84,2,FALSE),"")</f>
        <v/>
      </c>
      <c r="MY109" s="152">
        <f>IFERROR(VLOOKUP($MH109,$AV$2:$AZ$84,3,FALSE),0)</f>
        <v/>
      </c>
      <c r="MZ109" s="152">
        <f>IFERROR(VLOOKUP($MI109,$AV$2:$AZ$84,3,FALSE),0)</f>
        <v/>
      </c>
      <c r="NA109" s="152">
        <f>IFERROR(VLOOKUP($MJ109,$AV$2:$AZ$84,3,FALSE),0)</f>
        <v/>
      </c>
      <c r="NB109" s="152">
        <f>IFERROR(VLOOKUP($MK109,$AV$2:$AZ$84,3,FALSE),0)</f>
        <v/>
      </c>
      <c r="NC109" s="152">
        <f>IF($MC109=0,0,IF($MT109=0,0,INDEX($X$2:$X$11,$MT109)))</f>
        <v/>
      </c>
      <c r="ND109" s="152">
        <f>IF(OR($MY109=0,$MC109=0),0,$MY109+3*IF(AND($MU109&lt;&gt;"",OR($MU109=INDEX($ED$2:$ED$13,$LY109),$MU109=INDEX($EE$2:$EE$13,$LY109))),1,0))</f>
        <v/>
      </c>
      <c r="NE109" s="152">
        <f>IF(OR($MZ109=0,$MC109=0),0,$MZ109+3*IF(AND($MV109&lt;&gt;"",OR($MV109=INDEX($ED$2:$ED$13,$LY109),$MV109=INDEX($EE$2:$EE$13,$LY109))),1,0))</f>
        <v/>
      </c>
      <c r="NF109" s="152">
        <f>IF(OR($NA109=0,$MC109=0),0,$NA109+3*IF(AND($MW109&lt;&gt;"",OR($MW109=INDEX($ED$2:$ED$13,$LY109),$MW109=INDEX($EE$2:$EE$13,$LY109))),1,0))</f>
        <v/>
      </c>
      <c r="NG109" s="152">
        <f>IF(OR($NB109=0,$MC109=0),0,$NB109+3*IF(AND($MX109&lt;&gt;"",OR($MX109=INDEX($ED$2:$ED$13,$LY109),$MX109=INDEX($EE$2:$EE$13,$LY109))),1,0))</f>
        <v/>
      </c>
      <c r="NH109" s="152">
        <f>IF($MT109=0,0,IF(INDEX($W$2:$W$11,$MT109)="",0,IF(COUNTIF(INDEX($ED$2:$EH$13,$LY109,0),INDEX($W$2:$W$11,$MT109))=0,1,0)))</f>
        <v/>
      </c>
      <c r="NI109" s="152">
        <f>IF(OR($MY109=0,$MU109=""),0,IF(COUNTIF(INDEX($ED$2:$EH$13,$LY109,0),$MU109)=0,1,0))</f>
        <v/>
      </c>
      <c r="NJ109" s="152">
        <f>IF(OR($MZ109=0,$MV109=""),0,IF(COUNTIF(INDEX($ED$2:$EH$13,$LY109,0),$MV109)=0,1,0))</f>
        <v/>
      </c>
      <c r="NK109" s="152">
        <f>IF(OR($NA109=0,$MW109=""),0,IF(COUNTIF(INDEX($ED$2:$EH$13,$LY109,0),$MW109)=0,1,0))</f>
        <v/>
      </c>
      <c r="NL109" s="152">
        <f>IF(OR($NB109=0,$MX109=""),0,IF(COUNTIF(INDEX($ED$2:$EH$13,$LY109,0),$MX109)=0,1,0))</f>
        <v/>
      </c>
      <c r="NM109" s="152">
        <f>IFERROR(VLOOKUP($MH109,$AV$2:$AZ$84,4,FALSE),0)+IFERROR(VLOOKUP($MI109,$AV$2:$AZ$84,4,FALSE),0)+IFERROR(VLOOKUP($MJ109,$AV$2:$AZ$84,4,FALSE),0)+IFERROR(VLOOKUP($MK109,$AV$2:$AZ$84,4,FALSE),0)</f>
        <v/>
      </c>
      <c r="NN109" s="152">
        <f>TEXTJOIN(", ",TRUE,IF(IFERROR(VLOOKUP($MH109,$AV$2:$AZ$84,5,FALSE),0)=1,$MH109,""),IF(IFERROR(VLOOKUP($MI109,$AV$2:$AZ$84,5,FALSE),0)=1,$MI109,""),IF(IFERROR(VLOOKUP($MJ109,$AV$2:$AZ$84,5,FALSE),0)=1,$MJ109,""),IF(IFERROR(VLOOKUP($MK109,$AV$2:$AZ$84,5,FALSE),0)=1,$MK109,""))</f>
        <v/>
      </c>
      <c r="NO109" s="152">
        <f>IF($MT109=0,0,INDEX($Y$2:$Y$11,$MT109))</f>
        <v/>
      </c>
      <c r="NP109" s="152">
        <f>IF($MT109=0,0,INDEX($Z$2:$Z$11,$MT109))</f>
        <v/>
      </c>
      <c r="NQ109" s="152">
        <f>IF($MT109=0,0,INDEX($AB$2:$AB$11,$MT109))</f>
        <v/>
      </c>
      <c r="NR109" s="152">
        <f>IFERROR(VLOOKUP($ML109,$BB$2:$BF$24,3,FALSE),0)</f>
        <v/>
      </c>
      <c r="NS109" s="152">
        <f>IFERROR(VLOOKUP($MM109,$BB$2:$BF$24,3,FALSE),0)</f>
        <v/>
      </c>
      <c r="NT109" s="152">
        <f>IFERROR(VLOOKUP($ML109,$BB$2:$BF$24,2,FALSE),"")</f>
        <v/>
      </c>
      <c r="NU109" s="152">
        <f>IFERROR(VLOOKUP($MM109,$BB$2:$BF$24,2,FALSE),"")</f>
        <v/>
      </c>
      <c r="NV109" s="152">
        <f>COUNTIF($NC109:$NG109,1)</f>
        <v/>
      </c>
      <c r="NW109" s="152">
        <f>COUNTIF($NC109:$NG109,2)</f>
        <v/>
      </c>
      <c r="NX109" s="152">
        <f>COUNTIF($NC109:$NG109,3)</f>
        <v/>
      </c>
      <c r="NY109" s="152">
        <f>COUNTIF($NC109:$NG109,4)</f>
        <v/>
      </c>
      <c r="NZ109" s="152">
        <f>COUNTIF($NC109:$NG109,5)</f>
        <v/>
      </c>
      <c r="OA109" s="152">
        <f>COUNTIF($NC109:$NG109,6)</f>
        <v/>
      </c>
      <c r="OB109" s="152">
        <f>COUNTIF($NR109:$NS109,1)</f>
        <v/>
      </c>
      <c r="OC109" s="152">
        <f>COUNTIF($NR109:$NS109,2)+$NO109</f>
        <v/>
      </c>
      <c r="OD109" s="152">
        <f>COUNTIF($MH109:$MK109,"?*")</f>
        <v/>
      </c>
      <c r="OE109" s="152">
        <f>COUNTIF($ML109:$MM109,"?*")+$NO109</f>
        <v/>
      </c>
      <c r="OF109" s="152">
        <f>IF($MC109=0,0,SUMPRODUCT($NV109:$OA109,INDEX($I$2:$N$8,MAX(1,$MC109),0)))</f>
        <v/>
      </c>
      <c r="OG109" s="152">
        <f>IF($MC109=0,0,$OB109*CEILING($MC109/2,1)+$OC109*$MC109)</f>
        <v/>
      </c>
      <c r="OH109" s="152">
        <f>MIN(2*$MC109,$OG109)</f>
        <v/>
      </c>
      <c r="OI109" s="152">
        <f>MIN($OH109,$OF109)</f>
        <v/>
      </c>
      <c r="OJ109" s="152">
        <f>$OH109-$OI109</f>
        <v/>
      </c>
      <c r="OK109" s="152">
        <f>IF($MC109=0,0,INDEX($P$2:$P$8,MAX(1,$MC109)))</f>
        <v/>
      </c>
      <c r="OL109" s="152">
        <f>$OK109-$OF109+$OI109</f>
        <v/>
      </c>
      <c r="OM109" s="152">
        <f>IF($MC109=0,MAX(0,$MQ109-IF($OD109&gt;0,1,0)),MAX(0,$OL109))</f>
        <v/>
      </c>
      <c r="ON109" s="152">
        <f>IF($MC109=0,0,(IF(COUNTIF($MH109:$MK109,"Salto")&gt;0,1,0)+IF(COUNTIF($MH109:$MK109,"Queima")&gt;0,1,0)+IF(COUNTIF($MH109:$MK109,"Estilhaço")&gt;0,1,0))*FLOOR($OM109/2,1))</f>
        <v/>
      </c>
      <c r="OO109" s="152">
        <f>MAX(0,2-SUMPRODUCT($NV109:$OA109,$I$2:$N$2)+MIN(2,$OB109*1+$OC109*1,SUMPRODUCT($NV109:$OA109,$I$2:$N$2)))</f>
        <v/>
      </c>
      <c r="OP109" s="152">
        <f>MAX(0,4-SUMPRODUCT($NV109:$OA109,$I$3:$N$3)+MIN(4,$OB109*1+$OC109*2,SUMPRODUCT($NV109:$OA109,$I$3:$N$3)))</f>
        <v/>
      </c>
      <c r="OQ109" s="152">
        <f>MAX(0,6-SUMPRODUCT($NV109:$OA109,$I$4:$N$4)+MIN(6,$OB109*2+$OC109*3,SUMPRODUCT($NV109:$OA109,$I$4:$N$4)))</f>
        <v/>
      </c>
      <c r="OR109" s="152">
        <f>MAX(0,9-SUMPRODUCT($NV109:$OA109,$I$5:$N$5)+MIN(8,$OB109*2+$OC109*4,SUMPRODUCT($NV109:$OA109,$I$5:$N$5)))</f>
        <v/>
      </c>
      <c r="OS109" s="152">
        <f>MAX(0,11-SUMPRODUCT($NV109:$OA109,$I$6:$N$6)+MIN(10,$OB109*3+$OC109*5,SUMPRODUCT($NV109:$OA109,$I$6:$N$6)))</f>
        <v/>
      </c>
      <c r="OT109" s="152">
        <f>MAX(0,13-SUMPRODUCT($NV109:$OA109,$I$7:$N$7)+MIN(12,$OB109*3+$OC109*6,SUMPRODUCT($NV109:$OA109,$I$7:$N$7)))</f>
        <v/>
      </c>
      <c r="OU109" s="152">
        <f>MAX(0,16-SUMPRODUCT($NV109:$OA109,$I$8:$N$8)+MIN(14,$OB109*4+$OC109*7,SUMPRODUCT($NV109:$OA109,$I$8:$N$8)))</f>
        <v/>
      </c>
      <c r="OV109" s="152">
        <f>IF($NP109=2,3*$OO109&amp;" de vida temp.",IF($NP109=3,"sem dano",IF($OO109=0,IF($NP109=1,"sem cura","sem dano"),IF($NP109=1,"cura ","")&amp;$OO109&amp;"d8")))</f>
        <v/>
      </c>
      <c r="OW109" s="152">
        <f>IF($NP109=2,3*$OP109&amp;" de vida temp.",IF($NP109=3,"sem dano",IF($OP109=0,IF($NP109=1,"sem cura","sem dano"),IF($NP109=1,"cura ","")&amp;$OP109&amp;"d8")))</f>
        <v/>
      </c>
      <c r="OX109" s="152">
        <f>IF($NP109=2,3*$OQ109&amp;" de vida temp.",IF($NP109=3,"sem dano",IF($OQ109=0,IF($NP109=1,"sem cura","sem dano"),IF($NP109=1,"cura ","")&amp;$OQ109&amp;"d8")))</f>
        <v/>
      </c>
      <c r="OY109" s="152">
        <f>IF($NP109=2,3*$OR109&amp;" de vida temp.",IF($NP109=3,"sem dano",IF($OR109=0,IF($NP109=1,"sem cura","sem dano"),IF($NP109=1,"cura ","")&amp;$OR109&amp;"d8")))</f>
        <v/>
      </c>
      <c r="OZ109" s="152">
        <f>IF($NP109=2,3*$OS109&amp;" de vida temp.",IF($NP109=3,"sem dano",IF($OS109=0,IF($NP109=1,"sem cura","sem dano"),IF($NP109=1,"cura ","")&amp;$OS109&amp;"d8")))</f>
        <v/>
      </c>
      <c r="PA109" s="152">
        <f>IF($NP109=2,3*$OT109&amp;" de vida temp.",IF($NP109=3,"sem dano",IF($OT109=0,IF($NP109=1,"sem cura","sem dano"),IF($NP109=1,"cura ","")&amp;$OT109&amp;"d8")))</f>
        <v/>
      </c>
      <c r="PB109" s="152">
        <f>IF($NP109=2,3*$OU109&amp;" de vida temp.",IF($NP109=3,"sem dano",IF($OU109=0,IF($NP109=1,"sem cura","sem dano"),IF($NP109=1,"cura ","")&amp;$OU109&amp;"d8")))</f>
        <v/>
      </c>
      <c r="PC109" s="152">
        <f>IF($MN109=0,"",TEXTJOIN(" · ",TRUE,IF($MA109&gt;$MO109,"Este lugar abre no nível "&amp;$MA109,""),IF($MC109&gt;$MP109,"Classe "&amp;$MC109&amp;": o nível "&amp;$MO109&amp;" libera até a "&amp;$MP109,""),IF($NH109=1,"A Forma "&amp;$ME109&amp;" pede "&amp;INDEX($W$2:$W$11,$MT109)&amp;" aberta",""),IF(AND($MC109=0,$MT109&gt;0,IF($MT109=0,0,INDEX($AF$2:$AF$11,$MT109))=0),$ME109&amp;" não existe na Classe 0",""),IF($NI109=1,"Família Fechada: "&amp;$MH109,""),IF($NJ109=1,"Família Fechada: "&amp;$MI109,""),IF($NK109=1,"Família Fechada: "&amp;$MJ109,""),IF($NL109=1,"Família Fechada: "&amp;$MK109,""),IF(AND($MC109&gt;0,$OD109&gt;INDEX($O$2:$O$8,MAX(1,$MC109))),$OD109&amp;" Melhorias: a Classe "&amp;$MC109&amp;" aceita "&amp;INDEX($O$2:$O$8,MAX(1,$MC109)),""),IF(AND($MC109=0,$OD109&gt;1),"A básica aceita uma Melhoria",""),IF(AND($MC109=0,COUNTIF($MY109:$NB109,"&gt;1")&gt;0),"A básica só aceita Melhoria Leve",""),IF(AND($MC109&gt;0,$OE109&gt;2),$OE109&amp;" Restrições"&amp;IF($NO109=1,", contando a que a Forma "&amp;$ME109&amp;" já traz","")&amp;": o limite é 2",""),IF(AND($MC109=0,COUNTIF($ML109:$MM109,"?*")&gt;1),"A básica aceita uma Restrição Leve",""),IF(AND($MC109=0,COUNTIF($NR109:$NS109,2)&gt;0),"A básica só aceita Restrição Leve",""),IF(AND($MC109&gt;0,$OL109&lt;0),"Orçamento estourado: faltam "&amp;(-$OL109)&amp;IF($OL109&lt;-1," pontos"," ponto"),""),IF(IFERROR(VLOOKUP($ML109,$BB$2:$BF$24,4,FALSE),0)+IFERROR(VLOOKUP($MM109,$BB$2:$BF$24,4,FALSE),0)&gt;1,$NT109&amp;" e "&amp;$NU109&amp;" são as duas de frequência",""),IF(AND((COUNTIF($MH109:$MK109,"Rápido")+COUNTIF($NT109:$NU109,"Rápido"))&gt;0,(COUNTIF($MH109:$MK109,"Atrasar")+COUNTIF($NT109:$NU109,"Atrasar"))&gt;0),"Rápido não entra com Atrasar",""),IF(AND((COUNTIF($MH109:$MK109,"Reação")+COUNTIF($NT109:$NU109,"Reação"))&gt;0,(COUNTIF($MH109:$MK109,"Rápido")+COUNTIF($NT109:$NU109,"Rápido"))&gt;0),"Reação não entra com Rápido",""),IF(AND((COUNTIF($MH109:$MK109,"Reação")+COUNTIF($NT109:$NU109,"Reação"))&gt;0,(COUNTIF($MH109:$MK109,"Armado")+COUNTIF($NT109:$NU109,"Armado"))&gt;0),"Reação não entra com Armado",""),IF(AND((COUNTIF($MH109:$MK109,"Reação")+COUNTIF($NT109:$NU109,"Reação"))&gt;0,(COUNTIF($MH109:$MK109,"Atrasar")+COUNTIF($NT109:$NU109,"Atrasar"))&gt;0),"Reação não entra com Atrasar",""),IF(AND((COUNTIF($MH109:$MK109,"Reação")+COUNTIF($NT109:$NU109,"Reação"))&gt;0,(COUNTIF($MH109:$MK109,"Parado")+COUNTIF($NT109:$NU109,"Parado"))&gt;0),"Reação não entra com Parado",""),IF(AND((COUNTIF($MH109:$MK109,"Atrasar")+COUNTIF($NT109:$NU109,"Atrasar"))&gt;0,(COUNTIF($MH109:$MK109,"Parado")+COUNTIF($NT109:$NU109,"Parado"))&gt;0),"Atrasar não entra com Parado",""),IF(AND((COUNTIF($MH109:$MK109,"Armado")+COUNTIF($NT109:$NU109,"Armado"))&gt;0,(COUNTIF($MH109:$MK109,"Carregar")+COUNTIF($NT109:$NU109,"Carregar"))&gt;0),"Armado não entra com Carregar",""),IF(AND(COUNTIF($NT109:$NU109,"Corpo a Corpo")&gt;0,$NO109=0,OR($ME109="Cone",$ME109="Linha")),"Corpo a Corpo não entra em "&amp;$ME109,""),IF(AND(COUNTIF($NT109:$NU109,"Corpo a Corpo")&gt;0,$NO109=1),"A Forma "&amp;$ME109&amp;" já traz o Corpo a Corpo",""),IF(AND(COUNTIF($NT109:$NU109,"Tudo ou Nada")&gt;0,$NQ109=0),"Tudo ou Nada só entra em habilidade de Teste de Resistência",""),IF(AND(COUNTIF($MH109:$MK109,"Inescapável")&gt;0,OR($OD109&gt;1,$OE109&gt;0)),"Inescapável não aceita outra peça",""),IF(AND($MC109&gt;0,$OM109*IF(COUNTIF($MH109:$MK109,"Remate")&gt;0,1.25,1)+$ON109&gt;4*$MC109),($OM109*IF(COUNTIF($MH109:$MK109,"Remate")&gt;0,1.25,1)+$ON109)&amp;" dados somando repetições"&amp;IF(COUNTIF($MH109:$MK109,"Remate")&gt;0," e o Remate","")&amp;": o teto da Classe "&amp;$MC109&amp;" é "&amp;4*$MC109,"")))</f>
        <v/>
      </c>
      <c r="PD109" s="152">
        <f>IF($PC109="",0,(LEN($PC109)-LEN(SUBSTITUTE($PC109," · ","")))/3+1)</f>
        <v/>
      </c>
      <c r="PE109" s="152">
        <f>IF($MN109=0,"",TEXTJOIN(" · ",TRUE,IF($OG109&gt;2*$MC109,"A devolução parou no teto de "&amp;2*$MC109,""),IF($OJ109&gt;0,"Devolução perdida: "&amp;$OJ109&amp;IF($OJ109&gt;1," pontos"," ponto")&amp;" sem peça para pagar",""),IF(AND($NM109&gt;0,AND($MC109&gt;0,$NP109=0),$OM109=0),"Controle sem dano: uma rodada a mais e CD +2",""),IF(AND($NM109&gt;0,AND($MC109&gt;0,$NP109=0),$OM109&gt;0,$OM109&lt;=$MC109),"Controle com saldo até a Classe: uma rodada a mais",""),IF(AND($MC109&gt;0,$NN109&lt;&gt;""),"Efeito de "&amp;$NN109&amp;" pela Classe "&amp;MAX(1,$MC109-1),"")))</f>
        <v/>
      </c>
      <c r="PF109" s="152">
        <f>IF($PE109="",0,(LEN($PE109)-LEN(SUBSTITUTE($PE109," · ","")))/3+1)</f>
        <v/>
      </c>
      <c r="PG109" s="152">
        <f>IF($MN109=0,IF($OD109+COUNTIF($ML109:$MM109,"?*")&gt;0,"Dê um nome",""),IF($PD109&gt;0,"⚠ "&amp;$PD109&amp;IF($PD109&gt;1," erros"," erro"),IF($PF109&gt;0,"! "&amp;$PF109&amp;IF($PF109&gt;1," avisos"," aviso"),"Na regra")))</f>
        <v/>
      </c>
      <c r="PH109" s="152">
        <f>IF($MN109=0,"",IF($PD109+$PF109=0,"Dentro das regras que a ficha confere",$PC109&amp;IF(AND($PD109&gt;0,$PF109&gt;0)," · ","")&amp;$PE109))</f>
        <v/>
      </c>
      <c r="PI109" s="152">
        <f>IF($MA109&gt;$MO109,$MB109&amp;" · ABRE NO NÍVEL "&amp;$MA109,$MB109)</f>
        <v/>
      </c>
      <c r="PJ109" s="152">
        <f>IF($MN109=0,"",IF($MC109=0,"Sem PE",3*$MC109&amp;" PE"))</f>
        <v/>
      </c>
      <c r="PK109" s="152">
        <f>IF($MN109=0,"",IF($MC109=0,"A atuação básica dela",IF(COUNTIF($NT109:$NU109,"Atrasar")&gt;0,"Sua Ação Completa",IF(COUNTIF($MH109:$MK109,"Rápido")&gt;0,"Sua Bônus",IF(COUNTIF($MH109:$MK109,"Reação")&gt;0,"Sua Reação","Sua Padrão")))&amp;" + a básica dela"&amp;IF(COUNTIF($MH109:$MK109,"Reação")&gt;0," e a coletiva","")&amp;IF(COUNTIF($NT109:$NU109,"Carregar")&gt;0," · em dois turnos","")))</f>
        <v/>
      </c>
      <c r="PL109" s="152">
        <f>IF($MG109&lt;&gt;"",$MG109,IF($MT109=0,"",INDEX($AA$2:$AA$11,$MT109)))</f>
        <v/>
      </c>
      <c r="PM109" s="152">
        <f>IF(OR($MN109=0,$MT109=0),"",IF(COUNTIF($MH109:$MK109,"Inescapável")&gt;0,"Automático",IF($PL109="Ataque",IF($MR109="","Ataque","Ataque "&amp;IF(($MR109+2*IF(COUNTIF($MH109:$MK109,"Precisão")&gt;0,1,0))&gt;=0,"+","−")&amp;ABS(($MR109+2*IF(COUNTIF($MH109:$MK109,"Precisão")&gt;0,1,0)))),IF(LEFT($PL109,2)="TR",$PL109&amp;IF($MS109="",""," · CD "&amp;$MS109)&amp;IF(COUNTIF($MH109:$MK109,"Certeiro")&gt;0," · metade",""),"Sem rolagem"))))</f>
        <v/>
      </c>
      <c r="PN109" s="152">
        <f>IF(OR($MN109=0,$MT109=0),"",IF($MC109=0,IF(OR($NP109&gt;=1,$OM109=0),"Sem dano",$OM109&amp;"d6"&amp;IF($MF109="",""," "&amp;$MF109)),IF(OR($NP109&gt;=1,$OM109=0),UPPER(LEFT(INDEX($OV109:$PB109,1,MAX(1,$MC109)),1))&amp;MID(INDEX($OV109:$PB109,1,MAX(1,$MC109)),2,99),UPPER(LEFT(INDEX($OV109:$PB109,1,MAX(1,$MC109)),1))&amp;MID(INDEX($OV109:$PB109,1,MAX(1,$MC109)),2,99)&amp;IF($MF109="",""," "&amp;$MF109)&amp;IF($ON109&gt;0," · +"&amp;$ON109&amp;"d8",""))))</f>
        <v/>
      </c>
      <c r="PO109" s="152">
        <f>COUNTIF($MH109:$MK109,"Longe")+3*COUNTIF($MH109:$MK109,"Muito Longe")</f>
        <v/>
      </c>
      <c r="PP109" s="152">
        <f>COUNTIF($MH109:$MK109,"Maior")+3*COUNTIF($MH109:$MK109,"Muito Maior")</f>
        <v/>
      </c>
      <c r="PQ109" s="152">
        <f>IF($MT109=0,0,CHOOSE(1+INDEX($AC$2:$AC$11,$MT109),0,$PO109,$PP109,$PO109+$PP109))</f>
        <v/>
      </c>
      <c r="PR109" s="152">
        <f>IF($MT109=0,0,CHOOSE(1+INDEX($AD$2:$AD$11,$MT109),0,$PO109,$PP109,$PO109+$PP109))</f>
        <v/>
      </c>
      <c r="PS109" s="152">
        <f>IF(OR($MN109=0,$MT109=0),"",INDEX($AI$2:$AN$41,($MT109-1)*4+IF($MC109=0,1,IF($MC109&lt;=5,2,IF($MC109=6,3,4))),1+MIN(5,$PQ109))&amp;INDEX($AO$2:$AT$41,($MT109-1)*4+IF($MC109=0,1,IF($MC109&lt;=5,2,IF($MC109=6,3,4))),1+MIN(5,$PR109))&amp;IF(INDEX($AE$2:$AE$11,$MT109)=1,IF(COUNTIF($MH109:$MK109,"Mais Um")&gt;0," · +"&amp;COUNTIF($MH109:$MK109,"Mais Um")&amp;IF(COUNTIF($MH109:$MK109,"Mais Um")&gt;1," alvos"," alvo"),"")&amp;IF(COUNTIF($MH109:$MK109,"Rajada")&gt;0,IF($MC109=0," · 1 tiro"," · "&amp;(MAX(1,$MC109-1)+1)&amp;" tiros"),""),""))</f>
        <v/>
      </c>
      <c r="PT109" s="152">
        <f>IF($MN109=0,"",IF($MC109=0,$MQ109&amp;"d6"&amp;IF($OD109&gt;0," − 1 = "&amp;$OM109&amp;"d6"," da básica do nível "&amp;$MO109),$OK109&amp;" − "&amp;$OF109&amp;" + "&amp;$OI109&amp;" = "&amp;$OL109&amp;" · teto "&amp;4*$MC109&amp;"d8"&amp;IF($NO109=1," · a Forma devolve "&amp;$MC109,"")&amp;IF($OJ109&gt;0," · perde "&amp;$OJ109,"")))</f>
        <v/>
      </c>
      <c r="PU109" s="152">
        <f>IF($MN109=0,"",IF($MC109=0,"A básica não amplia: os dados dela sobem com o nível",IF($MC109&gt;=$MP109,"Já está na maior Classe que o nível liberou",TEXTJOIN(" · ",TRUE,IF(AND(2&gt;$MC109,2&lt;=$MP109),"2 → "&amp;$OW109&amp;", 6 PE",""),IF(AND(3&gt;$MC109,3&lt;=$MP109),"3 → "&amp;$OX109&amp;", 9 PE",""),IF(AND(4&gt;$MC109,4&lt;=$MP109),"4 → "&amp;$OY109&amp;", 12 PE",""),IF(AND(5&gt;$MC109,5&lt;=$MP109),"5 → "&amp;$OZ109&amp;", 15 PE",""),IF(AND(6&gt;$MC109,6&lt;=$MP109),"6 → "&amp;$PA109&amp;", 18 PE",""),IF(AND(7&gt;$MC109,7&lt;=$MP109),"7 → "&amp;$PB109&amp;", 21 PE","")))))</f>
        <v/>
      </c>
      <c r="PV109" s="152">
        <f>IF(OR($MN109=0,$MY109=0),"",IF($MC109=0,"−1 dado","−"&amp;INDEX($I$2:$N$8,MAX(1,$MC109),MAX(1,$ND109))&amp;" · "&amp;CHOOSE(MAX(1,$ND109),"Leve","Média","Pesada","Leve · Livre","Média · Livre","Pesada · Livre")))</f>
        <v/>
      </c>
      <c r="PW109" s="152">
        <f>IF(OR($MN109=0,$MZ109=0),"",IF($MC109=0,"−1 dado","−"&amp;INDEX($I$2:$N$8,MAX(1,$MC109),MAX(1,$NE109))&amp;" · "&amp;CHOOSE(MAX(1,$NE109),"Leve","Média","Pesada","Leve · Livre","Média · Livre","Pesada · Livre")))</f>
        <v/>
      </c>
      <c r="PX109" s="152">
        <f>IF(OR($MN109=0,$NA109=0),"",IF($MC109=0,"−1 dado","−"&amp;INDEX($I$2:$N$8,MAX(1,$MC109),MAX(1,$NF109))&amp;" · "&amp;CHOOSE(MAX(1,$NF109),"Leve","Média","Pesada","Leve · Livre","Média · Livre","Pesada · Livre")))</f>
        <v/>
      </c>
      <c r="PY109" s="152">
        <f>IF(OR($MN109=0,$NB109=0),"",IF($MC109=0,"−1 dado","−"&amp;INDEX($I$2:$N$8,MAX(1,$MC109),MAX(1,$NG109))&amp;" · "&amp;CHOOSE(MAX(1,$NG109),"Leve","Média","Pesada","Leve · Livre","Média · Livre","Pesada · Livre")))</f>
        <v/>
      </c>
      <c r="PZ109" s="152">
        <f>IF(OR($MN109=0,$ML109=""),"",IF($MC109=0,"não devolve","+"&amp;IF($NR109=1,CEILING($MC109/2,1),$MC109)))</f>
        <v/>
      </c>
      <c r="QA109" s="152">
        <f>IF(OR($MN109=0,$MM109=""),"",IF($MC109=0,"não devolve","+"&amp;IF($NS109=1,CEILING($MC109/2,1),$MC109)))</f>
        <v/>
      </c>
    </row>
    <row r="110">
      <c r="LX110" s="150" t="inlineStr">
        <is>
          <t>Ficha 9 · Especial 3</t>
        </is>
      </c>
      <c r="LY110" s="152" t="n">
        <v>9</v>
      </c>
      <c r="LZ110" s="152" t="n">
        <v>1</v>
      </c>
      <c r="MA110" s="152" t="n">
        <v>8</v>
      </c>
      <c r="MB110" s="150" t="inlineStr">
        <is>
          <t>ESPECIAL 3</t>
        </is>
      </c>
      <c r="MC110" s="152">
        <f>MAX(1,MIN(7,N('INVOCAÇÕES'!$AH$488)))</f>
        <v/>
      </c>
      <c r="MD110" s="152">
        <f>'INVOCAÇÕES'!$AI$488&amp;""</f>
        <v/>
      </c>
      <c r="ME110" s="152">
        <f>'INVOCAÇÕES'!$AH$493&amp;""</f>
        <v/>
      </c>
      <c r="MF110" s="152">
        <f>'INVOCAÇÕES'!$AH$494&amp;""</f>
        <v/>
      </c>
      <c r="MG110" s="152">
        <f>'INVOCAÇÕES'!$AJ$494&amp;""</f>
        <v/>
      </c>
      <c r="MH110" s="152">
        <f>'INVOCAÇÕES'!$AI$497&amp;""</f>
        <v/>
      </c>
      <c r="MI110" s="152">
        <f>'INVOCAÇÕES'!$AI$498&amp;""</f>
        <v/>
      </c>
      <c r="MJ110" s="152">
        <f>'INVOCAÇÕES'!$AI$499&amp;""</f>
        <v/>
      </c>
      <c r="MK110" s="152">
        <f>'INVOCAÇÕES'!$AI$500&amp;""</f>
        <v/>
      </c>
      <c r="ML110" s="152">
        <f>'INVOCAÇÕES'!$AI$501&amp;""</f>
        <v/>
      </c>
      <c r="MM110" s="152">
        <f>'INVOCAÇÕES'!$AI$502&amp;""</f>
        <v/>
      </c>
      <c r="MN110" s="152">
        <f>IF($MD110&lt;&gt;"",1,0)</f>
        <v/>
      </c>
      <c r="MO110" s="152">
        <f>INDEX($FG$2:$FG$13,$LY110)</f>
        <v/>
      </c>
      <c r="MP110" s="152">
        <f>INDEX($FH$2:$FH$13,$LY110)</f>
        <v/>
      </c>
      <c r="MQ110" s="152">
        <f>INDEX($FI$2:$FI$13,$LY110)</f>
        <v/>
      </c>
      <c r="MR110" s="152">
        <f>INDEX($FT$2:$FT$13,$LY110)</f>
        <v/>
      </c>
      <c r="MS110" s="152">
        <f>INDEX($FU$2:$FU$13,$LY110)</f>
        <v/>
      </c>
      <c r="MT110" s="152">
        <f>IFERROR(MATCH($ME110,$V$2:$V$11,0),0)</f>
        <v/>
      </c>
      <c r="MU110" s="152">
        <f>IFERROR(VLOOKUP($MH110,$AV$2:$AZ$84,2,FALSE),"")</f>
        <v/>
      </c>
      <c r="MV110" s="152">
        <f>IFERROR(VLOOKUP($MI110,$AV$2:$AZ$84,2,FALSE),"")</f>
        <v/>
      </c>
      <c r="MW110" s="152">
        <f>IFERROR(VLOOKUP($MJ110,$AV$2:$AZ$84,2,FALSE),"")</f>
        <v/>
      </c>
      <c r="MX110" s="152">
        <f>IFERROR(VLOOKUP($MK110,$AV$2:$AZ$84,2,FALSE),"")</f>
        <v/>
      </c>
      <c r="MY110" s="152">
        <f>IFERROR(VLOOKUP($MH110,$AV$2:$AZ$84,3,FALSE),0)</f>
        <v/>
      </c>
      <c r="MZ110" s="152">
        <f>IFERROR(VLOOKUP($MI110,$AV$2:$AZ$84,3,FALSE),0)</f>
        <v/>
      </c>
      <c r="NA110" s="152">
        <f>IFERROR(VLOOKUP($MJ110,$AV$2:$AZ$84,3,FALSE),0)</f>
        <v/>
      </c>
      <c r="NB110" s="152">
        <f>IFERROR(VLOOKUP($MK110,$AV$2:$AZ$84,3,FALSE),0)</f>
        <v/>
      </c>
      <c r="NC110" s="152">
        <f>IF($MC110=0,0,IF($MT110=0,0,INDEX($X$2:$X$11,$MT110)))</f>
        <v/>
      </c>
      <c r="ND110" s="152">
        <f>IF(OR($MY110=0,$MC110=0),0,$MY110+3*IF(AND($MU110&lt;&gt;"",OR($MU110=INDEX($ED$2:$ED$13,$LY110),$MU110=INDEX($EE$2:$EE$13,$LY110))),1,0))</f>
        <v/>
      </c>
      <c r="NE110" s="152">
        <f>IF(OR($MZ110=0,$MC110=0),0,$MZ110+3*IF(AND($MV110&lt;&gt;"",OR($MV110=INDEX($ED$2:$ED$13,$LY110),$MV110=INDEX($EE$2:$EE$13,$LY110))),1,0))</f>
        <v/>
      </c>
      <c r="NF110" s="152">
        <f>IF(OR($NA110=0,$MC110=0),0,$NA110+3*IF(AND($MW110&lt;&gt;"",OR($MW110=INDEX($ED$2:$ED$13,$LY110),$MW110=INDEX($EE$2:$EE$13,$LY110))),1,0))</f>
        <v/>
      </c>
      <c r="NG110" s="152">
        <f>IF(OR($NB110=0,$MC110=0),0,$NB110+3*IF(AND($MX110&lt;&gt;"",OR($MX110=INDEX($ED$2:$ED$13,$LY110),$MX110=INDEX($EE$2:$EE$13,$LY110))),1,0))</f>
        <v/>
      </c>
      <c r="NH110" s="152">
        <f>IF($MT110=0,0,IF(INDEX($W$2:$W$11,$MT110)="",0,IF(COUNTIF(INDEX($ED$2:$EH$13,$LY110,0),INDEX($W$2:$W$11,$MT110))=0,1,0)))</f>
        <v/>
      </c>
      <c r="NI110" s="152">
        <f>IF(OR($MY110=0,$MU110=""),0,IF(COUNTIF(INDEX($ED$2:$EH$13,$LY110,0),$MU110)=0,1,0))</f>
        <v/>
      </c>
      <c r="NJ110" s="152">
        <f>IF(OR($MZ110=0,$MV110=""),0,IF(COUNTIF(INDEX($ED$2:$EH$13,$LY110,0),$MV110)=0,1,0))</f>
        <v/>
      </c>
      <c r="NK110" s="152">
        <f>IF(OR($NA110=0,$MW110=""),0,IF(COUNTIF(INDEX($ED$2:$EH$13,$LY110,0),$MW110)=0,1,0))</f>
        <v/>
      </c>
      <c r="NL110" s="152">
        <f>IF(OR($NB110=0,$MX110=""),0,IF(COUNTIF(INDEX($ED$2:$EH$13,$LY110,0),$MX110)=0,1,0))</f>
        <v/>
      </c>
      <c r="NM110" s="152">
        <f>IFERROR(VLOOKUP($MH110,$AV$2:$AZ$84,4,FALSE),0)+IFERROR(VLOOKUP($MI110,$AV$2:$AZ$84,4,FALSE),0)+IFERROR(VLOOKUP($MJ110,$AV$2:$AZ$84,4,FALSE),0)+IFERROR(VLOOKUP($MK110,$AV$2:$AZ$84,4,FALSE),0)</f>
        <v/>
      </c>
      <c r="NN110" s="152">
        <f>TEXTJOIN(", ",TRUE,IF(IFERROR(VLOOKUP($MH110,$AV$2:$AZ$84,5,FALSE),0)=1,$MH110,""),IF(IFERROR(VLOOKUP($MI110,$AV$2:$AZ$84,5,FALSE),0)=1,$MI110,""),IF(IFERROR(VLOOKUP($MJ110,$AV$2:$AZ$84,5,FALSE),0)=1,$MJ110,""),IF(IFERROR(VLOOKUP($MK110,$AV$2:$AZ$84,5,FALSE),0)=1,$MK110,""))</f>
        <v/>
      </c>
      <c r="NO110" s="152">
        <f>IF($MT110=0,0,INDEX($Y$2:$Y$11,$MT110))</f>
        <v/>
      </c>
      <c r="NP110" s="152">
        <f>IF($MT110=0,0,INDEX($Z$2:$Z$11,$MT110))</f>
        <v/>
      </c>
      <c r="NQ110" s="152">
        <f>IF($MT110=0,0,INDEX($AB$2:$AB$11,$MT110))</f>
        <v/>
      </c>
      <c r="NR110" s="152">
        <f>IFERROR(VLOOKUP($ML110,$BB$2:$BF$24,3,FALSE),0)</f>
        <v/>
      </c>
      <c r="NS110" s="152">
        <f>IFERROR(VLOOKUP($MM110,$BB$2:$BF$24,3,FALSE),0)</f>
        <v/>
      </c>
      <c r="NT110" s="152">
        <f>IFERROR(VLOOKUP($ML110,$BB$2:$BF$24,2,FALSE),"")</f>
        <v/>
      </c>
      <c r="NU110" s="152">
        <f>IFERROR(VLOOKUP($MM110,$BB$2:$BF$24,2,FALSE),"")</f>
        <v/>
      </c>
      <c r="NV110" s="152">
        <f>COUNTIF($NC110:$NG110,1)</f>
        <v/>
      </c>
      <c r="NW110" s="152">
        <f>COUNTIF($NC110:$NG110,2)</f>
        <v/>
      </c>
      <c r="NX110" s="152">
        <f>COUNTIF($NC110:$NG110,3)</f>
        <v/>
      </c>
      <c r="NY110" s="152">
        <f>COUNTIF($NC110:$NG110,4)</f>
        <v/>
      </c>
      <c r="NZ110" s="152">
        <f>COUNTIF($NC110:$NG110,5)</f>
        <v/>
      </c>
      <c r="OA110" s="152">
        <f>COUNTIF($NC110:$NG110,6)</f>
        <v/>
      </c>
      <c r="OB110" s="152">
        <f>COUNTIF($NR110:$NS110,1)</f>
        <v/>
      </c>
      <c r="OC110" s="152">
        <f>COUNTIF($NR110:$NS110,2)+$NO110</f>
        <v/>
      </c>
      <c r="OD110" s="152">
        <f>COUNTIF($MH110:$MK110,"?*")</f>
        <v/>
      </c>
      <c r="OE110" s="152">
        <f>COUNTIF($ML110:$MM110,"?*")+$NO110</f>
        <v/>
      </c>
      <c r="OF110" s="152">
        <f>IF($MC110=0,0,SUMPRODUCT($NV110:$OA110,INDEX($I$2:$N$8,MAX(1,$MC110),0)))</f>
        <v/>
      </c>
      <c r="OG110" s="152">
        <f>IF($MC110=0,0,$OB110*CEILING($MC110/2,1)+$OC110*$MC110)</f>
        <v/>
      </c>
      <c r="OH110" s="152">
        <f>MIN(2*$MC110,$OG110)</f>
        <v/>
      </c>
      <c r="OI110" s="152">
        <f>MIN($OH110,$OF110)</f>
        <v/>
      </c>
      <c r="OJ110" s="152">
        <f>$OH110-$OI110</f>
        <v/>
      </c>
      <c r="OK110" s="152">
        <f>IF($MC110=0,0,INDEX($P$2:$P$8,MAX(1,$MC110)))</f>
        <v/>
      </c>
      <c r="OL110" s="152">
        <f>$OK110-$OF110+$OI110</f>
        <v/>
      </c>
      <c r="OM110" s="152">
        <f>IF($MC110=0,MAX(0,$MQ110-IF($OD110&gt;0,1,0)),MAX(0,$OL110))</f>
        <v/>
      </c>
      <c r="ON110" s="152">
        <f>IF($MC110=0,0,(IF(COUNTIF($MH110:$MK110,"Salto")&gt;0,1,0)+IF(COUNTIF($MH110:$MK110,"Queima")&gt;0,1,0)+IF(COUNTIF($MH110:$MK110,"Estilhaço")&gt;0,1,0))*FLOOR($OM110/2,1))</f>
        <v/>
      </c>
      <c r="OO110" s="152">
        <f>MAX(0,2-SUMPRODUCT($NV110:$OA110,$I$2:$N$2)+MIN(2,$OB110*1+$OC110*1,SUMPRODUCT($NV110:$OA110,$I$2:$N$2)))</f>
        <v/>
      </c>
      <c r="OP110" s="152">
        <f>MAX(0,4-SUMPRODUCT($NV110:$OA110,$I$3:$N$3)+MIN(4,$OB110*1+$OC110*2,SUMPRODUCT($NV110:$OA110,$I$3:$N$3)))</f>
        <v/>
      </c>
      <c r="OQ110" s="152">
        <f>MAX(0,6-SUMPRODUCT($NV110:$OA110,$I$4:$N$4)+MIN(6,$OB110*2+$OC110*3,SUMPRODUCT($NV110:$OA110,$I$4:$N$4)))</f>
        <v/>
      </c>
      <c r="OR110" s="152">
        <f>MAX(0,9-SUMPRODUCT($NV110:$OA110,$I$5:$N$5)+MIN(8,$OB110*2+$OC110*4,SUMPRODUCT($NV110:$OA110,$I$5:$N$5)))</f>
        <v/>
      </c>
      <c r="OS110" s="152">
        <f>MAX(0,11-SUMPRODUCT($NV110:$OA110,$I$6:$N$6)+MIN(10,$OB110*3+$OC110*5,SUMPRODUCT($NV110:$OA110,$I$6:$N$6)))</f>
        <v/>
      </c>
      <c r="OT110" s="152">
        <f>MAX(0,13-SUMPRODUCT($NV110:$OA110,$I$7:$N$7)+MIN(12,$OB110*3+$OC110*6,SUMPRODUCT($NV110:$OA110,$I$7:$N$7)))</f>
        <v/>
      </c>
      <c r="OU110" s="152">
        <f>MAX(0,16-SUMPRODUCT($NV110:$OA110,$I$8:$N$8)+MIN(14,$OB110*4+$OC110*7,SUMPRODUCT($NV110:$OA110,$I$8:$N$8)))</f>
        <v/>
      </c>
      <c r="OV110" s="152">
        <f>IF($NP110=2,3*$OO110&amp;" de vida temp.",IF($NP110=3,"sem dano",IF($OO110=0,IF($NP110=1,"sem cura","sem dano"),IF($NP110=1,"cura ","")&amp;$OO110&amp;"d8")))</f>
        <v/>
      </c>
      <c r="OW110" s="152">
        <f>IF($NP110=2,3*$OP110&amp;" de vida temp.",IF($NP110=3,"sem dano",IF($OP110=0,IF($NP110=1,"sem cura","sem dano"),IF($NP110=1,"cura ","")&amp;$OP110&amp;"d8")))</f>
        <v/>
      </c>
      <c r="OX110" s="152">
        <f>IF($NP110=2,3*$OQ110&amp;" de vida temp.",IF($NP110=3,"sem dano",IF($OQ110=0,IF($NP110=1,"sem cura","sem dano"),IF($NP110=1,"cura ","")&amp;$OQ110&amp;"d8")))</f>
        <v/>
      </c>
      <c r="OY110" s="152">
        <f>IF($NP110=2,3*$OR110&amp;" de vida temp.",IF($NP110=3,"sem dano",IF($OR110=0,IF($NP110=1,"sem cura","sem dano"),IF($NP110=1,"cura ","")&amp;$OR110&amp;"d8")))</f>
        <v/>
      </c>
      <c r="OZ110" s="152">
        <f>IF($NP110=2,3*$OS110&amp;" de vida temp.",IF($NP110=3,"sem dano",IF($OS110=0,IF($NP110=1,"sem cura","sem dano"),IF($NP110=1,"cura ","")&amp;$OS110&amp;"d8")))</f>
        <v/>
      </c>
      <c r="PA110" s="152">
        <f>IF($NP110=2,3*$OT110&amp;" de vida temp.",IF($NP110=3,"sem dano",IF($OT110=0,IF($NP110=1,"sem cura","sem dano"),IF($NP110=1,"cura ","")&amp;$OT110&amp;"d8")))</f>
        <v/>
      </c>
      <c r="PB110" s="152">
        <f>IF($NP110=2,3*$OU110&amp;" de vida temp.",IF($NP110=3,"sem dano",IF($OU110=0,IF($NP110=1,"sem cura","sem dano"),IF($NP110=1,"cura ","")&amp;$OU110&amp;"d8")))</f>
        <v/>
      </c>
      <c r="PC110" s="152">
        <f>IF($MN110=0,"",TEXTJOIN(" · ",TRUE,IF($MA110&gt;$MO110,"Este lugar abre no nível "&amp;$MA110,""),IF($MC110&gt;$MP110,"Classe "&amp;$MC110&amp;": o nível "&amp;$MO110&amp;" libera até a "&amp;$MP110,""),IF($NH110=1,"A Forma "&amp;$ME110&amp;" pede "&amp;INDEX($W$2:$W$11,$MT110)&amp;" aberta",""),IF(AND($MC110=0,$MT110&gt;0,IF($MT110=0,0,INDEX($AF$2:$AF$11,$MT110))=0),$ME110&amp;" não existe na Classe 0",""),IF($NI110=1,"Família Fechada: "&amp;$MH110,""),IF($NJ110=1,"Família Fechada: "&amp;$MI110,""),IF($NK110=1,"Família Fechada: "&amp;$MJ110,""),IF($NL110=1,"Família Fechada: "&amp;$MK110,""),IF(AND($MC110&gt;0,$OD110&gt;INDEX($O$2:$O$8,MAX(1,$MC110))),$OD110&amp;" Melhorias: a Classe "&amp;$MC110&amp;" aceita "&amp;INDEX($O$2:$O$8,MAX(1,$MC110)),""),IF(AND($MC110=0,$OD110&gt;1),"A básica aceita uma Melhoria",""),IF(AND($MC110=0,COUNTIF($MY110:$NB110,"&gt;1")&gt;0),"A básica só aceita Melhoria Leve",""),IF(AND($MC110&gt;0,$OE110&gt;2),$OE110&amp;" Restrições"&amp;IF($NO110=1,", contando a que a Forma "&amp;$ME110&amp;" já traz","")&amp;": o limite é 2",""),IF(AND($MC110=0,COUNTIF($ML110:$MM110,"?*")&gt;1),"A básica aceita uma Restrição Leve",""),IF(AND($MC110=0,COUNTIF($NR110:$NS110,2)&gt;0),"A básica só aceita Restrição Leve",""),IF(AND($MC110&gt;0,$OL110&lt;0),"Orçamento estourado: faltam "&amp;(-$OL110)&amp;IF($OL110&lt;-1," pontos"," ponto"),""),IF(IFERROR(VLOOKUP($ML110,$BB$2:$BF$24,4,FALSE),0)+IFERROR(VLOOKUP($MM110,$BB$2:$BF$24,4,FALSE),0)&gt;1,$NT110&amp;" e "&amp;$NU110&amp;" são as duas de frequência",""),IF(AND((COUNTIF($MH110:$MK110,"Rápido")+COUNTIF($NT110:$NU110,"Rápido"))&gt;0,(COUNTIF($MH110:$MK110,"Atrasar")+COUNTIF($NT110:$NU110,"Atrasar"))&gt;0),"Rápido não entra com Atrasar",""),IF(AND((COUNTIF($MH110:$MK110,"Reação")+COUNTIF($NT110:$NU110,"Reação"))&gt;0,(COUNTIF($MH110:$MK110,"Rápido")+COUNTIF($NT110:$NU110,"Rápido"))&gt;0),"Reação não entra com Rápido",""),IF(AND((COUNTIF($MH110:$MK110,"Reação")+COUNTIF($NT110:$NU110,"Reação"))&gt;0,(COUNTIF($MH110:$MK110,"Armado")+COUNTIF($NT110:$NU110,"Armado"))&gt;0),"Reação não entra com Armado",""),IF(AND((COUNTIF($MH110:$MK110,"Reação")+COUNTIF($NT110:$NU110,"Reação"))&gt;0,(COUNTIF($MH110:$MK110,"Atrasar")+COUNTIF($NT110:$NU110,"Atrasar"))&gt;0),"Reação não entra com Atrasar",""),IF(AND((COUNTIF($MH110:$MK110,"Reação")+COUNTIF($NT110:$NU110,"Reação"))&gt;0,(COUNTIF($MH110:$MK110,"Parado")+COUNTIF($NT110:$NU110,"Parado"))&gt;0),"Reação não entra com Parado",""),IF(AND((COUNTIF($MH110:$MK110,"Atrasar")+COUNTIF($NT110:$NU110,"Atrasar"))&gt;0,(COUNTIF($MH110:$MK110,"Parado")+COUNTIF($NT110:$NU110,"Parado"))&gt;0),"Atrasar não entra com Parado",""),IF(AND((COUNTIF($MH110:$MK110,"Armado")+COUNTIF($NT110:$NU110,"Armado"))&gt;0,(COUNTIF($MH110:$MK110,"Carregar")+COUNTIF($NT110:$NU110,"Carregar"))&gt;0),"Armado não entra com Carregar",""),IF(AND(COUNTIF($NT110:$NU110,"Corpo a Corpo")&gt;0,$NO110=0,OR($ME110="Cone",$ME110="Linha")),"Corpo a Corpo não entra em "&amp;$ME110,""),IF(AND(COUNTIF($NT110:$NU110,"Corpo a Corpo")&gt;0,$NO110=1),"A Forma "&amp;$ME110&amp;" já traz o Corpo a Corpo",""),IF(AND(COUNTIF($NT110:$NU110,"Tudo ou Nada")&gt;0,$NQ110=0),"Tudo ou Nada só entra em habilidade de Teste de Resistência",""),IF(AND(COUNTIF($MH110:$MK110,"Inescapável")&gt;0,OR($OD110&gt;1,$OE110&gt;0)),"Inescapável não aceita outra peça",""),IF(AND($MC110&gt;0,$OM110*IF(COUNTIF($MH110:$MK110,"Remate")&gt;0,1.25,1)+$ON110&gt;4*$MC110),($OM110*IF(COUNTIF($MH110:$MK110,"Remate")&gt;0,1.25,1)+$ON110)&amp;" dados somando repetições"&amp;IF(COUNTIF($MH110:$MK110,"Remate")&gt;0," e o Remate","")&amp;": o teto da Classe "&amp;$MC110&amp;" é "&amp;4*$MC110,"")))</f>
        <v/>
      </c>
      <c r="PD110" s="152">
        <f>IF($PC110="",0,(LEN($PC110)-LEN(SUBSTITUTE($PC110," · ","")))/3+1)</f>
        <v/>
      </c>
      <c r="PE110" s="152">
        <f>IF($MN110=0,"",TEXTJOIN(" · ",TRUE,IF($OG110&gt;2*$MC110,"A devolução parou no teto de "&amp;2*$MC110,""),IF($OJ110&gt;0,"Devolução perdida: "&amp;$OJ110&amp;IF($OJ110&gt;1," pontos"," ponto")&amp;" sem peça para pagar",""),IF(AND($NM110&gt;0,AND($MC110&gt;0,$NP110=0),$OM110=0),"Controle sem dano: uma rodada a mais e CD +2",""),IF(AND($NM110&gt;0,AND($MC110&gt;0,$NP110=0),$OM110&gt;0,$OM110&lt;=$MC110),"Controle com saldo até a Classe: uma rodada a mais",""),IF(AND($MC110&gt;0,$NN110&lt;&gt;""),"Efeito de "&amp;$NN110&amp;" pela Classe "&amp;MAX(1,$MC110-1),"")))</f>
        <v/>
      </c>
      <c r="PF110" s="152">
        <f>IF($PE110="",0,(LEN($PE110)-LEN(SUBSTITUTE($PE110," · ","")))/3+1)</f>
        <v/>
      </c>
      <c r="PG110" s="152">
        <f>IF($MN110=0,IF($OD110+COUNTIF($ML110:$MM110,"?*")&gt;0,"Dê um nome",""),IF($PD110&gt;0,"⚠ "&amp;$PD110&amp;IF($PD110&gt;1," erros"," erro"),IF($PF110&gt;0,"! "&amp;$PF110&amp;IF($PF110&gt;1," avisos"," aviso"),"Na regra")))</f>
        <v/>
      </c>
      <c r="PH110" s="152">
        <f>IF($MN110=0,"",IF($PD110+$PF110=0,"Dentro das regras que a ficha confere",$PC110&amp;IF(AND($PD110&gt;0,$PF110&gt;0)," · ","")&amp;$PE110))</f>
        <v/>
      </c>
      <c r="PI110" s="152">
        <f>IF($MA110&gt;$MO110,$MB110&amp;" · ABRE NO NÍVEL "&amp;$MA110,$MB110)</f>
        <v/>
      </c>
      <c r="PJ110" s="152">
        <f>IF($MN110=0,"",IF($MC110=0,"Sem PE",3*$MC110&amp;" PE"))</f>
        <v/>
      </c>
      <c r="PK110" s="152">
        <f>IF($MN110=0,"",IF($MC110=0,"A atuação básica dela",IF(COUNTIF($NT110:$NU110,"Atrasar")&gt;0,"Sua Ação Completa",IF(COUNTIF($MH110:$MK110,"Rápido")&gt;0,"Sua Bônus",IF(COUNTIF($MH110:$MK110,"Reação")&gt;0,"Sua Reação","Sua Padrão")))&amp;" + a básica dela"&amp;IF(COUNTIF($MH110:$MK110,"Reação")&gt;0," e a coletiva","")&amp;IF(COUNTIF($NT110:$NU110,"Carregar")&gt;0," · em dois turnos","")))</f>
        <v/>
      </c>
      <c r="PL110" s="152">
        <f>IF($MG110&lt;&gt;"",$MG110,IF($MT110=0,"",INDEX($AA$2:$AA$11,$MT110)))</f>
        <v/>
      </c>
      <c r="PM110" s="152">
        <f>IF(OR($MN110=0,$MT110=0),"",IF(COUNTIF($MH110:$MK110,"Inescapável")&gt;0,"Automático",IF($PL110="Ataque",IF($MR110="","Ataque","Ataque "&amp;IF(($MR110+2*IF(COUNTIF($MH110:$MK110,"Precisão")&gt;0,1,0))&gt;=0,"+","−")&amp;ABS(($MR110+2*IF(COUNTIF($MH110:$MK110,"Precisão")&gt;0,1,0)))),IF(LEFT($PL110,2)="TR",$PL110&amp;IF($MS110="",""," · CD "&amp;$MS110)&amp;IF(COUNTIF($MH110:$MK110,"Certeiro")&gt;0," · metade",""),"Sem rolagem"))))</f>
        <v/>
      </c>
      <c r="PN110" s="152">
        <f>IF(OR($MN110=0,$MT110=0),"",IF($MC110=0,IF(OR($NP110&gt;=1,$OM110=0),"Sem dano",$OM110&amp;"d6"&amp;IF($MF110="",""," "&amp;$MF110)),IF(OR($NP110&gt;=1,$OM110=0),UPPER(LEFT(INDEX($OV110:$PB110,1,MAX(1,$MC110)),1))&amp;MID(INDEX($OV110:$PB110,1,MAX(1,$MC110)),2,99),UPPER(LEFT(INDEX($OV110:$PB110,1,MAX(1,$MC110)),1))&amp;MID(INDEX($OV110:$PB110,1,MAX(1,$MC110)),2,99)&amp;IF($MF110="",""," "&amp;$MF110)&amp;IF($ON110&gt;0," · +"&amp;$ON110&amp;"d8",""))))</f>
        <v/>
      </c>
      <c r="PO110" s="152">
        <f>COUNTIF($MH110:$MK110,"Longe")+3*COUNTIF($MH110:$MK110,"Muito Longe")</f>
        <v/>
      </c>
      <c r="PP110" s="152">
        <f>COUNTIF($MH110:$MK110,"Maior")+3*COUNTIF($MH110:$MK110,"Muito Maior")</f>
        <v/>
      </c>
      <c r="PQ110" s="152">
        <f>IF($MT110=0,0,CHOOSE(1+INDEX($AC$2:$AC$11,$MT110),0,$PO110,$PP110,$PO110+$PP110))</f>
        <v/>
      </c>
      <c r="PR110" s="152">
        <f>IF($MT110=0,0,CHOOSE(1+INDEX($AD$2:$AD$11,$MT110),0,$PO110,$PP110,$PO110+$PP110))</f>
        <v/>
      </c>
      <c r="PS110" s="152">
        <f>IF(OR($MN110=0,$MT110=0),"",INDEX($AI$2:$AN$41,($MT110-1)*4+IF($MC110=0,1,IF($MC110&lt;=5,2,IF($MC110=6,3,4))),1+MIN(5,$PQ110))&amp;INDEX($AO$2:$AT$41,($MT110-1)*4+IF($MC110=0,1,IF($MC110&lt;=5,2,IF($MC110=6,3,4))),1+MIN(5,$PR110))&amp;IF(INDEX($AE$2:$AE$11,$MT110)=1,IF(COUNTIF($MH110:$MK110,"Mais Um")&gt;0," · +"&amp;COUNTIF($MH110:$MK110,"Mais Um")&amp;IF(COUNTIF($MH110:$MK110,"Mais Um")&gt;1," alvos"," alvo"),"")&amp;IF(COUNTIF($MH110:$MK110,"Rajada")&gt;0,IF($MC110=0," · 1 tiro"," · "&amp;(MAX(1,$MC110-1)+1)&amp;" tiros"),""),""))</f>
        <v/>
      </c>
      <c r="PT110" s="152">
        <f>IF($MN110=0,"",IF($MC110=0,$MQ110&amp;"d6"&amp;IF($OD110&gt;0," − 1 = "&amp;$OM110&amp;"d6"," da básica do nível "&amp;$MO110),$OK110&amp;" − "&amp;$OF110&amp;" + "&amp;$OI110&amp;" = "&amp;$OL110&amp;" · teto "&amp;4*$MC110&amp;"d8"&amp;IF($NO110=1," · a Forma devolve "&amp;$MC110,"")&amp;IF($OJ110&gt;0," · perde "&amp;$OJ110,"")))</f>
        <v/>
      </c>
      <c r="PU110" s="152">
        <f>IF($MN110=0,"",IF($MC110=0,"A básica não amplia: os dados dela sobem com o nível",IF($MC110&gt;=$MP110,"Já está na maior Classe que o nível liberou",TEXTJOIN(" · ",TRUE,IF(AND(2&gt;$MC110,2&lt;=$MP110),"2 → "&amp;$OW110&amp;", 6 PE",""),IF(AND(3&gt;$MC110,3&lt;=$MP110),"3 → "&amp;$OX110&amp;", 9 PE",""),IF(AND(4&gt;$MC110,4&lt;=$MP110),"4 → "&amp;$OY110&amp;", 12 PE",""),IF(AND(5&gt;$MC110,5&lt;=$MP110),"5 → "&amp;$OZ110&amp;", 15 PE",""),IF(AND(6&gt;$MC110,6&lt;=$MP110),"6 → "&amp;$PA110&amp;", 18 PE",""),IF(AND(7&gt;$MC110,7&lt;=$MP110),"7 → "&amp;$PB110&amp;", 21 PE","")))))</f>
        <v/>
      </c>
      <c r="PV110" s="152">
        <f>IF(OR($MN110=0,$MY110=0),"",IF($MC110=0,"−1 dado","−"&amp;INDEX($I$2:$N$8,MAX(1,$MC110),MAX(1,$ND110))&amp;" · "&amp;CHOOSE(MAX(1,$ND110),"Leve","Média","Pesada","Leve · Livre","Média · Livre","Pesada · Livre")))</f>
        <v/>
      </c>
      <c r="PW110" s="152">
        <f>IF(OR($MN110=0,$MZ110=0),"",IF($MC110=0,"−1 dado","−"&amp;INDEX($I$2:$N$8,MAX(1,$MC110),MAX(1,$NE110))&amp;" · "&amp;CHOOSE(MAX(1,$NE110),"Leve","Média","Pesada","Leve · Livre","Média · Livre","Pesada · Livre")))</f>
        <v/>
      </c>
      <c r="PX110" s="152">
        <f>IF(OR($MN110=0,$NA110=0),"",IF($MC110=0,"−1 dado","−"&amp;INDEX($I$2:$N$8,MAX(1,$MC110),MAX(1,$NF110))&amp;" · "&amp;CHOOSE(MAX(1,$NF110),"Leve","Média","Pesada","Leve · Livre","Média · Livre","Pesada · Livre")))</f>
        <v/>
      </c>
      <c r="PY110" s="152">
        <f>IF(OR($MN110=0,$NB110=0),"",IF($MC110=0,"−1 dado","−"&amp;INDEX($I$2:$N$8,MAX(1,$MC110),MAX(1,$NG110))&amp;" · "&amp;CHOOSE(MAX(1,$NG110),"Leve","Média","Pesada","Leve · Livre","Média · Livre","Pesada · Livre")))</f>
        <v/>
      </c>
      <c r="PZ110" s="152">
        <f>IF(OR($MN110=0,$ML110=""),"",IF($MC110=0,"não devolve","+"&amp;IF($NR110=1,CEILING($MC110/2,1),$MC110)))</f>
        <v/>
      </c>
      <c r="QA110" s="152">
        <f>IF(OR($MN110=0,$MM110=""),"",IF($MC110=0,"não devolve","+"&amp;IF($NS110=1,CEILING($MC110/2,1),$MC110)))</f>
        <v/>
      </c>
    </row>
    <row r="111">
      <c r="LX111" s="150" t="inlineStr">
        <is>
          <t>Ficha 9 · Especial 4</t>
        </is>
      </c>
      <c r="LY111" s="152" t="n">
        <v>9</v>
      </c>
      <c r="LZ111" s="152" t="n">
        <v>1</v>
      </c>
      <c r="MA111" s="152" t="n">
        <v>12</v>
      </c>
      <c r="MB111" s="150" t="inlineStr">
        <is>
          <t>ESPECIAL 4</t>
        </is>
      </c>
      <c r="MC111" s="152">
        <f>MAX(1,MIN(7,N('INVOCAÇÕES'!$AN$488)))</f>
        <v/>
      </c>
      <c r="MD111" s="152">
        <f>'INVOCAÇÕES'!$AO$488&amp;""</f>
        <v/>
      </c>
      <c r="ME111" s="152">
        <f>'INVOCAÇÕES'!$AN$493&amp;""</f>
        <v/>
      </c>
      <c r="MF111" s="152">
        <f>'INVOCAÇÕES'!$AN$494&amp;""</f>
        <v/>
      </c>
      <c r="MG111" s="152">
        <f>'INVOCAÇÕES'!$AP$494&amp;""</f>
        <v/>
      </c>
      <c r="MH111" s="152">
        <f>'INVOCAÇÕES'!$AO$497&amp;""</f>
        <v/>
      </c>
      <c r="MI111" s="152">
        <f>'INVOCAÇÕES'!$AO$498&amp;""</f>
        <v/>
      </c>
      <c r="MJ111" s="152">
        <f>'INVOCAÇÕES'!$AO$499&amp;""</f>
        <v/>
      </c>
      <c r="MK111" s="152">
        <f>'INVOCAÇÕES'!$AO$500&amp;""</f>
        <v/>
      </c>
      <c r="ML111" s="152">
        <f>'INVOCAÇÕES'!$AO$501&amp;""</f>
        <v/>
      </c>
      <c r="MM111" s="152">
        <f>'INVOCAÇÕES'!$AO$502&amp;""</f>
        <v/>
      </c>
      <c r="MN111" s="152">
        <f>IF($MD111&lt;&gt;"",1,0)</f>
        <v/>
      </c>
      <c r="MO111" s="152">
        <f>INDEX($FG$2:$FG$13,$LY111)</f>
        <v/>
      </c>
      <c r="MP111" s="152">
        <f>INDEX($FH$2:$FH$13,$LY111)</f>
        <v/>
      </c>
      <c r="MQ111" s="152">
        <f>INDEX($FI$2:$FI$13,$LY111)</f>
        <v/>
      </c>
      <c r="MR111" s="152">
        <f>INDEX($FT$2:$FT$13,$LY111)</f>
        <v/>
      </c>
      <c r="MS111" s="152">
        <f>INDEX($FU$2:$FU$13,$LY111)</f>
        <v/>
      </c>
      <c r="MT111" s="152">
        <f>IFERROR(MATCH($ME111,$V$2:$V$11,0),0)</f>
        <v/>
      </c>
      <c r="MU111" s="152">
        <f>IFERROR(VLOOKUP($MH111,$AV$2:$AZ$84,2,FALSE),"")</f>
        <v/>
      </c>
      <c r="MV111" s="152">
        <f>IFERROR(VLOOKUP($MI111,$AV$2:$AZ$84,2,FALSE),"")</f>
        <v/>
      </c>
      <c r="MW111" s="152">
        <f>IFERROR(VLOOKUP($MJ111,$AV$2:$AZ$84,2,FALSE),"")</f>
        <v/>
      </c>
      <c r="MX111" s="152">
        <f>IFERROR(VLOOKUP($MK111,$AV$2:$AZ$84,2,FALSE),"")</f>
        <v/>
      </c>
      <c r="MY111" s="152">
        <f>IFERROR(VLOOKUP($MH111,$AV$2:$AZ$84,3,FALSE),0)</f>
        <v/>
      </c>
      <c r="MZ111" s="152">
        <f>IFERROR(VLOOKUP($MI111,$AV$2:$AZ$84,3,FALSE),0)</f>
        <v/>
      </c>
      <c r="NA111" s="152">
        <f>IFERROR(VLOOKUP($MJ111,$AV$2:$AZ$84,3,FALSE),0)</f>
        <v/>
      </c>
      <c r="NB111" s="152">
        <f>IFERROR(VLOOKUP($MK111,$AV$2:$AZ$84,3,FALSE),0)</f>
        <v/>
      </c>
      <c r="NC111" s="152">
        <f>IF($MC111=0,0,IF($MT111=0,0,INDEX($X$2:$X$11,$MT111)))</f>
        <v/>
      </c>
      <c r="ND111" s="152">
        <f>IF(OR($MY111=0,$MC111=0),0,$MY111+3*IF(AND($MU111&lt;&gt;"",OR($MU111=INDEX($ED$2:$ED$13,$LY111),$MU111=INDEX($EE$2:$EE$13,$LY111))),1,0))</f>
        <v/>
      </c>
      <c r="NE111" s="152">
        <f>IF(OR($MZ111=0,$MC111=0),0,$MZ111+3*IF(AND($MV111&lt;&gt;"",OR($MV111=INDEX($ED$2:$ED$13,$LY111),$MV111=INDEX($EE$2:$EE$13,$LY111))),1,0))</f>
        <v/>
      </c>
      <c r="NF111" s="152">
        <f>IF(OR($NA111=0,$MC111=0),0,$NA111+3*IF(AND($MW111&lt;&gt;"",OR($MW111=INDEX($ED$2:$ED$13,$LY111),$MW111=INDEX($EE$2:$EE$13,$LY111))),1,0))</f>
        <v/>
      </c>
      <c r="NG111" s="152">
        <f>IF(OR($NB111=0,$MC111=0),0,$NB111+3*IF(AND($MX111&lt;&gt;"",OR($MX111=INDEX($ED$2:$ED$13,$LY111),$MX111=INDEX($EE$2:$EE$13,$LY111))),1,0))</f>
        <v/>
      </c>
      <c r="NH111" s="152">
        <f>IF($MT111=0,0,IF(INDEX($W$2:$W$11,$MT111)="",0,IF(COUNTIF(INDEX($ED$2:$EH$13,$LY111,0),INDEX($W$2:$W$11,$MT111))=0,1,0)))</f>
        <v/>
      </c>
      <c r="NI111" s="152">
        <f>IF(OR($MY111=0,$MU111=""),0,IF(COUNTIF(INDEX($ED$2:$EH$13,$LY111,0),$MU111)=0,1,0))</f>
        <v/>
      </c>
      <c r="NJ111" s="152">
        <f>IF(OR($MZ111=0,$MV111=""),0,IF(COUNTIF(INDEX($ED$2:$EH$13,$LY111,0),$MV111)=0,1,0))</f>
        <v/>
      </c>
      <c r="NK111" s="152">
        <f>IF(OR($NA111=0,$MW111=""),0,IF(COUNTIF(INDEX($ED$2:$EH$13,$LY111,0),$MW111)=0,1,0))</f>
        <v/>
      </c>
      <c r="NL111" s="152">
        <f>IF(OR($NB111=0,$MX111=""),0,IF(COUNTIF(INDEX($ED$2:$EH$13,$LY111,0),$MX111)=0,1,0))</f>
        <v/>
      </c>
      <c r="NM111" s="152">
        <f>IFERROR(VLOOKUP($MH111,$AV$2:$AZ$84,4,FALSE),0)+IFERROR(VLOOKUP($MI111,$AV$2:$AZ$84,4,FALSE),0)+IFERROR(VLOOKUP($MJ111,$AV$2:$AZ$84,4,FALSE),0)+IFERROR(VLOOKUP($MK111,$AV$2:$AZ$84,4,FALSE),0)</f>
        <v/>
      </c>
      <c r="NN111" s="152">
        <f>TEXTJOIN(", ",TRUE,IF(IFERROR(VLOOKUP($MH111,$AV$2:$AZ$84,5,FALSE),0)=1,$MH111,""),IF(IFERROR(VLOOKUP($MI111,$AV$2:$AZ$84,5,FALSE),0)=1,$MI111,""),IF(IFERROR(VLOOKUP($MJ111,$AV$2:$AZ$84,5,FALSE),0)=1,$MJ111,""),IF(IFERROR(VLOOKUP($MK111,$AV$2:$AZ$84,5,FALSE),0)=1,$MK111,""))</f>
        <v/>
      </c>
      <c r="NO111" s="152">
        <f>IF($MT111=0,0,INDEX($Y$2:$Y$11,$MT111))</f>
        <v/>
      </c>
      <c r="NP111" s="152">
        <f>IF($MT111=0,0,INDEX($Z$2:$Z$11,$MT111))</f>
        <v/>
      </c>
      <c r="NQ111" s="152">
        <f>IF($MT111=0,0,INDEX($AB$2:$AB$11,$MT111))</f>
        <v/>
      </c>
      <c r="NR111" s="152">
        <f>IFERROR(VLOOKUP($ML111,$BB$2:$BF$24,3,FALSE),0)</f>
        <v/>
      </c>
      <c r="NS111" s="152">
        <f>IFERROR(VLOOKUP($MM111,$BB$2:$BF$24,3,FALSE),0)</f>
        <v/>
      </c>
      <c r="NT111" s="152">
        <f>IFERROR(VLOOKUP($ML111,$BB$2:$BF$24,2,FALSE),"")</f>
        <v/>
      </c>
      <c r="NU111" s="152">
        <f>IFERROR(VLOOKUP($MM111,$BB$2:$BF$24,2,FALSE),"")</f>
        <v/>
      </c>
      <c r="NV111" s="152">
        <f>COUNTIF($NC111:$NG111,1)</f>
        <v/>
      </c>
      <c r="NW111" s="152">
        <f>COUNTIF($NC111:$NG111,2)</f>
        <v/>
      </c>
      <c r="NX111" s="152">
        <f>COUNTIF($NC111:$NG111,3)</f>
        <v/>
      </c>
      <c r="NY111" s="152">
        <f>COUNTIF($NC111:$NG111,4)</f>
        <v/>
      </c>
      <c r="NZ111" s="152">
        <f>COUNTIF($NC111:$NG111,5)</f>
        <v/>
      </c>
      <c r="OA111" s="152">
        <f>COUNTIF($NC111:$NG111,6)</f>
        <v/>
      </c>
      <c r="OB111" s="152">
        <f>COUNTIF($NR111:$NS111,1)</f>
        <v/>
      </c>
      <c r="OC111" s="152">
        <f>COUNTIF($NR111:$NS111,2)+$NO111</f>
        <v/>
      </c>
      <c r="OD111" s="152">
        <f>COUNTIF($MH111:$MK111,"?*")</f>
        <v/>
      </c>
      <c r="OE111" s="152">
        <f>COUNTIF($ML111:$MM111,"?*")+$NO111</f>
        <v/>
      </c>
      <c r="OF111" s="152">
        <f>IF($MC111=0,0,SUMPRODUCT($NV111:$OA111,INDEX($I$2:$N$8,MAX(1,$MC111),0)))</f>
        <v/>
      </c>
      <c r="OG111" s="152">
        <f>IF($MC111=0,0,$OB111*CEILING($MC111/2,1)+$OC111*$MC111)</f>
        <v/>
      </c>
      <c r="OH111" s="152">
        <f>MIN(2*$MC111,$OG111)</f>
        <v/>
      </c>
      <c r="OI111" s="152">
        <f>MIN($OH111,$OF111)</f>
        <v/>
      </c>
      <c r="OJ111" s="152">
        <f>$OH111-$OI111</f>
        <v/>
      </c>
      <c r="OK111" s="152">
        <f>IF($MC111=0,0,INDEX($P$2:$P$8,MAX(1,$MC111)))</f>
        <v/>
      </c>
      <c r="OL111" s="152">
        <f>$OK111-$OF111+$OI111</f>
        <v/>
      </c>
      <c r="OM111" s="152">
        <f>IF($MC111=0,MAX(0,$MQ111-IF($OD111&gt;0,1,0)),MAX(0,$OL111))</f>
        <v/>
      </c>
      <c r="ON111" s="152">
        <f>IF($MC111=0,0,(IF(COUNTIF($MH111:$MK111,"Salto")&gt;0,1,0)+IF(COUNTIF($MH111:$MK111,"Queima")&gt;0,1,0)+IF(COUNTIF($MH111:$MK111,"Estilhaço")&gt;0,1,0))*FLOOR($OM111/2,1))</f>
        <v/>
      </c>
      <c r="OO111" s="152">
        <f>MAX(0,2-SUMPRODUCT($NV111:$OA111,$I$2:$N$2)+MIN(2,$OB111*1+$OC111*1,SUMPRODUCT($NV111:$OA111,$I$2:$N$2)))</f>
        <v/>
      </c>
      <c r="OP111" s="152">
        <f>MAX(0,4-SUMPRODUCT($NV111:$OA111,$I$3:$N$3)+MIN(4,$OB111*1+$OC111*2,SUMPRODUCT($NV111:$OA111,$I$3:$N$3)))</f>
        <v/>
      </c>
      <c r="OQ111" s="152">
        <f>MAX(0,6-SUMPRODUCT($NV111:$OA111,$I$4:$N$4)+MIN(6,$OB111*2+$OC111*3,SUMPRODUCT($NV111:$OA111,$I$4:$N$4)))</f>
        <v/>
      </c>
      <c r="OR111" s="152">
        <f>MAX(0,9-SUMPRODUCT($NV111:$OA111,$I$5:$N$5)+MIN(8,$OB111*2+$OC111*4,SUMPRODUCT($NV111:$OA111,$I$5:$N$5)))</f>
        <v/>
      </c>
      <c r="OS111" s="152">
        <f>MAX(0,11-SUMPRODUCT($NV111:$OA111,$I$6:$N$6)+MIN(10,$OB111*3+$OC111*5,SUMPRODUCT($NV111:$OA111,$I$6:$N$6)))</f>
        <v/>
      </c>
      <c r="OT111" s="152">
        <f>MAX(0,13-SUMPRODUCT($NV111:$OA111,$I$7:$N$7)+MIN(12,$OB111*3+$OC111*6,SUMPRODUCT($NV111:$OA111,$I$7:$N$7)))</f>
        <v/>
      </c>
      <c r="OU111" s="152">
        <f>MAX(0,16-SUMPRODUCT($NV111:$OA111,$I$8:$N$8)+MIN(14,$OB111*4+$OC111*7,SUMPRODUCT($NV111:$OA111,$I$8:$N$8)))</f>
        <v/>
      </c>
      <c r="OV111" s="152">
        <f>IF($NP111=2,3*$OO111&amp;" de vida temp.",IF($NP111=3,"sem dano",IF($OO111=0,IF($NP111=1,"sem cura","sem dano"),IF($NP111=1,"cura ","")&amp;$OO111&amp;"d8")))</f>
        <v/>
      </c>
      <c r="OW111" s="152">
        <f>IF($NP111=2,3*$OP111&amp;" de vida temp.",IF($NP111=3,"sem dano",IF($OP111=0,IF($NP111=1,"sem cura","sem dano"),IF($NP111=1,"cura ","")&amp;$OP111&amp;"d8")))</f>
        <v/>
      </c>
      <c r="OX111" s="152">
        <f>IF($NP111=2,3*$OQ111&amp;" de vida temp.",IF($NP111=3,"sem dano",IF($OQ111=0,IF($NP111=1,"sem cura","sem dano"),IF($NP111=1,"cura ","")&amp;$OQ111&amp;"d8")))</f>
        <v/>
      </c>
      <c r="OY111" s="152">
        <f>IF($NP111=2,3*$OR111&amp;" de vida temp.",IF($NP111=3,"sem dano",IF($OR111=0,IF($NP111=1,"sem cura","sem dano"),IF($NP111=1,"cura ","")&amp;$OR111&amp;"d8")))</f>
        <v/>
      </c>
      <c r="OZ111" s="152">
        <f>IF($NP111=2,3*$OS111&amp;" de vida temp.",IF($NP111=3,"sem dano",IF($OS111=0,IF($NP111=1,"sem cura","sem dano"),IF($NP111=1,"cura ","")&amp;$OS111&amp;"d8")))</f>
        <v/>
      </c>
      <c r="PA111" s="152">
        <f>IF($NP111=2,3*$OT111&amp;" de vida temp.",IF($NP111=3,"sem dano",IF($OT111=0,IF($NP111=1,"sem cura","sem dano"),IF($NP111=1,"cura ","")&amp;$OT111&amp;"d8")))</f>
        <v/>
      </c>
      <c r="PB111" s="152">
        <f>IF($NP111=2,3*$OU111&amp;" de vida temp.",IF($NP111=3,"sem dano",IF($OU111=0,IF($NP111=1,"sem cura","sem dano"),IF($NP111=1,"cura ","")&amp;$OU111&amp;"d8")))</f>
        <v/>
      </c>
      <c r="PC111" s="152">
        <f>IF($MN111=0,"",TEXTJOIN(" · ",TRUE,IF($MA111&gt;$MO111,"Este lugar abre no nível "&amp;$MA111,""),IF($MC111&gt;$MP111,"Classe "&amp;$MC111&amp;": o nível "&amp;$MO111&amp;" libera até a "&amp;$MP111,""),IF($NH111=1,"A Forma "&amp;$ME111&amp;" pede "&amp;INDEX($W$2:$W$11,$MT111)&amp;" aberta",""),IF(AND($MC111=0,$MT111&gt;0,IF($MT111=0,0,INDEX($AF$2:$AF$11,$MT111))=0),$ME111&amp;" não existe na Classe 0",""),IF($NI111=1,"Família Fechada: "&amp;$MH111,""),IF($NJ111=1,"Família Fechada: "&amp;$MI111,""),IF($NK111=1,"Família Fechada: "&amp;$MJ111,""),IF($NL111=1,"Família Fechada: "&amp;$MK111,""),IF(AND($MC111&gt;0,$OD111&gt;INDEX($O$2:$O$8,MAX(1,$MC111))),$OD111&amp;" Melhorias: a Classe "&amp;$MC111&amp;" aceita "&amp;INDEX($O$2:$O$8,MAX(1,$MC111)),""),IF(AND($MC111=0,$OD111&gt;1),"A básica aceita uma Melhoria",""),IF(AND($MC111=0,COUNTIF($MY111:$NB111,"&gt;1")&gt;0),"A básica só aceita Melhoria Leve",""),IF(AND($MC111&gt;0,$OE111&gt;2),$OE111&amp;" Restrições"&amp;IF($NO111=1,", contando a que a Forma "&amp;$ME111&amp;" já traz","")&amp;": o limite é 2",""),IF(AND($MC111=0,COUNTIF($ML111:$MM111,"?*")&gt;1),"A básica aceita uma Restrição Leve",""),IF(AND($MC111=0,COUNTIF($NR111:$NS111,2)&gt;0),"A básica só aceita Restrição Leve",""),IF(AND($MC111&gt;0,$OL111&lt;0),"Orçamento estourado: faltam "&amp;(-$OL111)&amp;IF($OL111&lt;-1," pontos"," ponto"),""),IF(IFERROR(VLOOKUP($ML111,$BB$2:$BF$24,4,FALSE),0)+IFERROR(VLOOKUP($MM111,$BB$2:$BF$24,4,FALSE),0)&gt;1,$NT111&amp;" e "&amp;$NU111&amp;" são as duas de frequência",""),IF(AND((COUNTIF($MH111:$MK111,"Rápido")+COUNTIF($NT111:$NU111,"Rápido"))&gt;0,(COUNTIF($MH111:$MK111,"Atrasar")+COUNTIF($NT111:$NU111,"Atrasar"))&gt;0),"Rápido não entra com Atrasar",""),IF(AND((COUNTIF($MH111:$MK111,"Reação")+COUNTIF($NT111:$NU111,"Reação"))&gt;0,(COUNTIF($MH111:$MK111,"Rápido")+COUNTIF($NT111:$NU111,"Rápido"))&gt;0),"Reação não entra com Rápido",""),IF(AND((COUNTIF($MH111:$MK111,"Reação")+COUNTIF($NT111:$NU111,"Reação"))&gt;0,(COUNTIF($MH111:$MK111,"Armado")+COUNTIF($NT111:$NU111,"Armado"))&gt;0),"Reação não entra com Armado",""),IF(AND((COUNTIF($MH111:$MK111,"Reação")+COUNTIF($NT111:$NU111,"Reação"))&gt;0,(COUNTIF($MH111:$MK111,"Atrasar")+COUNTIF($NT111:$NU111,"Atrasar"))&gt;0),"Reação não entra com Atrasar",""),IF(AND((COUNTIF($MH111:$MK111,"Reação")+COUNTIF($NT111:$NU111,"Reação"))&gt;0,(COUNTIF($MH111:$MK111,"Parado")+COUNTIF($NT111:$NU111,"Parado"))&gt;0),"Reação não entra com Parado",""),IF(AND((COUNTIF($MH111:$MK111,"Atrasar")+COUNTIF($NT111:$NU111,"Atrasar"))&gt;0,(COUNTIF($MH111:$MK111,"Parado")+COUNTIF($NT111:$NU111,"Parado"))&gt;0),"Atrasar não entra com Parado",""),IF(AND((COUNTIF($MH111:$MK111,"Armado")+COUNTIF($NT111:$NU111,"Armado"))&gt;0,(COUNTIF($MH111:$MK111,"Carregar")+COUNTIF($NT111:$NU111,"Carregar"))&gt;0),"Armado não entra com Carregar",""),IF(AND(COUNTIF($NT111:$NU111,"Corpo a Corpo")&gt;0,$NO111=0,OR($ME111="Cone",$ME111="Linha")),"Corpo a Corpo não entra em "&amp;$ME111,""),IF(AND(COUNTIF($NT111:$NU111,"Corpo a Corpo")&gt;0,$NO111=1),"A Forma "&amp;$ME111&amp;" já traz o Corpo a Corpo",""),IF(AND(COUNTIF($NT111:$NU111,"Tudo ou Nada")&gt;0,$NQ111=0),"Tudo ou Nada só entra em habilidade de Teste de Resistência",""),IF(AND(COUNTIF($MH111:$MK111,"Inescapável")&gt;0,OR($OD111&gt;1,$OE111&gt;0)),"Inescapável não aceita outra peça",""),IF(AND($MC111&gt;0,$OM111*IF(COUNTIF($MH111:$MK111,"Remate")&gt;0,1.25,1)+$ON111&gt;4*$MC111),($OM111*IF(COUNTIF($MH111:$MK111,"Remate")&gt;0,1.25,1)+$ON111)&amp;" dados somando repetições"&amp;IF(COUNTIF($MH111:$MK111,"Remate")&gt;0," e o Remate","")&amp;": o teto da Classe "&amp;$MC111&amp;" é "&amp;4*$MC111,"")))</f>
        <v/>
      </c>
      <c r="PD111" s="152">
        <f>IF($PC111="",0,(LEN($PC111)-LEN(SUBSTITUTE($PC111," · ","")))/3+1)</f>
        <v/>
      </c>
      <c r="PE111" s="152">
        <f>IF($MN111=0,"",TEXTJOIN(" · ",TRUE,IF($OG111&gt;2*$MC111,"A devolução parou no teto de "&amp;2*$MC111,""),IF($OJ111&gt;0,"Devolução perdida: "&amp;$OJ111&amp;IF($OJ111&gt;1," pontos"," ponto")&amp;" sem peça para pagar",""),IF(AND($NM111&gt;0,AND($MC111&gt;0,$NP111=0),$OM111=0),"Controle sem dano: uma rodada a mais e CD +2",""),IF(AND($NM111&gt;0,AND($MC111&gt;0,$NP111=0),$OM111&gt;0,$OM111&lt;=$MC111),"Controle com saldo até a Classe: uma rodada a mais",""),IF(AND($MC111&gt;0,$NN111&lt;&gt;""),"Efeito de "&amp;$NN111&amp;" pela Classe "&amp;MAX(1,$MC111-1),"")))</f>
        <v/>
      </c>
      <c r="PF111" s="152">
        <f>IF($PE111="",0,(LEN($PE111)-LEN(SUBSTITUTE($PE111," · ","")))/3+1)</f>
        <v/>
      </c>
      <c r="PG111" s="152">
        <f>IF($MN111=0,IF($OD111+COUNTIF($ML111:$MM111,"?*")&gt;0,"Dê um nome",""),IF($PD111&gt;0,"⚠ "&amp;$PD111&amp;IF($PD111&gt;1," erros"," erro"),IF($PF111&gt;0,"! "&amp;$PF111&amp;IF($PF111&gt;1," avisos"," aviso"),"Na regra")))</f>
        <v/>
      </c>
      <c r="PH111" s="152">
        <f>IF($MN111=0,"",IF($PD111+$PF111=0,"Dentro das regras que a ficha confere",$PC111&amp;IF(AND($PD111&gt;0,$PF111&gt;0)," · ","")&amp;$PE111))</f>
        <v/>
      </c>
      <c r="PI111" s="152">
        <f>IF($MA111&gt;$MO111,$MB111&amp;" · ABRE NO NÍVEL "&amp;$MA111,$MB111)</f>
        <v/>
      </c>
      <c r="PJ111" s="152">
        <f>IF($MN111=0,"",IF($MC111=0,"Sem PE",3*$MC111&amp;" PE"))</f>
        <v/>
      </c>
      <c r="PK111" s="152">
        <f>IF($MN111=0,"",IF($MC111=0,"A atuação básica dela",IF(COUNTIF($NT111:$NU111,"Atrasar")&gt;0,"Sua Ação Completa",IF(COUNTIF($MH111:$MK111,"Rápido")&gt;0,"Sua Bônus",IF(COUNTIF($MH111:$MK111,"Reação")&gt;0,"Sua Reação","Sua Padrão")))&amp;" + a básica dela"&amp;IF(COUNTIF($MH111:$MK111,"Reação")&gt;0," e a coletiva","")&amp;IF(COUNTIF($NT111:$NU111,"Carregar")&gt;0," · em dois turnos","")))</f>
        <v/>
      </c>
      <c r="PL111" s="152">
        <f>IF($MG111&lt;&gt;"",$MG111,IF($MT111=0,"",INDEX($AA$2:$AA$11,$MT111)))</f>
        <v/>
      </c>
      <c r="PM111" s="152">
        <f>IF(OR($MN111=0,$MT111=0),"",IF(COUNTIF($MH111:$MK111,"Inescapável")&gt;0,"Automático",IF($PL111="Ataque",IF($MR111="","Ataque","Ataque "&amp;IF(($MR111+2*IF(COUNTIF($MH111:$MK111,"Precisão")&gt;0,1,0))&gt;=0,"+","−")&amp;ABS(($MR111+2*IF(COUNTIF($MH111:$MK111,"Precisão")&gt;0,1,0)))),IF(LEFT($PL111,2)="TR",$PL111&amp;IF($MS111="",""," · CD "&amp;$MS111)&amp;IF(COUNTIF($MH111:$MK111,"Certeiro")&gt;0," · metade",""),"Sem rolagem"))))</f>
        <v/>
      </c>
      <c r="PN111" s="152">
        <f>IF(OR($MN111=0,$MT111=0),"",IF($MC111=0,IF(OR($NP111&gt;=1,$OM111=0),"Sem dano",$OM111&amp;"d6"&amp;IF($MF111="",""," "&amp;$MF111)),IF(OR($NP111&gt;=1,$OM111=0),UPPER(LEFT(INDEX($OV111:$PB111,1,MAX(1,$MC111)),1))&amp;MID(INDEX($OV111:$PB111,1,MAX(1,$MC111)),2,99),UPPER(LEFT(INDEX($OV111:$PB111,1,MAX(1,$MC111)),1))&amp;MID(INDEX($OV111:$PB111,1,MAX(1,$MC111)),2,99)&amp;IF($MF111="",""," "&amp;$MF111)&amp;IF($ON111&gt;0," · +"&amp;$ON111&amp;"d8",""))))</f>
        <v/>
      </c>
      <c r="PO111" s="152">
        <f>COUNTIF($MH111:$MK111,"Longe")+3*COUNTIF($MH111:$MK111,"Muito Longe")</f>
        <v/>
      </c>
      <c r="PP111" s="152">
        <f>COUNTIF($MH111:$MK111,"Maior")+3*COUNTIF($MH111:$MK111,"Muito Maior")</f>
        <v/>
      </c>
      <c r="PQ111" s="152">
        <f>IF($MT111=0,0,CHOOSE(1+INDEX($AC$2:$AC$11,$MT111),0,$PO111,$PP111,$PO111+$PP111))</f>
        <v/>
      </c>
      <c r="PR111" s="152">
        <f>IF($MT111=0,0,CHOOSE(1+INDEX($AD$2:$AD$11,$MT111),0,$PO111,$PP111,$PO111+$PP111))</f>
        <v/>
      </c>
      <c r="PS111" s="152">
        <f>IF(OR($MN111=0,$MT111=0),"",INDEX($AI$2:$AN$41,($MT111-1)*4+IF($MC111=0,1,IF($MC111&lt;=5,2,IF($MC111=6,3,4))),1+MIN(5,$PQ111))&amp;INDEX($AO$2:$AT$41,($MT111-1)*4+IF($MC111=0,1,IF($MC111&lt;=5,2,IF($MC111=6,3,4))),1+MIN(5,$PR111))&amp;IF(INDEX($AE$2:$AE$11,$MT111)=1,IF(COUNTIF($MH111:$MK111,"Mais Um")&gt;0," · +"&amp;COUNTIF($MH111:$MK111,"Mais Um")&amp;IF(COUNTIF($MH111:$MK111,"Mais Um")&gt;1," alvos"," alvo"),"")&amp;IF(COUNTIF($MH111:$MK111,"Rajada")&gt;0,IF($MC111=0," · 1 tiro"," · "&amp;(MAX(1,$MC111-1)+1)&amp;" tiros"),""),""))</f>
        <v/>
      </c>
      <c r="PT111" s="152">
        <f>IF($MN111=0,"",IF($MC111=0,$MQ111&amp;"d6"&amp;IF($OD111&gt;0," − 1 = "&amp;$OM111&amp;"d6"," da básica do nível "&amp;$MO111),$OK111&amp;" − "&amp;$OF111&amp;" + "&amp;$OI111&amp;" = "&amp;$OL111&amp;" · teto "&amp;4*$MC111&amp;"d8"&amp;IF($NO111=1," · a Forma devolve "&amp;$MC111,"")&amp;IF($OJ111&gt;0," · perde "&amp;$OJ111,"")))</f>
        <v/>
      </c>
      <c r="PU111" s="152">
        <f>IF($MN111=0,"",IF($MC111=0,"A básica não amplia: os dados dela sobem com o nível",IF($MC111&gt;=$MP111,"Já está na maior Classe que o nível liberou",TEXTJOIN(" · ",TRUE,IF(AND(2&gt;$MC111,2&lt;=$MP111),"2 → "&amp;$OW111&amp;", 6 PE",""),IF(AND(3&gt;$MC111,3&lt;=$MP111),"3 → "&amp;$OX111&amp;", 9 PE",""),IF(AND(4&gt;$MC111,4&lt;=$MP111),"4 → "&amp;$OY111&amp;", 12 PE",""),IF(AND(5&gt;$MC111,5&lt;=$MP111),"5 → "&amp;$OZ111&amp;", 15 PE",""),IF(AND(6&gt;$MC111,6&lt;=$MP111),"6 → "&amp;$PA111&amp;", 18 PE",""),IF(AND(7&gt;$MC111,7&lt;=$MP111),"7 → "&amp;$PB111&amp;", 21 PE","")))))</f>
        <v/>
      </c>
      <c r="PV111" s="152">
        <f>IF(OR($MN111=0,$MY111=0),"",IF($MC111=0,"−1 dado","−"&amp;INDEX($I$2:$N$8,MAX(1,$MC111),MAX(1,$ND111))&amp;" · "&amp;CHOOSE(MAX(1,$ND111),"Leve","Média","Pesada","Leve · Livre","Média · Livre","Pesada · Livre")))</f>
        <v/>
      </c>
      <c r="PW111" s="152">
        <f>IF(OR($MN111=0,$MZ111=0),"",IF($MC111=0,"−1 dado","−"&amp;INDEX($I$2:$N$8,MAX(1,$MC111),MAX(1,$NE111))&amp;" · "&amp;CHOOSE(MAX(1,$NE111),"Leve","Média","Pesada","Leve · Livre","Média · Livre","Pesada · Livre")))</f>
        <v/>
      </c>
      <c r="PX111" s="152">
        <f>IF(OR($MN111=0,$NA111=0),"",IF($MC111=0,"−1 dado","−"&amp;INDEX($I$2:$N$8,MAX(1,$MC111),MAX(1,$NF111))&amp;" · "&amp;CHOOSE(MAX(1,$NF111),"Leve","Média","Pesada","Leve · Livre","Média · Livre","Pesada · Livre")))</f>
        <v/>
      </c>
      <c r="PY111" s="152">
        <f>IF(OR($MN111=0,$NB111=0),"",IF($MC111=0,"−1 dado","−"&amp;INDEX($I$2:$N$8,MAX(1,$MC111),MAX(1,$NG111))&amp;" · "&amp;CHOOSE(MAX(1,$NG111),"Leve","Média","Pesada","Leve · Livre","Média · Livre","Pesada · Livre")))</f>
        <v/>
      </c>
      <c r="PZ111" s="152">
        <f>IF(OR($MN111=0,$ML111=""),"",IF($MC111=0,"não devolve","+"&amp;IF($NR111=1,CEILING($MC111/2,1),$MC111)))</f>
        <v/>
      </c>
      <c r="QA111" s="152">
        <f>IF(OR($MN111=0,$MM111=""),"",IF($MC111=0,"não devolve","+"&amp;IF($NS111=1,CEILING($MC111/2,1),$MC111)))</f>
        <v/>
      </c>
    </row>
    <row r="112">
      <c r="LX112" s="150" t="inlineStr">
        <is>
          <t>Ficha 9 · Especial 5</t>
        </is>
      </c>
      <c r="LY112" s="152" t="n">
        <v>9</v>
      </c>
      <c r="LZ112" s="152" t="n">
        <v>1</v>
      </c>
      <c r="MA112" s="152" t="n">
        <v>16</v>
      </c>
      <c r="MB112" s="150" t="inlineStr">
        <is>
          <t>ESPECIAL 5</t>
        </is>
      </c>
      <c r="MC112" s="152">
        <f>MAX(1,MIN(7,N('INVOCAÇÕES'!$AB$510)))</f>
        <v/>
      </c>
      <c r="MD112" s="152">
        <f>'INVOCAÇÕES'!$AC$510&amp;""</f>
        <v/>
      </c>
      <c r="ME112" s="152">
        <f>'INVOCAÇÕES'!$AB$515&amp;""</f>
        <v/>
      </c>
      <c r="MF112" s="152">
        <f>'INVOCAÇÕES'!$AB$516&amp;""</f>
        <v/>
      </c>
      <c r="MG112" s="152">
        <f>'INVOCAÇÕES'!$AD$516&amp;""</f>
        <v/>
      </c>
      <c r="MH112" s="152">
        <f>'INVOCAÇÕES'!$AC$519&amp;""</f>
        <v/>
      </c>
      <c r="MI112" s="152">
        <f>'INVOCAÇÕES'!$AC$520&amp;""</f>
        <v/>
      </c>
      <c r="MJ112" s="152">
        <f>'INVOCAÇÕES'!$AC$521&amp;""</f>
        <v/>
      </c>
      <c r="MK112" s="152">
        <f>'INVOCAÇÕES'!$AC$522&amp;""</f>
        <v/>
      </c>
      <c r="ML112" s="152">
        <f>'INVOCAÇÕES'!$AC$523&amp;""</f>
        <v/>
      </c>
      <c r="MM112" s="152">
        <f>'INVOCAÇÕES'!$AC$524&amp;""</f>
        <v/>
      </c>
      <c r="MN112" s="152">
        <f>IF($MD112&lt;&gt;"",1,0)</f>
        <v/>
      </c>
      <c r="MO112" s="152">
        <f>INDEX($FG$2:$FG$13,$LY112)</f>
        <v/>
      </c>
      <c r="MP112" s="152">
        <f>INDEX($FH$2:$FH$13,$LY112)</f>
        <v/>
      </c>
      <c r="MQ112" s="152">
        <f>INDEX($FI$2:$FI$13,$LY112)</f>
        <v/>
      </c>
      <c r="MR112" s="152">
        <f>INDEX($FT$2:$FT$13,$LY112)</f>
        <v/>
      </c>
      <c r="MS112" s="152">
        <f>INDEX($FU$2:$FU$13,$LY112)</f>
        <v/>
      </c>
      <c r="MT112" s="152">
        <f>IFERROR(MATCH($ME112,$V$2:$V$11,0),0)</f>
        <v/>
      </c>
      <c r="MU112" s="152">
        <f>IFERROR(VLOOKUP($MH112,$AV$2:$AZ$84,2,FALSE),"")</f>
        <v/>
      </c>
      <c r="MV112" s="152">
        <f>IFERROR(VLOOKUP($MI112,$AV$2:$AZ$84,2,FALSE),"")</f>
        <v/>
      </c>
      <c r="MW112" s="152">
        <f>IFERROR(VLOOKUP($MJ112,$AV$2:$AZ$84,2,FALSE),"")</f>
        <v/>
      </c>
      <c r="MX112" s="152">
        <f>IFERROR(VLOOKUP($MK112,$AV$2:$AZ$84,2,FALSE),"")</f>
        <v/>
      </c>
      <c r="MY112" s="152">
        <f>IFERROR(VLOOKUP($MH112,$AV$2:$AZ$84,3,FALSE),0)</f>
        <v/>
      </c>
      <c r="MZ112" s="152">
        <f>IFERROR(VLOOKUP($MI112,$AV$2:$AZ$84,3,FALSE),0)</f>
        <v/>
      </c>
      <c r="NA112" s="152">
        <f>IFERROR(VLOOKUP($MJ112,$AV$2:$AZ$84,3,FALSE),0)</f>
        <v/>
      </c>
      <c r="NB112" s="152">
        <f>IFERROR(VLOOKUP($MK112,$AV$2:$AZ$84,3,FALSE),0)</f>
        <v/>
      </c>
      <c r="NC112" s="152">
        <f>IF($MC112=0,0,IF($MT112=0,0,INDEX($X$2:$X$11,$MT112)))</f>
        <v/>
      </c>
      <c r="ND112" s="152">
        <f>IF(OR($MY112=0,$MC112=0),0,$MY112+3*IF(AND($MU112&lt;&gt;"",OR($MU112=INDEX($ED$2:$ED$13,$LY112),$MU112=INDEX($EE$2:$EE$13,$LY112))),1,0))</f>
        <v/>
      </c>
      <c r="NE112" s="152">
        <f>IF(OR($MZ112=0,$MC112=0),0,$MZ112+3*IF(AND($MV112&lt;&gt;"",OR($MV112=INDEX($ED$2:$ED$13,$LY112),$MV112=INDEX($EE$2:$EE$13,$LY112))),1,0))</f>
        <v/>
      </c>
      <c r="NF112" s="152">
        <f>IF(OR($NA112=0,$MC112=0),0,$NA112+3*IF(AND($MW112&lt;&gt;"",OR($MW112=INDEX($ED$2:$ED$13,$LY112),$MW112=INDEX($EE$2:$EE$13,$LY112))),1,0))</f>
        <v/>
      </c>
      <c r="NG112" s="152">
        <f>IF(OR($NB112=0,$MC112=0),0,$NB112+3*IF(AND($MX112&lt;&gt;"",OR($MX112=INDEX($ED$2:$ED$13,$LY112),$MX112=INDEX($EE$2:$EE$13,$LY112))),1,0))</f>
        <v/>
      </c>
      <c r="NH112" s="152">
        <f>IF($MT112=0,0,IF(INDEX($W$2:$W$11,$MT112)="",0,IF(COUNTIF(INDEX($ED$2:$EH$13,$LY112,0),INDEX($W$2:$W$11,$MT112))=0,1,0)))</f>
        <v/>
      </c>
      <c r="NI112" s="152">
        <f>IF(OR($MY112=0,$MU112=""),0,IF(COUNTIF(INDEX($ED$2:$EH$13,$LY112,0),$MU112)=0,1,0))</f>
        <v/>
      </c>
      <c r="NJ112" s="152">
        <f>IF(OR($MZ112=0,$MV112=""),0,IF(COUNTIF(INDEX($ED$2:$EH$13,$LY112,0),$MV112)=0,1,0))</f>
        <v/>
      </c>
      <c r="NK112" s="152">
        <f>IF(OR($NA112=0,$MW112=""),0,IF(COUNTIF(INDEX($ED$2:$EH$13,$LY112,0),$MW112)=0,1,0))</f>
        <v/>
      </c>
      <c r="NL112" s="152">
        <f>IF(OR($NB112=0,$MX112=""),0,IF(COUNTIF(INDEX($ED$2:$EH$13,$LY112,0),$MX112)=0,1,0))</f>
        <v/>
      </c>
      <c r="NM112" s="152">
        <f>IFERROR(VLOOKUP($MH112,$AV$2:$AZ$84,4,FALSE),0)+IFERROR(VLOOKUP($MI112,$AV$2:$AZ$84,4,FALSE),0)+IFERROR(VLOOKUP($MJ112,$AV$2:$AZ$84,4,FALSE),0)+IFERROR(VLOOKUP($MK112,$AV$2:$AZ$84,4,FALSE),0)</f>
        <v/>
      </c>
      <c r="NN112" s="152">
        <f>TEXTJOIN(", ",TRUE,IF(IFERROR(VLOOKUP($MH112,$AV$2:$AZ$84,5,FALSE),0)=1,$MH112,""),IF(IFERROR(VLOOKUP($MI112,$AV$2:$AZ$84,5,FALSE),0)=1,$MI112,""),IF(IFERROR(VLOOKUP($MJ112,$AV$2:$AZ$84,5,FALSE),0)=1,$MJ112,""),IF(IFERROR(VLOOKUP($MK112,$AV$2:$AZ$84,5,FALSE),0)=1,$MK112,""))</f>
        <v/>
      </c>
      <c r="NO112" s="152">
        <f>IF($MT112=0,0,INDEX($Y$2:$Y$11,$MT112))</f>
        <v/>
      </c>
      <c r="NP112" s="152">
        <f>IF($MT112=0,0,INDEX($Z$2:$Z$11,$MT112))</f>
        <v/>
      </c>
      <c r="NQ112" s="152">
        <f>IF($MT112=0,0,INDEX($AB$2:$AB$11,$MT112))</f>
        <v/>
      </c>
      <c r="NR112" s="152">
        <f>IFERROR(VLOOKUP($ML112,$BB$2:$BF$24,3,FALSE),0)</f>
        <v/>
      </c>
      <c r="NS112" s="152">
        <f>IFERROR(VLOOKUP($MM112,$BB$2:$BF$24,3,FALSE),0)</f>
        <v/>
      </c>
      <c r="NT112" s="152">
        <f>IFERROR(VLOOKUP($ML112,$BB$2:$BF$24,2,FALSE),"")</f>
        <v/>
      </c>
      <c r="NU112" s="152">
        <f>IFERROR(VLOOKUP($MM112,$BB$2:$BF$24,2,FALSE),"")</f>
        <v/>
      </c>
      <c r="NV112" s="152">
        <f>COUNTIF($NC112:$NG112,1)</f>
        <v/>
      </c>
      <c r="NW112" s="152">
        <f>COUNTIF($NC112:$NG112,2)</f>
        <v/>
      </c>
      <c r="NX112" s="152">
        <f>COUNTIF($NC112:$NG112,3)</f>
        <v/>
      </c>
      <c r="NY112" s="152">
        <f>COUNTIF($NC112:$NG112,4)</f>
        <v/>
      </c>
      <c r="NZ112" s="152">
        <f>COUNTIF($NC112:$NG112,5)</f>
        <v/>
      </c>
      <c r="OA112" s="152">
        <f>COUNTIF($NC112:$NG112,6)</f>
        <v/>
      </c>
      <c r="OB112" s="152">
        <f>COUNTIF($NR112:$NS112,1)</f>
        <v/>
      </c>
      <c r="OC112" s="152">
        <f>COUNTIF($NR112:$NS112,2)+$NO112</f>
        <v/>
      </c>
      <c r="OD112" s="152">
        <f>COUNTIF($MH112:$MK112,"?*")</f>
        <v/>
      </c>
      <c r="OE112" s="152">
        <f>COUNTIF($ML112:$MM112,"?*")+$NO112</f>
        <v/>
      </c>
      <c r="OF112" s="152">
        <f>IF($MC112=0,0,SUMPRODUCT($NV112:$OA112,INDEX($I$2:$N$8,MAX(1,$MC112),0)))</f>
        <v/>
      </c>
      <c r="OG112" s="152">
        <f>IF($MC112=0,0,$OB112*CEILING($MC112/2,1)+$OC112*$MC112)</f>
        <v/>
      </c>
      <c r="OH112" s="152">
        <f>MIN(2*$MC112,$OG112)</f>
        <v/>
      </c>
      <c r="OI112" s="152">
        <f>MIN($OH112,$OF112)</f>
        <v/>
      </c>
      <c r="OJ112" s="152">
        <f>$OH112-$OI112</f>
        <v/>
      </c>
      <c r="OK112" s="152">
        <f>IF($MC112=0,0,INDEX($P$2:$P$8,MAX(1,$MC112)))</f>
        <v/>
      </c>
      <c r="OL112" s="152">
        <f>$OK112-$OF112+$OI112</f>
        <v/>
      </c>
      <c r="OM112" s="152">
        <f>IF($MC112=0,MAX(0,$MQ112-IF($OD112&gt;0,1,0)),MAX(0,$OL112))</f>
        <v/>
      </c>
      <c r="ON112" s="152">
        <f>IF($MC112=0,0,(IF(COUNTIF($MH112:$MK112,"Salto")&gt;0,1,0)+IF(COUNTIF($MH112:$MK112,"Queima")&gt;0,1,0)+IF(COUNTIF($MH112:$MK112,"Estilhaço")&gt;0,1,0))*FLOOR($OM112/2,1))</f>
        <v/>
      </c>
      <c r="OO112" s="152">
        <f>MAX(0,2-SUMPRODUCT($NV112:$OA112,$I$2:$N$2)+MIN(2,$OB112*1+$OC112*1,SUMPRODUCT($NV112:$OA112,$I$2:$N$2)))</f>
        <v/>
      </c>
      <c r="OP112" s="152">
        <f>MAX(0,4-SUMPRODUCT($NV112:$OA112,$I$3:$N$3)+MIN(4,$OB112*1+$OC112*2,SUMPRODUCT($NV112:$OA112,$I$3:$N$3)))</f>
        <v/>
      </c>
      <c r="OQ112" s="152">
        <f>MAX(0,6-SUMPRODUCT($NV112:$OA112,$I$4:$N$4)+MIN(6,$OB112*2+$OC112*3,SUMPRODUCT($NV112:$OA112,$I$4:$N$4)))</f>
        <v/>
      </c>
      <c r="OR112" s="152">
        <f>MAX(0,9-SUMPRODUCT($NV112:$OA112,$I$5:$N$5)+MIN(8,$OB112*2+$OC112*4,SUMPRODUCT($NV112:$OA112,$I$5:$N$5)))</f>
        <v/>
      </c>
      <c r="OS112" s="152">
        <f>MAX(0,11-SUMPRODUCT($NV112:$OA112,$I$6:$N$6)+MIN(10,$OB112*3+$OC112*5,SUMPRODUCT($NV112:$OA112,$I$6:$N$6)))</f>
        <v/>
      </c>
      <c r="OT112" s="152">
        <f>MAX(0,13-SUMPRODUCT($NV112:$OA112,$I$7:$N$7)+MIN(12,$OB112*3+$OC112*6,SUMPRODUCT($NV112:$OA112,$I$7:$N$7)))</f>
        <v/>
      </c>
      <c r="OU112" s="152">
        <f>MAX(0,16-SUMPRODUCT($NV112:$OA112,$I$8:$N$8)+MIN(14,$OB112*4+$OC112*7,SUMPRODUCT($NV112:$OA112,$I$8:$N$8)))</f>
        <v/>
      </c>
      <c r="OV112" s="152">
        <f>IF($NP112=2,3*$OO112&amp;" de vida temp.",IF($NP112=3,"sem dano",IF($OO112=0,IF($NP112=1,"sem cura","sem dano"),IF($NP112=1,"cura ","")&amp;$OO112&amp;"d8")))</f>
        <v/>
      </c>
      <c r="OW112" s="152">
        <f>IF($NP112=2,3*$OP112&amp;" de vida temp.",IF($NP112=3,"sem dano",IF($OP112=0,IF($NP112=1,"sem cura","sem dano"),IF($NP112=1,"cura ","")&amp;$OP112&amp;"d8")))</f>
        <v/>
      </c>
      <c r="OX112" s="152">
        <f>IF($NP112=2,3*$OQ112&amp;" de vida temp.",IF($NP112=3,"sem dano",IF($OQ112=0,IF($NP112=1,"sem cura","sem dano"),IF($NP112=1,"cura ","")&amp;$OQ112&amp;"d8")))</f>
        <v/>
      </c>
      <c r="OY112" s="152">
        <f>IF($NP112=2,3*$OR112&amp;" de vida temp.",IF($NP112=3,"sem dano",IF($OR112=0,IF($NP112=1,"sem cura","sem dano"),IF($NP112=1,"cura ","")&amp;$OR112&amp;"d8")))</f>
        <v/>
      </c>
      <c r="OZ112" s="152">
        <f>IF($NP112=2,3*$OS112&amp;" de vida temp.",IF($NP112=3,"sem dano",IF($OS112=0,IF($NP112=1,"sem cura","sem dano"),IF($NP112=1,"cura ","")&amp;$OS112&amp;"d8")))</f>
        <v/>
      </c>
      <c r="PA112" s="152">
        <f>IF($NP112=2,3*$OT112&amp;" de vida temp.",IF($NP112=3,"sem dano",IF($OT112=0,IF($NP112=1,"sem cura","sem dano"),IF($NP112=1,"cura ","")&amp;$OT112&amp;"d8")))</f>
        <v/>
      </c>
      <c r="PB112" s="152">
        <f>IF($NP112=2,3*$OU112&amp;" de vida temp.",IF($NP112=3,"sem dano",IF($OU112=0,IF($NP112=1,"sem cura","sem dano"),IF($NP112=1,"cura ","")&amp;$OU112&amp;"d8")))</f>
        <v/>
      </c>
      <c r="PC112" s="152">
        <f>IF($MN112=0,"",TEXTJOIN(" · ",TRUE,IF($MA112&gt;$MO112,"Este lugar abre no nível "&amp;$MA112,""),IF($MC112&gt;$MP112,"Classe "&amp;$MC112&amp;": o nível "&amp;$MO112&amp;" libera até a "&amp;$MP112,""),IF($NH112=1,"A Forma "&amp;$ME112&amp;" pede "&amp;INDEX($W$2:$W$11,$MT112)&amp;" aberta",""),IF(AND($MC112=0,$MT112&gt;0,IF($MT112=0,0,INDEX($AF$2:$AF$11,$MT112))=0),$ME112&amp;" não existe na Classe 0",""),IF($NI112=1,"Família Fechada: "&amp;$MH112,""),IF($NJ112=1,"Família Fechada: "&amp;$MI112,""),IF($NK112=1,"Família Fechada: "&amp;$MJ112,""),IF($NL112=1,"Família Fechada: "&amp;$MK112,""),IF(AND($MC112&gt;0,$OD112&gt;INDEX($O$2:$O$8,MAX(1,$MC112))),$OD112&amp;" Melhorias: a Classe "&amp;$MC112&amp;" aceita "&amp;INDEX($O$2:$O$8,MAX(1,$MC112)),""),IF(AND($MC112=0,$OD112&gt;1),"A básica aceita uma Melhoria",""),IF(AND($MC112=0,COUNTIF($MY112:$NB112,"&gt;1")&gt;0),"A básica só aceita Melhoria Leve",""),IF(AND($MC112&gt;0,$OE112&gt;2),$OE112&amp;" Restrições"&amp;IF($NO112=1,", contando a que a Forma "&amp;$ME112&amp;" já traz","")&amp;": o limite é 2",""),IF(AND($MC112=0,COUNTIF($ML112:$MM112,"?*")&gt;1),"A básica aceita uma Restrição Leve",""),IF(AND($MC112=0,COUNTIF($NR112:$NS112,2)&gt;0),"A básica só aceita Restrição Leve",""),IF(AND($MC112&gt;0,$OL112&lt;0),"Orçamento estourado: faltam "&amp;(-$OL112)&amp;IF($OL112&lt;-1," pontos"," ponto"),""),IF(IFERROR(VLOOKUP($ML112,$BB$2:$BF$24,4,FALSE),0)+IFERROR(VLOOKUP($MM112,$BB$2:$BF$24,4,FALSE),0)&gt;1,$NT112&amp;" e "&amp;$NU112&amp;" são as duas de frequência",""),IF(AND((COUNTIF($MH112:$MK112,"Rápido")+COUNTIF($NT112:$NU112,"Rápido"))&gt;0,(COUNTIF($MH112:$MK112,"Atrasar")+COUNTIF($NT112:$NU112,"Atrasar"))&gt;0),"Rápido não entra com Atrasar",""),IF(AND((COUNTIF($MH112:$MK112,"Reação")+COUNTIF($NT112:$NU112,"Reação"))&gt;0,(COUNTIF($MH112:$MK112,"Rápido")+COUNTIF($NT112:$NU112,"Rápido"))&gt;0),"Reação não entra com Rápido",""),IF(AND((COUNTIF($MH112:$MK112,"Reação")+COUNTIF($NT112:$NU112,"Reação"))&gt;0,(COUNTIF($MH112:$MK112,"Armado")+COUNTIF($NT112:$NU112,"Armado"))&gt;0),"Reação não entra com Armado",""),IF(AND((COUNTIF($MH112:$MK112,"Reação")+COUNTIF($NT112:$NU112,"Reação"))&gt;0,(COUNTIF($MH112:$MK112,"Atrasar")+COUNTIF($NT112:$NU112,"Atrasar"))&gt;0),"Reação não entra com Atrasar",""),IF(AND((COUNTIF($MH112:$MK112,"Reação")+COUNTIF($NT112:$NU112,"Reação"))&gt;0,(COUNTIF($MH112:$MK112,"Parado")+COUNTIF($NT112:$NU112,"Parado"))&gt;0),"Reação não entra com Parado",""),IF(AND((COUNTIF($MH112:$MK112,"Atrasar")+COUNTIF($NT112:$NU112,"Atrasar"))&gt;0,(COUNTIF($MH112:$MK112,"Parado")+COUNTIF($NT112:$NU112,"Parado"))&gt;0),"Atrasar não entra com Parado",""),IF(AND((COUNTIF($MH112:$MK112,"Armado")+COUNTIF($NT112:$NU112,"Armado"))&gt;0,(COUNTIF($MH112:$MK112,"Carregar")+COUNTIF($NT112:$NU112,"Carregar"))&gt;0),"Armado não entra com Carregar",""),IF(AND(COUNTIF($NT112:$NU112,"Corpo a Corpo")&gt;0,$NO112=0,OR($ME112="Cone",$ME112="Linha")),"Corpo a Corpo não entra em "&amp;$ME112,""),IF(AND(COUNTIF($NT112:$NU112,"Corpo a Corpo")&gt;0,$NO112=1),"A Forma "&amp;$ME112&amp;" já traz o Corpo a Corpo",""),IF(AND(COUNTIF($NT112:$NU112,"Tudo ou Nada")&gt;0,$NQ112=0),"Tudo ou Nada só entra em habilidade de Teste de Resistência",""),IF(AND(COUNTIF($MH112:$MK112,"Inescapável")&gt;0,OR($OD112&gt;1,$OE112&gt;0)),"Inescapável não aceita outra peça",""),IF(AND($MC112&gt;0,$OM112*IF(COUNTIF($MH112:$MK112,"Remate")&gt;0,1.25,1)+$ON112&gt;4*$MC112),($OM112*IF(COUNTIF($MH112:$MK112,"Remate")&gt;0,1.25,1)+$ON112)&amp;" dados somando repetições"&amp;IF(COUNTIF($MH112:$MK112,"Remate")&gt;0," e o Remate","")&amp;": o teto da Classe "&amp;$MC112&amp;" é "&amp;4*$MC112,"")))</f>
        <v/>
      </c>
      <c r="PD112" s="152">
        <f>IF($PC112="",0,(LEN($PC112)-LEN(SUBSTITUTE($PC112," · ","")))/3+1)</f>
        <v/>
      </c>
      <c r="PE112" s="152">
        <f>IF($MN112=0,"",TEXTJOIN(" · ",TRUE,IF($OG112&gt;2*$MC112,"A devolução parou no teto de "&amp;2*$MC112,""),IF($OJ112&gt;0,"Devolução perdida: "&amp;$OJ112&amp;IF($OJ112&gt;1," pontos"," ponto")&amp;" sem peça para pagar",""),IF(AND($NM112&gt;0,AND($MC112&gt;0,$NP112=0),$OM112=0),"Controle sem dano: uma rodada a mais e CD +2",""),IF(AND($NM112&gt;0,AND($MC112&gt;0,$NP112=0),$OM112&gt;0,$OM112&lt;=$MC112),"Controle com saldo até a Classe: uma rodada a mais",""),IF(AND($MC112&gt;0,$NN112&lt;&gt;""),"Efeito de "&amp;$NN112&amp;" pela Classe "&amp;MAX(1,$MC112-1),"")))</f>
        <v/>
      </c>
      <c r="PF112" s="152">
        <f>IF($PE112="",0,(LEN($PE112)-LEN(SUBSTITUTE($PE112," · ","")))/3+1)</f>
        <v/>
      </c>
      <c r="PG112" s="152">
        <f>IF($MN112=0,IF($OD112+COUNTIF($ML112:$MM112,"?*")&gt;0,"Dê um nome",""),IF($PD112&gt;0,"⚠ "&amp;$PD112&amp;IF($PD112&gt;1," erros"," erro"),IF($PF112&gt;0,"! "&amp;$PF112&amp;IF($PF112&gt;1," avisos"," aviso"),"Na regra")))</f>
        <v/>
      </c>
      <c r="PH112" s="152">
        <f>IF($MN112=0,"",IF($PD112+$PF112=0,"Dentro das regras que a ficha confere",$PC112&amp;IF(AND($PD112&gt;0,$PF112&gt;0)," · ","")&amp;$PE112))</f>
        <v/>
      </c>
      <c r="PI112" s="152">
        <f>IF($MA112&gt;$MO112,$MB112&amp;" · ABRE NO NÍVEL "&amp;$MA112,$MB112)</f>
        <v/>
      </c>
      <c r="PJ112" s="152">
        <f>IF($MN112=0,"",IF($MC112=0,"Sem PE",3*$MC112&amp;" PE"))</f>
        <v/>
      </c>
      <c r="PK112" s="152">
        <f>IF($MN112=0,"",IF($MC112=0,"A atuação básica dela",IF(COUNTIF($NT112:$NU112,"Atrasar")&gt;0,"Sua Ação Completa",IF(COUNTIF($MH112:$MK112,"Rápido")&gt;0,"Sua Bônus",IF(COUNTIF($MH112:$MK112,"Reação")&gt;0,"Sua Reação","Sua Padrão")))&amp;" + a básica dela"&amp;IF(COUNTIF($MH112:$MK112,"Reação")&gt;0," e a coletiva","")&amp;IF(COUNTIF($NT112:$NU112,"Carregar")&gt;0," · em dois turnos","")))</f>
        <v/>
      </c>
      <c r="PL112" s="152">
        <f>IF($MG112&lt;&gt;"",$MG112,IF($MT112=0,"",INDEX($AA$2:$AA$11,$MT112)))</f>
        <v/>
      </c>
      <c r="PM112" s="152">
        <f>IF(OR($MN112=0,$MT112=0),"",IF(COUNTIF($MH112:$MK112,"Inescapável")&gt;0,"Automático",IF($PL112="Ataque",IF($MR112="","Ataque","Ataque "&amp;IF(($MR112+2*IF(COUNTIF($MH112:$MK112,"Precisão")&gt;0,1,0))&gt;=0,"+","−")&amp;ABS(($MR112+2*IF(COUNTIF($MH112:$MK112,"Precisão")&gt;0,1,0)))),IF(LEFT($PL112,2)="TR",$PL112&amp;IF($MS112="",""," · CD "&amp;$MS112)&amp;IF(COUNTIF($MH112:$MK112,"Certeiro")&gt;0," · metade",""),"Sem rolagem"))))</f>
        <v/>
      </c>
      <c r="PN112" s="152">
        <f>IF(OR($MN112=0,$MT112=0),"",IF($MC112=0,IF(OR($NP112&gt;=1,$OM112=0),"Sem dano",$OM112&amp;"d6"&amp;IF($MF112="",""," "&amp;$MF112)),IF(OR($NP112&gt;=1,$OM112=0),UPPER(LEFT(INDEX($OV112:$PB112,1,MAX(1,$MC112)),1))&amp;MID(INDEX($OV112:$PB112,1,MAX(1,$MC112)),2,99),UPPER(LEFT(INDEX($OV112:$PB112,1,MAX(1,$MC112)),1))&amp;MID(INDEX($OV112:$PB112,1,MAX(1,$MC112)),2,99)&amp;IF($MF112="",""," "&amp;$MF112)&amp;IF($ON112&gt;0," · +"&amp;$ON112&amp;"d8",""))))</f>
        <v/>
      </c>
      <c r="PO112" s="152">
        <f>COUNTIF($MH112:$MK112,"Longe")+3*COUNTIF($MH112:$MK112,"Muito Longe")</f>
        <v/>
      </c>
      <c r="PP112" s="152">
        <f>COUNTIF($MH112:$MK112,"Maior")+3*COUNTIF($MH112:$MK112,"Muito Maior")</f>
        <v/>
      </c>
      <c r="PQ112" s="152">
        <f>IF($MT112=0,0,CHOOSE(1+INDEX($AC$2:$AC$11,$MT112),0,$PO112,$PP112,$PO112+$PP112))</f>
        <v/>
      </c>
      <c r="PR112" s="152">
        <f>IF($MT112=0,0,CHOOSE(1+INDEX($AD$2:$AD$11,$MT112),0,$PO112,$PP112,$PO112+$PP112))</f>
        <v/>
      </c>
      <c r="PS112" s="152">
        <f>IF(OR($MN112=0,$MT112=0),"",INDEX($AI$2:$AN$41,($MT112-1)*4+IF($MC112=0,1,IF($MC112&lt;=5,2,IF($MC112=6,3,4))),1+MIN(5,$PQ112))&amp;INDEX($AO$2:$AT$41,($MT112-1)*4+IF($MC112=0,1,IF($MC112&lt;=5,2,IF($MC112=6,3,4))),1+MIN(5,$PR112))&amp;IF(INDEX($AE$2:$AE$11,$MT112)=1,IF(COUNTIF($MH112:$MK112,"Mais Um")&gt;0," · +"&amp;COUNTIF($MH112:$MK112,"Mais Um")&amp;IF(COUNTIF($MH112:$MK112,"Mais Um")&gt;1," alvos"," alvo"),"")&amp;IF(COUNTIF($MH112:$MK112,"Rajada")&gt;0,IF($MC112=0," · 1 tiro"," · "&amp;(MAX(1,$MC112-1)+1)&amp;" tiros"),""),""))</f>
        <v/>
      </c>
      <c r="PT112" s="152">
        <f>IF($MN112=0,"",IF($MC112=0,$MQ112&amp;"d6"&amp;IF($OD112&gt;0," − 1 = "&amp;$OM112&amp;"d6"," da básica do nível "&amp;$MO112),$OK112&amp;" − "&amp;$OF112&amp;" + "&amp;$OI112&amp;" = "&amp;$OL112&amp;" · teto "&amp;4*$MC112&amp;"d8"&amp;IF($NO112=1," · a Forma devolve "&amp;$MC112,"")&amp;IF($OJ112&gt;0," · perde "&amp;$OJ112,"")))</f>
        <v/>
      </c>
      <c r="PU112" s="152">
        <f>IF($MN112=0,"",IF($MC112=0,"A básica não amplia: os dados dela sobem com o nível",IF($MC112&gt;=$MP112,"Já está na maior Classe que o nível liberou",TEXTJOIN(" · ",TRUE,IF(AND(2&gt;$MC112,2&lt;=$MP112),"2 → "&amp;$OW112&amp;", 6 PE",""),IF(AND(3&gt;$MC112,3&lt;=$MP112),"3 → "&amp;$OX112&amp;", 9 PE",""),IF(AND(4&gt;$MC112,4&lt;=$MP112),"4 → "&amp;$OY112&amp;", 12 PE",""),IF(AND(5&gt;$MC112,5&lt;=$MP112),"5 → "&amp;$OZ112&amp;", 15 PE",""),IF(AND(6&gt;$MC112,6&lt;=$MP112),"6 → "&amp;$PA112&amp;", 18 PE",""),IF(AND(7&gt;$MC112,7&lt;=$MP112),"7 → "&amp;$PB112&amp;", 21 PE","")))))</f>
        <v/>
      </c>
      <c r="PV112" s="152">
        <f>IF(OR($MN112=0,$MY112=0),"",IF($MC112=0,"−1 dado","−"&amp;INDEX($I$2:$N$8,MAX(1,$MC112),MAX(1,$ND112))&amp;" · "&amp;CHOOSE(MAX(1,$ND112),"Leve","Média","Pesada","Leve · Livre","Média · Livre","Pesada · Livre")))</f>
        <v/>
      </c>
      <c r="PW112" s="152">
        <f>IF(OR($MN112=0,$MZ112=0),"",IF($MC112=0,"−1 dado","−"&amp;INDEX($I$2:$N$8,MAX(1,$MC112),MAX(1,$NE112))&amp;" · "&amp;CHOOSE(MAX(1,$NE112),"Leve","Média","Pesada","Leve · Livre","Média · Livre","Pesada · Livre")))</f>
        <v/>
      </c>
      <c r="PX112" s="152">
        <f>IF(OR($MN112=0,$NA112=0),"",IF($MC112=0,"−1 dado","−"&amp;INDEX($I$2:$N$8,MAX(1,$MC112),MAX(1,$NF112))&amp;" · "&amp;CHOOSE(MAX(1,$NF112),"Leve","Média","Pesada","Leve · Livre","Média · Livre","Pesada · Livre")))</f>
        <v/>
      </c>
      <c r="PY112" s="152">
        <f>IF(OR($MN112=0,$NB112=0),"",IF($MC112=0,"−1 dado","−"&amp;INDEX($I$2:$N$8,MAX(1,$MC112),MAX(1,$NG112))&amp;" · "&amp;CHOOSE(MAX(1,$NG112),"Leve","Média","Pesada","Leve · Livre","Média · Livre","Pesada · Livre")))</f>
        <v/>
      </c>
      <c r="PZ112" s="152">
        <f>IF(OR($MN112=0,$ML112=""),"",IF($MC112=0,"não devolve","+"&amp;IF($NR112=1,CEILING($MC112/2,1),$MC112)))</f>
        <v/>
      </c>
      <c r="QA112" s="152">
        <f>IF(OR($MN112=0,$MM112=""),"",IF($MC112=0,"não devolve","+"&amp;IF($NS112=1,CEILING($MC112/2,1),$MC112)))</f>
        <v/>
      </c>
    </row>
    <row r="113">
      <c r="LX113" s="150" t="inlineStr">
        <is>
          <t>Ficha 9 · Especial 6</t>
        </is>
      </c>
      <c r="LY113" s="152" t="n">
        <v>9</v>
      </c>
      <c r="LZ113" s="152" t="n">
        <v>1</v>
      </c>
      <c r="MA113" s="152" t="n">
        <v>20</v>
      </c>
      <c r="MB113" s="150" t="inlineStr">
        <is>
          <t>ESPECIAL 6</t>
        </is>
      </c>
      <c r="MC113" s="152">
        <f>MAX(1,MIN(7,N('INVOCAÇÕES'!$AH$510)))</f>
        <v/>
      </c>
      <c r="MD113" s="152">
        <f>'INVOCAÇÕES'!$AI$510&amp;""</f>
        <v/>
      </c>
      <c r="ME113" s="152">
        <f>'INVOCAÇÕES'!$AH$515&amp;""</f>
        <v/>
      </c>
      <c r="MF113" s="152">
        <f>'INVOCAÇÕES'!$AH$516&amp;""</f>
        <v/>
      </c>
      <c r="MG113" s="152">
        <f>'INVOCAÇÕES'!$AJ$516&amp;""</f>
        <v/>
      </c>
      <c r="MH113" s="152">
        <f>'INVOCAÇÕES'!$AI$519&amp;""</f>
        <v/>
      </c>
      <c r="MI113" s="152">
        <f>'INVOCAÇÕES'!$AI$520&amp;""</f>
        <v/>
      </c>
      <c r="MJ113" s="152">
        <f>'INVOCAÇÕES'!$AI$521&amp;""</f>
        <v/>
      </c>
      <c r="MK113" s="152">
        <f>'INVOCAÇÕES'!$AI$522&amp;""</f>
        <v/>
      </c>
      <c r="ML113" s="152">
        <f>'INVOCAÇÕES'!$AI$523&amp;""</f>
        <v/>
      </c>
      <c r="MM113" s="152">
        <f>'INVOCAÇÕES'!$AI$524&amp;""</f>
        <v/>
      </c>
      <c r="MN113" s="152">
        <f>IF($MD113&lt;&gt;"",1,0)</f>
        <v/>
      </c>
      <c r="MO113" s="152">
        <f>INDEX($FG$2:$FG$13,$LY113)</f>
        <v/>
      </c>
      <c r="MP113" s="152">
        <f>INDEX($FH$2:$FH$13,$LY113)</f>
        <v/>
      </c>
      <c r="MQ113" s="152">
        <f>INDEX($FI$2:$FI$13,$LY113)</f>
        <v/>
      </c>
      <c r="MR113" s="152">
        <f>INDEX($FT$2:$FT$13,$LY113)</f>
        <v/>
      </c>
      <c r="MS113" s="152">
        <f>INDEX($FU$2:$FU$13,$LY113)</f>
        <v/>
      </c>
      <c r="MT113" s="152">
        <f>IFERROR(MATCH($ME113,$V$2:$V$11,0),0)</f>
        <v/>
      </c>
      <c r="MU113" s="152">
        <f>IFERROR(VLOOKUP($MH113,$AV$2:$AZ$84,2,FALSE),"")</f>
        <v/>
      </c>
      <c r="MV113" s="152">
        <f>IFERROR(VLOOKUP($MI113,$AV$2:$AZ$84,2,FALSE),"")</f>
        <v/>
      </c>
      <c r="MW113" s="152">
        <f>IFERROR(VLOOKUP($MJ113,$AV$2:$AZ$84,2,FALSE),"")</f>
        <v/>
      </c>
      <c r="MX113" s="152">
        <f>IFERROR(VLOOKUP($MK113,$AV$2:$AZ$84,2,FALSE),"")</f>
        <v/>
      </c>
      <c r="MY113" s="152">
        <f>IFERROR(VLOOKUP($MH113,$AV$2:$AZ$84,3,FALSE),0)</f>
        <v/>
      </c>
      <c r="MZ113" s="152">
        <f>IFERROR(VLOOKUP($MI113,$AV$2:$AZ$84,3,FALSE),0)</f>
        <v/>
      </c>
      <c r="NA113" s="152">
        <f>IFERROR(VLOOKUP($MJ113,$AV$2:$AZ$84,3,FALSE),0)</f>
        <v/>
      </c>
      <c r="NB113" s="152">
        <f>IFERROR(VLOOKUP($MK113,$AV$2:$AZ$84,3,FALSE),0)</f>
        <v/>
      </c>
      <c r="NC113" s="152">
        <f>IF($MC113=0,0,IF($MT113=0,0,INDEX($X$2:$X$11,$MT113)))</f>
        <v/>
      </c>
      <c r="ND113" s="152">
        <f>IF(OR($MY113=0,$MC113=0),0,$MY113+3*IF(AND($MU113&lt;&gt;"",OR($MU113=INDEX($ED$2:$ED$13,$LY113),$MU113=INDEX($EE$2:$EE$13,$LY113))),1,0))</f>
        <v/>
      </c>
      <c r="NE113" s="152">
        <f>IF(OR($MZ113=0,$MC113=0),0,$MZ113+3*IF(AND($MV113&lt;&gt;"",OR($MV113=INDEX($ED$2:$ED$13,$LY113),$MV113=INDEX($EE$2:$EE$13,$LY113))),1,0))</f>
        <v/>
      </c>
      <c r="NF113" s="152">
        <f>IF(OR($NA113=0,$MC113=0),0,$NA113+3*IF(AND($MW113&lt;&gt;"",OR($MW113=INDEX($ED$2:$ED$13,$LY113),$MW113=INDEX($EE$2:$EE$13,$LY113))),1,0))</f>
        <v/>
      </c>
      <c r="NG113" s="152">
        <f>IF(OR($NB113=0,$MC113=0),0,$NB113+3*IF(AND($MX113&lt;&gt;"",OR($MX113=INDEX($ED$2:$ED$13,$LY113),$MX113=INDEX($EE$2:$EE$13,$LY113))),1,0))</f>
        <v/>
      </c>
      <c r="NH113" s="152">
        <f>IF($MT113=0,0,IF(INDEX($W$2:$W$11,$MT113)="",0,IF(COUNTIF(INDEX($ED$2:$EH$13,$LY113,0),INDEX($W$2:$W$11,$MT113))=0,1,0)))</f>
        <v/>
      </c>
      <c r="NI113" s="152">
        <f>IF(OR($MY113=0,$MU113=""),0,IF(COUNTIF(INDEX($ED$2:$EH$13,$LY113,0),$MU113)=0,1,0))</f>
        <v/>
      </c>
      <c r="NJ113" s="152">
        <f>IF(OR($MZ113=0,$MV113=""),0,IF(COUNTIF(INDEX($ED$2:$EH$13,$LY113,0),$MV113)=0,1,0))</f>
        <v/>
      </c>
      <c r="NK113" s="152">
        <f>IF(OR($NA113=0,$MW113=""),0,IF(COUNTIF(INDEX($ED$2:$EH$13,$LY113,0),$MW113)=0,1,0))</f>
        <v/>
      </c>
      <c r="NL113" s="152">
        <f>IF(OR($NB113=0,$MX113=""),0,IF(COUNTIF(INDEX($ED$2:$EH$13,$LY113,0),$MX113)=0,1,0))</f>
        <v/>
      </c>
      <c r="NM113" s="152">
        <f>IFERROR(VLOOKUP($MH113,$AV$2:$AZ$84,4,FALSE),0)+IFERROR(VLOOKUP($MI113,$AV$2:$AZ$84,4,FALSE),0)+IFERROR(VLOOKUP($MJ113,$AV$2:$AZ$84,4,FALSE),0)+IFERROR(VLOOKUP($MK113,$AV$2:$AZ$84,4,FALSE),0)</f>
        <v/>
      </c>
      <c r="NN113" s="152">
        <f>TEXTJOIN(", ",TRUE,IF(IFERROR(VLOOKUP($MH113,$AV$2:$AZ$84,5,FALSE),0)=1,$MH113,""),IF(IFERROR(VLOOKUP($MI113,$AV$2:$AZ$84,5,FALSE),0)=1,$MI113,""),IF(IFERROR(VLOOKUP($MJ113,$AV$2:$AZ$84,5,FALSE),0)=1,$MJ113,""),IF(IFERROR(VLOOKUP($MK113,$AV$2:$AZ$84,5,FALSE),0)=1,$MK113,""))</f>
        <v/>
      </c>
      <c r="NO113" s="152">
        <f>IF($MT113=0,0,INDEX($Y$2:$Y$11,$MT113))</f>
        <v/>
      </c>
      <c r="NP113" s="152">
        <f>IF($MT113=0,0,INDEX($Z$2:$Z$11,$MT113))</f>
        <v/>
      </c>
      <c r="NQ113" s="152">
        <f>IF($MT113=0,0,INDEX($AB$2:$AB$11,$MT113))</f>
        <v/>
      </c>
      <c r="NR113" s="152">
        <f>IFERROR(VLOOKUP($ML113,$BB$2:$BF$24,3,FALSE),0)</f>
        <v/>
      </c>
      <c r="NS113" s="152">
        <f>IFERROR(VLOOKUP($MM113,$BB$2:$BF$24,3,FALSE),0)</f>
        <v/>
      </c>
      <c r="NT113" s="152">
        <f>IFERROR(VLOOKUP($ML113,$BB$2:$BF$24,2,FALSE),"")</f>
        <v/>
      </c>
      <c r="NU113" s="152">
        <f>IFERROR(VLOOKUP($MM113,$BB$2:$BF$24,2,FALSE),"")</f>
        <v/>
      </c>
      <c r="NV113" s="152">
        <f>COUNTIF($NC113:$NG113,1)</f>
        <v/>
      </c>
      <c r="NW113" s="152">
        <f>COUNTIF($NC113:$NG113,2)</f>
        <v/>
      </c>
      <c r="NX113" s="152">
        <f>COUNTIF($NC113:$NG113,3)</f>
        <v/>
      </c>
      <c r="NY113" s="152">
        <f>COUNTIF($NC113:$NG113,4)</f>
        <v/>
      </c>
      <c r="NZ113" s="152">
        <f>COUNTIF($NC113:$NG113,5)</f>
        <v/>
      </c>
      <c r="OA113" s="152">
        <f>COUNTIF($NC113:$NG113,6)</f>
        <v/>
      </c>
      <c r="OB113" s="152">
        <f>COUNTIF($NR113:$NS113,1)</f>
        <v/>
      </c>
      <c r="OC113" s="152">
        <f>COUNTIF($NR113:$NS113,2)+$NO113</f>
        <v/>
      </c>
      <c r="OD113" s="152">
        <f>COUNTIF($MH113:$MK113,"?*")</f>
        <v/>
      </c>
      <c r="OE113" s="152">
        <f>COUNTIF($ML113:$MM113,"?*")+$NO113</f>
        <v/>
      </c>
      <c r="OF113" s="152">
        <f>IF($MC113=0,0,SUMPRODUCT($NV113:$OA113,INDEX($I$2:$N$8,MAX(1,$MC113),0)))</f>
        <v/>
      </c>
      <c r="OG113" s="152">
        <f>IF($MC113=0,0,$OB113*CEILING($MC113/2,1)+$OC113*$MC113)</f>
        <v/>
      </c>
      <c r="OH113" s="152">
        <f>MIN(2*$MC113,$OG113)</f>
        <v/>
      </c>
      <c r="OI113" s="152">
        <f>MIN($OH113,$OF113)</f>
        <v/>
      </c>
      <c r="OJ113" s="152">
        <f>$OH113-$OI113</f>
        <v/>
      </c>
      <c r="OK113" s="152">
        <f>IF($MC113=0,0,INDEX($P$2:$P$8,MAX(1,$MC113)))</f>
        <v/>
      </c>
      <c r="OL113" s="152">
        <f>$OK113-$OF113+$OI113</f>
        <v/>
      </c>
      <c r="OM113" s="152">
        <f>IF($MC113=0,MAX(0,$MQ113-IF($OD113&gt;0,1,0)),MAX(0,$OL113))</f>
        <v/>
      </c>
      <c r="ON113" s="152">
        <f>IF($MC113=0,0,(IF(COUNTIF($MH113:$MK113,"Salto")&gt;0,1,0)+IF(COUNTIF($MH113:$MK113,"Queima")&gt;0,1,0)+IF(COUNTIF($MH113:$MK113,"Estilhaço")&gt;0,1,0))*FLOOR($OM113/2,1))</f>
        <v/>
      </c>
      <c r="OO113" s="152">
        <f>MAX(0,2-SUMPRODUCT($NV113:$OA113,$I$2:$N$2)+MIN(2,$OB113*1+$OC113*1,SUMPRODUCT($NV113:$OA113,$I$2:$N$2)))</f>
        <v/>
      </c>
      <c r="OP113" s="152">
        <f>MAX(0,4-SUMPRODUCT($NV113:$OA113,$I$3:$N$3)+MIN(4,$OB113*1+$OC113*2,SUMPRODUCT($NV113:$OA113,$I$3:$N$3)))</f>
        <v/>
      </c>
      <c r="OQ113" s="152">
        <f>MAX(0,6-SUMPRODUCT($NV113:$OA113,$I$4:$N$4)+MIN(6,$OB113*2+$OC113*3,SUMPRODUCT($NV113:$OA113,$I$4:$N$4)))</f>
        <v/>
      </c>
      <c r="OR113" s="152">
        <f>MAX(0,9-SUMPRODUCT($NV113:$OA113,$I$5:$N$5)+MIN(8,$OB113*2+$OC113*4,SUMPRODUCT($NV113:$OA113,$I$5:$N$5)))</f>
        <v/>
      </c>
      <c r="OS113" s="152">
        <f>MAX(0,11-SUMPRODUCT($NV113:$OA113,$I$6:$N$6)+MIN(10,$OB113*3+$OC113*5,SUMPRODUCT($NV113:$OA113,$I$6:$N$6)))</f>
        <v/>
      </c>
      <c r="OT113" s="152">
        <f>MAX(0,13-SUMPRODUCT($NV113:$OA113,$I$7:$N$7)+MIN(12,$OB113*3+$OC113*6,SUMPRODUCT($NV113:$OA113,$I$7:$N$7)))</f>
        <v/>
      </c>
      <c r="OU113" s="152">
        <f>MAX(0,16-SUMPRODUCT($NV113:$OA113,$I$8:$N$8)+MIN(14,$OB113*4+$OC113*7,SUMPRODUCT($NV113:$OA113,$I$8:$N$8)))</f>
        <v/>
      </c>
      <c r="OV113" s="152">
        <f>IF($NP113=2,3*$OO113&amp;" de vida temp.",IF($NP113=3,"sem dano",IF($OO113=0,IF($NP113=1,"sem cura","sem dano"),IF($NP113=1,"cura ","")&amp;$OO113&amp;"d8")))</f>
        <v/>
      </c>
      <c r="OW113" s="152">
        <f>IF($NP113=2,3*$OP113&amp;" de vida temp.",IF($NP113=3,"sem dano",IF($OP113=0,IF($NP113=1,"sem cura","sem dano"),IF($NP113=1,"cura ","")&amp;$OP113&amp;"d8")))</f>
        <v/>
      </c>
      <c r="OX113" s="152">
        <f>IF($NP113=2,3*$OQ113&amp;" de vida temp.",IF($NP113=3,"sem dano",IF($OQ113=0,IF($NP113=1,"sem cura","sem dano"),IF($NP113=1,"cura ","")&amp;$OQ113&amp;"d8")))</f>
        <v/>
      </c>
      <c r="OY113" s="152">
        <f>IF($NP113=2,3*$OR113&amp;" de vida temp.",IF($NP113=3,"sem dano",IF($OR113=0,IF($NP113=1,"sem cura","sem dano"),IF($NP113=1,"cura ","")&amp;$OR113&amp;"d8")))</f>
        <v/>
      </c>
      <c r="OZ113" s="152">
        <f>IF($NP113=2,3*$OS113&amp;" de vida temp.",IF($NP113=3,"sem dano",IF($OS113=0,IF($NP113=1,"sem cura","sem dano"),IF($NP113=1,"cura ","")&amp;$OS113&amp;"d8")))</f>
        <v/>
      </c>
      <c r="PA113" s="152">
        <f>IF($NP113=2,3*$OT113&amp;" de vida temp.",IF($NP113=3,"sem dano",IF($OT113=0,IF($NP113=1,"sem cura","sem dano"),IF($NP113=1,"cura ","")&amp;$OT113&amp;"d8")))</f>
        <v/>
      </c>
      <c r="PB113" s="152">
        <f>IF($NP113=2,3*$OU113&amp;" de vida temp.",IF($NP113=3,"sem dano",IF($OU113=0,IF($NP113=1,"sem cura","sem dano"),IF($NP113=1,"cura ","")&amp;$OU113&amp;"d8")))</f>
        <v/>
      </c>
      <c r="PC113" s="152">
        <f>IF($MN113=0,"",TEXTJOIN(" · ",TRUE,IF($MA113&gt;$MO113,"Este lugar abre no nível "&amp;$MA113,""),IF($MC113&gt;$MP113,"Classe "&amp;$MC113&amp;": o nível "&amp;$MO113&amp;" libera até a "&amp;$MP113,""),IF($NH113=1,"A Forma "&amp;$ME113&amp;" pede "&amp;INDEX($W$2:$W$11,$MT113)&amp;" aberta",""),IF(AND($MC113=0,$MT113&gt;0,IF($MT113=0,0,INDEX($AF$2:$AF$11,$MT113))=0),$ME113&amp;" não existe na Classe 0",""),IF($NI113=1,"Família Fechada: "&amp;$MH113,""),IF($NJ113=1,"Família Fechada: "&amp;$MI113,""),IF($NK113=1,"Família Fechada: "&amp;$MJ113,""),IF($NL113=1,"Família Fechada: "&amp;$MK113,""),IF(AND($MC113&gt;0,$OD113&gt;INDEX($O$2:$O$8,MAX(1,$MC113))),$OD113&amp;" Melhorias: a Classe "&amp;$MC113&amp;" aceita "&amp;INDEX($O$2:$O$8,MAX(1,$MC113)),""),IF(AND($MC113=0,$OD113&gt;1),"A básica aceita uma Melhoria",""),IF(AND($MC113=0,COUNTIF($MY113:$NB113,"&gt;1")&gt;0),"A básica só aceita Melhoria Leve",""),IF(AND($MC113&gt;0,$OE113&gt;2),$OE113&amp;" Restrições"&amp;IF($NO113=1,", contando a que a Forma "&amp;$ME113&amp;" já traz","")&amp;": o limite é 2",""),IF(AND($MC113=0,COUNTIF($ML113:$MM113,"?*")&gt;1),"A básica aceita uma Restrição Leve",""),IF(AND($MC113=0,COUNTIF($NR113:$NS113,2)&gt;0),"A básica só aceita Restrição Leve",""),IF(AND($MC113&gt;0,$OL113&lt;0),"Orçamento estourado: faltam "&amp;(-$OL113)&amp;IF($OL113&lt;-1," pontos"," ponto"),""),IF(IFERROR(VLOOKUP($ML113,$BB$2:$BF$24,4,FALSE),0)+IFERROR(VLOOKUP($MM113,$BB$2:$BF$24,4,FALSE),0)&gt;1,$NT113&amp;" e "&amp;$NU113&amp;" são as duas de frequência",""),IF(AND((COUNTIF($MH113:$MK113,"Rápido")+COUNTIF($NT113:$NU113,"Rápido"))&gt;0,(COUNTIF($MH113:$MK113,"Atrasar")+COUNTIF($NT113:$NU113,"Atrasar"))&gt;0),"Rápido não entra com Atrasar",""),IF(AND((COUNTIF($MH113:$MK113,"Reação")+COUNTIF($NT113:$NU113,"Reação"))&gt;0,(COUNTIF($MH113:$MK113,"Rápido")+COUNTIF($NT113:$NU113,"Rápido"))&gt;0),"Reação não entra com Rápido",""),IF(AND((COUNTIF($MH113:$MK113,"Reação")+COUNTIF($NT113:$NU113,"Reação"))&gt;0,(COUNTIF($MH113:$MK113,"Armado")+COUNTIF($NT113:$NU113,"Armado"))&gt;0),"Reação não entra com Armado",""),IF(AND((COUNTIF($MH113:$MK113,"Reação")+COUNTIF($NT113:$NU113,"Reação"))&gt;0,(COUNTIF($MH113:$MK113,"Atrasar")+COUNTIF($NT113:$NU113,"Atrasar"))&gt;0),"Reação não entra com Atrasar",""),IF(AND((COUNTIF($MH113:$MK113,"Reação")+COUNTIF($NT113:$NU113,"Reação"))&gt;0,(COUNTIF($MH113:$MK113,"Parado")+COUNTIF($NT113:$NU113,"Parado"))&gt;0),"Reação não entra com Parado",""),IF(AND((COUNTIF($MH113:$MK113,"Atrasar")+COUNTIF($NT113:$NU113,"Atrasar"))&gt;0,(COUNTIF($MH113:$MK113,"Parado")+COUNTIF($NT113:$NU113,"Parado"))&gt;0),"Atrasar não entra com Parado",""),IF(AND((COUNTIF($MH113:$MK113,"Armado")+COUNTIF($NT113:$NU113,"Armado"))&gt;0,(COUNTIF($MH113:$MK113,"Carregar")+COUNTIF($NT113:$NU113,"Carregar"))&gt;0),"Armado não entra com Carregar",""),IF(AND(COUNTIF($NT113:$NU113,"Corpo a Corpo")&gt;0,$NO113=0,OR($ME113="Cone",$ME113="Linha")),"Corpo a Corpo não entra em "&amp;$ME113,""),IF(AND(COUNTIF($NT113:$NU113,"Corpo a Corpo")&gt;0,$NO113=1),"A Forma "&amp;$ME113&amp;" já traz o Corpo a Corpo",""),IF(AND(COUNTIF($NT113:$NU113,"Tudo ou Nada")&gt;0,$NQ113=0),"Tudo ou Nada só entra em habilidade de Teste de Resistência",""),IF(AND(COUNTIF($MH113:$MK113,"Inescapável")&gt;0,OR($OD113&gt;1,$OE113&gt;0)),"Inescapável não aceita outra peça",""),IF(AND($MC113&gt;0,$OM113*IF(COUNTIF($MH113:$MK113,"Remate")&gt;0,1.25,1)+$ON113&gt;4*$MC113),($OM113*IF(COUNTIF($MH113:$MK113,"Remate")&gt;0,1.25,1)+$ON113)&amp;" dados somando repetições"&amp;IF(COUNTIF($MH113:$MK113,"Remate")&gt;0," e o Remate","")&amp;": o teto da Classe "&amp;$MC113&amp;" é "&amp;4*$MC113,"")))</f>
        <v/>
      </c>
      <c r="PD113" s="152">
        <f>IF($PC113="",0,(LEN($PC113)-LEN(SUBSTITUTE($PC113," · ","")))/3+1)</f>
        <v/>
      </c>
      <c r="PE113" s="152">
        <f>IF($MN113=0,"",TEXTJOIN(" · ",TRUE,IF($OG113&gt;2*$MC113,"A devolução parou no teto de "&amp;2*$MC113,""),IF($OJ113&gt;0,"Devolução perdida: "&amp;$OJ113&amp;IF($OJ113&gt;1," pontos"," ponto")&amp;" sem peça para pagar",""),IF(AND($NM113&gt;0,AND($MC113&gt;0,$NP113=0),$OM113=0),"Controle sem dano: uma rodada a mais e CD +2",""),IF(AND($NM113&gt;0,AND($MC113&gt;0,$NP113=0),$OM113&gt;0,$OM113&lt;=$MC113),"Controle com saldo até a Classe: uma rodada a mais",""),IF(AND($MC113&gt;0,$NN113&lt;&gt;""),"Efeito de "&amp;$NN113&amp;" pela Classe "&amp;MAX(1,$MC113-1),"")))</f>
        <v/>
      </c>
      <c r="PF113" s="152">
        <f>IF($PE113="",0,(LEN($PE113)-LEN(SUBSTITUTE($PE113," · ","")))/3+1)</f>
        <v/>
      </c>
      <c r="PG113" s="152">
        <f>IF($MN113=0,IF($OD113+COUNTIF($ML113:$MM113,"?*")&gt;0,"Dê um nome",""),IF($PD113&gt;0,"⚠ "&amp;$PD113&amp;IF($PD113&gt;1," erros"," erro"),IF($PF113&gt;0,"! "&amp;$PF113&amp;IF($PF113&gt;1," avisos"," aviso"),"Na regra")))</f>
        <v/>
      </c>
      <c r="PH113" s="152">
        <f>IF($MN113=0,"",IF($PD113+$PF113=0,"Dentro das regras que a ficha confere",$PC113&amp;IF(AND($PD113&gt;0,$PF113&gt;0)," · ","")&amp;$PE113))</f>
        <v/>
      </c>
      <c r="PI113" s="152">
        <f>IF($MA113&gt;$MO113,$MB113&amp;" · ABRE NO NÍVEL "&amp;$MA113,$MB113)</f>
        <v/>
      </c>
      <c r="PJ113" s="152">
        <f>IF($MN113=0,"",IF($MC113=0,"Sem PE",3*$MC113&amp;" PE"))</f>
        <v/>
      </c>
      <c r="PK113" s="152">
        <f>IF($MN113=0,"",IF($MC113=0,"A atuação básica dela",IF(COUNTIF($NT113:$NU113,"Atrasar")&gt;0,"Sua Ação Completa",IF(COUNTIF($MH113:$MK113,"Rápido")&gt;0,"Sua Bônus",IF(COUNTIF($MH113:$MK113,"Reação")&gt;0,"Sua Reação","Sua Padrão")))&amp;" + a básica dela"&amp;IF(COUNTIF($MH113:$MK113,"Reação")&gt;0," e a coletiva","")&amp;IF(COUNTIF($NT113:$NU113,"Carregar")&gt;0," · em dois turnos","")))</f>
        <v/>
      </c>
      <c r="PL113" s="152">
        <f>IF($MG113&lt;&gt;"",$MG113,IF($MT113=0,"",INDEX($AA$2:$AA$11,$MT113)))</f>
        <v/>
      </c>
      <c r="PM113" s="152">
        <f>IF(OR($MN113=0,$MT113=0),"",IF(COUNTIF($MH113:$MK113,"Inescapável")&gt;0,"Automático",IF($PL113="Ataque",IF($MR113="","Ataque","Ataque "&amp;IF(($MR113+2*IF(COUNTIF($MH113:$MK113,"Precisão")&gt;0,1,0))&gt;=0,"+","−")&amp;ABS(($MR113+2*IF(COUNTIF($MH113:$MK113,"Precisão")&gt;0,1,0)))),IF(LEFT($PL113,2)="TR",$PL113&amp;IF($MS113="",""," · CD "&amp;$MS113)&amp;IF(COUNTIF($MH113:$MK113,"Certeiro")&gt;0," · metade",""),"Sem rolagem"))))</f>
        <v/>
      </c>
      <c r="PN113" s="152">
        <f>IF(OR($MN113=0,$MT113=0),"",IF($MC113=0,IF(OR($NP113&gt;=1,$OM113=0),"Sem dano",$OM113&amp;"d6"&amp;IF($MF113="",""," "&amp;$MF113)),IF(OR($NP113&gt;=1,$OM113=0),UPPER(LEFT(INDEX($OV113:$PB113,1,MAX(1,$MC113)),1))&amp;MID(INDEX($OV113:$PB113,1,MAX(1,$MC113)),2,99),UPPER(LEFT(INDEX($OV113:$PB113,1,MAX(1,$MC113)),1))&amp;MID(INDEX($OV113:$PB113,1,MAX(1,$MC113)),2,99)&amp;IF($MF113="",""," "&amp;$MF113)&amp;IF($ON113&gt;0," · +"&amp;$ON113&amp;"d8",""))))</f>
        <v/>
      </c>
      <c r="PO113" s="152">
        <f>COUNTIF($MH113:$MK113,"Longe")+3*COUNTIF($MH113:$MK113,"Muito Longe")</f>
        <v/>
      </c>
      <c r="PP113" s="152">
        <f>COUNTIF($MH113:$MK113,"Maior")+3*COUNTIF($MH113:$MK113,"Muito Maior")</f>
        <v/>
      </c>
      <c r="PQ113" s="152">
        <f>IF($MT113=0,0,CHOOSE(1+INDEX($AC$2:$AC$11,$MT113),0,$PO113,$PP113,$PO113+$PP113))</f>
        <v/>
      </c>
      <c r="PR113" s="152">
        <f>IF($MT113=0,0,CHOOSE(1+INDEX($AD$2:$AD$11,$MT113),0,$PO113,$PP113,$PO113+$PP113))</f>
        <v/>
      </c>
      <c r="PS113" s="152">
        <f>IF(OR($MN113=0,$MT113=0),"",INDEX($AI$2:$AN$41,($MT113-1)*4+IF($MC113=0,1,IF($MC113&lt;=5,2,IF($MC113=6,3,4))),1+MIN(5,$PQ113))&amp;INDEX($AO$2:$AT$41,($MT113-1)*4+IF($MC113=0,1,IF($MC113&lt;=5,2,IF($MC113=6,3,4))),1+MIN(5,$PR113))&amp;IF(INDEX($AE$2:$AE$11,$MT113)=1,IF(COUNTIF($MH113:$MK113,"Mais Um")&gt;0," · +"&amp;COUNTIF($MH113:$MK113,"Mais Um")&amp;IF(COUNTIF($MH113:$MK113,"Mais Um")&gt;1," alvos"," alvo"),"")&amp;IF(COUNTIF($MH113:$MK113,"Rajada")&gt;0,IF($MC113=0," · 1 tiro"," · "&amp;(MAX(1,$MC113-1)+1)&amp;" tiros"),""),""))</f>
        <v/>
      </c>
      <c r="PT113" s="152">
        <f>IF($MN113=0,"",IF($MC113=0,$MQ113&amp;"d6"&amp;IF($OD113&gt;0," − 1 = "&amp;$OM113&amp;"d6"," da básica do nível "&amp;$MO113),$OK113&amp;" − "&amp;$OF113&amp;" + "&amp;$OI113&amp;" = "&amp;$OL113&amp;" · teto "&amp;4*$MC113&amp;"d8"&amp;IF($NO113=1," · a Forma devolve "&amp;$MC113,"")&amp;IF($OJ113&gt;0," · perde "&amp;$OJ113,"")))</f>
        <v/>
      </c>
      <c r="PU113" s="152">
        <f>IF($MN113=0,"",IF($MC113=0,"A básica não amplia: os dados dela sobem com o nível",IF($MC113&gt;=$MP113,"Já está na maior Classe que o nível liberou",TEXTJOIN(" · ",TRUE,IF(AND(2&gt;$MC113,2&lt;=$MP113),"2 → "&amp;$OW113&amp;", 6 PE",""),IF(AND(3&gt;$MC113,3&lt;=$MP113),"3 → "&amp;$OX113&amp;", 9 PE",""),IF(AND(4&gt;$MC113,4&lt;=$MP113),"4 → "&amp;$OY113&amp;", 12 PE",""),IF(AND(5&gt;$MC113,5&lt;=$MP113),"5 → "&amp;$OZ113&amp;", 15 PE",""),IF(AND(6&gt;$MC113,6&lt;=$MP113),"6 → "&amp;$PA113&amp;", 18 PE",""),IF(AND(7&gt;$MC113,7&lt;=$MP113),"7 → "&amp;$PB113&amp;", 21 PE","")))))</f>
        <v/>
      </c>
      <c r="PV113" s="152">
        <f>IF(OR($MN113=0,$MY113=0),"",IF($MC113=0,"−1 dado","−"&amp;INDEX($I$2:$N$8,MAX(1,$MC113),MAX(1,$ND113))&amp;" · "&amp;CHOOSE(MAX(1,$ND113),"Leve","Média","Pesada","Leve · Livre","Média · Livre","Pesada · Livre")))</f>
        <v/>
      </c>
      <c r="PW113" s="152">
        <f>IF(OR($MN113=0,$MZ113=0),"",IF($MC113=0,"−1 dado","−"&amp;INDEX($I$2:$N$8,MAX(1,$MC113),MAX(1,$NE113))&amp;" · "&amp;CHOOSE(MAX(1,$NE113),"Leve","Média","Pesada","Leve · Livre","Média · Livre","Pesada · Livre")))</f>
        <v/>
      </c>
      <c r="PX113" s="152">
        <f>IF(OR($MN113=0,$NA113=0),"",IF($MC113=0,"−1 dado","−"&amp;INDEX($I$2:$N$8,MAX(1,$MC113),MAX(1,$NF113))&amp;" · "&amp;CHOOSE(MAX(1,$NF113),"Leve","Média","Pesada","Leve · Livre","Média · Livre","Pesada · Livre")))</f>
        <v/>
      </c>
      <c r="PY113" s="152">
        <f>IF(OR($MN113=0,$NB113=0),"",IF($MC113=0,"−1 dado","−"&amp;INDEX($I$2:$N$8,MAX(1,$MC113),MAX(1,$NG113))&amp;" · "&amp;CHOOSE(MAX(1,$NG113),"Leve","Média","Pesada","Leve · Livre","Média · Livre","Pesada · Livre")))</f>
        <v/>
      </c>
      <c r="PZ113" s="152">
        <f>IF(OR($MN113=0,$ML113=""),"",IF($MC113=0,"não devolve","+"&amp;IF($NR113=1,CEILING($MC113/2,1),$MC113)))</f>
        <v/>
      </c>
      <c r="QA113" s="152">
        <f>IF(OR($MN113=0,$MM113=""),"",IF($MC113=0,"não devolve","+"&amp;IF($NS113=1,CEILING($MC113/2,1),$MC113)))</f>
        <v/>
      </c>
    </row>
    <row r="114">
      <c r="LX114" s="150" t="inlineStr">
        <is>
          <t>Ficha 9 · Especial 7</t>
        </is>
      </c>
      <c r="LY114" s="152" t="n">
        <v>9</v>
      </c>
      <c r="LZ114" s="152" t="n">
        <v>1</v>
      </c>
      <c r="MA114" s="152" t="n">
        <v>24</v>
      </c>
      <c r="MB114" s="150" t="inlineStr">
        <is>
          <t>ESPECIAL 7</t>
        </is>
      </c>
      <c r="MC114" s="152">
        <f>MAX(1,MIN(7,N('INVOCAÇÕES'!$AN$510)))</f>
        <v/>
      </c>
      <c r="MD114" s="152">
        <f>'INVOCAÇÕES'!$AO$510&amp;""</f>
        <v/>
      </c>
      <c r="ME114" s="152">
        <f>'INVOCAÇÕES'!$AN$515&amp;""</f>
        <v/>
      </c>
      <c r="MF114" s="152">
        <f>'INVOCAÇÕES'!$AN$516&amp;""</f>
        <v/>
      </c>
      <c r="MG114" s="152">
        <f>'INVOCAÇÕES'!$AP$516&amp;""</f>
        <v/>
      </c>
      <c r="MH114" s="152">
        <f>'INVOCAÇÕES'!$AO$519&amp;""</f>
        <v/>
      </c>
      <c r="MI114" s="152">
        <f>'INVOCAÇÕES'!$AO$520&amp;""</f>
        <v/>
      </c>
      <c r="MJ114" s="152">
        <f>'INVOCAÇÕES'!$AO$521&amp;""</f>
        <v/>
      </c>
      <c r="MK114" s="152">
        <f>'INVOCAÇÕES'!$AO$522&amp;""</f>
        <v/>
      </c>
      <c r="ML114" s="152">
        <f>'INVOCAÇÕES'!$AO$523&amp;""</f>
        <v/>
      </c>
      <c r="MM114" s="152">
        <f>'INVOCAÇÕES'!$AO$524&amp;""</f>
        <v/>
      </c>
      <c r="MN114" s="152">
        <f>IF($MD114&lt;&gt;"",1,0)</f>
        <v/>
      </c>
      <c r="MO114" s="152">
        <f>INDEX($FG$2:$FG$13,$LY114)</f>
        <v/>
      </c>
      <c r="MP114" s="152">
        <f>INDEX($FH$2:$FH$13,$LY114)</f>
        <v/>
      </c>
      <c r="MQ114" s="152">
        <f>INDEX($FI$2:$FI$13,$LY114)</f>
        <v/>
      </c>
      <c r="MR114" s="152">
        <f>INDEX($FT$2:$FT$13,$LY114)</f>
        <v/>
      </c>
      <c r="MS114" s="152">
        <f>INDEX($FU$2:$FU$13,$LY114)</f>
        <v/>
      </c>
      <c r="MT114" s="152">
        <f>IFERROR(MATCH($ME114,$V$2:$V$11,0),0)</f>
        <v/>
      </c>
      <c r="MU114" s="152">
        <f>IFERROR(VLOOKUP($MH114,$AV$2:$AZ$84,2,FALSE),"")</f>
        <v/>
      </c>
      <c r="MV114" s="152">
        <f>IFERROR(VLOOKUP($MI114,$AV$2:$AZ$84,2,FALSE),"")</f>
        <v/>
      </c>
      <c r="MW114" s="152">
        <f>IFERROR(VLOOKUP($MJ114,$AV$2:$AZ$84,2,FALSE),"")</f>
        <v/>
      </c>
      <c r="MX114" s="152">
        <f>IFERROR(VLOOKUP($MK114,$AV$2:$AZ$84,2,FALSE),"")</f>
        <v/>
      </c>
      <c r="MY114" s="152">
        <f>IFERROR(VLOOKUP($MH114,$AV$2:$AZ$84,3,FALSE),0)</f>
        <v/>
      </c>
      <c r="MZ114" s="152">
        <f>IFERROR(VLOOKUP($MI114,$AV$2:$AZ$84,3,FALSE),0)</f>
        <v/>
      </c>
      <c r="NA114" s="152">
        <f>IFERROR(VLOOKUP($MJ114,$AV$2:$AZ$84,3,FALSE),0)</f>
        <v/>
      </c>
      <c r="NB114" s="152">
        <f>IFERROR(VLOOKUP($MK114,$AV$2:$AZ$84,3,FALSE),0)</f>
        <v/>
      </c>
      <c r="NC114" s="152">
        <f>IF($MC114=0,0,IF($MT114=0,0,INDEX($X$2:$X$11,$MT114)))</f>
        <v/>
      </c>
      <c r="ND114" s="152">
        <f>IF(OR($MY114=0,$MC114=0),0,$MY114+3*IF(AND($MU114&lt;&gt;"",OR($MU114=INDEX($ED$2:$ED$13,$LY114),$MU114=INDEX($EE$2:$EE$13,$LY114))),1,0))</f>
        <v/>
      </c>
      <c r="NE114" s="152">
        <f>IF(OR($MZ114=0,$MC114=0),0,$MZ114+3*IF(AND($MV114&lt;&gt;"",OR($MV114=INDEX($ED$2:$ED$13,$LY114),$MV114=INDEX($EE$2:$EE$13,$LY114))),1,0))</f>
        <v/>
      </c>
      <c r="NF114" s="152">
        <f>IF(OR($NA114=0,$MC114=0),0,$NA114+3*IF(AND($MW114&lt;&gt;"",OR($MW114=INDEX($ED$2:$ED$13,$LY114),$MW114=INDEX($EE$2:$EE$13,$LY114))),1,0))</f>
        <v/>
      </c>
      <c r="NG114" s="152">
        <f>IF(OR($NB114=0,$MC114=0),0,$NB114+3*IF(AND($MX114&lt;&gt;"",OR($MX114=INDEX($ED$2:$ED$13,$LY114),$MX114=INDEX($EE$2:$EE$13,$LY114))),1,0))</f>
        <v/>
      </c>
      <c r="NH114" s="152">
        <f>IF($MT114=0,0,IF(INDEX($W$2:$W$11,$MT114)="",0,IF(COUNTIF(INDEX($ED$2:$EH$13,$LY114,0),INDEX($W$2:$W$11,$MT114))=0,1,0)))</f>
        <v/>
      </c>
      <c r="NI114" s="152">
        <f>IF(OR($MY114=0,$MU114=""),0,IF(COUNTIF(INDEX($ED$2:$EH$13,$LY114,0),$MU114)=0,1,0))</f>
        <v/>
      </c>
      <c r="NJ114" s="152">
        <f>IF(OR($MZ114=0,$MV114=""),0,IF(COUNTIF(INDEX($ED$2:$EH$13,$LY114,0),$MV114)=0,1,0))</f>
        <v/>
      </c>
      <c r="NK114" s="152">
        <f>IF(OR($NA114=0,$MW114=""),0,IF(COUNTIF(INDEX($ED$2:$EH$13,$LY114,0),$MW114)=0,1,0))</f>
        <v/>
      </c>
      <c r="NL114" s="152">
        <f>IF(OR($NB114=0,$MX114=""),0,IF(COUNTIF(INDEX($ED$2:$EH$13,$LY114,0),$MX114)=0,1,0))</f>
        <v/>
      </c>
      <c r="NM114" s="152">
        <f>IFERROR(VLOOKUP($MH114,$AV$2:$AZ$84,4,FALSE),0)+IFERROR(VLOOKUP($MI114,$AV$2:$AZ$84,4,FALSE),0)+IFERROR(VLOOKUP($MJ114,$AV$2:$AZ$84,4,FALSE),0)+IFERROR(VLOOKUP($MK114,$AV$2:$AZ$84,4,FALSE),0)</f>
        <v/>
      </c>
      <c r="NN114" s="152">
        <f>TEXTJOIN(", ",TRUE,IF(IFERROR(VLOOKUP($MH114,$AV$2:$AZ$84,5,FALSE),0)=1,$MH114,""),IF(IFERROR(VLOOKUP($MI114,$AV$2:$AZ$84,5,FALSE),0)=1,$MI114,""),IF(IFERROR(VLOOKUP($MJ114,$AV$2:$AZ$84,5,FALSE),0)=1,$MJ114,""),IF(IFERROR(VLOOKUP($MK114,$AV$2:$AZ$84,5,FALSE),0)=1,$MK114,""))</f>
        <v/>
      </c>
      <c r="NO114" s="152">
        <f>IF($MT114=0,0,INDEX($Y$2:$Y$11,$MT114))</f>
        <v/>
      </c>
      <c r="NP114" s="152">
        <f>IF($MT114=0,0,INDEX($Z$2:$Z$11,$MT114))</f>
        <v/>
      </c>
      <c r="NQ114" s="152">
        <f>IF($MT114=0,0,INDEX($AB$2:$AB$11,$MT114))</f>
        <v/>
      </c>
      <c r="NR114" s="152">
        <f>IFERROR(VLOOKUP($ML114,$BB$2:$BF$24,3,FALSE),0)</f>
        <v/>
      </c>
      <c r="NS114" s="152">
        <f>IFERROR(VLOOKUP($MM114,$BB$2:$BF$24,3,FALSE),0)</f>
        <v/>
      </c>
      <c r="NT114" s="152">
        <f>IFERROR(VLOOKUP($ML114,$BB$2:$BF$24,2,FALSE),"")</f>
        <v/>
      </c>
      <c r="NU114" s="152">
        <f>IFERROR(VLOOKUP($MM114,$BB$2:$BF$24,2,FALSE),"")</f>
        <v/>
      </c>
      <c r="NV114" s="152">
        <f>COUNTIF($NC114:$NG114,1)</f>
        <v/>
      </c>
      <c r="NW114" s="152">
        <f>COUNTIF($NC114:$NG114,2)</f>
        <v/>
      </c>
      <c r="NX114" s="152">
        <f>COUNTIF($NC114:$NG114,3)</f>
        <v/>
      </c>
      <c r="NY114" s="152">
        <f>COUNTIF($NC114:$NG114,4)</f>
        <v/>
      </c>
      <c r="NZ114" s="152">
        <f>COUNTIF($NC114:$NG114,5)</f>
        <v/>
      </c>
      <c r="OA114" s="152">
        <f>COUNTIF($NC114:$NG114,6)</f>
        <v/>
      </c>
      <c r="OB114" s="152">
        <f>COUNTIF($NR114:$NS114,1)</f>
        <v/>
      </c>
      <c r="OC114" s="152">
        <f>COUNTIF($NR114:$NS114,2)+$NO114</f>
        <v/>
      </c>
      <c r="OD114" s="152">
        <f>COUNTIF($MH114:$MK114,"?*")</f>
        <v/>
      </c>
      <c r="OE114" s="152">
        <f>COUNTIF($ML114:$MM114,"?*")+$NO114</f>
        <v/>
      </c>
      <c r="OF114" s="152">
        <f>IF($MC114=0,0,SUMPRODUCT($NV114:$OA114,INDEX($I$2:$N$8,MAX(1,$MC114),0)))</f>
        <v/>
      </c>
      <c r="OG114" s="152">
        <f>IF($MC114=0,0,$OB114*CEILING($MC114/2,1)+$OC114*$MC114)</f>
        <v/>
      </c>
      <c r="OH114" s="152">
        <f>MIN(2*$MC114,$OG114)</f>
        <v/>
      </c>
      <c r="OI114" s="152">
        <f>MIN($OH114,$OF114)</f>
        <v/>
      </c>
      <c r="OJ114" s="152">
        <f>$OH114-$OI114</f>
        <v/>
      </c>
      <c r="OK114" s="152">
        <f>IF($MC114=0,0,INDEX($P$2:$P$8,MAX(1,$MC114)))</f>
        <v/>
      </c>
      <c r="OL114" s="152">
        <f>$OK114-$OF114+$OI114</f>
        <v/>
      </c>
      <c r="OM114" s="152">
        <f>IF($MC114=0,MAX(0,$MQ114-IF($OD114&gt;0,1,0)),MAX(0,$OL114))</f>
        <v/>
      </c>
      <c r="ON114" s="152">
        <f>IF($MC114=0,0,(IF(COUNTIF($MH114:$MK114,"Salto")&gt;0,1,0)+IF(COUNTIF($MH114:$MK114,"Queima")&gt;0,1,0)+IF(COUNTIF($MH114:$MK114,"Estilhaço")&gt;0,1,0))*FLOOR($OM114/2,1))</f>
        <v/>
      </c>
      <c r="OO114" s="152">
        <f>MAX(0,2-SUMPRODUCT($NV114:$OA114,$I$2:$N$2)+MIN(2,$OB114*1+$OC114*1,SUMPRODUCT($NV114:$OA114,$I$2:$N$2)))</f>
        <v/>
      </c>
      <c r="OP114" s="152">
        <f>MAX(0,4-SUMPRODUCT($NV114:$OA114,$I$3:$N$3)+MIN(4,$OB114*1+$OC114*2,SUMPRODUCT($NV114:$OA114,$I$3:$N$3)))</f>
        <v/>
      </c>
      <c r="OQ114" s="152">
        <f>MAX(0,6-SUMPRODUCT($NV114:$OA114,$I$4:$N$4)+MIN(6,$OB114*2+$OC114*3,SUMPRODUCT($NV114:$OA114,$I$4:$N$4)))</f>
        <v/>
      </c>
      <c r="OR114" s="152">
        <f>MAX(0,9-SUMPRODUCT($NV114:$OA114,$I$5:$N$5)+MIN(8,$OB114*2+$OC114*4,SUMPRODUCT($NV114:$OA114,$I$5:$N$5)))</f>
        <v/>
      </c>
      <c r="OS114" s="152">
        <f>MAX(0,11-SUMPRODUCT($NV114:$OA114,$I$6:$N$6)+MIN(10,$OB114*3+$OC114*5,SUMPRODUCT($NV114:$OA114,$I$6:$N$6)))</f>
        <v/>
      </c>
      <c r="OT114" s="152">
        <f>MAX(0,13-SUMPRODUCT($NV114:$OA114,$I$7:$N$7)+MIN(12,$OB114*3+$OC114*6,SUMPRODUCT($NV114:$OA114,$I$7:$N$7)))</f>
        <v/>
      </c>
      <c r="OU114" s="152">
        <f>MAX(0,16-SUMPRODUCT($NV114:$OA114,$I$8:$N$8)+MIN(14,$OB114*4+$OC114*7,SUMPRODUCT($NV114:$OA114,$I$8:$N$8)))</f>
        <v/>
      </c>
      <c r="OV114" s="152">
        <f>IF($NP114=2,3*$OO114&amp;" de vida temp.",IF($NP114=3,"sem dano",IF($OO114=0,IF($NP114=1,"sem cura","sem dano"),IF($NP114=1,"cura ","")&amp;$OO114&amp;"d8")))</f>
        <v/>
      </c>
      <c r="OW114" s="152">
        <f>IF($NP114=2,3*$OP114&amp;" de vida temp.",IF($NP114=3,"sem dano",IF($OP114=0,IF($NP114=1,"sem cura","sem dano"),IF($NP114=1,"cura ","")&amp;$OP114&amp;"d8")))</f>
        <v/>
      </c>
      <c r="OX114" s="152">
        <f>IF($NP114=2,3*$OQ114&amp;" de vida temp.",IF($NP114=3,"sem dano",IF($OQ114=0,IF($NP114=1,"sem cura","sem dano"),IF($NP114=1,"cura ","")&amp;$OQ114&amp;"d8")))</f>
        <v/>
      </c>
      <c r="OY114" s="152">
        <f>IF($NP114=2,3*$OR114&amp;" de vida temp.",IF($NP114=3,"sem dano",IF($OR114=0,IF($NP114=1,"sem cura","sem dano"),IF($NP114=1,"cura ","")&amp;$OR114&amp;"d8")))</f>
        <v/>
      </c>
      <c r="OZ114" s="152">
        <f>IF($NP114=2,3*$OS114&amp;" de vida temp.",IF($NP114=3,"sem dano",IF($OS114=0,IF($NP114=1,"sem cura","sem dano"),IF($NP114=1,"cura ","")&amp;$OS114&amp;"d8")))</f>
        <v/>
      </c>
      <c r="PA114" s="152">
        <f>IF($NP114=2,3*$OT114&amp;" de vida temp.",IF($NP114=3,"sem dano",IF($OT114=0,IF($NP114=1,"sem cura","sem dano"),IF($NP114=1,"cura ","")&amp;$OT114&amp;"d8")))</f>
        <v/>
      </c>
      <c r="PB114" s="152">
        <f>IF($NP114=2,3*$OU114&amp;" de vida temp.",IF($NP114=3,"sem dano",IF($OU114=0,IF($NP114=1,"sem cura","sem dano"),IF($NP114=1,"cura ","")&amp;$OU114&amp;"d8")))</f>
        <v/>
      </c>
      <c r="PC114" s="152">
        <f>IF($MN114=0,"",TEXTJOIN(" · ",TRUE,IF($MA114&gt;$MO114,"Este lugar abre no nível "&amp;$MA114,""),IF($MC114&gt;$MP114,"Classe "&amp;$MC114&amp;": o nível "&amp;$MO114&amp;" libera até a "&amp;$MP114,""),IF($NH114=1,"A Forma "&amp;$ME114&amp;" pede "&amp;INDEX($W$2:$W$11,$MT114)&amp;" aberta",""),IF(AND($MC114=0,$MT114&gt;0,IF($MT114=0,0,INDEX($AF$2:$AF$11,$MT114))=0),$ME114&amp;" não existe na Classe 0",""),IF($NI114=1,"Família Fechada: "&amp;$MH114,""),IF($NJ114=1,"Família Fechada: "&amp;$MI114,""),IF($NK114=1,"Família Fechada: "&amp;$MJ114,""),IF($NL114=1,"Família Fechada: "&amp;$MK114,""),IF(AND($MC114&gt;0,$OD114&gt;INDEX($O$2:$O$8,MAX(1,$MC114))),$OD114&amp;" Melhorias: a Classe "&amp;$MC114&amp;" aceita "&amp;INDEX($O$2:$O$8,MAX(1,$MC114)),""),IF(AND($MC114=0,$OD114&gt;1),"A básica aceita uma Melhoria",""),IF(AND($MC114=0,COUNTIF($MY114:$NB114,"&gt;1")&gt;0),"A básica só aceita Melhoria Leve",""),IF(AND($MC114&gt;0,$OE114&gt;2),$OE114&amp;" Restrições"&amp;IF($NO114=1,", contando a que a Forma "&amp;$ME114&amp;" já traz","")&amp;": o limite é 2",""),IF(AND($MC114=0,COUNTIF($ML114:$MM114,"?*")&gt;1),"A básica aceita uma Restrição Leve",""),IF(AND($MC114=0,COUNTIF($NR114:$NS114,2)&gt;0),"A básica só aceita Restrição Leve",""),IF(AND($MC114&gt;0,$OL114&lt;0),"Orçamento estourado: faltam "&amp;(-$OL114)&amp;IF($OL114&lt;-1," pontos"," ponto"),""),IF(IFERROR(VLOOKUP($ML114,$BB$2:$BF$24,4,FALSE),0)+IFERROR(VLOOKUP($MM114,$BB$2:$BF$24,4,FALSE),0)&gt;1,$NT114&amp;" e "&amp;$NU114&amp;" são as duas de frequência",""),IF(AND((COUNTIF($MH114:$MK114,"Rápido")+COUNTIF($NT114:$NU114,"Rápido"))&gt;0,(COUNTIF($MH114:$MK114,"Atrasar")+COUNTIF($NT114:$NU114,"Atrasar"))&gt;0),"Rápido não entra com Atrasar",""),IF(AND((COUNTIF($MH114:$MK114,"Reação")+COUNTIF($NT114:$NU114,"Reação"))&gt;0,(COUNTIF($MH114:$MK114,"Rápido")+COUNTIF($NT114:$NU114,"Rápido"))&gt;0),"Reação não entra com Rápido",""),IF(AND((COUNTIF($MH114:$MK114,"Reação")+COUNTIF($NT114:$NU114,"Reação"))&gt;0,(COUNTIF($MH114:$MK114,"Armado")+COUNTIF($NT114:$NU114,"Armado"))&gt;0),"Reação não entra com Armado",""),IF(AND((COUNTIF($MH114:$MK114,"Reação")+COUNTIF($NT114:$NU114,"Reação"))&gt;0,(COUNTIF($MH114:$MK114,"Atrasar")+COUNTIF($NT114:$NU114,"Atrasar"))&gt;0),"Reação não entra com Atrasar",""),IF(AND((COUNTIF($MH114:$MK114,"Reação")+COUNTIF($NT114:$NU114,"Reação"))&gt;0,(COUNTIF($MH114:$MK114,"Parado")+COUNTIF($NT114:$NU114,"Parado"))&gt;0),"Reação não entra com Parado",""),IF(AND((COUNTIF($MH114:$MK114,"Atrasar")+COUNTIF($NT114:$NU114,"Atrasar"))&gt;0,(COUNTIF($MH114:$MK114,"Parado")+COUNTIF($NT114:$NU114,"Parado"))&gt;0),"Atrasar não entra com Parado",""),IF(AND((COUNTIF($MH114:$MK114,"Armado")+COUNTIF($NT114:$NU114,"Armado"))&gt;0,(COUNTIF($MH114:$MK114,"Carregar")+COUNTIF($NT114:$NU114,"Carregar"))&gt;0),"Armado não entra com Carregar",""),IF(AND(COUNTIF($NT114:$NU114,"Corpo a Corpo")&gt;0,$NO114=0,OR($ME114="Cone",$ME114="Linha")),"Corpo a Corpo não entra em "&amp;$ME114,""),IF(AND(COUNTIF($NT114:$NU114,"Corpo a Corpo")&gt;0,$NO114=1),"A Forma "&amp;$ME114&amp;" já traz o Corpo a Corpo",""),IF(AND(COUNTIF($NT114:$NU114,"Tudo ou Nada")&gt;0,$NQ114=0),"Tudo ou Nada só entra em habilidade de Teste de Resistência",""),IF(AND(COUNTIF($MH114:$MK114,"Inescapável")&gt;0,OR($OD114&gt;1,$OE114&gt;0)),"Inescapável não aceita outra peça",""),IF(AND($MC114&gt;0,$OM114*IF(COUNTIF($MH114:$MK114,"Remate")&gt;0,1.25,1)+$ON114&gt;4*$MC114),($OM114*IF(COUNTIF($MH114:$MK114,"Remate")&gt;0,1.25,1)+$ON114)&amp;" dados somando repetições"&amp;IF(COUNTIF($MH114:$MK114,"Remate")&gt;0," e o Remate","")&amp;": o teto da Classe "&amp;$MC114&amp;" é "&amp;4*$MC114,"")))</f>
        <v/>
      </c>
      <c r="PD114" s="152">
        <f>IF($PC114="",0,(LEN($PC114)-LEN(SUBSTITUTE($PC114," · ","")))/3+1)</f>
        <v/>
      </c>
      <c r="PE114" s="152">
        <f>IF($MN114=0,"",TEXTJOIN(" · ",TRUE,IF($OG114&gt;2*$MC114,"A devolução parou no teto de "&amp;2*$MC114,""),IF($OJ114&gt;0,"Devolução perdida: "&amp;$OJ114&amp;IF($OJ114&gt;1," pontos"," ponto")&amp;" sem peça para pagar",""),IF(AND($NM114&gt;0,AND($MC114&gt;0,$NP114=0),$OM114=0),"Controle sem dano: uma rodada a mais e CD +2",""),IF(AND($NM114&gt;0,AND($MC114&gt;0,$NP114=0),$OM114&gt;0,$OM114&lt;=$MC114),"Controle com saldo até a Classe: uma rodada a mais",""),IF(AND($MC114&gt;0,$NN114&lt;&gt;""),"Efeito de "&amp;$NN114&amp;" pela Classe "&amp;MAX(1,$MC114-1),"")))</f>
        <v/>
      </c>
      <c r="PF114" s="152">
        <f>IF($PE114="",0,(LEN($PE114)-LEN(SUBSTITUTE($PE114," · ","")))/3+1)</f>
        <v/>
      </c>
      <c r="PG114" s="152">
        <f>IF($MN114=0,IF($OD114+COUNTIF($ML114:$MM114,"?*")&gt;0,"Dê um nome",""),IF($PD114&gt;0,"⚠ "&amp;$PD114&amp;IF($PD114&gt;1," erros"," erro"),IF($PF114&gt;0,"! "&amp;$PF114&amp;IF($PF114&gt;1," avisos"," aviso"),"Na regra")))</f>
        <v/>
      </c>
      <c r="PH114" s="152">
        <f>IF($MN114=0,"",IF($PD114+$PF114=0,"Dentro das regras que a ficha confere",$PC114&amp;IF(AND($PD114&gt;0,$PF114&gt;0)," · ","")&amp;$PE114))</f>
        <v/>
      </c>
      <c r="PI114" s="152">
        <f>IF($MA114&gt;$MO114,$MB114&amp;" · ABRE NO NÍVEL "&amp;$MA114,$MB114)</f>
        <v/>
      </c>
      <c r="PJ114" s="152">
        <f>IF($MN114=0,"",IF($MC114=0,"Sem PE",3*$MC114&amp;" PE"))</f>
        <v/>
      </c>
      <c r="PK114" s="152">
        <f>IF($MN114=0,"",IF($MC114=0,"A atuação básica dela",IF(COUNTIF($NT114:$NU114,"Atrasar")&gt;0,"Sua Ação Completa",IF(COUNTIF($MH114:$MK114,"Rápido")&gt;0,"Sua Bônus",IF(COUNTIF($MH114:$MK114,"Reação")&gt;0,"Sua Reação","Sua Padrão")))&amp;" + a básica dela"&amp;IF(COUNTIF($MH114:$MK114,"Reação")&gt;0," e a coletiva","")&amp;IF(COUNTIF($NT114:$NU114,"Carregar")&gt;0," · em dois turnos","")))</f>
        <v/>
      </c>
      <c r="PL114" s="152">
        <f>IF($MG114&lt;&gt;"",$MG114,IF($MT114=0,"",INDEX($AA$2:$AA$11,$MT114)))</f>
        <v/>
      </c>
      <c r="PM114" s="152">
        <f>IF(OR($MN114=0,$MT114=0),"",IF(COUNTIF($MH114:$MK114,"Inescapável")&gt;0,"Automático",IF($PL114="Ataque",IF($MR114="","Ataque","Ataque "&amp;IF(($MR114+2*IF(COUNTIF($MH114:$MK114,"Precisão")&gt;0,1,0))&gt;=0,"+","−")&amp;ABS(($MR114+2*IF(COUNTIF($MH114:$MK114,"Precisão")&gt;0,1,0)))),IF(LEFT($PL114,2)="TR",$PL114&amp;IF($MS114="",""," · CD "&amp;$MS114)&amp;IF(COUNTIF($MH114:$MK114,"Certeiro")&gt;0," · metade",""),"Sem rolagem"))))</f>
        <v/>
      </c>
      <c r="PN114" s="152">
        <f>IF(OR($MN114=0,$MT114=0),"",IF($MC114=0,IF(OR($NP114&gt;=1,$OM114=0),"Sem dano",$OM114&amp;"d6"&amp;IF($MF114="",""," "&amp;$MF114)),IF(OR($NP114&gt;=1,$OM114=0),UPPER(LEFT(INDEX($OV114:$PB114,1,MAX(1,$MC114)),1))&amp;MID(INDEX($OV114:$PB114,1,MAX(1,$MC114)),2,99),UPPER(LEFT(INDEX($OV114:$PB114,1,MAX(1,$MC114)),1))&amp;MID(INDEX($OV114:$PB114,1,MAX(1,$MC114)),2,99)&amp;IF($MF114="",""," "&amp;$MF114)&amp;IF($ON114&gt;0," · +"&amp;$ON114&amp;"d8",""))))</f>
        <v/>
      </c>
      <c r="PO114" s="152">
        <f>COUNTIF($MH114:$MK114,"Longe")+3*COUNTIF($MH114:$MK114,"Muito Longe")</f>
        <v/>
      </c>
      <c r="PP114" s="152">
        <f>COUNTIF($MH114:$MK114,"Maior")+3*COUNTIF($MH114:$MK114,"Muito Maior")</f>
        <v/>
      </c>
      <c r="PQ114" s="152">
        <f>IF($MT114=0,0,CHOOSE(1+INDEX($AC$2:$AC$11,$MT114),0,$PO114,$PP114,$PO114+$PP114))</f>
        <v/>
      </c>
      <c r="PR114" s="152">
        <f>IF($MT114=0,0,CHOOSE(1+INDEX($AD$2:$AD$11,$MT114),0,$PO114,$PP114,$PO114+$PP114))</f>
        <v/>
      </c>
      <c r="PS114" s="152">
        <f>IF(OR($MN114=0,$MT114=0),"",INDEX($AI$2:$AN$41,($MT114-1)*4+IF($MC114=0,1,IF($MC114&lt;=5,2,IF($MC114=6,3,4))),1+MIN(5,$PQ114))&amp;INDEX($AO$2:$AT$41,($MT114-1)*4+IF($MC114=0,1,IF($MC114&lt;=5,2,IF($MC114=6,3,4))),1+MIN(5,$PR114))&amp;IF(INDEX($AE$2:$AE$11,$MT114)=1,IF(COUNTIF($MH114:$MK114,"Mais Um")&gt;0," · +"&amp;COUNTIF($MH114:$MK114,"Mais Um")&amp;IF(COUNTIF($MH114:$MK114,"Mais Um")&gt;1," alvos"," alvo"),"")&amp;IF(COUNTIF($MH114:$MK114,"Rajada")&gt;0,IF($MC114=0," · 1 tiro"," · "&amp;(MAX(1,$MC114-1)+1)&amp;" tiros"),""),""))</f>
        <v/>
      </c>
      <c r="PT114" s="152">
        <f>IF($MN114=0,"",IF($MC114=0,$MQ114&amp;"d6"&amp;IF($OD114&gt;0," − 1 = "&amp;$OM114&amp;"d6"," da básica do nível "&amp;$MO114),$OK114&amp;" − "&amp;$OF114&amp;" + "&amp;$OI114&amp;" = "&amp;$OL114&amp;" · teto "&amp;4*$MC114&amp;"d8"&amp;IF($NO114=1," · a Forma devolve "&amp;$MC114,"")&amp;IF($OJ114&gt;0," · perde "&amp;$OJ114,"")))</f>
        <v/>
      </c>
      <c r="PU114" s="152">
        <f>IF($MN114=0,"",IF($MC114=0,"A básica não amplia: os dados dela sobem com o nível",IF($MC114&gt;=$MP114,"Já está na maior Classe que o nível liberou",TEXTJOIN(" · ",TRUE,IF(AND(2&gt;$MC114,2&lt;=$MP114),"2 → "&amp;$OW114&amp;", 6 PE",""),IF(AND(3&gt;$MC114,3&lt;=$MP114),"3 → "&amp;$OX114&amp;", 9 PE",""),IF(AND(4&gt;$MC114,4&lt;=$MP114),"4 → "&amp;$OY114&amp;", 12 PE",""),IF(AND(5&gt;$MC114,5&lt;=$MP114),"5 → "&amp;$OZ114&amp;", 15 PE",""),IF(AND(6&gt;$MC114,6&lt;=$MP114),"6 → "&amp;$PA114&amp;", 18 PE",""),IF(AND(7&gt;$MC114,7&lt;=$MP114),"7 → "&amp;$PB114&amp;", 21 PE","")))))</f>
        <v/>
      </c>
      <c r="PV114" s="152">
        <f>IF(OR($MN114=0,$MY114=0),"",IF($MC114=0,"−1 dado","−"&amp;INDEX($I$2:$N$8,MAX(1,$MC114),MAX(1,$ND114))&amp;" · "&amp;CHOOSE(MAX(1,$ND114),"Leve","Média","Pesada","Leve · Livre","Média · Livre","Pesada · Livre")))</f>
        <v/>
      </c>
      <c r="PW114" s="152">
        <f>IF(OR($MN114=0,$MZ114=0),"",IF($MC114=0,"−1 dado","−"&amp;INDEX($I$2:$N$8,MAX(1,$MC114),MAX(1,$NE114))&amp;" · "&amp;CHOOSE(MAX(1,$NE114),"Leve","Média","Pesada","Leve · Livre","Média · Livre","Pesada · Livre")))</f>
        <v/>
      </c>
      <c r="PX114" s="152">
        <f>IF(OR($MN114=0,$NA114=0),"",IF($MC114=0,"−1 dado","−"&amp;INDEX($I$2:$N$8,MAX(1,$MC114),MAX(1,$NF114))&amp;" · "&amp;CHOOSE(MAX(1,$NF114),"Leve","Média","Pesada","Leve · Livre","Média · Livre","Pesada · Livre")))</f>
        <v/>
      </c>
      <c r="PY114" s="152">
        <f>IF(OR($MN114=0,$NB114=0),"",IF($MC114=0,"−1 dado","−"&amp;INDEX($I$2:$N$8,MAX(1,$MC114),MAX(1,$NG114))&amp;" · "&amp;CHOOSE(MAX(1,$NG114),"Leve","Média","Pesada","Leve · Livre","Média · Livre","Pesada · Livre")))</f>
        <v/>
      </c>
      <c r="PZ114" s="152">
        <f>IF(OR($MN114=0,$ML114=""),"",IF($MC114=0,"não devolve","+"&amp;IF($NR114=1,CEILING($MC114/2,1),$MC114)))</f>
        <v/>
      </c>
      <c r="QA114" s="152">
        <f>IF(OR($MN114=0,$MM114=""),"",IF($MC114=0,"não devolve","+"&amp;IF($NS114=1,CEILING($MC114/2,1),$MC114)))</f>
        <v/>
      </c>
    </row>
    <row r="115">
      <c r="LX115" s="150" t="inlineStr">
        <is>
          <t>Ficha 9 · Especial 8</t>
        </is>
      </c>
      <c r="LY115" s="152" t="n">
        <v>9</v>
      </c>
      <c r="LZ115" s="152" t="n">
        <v>1</v>
      </c>
      <c r="MA115" s="152" t="n">
        <v>28</v>
      </c>
      <c r="MB115" s="150" t="inlineStr">
        <is>
          <t>ESPECIAL 8</t>
        </is>
      </c>
      <c r="MC115" s="152">
        <f>MAX(1,MIN(7,N('INVOCAÇÕES'!$AB$532)))</f>
        <v/>
      </c>
      <c r="MD115" s="152">
        <f>'INVOCAÇÕES'!$AC$532&amp;""</f>
        <v/>
      </c>
      <c r="ME115" s="152">
        <f>'INVOCAÇÕES'!$AB$537&amp;""</f>
        <v/>
      </c>
      <c r="MF115" s="152">
        <f>'INVOCAÇÕES'!$AB$538&amp;""</f>
        <v/>
      </c>
      <c r="MG115" s="152">
        <f>'INVOCAÇÕES'!$AD$538&amp;""</f>
        <v/>
      </c>
      <c r="MH115" s="152">
        <f>'INVOCAÇÕES'!$AC$541&amp;""</f>
        <v/>
      </c>
      <c r="MI115" s="152">
        <f>'INVOCAÇÕES'!$AC$542&amp;""</f>
        <v/>
      </c>
      <c r="MJ115" s="152">
        <f>'INVOCAÇÕES'!$AC$543&amp;""</f>
        <v/>
      </c>
      <c r="MK115" s="152">
        <f>'INVOCAÇÕES'!$AC$544&amp;""</f>
        <v/>
      </c>
      <c r="ML115" s="152">
        <f>'INVOCAÇÕES'!$AC$545&amp;""</f>
        <v/>
      </c>
      <c r="MM115" s="152">
        <f>'INVOCAÇÕES'!$AC$546&amp;""</f>
        <v/>
      </c>
      <c r="MN115" s="152">
        <f>IF($MD115&lt;&gt;"",1,0)</f>
        <v/>
      </c>
      <c r="MO115" s="152">
        <f>INDEX($FG$2:$FG$13,$LY115)</f>
        <v/>
      </c>
      <c r="MP115" s="152">
        <f>INDEX($FH$2:$FH$13,$LY115)</f>
        <v/>
      </c>
      <c r="MQ115" s="152">
        <f>INDEX($FI$2:$FI$13,$LY115)</f>
        <v/>
      </c>
      <c r="MR115" s="152">
        <f>INDEX($FT$2:$FT$13,$LY115)</f>
        <v/>
      </c>
      <c r="MS115" s="152">
        <f>INDEX($FU$2:$FU$13,$LY115)</f>
        <v/>
      </c>
      <c r="MT115" s="152">
        <f>IFERROR(MATCH($ME115,$V$2:$V$11,0),0)</f>
        <v/>
      </c>
      <c r="MU115" s="152">
        <f>IFERROR(VLOOKUP($MH115,$AV$2:$AZ$84,2,FALSE),"")</f>
        <v/>
      </c>
      <c r="MV115" s="152">
        <f>IFERROR(VLOOKUP($MI115,$AV$2:$AZ$84,2,FALSE),"")</f>
        <v/>
      </c>
      <c r="MW115" s="152">
        <f>IFERROR(VLOOKUP($MJ115,$AV$2:$AZ$84,2,FALSE),"")</f>
        <v/>
      </c>
      <c r="MX115" s="152">
        <f>IFERROR(VLOOKUP($MK115,$AV$2:$AZ$84,2,FALSE),"")</f>
        <v/>
      </c>
      <c r="MY115" s="152">
        <f>IFERROR(VLOOKUP($MH115,$AV$2:$AZ$84,3,FALSE),0)</f>
        <v/>
      </c>
      <c r="MZ115" s="152">
        <f>IFERROR(VLOOKUP($MI115,$AV$2:$AZ$84,3,FALSE),0)</f>
        <v/>
      </c>
      <c r="NA115" s="152">
        <f>IFERROR(VLOOKUP($MJ115,$AV$2:$AZ$84,3,FALSE),0)</f>
        <v/>
      </c>
      <c r="NB115" s="152">
        <f>IFERROR(VLOOKUP($MK115,$AV$2:$AZ$84,3,FALSE),0)</f>
        <v/>
      </c>
      <c r="NC115" s="152">
        <f>IF($MC115=0,0,IF($MT115=0,0,INDEX($X$2:$X$11,$MT115)))</f>
        <v/>
      </c>
      <c r="ND115" s="152">
        <f>IF(OR($MY115=0,$MC115=0),0,$MY115+3*IF(AND($MU115&lt;&gt;"",OR($MU115=INDEX($ED$2:$ED$13,$LY115),$MU115=INDEX($EE$2:$EE$13,$LY115))),1,0))</f>
        <v/>
      </c>
      <c r="NE115" s="152">
        <f>IF(OR($MZ115=0,$MC115=0),0,$MZ115+3*IF(AND($MV115&lt;&gt;"",OR($MV115=INDEX($ED$2:$ED$13,$LY115),$MV115=INDEX($EE$2:$EE$13,$LY115))),1,0))</f>
        <v/>
      </c>
      <c r="NF115" s="152">
        <f>IF(OR($NA115=0,$MC115=0),0,$NA115+3*IF(AND($MW115&lt;&gt;"",OR($MW115=INDEX($ED$2:$ED$13,$LY115),$MW115=INDEX($EE$2:$EE$13,$LY115))),1,0))</f>
        <v/>
      </c>
      <c r="NG115" s="152">
        <f>IF(OR($NB115=0,$MC115=0),0,$NB115+3*IF(AND($MX115&lt;&gt;"",OR($MX115=INDEX($ED$2:$ED$13,$LY115),$MX115=INDEX($EE$2:$EE$13,$LY115))),1,0))</f>
        <v/>
      </c>
      <c r="NH115" s="152">
        <f>IF($MT115=0,0,IF(INDEX($W$2:$W$11,$MT115)="",0,IF(COUNTIF(INDEX($ED$2:$EH$13,$LY115,0),INDEX($W$2:$W$11,$MT115))=0,1,0)))</f>
        <v/>
      </c>
      <c r="NI115" s="152">
        <f>IF(OR($MY115=0,$MU115=""),0,IF(COUNTIF(INDEX($ED$2:$EH$13,$LY115,0),$MU115)=0,1,0))</f>
        <v/>
      </c>
      <c r="NJ115" s="152">
        <f>IF(OR($MZ115=0,$MV115=""),0,IF(COUNTIF(INDEX($ED$2:$EH$13,$LY115,0),$MV115)=0,1,0))</f>
        <v/>
      </c>
      <c r="NK115" s="152">
        <f>IF(OR($NA115=0,$MW115=""),0,IF(COUNTIF(INDEX($ED$2:$EH$13,$LY115,0),$MW115)=0,1,0))</f>
        <v/>
      </c>
      <c r="NL115" s="152">
        <f>IF(OR($NB115=0,$MX115=""),0,IF(COUNTIF(INDEX($ED$2:$EH$13,$LY115,0),$MX115)=0,1,0))</f>
        <v/>
      </c>
      <c r="NM115" s="152">
        <f>IFERROR(VLOOKUP($MH115,$AV$2:$AZ$84,4,FALSE),0)+IFERROR(VLOOKUP($MI115,$AV$2:$AZ$84,4,FALSE),0)+IFERROR(VLOOKUP($MJ115,$AV$2:$AZ$84,4,FALSE),0)+IFERROR(VLOOKUP($MK115,$AV$2:$AZ$84,4,FALSE),0)</f>
        <v/>
      </c>
      <c r="NN115" s="152">
        <f>TEXTJOIN(", ",TRUE,IF(IFERROR(VLOOKUP($MH115,$AV$2:$AZ$84,5,FALSE),0)=1,$MH115,""),IF(IFERROR(VLOOKUP($MI115,$AV$2:$AZ$84,5,FALSE),0)=1,$MI115,""),IF(IFERROR(VLOOKUP($MJ115,$AV$2:$AZ$84,5,FALSE),0)=1,$MJ115,""),IF(IFERROR(VLOOKUP($MK115,$AV$2:$AZ$84,5,FALSE),0)=1,$MK115,""))</f>
        <v/>
      </c>
      <c r="NO115" s="152">
        <f>IF($MT115=0,0,INDEX($Y$2:$Y$11,$MT115))</f>
        <v/>
      </c>
      <c r="NP115" s="152">
        <f>IF($MT115=0,0,INDEX($Z$2:$Z$11,$MT115))</f>
        <v/>
      </c>
      <c r="NQ115" s="152">
        <f>IF($MT115=0,0,INDEX($AB$2:$AB$11,$MT115))</f>
        <v/>
      </c>
      <c r="NR115" s="152">
        <f>IFERROR(VLOOKUP($ML115,$BB$2:$BF$24,3,FALSE),0)</f>
        <v/>
      </c>
      <c r="NS115" s="152">
        <f>IFERROR(VLOOKUP($MM115,$BB$2:$BF$24,3,FALSE),0)</f>
        <v/>
      </c>
      <c r="NT115" s="152">
        <f>IFERROR(VLOOKUP($ML115,$BB$2:$BF$24,2,FALSE),"")</f>
        <v/>
      </c>
      <c r="NU115" s="152">
        <f>IFERROR(VLOOKUP($MM115,$BB$2:$BF$24,2,FALSE),"")</f>
        <v/>
      </c>
      <c r="NV115" s="152">
        <f>COUNTIF($NC115:$NG115,1)</f>
        <v/>
      </c>
      <c r="NW115" s="152">
        <f>COUNTIF($NC115:$NG115,2)</f>
        <v/>
      </c>
      <c r="NX115" s="152">
        <f>COUNTIF($NC115:$NG115,3)</f>
        <v/>
      </c>
      <c r="NY115" s="152">
        <f>COUNTIF($NC115:$NG115,4)</f>
        <v/>
      </c>
      <c r="NZ115" s="152">
        <f>COUNTIF($NC115:$NG115,5)</f>
        <v/>
      </c>
      <c r="OA115" s="152">
        <f>COUNTIF($NC115:$NG115,6)</f>
        <v/>
      </c>
      <c r="OB115" s="152">
        <f>COUNTIF($NR115:$NS115,1)</f>
        <v/>
      </c>
      <c r="OC115" s="152">
        <f>COUNTIF($NR115:$NS115,2)+$NO115</f>
        <v/>
      </c>
      <c r="OD115" s="152">
        <f>COUNTIF($MH115:$MK115,"?*")</f>
        <v/>
      </c>
      <c r="OE115" s="152">
        <f>COUNTIF($ML115:$MM115,"?*")+$NO115</f>
        <v/>
      </c>
      <c r="OF115" s="152">
        <f>IF($MC115=0,0,SUMPRODUCT($NV115:$OA115,INDEX($I$2:$N$8,MAX(1,$MC115),0)))</f>
        <v/>
      </c>
      <c r="OG115" s="152">
        <f>IF($MC115=0,0,$OB115*CEILING($MC115/2,1)+$OC115*$MC115)</f>
        <v/>
      </c>
      <c r="OH115" s="152">
        <f>MIN(2*$MC115,$OG115)</f>
        <v/>
      </c>
      <c r="OI115" s="152">
        <f>MIN($OH115,$OF115)</f>
        <v/>
      </c>
      <c r="OJ115" s="152">
        <f>$OH115-$OI115</f>
        <v/>
      </c>
      <c r="OK115" s="152">
        <f>IF($MC115=0,0,INDEX($P$2:$P$8,MAX(1,$MC115)))</f>
        <v/>
      </c>
      <c r="OL115" s="152">
        <f>$OK115-$OF115+$OI115</f>
        <v/>
      </c>
      <c r="OM115" s="152">
        <f>IF($MC115=0,MAX(0,$MQ115-IF($OD115&gt;0,1,0)),MAX(0,$OL115))</f>
        <v/>
      </c>
      <c r="ON115" s="152">
        <f>IF($MC115=0,0,(IF(COUNTIF($MH115:$MK115,"Salto")&gt;0,1,0)+IF(COUNTIF($MH115:$MK115,"Queima")&gt;0,1,0)+IF(COUNTIF($MH115:$MK115,"Estilhaço")&gt;0,1,0))*FLOOR($OM115/2,1))</f>
        <v/>
      </c>
      <c r="OO115" s="152">
        <f>MAX(0,2-SUMPRODUCT($NV115:$OA115,$I$2:$N$2)+MIN(2,$OB115*1+$OC115*1,SUMPRODUCT($NV115:$OA115,$I$2:$N$2)))</f>
        <v/>
      </c>
      <c r="OP115" s="152">
        <f>MAX(0,4-SUMPRODUCT($NV115:$OA115,$I$3:$N$3)+MIN(4,$OB115*1+$OC115*2,SUMPRODUCT($NV115:$OA115,$I$3:$N$3)))</f>
        <v/>
      </c>
      <c r="OQ115" s="152">
        <f>MAX(0,6-SUMPRODUCT($NV115:$OA115,$I$4:$N$4)+MIN(6,$OB115*2+$OC115*3,SUMPRODUCT($NV115:$OA115,$I$4:$N$4)))</f>
        <v/>
      </c>
      <c r="OR115" s="152">
        <f>MAX(0,9-SUMPRODUCT($NV115:$OA115,$I$5:$N$5)+MIN(8,$OB115*2+$OC115*4,SUMPRODUCT($NV115:$OA115,$I$5:$N$5)))</f>
        <v/>
      </c>
      <c r="OS115" s="152">
        <f>MAX(0,11-SUMPRODUCT($NV115:$OA115,$I$6:$N$6)+MIN(10,$OB115*3+$OC115*5,SUMPRODUCT($NV115:$OA115,$I$6:$N$6)))</f>
        <v/>
      </c>
      <c r="OT115" s="152">
        <f>MAX(0,13-SUMPRODUCT($NV115:$OA115,$I$7:$N$7)+MIN(12,$OB115*3+$OC115*6,SUMPRODUCT($NV115:$OA115,$I$7:$N$7)))</f>
        <v/>
      </c>
      <c r="OU115" s="152">
        <f>MAX(0,16-SUMPRODUCT($NV115:$OA115,$I$8:$N$8)+MIN(14,$OB115*4+$OC115*7,SUMPRODUCT($NV115:$OA115,$I$8:$N$8)))</f>
        <v/>
      </c>
      <c r="OV115" s="152">
        <f>IF($NP115=2,3*$OO115&amp;" de vida temp.",IF($NP115=3,"sem dano",IF($OO115=0,IF($NP115=1,"sem cura","sem dano"),IF($NP115=1,"cura ","")&amp;$OO115&amp;"d8")))</f>
        <v/>
      </c>
      <c r="OW115" s="152">
        <f>IF($NP115=2,3*$OP115&amp;" de vida temp.",IF($NP115=3,"sem dano",IF($OP115=0,IF($NP115=1,"sem cura","sem dano"),IF($NP115=1,"cura ","")&amp;$OP115&amp;"d8")))</f>
        <v/>
      </c>
      <c r="OX115" s="152">
        <f>IF($NP115=2,3*$OQ115&amp;" de vida temp.",IF($NP115=3,"sem dano",IF($OQ115=0,IF($NP115=1,"sem cura","sem dano"),IF($NP115=1,"cura ","")&amp;$OQ115&amp;"d8")))</f>
        <v/>
      </c>
      <c r="OY115" s="152">
        <f>IF($NP115=2,3*$OR115&amp;" de vida temp.",IF($NP115=3,"sem dano",IF($OR115=0,IF($NP115=1,"sem cura","sem dano"),IF($NP115=1,"cura ","")&amp;$OR115&amp;"d8")))</f>
        <v/>
      </c>
      <c r="OZ115" s="152">
        <f>IF($NP115=2,3*$OS115&amp;" de vida temp.",IF($NP115=3,"sem dano",IF($OS115=0,IF($NP115=1,"sem cura","sem dano"),IF($NP115=1,"cura ","")&amp;$OS115&amp;"d8")))</f>
        <v/>
      </c>
      <c r="PA115" s="152">
        <f>IF($NP115=2,3*$OT115&amp;" de vida temp.",IF($NP115=3,"sem dano",IF($OT115=0,IF($NP115=1,"sem cura","sem dano"),IF($NP115=1,"cura ","")&amp;$OT115&amp;"d8")))</f>
        <v/>
      </c>
      <c r="PB115" s="152">
        <f>IF($NP115=2,3*$OU115&amp;" de vida temp.",IF($NP115=3,"sem dano",IF($OU115=0,IF($NP115=1,"sem cura","sem dano"),IF($NP115=1,"cura ","")&amp;$OU115&amp;"d8")))</f>
        <v/>
      </c>
      <c r="PC115" s="152">
        <f>IF($MN115=0,"",TEXTJOIN(" · ",TRUE,IF($MA115&gt;$MO115,"Este lugar abre no nível "&amp;$MA115,""),IF($MC115&gt;$MP115,"Classe "&amp;$MC115&amp;": o nível "&amp;$MO115&amp;" libera até a "&amp;$MP115,""),IF($NH115=1,"A Forma "&amp;$ME115&amp;" pede "&amp;INDEX($W$2:$W$11,$MT115)&amp;" aberta",""),IF(AND($MC115=0,$MT115&gt;0,IF($MT115=0,0,INDEX($AF$2:$AF$11,$MT115))=0),$ME115&amp;" não existe na Classe 0",""),IF($NI115=1,"Família Fechada: "&amp;$MH115,""),IF($NJ115=1,"Família Fechada: "&amp;$MI115,""),IF($NK115=1,"Família Fechada: "&amp;$MJ115,""),IF($NL115=1,"Família Fechada: "&amp;$MK115,""),IF(AND($MC115&gt;0,$OD115&gt;INDEX($O$2:$O$8,MAX(1,$MC115))),$OD115&amp;" Melhorias: a Classe "&amp;$MC115&amp;" aceita "&amp;INDEX($O$2:$O$8,MAX(1,$MC115)),""),IF(AND($MC115=0,$OD115&gt;1),"A básica aceita uma Melhoria",""),IF(AND($MC115=0,COUNTIF($MY115:$NB115,"&gt;1")&gt;0),"A básica só aceita Melhoria Leve",""),IF(AND($MC115&gt;0,$OE115&gt;2),$OE115&amp;" Restrições"&amp;IF($NO115=1,", contando a que a Forma "&amp;$ME115&amp;" já traz","")&amp;": o limite é 2",""),IF(AND($MC115=0,COUNTIF($ML115:$MM115,"?*")&gt;1),"A básica aceita uma Restrição Leve",""),IF(AND($MC115=0,COUNTIF($NR115:$NS115,2)&gt;0),"A básica só aceita Restrição Leve",""),IF(AND($MC115&gt;0,$OL115&lt;0),"Orçamento estourado: faltam "&amp;(-$OL115)&amp;IF($OL115&lt;-1," pontos"," ponto"),""),IF(IFERROR(VLOOKUP($ML115,$BB$2:$BF$24,4,FALSE),0)+IFERROR(VLOOKUP($MM115,$BB$2:$BF$24,4,FALSE),0)&gt;1,$NT115&amp;" e "&amp;$NU115&amp;" são as duas de frequência",""),IF(AND((COUNTIF($MH115:$MK115,"Rápido")+COUNTIF($NT115:$NU115,"Rápido"))&gt;0,(COUNTIF($MH115:$MK115,"Atrasar")+COUNTIF($NT115:$NU115,"Atrasar"))&gt;0),"Rápido não entra com Atrasar",""),IF(AND((COUNTIF($MH115:$MK115,"Reação")+COUNTIF($NT115:$NU115,"Reação"))&gt;0,(COUNTIF($MH115:$MK115,"Rápido")+COUNTIF($NT115:$NU115,"Rápido"))&gt;0),"Reação não entra com Rápido",""),IF(AND((COUNTIF($MH115:$MK115,"Reação")+COUNTIF($NT115:$NU115,"Reação"))&gt;0,(COUNTIF($MH115:$MK115,"Armado")+COUNTIF($NT115:$NU115,"Armado"))&gt;0),"Reação não entra com Armado",""),IF(AND((COUNTIF($MH115:$MK115,"Reação")+COUNTIF($NT115:$NU115,"Reação"))&gt;0,(COUNTIF($MH115:$MK115,"Atrasar")+COUNTIF($NT115:$NU115,"Atrasar"))&gt;0),"Reação não entra com Atrasar",""),IF(AND((COUNTIF($MH115:$MK115,"Reação")+COUNTIF($NT115:$NU115,"Reação"))&gt;0,(COUNTIF($MH115:$MK115,"Parado")+COUNTIF($NT115:$NU115,"Parado"))&gt;0),"Reação não entra com Parado",""),IF(AND((COUNTIF($MH115:$MK115,"Atrasar")+COUNTIF($NT115:$NU115,"Atrasar"))&gt;0,(COUNTIF($MH115:$MK115,"Parado")+COUNTIF($NT115:$NU115,"Parado"))&gt;0),"Atrasar não entra com Parado",""),IF(AND((COUNTIF($MH115:$MK115,"Armado")+COUNTIF($NT115:$NU115,"Armado"))&gt;0,(COUNTIF($MH115:$MK115,"Carregar")+COUNTIF($NT115:$NU115,"Carregar"))&gt;0),"Armado não entra com Carregar",""),IF(AND(COUNTIF($NT115:$NU115,"Corpo a Corpo")&gt;0,$NO115=0,OR($ME115="Cone",$ME115="Linha")),"Corpo a Corpo não entra em "&amp;$ME115,""),IF(AND(COUNTIF($NT115:$NU115,"Corpo a Corpo")&gt;0,$NO115=1),"A Forma "&amp;$ME115&amp;" já traz o Corpo a Corpo",""),IF(AND(COUNTIF($NT115:$NU115,"Tudo ou Nada")&gt;0,$NQ115=0),"Tudo ou Nada só entra em habilidade de Teste de Resistência",""),IF(AND(COUNTIF($MH115:$MK115,"Inescapável")&gt;0,OR($OD115&gt;1,$OE115&gt;0)),"Inescapável não aceita outra peça",""),IF(AND($MC115&gt;0,$OM115*IF(COUNTIF($MH115:$MK115,"Remate")&gt;0,1.25,1)+$ON115&gt;4*$MC115),($OM115*IF(COUNTIF($MH115:$MK115,"Remate")&gt;0,1.25,1)+$ON115)&amp;" dados somando repetições"&amp;IF(COUNTIF($MH115:$MK115,"Remate")&gt;0," e o Remate","")&amp;": o teto da Classe "&amp;$MC115&amp;" é "&amp;4*$MC115,"")))</f>
        <v/>
      </c>
      <c r="PD115" s="152">
        <f>IF($PC115="",0,(LEN($PC115)-LEN(SUBSTITUTE($PC115," · ","")))/3+1)</f>
        <v/>
      </c>
      <c r="PE115" s="152">
        <f>IF($MN115=0,"",TEXTJOIN(" · ",TRUE,IF($OG115&gt;2*$MC115,"A devolução parou no teto de "&amp;2*$MC115,""),IF($OJ115&gt;0,"Devolução perdida: "&amp;$OJ115&amp;IF($OJ115&gt;1," pontos"," ponto")&amp;" sem peça para pagar",""),IF(AND($NM115&gt;0,AND($MC115&gt;0,$NP115=0),$OM115=0),"Controle sem dano: uma rodada a mais e CD +2",""),IF(AND($NM115&gt;0,AND($MC115&gt;0,$NP115=0),$OM115&gt;0,$OM115&lt;=$MC115),"Controle com saldo até a Classe: uma rodada a mais",""),IF(AND($MC115&gt;0,$NN115&lt;&gt;""),"Efeito de "&amp;$NN115&amp;" pela Classe "&amp;MAX(1,$MC115-1),"")))</f>
        <v/>
      </c>
      <c r="PF115" s="152">
        <f>IF($PE115="",0,(LEN($PE115)-LEN(SUBSTITUTE($PE115," · ","")))/3+1)</f>
        <v/>
      </c>
      <c r="PG115" s="152">
        <f>IF($MN115=0,IF($OD115+COUNTIF($ML115:$MM115,"?*")&gt;0,"Dê um nome",""),IF($PD115&gt;0,"⚠ "&amp;$PD115&amp;IF($PD115&gt;1," erros"," erro"),IF($PF115&gt;0,"! "&amp;$PF115&amp;IF($PF115&gt;1," avisos"," aviso"),"Na regra")))</f>
        <v/>
      </c>
      <c r="PH115" s="152">
        <f>IF($MN115=0,"",IF($PD115+$PF115=0,"Dentro das regras que a ficha confere",$PC115&amp;IF(AND($PD115&gt;0,$PF115&gt;0)," · ","")&amp;$PE115))</f>
        <v/>
      </c>
      <c r="PI115" s="152">
        <f>IF($MA115&gt;$MO115,$MB115&amp;" · ABRE NO NÍVEL "&amp;$MA115,$MB115)</f>
        <v/>
      </c>
      <c r="PJ115" s="152">
        <f>IF($MN115=0,"",IF($MC115=0,"Sem PE",3*$MC115&amp;" PE"))</f>
        <v/>
      </c>
      <c r="PK115" s="152">
        <f>IF($MN115=0,"",IF($MC115=0,"A atuação básica dela",IF(COUNTIF($NT115:$NU115,"Atrasar")&gt;0,"Sua Ação Completa",IF(COUNTIF($MH115:$MK115,"Rápido")&gt;0,"Sua Bônus",IF(COUNTIF($MH115:$MK115,"Reação")&gt;0,"Sua Reação","Sua Padrão")))&amp;" + a básica dela"&amp;IF(COUNTIF($MH115:$MK115,"Reação")&gt;0," e a coletiva","")&amp;IF(COUNTIF($NT115:$NU115,"Carregar")&gt;0," · em dois turnos","")))</f>
        <v/>
      </c>
      <c r="PL115" s="152">
        <f>IF($MG115&lt;&gt;"",$MG115,IF($MT115=0,"",INDEX($AA$2:$AA$11,$MT115)))</f>
        <v/>
      </c>
      <c r="PM115" s="152">
        <f>IF(OR($MN115=0,$MT115=0),"",IF(COUNTIF($MH115:$MK115,"Inescapável")&gt;0,"Automático",IF($PL115="Ataque",IF($MR115="","Ataque","Ataque "&amp;IF(($MR115+2*IF(COUNTIF($MH115:$MK115,"Precisão")&gt;0,1,0))&gt;=0,"+","−")&amp;ABS(($MR115+2*IF(COUNTIF($MH115:$MK115,"Precisão")&gt;0,1,0)))),IF(LEFT($PL115,2)="TR",$PL115&amp;IF($MS115="",""," · CD "&amp;$MS115)&amp;IF(COUNTIF($MH115:$MK115,"Certeiro")&gt;0," · metade",""),"Sem rolagem"))))</f>
        <v/>
      </c>
      <c r="PN115" s="152">
        <f>IF(OR($MN115=0,$MT115=0),"",IF($MC115=0,IF(OR($NP115&gt;=1,$OM115=0),"Sem dano",$OM115&amp;"d6"&amp;IF($MF115="",""," "&amp;$MF115)),IF(OR($NP115&gt;=1,$OM115=0),UPPER(LEFT(INDEX($OV115:$PB115,1,MAX(1,$MC115)),1))&amp;MID(INDEX($OV115:$PB115,1,MAX(1,$MC115)),2,99),UPPER(LEFT(INDEX($OV115:$PB115,1,MAX(1,$MC115)),1))&amp;MID(INDEX($OV115:$PB115,1,MAX(1,$MC115)),2,99)&amp;IF($MF115="",""," "&amp;$MF115)&amp;IF($ON115&gt;0," · +"&amp;$ON115&amp;"d8",""))))</f>
        <v/>
      </c>
      <c r="PO115" s="152">
        <f>COUNTIF($MH115:$MK115,"Longe")+3*COUNTIF($MH115:$MK115,"Muito Longe")</f>
        <v/>
      </c>
      <c r="PP115" s="152">
        <f>COUNTIF($MH115:$MK115,"Maior")+3*COUNTIF($MH115:$MK115,"Muito Maior")</f>
        <v/>
      </c>
      <c r="PQ115" s="152">
        <f>IF($MT115=0,0,CHOOSE(1+INDEX($AC$2:$AC$11,$MT115),0,$PO115,$PP115,$PO115+$PP115))</f>
        <v/>
      </c>
      <c r="PR115" s="152">
        <f>IF($MT115=0,0,CHOOSE(1+INDEX($AD$2:$AD$11,$MT115),0,$PO115,$PP115,$PO115+$PP115))</f>
        <v/>
      </c>
      <c r="PS115" s="152">
        <f>IF(OR($MN115=0,$MT115=0),"",INDEX($AI$2:$AN$41,($MT115-1)*4+IF($MC115=0,1,IF($MC115&lt;=5,2,IF($MC115=6,3,4))),1+MIN(5,$PQ115))&amp;INDEX($AO$2:$AT$41,($MT115-1)*4+IF($MC115=0,1,IF($MC115&lt;=5,2,IF($MC115=6,3,4))),1+MIN(5,$PR115))&amp;IF(INDEX($AE$2:$AE$11,$MT115)=1,IF(COUNTIF($MH115:$MK115,"Mais Um")&gt;0," · +"&amp;COUNTIF($MH115:$MK115,"Mais Um")&amp;IF(COUNTIF($MH115:$MK115,"Mais Um")&gt;1," alvos"," alvo"),"")&amp;IF(COUNTIF($MH115:$MK115,"Rajada")&gt;0,IF($MC115=0," · 1 tiro"," · "&amp;(MAX(1,$MC115-1)+1)&amp;" tiros"),""),""))</f>
        <v/>
      </c>
      <c r="PT115" s="152">
        <f>IF($MN115=0,"",IF($MC115=0,$MQ115&amp;"d6"&amp;IF($OD115&gt;0," − 1 = "&amp;$OM115&amp;"d6"," da básica do nível "&amp;$MO115),$OK115&amp;" − "&amp;$OF115&amp;" + "&amp;$OI115&amp;" = "&amp;$OL115&amp;" · teto "&amp;4*$MC115&amp;"d8"&amp;IF($NO115=1," · a Forma devolve "&amp;$MC115,"")&amp;IF($OJ115&gt;0," · perde "&amp;$OJ115,"")))</f>
        <v/>
      </c>
      <c r="PU115" s="152">
        <f>IF($MN115=0,"",IF($MC115=0,"A básica não amplia: os dados dela sobem com o nível",IF($MC115&gt;=$MP115,"Já está na maior Classe que o nível liberou",TEXTJOIN(" · ",TRUE,IF(AND(2&gt;$MC115,2&lt;=$MP115),"2 → "&amp;$OW115&amp;", 6 PE",""),IF(AND(3&gt;$MC115,3&lt;=$MP115),"3 → "&amp;$OX115&amp;", 9 PE",""),IF(AND(4&gt;$MC115,4&lt;=$MP115),"4 → "&amp;$OY115&amp;", 12 PE",""),IF(AND(5&gt;$MC115,5&lt;=$MP115),"5 → "&amp;$OZ115&amp;", 15 PE",""),IF(AND(6&gt;$MC115,6&lt;=$MP115),"6 → "&amp;$PA115&amp;", 18 PE",""),IF(AND(7&gt;$MC115,7&lt;=$MP115),"7 → "&amp;$PB115&amp;", 21 PE","")))))</f>
        <v/>
      </c>
      <c r="PV115" s="152">
        <f>IF(OR($MN115=0,$MY115=0),"",IF($MC115=0,"−1 dado","−"&amp;INDEX($I$2:$N$8,MAX(1,$MC115),MAX(1,$ND115))&amp;" · "&amp;CHOOSE(MAX(1,$ND115),"Leve","Média","Pesada","Leve · Livre","Média · Livre","Pesada · Livre")))</f>
        <v/>
      </c>
      <c r="PW115" s="152">
        <f>IF(OR($MN115=0,$MZ115=0),"",IF($MC115=0,"−1 dado","−"&amp;INDEX($I$2:$N$8,MAX(1,$MC115),MAX(1,$NE115))&amp;" · "&amp;CHOOSE(MAX(1,$NE115),"Leve","Média","Pesada","Leve · Livre","Média · Livre","Pesada · Livre")))</f>
        <v/>
      </c>
      <c r="PX115" s="152">
        <f>IF(OR($MN115=0,$NA115=0),"",IF($MC115=0,"−1 dado","−"&amp;INDEX($I$2:$N$8,MAX(1,$MC115),MAX(1,$NF115))&amp;" · "&amp;CHOOSE(MAX(1,$NF115),"Leve","Média","Pesada","Leve · Livre","Média · Livre","Pesada · Livre")))</f>
        <v/>
      </c>
      <c r="PY115" s="152">
        <f>IF(OR($MN115=0,$NB115=0),"",IF($MC115=0,"−1 dado","−"&amp;INDEX($I$2:$N$8,MAX(1,$MC115),MAX(1,$NG115))&amp;" · "&amp;CHOOSE(MAX(1,$NG115),"Leve","Média","Pesada","Leve · Livre","Média · Livre","Pesada · Livre")))</f>
        <v/>
      </c>
      <c r="PZ115" s="152">
        <f>IF(OR($MN115=0,$ML115=""),"",IF($MC115=0,"não devolve","+"&amp;IF($NR115=1,CEILING($MC115/2,1),$MC115)))</f>
        <v/>
      </c>
      <c r="QA115" s="152">
        <f>IF(OR($MN115=0,$MM115=""),"",IF($MC115=0,"não devolve","+"&amp;IF($NS115=1,CEILING($MC115/2,1),$MC115)))</f>
        <v/>
      </c>
    </row>
    <row r="116">
      <c r="LX116" s="150" t="inlineStr">
        <is>
          <t>Ficha 9 · Escolha da trilha 1</t>
        </is>
      </c>
      <c r="LY116" s="152" t="n">
        <v>9</v>
      </c>
      <c r="LZ116" s="152" t="n">
        <v>2</v>
      </c>
      <c r="MA116" s="152" t="n">
        <v>0</v>
      </c>
      <c r="MB116" s="150" t="inlineStr">
        <is>
          <t>ESCOLHA DA TRILHA 1</t>
        </is>
      </c>
      <c r="MC116" s="152">
        <f>MAX(0,MIN(7,N('INVOCAÇÕES'!$AB$556)))</f>
        <v/>
      </c>
      <c r="MD116" s="152">
        <f>'INVOCAÇÕES'!$AC$556&amp;""</f>
        <v/>
      </c>
      <c r="ME116" s="152">
        <f>'INVOCAÇÕES'!$AB$561&amp;""</f>
        <v/>
      </c>
      <c r="MF116" s="152">
        <f>'INVOCAÇÕES'!$AB$562&amp;""</f>
        <v/>
      </c>
      <c r="MG116" s="152">
        <f>'INVOCAÇÕES'!$AD$562&amp;""</f>
        <v/>
      </c>
      <c r="MH116" s="152">
        <f>'INVOCAÇÕES'!$AC$565&amp;""</f>
        <v/>
      </c>
      <c r="MI116" s="152">
        <f>'INVOCAÇÕES'!$AC$566&amp;""</f>
        <v/>
      </c>
      <c r="MJ116" s="152">
        <f>'INVOCAÇÕES'!$AC$567&amp;""</f>
        <v/>
      </c>
      <c r="MK116" s="152">
        <f>'INVOCAÇÕES'!$AC$568&amp;""</f>
        <v/>
      </c>
      <c r="ML116" s="152">
        <f>'INVOCAÇÕES'!$AC$569&amp;""</f>
        <v/>
      </c>
      <c r="MM116" s="152">
        <f>'INVOCAÇÕES'!$AC$570&amp;""</f>
        <v/>
      </c>
      <c r="MN116" s="152">
        <f>IF($MD116&lt;&gt;"",1,0)</f>
        <v/>
      </c>
      <c r="MO116" s="152">
        <f>INDEX($FG$2:$FG$13,$LY116)</f>
        <v/>
      </c>
      <c r="MP116" s="152">
        <f>INDEX($FH$2:$FH$13,$LY116)</f>
        <v/>
      </c>
      <c r="MQ116" s="152">
        <f>INDEX($FI$2:$FI$13,$LY116)</f>
        <v/>
      </c>
      <c r="MR116" s="152">
        <f>INDEX($FT$2:$FT$13,$LY116)</f>
        <v/>
      </c>
      <c r="MS116" s="152">
        <f>INDEX($FU$2:$FU$13,$LY116)</f>
        <v/>
      </c>
      <c r="MT116" s="152">
        <f>IFERROR(MATCH($ME116,$V$2:$V$11,0),0)</f>
        <v/>
      </c>
      <c r="MU116" s="152">
        <f>IFERROR(VLOOKUP($MH116,$AV$2:$AZ$84,2,FALSE),"")</f>
        <v/>
      </c>
      <c r="MV116" s="152">
        <f>IFERROR(VLOOKUP($MI116,$AV$2:$AZ$84,2,FALSE),"")</f>
        <v/>
      </c>
      <c r="MW116" s="152">
        <f>IFERROR(VLOOKUP($MJ116,$AV$2:$AZ$84,2,FALSE),"")</f>
        <v/>
      </c>
      <c r="MX116" s="152">
        <f>IFERROR(VLOOKUP($MK116,$AV$2:$AZ$84,2,FALSE),"")</f>
        <v/>
      </c>
      <c r="MY116" s="152">
        <f>IFERROR(VLOOKUP($MH116,$AV$2:$AZ$84,3,FALSE),0)</f>
        <v/>
      </c>
      <c r="MZ116" s="152">
        <f>IFERROR(VLOOKUP($MI116,$AV$2:$AZ$84,3,FALSE),0)</f>
        <v/>
      </c>
      <c r="NA116" s="152">
        <f>IFERROR(VLOOKUP($MJ116,$AV$2:$AZ$84,3,FALSE),0)</f>
        <v/>
      </c>
      <c r="NB116" s="152">
        <f>IFERROR(VLOOKUP($MK116,$AV$2:$AZ$84,3,FALSE),0)</f>
        <v/>
      </c>
      <c r="NC116" s="152">
        <f>IF($MC116=0,0,IF($MT116=0,0,INDEX($X$2:$X$11,$MT116)))</f>
        <v/>
      </c>
      <c r="ND116" s="152">
        <f>IF(OR($MY116=0,$MC116=0),0,$MY116+3*IF(AND($MU116&lt;&gt;"",OR($MU116=INDEX($ED$2:$ED$13,$LY116),$MU116=INDEX($EE$2:$EE$13,$LY116))),1,0))</f>
        <v/>
      </c>
      <c r="NE116" s="152">
        <f>IF(OR($MZ116=0,$MC116=0),0,$MZ116+3*IF(AND($MV116&lt;&gt;"",OR($MV116=INDEX($ED$2:$ED$13,$LY116),$MV116=INDEX($EE$2:$EE$13,$LY116))),1,0))</f>
        <v/>
      </c>
      <c r="NF116" s="152">
        <f>IF(OR($NA116=0,$MC116=0),0,$NA116+3*IF(AND($MW116&lt;&gt;"",OR($MW116=INDEX($ED$2:$ED$13,$LY116),$MW116=INDEX($EE$2:$EE$13,$LY116))),1,0))</f>
        <v/>
      </c>
      <c r="NG116" s="152">
        <f>IF(OR($NB116=0,$MC116=0),0,$NB116+3*IF(AND($MX116&lt;&gt;"",OR($MX116=INDEX($ED$2:$ED$13,$LY116),$MX116=INDEX($EE$2:$EE$13,$LY116))),1,0))</f>
        <v/>
      </c>
      <c r="NH116" s="152">
        <f>IF($MT116=0,0,IF(INDEX($W$2:$W$11,$MT116)="",0,IF(COUNTIF(INDEX($ED$2:$EH$13,$LY116,0),INDEX($W$2:$W$11,$MT116))=0,1,0)))</f>
        <v/>
      </c>
      <c r="NI116" s="152">
        <f>IF(OR($MY116=0,$MU116=""),0,IF(COUNTIF(INDEX($ED$2:$EH$13,$LY116,0),$MU116)=0,1,0))</f>
        <v/>
      </c>
      <c r="NJ116" s="152">
        <f>IF(OR($MZ116=0,$MV116=""),0,IF(COUNTIF(INDEX($ED$2:$EH$13,$LY116,0),$MV116)=0,1,0))</f>
        <v/>
      </c>
      <c r="NK116" s="152">
        <f>IF(OR($NA116=0,$MW116=""),0,IF(COUNTIF(INDEX($ED$2:$EH$13,$LY116,0),$MW116)=0,1,0))</f>
        <v/>
      </c>
      <c r="NL116" s="152">
        <f>IF(OR($NB116=0,$MX116=""),0,IF(COUNTIF(INDEX($ED$2:$EH$13,$LY116,0),$MX116)=0,1,0))</f>
        <v/>
      </c>
      <c r="NM116" s="152">
        <f>IFERROR(VLOOKUP($MH116,$AV$2:$AZ$84,4,FALSE),0)+IFERROR(VLOOKUP($MI116,$AV$2:$AZ$84,4,FALSE),0)+IFERROR(VLOOKUP($MJ116,$AV$2:$AZ$84,4,FALSE),0)+IFERROR(VLOOKUP($MK116,$AV$2:$AZ$84,4,FALSE),0)</f>
        <v/>
      </c>
      <c r="NN116" s="152">
        <f>TEXTJOIN(", ",TRUE,IF(IFERROR(VLOOKUP($MH116,$AV$2:$AZ$84,5,FALSE),0)=1,$MH116,""),IF(IFERROR(VLOOKUP($MI116,$AV$2:$AZ$84,5,FALSE),0)=1,$MI116,""),IF(IFERROR(VLOOKUP($MJ116,$AV$2:$AZ$84,5,FALSE),0)=1,$MJ116,""),IF(IFERROR(VLOOKUP($MK116,$AV$2:$AZ$84,5,FALSE),0)=1,$MK116,""))</f>
        <v/>
      </c>
      <c r="NO116" s="152">
        <f>IF($MT116=0,0,INDEX($Y$2:$Y$11,$MT116))</f>
        <v/>
      </c>
      <c r="NP116" s="152">
        <f>IF($MT116=0,0,INDEX($Z$2:$Z$11,$MT116))</f>
        <v/>
      </c>
      <c r="NQ116" s="152">
        <f>IF($MT116=0,0,INDEX($AB$2:$AB$11,$MT116))</f>
        <v/>
      </c>
      <c r="NR116" s="152">
        <f>IFERROR(VLOOKUP($ML116,$BB$2:$BF$24,3,FALSE),0)</f>
        <v/>
      </c>
      <c r="NS116" s="152">
        <f>IFERROR(VLOOKUP($MM116,$BB$2:$BF$24,3,FALSE),0)</f>
        <v/>
      </c>
      <c r="NT116" s="152">
        <f>IFERROR(VLOOKUP($ML116,$BB$2:$BF$24,2,FALSE),"")</f>
        <v/>
      </c>
      <c r="NU116" s="152">
        <f>IFERROR(VLOOKUP($MM116,$BB$2:$BF$24,2,FALSE),"")</f>
        <v/>
      </c>
      <c r="NV116" s="152">
        <f>COUNTIF($NC116:$NG116,1)</f>
        <v/>
      </c>
      <c r="NW116" s="152">
        <f>COUNTIF($NC116:$NG116,2)</f>
        <v/>
      </c>
      <c r="NX116" s="152">
        <f>COUNTIF($NC116:$NG116,3)</f>
        <v/>
      </c>
      <c r="NY116" s="152">
        <f>COUNTIF($NC116:$NG116,4)</f>
        <v/>
      </c>
      <c r="NZ116" s="152">
        <f>COUNTIF($NC116:$NG116,5)</f>
        <v/>
      </c>
      <c r="OA116" s="152">
        <f>COUNTIF($NC116:$NG116,6)</f>
        <v/>
      </c>
      <c r="OB116" s="152">
        <f>COUNTIF($NR116:$NS116,1)</f>
        <v/>
      </c>
      <c r="OC116" s="152">
        <f>COUNTIF($NR116:$NS116,2)+$NO116</f>
        <v/>
      </c>
      <c r="OD116" s="152">
        <f>COUNTIF($MH116:$MK116,"?*")</f>
        <v/>
      </c>
      <c r="OE116" s="152">
        <f>COUNTIF($ML116:$MM116,"?*")+$NO116</f>
        <v/>
      </c>
      <c r="OF116" s="152">
        <f>IF($MC116=0,0,SUMPRODUCT($NV116:$OA116,INDEX($I$2:$N$8,MAX(1,$MC116),0)))</f>
        <v/>
      </c>
      <c r="OG116" s="152">
        <f>IF($MC116=0,0,$OB116*CEILING($MC116/2,1)+$OC116*$MC116)</f>
        <v/>
      </c>
      <c r="OH116" s="152">
        <f>MIN(2*$MC116,$OG116)</f>
        <v/>
      </c>
      <c r="OI116" s="152">
        <f>MIN($OH116,$OF116)</f>
        <v/>
      </c>
      <c r="OJ116" s="152">
        <f>$OH116-$OI116</f>
        <v/>
      </c>
      <c r="OK116" s="152">
        <f>IF($MC116=0,0,INDEX($P$2:$P$8,MAX(1,$MC116)))</f>
        <v/>
      </c>
      <c r="OL116" s="152">
        <f>$OK116-$OF116+$OI116</f>
        <v/>
      </c>
      <c r="OM116" s="152">
        <f>IF($MC116=0,MAX(0,$MQ116-IF($OD116&gt;0,1,0)),MAX(0,$OL116))</f>
        <v/>
      </c>
      <c r="ON116" s="152">
        <f>IF($MC116=0,0,(IF(COUNTIF($MH116:$MK116,"Salto")&gt;0,1,0)+IF(COUNTIF($MH116:$MK116,"Queima")&gt;0,1,0)+IF(COUNTIF($MH116:$MK116,"Estilhaço")&gt;0,1,0))*FLOOR($OM116/2,1))</f>
        <v/>
      </c>
      <c r="OO116" s="152">
        <f>MAX(0,2-SUMPRODUCT($NV116:$OA116,$I$2:$N$2)+MIN(2,$OB116*1+$OC116*1,SUMPRODUCT($NV116:$OA116,$I$2:$N$2)))</f>
        <v/>
      </c>
      <c r="OP116" s="152">
        <f>MAX(0,4-SUMPRODUCT($NV116:$OA116,$I$3:$N$3)+MIN(4,$OB116*1+$OC116*2,SUMPRODUCT($NV116:$OA116,$I$3:$N$3)))</f>
        <v/>
      </c>
      <c r="OQ116" s="152">
        <f>MAX(0,6-SUMPRODUCT($NV116:$OA116,$I$4:$N$4)+MIN(6,$OB116*2+$OC116*3,SUMPRODUCT($NV116:$OA116,$I$4:$N$4)))</f>
        <v/>
      </c>
      <c r="OR116" s="152">
        <f>MAX(0,9-SUMPRODUCT($NV116:$OA116,$I$5:$N$5)+MIN(8,$OB116*2+$OC116*4,SUMPRODUCT($NV116:$OA116,$I$5:$N$5)))</f>
        <v/>
      </c>
      <c r="OS116" s="152">
        <f>MAX(0,11-SUMPRODUCT($NV116:$OA116,$I$6:$N$6)+MIN(10,$OB116*3+$OC116*5,SUMPRODUCT($NV116:$OA116,$I$6:$N$6)))</f>
        <v/>
      </c>
      <c r="OT116" s="152">
        <f>MAX(0,13-SUMPRODUCT($NV116:$OA116,$I$7:$N$7)+MIN(12,$OB116*3+$OC116*6,SUMPRODUCT($NV116:$OA116,$I$7:$N$7)))</f>
        <v/>
      </c>
      <c r="OU116" s="152">
        <f>MAX(0,16-SUMPRODUCT($NV116:$OA116,$I$8:$N$8)+MIN(14,$OB116*4+$OC116*7,SUMPRODUCT($NV116:$OA116,$I$8:$N$8)))</f>
        <v/>
      </c>
      <c r="OV116" s="152">
        <f>IF($NP116=2,3*$OO116&amp;" de vida temp.",IF($NP116=3,"sem dano",IF($OO116=0,IF($NP116=1,"sem cura","sem dano"),IF($NP116=1,"cura ","")&amp;$OO116&amp;"d8")))</f>
        <v/>
      </c>
      <c r="OW116" s="152">
        <f>IF($NP116=2,3*$OP116&amp;" de vida temp.",IF($NP116=3,"sem dano",IF($OP116=0,IF($NP116=1,"sem cura","sem dano"),IF($NP116=1,"cura ","")&amp;$OP116&amp;"d8")))</f>
        <v/>
      </c>
      <c r="OX116" s="152">
        <f>IF($NP116=2,3*$OQ116&amp;" de vida temp.",IF($NP116=3,"sem dano",IF($OQ116=0,IF($NP116=1,"sem cura","sem dano"),IF($NP116=1,"cura ","")&amp;$OQ116&amp;"d8")))</f>
        <v/>
      </c>
      <c r="OY116" s="152">
        <f>IF($NP116=2,3*$OR116&amp;" de vida temp.",IF($NP116=3,"sem dano",IF($OR116=0,IF($NP116=1,"sem cura","sem dano"),IF($NP116=1,"cura ","")&amp;$OR116&amp;"d8")))</f>
        <v/>
      </c>
      <c r="OZ116" s="152">
        <f>IF($NP116=2,3*$OS116&amp;" de vida temp.",IF($NP116=3,"sem dano",IF($OS116=0,IF($NP116=1,"sem cura","sem dano"),IF($NP116=1,"cura ","")&amp;$OS116&amp;"d8")))</f>
        <v/>
      </c>
      <c r="PA116" s="152">
        <f>IF($NP116=2,3*$OT116&amp;" de vida temp.",IF($NP116=3,"sem dano",IF($OT116=0,IF($NP116=1,"sem cura","sem dano"),IF($NP116=1,"cura ","")&amp;$OT116&amp;"d8")))</f>
        <v/>
      </c>
      <c r="PB116" s="152">
        <f>IF($NP116=2,3*$OU116&amp;" de vida temp.",IF($NP116=3,"sem dano",IF($OU116=0,IF($NP116=1,"sem cura","sem dano"),IF($NP116=1,"cura ","")&amp;$OU116&amp;"d8")))</f>
        <v/>
      </c>
      <c r="PC116" s="152">
        <f>IF($MN116=0,"",TEXTJOIN(" · ",TRUE,IF($MA116&gt;$MO116,"Este lugar abre no nível "&amp;$MA116,""),IF($MC116&gt;$MP116,"Classe "&amp;$MC116&amp;": o nível "&amp;$MO116&amp;" libera até a "&amp;$MP116,""),IF($NH116=1,"A Forma "&amp;$ME116&amp;" pede "&amp;INDEX($W$2:$W$11,$MT116)&amp;" aberta",""),IF(AND($MC116=0,$MT116&gt;0,IF($MT116=0,0,INDEX($AF$2:$AF$11,$MT116))=0),$ME116&amp;" não existe na Classe 0",""),IF($NI116=1,"Família Fechada: "&amp;$MH116,""),IF($NJ116=1,"Família Fechada: "&amp;$MI116,""),IF($NK116=1,"Família Fechada: "&amp;$MJ116,""),IF($NL116=1,"Família Fechada: "&amp;$MK116,""),IF(AND($MC116&gt;0,$OD116&gt;INDEX($O$2:$O$8,MAX(1,$MC116))),$OD116&amp;" Melhorias: a Classe "&amp;$MC116&amp;" aceita "&amp;INDEX($O$2:$O$8,MAX(1,$MC116)),""),IF(AND($MC116=0,$OD116&gt;1),"A básica aceita uma Melhoria",""),IF(AND($MC116=0,COUNTIF($MY116:$NB116,"&gt;1")&gt;0),"A básica só aceita Melhoria Leve",""),IF(AND($MC116&gt;0,$OE116&gt;2),$OE116&amp;" Restrições"&amp;IF($NO116=1,", contando a que a Forma "&amp;$ME116&amp;" já traz","")&amp;": o limite é 2",""),IF(AND($MC116=0,COUNTIF($ML116:$MM116,"?*")&gt;1),"A básica aceita uma Restrição Leve",""),IF(AND($MC116=0,COUNTIF($NR116:$NS116,2)&gt;0),"A básica só aceita Restrição Leve",""),IF(AND($MC116&gt;0,$OL116&lt;0),"Orçamento estourado: faltam "&amp;(-$OL116)&amp;IF($OL116&lt;-1," pontos"," ponto"),""),IF(IFERROR(VLOOKUP($ML116,$BB$2:$BF$24,4,FALSE),0)+IFERROR(VLOOKUP($MM116,$BB$2:$BF$24,4,FALSE),0)&gt;1,$NT116&amp;" e "&amp;$NU116&amp;" são as duas de frequência",""),IF(AND((COUNTIF($MH116:$MK116,"Rápido")+COUNTIF($NT116:$NU116,"Rápido"))&gt;0,(COUNTIF($MH116:$MK116,"Atrasar")+COUNTIF($NT116:$NU116,"Atrasar"))&gt;0),"Rápido não entra com Atrasar",""),IF(AND((COUNTIF($MH116:$MK116,"Reação")+COUNTIF($NT116:$NU116,"Reação"))&gt;0,(COUNTIF($MH116:$MK116,"Rápido")+COUNTIF($NT116:$NU116,"Rápido"))&gt;0),"Reação não entra com Rápido",""),IF(AND((COUNTIF($MH116:$MK116,"Reação")+COUNTIF($NT116:$NU116,"Reação"))&gt;0,(COUNTIF($MH116:$MK116,"Armado")+COUNTIF($NT116:$NU116,"Armado"))&gt;0),"Reação não entra com Armado",""),IF(AND((COUNTIF($MH116:$MK116,"Reação")+COUNTIF($NT116:$NU116,"Reação"))&gt;0,(COUNTIF($MH116:$MK116,"Atrasar")+COUNTIF($NT116:$NU116,"Atrasar"))&gt;0),"Reação não entra com Atrasar",""),IF(AND((COUNTIF($MH116:$MK116,"Reação")+COUNTIF($NT116:$NU116,"Reação"))&gt;0,(COUNTIF($MH116:$MK116,"Parado")+COUNTIF($NT116:$NU116,"Parado"))&gt;0),"Reação não entra com Parado",""),IF(AND((COUNTIF($MH116:$MK116,"Atrasar")+COUNTIF($NT116:$NU116,"Atrasar"))&gt;0,(COUNTIF($MH116:$MK116,"Parado")+COUNTIF($NT116:$NU116,"Parado"))&gt;0),"Atrasar não entra com Parado",""),IF(AND((COUNTIF($MH116:$MK116,"Armado")+COUNTIF($NT116:$NU116,"Armado"))&gt;0,(COUNTIF($MH116:$MK116,"Carregar")+COUNTIF($NT116:$NU116,"Carregar"))&gt;0),"Armado não entra com Carregar",""),IF(AND(COUNTIF($NT116:$NU116,"Corpo a Corpo")&gt;0,$NO116=0,OR($ME116="Cone",$ME116="Linha")),"Corpo a Corpo não entra em "&amp;$ME116,""),IF(AND(COUNTIF($NT116:$NU116,"Corpo a Corpo")&gt;0,$NO116=1),"A Forma "&amp;$ME116&amp;" já traz o Corpo a Corpo",""),IF(AND(COUNTIF($NT116:$NU116,"Tudo ou Nada")&gt;0,$NQ116=0),"Tudo ou Nada só entra em habilidade de Teste de Resistência",""),IF(AND(COUNTIF($MH116:$MK116,"Inescapável")&gt;0,OR($OD116&gt;1,$OE116&gt;0)),"Inescapável não aceita outra peça",""),IF(AND($MC116&gt;0,$OM116*IF(COUNTIF($MH116:$MK116,"Remate")&gt;0,1.25,1)+$ON116&gt;4*$MC116),($OM116*IF(COUNTIF($MH116:$MK116,"Remate")&gt;0,1.25,1)+$ON116)&amp;" dados somando repetições"&amp;IF(COUNTIF($MH116:$MK116,"Remate")&gt;0," e o Remate","")&amp;": o teto da Classe "&amp;$MC116&amp;" é "&amp;4*$MC116,"")))</f>
        <v/>
      </c>
      <c r="PD116" s="152">
        <f>IF($PC116="",0,(LEN($PC116)-LEN(SUBSTITUTE($PC116," · ","")))/3+1)</f>
        <v/>
      </c>
      <c r="PE116" s="152">
        <f>IF($MN116=0,"",TEXTJOIN(" · ",TRUE,IF($OG116&gt;2*$MC116,"A devolução parou no teto de "&amp;2*$MC116,""),IF($OJ116&gt;0,"Devolução perdida: "&amp;$OJ116&amp;IF($OJ116&gt;1," pontos"," ponto")&amp;" sem peça para pagar",""),IF(AND($NM116&gt;0,AND($MC116&gt;0,$NP116=0),$OM116=0),"Controle sem dano: uma rodada a mais e CD +2",""),IF(AND($NM116&gt;0,AND($MC116&gt;0,$NP116=0),$OM116&gt;0,$OM116&lt;=$MC116),"Controle com saldo até a Classe: uma rodada a mais",""),IF(AND($MC116&gt;0,$NN116&lt;&gt;""),"Efeito de "&amp;$NN116&amp;" pela Classe "&amp;MAX(1,$MC116-1),"")))</f>
        <v/>
      </c>
      <c r="PF116" s="152">
        <f>IF($PE116="",0,(LEN($PE116)-LEN(SUBSTITUTE($PE116," · ","")))/3+1)</f>
        <v/>
      </c>
      <c r="PG116" s="152">
        <f>IF($MN116=0,IF($OD116+COUNTIF($ML116:$MM116,"?*")&gt;0,"Dê um nome",""),IF($PD116&gt;0,"⚠ "&amp;$PD116&amp;IF($PD116&gt;1," erros"," erro"),IF($PF116&gt;0,"! "&amp;$PF116&amp;IF($PF116&gt;1," avisos"," aviso"),"Na regra")))</f>
        <v/>
      </c>
      <c r="PH116" s="152">
        <f>IF($MN116=0,"",IF($PD116+$PF116=0,"Dentro das regras que a ficha confere",$PC116&amp;IF(AND($PD116&gt;0,$PF116&gt;0)," · ","")&amp;$PE116))</f>
        <v/>
      </c>
      <c r="PI116" s="152">
        <f>IF($MA116&gt;$MO116,$MB116&amp;" · ABRE NO NÍVEL "&amp;$MA116,$MB116)</f>
        <v/>
      </c>
      <c r="PJ116" s="152">
        <f>IF($MN116=0,"",IF($MC116=0,"Sem PE",3*$MC116&amp;" PE"))</f>
        <v/>
      </c>
      <c r="PK116" s="152">
        <f>IF($MN116=0,"",IF($MC116=0,"A atuação básica dela",IF(COUNTIF($NT116:$NU116,"Atrasar")&gt;0,"Sua Ação Completa",IF(COUNTIF($MH116:$MK116,"Rápido")&gt;0,"Sua Bônus",IF(COUNTIF($MH116:$MK116,"Reação")&gt;0,"Sua Reação","Sua Padrão")))&amp;" + a básica dela"&amp;IF(COUNTIF($MH116:$MK116,"Reação")&gt;0," e a coletiva","")&amp;IF(COUNTIF($NT116:$NU116,"Carregar")&gt;0," · em dois turnos","")))</f>
        <v/>
      </c>
      <c r="PL116" s="152">
        <f>IF($MG116&lt;&gt;"",$MG116,IF($MT116=0,"",INDEX($AA$2:$AA$11,$MT116)))</f>
        <v/>
      </c>
      <c r="PM116" s="152">
        <f>IF(OR($MN116=0,$MT116=0),"",IF(COUNTIF($MH116:$MK116,"Inescapável")&gt;0,"Automático",IF($PL116="Ataque",IF($MR116="","Ataque","Ataque "&amp;IF(($MR116+2*IF(COUNTIF($MH116:$MK116,"Precisão")&gt;0,1,0))&gt;=0,"+","−")&amp;ABS(($MR116+2*IF(COUNTIF($MH116:$MK116,"Precisão")&gt;0,1,0)))),IF(LEFT($PL116,2)="TR",$PL116&amp;IF($MS116="",""," · CD "&amp;$MS116)&amp;IF(COUNTIF($MH116:$MK116,"Certeiro")&gt;0," · metade",""),"Sem rolagem"))))</f>
        <v/>
      </c>
      <c r="PN116" s="152">
        <f>IF(OR($MN116=0,$MT116=0),"",IF($MC116=0,IF(OR($NP116&gt;=1,$OM116=0),"Sem dano",$OM116&amp;"d6"&amp;IF($MF116="",""," "&amp;$MF116)),IF(OR($NP116&gt;=1,$OM116=0),UPPER(LEFT(INDEX($OV116:$PB116,1,MAX(1,$MC116)),1))&amp;MID(INDEX($OV116:$PB116,1,MAX(1,$MC116)),2,99),UPPER(LEFT(INDEX($OV116:$PB116,1,MAX(1,$MC116)),1))&amp;MID(INDEX($OV116:$PB116,1,MAX(1,$MC116)),2,99)&amp;IF($MF116="",""," "&amp;$MF116)&amp;IF($ON116&gt;0," · +"&amp;$ON116&amp;"d8",""))))</f>
        <v/>
      </c>
      <c r="PO116" s="152">
        <f>COUNTIF($MH116:$MK116,"Longe")+3*COUNTIF($MH116:$MK116,"Muito Longe")</f>
        <v/>
      </c>
      <c r="PP116" s="152">
        <f>COUNTIF($MH116:$MK116,"Maior")+3*COUNTIF($MH116:$MK116,"Muito Maior")</f>
        <v/>
      </c>
      <c r="PQ116" s="152">
        <f>IF($MT116=0,0,CHOOSE(1+INDEX($AC$2:$AC$11,$MT116),0,$PO116,$PP116,$PO116+$PP116))</f>
        <v/>
      </c>
      <c r="PR116" s="152">
        <f>IF($MT116=0,0,CHOOSE(1+INDEX($AD$2:$AD$11,$MT116),0,$PO116,$PP116,$PO116+$PP116))</f>
        <v/>
      </c>
      <c r="PS116" s="152">
        <f>IF(OR($MN116=0,$MT116=0),"",INDEX($AI$2:$AN$41,($MT116-1)*4+IF($MC116=0,1,IF($MC116&lt;=5,2,IF($MC116=6,3,4))),1+MIN(5,$PQ116))&amp;INDEX($AO$2:$AT$41,($MT116-1)*4+IF($MC116=0,1,IF($MC116&lt;=5,2,IF($MC116=6,3,4))),1+MIN(5,$PR116))&amp;IF(INDEX($AE$2:$AE$11,$MT116)=1,IF(COUNTIF($MH116:$MK116,"Mais Um")&gt;0," · +"&amp;COUNTIF($MH116:$MK116,"Mais Um")&amp;IF(COUNTIF($MH116:$MK116,"Mais Um")&gt;1," alvos"," alvo"),"")&amp;IF(COUNTIF($MH116:$MK116,"Rajada")&gt;0,IF($MC116=0," · 1 tiro"," · "&amp;(MAX(1,$MC116-1)+1)&amp;" tiros"),""),""))</f>
        <v/>
      </c>
      <c r="PT116" s="152">
        <f>IF($MN116=0,"",IF($MC116=0,$MQ116&amp;"d6"&amp;IF($OD116&gt;0," − 1 = "&amp;$OM116&amp;"d6"," da básica do nível "&amp;$MO116),$OK116&amp;" − "&amp;$OF116&amp;" + "&amp;$OI116&amp;" = "&amp;$OL116&amp;" · teto "&amp;4*$MC116&amp;"d8"&amp;IF($NO116=1," · a Forma devolve "&amp;$MC116,"")&amp;IF($OJ116&gt;0," · perde "&amp;$OJ116,"")))</f>
        <v/>
      </c>
      <c r="PU116" s="152">
        <f>IF($MN116=0,"",IF($MC116=0,"A básica não amplia: os dados dela sobem com o nível",IF($MC116&gt;=$MP116,"Já está na maior Classe que o nível liberou",TEXTJOIN(" · ",TRUE,IF(AND(2&gt;$MC116,2&lt;=$MP116),"2 → "&amp;$OW116&amp;", 6 PE",""),IF(AND(3&gt;$MC116,3&lt;=$MP116),"3 → "&amp;$OX116&amp;", 9 PE",""),IF(AND(4&gt;$MC116,4&lt;=$MP116),"4 → "&amp;$OY116&amp;", 12 PE",""),IF(AND(5&gt;$MC116,5&lt;=$MP116),"5 → "&amp;$OZ116&amp;", 15 PE",""),IF(AND(6&gt;$MC116,6&lt;=$MP116),"6 → "&amp;$PA116&amp;", 18 PE",""),IF(AND(7&gt;$MC116,7&lt;=$MP116),"7 → "&amp;$PB116&amp;", 21 PE","")))))</f>
        <v/>
      </c>
      <c r="PV116" s="152">
        <f>IF(OR($MN116=0,$MY116=0),"",IF($MC116=0,"−1 dado","−"&amp;INDEX($I$2:$N$8,MAX(1,$MC116),MAX(1,$ND116))&amp;" · "&amp;CHOOSE(MAX(1,$ND116),"Leve","Média","Pesada","Leve · Livre","Média · Livre","Pesada · Livre")))</f>
        <v/>
      </c>
      <c r="PW116" s="152">
        <f>IF(OR($MN116=0,$MZ116=0),"",IF($MC116=0,"−1 dado","−"&amp;INDEX($I$2:$N$8,MAX(1,$MC116),MAX(1,$NE116))&amp;" · "&amp;CHOOSE(MAX(1,$NE116),"Leve","Média","Pesada","Leve · Livre","Média · Livre","Pesada · Livre")))</f>
        <v/>
      </c>
      <c r="PX116" s="152">
        <f>IF(OR($MN116=0,$NA116=0),"",IF($MC116=0,"−1 dado","−"&amp;INDEX($I$2:$N$8,MAX(1,$MC116),MAX(1,$NF116))&amp;" · "&amp;CHOOSE(MAX(1,$NF116),"Leve","Média","Pesada","Leve · Livre","Média · Livre","Pesada · Livre")))</f>
        <v/>
      </c>
      <c r="PY116" s="152">
        <f>IF(OR($MN116=0,$NB116=0),"",IF($MC116=0,"−1 dado","−"&amp;INDEX($I$2:$N$8,MAX(1,$MC116),MAX(1,$NG116))&amp;" · "&amp;CHOOSE(MAX(1,$NG116),"Leve","Média","Pesada","Leve · Livre","Média · Livre","Pesada · Livre")))</f>
        <v/>
      </c>
      <c r="PZ116" s="152">
        <f>IF(OR($MN116=0,$ML116=""),"",IF($MC116=0,"não devolve","+"&amp;IF($NR116=1,CEILING($MC116/2,1),$MC116)))</f>
        <v/>
      </c>
      <c r="QA116" s="152">
        <f>IF(OR($MN116=0,$MM116=""),"",IF($MC116=0,"não devolve","+"&amp;IF($NS116=1,CEILING($MC116/2,1),$MC116)))</f>
        <v/>
      </c>
    </row>
    <row r="117">
      <c r="LX117" s="150" t="inlineStr">
        <is>
          <t>Ficha 9 · Escolha da trilha 2</t>
        </is>
      </c>
      <c r="LY117" s="152" t="n">
        <v>9</v>
      </c>
      <c r="LZ117" s="152" t="n">
        <v>2</v>
      </c>
      <c r="MA117" s="152" t="n">
        <v>0</v>
      </c>
      <c r="MB117" s="150" t="inlineStr">
        <is>
          <t>ESCOLHA DA TRILHA 2</t>
        </is>
      </c>
      <c r="MC117" s="152">
        <f>MAX(0,MIN(7,N('INVOCAÇÕES'!$AH$556)))</f>
        <v/>
      </c>
      <c r="MD117" s="152">
        <f>'INVOCAÇÕES'!$AI$556&amp;""</f>
        <v/>
      </c>
      <c r="ME117" s="152">
        <f>'INVOCAÇÕES'!$AH$561&amp;""</f>
        <v/>
      </c>
      <c r="MF117" s="152">
        <f>'INVOCAÇÕES'!$AH$562&amp;""</f>
        <v/>
      </c>
      <c r="MG117" s="152">
        <f>'INVOCAÇÕES'!$AJ$562&amp;""</f>
        <v/>
      </c>
      <c r="MH117" s="152">
        <f>'INVOCAÇÕES'!$AI$565&amp;""</f>
        <v/>
      </c>
      <c r="MI117" s="152">
        <f>'INVOCAÇÕES'!$AI$566&amp;""</f>
        <v/>
      </c>
      <c r="MJ117" s="152">
        <f>'INVOCAÇÕES'!$AI$567&amp;""</f>
        <v/>
      </c>
      <c r="MK117" s="152">
        <f>'INVOCAÇÕES'!$AI$568&amp;""</f>
        <v/>
      </c>
      <c r="ML117" s="152">
        <f>'INVOCAÇÕES'!$AI$569&amp;""</f>
        <v/>
      </c>
      <c r="MM117" s="152">
        <f>'INVOCAÇÕES'!$AI$570&amp;""</f>
        <v/>
      </c>
      <c r="MN117" s="152">
        <f>IF($MD117&lt;&gt;"",1,0)</f>
        <v/>
      </c>
      <c r="MO117" s="152">
        <f>INDEX($FG$2:$FG$13,$LY117)</f>
        <v/>
      </c>
      <c r="MP117" s="152">
        <f>INDEX($FH$2:$FH$13,$LY117)</f>
        <v/>
      </c>
      <c r="MQ117" s="152">
        <f>INDEX($FI$2:$FI$13,$LY117)</f>
        <v/>
      </c>
      <c r="MR117" s="152">
        <f>INDEX($FT$2:$FT$13,$LY117)</f>
        <v/>
      </c>
      <c r="MS117" s="152">
        <f>INDEX($FU$2:$FU$13,$LY117)</f>
        <v/>
      </c>
      <c r="MT117" s="152">
        <f>IFERROR(MATCH($ME117,$V$2:$V$11,0),0)</f>
        <v/>
      </c>
      <c r="MU117" s="152">
        <f>IFERROR(VLOOKUP($MH117,$AV$2:$AZ$84,2,FALSE),"")</f>
        <v/>
      </c>
      <c r="MV117" s="152">
        <f>IFERROR(VLOOKUP($MI117,$AV$2:$AZ$84,2,FALSE),"")</f>
        <v/>
      </c>
      <c r="MW117" s="152">
        <f>IFERROR(VLOOKUP($MJ117,$AV$2:$AZ$84,2,FALSE),"")</f>
        <v/>
      </c>
      <c r="MX117" s="152">
        <f>IFERROR(VLOOKUP($MK117,$AV$2:$AZ$84,2,FALSE),"")</f>
        <v/>
      </c>
      <c r="MY117" s="152">
        <f>IFERROR(VLOOKUP($MH117,$AV$2:$AZ$84,3,FALSE),0)</f>
        <v/>
      </c>
      <c r="MZ117" s="152">
        <f>IFERROR(VLOOKUP($MI117,$AV$2:$AZ$84,3,FALSE),0)</f>
        <v/>
      </c>
      <c r="NA117" s="152">
        <f>IFERROR(VLOOKUP($MJ117,$AV$2:$AZ$84,3,FALSE),0)</f>
        <v/>
      </c>
      <c r="NB117" s="152">
        <f>IFERROR(VLOOKUP($MK117,$AV$2:$AZ$84,3,FALSE),0)</f>
        <v/>
      </c>
      <c r="NC117" s="152">
        <f>IF($MC117=0,0,IF($MT117=0,0,INDEX($X$2:$X$11,$MT117)))</f>
        <v/>
      </c>
      <c r="ND117" s="152">
        <f>IF(OR($MY117=0,$MC117=0),0,$MY117+3*IF(AND($MU117&lt;&gt;"",OR($MU117=INDEX($ED$2:$ED$13,$LY117),$MU117=INDEX($EE$2:$EE$13,$LY117))),1,0))</f>
        <v/>
      </c>
      <c r="NE117" s="152">
        <f>IF(OR($MZ117=0,$MC117=0),0,$MZ117+3*IF(AND($MV117&lt;&gt;"",OR($MV117=INDEX($ED$2:$ED$13,$LY117),$MV117=INDEX($EE$2:$EE$13,$LY117))),1,0))</f>
        <v/>
      </c>
      <c r="NF117" s="152">
        <f>IF(OR($NA117=0,$MC117=0),0,$NA117+3*IF(AND($MW117&lt;&gt;"",OR($MW117=INDEX($ED$2:$ED$13,$LY117),$MW117=INDEX($EE$2:$EE$13,$LY117))),1,0))</f>
        <v/>
      </c>
      <c r="NG117" s="152">
        <f>IF(OR($NB117=0,$MC117=0),0,$NB117+3*IF(AND($MX117&lt;&gt;"",OR($MX117=INDEX($ED$2:$ED$13,$LY117),$MX117=INDEX($EE$2:$EE$13,$LY117))),1,0))</f>
        <v/>
      </c>
      <c r="NH117" s="152">
        <f>IF($MT117=0,0,IF(INDEX($W$2:$W$11,$MT117)="",0,IF(COUNTIF(INDEX($ED$2:$EH$13,$LY117,0),INDEX($W$2:$W$11,$MT117))=0,1,0)))</f>
        <v/>
      </c>
      <c r="NI117" s="152">
        <f>IF(OR($MY117=0,$MU117=""),0,IF(COUNTIF(INDEX($ED$2:$EH$13,$LY117,0),$MU117)=0,1,0))</f>
        <v/>
      </c>
      <c r="NJ117" s="152">
        <f>IF(OR($MZ117=0,$MV117=""),0,IF(COUNTIF(INDEX($ED$2:$EH$13,$LY117,0),$MV117)=0,1,0))</f>
        <v/>
      </c>
      <c r="NK117" s="152">
        <f>IF(OR($NA117=0,$MW117=""),0,IF(COUNTIF(INDEX($ED$2:$EH$13,$LY117,0),$MW117)=0,1,0))</f>
        <v/>
      </c>
      <c r="NL117" s="152">
        <f>IF(OR($NB117=0,$MX117=""),0,IF(COUNTIF(INDEX($ED$2:$EH$13,$LY117,0),$MX117)=0,1,0))</f>
        <v/>
      </c>
      <c r="NM117" s="152">
        <f>IFERROR(VLOOKUP($MH117,$AV$2:$AZ$84,4,FALSE),0)+IFERROR(VLOOKUP($MI117,$AV$2:$AZ$84,4,FALSE),0)+IFERROR(VLOOKUP($MJ117,$AV$2:$AZ$84,4,FALSE),0)+IFERROR(VLOOKUP($MK117,$AV$2:$AZ$84,4,FALSE),0)</f>
        <v/>
      </c>
      <c r="NN117" s="152">
        <f>TEXTJOIN(", ",TRUE,IF(IFERROR(VLOOKUP($MH117,$AV$2:$AZ$84,5,FALSE),0)=1,$MH117,""),IF(IFERROR(VLOOKUP($MI117,$AV$2:$AZ$84,5,FALSE),0)=1,$MI117,""),IF(IFERROR(VLOOKUP($MJ117,$AV$2:$AZ$84,5,FALSE),0)=1,$MJ117,""),IF(IFERROR(VLOOKUP($MK117,$AV$2:$AZ$84,5,FALSE),0)=1,$MK117,""))</f>
        <v/>
      </c>
      <c r="NO117" s="152">
        <f>IF($MT117=0,0,INDEX($Y$2:$Y$11,$MT117))</f>
        <v/>
      </c>
      <c r="NP117" s="152">
        <f>IF($MT117=0,0,INDEX($Z$2:$Z$11,$MT117))</f>
        <v/>
      </c>
      <c r="NQ117" s="152">
        <f>IF($MT117=0,0,INDEX($AB$2:$AB$11,$MT117))</f>
        <v/>
      </c>
      <c r="NR117" s="152">
        <f>IFERROR(VLOOKUP($ML117,$BB$2:$BF$24,3,FALSE),0)</f>
        <v/>
      </c>
      <c r="NS117" s="152">
        <f>IFERROR(VLOOKUP($MM117,$BB$2:$BF$24,3,FALSE),0)</f>
        <v/>
      </c>
      <c r="NT117" s="152">
        <f>IFERROR(VLOOKUP($ML117,$BB$2:$BF$24,2,FALSE),"")</f>
        <v/>
      </c>
      <c r="NU117" s="152">
        <f>IFERROR(VLOOKUP($MM117,$BB$2:$BF$24,2,FALSE),"")</f>
        <v/>
      </c>
      <c r="NV117" s="152">
        <f>COUNTIF($NC117:$NG117,1)</f>
        <v/>
      </c>
      <c r="NW117" s="152">
        <f>COUNTIF($NC117:$NG117,2)</f>
        <v/>
      </c>
      <c r="NX117" s="152">
        <f>COUNTIF($NC117:$NG117,3)</f>
        <v/>
      </c>
      <c r="NY117" s="152">
        <f>COUNTIF($NC117:$NG117,4)</f>
        <v/>
      </c>
      <c r="NZ117" s="152">
        <f>COUNTIF($NC117:$NG117,5)</f>
        <v/>
      </c>
      <c r="OA117" s="152">
        <f>COUNTIF($NC117:$NG117,6)</f>
        <v/>
      </c>
      <c r="OB117" s="152">
        <f>COUNTIF($NR117:$NS117,1)</f>
        <v/>
      </c>
      <c r="OC117" s="152">
        <f>COUNTIF($NR117:$NS117,2)+$NO117</f>
        <v/>
      </c>
      <c r="OD117" s="152">
        <f>COUNTIF($MH117:$MK117,"?*")</f>
        <v/>
      </c>
      <c r="OE117" s="152">
        <f>COUNTIF($ML117:$MM117,"?*")+$NO117</f>
        <v/>
      </c>
      <c r="OF117" s="152">
        <f>IF($MC117=0,0,SUMPRODUCT($NV117:$OA117,INDEX($I$2:$N$8,MAX(1,$MC117),0)))</f>
        <v/>
      </c>
      <c r="OG117" s="152">
        <f>IF($MC117=0,0,$OB117*CEILING($MC117/2,1)+$OC117*$MC117)</f>
        <v/>
      </c>
      <c r="OH117" s="152">
        <f>MIN(2*$MC117,$OG117)</f>
        <v/>
      </c>
      <c r="OI117" s="152">
        <f>MIN($OH117,$OF117)</f>
        <v/>
      </c>
      <c r="OJ117" s="152">
        <f>$OH117-$OI117</f>
        <v/>
      </c>
      <c r="OK117" s="152">
        <f>IF($MC117=0,0,INDEX($P$2:$P$8,MAX(1,$MC117)))</f>
        <v/>
      </c>
      <c r="OL117" s="152">
        <f>$OK117-$OF117+$OI117</f>
        <v/>
      </c>
      <c r="OM117" s="152">
        <f>IF($MC117=0,MAX(0,$MQ117-IF($OD117&gt;0,1,0)),MAX(0,$OL117))</f>
        <v/>
      </c>
      <c r="ON117" s="152">
        <f>IF($MC117=0,0,(IF(COUNTIF($MH117:$MK117,"Salto")&gt;0,1,0)+IF(COUNTIF($MH117:$MK117,"Queima")&gt;0,1,0)+IF(COUNTIF($MH117:$MK117,"Estilhaço")&gt;0,1,0))*FLOOR($OM117/2,1))</f>
        <v/>
      </c>
      <c r="OO117" s="152">
        <f>MAX(0,2-SUMPRODUCT($NV117:$OA117,$I$2:$N$2)+MIN(2,$OB117*1+$OC117*1,SUMPRODUCT($NV117:$OA117,$I$2:$N$2)))</f>
        <v/>
      </c>
      <c r="OP117" s="152">
        <f>MAX(0,4-SUMPRODUCT($NV117:$OA117,$I$3:$N$3)+MIN(4,$OB117*1+$OC117*2,SUMPRODUCT($NV117:$OA117,$I$3:$N$3)))</f>
        <v/>
      </c>
      <c r="OQ117" s="152">
        <f>MAX(0,6-SUMPRODUCT($NV117:$OA117,$I$4:$N$4)+MIN(6,$OB117*2+$OC117*3,SUMPRODUCT($NV117:$OA117,$I$4:$N$4)))</f>
        <v/>
      </c>
      <c r="OR117" s="152">
        <f>MAX(0,9-SUMPRODUCT($NV117:$OA117,$I$5:$N$5)+MIN(8,$OB117*2+$OC117*4,SUMPRODUCT($NV117:$OA117,$I$5:$N$5)))</f>
        <v/>
      </c>
      <c r="OS117" s="152">
        <f>MAX(0,11-SUMPRODUCT($NV117:$OA117,$I$6:$N$6)+MIN(10,$OB117*3+$OC117*5,SUMPRODUCT($NV117:$OA117,$I$6:$N$6)))</f>
        <v/>
      </c>
      <c r="OT117" s="152">
        <f>MAX(0,13-SUMPRODUCT($NV117:$OA117,$I$7:$N$7)+MIN(12,$OB117*3+$OC117*6,SUMPRODUCT($NV117:$OA117,$I$7:$N$7)))</f>
        <v/>
      </c>
      <c r="OU117" s="152">
        <f>MAX(0,16-SUMPRODUCT($NV117:$OA117,$I$8:$N$8)+MIN(14,$OB117*4+$OC117*7,SUMPRODUCT($NV117:$OA117,$I$8:$N$8)))</f>
        <v/>
      </c>
      <c r="OV117" s="152">
        <f>IF($NP117=2,3*$OO117&amp;" de vida temp.",IF($NP117=3,"sem dano",IF($OO117=0,IF($NP117=1,"sem cura","sem dano"),IF($NP117=1,"cura ","")&amp;$OO117&amp;"d8")))</f>
        <v/>
      </c>
      <c r="OW117" s="152">
        <f>IF($NP117=2,3*$OP117&amp;" de vida temp.",IF($NP117=3,"sem dano",IF($OP117=0,IF($NP117=1,"sem cura","sem dano"),IF($NP117=1,"cura ","")&amp;$OP117&amp;"d8")))</f>
        <v/>
      </c>
      <c r="OX117" s="152">
        <f>IF($NP117=2,3*$OQ117&amp;" de vida temp.",IF($NP117=3,"sem dano",IF($OQ117=0,IF($NP117=1,"sem cura","sem dano"),IF($NP117=1,"cura ","")&amp;$OQ117&amp;"d8")))</f>
        <v/>
      </c>
      <c r="OY117" s="152">
        <f>IF($NP117=2,3*$OR117&amp;" de vida temp.",IF($NP117=3,"sem dano",IF($OR117=0,IF($NP117=1,"sem cura","sem dano"),IF($NP117=1,"cura ","")&amp;$OR117&amp;"d8")))</f>
        <v/>
      </c>
      <c r="OZ117" s="152">
        <f>IF($NP117=2,3*$OS117&amp;" de vida temp.",IF($NP117=3,"sem dano",IF($OS117=0,IF($NP117=1,"sem cura","sem dano"),IF($NP117=1,"cura ","")&amp;$OS117&amp;"d8")))</f>
        <v/>
      </c>
      <c r="PA117" s="152">
        <f>IF($NP117=2,3*$OT117&amp;" de vida temp.",IF($NP117=3,"sem dano",IF($OT117=0,IF($NP117=1,"sem cura","sem dano"),IF($NP117=1,"cura ","")&amp;$OT117&amp;"d8")))</f>
        <v/>
      </c>
      <c r="PB117" s="152">
        <f>IF($NP117=2,3*$OU117&amp;" de vida temp.",IF($NP117=3,"sem dano",IF($OU117=0,IF($NP117=1,"sem cura","sem dano"),IF($NP117=1,"cura ","")&amp;$OU117&amp;"d8")))</f>
        <v/>
      </c>
      <c r="PC117" s="152">
        <f>IF($MN117=0,"",TEXTJOIN(" · ",TRUE,IF($MA117&gt;$MO117,"Este lugar abre no nível "&amp;$MA117,""),IF($MC117&gt;$MP117,"Classe "&amp;$MC117&amp;": o nível "&amp;$MO117&amp;" libera até a "&amp;$MP117,""),IF($NH117=1,"A Forma "&amp;$ME117&amp;" pede "&amp;INDEX($W$2:$W$11,$MT117)&amp;" aberta",""),IF(AND($MC117=0,$MT117&gt;0,IF($MT117=0,0,INDEX($AF$2:$AF$11,$MT117))=0),$ME117&amp;" não existe na Classe 0",""),IF($NI117=1,"Família Fechada: "&amp;$MH117,""),IF($NJ117=1,"Família Fechada: "&amp;$MI117,""),IF($NK117=1,"Família Fechada: "&amp;$MJ117,""),IF($NL117=1,"Família Fechada: "&amp;$MK117,""),IF(AND($MC117&gt;0,$OD117&gt;INDEX($O$2:$O$8,MAX(1,$MC117))),$OD117&amp;" Melhorias: a Classe "&amp;$MC117&amp;" aceita "&amp;INDEX($O$2:$O$8,MAX(1,$MC117)),""),IF(AND($MC117=0,$OD117&gt;1),"A básica aceita uma Melhoria",""),IF(AND($MC117=0,COUNTIF($MY117:$NB117,"&gt;1")&gt;0),"A básica só aceita Melhoria Leve",""),IF(AND($MC117&gt;0,$OE117&gt;2),$OE117&amp;" Restrições"&amp;IF($NO117=1,", contando a que a Forma "&amp;$ME117&amp;" já traz","")&amp;": o limite é 2",""),IF(AND($MC117=0,COUNTIF($ML117:$MM117,"?*")&gt;1),"A básica aceita uma Restrição Leve",""),IF(AND($MC117=0,COUNTIF($NR117:$NS117,2)&gt;0),"A básica só aceita Restrição Leve",""),IF(AND($MC117&gt;0,$OL117&lt;0),"Orçamento estourado: faltam "&amp;(-$OL117)&amp;IF($OL117&lt;-1," pontos"," ponto"),""),IF(IFERROR(VLOOKUP($ML117,$BB$2:$BF$24,4,FALSE),0)+IFERROR(VLOOKUP($MM117,$BB$2:$BF$24,4,FALSE),0)&gt;1,$NT117&amp;" e "&amp;$NU117&amp;" são as duas de frequência",""),IF(AND((COUNTIF($MH117:$MK117,"Rápido")+COUNTIF($NT117:$NU117,"Rápido"))&gt;0,(COUNTIF($MH117:$MK117,"Atrasar")+COUNTIF($NT117:$NU117,"Atrasar"))&gt;0),"Rápido não entra com Atrasar",""),IF(AND((COUNTIF($MH117:$MK117,"Reação")+COUNTIF($NT117:$NU117,"Reação"))&gt;0,(COUNTIF($MH117:$MK117,"Rápido")+COUNTIF($NT117:$NU117,"Rápido"))&gt;0),"Reação não entra com Rápido",""),IF(AND((COUNTIF($MH117:$MK117,"Reação")+COUNTIF($NT117:$NU117,"Reação"))&gt;0,(COUNTIF($MH117:$MK117,"Armado")+COUNTIF($NT117:$NU117,"Armado"))&gt;0),"Reação não entra com Armado",""),IF(AND((COUNTIF($MH117:$MK117,"Reação")+COUNTIF($NT117:$NU117,"Reação"))&gt;0,(COUNTIF($MH117:$MK117,"Atrasar")+COUNTIF($NT117:$NU117,"Atrasar"))&gt;0),"Reação não entra com Atrasar",""),IF(AND((COUNTIF($MH117:$MK117,"Reação")+COUNTIF($NT117:$NU117,"Reação"))&gt;0,(COUNTIF($MH117:$MK117,"Parado")+COUNTIF($NT117:$NU117,"Parado"))&gt;0),"Reação não entra com Parado",""),IF(AND((COUNTIF($MH117:$MK117,"Atrasar")+COUNTIF($NT117:$NU117,"Atrasar"))&gt;0,(COUNTIF($MH117:$MK117,"Parado")+COUNTIF($NT117:$NU117,"Parado"))&gt;0),"Atrasar não entra com Parado",""),IF(AND((COUNTIF($MH117:$MK117,"Armado")+COUNTIF($NT117:$NU117,"Armado"))&gt;0,(COUNTIF($MH117:$MK117,"Carregar")+COUNTIF($NT117:$NU117,"Carregar"))&gt;0),"Armado não entra com Carregar",""),IF(AND(COUNTIF($NT117:$NU117,"Corpo a Corpo")&gt;0,$NO117=0,OR($ME117="Cone",$ME117="Linha")),"Corpo a Corpo não entra em "&amp;$ME117,""),IF(AND(COUNTIF($NT117:$NU117,"Corpo a Corpo")&gt;0,$NO117=1),"A Forma "&amp;$ME117&amp;" já traz o Corpo a Corpo",""),IF(AND(COUNTIF($NT117:$NU117,"Tudo ou Nada")&gt;0,$NQ117=0),"Tudo ou Nada só entra em habilidade de Teste de Resistência",""),IF(AND(COUNTIF($MH117:$MK117,"Inescapável")&gt;0,OR($OD117&gt;1,$OE117&gt;0)),"Inescapável não aceita outra peça",""),IF(AND($MC117&gt;0,$OM117*IF(COUNTIF($MH117:$MK117,"Remate")&gt;0,1.25,1)+$ON117&gt;4*$MC117),($OM117*IF(COUNTIF($MH117:$MK117,"Remate")&gt;0,1.25,1)+$ON117)&amp;" dados somando repetições"&amp;IF(COUNTIF($MH117:$MK117,"Remate")&gt;0," e o Remate","")&amp;": o teto da Classe "&amp;$MC117&amp;" é "&amp;4*$MC117,"")))</f>
        <v/>
      </c>
      <c r="PD117" s="152">
        <f>IF($PC117="",0,(LEN($PC117)-LEN(SUBSTITUTE($PC117," · ","")))/3+1)</f>
        <v/>
      </c>
      <c r="PE117" s="152">
        <f>IF($MN117=0,"",TEXTJOIN(" · ",TRUE,IF($OG117&gt;2*$MC117,"A devolução parou no teto de "&amp;2*$MC117,""),IF($OJ117&gt;0,"Devolução perdida: "&amp;$OJ117&amp;IF($OJ117&gt;1," pontos"," ponto")&amp;" sem peça para pagar",""),IF(AND($NM117&gt;0,AND($MC117&gt;0,$NP117=0),$OM117=0),"Controle sem dano: uma rodada a mais e CD +2",""),IF(AND($NM117&gt;0,AND($MC117&gt;0,$NP117=0),$OM117&gt;0,$OM117&lt;=$MC117),"Controle com saldo até a Classe: uma rodada a mais",""),IF(AND($MC117&gt;0,$NN117&lt;&gt;""),"Efeito de "&amp;$NN117&amp;" pela Classe "&amp;MAX(1,$MC117-1),"")))</f>
        <v/>
      </c>
      <c r="PF117" s="152">
        <f>IF($PE117="",0,(LEN($PE117)-LEN(SUBSTITUTE($PE117," · ","")))/3+1)</f>
        <v/>
      </c>
      <c r="PG117" s="152">
        <f>IF($MN117=0,IF($OD117+COUNTIF($ML117:$MM117,"?*")&gt;0,"Dê um nome",""),IF($PD117&gt;0,"⚠ "&amp;$PD117&amp;IF($PD117&gt;1," erros"," erro"),IF($PF117&gt;0,"! "&amp;$PF117&amp;IF($PF117&gt;1," avisos"," aviso"),"Na regra")))</f>
        <v/>
      </c>
      <c r="PH117" s="152">
        <f>IF($MN117=0,"",IF($PD117+$PF117=0,"Dentro das regras que a ficha confere",$PC117&amp;IF(AND($PD117&gt;0,$PF117&gt;0)," · ","")&amp;$PE117))</f>
        <v/>
      </c>
      <c r="PI117" s="152">
        <f>IF($MA117&gt;$MO117,$MB117&amp;" · ABRE NO NÍVEL "&amp;$MA117,$MB117)</f>
        <v/>
      </c>
      <c r="PJ117" s="152">
        <f>IF($MN117=0,"",IF($MC117=0,"Sem PE",3*$MC117&amp;" PE"))</f>
        <v/>
      </c>
      <c r="PK117" s="152">
        <f>IF($MN117=0,"",IF($MC117=0,"A atuação básica dela",IF(COUNTIF($NT117:$NU117,"Atrasar")&gt;0,"Sua Ação Completa",IF(COUNTIF($MH117:$MK117,"Rápido")&gt;0,"Sua Bônus",IF(COUNTIF($MH117:$MK117,"Reação")&gt;0,"Sua Reação","Sua Padrão")))&amp;" + a básica dela"&amp;IF(COUNTIF($MH117:$MK117,"Reação")&gt;0," e a coletiva","")&amp;IF(COUNTIF($NT117:$NU117,"Carregar")&gt;0," · em dois turnos","")))</f>
        <v/>
      </c>
      <c r="PL117" s="152">
        <f>IF($MG117&lt;&gt;"",$MG117,IF($MT117=0,"",INDEX($AA$2:$AA$11,$MT117)))</f>
        <v/>
      </c>
      <c r="PM117" s="152">
        <f>IF(OR($MN117=0,$MT117=0),"",IF(COUNTIF($MH117:$MK117,"Inescapável")&gt;0,"Automático",IF($PL117="Ataque",IF($MR117="","Ataque","Ataque "&amp;IF(($MR117+2*IF(COUNTIF($MH117:$MK117,"Precisão")&gt;0,1,0))&gt;=0,"+","−")&amp;ABS(($MR117+2*IF(COUNTIF($MH117:$MK117,"Precisão")&gt;0,1,0)))),IF(LEFT($PL117,2)="TR",$PL117&amp;IF($MS117="",""," · CD "&amp;$MS117)&amp;IF(COUNTIF($MH117:$MK117,"Certeiro")&gt;0," · metade",""),"Sem rolagem"))))</f>
        <v/>
      </c>
      <c r="PN117" s="152">
        <f>IF(OR($MN117=0,$MT117=0),"",IF($MC117=0,IF(OR($NP117&gt;=1,$OM117=0),"Sem dano",$OM117&amp;"d6"&amp;IF($MF117="",""," "&amp;$MF117)),IF(OR($NP117&gt;=1,$OM117=0),UPPER(LEFT(INDEX($OV117:$PB117,1,MAX(1,$MC117)),1))&amp;MID(INDEX($OV117:$PB117,1,MAX(1,$MC117)),2,99),UPPER(LEFT(INDEX($OV117:$PB117,1,MAX(1,$MC117)),1))&amp;MID(INDEX($OV117:$PB117,1,MAX(1,$MC117)),2,99)&amp;IF($MF117="",""," "&amp;$MF117)&amp;IF($ON117&gt;0," · +"&amp;$ON117&amp;"d8",""))))</f>
        <v/>
      </c>
      <c r="PO117" s="152">
        <f>COUNTIF($MH117:$MK117,"Longe")+3*COUNTIF($MH117:$MK117,"Muito Longe")</f>
        <v/>
      </c>
      <c r="PP117" s="152">
        <f>COUNTIF($MH117:$MK117,"Maior")+3*COUNTIF($MH117:$MK117,"Muito Maior")</f>
        <v/>
      </c>
      <c r="PQ117" s="152">
        <f>IF($MT117=0,0,CHOOSE(1+INDEX($AC$2:$AC$11,$MT117),0,$PO117,$PP117,$PO117+$PP117))</f>
        <v/>
      </c>
      <c r="PR117" s="152">
        <f>IF($MT117=0,0,CHOOSE(1+INDEX($AD$2:$AD$11,$MT117),0,$PO117,$PP117,$PO117+$PP117))</f>
        <v/>
      </c>
      <c r="PS117" s="152">
        <f>IF(OR($MN117=0,$MT117=0),"",INDEX($AI$2:$AN$41,($MT117-1)*4+IF($MC117=0,1,IF($MC117&lt;=5,2,IF($MC117=6,3,4))),1+MIN(5,$PQ117))&amp;INDEX($AO$2:$AT$41,($MT117-1)*4+IF($MC117=0,1,IF($MC117&lt;=5,2,IF($MC117=6,3,4))),1+MIN(5,$PR117))&amp;IF(INDEX($AE$2:$AE$11,$MT117)=1,IF(COUNTIF($MH117:$MK117,"Mais Um")&gt;0," · +"&amp;COUNTIF($MH117:$MK117,"Mais Um")&amp;IF(COUNTIF($MH117:$MK117,"Mais Um")&gt;1," alvos"," alvo"),"")&amp;IF(COUNTIF($MH117:$MK117,"Rajada")&gt;0,IF($MC117=0," · 1 tiro"," · "&amp;(MAX(1,$MC117-1)+1)&amp;" tiros"),""),""))</f>
        <v/>
      </c>
      <c r="PT117" s="152">
        <f>IF($MN117=0,"",IF($MC117=0,$MQ117&amp;"d6"&amp;IF($OD117&gt;0," − 1 = "&amp;$OM117&amp;"d6"," da básica do nível "&amp;$MO117),$OK117&amp;" − "&amp;$OF117&amp;" + "&amp;$OI117&amp;" = "&amp;$OL117&amp;" · teto "&amp;4*$MC117&amp;"d8"&amp;IF($NO117=1," · a Forma devolve "&amp;$MC117,"")&amp;IF($OJ117&gt;0," · perde "&amp;$OJ117,"")))</f>
        <v/>
      </c>
      <c r="PU117" s="152">
        <f>IF($MN117=0,"",IF($MC117=0,"A básica não amplia: os dados dela sobem com o nível",IF($MC117&gt;=$MP117,"Já está na maior Classe que o nível liberou",TEXTJOIN(" · ",TRUE,IF(AND(2&gt;$MC117,2&lt;=$MP117),"2 → "&amp;$OW117&amp;", 6 PE",""),IF(AND(3&gt;$MC117,3&lt;=$MP117),"3 → "&amp;$OX117&amp;", 9 PE",""),IF(AND(4&gt;$MC117,4&lt;=$MP117),"4 → "&amp;$OY117&amp;", 12 PE",""),IF(AND(5&gt;$MC117,5&lt;=$MP117),"5 → "&amp;$OZ117&amp;", 15 PE",""),IF(AND(6&gt;$MC117,6&lt;=$MP117),"6 → "&amp;$PA117&amp;", 18 PE",""),IF(AND(7&gt;$MC117,7&lt;=$MP117),"7 → "&amp;$PB117&amp;", 21 PE","")))))</f>
        <v/>
      </c>
      <c r="PV117" s="152">
        <f>IF(OR($MN117=0,$MY117=0),"",IF($MC117=0,"−1 dado","−"&amp;INDEX($I$2:$N$8,MAX(1,$MC117),MAX(1,$ND117))&amp;" · "&amp;CHOOSE(MAX(1,$ND117),"Leve","Média","Pesada","Leve · Livre","Média · Livre","Pesada · Livre")))</f>
        <v/>
      </c>
      <c r="PW117" s="152">
        <f>IF(OR($MN117=0,$MZ117=0),"",IF($MC117=0,"−1 dado","−"&amp;INDEX($I$2:$N$8,MAX(1,$MC117),MAX(1,$NE117))&amp;" · "&amp;CHOOSE(MAX(1,$NE117),"Leve","Média","Pesada","Leve · Livre","Média · Livre","Pesada · Livre")))</f>
        <v/>
      </c>
      <c r="PX117" s="152">
        <f>IF(OR($MN117=0,$NA117=0),"",IF($MC117=0,"−1 dado","−"&amp;INDEX($I$2:$N$8,MAX(1,$MC117),MAX(1,$NF117))&amp;" · "&amp;CHOOSE(MAX(1,$NF117),"Leve","Média","Pesada","Leve · Livre","Média · Livre","Pesada · Livre")))</f>
        <v/>
      </c>
      <c r="PY117" s="152">
        <f>IF(OR($MN117=0,$NB117=0),"",IF($MC117=0,"−1 dado","−"&amp;INDEX($I$2:$N$8,MAX(1,$MC117),MAX(1,$NG117))&amp;" · "&amp;CHOOSE(MAX(1,$NG117),"Leve","Média","Pesada","Leve · Livre","Média · Livre","Pesada · Livre")))</f>
        <v/>
      </c>
      <c r="PZ117" s="152">
        <f>IF(OR($MN117=0,$ML117=""),"",IF($MC117=0,"não devolve","+"&amp;IF($NR117=1,CEILING($MC117/2,1),$MC117)))</f>
        <v/>
      </c>
      <c r="QA117" s="152">
        <f>IF(OR($MN117=0,$MM117=""),"",IF($MC117=0,"não devolve","+"&amp;IF($NS117=1,CEILING($MC117/2,1),$MC117)))</f>
        <v/>
      </c>
    </row>
    <row r="118">
      <c r="LX118" s="150" t="inlineStr">
        <is>
          <t>Ficha 9 · Escolha da trilha 3</t>
        </is>
      </c>
      <c r="LY118" s="152" t="n">
        <v>9</v>
      </c>
      <c r="LZ118" s="152" t="n">
        <v>2</v>
      </c>
      <c r="MA118" s="152" t="n">
        <v>0</v>
      </c>
      <c r="MB118" s="150" t="inlineStr">
        <is>
          <t>ESCOLHA DA TRILHA 3</t>
        </is>
      </c>
      <c r="MC118" s="152">
        <f>MAX(0,MIN(7,N('INVOCAÇÕES'!$AN$556)))</f>
        <v/>
      </c>
      <c r="MD118" s="152">
        <f>'INVOCAÇÕES'!$AO$556&amp;""</f>
        <v/>
      </c>
      <c r="ME118" s="152">
        <f>'INVOCAÇÕES'!$AN$561&amp;""</f>
        <v/>
      </c>
      <c r="MF118" s="152">
        <f>'INVOCAÇÕES'!$AN$562&amp;""</f>
        <v/>
      </c>
      <c r="MG118" s="152">
        <f>'INVOCAÇÕES'!$AP$562&amp;""</f>
        <v/>
      </c>
      <c r="MH118" s="152">
        <f>'INVOCAÇÕES'!$AO$565&amp;""</f>
        <v/>
      </c>
      <c r="MI118" s="152">
        <f>'INVOCAÇÕES'!$AO$566&amp;""</f>
        <v/>
      </c>
      <c r="MJ118" s="152">
        <f>'INVOCAÇÕES'!$AO$567&amp;""</f>
        <v/>
      </c>
      <c r="MK118" s="152">
        <f>'INVOCAÇÕES'!$AO$568&amp;""</f>
        <v/>
      </c>
      <c r="ML118" s="152">
        <f>'INVOCAÇÕES'!$AO$569&amp;""</f>
        <v/>
      </c>
      <c r="MM118" s="152">
        <f>'INVOCAÇÕES'!$AO$570&amp;""</f>
        <v/>
      </c>
      <c r="MN118" s="152">
        <f>IF($MD118&lt;&gt;"",1,0)</f>
        <v/>
      </c>
      <c r="MO118" s="152">
        <f>INDEX($FG$2:$FG$13,$LY118)</f>
        <v/>
      </c>
      <c r="MP118" s="152">
        <f>INDEX($FH$2:$FH$13,$LY118)</f>
        <v/>
      </c>
      <c r="MQ118" s="152">
        <f>INDEX($FI$2:$FI$13,$LY118)</f>
        <v/>
      </c>
      <c r="MR118" s="152">
        <f>INDEX($FT$2:$FT$13,$LY118)</f>
        <v/>
      </c>
      <c r="MS118" s="152">
        <f>INDEX($FU$2:$FU$13,$LY118)</f>
        <v/>
      </c>
      <c r="MT118" s="152">
        <f>IFERROR(MATCH($ME118,$V$2:$V$11,0),0)</f>
        <v/>
      </c>
      <c r="MU118" s="152">
        <f>IFERROR(VLOOKUP($MH118,$AV$2:$AZ$84,2,FALSE),"")</f>
        <v/>
      </c>
      <c r="MV118" s="152">
        <f>IFERROR(VLOOKUP($MI118,$AV$2:$AZ$84,2,FALSE),"")</f>
        <v/>
      </c>
      <c r="MW118" s="152">
        <f>IFERROR(VLOOKUP($MJ118,$AV$2:$AZ$84,2,FALSE),"")</f>
        <v/>
      </c>
      <c r="MX118" s="152">
        <f>IFERROR(VLOOKUP($MK118,$AV$2:$AZ$84,2,FALSE),"")</f>
        <v/>
      </c>
      <c r="MY118" s="152">
        <f>IFERROR(VLOOKUP($MH118,$AV$2:$AZ$84,3,FALSE),0)</f>
        <v/>
      </c>
      <c r="MZ118" s="152">
        <f>IFERROR(VLOOKUP($MI118,$AV$2:$AZ$84,3,FALSE),0)</f>
        <v/>
      </c>
      <c r="NA118" s="152">
        <f>IFERROR(VLOOKUP($MJ118,$AV$2:$AZ$84,3,FALSE),0)</f>
        <v/>
      </c>
      <c r="NB118" s="152">
        <f>IFERROR(VLOOKUP($MK118,$AV$2:$AZ$84,3,FALSE),0)</f>
        <v/>
      </c>
      <c r="NC118" s="152">
        <f>IF($MC118=0,0,IF($MT118=0,0,INDEX($X$2:$X$11,$MT118)))</f>
        <v/>
      </c>
      <c r="ND118" s="152">
        <f>IF(OR($MY118=0,$MC118=0),0,$MY118+3*IF(AND($MU118&lt;&gt;"",OR($MU118=INDEX($ED$2:$ED$13,$LY118),$MU118=INDEX($EE$2:$EE$13,$LY118))),1,0))</f>
        <v/>
      </c>
      <c r="NE118" s="152">
        <f>IF(OR($MZ118=0,$MC118=0),0,$MZ118+3*IF(AND($MV118&lt;&gt;"",OR($MV118=INDEX($ED$2:$ED$13,$LY118),$MV118=INDEX($EE$2:$EE$13,$LY118))),1,0))</f>
        <v/>
      </c>
      <c r="NF118" s="152">
        <f>IF(OR($NA118=0,$MC118=0),0,$NA118+3*IF(AND($MW118&lt;&gt;"",OR($MW118=INDEX($ED$2:$ED$13,$LY118),$MW118=INDEX($EE$2:$EE$13,$LY118))),1,0))</f>
        <v/>
      </c>
      <c r="NG118" s="152">
        <f>IF(OR($NB118=0,$MC118=0),0,$NB118+3*IF(AND($MX118&lt;&gt;"",OR($MX118=INDEX($ED$2:$ED$13,$LY118),$MX118=INDEX($EE$2:$EE$13,$LY118))),1,0))</f>
        <v/>
      </c>
      <c r="NH118" s="152">
        <f>IF($MT118=0,0,IF(INDEX($W$2:$W$11,$MT118)="",0,IF(COUNTIF(INDEX($ED$2:$EH$13,$LY118,0),INDEX($W$2:$W$11,$MT118))=0,1,0)))</f>
        <v/>
      </c>
      <c r="NI118" s="152">
        <f>IF(OR($MY118=0,$MU118=""),0,IF(COUNTIF(INDEX($ED$2:$EH$13,$LY118,0),$MU118)=0,1,0))</f>
        <v/>
      </c>
      <c r="NJ118" s="152">
        <f>IF(OR($MZ118=0,$MV118=""),0,IF(COUNTIF(INDEX($ED$2:$EH$13,$LY118,0),$MV118)=0,1,0))</f>
        <v/>
      </c>
      <c r="NK118" s="152">
        <f>IF(OR($NA118=0,$MW118=""),0,IF(COUNTIF(INDEX($ED$2:$EH$13,$LY118,0),$MW118)=0,1,0))</f>
        <v/>
      </c>
      <c r="NL118" s="152">
        <f>IF(OR($NB118=0,$MX118=""),0,IF(COUNTIF(INDEX($ED$2:$EH$13,$LY118,0),$MX118)=0,1,0))</f>
        <v/>
      </c>
      <c r="NM118" s="152">
        <f>IFERROR(VLOOKUP($MH118,$AV$2:$AZ$84,4,FALSE),0)+IFERROR(VLOOKUP($MI118,$AV$2:$AZ$84,4,FALSE),0)+IFERROR(VLOOKUP($MJ118,$AV$2:$AZ$84,4,FALSE),0)+IFERROR(VLOOKUP($MK118,$AV$2:$AZ$84,4,FALSE),0)</f>
        <v/>
      </c>
      <c r="NN118" s="152">
        <f>TEXTJOIN(", ",TRUE,IF(IFERROR(VLOOKUP($MH118,$AV$2:$AZ$84,5,FALSE),0)=1,$MH118,""),IF(IFERROR(VLOOKUP($MI118,$AV$2:$AZ$84,5,FALSE),0)=1,$MI118,""),IF(IFERROR(VLOOKUP($MJ118,$AV$2:$AZ$84,5,FALSE),0)=1,$MJ118,""),IF(IFERROR(VLOOKUP($MK118,$AV$2:$AZ$84,5,FALSE),0)=1,$MK118,""))</f>
        <v/>
      </c>
      <c r="NO118" s="152">
        <f>IF($MT118=0,0,INDEX($Y$2:$Y$11,$MT118))</f>
        <v/>
      </c>
      <c r="NP118" s="152">
        <f>IF($MT118=0,0,INDEX($Z$2:$Z$11,$MT118))</f>
        <v/>
      </c>
      <c r="NQ118" s="152">
        <f>IF($MT118=0,0,INDEX($AB$2:$AB$11,$MT118))</f>
        <v/>
      </c>
      <c r="NR118" s="152">
        <f>IFERROR(VLOOKUP($ML118,$BB$2:$BF$24,3,FALSE),0)</f>
        <v/>
      </c>
      <c r="NS118" s="152">
        <f>IFERROR(VLOOKUP($MM118,$BB$2:$BF$24,3,FALSE),0)</f>
        <v/>
      </c>
      <c r="NT118" s="152">
        <f>IFERROR(VLOOKUP($ML118,$BB$2:$BF$24,2,FALSE),"")</f>
        <v/>
      </c>
      <c r="NU118" s="152">
        <f>IFERROR(VLOOKUP($MM118,$BB$2:$BF$24,2,FALSE),"")</f>
        <v/>
      </c>
      <c r="NV118" s="152">
        <f>COUNTIF($NC118:$NG118,1)</f>
        <v/>
      </c>
      <c r="NW118" s="152">
        <f>COUNTIF($NC118:$NG118,2)</f>
        <v/>
      </c>
      <c r="NX118" s="152">
        <f>COUNTIF($NC118:$NG118,3)</f>
        <v/>
      </c>
      <c r="NY118" s="152">
        <f>COUNTIF($NC118:$NG118,4)</f>
        <v/>
      </c>
      <c r="NZ118" s="152">
        <f>COUNTIF($NC118:$NG118,5)</f>
        <v/>
      </c>
      <c r="OA118" s="152">
        <f>COUNTIF($NC118:$NG118,6)</f>
        <v/>
      </c>
      <c r="OB118" s="152">
        <f>COUNTIF($NR118:$NS118,1)</f>
        <v/>
      </c>
      <c r="OC118" s="152">
        <f>COUNTIF($NR118:$NS118,2)+$NO118</f>
        <v/>
      </c>
      <c r="OD118" s="152">
        <f>COUNTIF($MH118:$MK118,"?*")</f>
        <v/>
      </c>
      <c r="OE118" s="152">
        <f>COUNTIF($ML118:$MM118,"?*")+$NO118</f>
        <v/>
      </c>
      <c r="OF118" s="152">
        <f>IF($MC118=0,0,SUMPRODUCT($NV118:$OA118,INDEX($I$2:$N$8,MAX(1,$MC118),0)))</f>
        <v/>
      </c>
      <c r="OG118" s="152">
        <f>IF($MC118=0,0,$OB118*CEILING($MC118/2,1)+$OC118*$MC118)</f>
        <v/>
      </c>
      <c r="OH118" s="152">
        <f>MIN(2*$MC118,$OG118)</f>
        <v/>
      </c>
      <c r="OI118" s="152">
        <f>MIN($OH118,$OF118)</f>
        <v/>
      </c>
      <c r="OJ118" s="152">
        <f>$OH118-$OI118</f>
        <v/>
      </c>
      <c r="OK118" s="152">
        <f>IF($MC118=0,0,INDEX($P$2:$P$8,MAX(1,$MC118)))</f>
        <v/>
      </c>
      <c r="OL118" s="152">
        <f>$OK118-$OF118+$OI118</f>
        <v/>
      </c>
      <c r="OM118" s="152">
        <f>IF($MC118=0,MAX(0,$MQ118-IF($OD118&gt;0,1,0)),MAX(0,$OL118))</f>
        <v/>
      </c>
      <c r="ON118" s="152">
        <f>IF($MC118=0,0,(IF(COUNTIF($MH118:$MK118,"Salto")&gt;0,1,0)+IF(COUNTIF($MH118:$MK118,"Queima")&gt;0,1,0)+IF(COUNTIF($MH118:$MK118,"Estilhaço")&gt;0,1,0))*FLOOR($OM118/2,1))</f>
        <v/>
      </c>
      <c r="OO118" s="152">
        <f>MAX(0,2-SUMPRODUCT($NV118:$OA118,$I$2:$N$2)+MIN(2,$OB118*1+$OC118*1,SUMPRODUCT($NV118:$OA118,$I$2:$N$2)))</f>
        <v/>
      </c>
      <c r="OP118" s="152">
        <f>MAX(0,4-SUMPRODUCT($NV118:$OA118,$I$3:$N$3)+MIN(4,$OB118*1+$OC118*2,SUMPRODUCT($NV118:$OA118,$I$3:$N$3)))</f>
        <v/>
      </c>
      <c r="OQ118" s="152">
        <f>MAX(0,6-SUMPRODUCT($NV118:$OA118,$I$4:$N$4)+MIN(6,$OB118*2+$OC118*3,SUMPRODUCT($NV118:$OA118,$I$4:$N$4)))</f>
        <v/>
      </c>
      <c r="OR118" s="152">
        <f>MAX(0,9-SUMPRODUCT($NV118:$OA118,$I$5:$N$5)+MIN(8,$OB118*2+$OC118*4,SUMPRODUCT($NV118:$OA118,$I$5:$N$5)))</f>
        <v/>
      </c>
      <c r="OS118" s="152">
        <f>MAX(0,11-SUMPRODUCT($NV118:$OA118,$I$6:$N$6)+MIN(10,$OB118*3+$OC118*5,SUMPRODUCT($NV118:$OA118,$I$6:$N$6)))</f>
        <v/>
      </c>
      <c r="OT118" s="152">
        <f>MAX(0,13-SUMPRODUCT($NV118:$OA118,$I$7:$N$7)+MIN(12,$OB118*3+$OC118*6,SUMPRODUCT($NV118:$OA118,$I$7:$N$7)))</f>
        <v/>
      </c>
      <c r="OU118" s="152">
        <f>MAX(0,16-SUMPRODUCT($NV118:$OA118,$I$8:$N$8)+MIN(14,$OB118*4+$OC118*7,SUMPRODUCT($NV118:$OA118,$I$8:$N$8)))</f>
        <v/>
      </c>
      <c r="OV118" s="152">
        <f>IF($NP118=2,3*$OO118&amp;" de vida temp.",IF($NP118=3,"sem dano",IF($OO118=0,IF($NP118=1,"sem cura","sem dano"),IF($NP118=1,"cura ","")&amp;$OO118&amp;"d8")))</f>
        <v/>
      </c>
      <c r="OW118" s="152">
        <f>IF($NP118=2,3*$OP118&amp;" de vida temp.",IF($NP118=3,"sem dano",IF($OP118=0,IF($NP118=1,"sem cura","sem dano"),IF($NP118=1,"cura ","")&amp;$OP118&amp;"d8")))</f>
        <v/>
      </c>
      <c r="OX118" s="152">
        <f>IF($NP118=2,3*$OQ118&amp;" de vida temp.",IF($NP118=3,"sem dano",IF($OQ118=0,IF($NP118=1,"sem cura","sem dano"),IF($NP118=1,"cura ","")&amp;$OQ118&amp;"d8")))</f>
        <v/>
      </c>
      <c r="OY118" s="152">
        <f>IF($NP118=2,3*$OR118&amp;" de vida temp.",IF($NP118=3,"sem dano",IF($OR118=0,IF($NP118=1,"sem cura","sem dano"),IF($NP118=1,"cura ","")&amp;$OR118&amp;"d8")))</f>
        <v/>
      </c>
      <c r="OZ118" s="152">
        <f>IF($NP118=2,3*$OS118&amp;" de vida temp.",IF($NP118=3,"sem dano",IF($OS118=0,IF($NP118=1,"sem cura","sem dano"),IF($NP118=1,"cura ","")&amp;$OS118&amp;"d8")))</f>
        <v/>
      </c>
      <c r="PA118" s="152">
        <f>IF($NP118=2,3*$OT118&amp;" de vida temp.",IF($NP118=3,"sem dano",IF($OT118=0,IF($NP118=1,"sem cura","sem dano"),IF($NP118=1,"cura ","")&amp;$OT118&amp;"d8")))</f>
        <v/>
      </c>
      <c r="PB118" s="152">
        <f>IF($NP118=2,3*$OU118&amp;" de vida temp.",IF($NP118=3,"sem dano",IF($OU118=0,IF($NP118=1,"sem cura","sem dano"),IF($NP118=1,"cura ","")&amp;$OU118&amp;"d8")))</f>
        <v/>
      </c>
      <c r="PC118" s="152">
        <f>IF($MN118=0,"",TEXTJOIN(" · ",TRUE,IF($MA118&gt;$MO118,"Este lugar abre no nível "&amp;$MA118,""),IF($MC118&gt;$MP118,"Classe "&amp;$MC118&amp;": o nível "&amp;$MO118&amp;" libera até a "&amp;$MP118,""),IF($NH118=1,"A Forma "&amp;$ME118&amp;" pede "&amp;INDEX($W$2:$W$11,$MT118)&amp;" aberta",""),IF(AND($MC118=0,$MT118&gt;0,IF($MT118=0,0,INDEX($AF$2:$AF$11,$MT118))=0),$ME118&amp;" não existe na Classe 0",""),IF($NI118=1,"Família Fechada: "&amp;$MH118,""),IF($NJ118=1,"Família Fechada: "&amp;$MI118,""),IF($NK118=1,"Família Fechada: "&amp;$MJ118,""),IF($NL118=1,"Família Fechada: "&amp;$MK118,""),IF(AND($MC118&gt;0,$OD118&gt;INDEX($O$2:$O$8,MAX(1,$MC118))),$OD118&amp;" Melhorias: a Classe "&amp;$MC118&amp;" aceita "&amp;INDEX($O$2:$O$8,MAX(1,$MC118)),""),IF(AND($MC118=0,$OD118&gt;1),"A básica aceita uma Melhoria",""),IF(AND($MC118=0,COUNTIF($MY118:$NB118,"&gt;1")&gt;0),"A básica só aceita Melhoria Leve",""),IF(AND($MC118&gt;0,$OE118&gt;2),$OE118&amp;" Restrições"&amp;IF($NO118=1,", contando a que a Forma "&amp;$ME118&amp;" já traz","")&amp;": o limite é 2",""),IF(AND($MC118=0,COUNTIF($ML118:$MM118,"?*")&gt;1),"A básica aceita uma Restrição Leve",""),IF(AND($MC118=0,COUNTIF($NR118:$NS118,2)&gt;0),"A básica só aceita Restrição Leve",""),IF(AND($MC118&gt;0,$OL118&lt;0),"Orçamento estourado: faltam "&amp;(-$OL118)&amp;IF($OL118&lt;-1," pontos"," ponto"),""),IF(IFERROR(VLOOKUP($ML118,$BB$2:$BF$24,4,FALSE),0)+IFERROR(VLOOKUP($MM118,$BB$2:$BF$24,4,FALSE),0)&gt;1,$NT118&amp;" e "&amp;$NU118&amp;" são as duas de frequência",""),IF(AND((COUNTIF($MH118:$MK118,"Rápido")+COUNTIF($NT118:$NU118,"Rápido"))&gt;0,(COUNTIF($MH118:$MK118,"Atrasar")+COUNTIF($NT118:$NU118,"Atrasar"))&gt;0),"Rápido não entra com Atrasar",""),IF(AND((COUNTIF($MH118:$MK118,"Reação")+COUNTIF($NT118:$NU118,"Reação"))&gt;0,(COUNTIF($MH118:$MK118,"Rápido")+COUNTIF($NT118:$NU118,"Rápido"))&gt;0),"Reação não entra com Rápido",""),IF(AND((COUNTIF($MH118:$MK118,"Reação")+COUNTIF($NT118:$NU118,"Reação"))&gt;0,(COUNTIF($MH118:$MK118,"Armado")+COUNTIF($NT118:$NU118,"Armado"))&gt;0),"Reação não entra com Armado",""),IF(AND((COUNTIF($MH118:$MK118,"Reação")+COUNTIF($NT118:$NU118,"Reação"))&gt;0,(COUNTIF($MH118:$MK118,"Atrasar")+COUNTIF($NT118:$NU118,"Atrasar"))&gt;0),"Reação não entra com Atrasar",""),IF(AND((COUNTIF($MH118:$MK118,"Reação")+COUNTIF($NT118:$NU118,"Reação"))&gt;0,(COUNTIF($MH118:$MK118,"Parado")+COUNTIF($NT118:$NU118,"Parado"))&gt;0),"Reação não entra com Parado",""),IF(AND((COUNTIF($MH118:$MK118,"Atrasar")+COUNTIF($NT118:$NU118,"Atrasar"))&gt;0,(COUNTIF($MH118:$MK118,"Parado")+COUNTIF($NT118:$NU118,"Parado"))&gt;0),"Atrasar não entra com Parado",""),IF(AND((COUNTIF($MH118:$MK118,"Armado")+COUNTIF($NT118:$NU118,"Armado"))&gt;0,(COUNTIF($MH118:$MK118,"Carregar")+COUNTIF($NT118:$NU118,"Carregar"))&gt;0),"Armado não entra com Carregar",""),IF(AND(COUNTIF($NT118:$NU118,"Corpo a Corpo")&gt;0,$NO118=0,OR($ME118="Cone",$ME118="Linha")),"Corpo a Corpo não entra em "&amp;$ME118,""),IF(AND(COUNTIF($NT118:$NU118,"Corpo a Corpo")&gt;0,$NO118=1),"A Forma "&amp;$ME118&amp;" já traz o Corpo a Corpo",""),IF(AND(COUNTIF($NT118:$NU118,"Tudo ou Nada")&gt;0,$NQ118=0),"Tudo ou Nada só entra em habilidade de Teste de Resistência",""),IF(AND(COUNTIF($MH118:$MK118,"Inescapável")&gt;0,OR($OD118&gt;1,$OE118&gt;0)),"Inescapável não aceita outra peça",""),IF(AND($MC118&gt;0,$OM118*IF(COUNTIF($MH118:$MK118,"Remate")&gt;0,1.25,1)+$ON118&gt;4*$MC118),($OM118*IF(COUNTIF($MH118:$MK118,"Remate")&gt;0,1.25,1)+$ON118)&amp;" dados somando repetições"&amp;IF(COUNTIF($MH118:$MK118,"Remate")&gt;0," e o Remate","")&amp;": o teto da Classe "&amp;$MC118&amp;" é "&amp;4*$MC118,"")))</f>
        <v/>
      </c>
      <c r="PD118" s="152">
        <f>IF($PC118="",0,(LEN($PC118)-LEN(SUBSTITUTE($PC118," · ","")))/3+1)</f>
        <v/>
      </c>
      <c r="PE118" s="152">
        <f>IF($MN118=0,"",TEXTJOIN(" · ",TRUE,IF($OG118&gt;2*$MC118,"A devolução parou no teto de "&amp;2*$MC118,""),IF($OJ118&gt;0,"Devolução perdida: "&amp;$OJ118&amp;IF($OJ118&gt;1," pontos"," ponto")&amp;" sem peça para pagar",""),IF(AND($NM118&gt;0,AND($MC118&gt;0,$NP118=0),$OM118=0),"Controle sem dano: uma rodada a mais e CD +2",""),IF(AND($NM118&gt;0,AND($MC118&gt;0,$NP118=0),$OM118&gt;0,$OM118&lt;=$MC118),"Controle com saldo até a Classe: uma rodada a mais",""),IF(AND($MC118&gt;0,$NN118&lt;&gt;""),"Efeito de "&amp;$NN118&amp;" pela Classe "&amp;MAX(1,$MC118-1),"")))</f>
        <v/>
      </c>
      <c r="PF118" s="152">
        <f>IF($PE118="",0,(LEN($PE118)-LEN(SUBSTITUTE($PE118," · ","")))/3+1)</f>
        <v/>
      </c>
      <c r="PG118" s="152">
        <f>IF($MN118=0,IF($OD118+COUNTIF($ML118:$MM118,"?*")&gt;0,"Dê um nome",""),IF($PD118&gt;0,"⚠ "&amp;$PD118&amp;IF($PD118&gt;1," erros"," erro"),IF($PF118&gt;0,"! "&amp;$PF118&amp;IF($PF118&gt;1," avisos"," aviso"),"Na regra")))</f>
        <v/>
      </c>
      <c r="PH118" s="152">
        <f>IF($MN118=0,"",IF($PD118+$PF118=0,"Dentro das regras que a ficha confere",$PC118&amp;IF(AND($PD118&gt;0,$PF118&gt;0)," · ","")&amp;$PE118))</f>
        <v/>
      </c>
      <c r="PI118" s="152">
        <f>IF($MA118&gt;$MO118,$MB118&amp;" · ABRE NO NÍVEL "&amp;$MA118,$MB118)</f>
        <v/>
      </c>
      <c r="PJ118" s="152">
        <f>IF($MN118=0,"",IF($MC118=0,"Sem PE",3*$MC118&amp;" PE"))</f>
        <v/>
      </c>
      <c r="PK118" s="152">
        <f>IF($MN118=0,"",IF($MC118=0,"A atuação básica dela",IF(COUNTIF($NT118:$NU118,"Atrasar")&gt;0,"Sua Ação Completa",IF(COUNTIF($MH118:$MK118,"Rápido")&gt;0,"Sua Bônus",IF(COUNTIF($MH118:$MK118,"Reação")&gt;0,"Sua Reação","Sua Padrão")))&amp;" + a básica dela"&amp;IF(COUNTIF($MH118:$MK118,"Reação")&gt;0," e a coletiva","")&amp;IF(COUNTIF($NT118:$NU118,"Carregar")&gt;0," · em dois turnos","")))</f>
        <v/>
      </c>
      <c r="PL118" s="152">
        <f>IF($MG118&lt;&gt;"",$MG118,IF($MT118=0,"",INDEX($AA$2:$AA$11,$MT118)))</f>
        <v/>
      </c>
      <c r="PM118" s="152">
        <f>IF(OR($MN118=0,$MT118=0),"",IF(COUNTIF($MH118:$MK118,"Inescapável")&gt;0,"Automático",IF($PL118="Ataque",IF($MR118="","Ataque","Ataque "&amp;IF(($MR118+2*IF(COUNTIF($MH118:$MK118,"Precisão")&gt;0,1,0))&gt;=0,"+","−")&amp;ABS(($MR118+2*IF(COUNTIF($MH118:$MK118,"Precisão")&gt;0,1,0)))),IF(LEFT($PL118,2)="TR",$PL118&amp;IF($MS118="",""," · CD "&amp;$MS118)&amp;IF(COUNTIF($MH118:$MK118,"Certeiro")&gt;0," · metade",""),"Sem rolagem"))))</f>
        <v/>
      </c>
      <c r="PN118" s="152">
        <f>IF(OR($MN118=0,$MT118=0),"",IF($MC118=0,IF(OR($NP118&gt;=1,$OM118=0),"Sem dano",$OM118&amp;"d6"&amp;IF($MF118="",""," "&amp;$MF118)),IF(OR($NP118&gt;=1,$OM118=0),UPPER(LEFT(INDEX($OV118:$PB118,1,MAX(1,$MC118)),1))&amp;MID(INDEX($OV118:$PB118,1,MAX(1,$MC118)),2,99),UPPER(LEFT(INDEX($OV118:$PB118,1,MAX(1,$MC118)),1))&amp;MID(INDEX($OV118:$PB118,1,MAX(1,$MC118)),2,99)&amp;IF($MF118="",""," "&amp;$MF118)&amp;IF($ON118&gt;0," · +"&amp;$ON118&amp;"d8",""))))</f>
        <v/>
      </c>
      <c r="PO118" s="152">
        <f>COUNTIF($MH118:$MK118,"Longe")+3*COUNTIF($MH118:$MK118,"Muito Longe")</f>
        <v/>
      </c>
      <c r="PP118" s="152">
        <f>COUNTIF($MH118:$MK118,"Maior")+3*COUNTIF($MH118:$MK118,"Muito Maior")</f>
        <v/>
      </c>
      <c r="PQ118" s="152">
        <f>IF($MT118=0,0,CHOOSE(1+INDEX($AC$2:$AC$11,$MT118),0,$PO118,$PP118,$PO118+$PP118))</f>
        <v/>
      </c>
      <c r="PR118" s="152">
        <f>IF($MT118=0,0,CHOOSE(1+INDEX($AD$2:$AD$11,$MT118),0,$PO118,$PP118,$PO118+$PP118))</f>
        <v/>
      </c>
      <c r="PS118" s="152">
        <f>IF(OR($MN118=0,$MT118=0),"",INDEX($AI$2:$AN$41,($MT118-1)*4+IF($MC118=0,1,IF($MC118&lt;=5,2,IF($MC118=6,3,4))),1+MIN(5,$PQ118))&amp;INDEX($AO$2:$AT$41,($MT118-1)*4+IF($MC118=0,1,IF($MC118&lt;=5,2,IF($MC118=6,3,4))),1+MIN(5,$PR118))&amp;IF(INDEX($AE$2:$AE$11,$MT118)=1,IF(COUNTIF($MH118:$MK118,"Mais Um")&gt;0," · +"&amp;COUNTIF($MH118:$MK118,"Mais Um")&amp;IF(COUNTIF($MH118:$MK118,"Mais Um")&gt;1," alvos"," alvo"),"")&amp;IF(COUNTIF($MH118:$MK118,"Rajada")&gt;0,IF($MC118=0," · 1 tiro"," · "&amp;(MAX(1,$MC118-1)+1)&amp;" tiros"),""),""))</f>
        <v/>
      </c>
      <c r="PT118" s="152">
        <f>IF($MN118=0,"",IF($MC118=0,$MQ118&amp;"d6"&amp;IF($OD118&gt;0," − 1 = "&amp;$OM118&amp;"d6"," da básica do nível "&amp;$MO118),$OK118&amp;" − "&amp;$OF118&amp;" + "&amp;$OI118&amp;" = "&amp;$OL118&amp;" · teto "&amp;4*$MC118&amp;"d8"&amp;IF($NO118=1," · a Forma devolve "&amp;$MC118,"")&amp;IF($OJ118&gt;0," · perde "&amp;$OJ118,"")))</f>
        <v/>
      </c>
      <c r="PU118" s="152">
        <f>IF($MN118=0,"",IF($MC118=0,"A básica não amplia: os dados dela sobem com o nível",IF($MC118&gt;=$MP118,"Já está na maior Classe que o nível liberou",TEXTJOIN(" · ",TRUE,IF(AND(2&gt;$MC118,2&lt;=$MP118),"2 → "&amp;$OW118&amp;", 6 PE",""),IF(AND(3&gt;$MC118,3&lt;=$MP118),"3 → "&amp;$OX118&amp;", 9 PE",""),IF(AND(4&gt;$MC118,4&lt;=$MP118),"4 → "&amp;$OY118&amp;", 12 PE",""),IF(AND(5&gt;$MC118,5&lt;=$MP118),"5 → "&amp;$OZ118&amp;", 15 PE",""),IF(AND(6&gt;$MC118,6&lt;=$MP118),"6 → "&amp;$PA118&amp;", 18 PE",""),IF(AND(7&gt;$MC118,7&lt;=$MP118),"7 → "&amp;$PB118&amp;", 21 PE","")))))</f>
        <v/>
      </c>
      <c r="PV118" s="152">
        <f>IF(OR($MN118=0,$MY118=0),"",IF($MC118=0,"−1 dado","−"&amp;INDEX($I$2:$N$8,MAX(1,$MC118),MAX(1,$ND118))&amp;" · "&amp;CHOOSE(MAX(1,$ND118),"Leve","Média","Pesada","Leve · Livre","Média · Livre","Pesada · Livre")))</f>
        <v/>
      </c>
      <c r="PW118" s="152">
        <f>IF(OR($MN118=0,$MZ118=0),"",IF($MC118=0,"−1 dado","−"&amp;INDEX($I$2:$N$8,MAX(1,$MC118),MAX(1,$NE118))&amp;" · "&amp;CHOOSE(MAX(1,$NE118),"Leve","Média","Pesada","Leve · Livre","Média · Livre","Pesada · Livre")))</f>
        <v/>
      </c>
      <c r="PX118" s="152">
        <f>IF(OR($MN118=0,$NA118=0),"",IF($MC118=0,"−1 dado","−"&amp;INDEX($I$2:$N$8,MAX(1,$MC118),MAX(1,$NF118))&amp;" · "&amp;CHOOSE(MAX(1,$NF118),"Leve","Média","Pesada","Leve · Livre","Média · Livre","Pesada · Livre")))</f>
        <v/>
      </c>
      <c r="PY118" s="152">
        <f>IF(OR($MN118=0,$NB118=0),"",IF($MC118=0,"−1 dado","−"&amp;INDEX($I$2:$N$8,MAX(1,$MC118),MAX(1,$NG118))&amp;" · "&amp;CHOOSE(MAX(1,$NG118),"Leve","Média","Pesada","Leve · Livre","Média · Livre","Pesada · Livre")))</f>
        <v/>
      </c>
      <c r="PZ118" s="152">
        <f>IF(OR($MN118=0,$ML118=""),"",IF($MC118=0,"não devolve","+"&amp;IF($NR118=1,CEILING($MC118/2,1),$MC118)))</f>
        <v/>
      </c>
      <c r="QA118" s="152">
        <f>IF(OR($MN118=0,$MM118=""),"",IF($MC118=0,"não devolve","+"&amp;IF($NS118=1,CEILING($MC118/2,1),$MC118)))</f>
        <v/>
      </c>
    </row>
    <row r="119">
      <c r="LX119" s="150" t="inlineStr">
        <is>
          <t>Ficha 10 · Básica 1</t>
        </is>
      </c>
      <c r="LY119" s="152" t="n">
        <v>10</v>
      </c>
      <c r="LZ119" s="152" t="n">
        <v>0</v>
      </c>
      <c r="MA119" s="152" t="n">
        <v>1</v>
      </c>
      <c r="MB119" s="150" t="inlineStr">
        <is>
          <t>BÁSICA 1</t>
        </is>
      </c>
      <c r="MC119" s="152" t="n">
        <v>0</v>
      </c>
      <c r="MD119" s="152">
        <f>'INVOCAÇÕES'!$AC$652&amp;""</f>
        <v/>
      </c>
      <c r="ME119" s="152">
        <f>'INVOCAÇÕES'!$AB$657&amp;""</f>
        <v/>
      </c>
      <c r="MF119" s="152">
        <f>'INVOCAÇÕES'!$AB$658&amp;""</f>
        <v/>
      </c>
      <c r="MG119" s="152">
        <f>'INVOCAÇÕES'!$AD$658&amp;""</f>
        <v/>
      </c>
      <c r="MH119" s="152">
        <f>'INVOCAÇÕES'!$AC$661&amp;""</f>
        <v/>
      </c>
      <c r="MI119" s="152">
        <f>'INVOCAÇÕES'!$AC$662&amp;""</f>
        <v/>
      </c>
      <c r="MJ119" s="152">
        <f>'INVOCAÇÕES'!$AC$663&amp;""</f>
        <v/>
      </c>
      <c r="MK119" s="152">
        <f>'INVOCAÇÕES'!$AC$664&amp;""</f>
        <v/>
      </c>
      <c r="ML119" s="152">
        <f>'INVOCAÇÕES'!$AC$665&amp;""</f>
        <v/>
      </c>
      <c r="MM119" s="152">
        <f>'INVOCAÇÕES'!$AC$666&amp;""</f>
        <v/>
      </c>
      <c r="MN119" s="152">
        <f>IF($MD119&lt;&gt;"",1,0)</f>
        <v/>
      </c>
      <c r="MO119" s="152">
        <f>INDEX($FG$2:$FG$13,$LY119)</f>
        <v/>
      </c>
      <c r="MP119" s="152">
        <f>INDEX($FH$2:$FH$13,$LY119)</f>
        <v/>
      </c>
      <c r="MQ119" s="152">
        <f>INDEX($FI$2:$FI$13,$LY119)</f>
        <v/>
      </c>
      <c r="MR119" s="152">
        <f>INDEX($FT$2:$FT$13,$LY119)</f>
        <v/>
      </c>
      <c r="MS119" s="152">
        <f>INDEX($FU$2:$FU$13,$LY119)</f>
        <v/>
      </c>
      <c r="MT119" s="152">
        <f>IFERROR(MATCH($ME119,$V$2:$V$11,0),0)</f>
        <v/>
      </c>
      <c r="MU119" s="152">
        <f>IFERROR(VLOOKUP($MH119,$AV$2:$AZ$84,2,FALSE),"")</f>
        <v/>
      </c>
      <c r="MV119" s="152">
        <f>IFERROR(VLOOKUP($MI119,$AV$2:$AZ$84,2,FALSE),"")</f>
        <v/>
      </c>
      <c r="MW119" s="152">
        <f>IFERROR(VLOOKUP($MJ119,$AV$2:$AZ$84,2,FALSE),"")</f>
        <v/>
      </c>
      <c r="MX119" s="152">
        <f>IFERROR(VLOOKUP($MK119,$AV$2:$AZ$84,2,FALSE),"")</f>
        <v/>
      </c>
      <c r="MY119" s="152">
        <f>IFERROR(VLOOKUP($MH119,$AV$2:$AZ$84,3,FALSE),0)</f>
        <v/>
      </c>
      <c r="MZ119" s="152">
        <f>IFERROR(VLOOKUP($MI119,$AV$2:$AZ$84,3,FALSE),0)</f>
        <v/>
      </c>
      <c r="NA119" s="152">
        <f>IFERROR(VLOOKUP($MJ119,$AV$2:$AZ$84,3,FALSE),0)</f>
        <v/>
      </c>
      <c r="NB119" s="152">
        <f>IFERROR(VLOOKUP($MK119,$AV$2:$AZ$84,3,FALSE),0)</f>
        <v/>
      </c>
      <c r="NC119" s="152">
        <f>IF($MC119=0,0,IF($MT119=0,0,INDEX($X$2:$X$11,$MT119)))</f>
        <v/>
      </c>
      <c r="ND119" s="152">
        <f>IF(OR($MY119=0,$MC119=0),0,$MY119+3*IF(AND($MU119&lt;&gt;"",OR($MU119=INDEX($ED$2:$ED$13,$LY119),$MU119=INDEX($EE$2:$EE$13,$LY119))),1,0))</f>
        <v/>
      </c>
      <c r="NE119" s="152">
        <f>IF(OR($MZ119=0,$MC119=0),0,$MZ119+3*IF(AND($MV119&lt;&gt;"",OR($MV119=INDEX($ED$2:$ED$13,$LY119),$MV119=INDEX($EE$2:$EE$13,$LY119))),1,0))</f>
        <v/>
      </c>
      <c r="NF119" s="152">
        <f>IF(OR($NA119=0,$MC119=0),0,$NA119+3*IF(AND($MW119&lt;&gt;"",OR($MW119=INDEX($ED$2:$ED$13,$LY119),$MW119=INDEX($EE$2:$EE$13,$LY119))),1,0))</f>
        <v/>
      </c>
      <c r="NG119" s="152">
        <f>IF(OR($NB119=0,$MC119=0),0,$NB119+3*IF(AND($MX119&lt;&gt;"",OR($MX119=INDEX($ED$2:$ED$13,$LY119),$MX119=INDEX($EE$2:$EE$13,$LY119))),1,0))</f>
        <v/>
      </c>
      <c r="NH119" s="152">
        <f>IF($MT119=0,0,IF(INDEX($W$2:$W$11,$MT119)="",0,IF(COUNTIF(INDEX($ED$2:$EH$13,$LY119,0),INDEX($W$2:$W$11,$MT119))=0,1,0)))</f>
        <v/>
      </c>
      <c r="NI119" s="152">
        <f>IF(OR($MY119=0,$MU119=""),0,IF(COUNTIF(INDEX($ED$2:$EH$13,$LY119,0),$MU119)=0,1,0))</f>
        <v/>
      </c>
      <c r="NJ119" s="152">
        <f>IF(OR($MZ119=0,$MV119=""),0,IF(COUNTIF(INDEX($ED$2:$EH$13,$LY119,0),$MV119)=0,1,0))</f>
        <v/>
      </c>
      <c r="NK119" s="152">
        <f>IF(OR($NA119=0,$MW119=""),0,IF(COUNTIF(INDEX($ED$2:$EH$13,$LY119,0),$MW119)=0,1,0))</f>
        <v/>
      </c>
      <c r="NL119" s="152">
        <f>IF(OR($NB119=0,$MX119=""),0,IF(COUNTIF(INDEX($ED$2:$EH$13,$LY119,0),$MX119)=0,1,0))</f>
        <v/>
      </c>
      <c r="NM119" s="152">
        <f>IFERROR(VLOOKUP($MH119,$AV$2:$AZ$84,4,FALSE),0)+IFERROR(VLOOKUP($MI119,$AV$2:$AZ$84,4,FALSE),0)+IFERROR(VLOOKUP($MJ119,$AV$2:$AZ$84,4,FALSE),0)+IFERROR(VLOOKUP($MK119,$AV$2:$AZ$84,4,FALSE),0)</f>
        <v/>
      </c>
      <c r="NN119" s="152">
        <f>TEXTJOIN(", ",TRUE,IF(IFERROR(VLOOKUP($MH119,$AV$2:$AZ$84,5,FALSE),0)=1,$MH119,""),IF(IFERROR(VLOOKUP($MI119,$AV$2:$AZ$84,5,FALSE),0)=1,$MI119,""),IF(IFERROR(VLOOKUP($MJ119,$AV$2:$AZ$84,5,FALSE),0)=1,$MJ119,""),IF(IFERROR(VLOOKUP($MK119,$AV$2:$AZ$84,5,FALSE),0)=1,$MK119,""))</f>
        <v/>
      </c>
      <c r="NO119" s="152">
        <f>IF($MT119=0,0,INDEX($Y$2:$Y$11,$MT119))</f>
        <v/>
      </c>
      <c r="NP119" s="152">
        <f>IF($MT119=0,0,INDEX($Z$2:$Z$11,$MT119))</f>
        <v/>
      </c>
      <c r="NQ119" s="152">
        <f>IF($MT119=0,0,INDEX($AB$2:$AB$11,$MT119))</f>
        <v/>
      </c>
      <c r="NR119" s="152">
        <f>IFERROR(VLOOKUP($ML119,$BB$2:$BF$24,3,FALSE),0)</f>
        <v/>
      </c>
      <c r="NS119" s="152">
        <f>IFERROR(VLOOKUP($MM119,$BB$2:$BF$24,3,FALSE),0)</f>
        <v/>
      </c>
      <c r="NT119" s="152">
        <f>IFERROR(VLOOKUP($ML119,$BB$2:$BF$24,2,FALSE),"")</f>
        <v/>
      </c>
      <c r="NU119" s="152">
        <f>IFERROR(VLOOKUP($MM119,$BB$2:$BF$24,2,FALSE),"")</f>
        <v/>
      </c>
      <c r="NV119" s="152">
        <f>COUNTIF($NC119:$NG119,1)</f>
        <v/>
      </c>
      <c r="NW119" s="152">
        <f>COUNTIF($NC119:$NG119,2)</f>
        <v/>
      </c>
      <c r="NX119" s="152">
        <f>COUNTIF($NC119:$NG119,3)</f>
        <v/>
      </c>
      <c r="NY119" s="152">
        <f>COUNTIF($NC119:$NG119,4)</f>
        <v/>
      </c>
      <c r="NZ119" s="152">
        <f>COUNTIF($NC119:$NG119,5)</f>
        <v/>
      </c>
      <c r="OA119" s="152">
        <f>COUNTIF($NC119:$NG119,6)</f>
        <v/>
      </c>
      <c r="OB119" s="152">
        <f>COUNTIF($NR119:$NS119,1)</f>
        <v/>
      </c>
      <c r="OC119" s="152">
        <f>COUNTIF($NR119:$NS119,2)+$NO119</f>
        <v/>
      </c>
      <c r="OD119" s="152">
        <f>COUNTIF($MH119:$MK119,"?*")</f>
        <v/>
      </c>
      <c r="OE119" s="152">
        <f>COUNTIF($ML119:$MM119,"?*")+$NO119</f>
        <v/>
      </c>
      <c r="OF119" s="152">
        <f>IF($MC119=0,0,SUMPRODUCT($NV119:$OA119,INDEX($I$2:$N$8,MAX(1,$MC119),0)))</f>
        <v/>
      </c>
      <c r="OG119" s="152">
        <f>IF($MC119=0,0,$OB119*CEILING($MC119/2,1)+$OC119*$MC119)</f>
        <v/>
      </c>
      <c r="OH119" s="152">
        <f>MIN(2*$MC119,$OG119)</f>
        <v/>
      </c>
      <c r="OI119" s="152">
        <f>MIN($OH119,$OF119)</f>
        <v/>
      </c>
      <c r="OJ119" s="152">
        <f>$OH119-$OI119</f>
        <v/>
      </c>
      <c r="OK119" s="152">
        <f>IF($MC119=0,0,INDEX($P$2:$P$8,MAX(1,$MC119)))</f>
        <v/>
      </c>
      <c r="OL119" s="152">
        <f>$OK119-$OF119+$OI119</f>
        <v/>
      </c>
      <c r="OM119" s="152">
        <f>IF($MC119=0,MAX(0,$MQ119-IF($OD119&gt;0,1,0)),MAX(0,$OL119))</f>
        <v/>
      </c>
      <c r="ON119" s="152">
        <f>IF($MC119=0,0,(IF(COUNTIF($MH119:$MK119,"Salto")&gt;0,1,0)+IF(COUNTIF($MH119:$MK119,"Queima")&gt;0,1,0)+IF(COUNTIF($MH119:$MK119,"Estilhaço")&gt;0,1,0))*FLOOR($OM119/2,1))</f>
        <v/>
      </c>
      <c r="OO119" s="152">
        <f>MAX(0,2-SUMPRODUCT($NV119:$OA119,$I$2:$N$2)+MIN(2,$OB119*1+$OC119*1,SUMPRODUCT($NV119:$OA119,$I$2:$N$2)))</f>
        <v/>
      </c>
      <c r="OP119" s="152">
        <f>MAX(0,4-SUMPRODUCT($NV119:$OA119,$I$3:$N$3)+MIN(4,$OB119*1+$OC119*2,SUMPRODUCT($NV119:$OA119,$I$3:$N$3)))</f>
        <v/>
      </c>
      <c r="OQ119" s="152">
        <f>MAX(0,6-SUMPRODUCT($NV119:$OA119,$I$4:$N$4)+MIN(6,$OB119*2+$OC119*3,SUMPRODUCT($NV119:$OA119,$I$4:$N$4)))</f>
        <v/>
      </c>
      <c r="OR119" s="152">
        <f>MAX(0,9-SUMPRODUCT($NV119:$OA119,$I$5:$N$5)+MIN(8,$OB119*2+$OC119*4,SUMPRODUCT($NV119:$OA119,$I$5:$N$5)))</f>
        <v/>
      </c>
      <c r="OS119" s="152">
        <f>MAX(0,11-SUMPRODUCT($NV119:$OA119,$I$6:$N$6)+MIN(10,$OB119*3+$OC119*5,SUMPRODUCT($NV119:$OA119,$I$6:$N$6)))</f>
        <v/>
      </c>
      <c r="OT119" s="152">
        <f>MAX(0,13-SUMPRODUCT($NV119:$OA119,$I$7:$N$7)+MIN(12,$OB119*3+$OC119*6,SUMPRODUCT($NV119:$OA119,$I$7:$N$7)))</f>
        <v/>
      </c>
      <c r="OU119" s="152">
        <f>MAX(0,16-SUMPRODUCT($NV119:$OA119,$I$8:$N$8)+MIN(14,$OB119*4+$OC119*7,SUMPRODUCT($NV119:$OA119,$I$8:$N$8)))</f>
        <v/>
      </c>
      <c r="OV119" s="152">
        <f>IF($NP119=2,3*$OO119&amp;" de vida temp.",IF($NP119=3,"sem dano",IF($OO119=0,IF($NP119=1,"sem cura","sem dano"),IF($NP119=1,"cura ","")&amp;$OO119&amp;"d8")))</f>
        <v/>
      </c>
      <c r="OW119" s="152">
        <f>IF($NP119=2,3*$OP119&amp;" de vida temp.",IF($NP119=3,"sem dano",IF($OP119=0,IF($NP119=1,"sem cura","sem dano"),IF($NP119=1,"cura ","")&amp;$OP119&amp;"d8")))</f>
        <v/>
      </c>
      <c r="OX119" s="152">
        <f>IF($NP119=2,3*$OQ119&amp;" de vida temp.",IF($NP119=3,"sem dano",IF($OQ119=0,IF($NP119=1,"sem cura","sem dano"),IF($NP119=1,"cura ","")&amp;$OQ119&amp;"d8")))</f>
        <v/>
      </c>
      <c r="OY119" s="152">
        <f>IF($NP119=2,3*$OR119&amp;" de vida temp.",IF($NP119=3,"sem dano",IF($OR119=0,IF($NP119=1,"sem cura","sem dano"),IF($NP119=1,"cura ","")&amp;$OR119&amp;"d8")))</f>
        <v/>
      </c>
      <c r="OZ119" s="152">
        <f>IF($NP119=2,3*$OS119&amp;" de vida temp.",IF($NP119=3,"sem dano",IF($OS119=0,IF($NP119=1,"sem cura","sem dano"),IF($NP119=1,"cura ","")&amp;$OS119&amp;"d8")))</f>
        <v/>
      </c>
      <c r="PA119" s="152">
        <f>IF($NP119=2,3*$OT119&amp;" de vida temp.",IF($NP119=3,"sem dano",IF($OT119=0,IF($NP119=1,"sem cura","sem dano"),IF($NP119=1,"cura ","")&amp;$OT119&amp;"d8")))</f>
        <v/>
      </c>
      <c r="PB119" s="152">
        <f>IF($NP119=2,3*$OU119&amp;" de vida temp.",IF($NP119=3,"sem dano",IF($OU119=0,IF($NP119=1,"sem cura","sem dano"),IF($NP119=1,"cura ","")&amp;$OU119&amp;"d8")))</f>
        <v/>
      </c>
      <c r="PC119" s="152">
        <f>IF($MN119=0,"",TEXTJOIN(" · ",TRUE,IF($MA119&gt;$MO119,"Este lugar abre no nível "&amp;$MA119,""),IF($MC119&gt;$MP119,"Classe "&amp;$MC119&amp;": o nível "&amp;$MO119&amp;" libera até a "&amp;$MP119,""),IF($NH119=1,"A Forma "&amp;$ME119&amp;" pede "&amp;INDEX($W$2:$W$11,$MT119)&amp;" aberta",""),IF(AND($MC119=0,$MT119&gt;0,IF($MT119=0,0,INDEX($AF$2:$AF$11,$MT119))=0),$ME119&amp;" não existe na Classe 0",""),IF($NI119=1,"Família Fechada: "&amp;$MH119,""),IF($NJ119=1,"Família Fechada: "&amp;$MI119,""),IF($NK119=1,"Família Fechada: "&amp;$MJ119,""),IF($NL119=1,"Família Fechada: "&amp;$MK119,""),IF(AND($MC119&gt;0,$OD119&gt;INDEX($O$2:$O$8,MAX(1,$MC119))),$OD119&amp;" Melhorias: a Classe "&amp;$MC119&amp;" aceita "&amp;INDEX($O$2:$O$8,MAX(1,$MC119)),""),IF(AND($MC119=0,$OD119&gt;1),"A básica aceita uma Melhoria",""),IF(AND($MC119=0,COUNTIF($MY119:$NB119,"&gt;1")&gt;0),"A básica só aceita Melhoria Leve",""),IF(AND($MC119&gt;0,$OE119&gt;2),$OE119&amp;" Restrições"&amp;IF($NO119=1,", contando a que a Forma "&amp;$ME119&amp;" já traz","")&amp;": o limite é 2",""),IF(AND($MC119=0,COUNTIF($ML119:$MM119,"?*")&gt;1),"A básica aceita uma Restrição Leve",""),IF(AND($MC119=0,COUNTIF($NR119:$NS119,2)&gt;0),"A básica só aceita Restrição Leve",""),IF(AND($MC119&gt;0,$OL119&lt;0),"Orçamento estourado: faltam "&amp;(-$OL119)&amp;IF($OL119&lt;-1," pontos"," ponto"),""),IF(IFERROR(VLOOKUP($ML119,$BB$2:$BF$24,4,FALSE),0)+IFERROR(VLOOKUP($MM119,$BB$2:$BF$24,4,FALSE),0)&gt;1,$NT119&amp;" e "&amp;$NU119&amp;" são as duas de frequência",""),IF(AND((COUNTIF($MH119:$MK119,"Rápido")+COUNTIF($NT119:$NU119,"Rápido"))&gt;0,(COUNTIF($MH119:$MK119,"Atrasar")+COUNTIF($NT119:$NU119,"Atrasar"))&gt;0),"Rápido não entra com Atrasar",""),IF(AND((COUNTIF($MH119:$MK119,"Reação")+COUNTIF($NT119:$NU119,"Reação"))&gt;0,(COUNTIF($MH119:$MK119,"Rápido")+COUNTIF($NT119:$NU119,"Rápido"))&gt;0),"Reação não entra com Rápido",""),IF(AND((COUNTIF($MH119:$MK119,"Reação")+COUNTIF($NT119:$NU119,"Reação"))&gt;0,(COUNTIF($MH119:$MK119,"Armado")+COUNTIF($NT119:$NU119,"Armado"))&gt;0),"Reação não entra com Armado",""),IF(AND((COUNTIF($MH119:$MK119,"Reação")+COUNTIF($NT119:$NU119,"Reação"))&gt;0,(COUNTIF($MH119:$MK119,"Atrasar")+COUNTIF($NT119:$NU119,"Atrasar"))&gt;0),"Reação não entra com Atrasar",""),IF(AND((COUNTIF($MH119:$MK119,"Reação")+COUNTIF($NT119:$NU119,"Reação"))&gt;0,(COUNTIF($MH119:$MK119,"Parado")+COUNTIF($NT119:$NU119,"Parado"))&gt;0),"Reação não entra com Parado",""),IF(AND((COUNTIF($MH119:$MK119,"Atrasar")+COUNTIF($NT119:$NU119,"Atrasar"))&gt;0,(COUNTIF($MH119:$MK119,"Parado")+COUNTIF($NT119:$NU119,"Parado"))&gt;0),"Atrasar não entra com Parado",""),IF(AND((COUNTIF($MH119:$MK119,"Armado")+COUNTIF($NT119:$NU119,"Armado"))&gt;0,(COUNTIF($MH119:$MK119,"Carregar")+COUNTIF($NT119:$NU119,"Carregar"))&gt;0),"Armado não entra com Carregar",""),IF(AND(COUNTIF($NT119:$NU119,"Corpo a Corpo")&gt;0,$NO119=0,OR($ME119="Cone",$ME119="Linha")),"Corpo a Corpo não entra em "&amp;$ME119,""),IF(AND(COUNTIF($NT119:$NU119,"Corpo a Corpo")&gt;0,$NO119=1),"A Forma "&amp;$ME119&amp;" já traz o Corpo a Corpo",""),IF(AND(COUNTIF($NT119:$NU119,"Tudo ou Nada")&gt;0,$NQ119=0),"Tudo ou Nada só entra em habilidade de Teste de Resistência",""),IF(AND(COUNTIF($MH119:$MK119,"Inescapável")&gt;0,OR($OD119&gt;1,$OE119&gt;0)),"Inescapável não aceita outra peça",""),IF(AND($MC119&gt;0,$OM119*IF(COUNTIF($MH119:$MK119,"Remate")&gt;0,1.25,1)+$ON119&gt;4*$MC119),($OM119*IF(COUNTIF($MH119:$MK119,"Remate")&gt;0,1.25,1)+$ON119)&amp;" dados somando repetições"&amp;IF(COUNTIF($MH119:$MK119,"Remate")&gt;0," e o Remate","")&amp;": o teto da Classe "&amp;$MC119&amp;" é "&amp;4*$MC119,"")))</f>
        <v/>
      </c>
      <c r="PD119" s="152">
        <f>IF($PC119="",0,(LEN($PC119)-LEN(SUBSTITUTE($PC119," · ","")))/3+1)</f>
        <v/>
      </c>
      <c r="PE119" s="152">
        <f>IF($MN119=0,"",TEXTJOIN(" · ",TRUE,IF($OG119&gt;2*$MC119,"A devolução parou no teto de "&amp;2*$MC119,""),IF($OJ119&gt;0,"Devolução perdida: "&amp;$OJ119&amp;IF($OJ119&gt;1," pontos"," ponto")&amp;" sem peça para pagar",""),IF(AND($NM119&gt;0,AND($MC119&gt;0,$NP119=0),$OM119=0),"Controle sem dano: uma rodada a mais e CD +2",""),IF(AND($NM119&gt;0,AND($MC119&gt;0,$NP119=0),$OM119&gt;0,$OM119&lt;=$MC119),"Controle com saldo até a Classe: uma rodada a mais",""),IF(AND($MC119&gt;0,$NN119&lt;&gt;""),"Efeito de "&amp;$NN119&amp;" pela Classe "&amp;MAX(1,$MC119-1),"")))</f>
        <v/>
      </c>
      <c r="PF119" s="152">
        <f>IF($PE119="",0,(LEN($PE119)-LEN(SUBSTITUTE($PE119," · ","")))/3+1)</f>
        <v/>
      </c>
      <c r="PG119" s="152">
        <f>IF($MN119=0,IF($OD119+COUNTIF($ML119:$MM119,"?*")&gt;0,"Dê um nome",""),IF($PD119&gt;0,"⚠ "&amp;$PD119&amp;IF($PD119&gt;1," erros"," erro"),IF($PF119&gt;0,"! "&amp;$PF119&amp;IF($PF119&gt;1," avisos"," aviso"),"Na regra")))</f>
        <v/>
      </c>
      <c r="PH119" s="152">
        <f>IF($MN119=0,"",IF($PD119+$PF119=0,"Dentro das regras que a ficha confere",$PC119&amp;IF(AND($PD119&gt;0,$PF119&gt;0)," · ","")&amp;$PE119))</f>
        <v/>
      </c>
      <c r="PI119" s="152">
        <f>IF($MA119&gt;$MO119,$MB119&amp;" · ABRE NO NÍVEL "&amp;$MA119,$MB119)</f>
        <v/>
      </c>
      <c r="PJ119" s="152">
        <f>IF($MN119=0,"",IF($MC119=0,"Sem PE",3*$MC119&amp;" PE"))</f>
        <v/>
      </c>
      <c r="PK119" s="152">
        <f>IF($MN119=0,"",IF($MC119=0,"A atuação básica dela",IF(COUNTIF($NT119:$NU119,"Atrasar")&gt;0,"Sua Ação Completa",IF(COUNTIF($MH119:$MK119,"Rápido")&gt;0,"Sua Bônus",IF(COUNTIF($MH119:$MK119,"Reação")&gt;0,"Sua Reação","Sua Padrão")))&amp;" + a básica dela"&amp;IF(COUNTIF($MH119:$MK119,"Reação")&gt;0," e a coletiva","")&amp;IF(COUNTIF($NT119:$NU119,"Carregar")&gt;0," · em dois turnos","")))</f>
        <v/>
      </c>
      <c r="PL119" s="152">
        <f>IF($MG119&lt;&gt;"",$MG119,IF($MT119=0,"",INDEX($AA$2:$AA$11,$MT119)))</f>
        <v/>
      </c>
      <c r="PM119" s="152">
        <f>IF(OR($MN119=0,$MT119=0),"",IF(COUNTIF($MH119:$MK119,"Inescapável")&gt;0,"Automático",IF($PL119="Ataque",IF($MR119="","Ataque","Ataque "&amp;IF(($MR119+2*IF(COUNTIF($MH119:$MK119,"Precisão")&gt;0,1,0))&gt;=0,"+","−")&amp;ABS(($MR119+2*IF(COUNTIF($MH119:$MK119,"Precisão")&gt;0,1,0)))),IF(LEFT($PL119,2)="TR",$PL119&amp;IF($MS119="",""," · CD "&amp;$MS119)&amp;IF(COUNTIF($MH119:$MK119,"Certeiro")&gt;0," · metade",""),"Sem rolagem"))))</f>
        <v/>
      </c>
      <c r="PN119" s="152">
        <f>IF(OR($MN119=0,$MT119=0),"",IF($MC119=0,IF(OR($NP119&gt;=1,$OM119=0),"Sem dano",$OM119&amp;"d6"&amp;IF($MF119="",""," "&amp;$MF119)),IF(OR($NP119&gt;=1,$OM119=0),UPPER(LEFT(INDEX($OV119:$PB119,1,MAX(1,$MC119)),1))&amp;MID(INDEX($OV119:$PB119,1,MAX(1,$MC119)),2,99),UPPER(LEFT(INDEX($OV119:$PB119,1,MAX(1,$MC119)),1))&amp;MID(INDEX($OV119:$PB119,1,MAX(1,$MC119)),2,99)&amp;IF($MF119="",""," "&amp;$MF119)&amp;IF($ON119&gt;0," · +"&amp;$ON119&amp;"d8",""))))</f>
        <v/>
      </c>
      <c r="PO119" s="152">
        <f>COUNTIF($MH119:$MK119,"Longe")+3*COUNTIF($MH119:$MK119,"Muito Longe")</f>
        <v/>
      </c>
      <c r="PP119" s="152">
        <f>COUNTIF($MH119:$MK119,"Maior")+3*COUNTIF($MH119:$MK119,"Muito Maior")</f>
        <v/>
      </c>
      <c r="PQ119" s="152">
        <f>IF($MT119=0,0,CHOOSE(1+INDEX($AC$2:$AC$11,$MT119),0,$PO119,$PP119,$PO119+$PP119))</f>
        <v/>
      </c>
      <c r="PR119" s="152">
        <f>IF($MT119=0,0,CHOOSE(1+INDEX($AD$2:$AD$11,$MT119),0,$PO119,$PP119,$PO119+$PP119))</f>
        <v/>
      </c>
      <c r="PS119" s="152">
        <f>IF(OR($MN119=0,$MT119=0),"",INDEX($AI$2:$AN$41,($MT119-1)*4+IF($MC119=0,1,IF($MC119&lt;=5,2,IF($MC119=6,3,4))),1+MIN(5,$PQ119))&amp;INDEX($AO$2:$AT$41,($MT119-1)*4+IF($MC119=0,1,IF($MC119&lt;=5,2,IF($MC119=6,3,4))),1+MIN(5,$PR119))&amp;IF(INDEX($AE$2:$AE$11,$MT119)=1,IF(COUNTIF($MH119:$MK119,"Mais Um")&gt;0," · +"&amp;COUNTIF($MH119:$MK119,"Mais Um")&amp;IF(COUNTIF($MH119:$MK119,"Mais Um")&gt;1," alvos"," alvo"),"")&amp;IF(COUNTIF($MH119:$MK119,"Rajada")&gt;0,IF($MC119=0," · 1 tiro"," · "&amp;(MAX(1,$MC119-1)+1)&amp;" tiros"),""),""))</f>
        <v/>
      </c>
      <c r="PT119" s="152">
        <f>IF($MN119=0,"",IF($MC119=0,$MQ119&amp;"d6"&amp;IF($OD119&gt;0," − 1 = "&amp;$OM119&amp;"d6"," da básica do nível "&amp;$MO119),$OK119&amp;" − "&amp;$OF119&amp;" + "&amp;$OI119&amp;" = "&amp;$OL119&amp;" · teto "&amp;4*$MC119&amp;"d8"&amp;IF($NO119=1," · a Forma devolve "&amp;$MC119,"")&amp;IF($OJ119&gt;0," · perde "&amp;$OJ119,"")))</f>
        <v/>
      </c>
      <c r="PU119" s="152">
        <f>IF($MN119=0,"",IF($MC119=0,"A básica não amplia: os dados dela sobem com o nível",IF($MC119&gt;=$MP119,"Já está na maior Classe que o nível liberou",TEXTJOIN(" · ",TRUE,IF(AND(2&gt;$MC119,2&lt;=$MP119),"2 → "&amp;$OW119&amp;", 6 PE",""),IF(AND(3&gt;$MC119,3&lt;=$MP119),"3 → "&amp;$OX119&amp;", 9 PE",""),IF(AND(4&gt;$MC119,4&lt;=$MP119),"4 → "&amp;$OY119&amp;", 12 PE",""),IF(AND(5&gt;$MC119,5&lt;=$MP119),"5 → "&amp;$OZ119&amp;", 15 PE",""),IF(AND(6&gt;$MC119,6&lt;=$MP119),"6 → "&amp;$PA119&amp;", 18 PE",""),IF(AND(7&gt;$MC119,7&lt;=$MP119),"7 → "&amp;$PB119&amp;", 21 PE","")))))</f>
        <v/>
      </c>
      <c r="PV119" s="152">
        <f>IF(OR($MN119=0,$MY119=0),"",IF($MC119=0,"−1 dado","−"&amp;INDEX($I$2:$N$8,MAX(1,$MC119),MAX(1,$ND119))&amp;" · "&amp;CHOOSE(MAX(1,$ND119),"Leve","Média","Pesada","Leve · Livre","Média · Livre","Pesada · Livre")))</f>
        <v/>
      </c>
      <c r="PW119" s="152">
        <f>IF(OR($MN119=0,$MZ119=0),"",IF($MC119=0,"−1 dado","−"&amp;INDEX($I$2:$N$8,MAX(1,$MC119),MAX(1,$NE119))&amp;" · "&amp;CHOOSE(MAX(1,$NE119),"Leve","Média","Pesada","Leve · Livre","Média · Livre","Pesada · Livre")))</f>
        <v/>
      </c>
      <c r="PX119" s="152">
        <f>IF(OR($MN119=0,$NA119=0),"",IF($MC119=0,"−1 dado","−"&amp;INDEX($I$2:$N$8,MAX(1,$MC119),MAX(1,$NF119))&amp;" · "&amp;CHOOSE(MAX(1,$NF119),"Leve","Média","Pesada","Leve · Livre","Média · Livre","Pesada · Livre")))</f>
        <v/>
      </c>
      <c r="PY119" s="152">
        <f>IF(OR($MN119=0,$NB119=0),"",IF($MC119=0,"−1 dado","−"&amp;INDEX($I$2:$N$8,MAX(1,$MC119),MAX(1,$NG119))&amp;" · "&amp;CHOOSE(MAX(1,$NG119),"Leve","Média","Pesada","Leve · Livre","Média · Livre","Pesada · Livre")))</f>
        <v/>
      </c>
      <c r="PZ119" s="152">
        <f>IF(OR($MN119=0,$ML119=""),"",IF($MC119=0,"não devolve","+"&amp;IF($NR119=1,CEILING($MC119/2,1),$MC119)))</f>
        <v/>
      </c>
      <c r="QA119" s="152">
        <f>IF(OR($MN119=0,$MM119=""),"",IF($MC119=0,"não devolve","+"&amp;IF($NS119=1,CEILING($MC119/2,1),$MC119)))</f>
        <v/>
      </c>
    </row>
    <row r="120">
      <c r="LX120" s="150" t="inlineStr">
        <is>
          <t>Ficha 10 · Especial 1</t>
        </is>
      </c>
      <c r="LY120" s="152" t="n">
        <v>10</v>
      </c>
      <c r="LZ120" s="152" t="n">
        <v>1</v>
      </c>
      <c r="MA120" s="152" t="n">
        <v>1</v>
      </c>
      <c r="MB120" s="150" t="inlineStr">
        <is>
          <t>ESPECIAL 1</t>
        </is>
      </c>
      <c r="MC120" s="152">
        <f>MAX(1,MIN(7,N('INVOCAÇÕES'!$AH$652)))</f>
        <v/>
      </c>
      <c r="MD120" s="152">
        <f>'INVOCAÇÕES'!$AI$652&amp;""</f>
        <v/>
      </c>
      <c r="ME120" s="152">
        <f>'INVOCAÇÕES'!$AH$657&amp;""</f>
        <v/>
      </c>
      <c r="MF120" s="152">
        <f>'INVOCAÇÕES'!$AH$658&amp;""</f>
        <v/>
      </c>
      <c r="MG120" s="152">
        <f>'INVOCAÇÕES'!$AJ$658&amp;""</f>
        <v/>
      </c>
      <c r="MH120" s="152">
        <f>'INVOCAÇÕES'!$AI$661&amp;""</f>
        <v/>
      </c>
      <c r="MI120" s="152">
        <f>'INVOCAÇÕES'!$AI$662&amp;""</f>
        <v/>
      </c>
      <c r="MJ120" s="152">
        <f>'INVOCAÇÕES'!$AI$663&amp;""</f>
        <v/>
      </c>
      <c r="MK120" s="152">
        <f>'INVOCAÇÕES'!$AI$664&amp;""</f>
        <v/>
      </c>
      <c r="ML120" s="152">
        <f>'INVOCAÇÕES'!$AI$665&amp;""</f>
        <v/>
      </c>
      <c r="MM120" s="152">
        <f>'INVOCAÇÕES'!$AI$666&amp;""</f>
        <v/>
      </c>
      <c r="MN120" s="152">
        <f>IF($MD120&lt;&gt;"",1,0)</f>
        <v/>
      </c>
      <c r="MO120" s="152">
        <f>INDEX($FG$2:$FG$13,$LY120)</f>
        <v/>
      </c>
      <c r="MP120" s="152">
        <f>INDEX($FH$2:$FH$13,$LY120)</f>
        <v/>
      </c>
      <c r="MQ120" s="152">
        <f>INDEX($FI$2:$FI$13,$LY120)</f>
        <v/>
      </c>
      <c r="MR120" s="152">
        <f>INDEX($FT$2:$FT$13,$LY120)</f>
        <v/>
      </c>
      <c r="MS120" s="152">
        <f>INDEX($FU$2:$FU$13,$LY120)</f>
        <v/>
      </c>
      <c r="MT120" s="152">
        <f>IFERROR(MATCH($ME120,$V$2:$V$11,0),0)</f>
        <v/>
      </c>
      <c r="MU120" s="152">
        <f>IFERROR(VLOOKUP($MH120,$AV$2:$AZ$84,2,FALSE),"")</f>
        <v/>
      </c>
      <c r="MV120" s="152">
        <f>IFERROR(VLOOKUP($MI120,$AV$2:$AZ$84,2,FALSE),"")</f>
        <v/>
      </c>
      <c r="MW120" s="152">
        <f>IFERROR(VLOOKUP($MJ120,$AV$2:$AZ$84,2,FALSE),"")</f>
        <v/>
      </c>
      <c r="MX120" s="152">
        <f>IFERROR(VLOOKUP($MK120,$AV$2:$AZ$84,2,FALSE),"")</f>
        <v/>
      </c>
      <c r="MY120" s="152">
        <f>IFERROR(VLOOKUP($MH120,$AV$2:$AZ$84,3,FALSE),0)</f>
        <v/>
      </c>
      <c r="MZ120" s="152">
        <f>IFERROR(VLOOKUP($MI120,$AV$2:$AZ$84,3,FALSE),0)</f>
        <v/>
      </c>
      <c r="NA120" s="152">
        <f>IFERROR(VLOOKUP($MJ120,$AV$2:$AZ$84,3,FALSE),0)</f>
        <v/>
      </c>
      <c r="NB120" s="152">
        <f>IFERROR(VLOOKUP($MK120,$AV$2:$AZ$84,3,FALSE),0)</f>
        <v/>
      </c>
      <c r="NC120" s="152">
        <f>IF($MC120=0,0,IF($MT120=0,0,INDEX($X$2:$X$11,$MT120)))</f>
        <v/>
      </c>
      <c r="ND120" s="152">
        <f>IF(OR($MY120=0,$MC120=0),0,$MY120+3*IF(AND($MU120&lt;&gt;"",OR($MU120=INDEX($ED$2:$ED$13,$LY120),$MU120=INDEX($EE$2:$EE$13,$LY120))),1,0))</f>
        <v/>
      </c>
      <c r="NE120" s="152">
        <f>IF(OR($MZ120=0,$MC120=0),0,$MZ120+3*IF(AND($MV120&lt;&gt;"",OR($MV120=INDEX($ED$2:$ED$13,$LY120),$MV120=INDEX($EE$2:$EE$13,$LY120))),1,0))</f>
        <v/>
      </c>
      <c r="NF120" s="152">
        <f>IF(OR($NA120=0,$MC120=0),0,$NA120+3*IF(AND($MW120&lt;&gt;"",OR($MW120=INDEX($ED$2:$ED$13,$LY120),$MW120=INDEX($EE$2:$EE$13,$LY120))),1,0))</f>
        <v/>
      </c>
      <c r="NG120" s="152">
        <f>IF(OR($NB120=0,$MC120=0),0,$NB120+3*IF(AND($MX120&lt;&gt;"",OR($MX120=INDEX($ED$2:$ED$13,$LY120),$MX120=INDEX($EE$2:$EE$13,$LY120))),1,0))</f>
        <v/>
      </c>
      <c r="NH120" s="152">
        <f>IF($MT120=0,0,IF(INDEX($W$2:$W$11,$MT120)="",0,IF(COUNTIF(INDEX($ED$2:$EH$13,$LY120,0),INDEX($W$2:$W$11,$MT120))=0,1,0)))</f>
        <v/>
      </c>
      <c r="NI120" s="152">
        <f>IF(OR($MY120=0,$MU120=""),0,IF(COUNTIF(INDEX($ED$2:$EH$13,$LY120,0),$MU120)=0,1,0))</f>
        <v/>
      </c>
      <c r="NJ120" s="152">
        <f>IF(OR($MZ120=0,$MV120=""),0,IF(COUNTIF(INDEX($ED$2:$EH$13,$LY120,0),$MV120)=0,1,0))</f>
        <v/>
      </c>
      <c r="NK120" s="152">
        <f>IF(OR($NA120=0,$MW120=""),0,IF(COUNTIF(INDEX($ED$2:$EH$13,$LY120,0),$MW120)=0,1,0))</f>
        <v/>
      </c>
      <c r="NL120" s="152">
        <f>IF(OR($NB120=0,$MX120=""),0,IF(COUNTIF(INDEX($ED$2:$EH$13,$LY120,0),$MX120)=0,1,0))</f>
        <v/>
      </c>
      <c r="NM120" s="152">
        <f>IFERROR(VLOOKUP($MH120,$AV$2:$AZ$84,4,FALSE),0)+IFERROR(VLOOKUP($MI120,$AV$2:$AZ$84,4,FALSE),0)+IFERROR(VLOOKUP($MJ120,$AV$2:$AZ$84,4,FALSE),0)+IFERROR(VLOOKUP($MK120,$AV$2:$AZ$84,4,FALSE),0)</f>
        <v/>
      </c>
      <c r="NN120" s="152">
        <f>TEXTJOIN(", ",TRUE,IF(IFERROR(VLOOKUP($MH120,$AV$2:$AZ$84,5,FALSE),0)=1,$MH120,""),IF(IFERROR(VLOOKUP($MI120,$AV$2:$AZ$84,5,FALSE),0)=1,$MI120,""),IF(IFERROR(VLOOKUP($MJ120,$AV$2:$AZ$84,5,FALSE),0)=1,$MJ120,""),IF(IFERROR(VLOOKUP($MK120,$AV$2:$AZ$84,5,FALSE),0)=1,$MK120,""))</f>
        <v/>
      </c>
      <c r="NO120" s="152">
        <f>IF($MT120=0,0,INDEX($Y$2:$Y$11,$MT120))</f>
        <v/>
      </c>
      <c r="NP120" s="152">
        <f>IF($MT120=0,0,INDEX($Z$2:$Z$11,$MT120))</f>
        <v/>
      </c>
      <c r="NQ120" s="152">
        <f>IF($MT120=0,0,INDEX($AB$2:$AB$11,$MT120))</f>
        <v/>
      </c>
      <c r="NR120" s="152">
        <f>IFERROR(VLOOKUP($ML120,$BB$2:$BF$24,3,FALSE),0)</f>
        <v/>
      </c>
      <c r="NS120" s="152">
        <f>IFERROR(VLOOKUP($MM120,$BB$2:$BF$24,3,FALSE),0)</f>
        <v/>
      </c>
      <c r="NT120" s="152">
        <f>IFERROR(VLOOKUP($ML120,$BB$2:$BF$24,2,FALSE),"")</f>
        <v/>
      </c>
      <c r="NU120" s="152">
        <f>IFERROR(VLOOKUP($MM120,$BB$2:$BF$24,2,FALSE),"")</f>
        <v/>
      </c>
      <c r="NV120" s="152">
        <f>COUNTIF($NC120:$NG120,1)</f>
        <v/>
      </c>
      <c r="NW120" s="152">
        <f>COUNTIF($NC120:$NG120,2)</f>
        <v/>
      </c>
      <c r="NX120" s="152">
        <f>COUNTIF($NC120:$NG120,3)</f>
        <v/>
      </c>
      <c r="NY120" s="152">
        <f>COUNTIF($NC120:$NG120,4)</f>
        <v/>
      </c>
      <c r="NZ120" s="152">
        <f>COUNTIF($NC120:$NG120,5)</f>
        <v/>
      </c>
      <c r="OA120" s="152">
        <f>COUNTIF($NC120:$NG120,6)</f>
        <v/>
      </c>
      <c r="OB120" s="152">
        <f>COUNTIF($NR120:$NS120,1)</f>
        <v/>
      </c>
      <c r="OC120" s="152">
        <f>COUNTIF($NR120:$NS120,2)+$NO120</f>
        <v/>
      </c>
      <c r="OD120" s="152">
        <f>COUNTIF($MH120:$MK120,"?*")</f>
        <v/>
      </c>
      <c r="OE120" s="152">
        <f>COUNTIF($ML120:$MM120,"?*")+$NO120</f>
        <v/>
      </c>
      <c r="OF120" s="152">
        <f>IF($MC120=0,0,SUMPRODUCT($NV120:$OA120,INDEX($I$2:$N$8,MAX(1,$MC120),0)))</f>
        <v/>
      </c>
      <c r="OG120" s="152">
        <f>IF($MC120=0,0,$OB120*CEILING($MC120/2,1)+$OC120*$MC120)</f>
        <v/>
      </c>
      <c r="OH120" s="152">
        <f>MIN(2*$MC120,$OG120)</f>
        <v/>
      </c>
      <c r="OI120" s="152">
        <f>MIN($OH120,$OF120)</f>
        <v/>
      </c>
      <c r="OJ120" s="152">
        <f>$OH120-$OI120</f>
        <v/>
      </c>
      <c r="OK120" s="152">
        <f>IF($MC120=0,0,INDEX($P$2:$P$8,MAX(1,$MC120)))</f>
        <v/>
      </c>
      <c r="OL120" s="152">
        <f>$OK120-$OF120+$OI120</f>
        <v/>
      </c>
      <c r="OM120" s="152">
        <f>IF($MC120=0,MAX(0,$MQ120-IF($OD120&gt;0,1,0)),MAX(0,$OL120))</f>
        <v/>
      </c>
      <c r="ON120" s="152">
        <f>IF($MC120=0,0,(IF(COUNTIF($MH120:$MK120,"Salto")&gt;0,1,0)+IF(COUNTIF($MH120:$MK120,"Queima")&gt;0,1,0)+IF(COUNTIF($MH120:$MK120,"Estilhaço")&gt;0,1,0))*FLOOR($OM120/2,1))</f>
        <v/>
      </c>
      <c r="OO120" s="152">
        <f>MAX(0,2-SUMPRODUCT($NV120:$OA120,$I$2:$N$2)+MIN(2,$OB120*1+$OC120*1,SUMPRODUCT($NV120:$OA120,$I$2:$N$2)))</f>
        <v/>
      </c>
      <c r="OP120" s="152">
        <f>MAX(0,4-SUMPRODUCT($NV120:$OA120,$I$3:$N$3)+MIN(4,$OB120*1+$OC120*2,SUMPRODUCT($NV120:$OA120,$I$3:$N$3)))</f>
        <v/>
      </c>
      <c r="OQ120" s="152">
        <f>MAX(0,6-SUMPRODUCT($NV120:$OA120,$I$4:$N$4)+MIN(6,$OB120*2+$OC120*3,SUMPRODUCT($NV120:$OA120,$I$4:$N$4)))</f>
        <v/>
      </c>
      <c r="OR120" s="152">
        <f>MAX(0,9-SUMPRODUCT($NV120:$OA120,$I$5:$N$5)+MIN(8,$OB120*2+$OC120*4,SUMPRODUCT($NV120:$OA120,$I$5:$N$5)))</f>
        <v/>
      </c>
      <c r="OS120" s="152">
        <f>MAX(0,11-SUMPRODUCT($NV120:$OA120,$I$6:$N$6)+MIN(10,$OB120*3+$OC120*5,SUMPRODUCT($NV120:$OA120,$I$6:$N$6)))</f>
        <v/>
      </c>
      <c r="OT120" s="152">
        <f>MAX(0,13-SUMPRODUCT($NV120:$OA120,$I$7:$N$7)+MIN(12,$OB120*3+$OC120*6,SUMPRODUCT($NV120:$OA120,$I$7:$N$7)))</f>
        <v/>
      </c>
      <c r="OU120" s="152">
        <f>MAX(0,16-SUMPRODUCT($NV120:$OA120,$I$8:$N$8)+MIN(14,$OB120*4+$OC120*7,SUMPRODUCT($NV120:$OA120,$I$8:$N$8)))</f>
        <v/>
      </c>
      <c r="OV120" s="152">
        <f>IF($NP120=2,3*$OO120&amp;" de vida temp.",IF($NP120=3,"sem dano",IF($OO120=0,IF($NP120=1,"sem cura","sem dano"),IF($NP120=1,"cura ","")&amp;$OO120&amp;"d8")))</f>
        <v/>
      </c>
      <c r="OW120" s="152">
        <f>IF($NP120=2,3*$OP120&amp;" de vida temp.",IF($NP120=3,"sem dano",IF($OP120=0,IF($NP120=1,"sem cura","sem dano"),IF($NP120=1,"cura ","")&amp;$OP120&amp;"d8")))</f>
        <v/>
      </c>
      <c r="OX120" s="152">
        <f>IF($NP120=2,3*$OQ120&amp;" de vida temp.",IF($NP120=3,"sem dano",IF($OQ120=0,IF($NP120=1,"sem cura","sem dano"),IF($NP120=1,"cura ","")&amp;$OQ120&amp;"d8")))</f>
        <v/>
      </c>
      <c r="OY120" s="152">
        <f>IF($NP120=2,3*$OR120&amp;" de vida temp.",IF($NP120=3,"sem dano",IF($OR120=0,IF($NP120=1,"sem cura","sem dano"),IF($NP120=1,"cura ","")&amp;$OR120&amp;"d8")))</f>
        <v/>
      </c>
      <c r="OZ120" s="152">
        <f>IF($NP120=2,3*$OS120&amp;" de vida temp.",IF($NP120=3,"sem dano",IF($OS120=0,IF($NP120=1,"sem cura","sem dano"),IF($NP120=1,"cura ","")&amp;$OS120&amp;"d8")))</f>
        <v/>
      </c>
      <c r="PA120" s="152">
        <f>IF($NP120=2,3*$OT120&amp;" de vida temp.",IF($NP120=3,"sem dano",IF($OT120=0,IF($NP120=1,"sem cura","sem dano"),IF($NP120=1,"cura ","")&amp;$OT120&amp;"d8")))</f>
        <v/>
      </c>
      <c r="PB120" s="152">
        <f>IF($NP120=2,3*$OU120&amp;" de vida temp.",IF($NP120=3,"sem dano",IF($OU120=0,IF($NP120=1,"sem cura","sem dano"),IF($NP120=1,"cura ","")&amp;$OU120&amp;"d8")))</f>
        <v/>
      </c>
      <c r="PC120" s="152">
        <f>IF($MN120=0,"",TEXTJOIN(" · ",TRUE,IF($MA120&gt;$MO120,"Este lugar abre no nível "&amp;$MA120,""),IF($MC120&gt;$MP120,"Classe "&amp;$MC120&amp;": o nível "&amp;$MO120&amp;" libera até a "&amp;$MP120,""),IF($NH120=1,"A Forma "&amp;$ME120&amp;" pede "&amp;INDEX($W$2:$W$11,$MT120)&amp;" aberta",""),IF(AND($MC120=0,$MT120&gt;0,IF($MT120=0,0,INDEX($AF$2:$AF$11,$MT120))=0),$ME120&amp;" não existe na Classe 0",""),IF($NI120=1,"Família Fechada: "&amp;$MH120,""),IF($NJ120=1,"Família Fechada: "&amp;$MI120,""),IF($NK120=1,"Família Fechada: "&amp;$MJ120,""),IF($NL120=1,"Família Fechada: "&amp;$MK120,""),IF(AND($MC120&gt;0,$OD120&gt;INDEX($O$2:$O$8,MAX(1,$MC120))),$OD120&amp;" Melhorias: a Classe "&amp;$MC120&amp;" aceita "&amp;INDEX($O$2:$O$8,MAX(1,$MC120)),""),IF(AND($MC120=0,$OD120&gt;1),"A básica aceita uma Melhoria",""),IF(AND($MC120=0,COUNTIF($MY120:$NB120,"&gt;1")&gt;0),"A básica só aceita Melhoria Leve",""),IF(AND($MC120&gt;0,$OE120&gt;2),$OE120&amp;" Restrições"&amp;IF($NO120=1,", contando a que a Forma "&amp;$ME120&amp;" já traz","")&amp;": o limite é 2",""),IF(AND($MC120=0,COUNTIF($ML120:$MM120,"?*")&gt;1),"A básica aceita uma Restrição Leve",""),IF(AND($MC120=0,COUNTIF($NR120:$NS120,2)&gt;0),"A básica só aceita Restrição Leve",""),IF(AND($MC120&gt;0,$OL120&lt;0),"Orçamento estourado: faltam "&amp;(-$OL120)&amp;IF($OL120&lt;-1," pontos"," ponto"),""),IF(IFERROR(VLOOKUP($ML120,$BB$2:$BF$24,4,FALSE),0)+IFERROR(VLOOKUP($MM120,$BB$2:$BF$24,4,FALSE),0)&gt;1,$NT120&amp;" e "&amp;$NU120&amp;" são as duas de frequência",""),IF(AND((COUNTIF($MH120:$MK120,"Rápido")+COUNTIF($NT120:$NU120,"Rápido"))&gt;0,(COUNTIF($MH120:$MK120,"Atrasar")+COUNTIF($NT120:$NU120,"Atrasar"))&gt;0),"Rápido não entra com Atrasar",""),IF(AND((COUNTIF($MH120:$MK120,"Reação")+COUNTIF($NT120:$NU120,"Reação"))&gt;0,(COUNTIF($MH120:$MK120,"Rápido")+COUNTIF($NT120:$NU120,"Rápido"))&gt;0),"Reação não entra com Rápido",""),IF(AND((COUNTIF($MH120:$MK120,"Reação")+COUNTIF($NT120:$NU120,"Reação"))&gt;0,(COUNTIF($MH120:$MK120,"Armado")+COUNTIF($NT120:$NU120,"Armado"))&gt;0),"Reação não entra com Armado",""),IF(AND((COUNTIF($MH120:$MK120,"Reação")+COUNTIF($NT120:$NU120,"Reação"))&gt;0,(COUNTIF($MH120:$MK120,"Atrasar")+COUNTIF($NT120:$NU120,"Atrasar"))&gt;0),"Reação não entra com Atrasar",""),IF(AND((COUNTIF($MH120:$MK120,"Reação")+COUNTIF($NT120:$NU120,"Reação"))&gt;0,(COUNTIF($MH120:$MK120,"Parado")+COUNTIF($NT120:$NU120,"Parado"))&gt;0),"Reação não entra com Parado",""),IF(AND((COUNTIF($MH120:$MK120,"Atrasar")+COUNTIF($NT120:$NU120,"Atrasar"))&gt;0,(COUNTIF($MH120:$MK120,"Parado")+COUNTIF($NT120:$NU120,"Parado"))&gt;0),"Atrasar não entra com Parado",""),IF(AND((COUNTIF($MH120:$MK120,"Armado")+COUNTIF($NT120:$NU120,"Armado"))&gt;0,(COUNTIF($MH120:$MK120,"Carregar")+COUNTIF($NT120:$NU120,"Carregar"))&gt;0),"Armado não entra com Carregar",""),IF(AND(COUNTIF($NT120:$NU120,"Corpo a Corpo")&gt;0,$NO120=0,OR($ME120="Cone",$ME120="Linha")),"Corpo a Corpo não entra em "&amp;$ME120,""),IF(AND(COUNTIF($NT120:$NU120,"Corpo a Corpo")&gt;0,$NO120=1),"A Forma "&amp;$ME120&amp;" já traz o Corpo a Corpo",""),IF(AND(COUNTIF($NT120:$NU120,"Tudo ou Nada")&gt;0,$NQ120=0),"Tudo ou Nada só entra em habilidade de Teste de Resistência",""),IF(AND(COUNTIF($MH120:$MK120,"Inescapável")&gt;0,OR($OD120&gt;1,$OE120&gt;0)),"Inescapável não aceita outra peça",""),IF(AND($MC120&gt;0,$OM120*IF(COUNTIF($MH120:$MK120,"Remate")&gt;0,1.25,1)+$ON120&gt;4*$MC120),($OM120*IF(COUNTIF($MH120:$MK120,"Remate")&gt;0,1.25,1)+$ON120)&amp;" dados somando repetições"&amp;IF(COUNTIF($MH120:$MK120,"Remate")&gt;0," e o Remate","")&amp;": o teto da Classe "&amp;$MC120&amp;" é "&amp;4*$MC120,"")))</f>
        <v/>
      </c>
      <c r="PD120" s="152">
        <f>IF($PC120="",0,(LEN($PC120)-LEN(SUBSTITUTE($PC120," · ","")))/3+1)</f>
        <v/>
      </c>
      <c r="PE120" s="152">
        <f>IF($MN120=0,"",TEXTJOIN(" · ",TRUE,IF($OG120&gt;2*$MC120,"A devolução parou no teto de "&amp;2*$MC120,""),IF($OJ120&gt;0,"Devolução perdida: "&amp;$OJ120&amp;IF($OJ120&gt;1," pontos"," ponto")&amp;" sem peça para pagar",""),IF(AND($NM120&gt;0,AND($MC120&gt;0,$NP120=0),$OM120=0),"Controle sem dano: uma rodada a mais e CD +2",""),IF(AND($NM120&gt;0,AND($MC120&gt;0,$NP120=0),$OM120&gt;0,$OM120&lt;=$MC120),"Controle com saldo até a Classe: uma rodada a mais",""),IF(AND($MC120&gt;0,$NN120&lt;&gt;""),"Efeito de "&amp;$NN120&amp;" pela Classe "&amp;MAX(1,$MC120-1),"")))</f>
        <v/>
      </c>
      <c r="PF120" s="152">
        <f>IF($PE120="",0,(LEN($PE120)-LEN(SUBSTITUTE($PE120," · ","")))/3+1)</f>
        <v/>
      </c>
      <c r="PG120" s="152">
        <f>IF($MN120=0,IF($OD120+COUNTIF($ML120:$MM120,"?*")&gt;0,"Dê um nome",""),IF($PD120&gt;0,"⚠ "&amp;$PD120&amp;IF($PD120&gt;1," erros"," erro"),IF($PF120&gt;0,"! "&amp;$PF120&amp;IF($PF120&gt;1," avisos"," aviso"),"Na regra")))</f>
        <v/>
      </c>
      <c r="PH120" s="152">
        <f>IF($MN120=0,"",IF($PD120+$PF120=0,"Dentro das regras que a ficha confere",$PC120&amp;IF(AND($PD120&gt;0,$PF120&gt;0)," · ","")&amp;$PE120))</f>
        <v/>
      </c>
      <c r="PI120" s="152">
        <f>IF($MA120&gt;$MO120,$MB120&amp;" · ABRE NO NÍVEL "&amp;$MA120,$MB120)</f>
        <v/>
      </c>
      <c r="PJ120" s="152">
        <f>IF($MN120=0,"",IF($MC120=0,"Sem PE",3*$MC120&amp;" PE"))</f>
        <v/>
      </c>
      <c r="PK120" s="152">
        <f>IF($MN120=0,"",IF($MC120=0,"A atuação básica dela",IF(COUNTIF($NT120:$NU120,"Atrasar")&gt;0,"Sua Ação Completa",IF(COUNTIF($MH120:$MK120,"Rápido")&gt;0,"Sua Bônus",IF(COUNTIF($MH120:$MK120,"Reação")&gt;0,"Sua Reação","Sua Padrão")))&amp;" + a básica dela"&amp;IF(COUNTIF($MH120:$MK120,"Reação")&gt;0," e a coletiva","")&amp;IF(COUNTIF($NT120:$NU120,"Carregar")&gt;0," · em dois turnos","")))</f>
        <v/>
      </c>
      <c r="PL120" s="152">
        <f>IF($MG120&lt;&gt;"",$MG120,IF($MT120=0,"",INDEX($AA$2:$AA$11,$MT120)))</f>
        <v/>
      </c>
      <c r="PM120" s="152">
        <f>IF(OR($MN120=0,$MT120=0),"",IF(COUNTIF($MH120:$MK120,"Inescapável")&gt;0,"Automático",IF($PL120="Ataque",IF($MR120="","Ataque","Ataque "&amp;IF(($MR120+2*IF(COUNTIF($MH120:$MK120,"Precisão")&gt;0,1,0))&gt;=0,"+","−")&amp;ABS(($MR120+2*IF(COUNTIF($MH120:$MK120,"Precisão")&gt;0,1,0)))),IF(LEFT($PL120,2)="TR",$PL120&amp;IF($MS120="",""," · CD "&amp;$MS120)&amp;IF(COUNTIF($MH120:$MK120,"Certeiro")&gt;0," · metade",""),"Sem rolagem"))))</f>
        <v/>
      </c>
      <c r="PN120" s="152">
        <f>IF(OR($MN120=0,$MT120=0),"",IF($MC120=0,IF(OR($NP120&gt;=1,$OM120=0),"Sem dano",$OM120&amp;"d6"&amp;IF($MF120="",""," "&amp;$MF120)),IF(OR($NP120&gt;=1,$OM120=0),UPPER(LEFT(INDEX($OV120:$PB120,1,MAX(1,$MC120)),1))&amp;MID(INDEX($OV120:$PB120,1,MAX(1,$MC120)),2,99),UPPER(LEFT(INDEX($OV120:$PB120,1,MAX(1,$MC120)),1))&amp;MID(INDEX($OV120:$PB120,1,MAX(1,$MC120)),2,99)&amp;IF($MF120="",""," "&amp;$MF120)&amp;IF($ON120&gt;0," · +"&amp;$ON120&amp;"d8",""))))</f>
        <v/>
      </c>
      <c r="PO120" s="152">
        <f>COUNTIF($MH120:$MK120,"Longe")+3*COUNTIF($MH120:$MK120,"Muito Longe")</f>
        <v/>
      </c>
      <c r="PP120" s="152">
        <f>COUNTIF($MH120:$MK120,"Maior")+3*COUNTIF($MH120:$MK120,"Muito Maior")</f>
        <v/>
      </c>
      <c r="PQ120" s="152">
        <f>IF($MT120=0,0,CHOOSE(1+INDEX($AC$2:$AC$11,$MT120),0,$PO120,$PP120,$PO120+$PP120))</f>
        <v/>
      </c>
      <c r="PR120" s="152">
        <f>IF($MT120=0,0,CHOOSE(1+INDEX($AD$2:$AD$11,$MT120),0,$PO120,$PP120,$PO120+$PP120))</f>
        <v/>
      </c>
      <c r="PS120" s="152">
        <f>IF(OR($MN120=0,$MT120=0),"",INDEX($AI$2:$AN$41,($MT120-1)*4+IF($MC120=0,1,IF($MC120&lt;=5,2,IF($MC120=6,3,4))),1+MIN(5,$PQ120))&amp;INDEX($AO$2:$AT$41,($MT120-1)*4+IF($MC120=0,1,IF($MC120&lt;=5,2,IF($MC120=6,3,4))),1+MIN(5,$PR120))&amp;IF(INDEX($AE$2:$AE$11,$MT120)=1,IF(COUNTIF($MH120:$MK120,"Mais Um")&gt;0," · +"&amp;COUNTIF($MH120:$MK120,"Mais Um")&amp;IF(COUNTIF($MH120:$MK120,"Mais Um")&gt;1," alvos"," alvo"),"")&amp;IF(COUNTIF($MH120:$MK120,"Rajada")&gt;0,IF($MC120=0," · 1 tiro"," · "&amp;(MAX(1,$MC120-1)+1)&amp;" tiros"),""),""))</f>
        <v/>
      </c>
      <c r="PT120" s="152">
        <f>IF($MN120=0,"",IF($MC120=0,$MQ120&amp;"d6"&amp;IF($OD120&gt;0," − 1 = "&amp;$OM120&amp;"d6"," da básica do nível "&amp;$MO120),$OK120&amp;" − "&amp;$OF120&amp;" + "&amp;$OI120&amp;" = "&amp;$OL120&amp;" · teto "&amp;4*$MC120&amp;"d8"&amp;IF($NO120=1," · a Forma devolve "&amp;$MC120,"")&amp;IF($OJ120&gt;0," · perde "&amp;$OJ120,"")))</f>
        <v/>
      </c>
      <c r="PU120" s="152">
        <f>IF($MN120=0,"",IF($MC120=0,"A básica não amplia: os dados dela sobem com o nível",IF($MC120&gt;=$MP120,"Já está na maior Classe que o nível liberou",TEXTJOIN(" · ",TRUE,IF(AND(2&gt;$MC120,2&lt;=$MP120),"2 → "&amp;$OW120&amp;", 6 PE",""),IF(AND(3&gt;$MC120,3&lt;=$MP120),"3 → "&amp;$OX120&amp;", 9 PE",""),IF(AND(4&gt;$MC120,4&lt;=$MP120),"4 → "&amp;$OY120&amp;", 12 PE",""),IF(AND(5&gt;$MC120,5&lt;=$MP120),"5 → "&amp;$OZ120&amp;", 15 PE",""),IF(AND(6&gt;$MC120,6&lt;=$MP120),"6 → "&amp;$PA120&amp;", 18 PE",""),IF(AND(7&gt;$MC120,7&lt;=$MP120),"7 → "&amp;$PB120&amp;", 21 PE","")))))</f>
        <v/>
      </c>
      <c r="PV120" s="152">
        <f>IF(OR($MN120=0,$MY120=0),"",IF($MC120=0,"−1 dado","−"&amp;INDEX($I$2:$N$8,MAX(1,$MC120),MAX(1,$ND120))&amp;" · "&amp;CHOOSE(MAX(1,$ND120),"Leve","Média","Pesada","Leve · Livre","Média · Livre","Pesada · Livre")))</f>
        <v/>
      </c>
      <c r="PW120" s="152">
        <f>IF(OR($MN120=0,$MZ120=0),"",IF($MC120=0,"−1 dado","−"&amp;INDEX($I$2:$N$8,MAX(1,$MC120),MAX(1,$NE120))&amp;" · "&amp;CHOOSE(MAX(1,$NE120),"Leve","Média","Pesada","Leve · Livre","Média · Livre","Pesada · Livre")))</f>
        <v/>
      </c>
      <c r="PX120" s="152">
        <f>IF(OR($MN120=0,$NA120=0),"",IF($MC120=0,"−1 dado","−"&amp;INDEX($I$2:$N$8,MAX(1,$MC120),MAX(1,$NF120))&amp;" · "&amp;CHOOSE(MAX(1,$NF120),"Leve","Média","Pesada","Leve · Livre","Média · Livre","Pesada · Livre")))</f>
        <v/>
      </c>
      <c r="PY120" s="152">
        <f>IF(OR($MN120=0,$NB120=0),"",IF($MC120=0,"−1 dado","−"&amp;INDEX($I$2:$N$8,MAX(1,$MC120),MAX(1,$NG120))&amp;" · "&amp;CHOOSE(MAX(1,$NG120),"Leve","Média","Pesada","Leve · Livre","Média · Livre","Pesada · Livre")))</f>
        <v/>
      </c>
      <c r="PZ120" s="152">
        <f>IF(OR($MN120=0,$ML120=""),"",IF($MC120=0,"não devolve","+"&amp;IF($NR120=1,CEILING($MC120/2,1),$MC120)))</f>
        <v/>
      </c>
      <c r="QA120" s="152">
        <f>IF(OR($MN120=0,$MM120=""),"",IF($MC120=0,"não devolve","+"&amp;IF($NS120=1,CEILING($MC120/2,1),$MC120)))</f>
        <v/>
      </c>
    </row>
    <row r="121">
      <c r="LX121" s="150" t="inlineStr">
        <is>
          <t>Ficha 10 · Especial 2</t>
        </is>
      </c>
      <c r="LY121" s="152" t="n">
        <v>10</v>
      </c>
      <c r="LZ121" s="152" t="n">
        <v>1</v>
      </c>
      <c r="MA121" s="152" t="n">
        <v>4</v>
      </c>
      <c r="MB121" s="150" t="inlineStr">
        <is>
          <t>ESPECIAL 2</t>
        </is>
      </c>
      <c r="MC121" s="152">
        <f>MAX(1,MIN(7,N('INVOCAÇÕES'!$AN$652)))</f>
        <v/>
      </c>
      <c r="MD121" s="152">
        <f>'INVOCAÇÕES'!$AO$652&amp;""</f>
        <v/>
      </c>
      <c r="ME121" s="152">
        <f>'INVOCAÇÕES'!$AN$657&amp;""</f>
        <v/>
      </c>
      <c r="MF121" s="152">
        <f>'INVOCAÇÕES'!$AN$658&amp;""</f>
        <v/>
      </c>
      <c r="MG121" s="152">
        <f>'INVOCAÇÕES'!$AP$658&amp;""</f>
        <v/>
      </c>
      <c r="MH121" s="152">
        <f>'INVOCAÇÕES'!$AO$661&amp;""</f>
        <v/>
      </c>
      <c r="MI121" s="152">
        <f>'INVOCAÇÕES'!$AO$662&amp;""</f>
        <v/>
      </c>
      <c r="MJ121" s="152">
        <f>'INVOCAÇÕES'!$AO$663&amp;""</f>
        <v/>
      </c>
      <c r="MK121" s="152">
        <f>'INVOCAÇÕES'!$AO$664&amp;""</f>
        <v/>
      </c>
      <c r="ML121" s="152">
        <f>'INVOCAÇÕES'!$AO$665&amp;""</f>
        <v/>
      </c>
      <c r="MM121" s="152">
        <f>'INVOCAÇÕES'!$AO$666&amp;""</f>
        <v/>
      </c>
      <c r="MN121" s="152">
        <f>IF($MD121&lt;&gt;"",1,0)</f>
        <v/>
      </c>
      <c r="MO121" s="152">
        <f>INDEX($FG$2:$FG$13,$LY121)</f>
        <v/>
      </c>
      <c r="MP121" s="152">
        <f>INDEX($FH$2:$FH$13,$LY121)</f>
        <v/>
      </c>
      <c r="MQ121" s="152">
        <f>INDEX($FI$2:$FI$13,$LY121)</f>
        <v/>
      </c>
      <c r="MR121" s="152">
        <f>INDEX($FT$2:$FT$13,$LY121)</f>
        <v/>
      </c>
      <c r="MS121" s="152">
        <f>INDEX($FU$2:$FU$13,$LY121)</f>
        <v/>
      </c>
      <c r="MT121" s="152">
        <f>IFERROR(MATCH($ME121,$V$2:$V$11,0),0)</f>
        <v/>
      </c>
      <c r="MU121" s="152">
        <f>IFERROR(VLOOKUP($MH121,$AV$2:$AZ$84,2,FALSE),"")</f>
        <v/>
      </c>
      <c r="MV121" s="152">
        <f>IFERROR(VLOOKUP($MI121,$AV$2:$AZ$84,2,FALSE),"")</f>
        <v/>
      </c>
      <c r="MW121" s="152">
        <f>IFERROR(VLOOKUP($MJ121,$AV$2:$AZ$84,2,FALSE),"")</f>
        <v/>
      </c>
      <c r="MX121" s="152">
        <f>IFERROR(VLOOKUP($MK121,$AV$2:$AZ$84,2,FALSE),"")</f>
        <v/>
      </c>
      <c r="MY121" s="152">
        <f>IFERROR(VLOOKUP($MH121,$AV$2:$AZ$84,3,FALSE),0)</f>
        <v/>
      </c>
      <c r="MZ121" s="152">
        <f>IFERROR(VLOOKUP($MI121,$AV$2:$AZ$84,3,FALSE),0)</f>
        <v/>
      </c>
      <c r="NA121" s="152">
        <f>IFERROR(VLOOKUP($MJ121,$AV$2:$AZ$84,3,FALSE),0)</f>
        <v/>
      </c>
      <c r="NB121" s="152">
        <f>IFERROR(VLOOKUP($MK121,$AV$2:$AZ$84,3,FALSE),0)</f>
        <v/>
      </c>
      <c r="NC121" s="152">
        <f>IF($MC121=0,0,IF($MT121=0,0,INDEX($X$2:$X$11,$MT121)))</f>
        <v/>
      </c>
      <c r="ND121" s="152">
        <f>IF(OR($MY121=0,$MC121=0),0,$MY121+3*IF(AND($MU121&lt;&gt;"",OR($MU121=INDEX($ED$2:$ED$13,$LY121),$MU121=INDEX($EE$2:$EE$13,$LY121))),1,0))</f>
        <v/>
      </c>
      <c r="NE121" s="152">
        <f>IF(OR($MZ121=0,$MC121=0),0,$MZ121+3*IF(AND($MV121&lt;&gt;"",OR($MV121=INDEX($ED$2:$ED$13,$LY121),$MV121=INDEX($EE$2:$EE$13,$LY121))),1,0))</f>
        <v/>
      </c>
      <c r="NF121" s="152">
        <f>IF(OR($NA121=0,$MC121=0),0,$NA121+3*IF(AND($MW121&lt;&gt;"",OR($MW121=INDEX($ED$2:$ED$13,$LY121),$MW121=INDEX($EE$2:$EE$13,$LY121))),1,0))</f>
        <v/>
      </c>
      <c r="NG121" s="152">
        <f>IF(OR($NB121=0,$MC121=0),0,$NB121+3*IF(AND($MX121&lt;&gt;"",OR($MX121=INDEX($ED$2:$ED$13,$LY121),$MX121=INDEX($EE$2:$EE$13,$LY121))),1,0))</f>
        <v/>
      </c>
      <c r="NH121" s="152">
        <f>IF($MT121=0,0,IF(INDEX($W$2:$W$11,$MT121)="",0,IF(COUNTIF(INDEX($ED$2:$EH$13,$LY121,0),INDEX($W$2:$W$11,$MT121))=0,1,0)))</f>
        <v/>
      </c>
      <c r="NI121" s="152">
        <f>IF(OR($MY121=0,$MU121=""),0,IF(COUNTIF(INDEX($ED$2:$EH$13,$LY121,0),$MU121)=0,1,0))</f>
        <v/>
      </c>
      <c r="NJ121" s="152">
        <f>IF(OR($MZ121=0,$MV121=""),0,IF(COUNTIF(INDEX($ED$2:$EH$13,$LY121,0),$MV121)=0,1,0))</f>
        <v/>
      </c>
      <c r="NK121" s="152">
        <f>IF(OR($NA121=0,$MW121=""),0,IF(COUNTIF(INDEX($ED$2:$EH$13,$LY121,0),$MW121)=0,1,0))</f>
        <v/>
      </c>
      <c r="NL121" s="152">
        <f>IF(OR($NB121=0,$MX121=""),0,IF(COUNTIF(INDEX($ED$2:$EH$13,$LY121,0),$MX121)=0,1,0))</f>
        <v/>
      </c>
      <c r="NM121" s="152">
        <f>IFERROR(VLOOKUP($MH121,$AV$2:$AZ$84,4,FALSE),0)+IFERROR(VLOOKUP($MI121,$AV$2:$AZ$84,4,FALSE),0)+IFERROR(VLOOKUP($MJ121,$AV$2:$AZ$84,4,FALSE),0)+IFERROR(VLOOKUP($MK121,$AV$2:$AZ$84,4,FALSE),0)</f>
        <v/>
      </c>
      <c r="NN121" s="152">
        <f>TEXTJOIN(", ",TRUE,IF(IFERROR(VLOOKUP($MH121,$AV$2:$AZ$84,5,FALSE),0)=1,$MH121,""),IF(IFERROR(VLOOKUP($MI121,$AV$2:$AZ$84,5,FALSE),0)=1,$MI121,""),IF(IFERROR(VLOOKUP($MJ121,$AV$2:$AZ$84,5,FALSE),0)=1,$MJ121,""),IF(IFERROR(VLOOKUP($MK121,$AV$2:$AZ$84,5,FALSE),0)=1,$MK121,""))</f>
        <v/>
      </c>
      <c r="NO121" s="152">
        <f>IF($MT121=0,0,INDEX($Y$2:$Y$11,$MT121))</f>
        <v/>
      </c>
      <c r="NP121" s="152">
        <f>IF($MT121=0,0,INDEX($Z$2:$Z$11,$MT121))</f>
        <v/>
      </c>
      <c r="NQ121" s="152">
        <f>IF($MT121=0,0,INDEX($AB$2:$AB$11,$MT121))</f>
        <v/>
      </c>
      <c r="NR121" s="152">
        <f>IFERROR(VLOOKUP($ML121,$BB$2:$BF$24,3,FALSE),0)</f>
        <v/>
      </c>
      <c r="NS121" s="152">
        <f>IFERROR(VLOOKUP($MM121,$BB$2:$BF$24,3,FALSE),0)</f>
        <v/>
      </c>
      <c r="NT121" s="152">
        <f>IFERROR(VLOOKUP($ML121,$BB$2:$BF$24,2,FALSE),"")</f>
        <v/>
      </c>
      <c r="NU121" s="152">
        <f>IFERROR(VLOOKUP($MM121,$BB$2:$BF$24,2,FALSE),"")</f>
        <v/>
      </c>
      <c r="NV121" s="152">
        <f>COUNTIF($NC121:$NG121,1)</f>
        <v/>
      </c>
      <c r="NW121" s="152">
        <f>COUNTIF($NC121:$NG121,2)</f>
        <v/>
      </c>
      <c r="NX121" s="152">
        <f>COUNTIF($NC121:$NG121,3)</f>
        <v/>
      </c>
      <c r="NY121" s="152">
        <f>COUNTIF($NC121:$NG121,4)</f>
        <v/>
      </c>
      <c r="NZ121" s="152">
        <f>COUNTIF($NC121:$NG121,5)</f>
        <v/>
      </c>
      <c r="OA121" s="152">
        <f>COUNTIF($NC121:$NG121,6)</f>
        <v/>
      </c>
      <c r="OB121" s="152">
        <f>COUNTIF($NR121:$NS121,1)</f>
        <v/>
      </c>
      <c r="OC121" s="152">
        <f>COUNTIF($NR121:$NS121,2)+$NO121</f>
        <v/>
      </c>
      <c r="OD121" s="152">
        <f>COUNTIF($MH121:$MK121,"?*")</f>
        <v/>
      </c>
      <c r="OE121" s="152">
        <f>COUNTIF($ML121:$MM121,"?*")+$NO121</f>
        <v/>
      </c>
      <c r="OF121" s="152">
        <f>IF($MC121=0,0,SUMPRODUCT($NV121:$OA121,INDEX($I$2:$N$8,MAX(1,$MC121),0)))</f>
        <v/>
      </c>
      <c r="OG121" s="152">
        <f>IF($MC121=0,0,$OB121*CEILING($MC121/2,1)+$OC121*$MC121)</f>
        <v/>
      </c>
      <c r="OH121" s="152">
        <f>MIN(2*$MC121,$OG121)</f>
        <v/>
      </c>
      <c r="OI121" s="152">
        <f>MIN($OH121,$OF121)</f>
        <v/>
      </c>
      <c r="OJ121" s="152">
        <f>$OH121-$OI121</f>
        <v/>
      </c>
      <c r="OK121" s="152">
        <f>IF($MC121=0,0,INDEX($P$2:$P$8,MAX(1,$MC121)))</f>
        <v/>
      </c>
      <c r="OL121" s="152">
        <f>$OK121-$OF121+$OI121</f>
        <v/>
      </c>
      <c r="OM121" s="152">
        <f>IF($MC121=0,MAX(0,$MQ121-IF($OD121&gt;0,1,0)),MAX(0,$OL121))</f>
        <v/>
      </c>
      <c r="ON121" s="152">
        <f>IF($MC121=0,0,(IF(COUNTIF($MH121:$MK121,"Salto")&gt;0,1,0)+IF(COUNTIF($MH121:$MK121,"Queima")&gt;0,1,0)+IF(COUNTIF($MH121:$MK121,"Estilhaço")&gt;0,1,0))*FLOOR($OM121/2,1))</f>
        <v/>
      </c>
      <c r="OO121" s="152">
        <f>MAX(0,2-SUMPRODUCT($NV121:$OA121,$I$2:$N$2)+MIN(2,$OB121*1+$OC121*1,SUMPRODUCT($NV121:$OA121,$I$2:$N$2)))</f>
        <v/>
      </c>
      <c r="OP121" s="152">
        <f>MAX(0,4-SUMPRODUCT($NV121:$OA121,$I$3:$N$3)+MIN(4,$OB121*1+$OC121*2,SUMPRODUCT($NV121:$OA121,$I$3:$N$3)))</f>
        <v/>
      </c>
      <c r="OQ121" s="152">
        <f>MAX(0,6-SUMPRODUCT($NV121:$OA121,$I$4:$N$4)+MIN(6,$OB121*2+$OC121*3,SUMPRODUCT($NV121:$OA121,$I$4:$N$4)))</f>
        <v/>
      </c>
      <c r="OR121" s="152">
        <f>MAX(0,9-SUMPRODUCT($NV121:$OA121,$I$5:$N$5)+MIN(8,$OB121*2+$OC121*4,SUMPRODUCT($NV121:$OA121,$I$5:$N$5)))</f>
        <v/>
      </c>
      <c r="OS121" s="152">
        <f>MAX(0,11-SUMPRODUCT($NV121:$OA121,$I$6:$N$6)+MIN(10,$OB121*3+$OC121*5,SUMPRODUCT($NV121:$OA121,$I$6:$N$6)))</f>
        <v/>
      </c>
      <c r="OT121" s="152">
        <f>MAX(0,13-SUMPRODUCT($NV121:$OA121,$I$7:$N$7)+MIN(12,$OB121*3+$OC121*6,SUMPRODUCT($NV121:$OA121,$I$7:$N$7)))</f>
        <v/>
      </c>
      <c r="OU121" s="152">
        <f>MAX(0,16-SUMPRODUCT($NV121:$OA121,$I$8:$N$8)+MIN(14,$OB121*4+$OC121*7,SUMPRODUCT($NV121:$OA121,$I$8:$N$8)))</f>
        <v/>
      </c>
      <c r="OV121" s="152">
        <f>IF($NP121=2,3*$OO121&amp;" de vida temp.",IF($NP121=3,"sem dano",IF($OO121=0,IF($NP121=1,"sem cura","sem dano"),IF($NP121=1,"cura ","")&amp;$OO121&amp;"d8")))</f>
        <v/>
      </c>
      <c r="OW121" s="152">
        <f>IF($NP121=2,3*$OP121&amp;" de vida temp.",IF($NP121=3,"sem dano",IF($OP121=0,IF($NP121=1,"sem cura","sem dano"),IF($NP121=1,"cura ","")&amp;$OP121&amp;"d8")))</f>
        <v/>
      </c>
      <c r="OX121" s="152">
        <f>IF($NP121=2,3*$OQ121&amp;" de vida temp.",IF($NP121=3,"sem dano",IF($OQ121=0,IF($NP121=1,"sem cura","sem dano"),IF($NP121=1,"cura ","")&amp;$OQ121&amp;"d8")))</f>
        <v/>
      </c>
      <c r="OY121" s="152">
        <f>IF($NP121=2,3*$OR121&amp;" de vida temp.",IF($NP121=3,"sem dano",IF($OR121=0,IF($NP121=1,"sem cura","sem dano"),IF($NP121=1,"cura ","")&amp;$OR121&amp;"d8")))</f>
        <v/>
      </c>
      <c r="OZ121" s="152">
        <f>IF($NP121=2,3*$OS121&amp;" de vida temp.",IF($NP121=3,"sem dano",IF($OS121=0,IF($NP121=1,"sem cura","sem dano"),IF($NP121=1,"cura ","")&amp;$OS121&amp;"d8")))</f>
        <v/>
      </c>
      <c r="PA121" s="152">
        <f>IF($NP121=2,3*$OT121&amp;" de vida temp.",IF($NP121=3,"sem dano",IF($OT121=0,IF($NP121=1,"sem cura","sem dano"),IF($NP121=1,"cura ","")&amp;$OT121&amp;"d8")))</f>
        <v/>
      </c>
      <c r="PB121" s="152">
        <f>IF($NP121=2,3*$OU121&amp;" de vida temp.",IF($NP121=3,"sem dano",IF($OU121=0,IF($NP121=1,"sem cura","sem dano"),IF($NP121=1,"cura ","")&amp;$OU121&amp;"d8")))</f>
        <v/>
      </c>
      <c r="PC121" s="152">
        <f>IF($MN121=0,"",TEXTJOIN(" · ",TRUE,IF($MA121&gt;$MO121,"Este lugar abre no nível "&amp;$MA121,""),IF($MC121&gt;$MP121,"Classe "&amp;$MC121&amp;": o nível "&amp;$MO121&amp;" libera até a "&amp;$MP121,""),IF($NH121=1,"A Forma "&amp;$ME121&amp;" pede "&amp;INDEX($W$2:$W$11,$MT121)&amp;" aberta",""),IF(AND($MC121=0,$MT121&gt;0,IF($MT121=0,0,INDEX($AF$2:$AF$11,$MT121))=0),$ME121&amp;" não existe na Classe 0",""),IF($NI121=1,"Família Fechada: "&amp;$MH121,""),IF($NJ121=1,"Família Fechada: "&amp;$MI121,""),IF($NK121=1,"Família Fechada: "&amp;$MJ121,""),IF($NL121=1,"Família Fechada: "&amp;$MK121,""),IF(AND($MC121&gt;0,$OD121&gt;INDEX($O$2:$O$8,MAX(1,$MC121))),$OD121&amp;" Melhorias: a Classe "&amp;$MC121&amp;" aceita "&amp;INDEX($O$2:$O$8,MAX(1,$MC121)),""),IF(AND($MC121=0,$OD121&gt;1),"A básica aceita uma Melhoria",""),IF(AND($MC121=0,COUNTIF($MY121:$NB121,"&gt;1")&gt;0),"A básica só aceita Melhoria Leve",""),IF(AND($MC121&gt;0,$OE121&gt;2),$OE121&amp;" Restrições"&amp;IF($NO121=1,", contando a que a Forma "&amp;$ME121&amp;" já traz","")&amp;": o limite é 2",""),IF(AND($MC121=0,COUNTIF($ML121:$MM121,"?*")&gt;1),"A básica aceita uma Restrição Leve",""),IF(AND($MC121=0,COUNTIF($NR121:$NS121,2)&gt;0),"A básica só aceita Restrição Leve",""),IF(AND($MC121&gt;0,$OL121&lt;0),"Orçamento estourado: faltam "&amp;(-$OL121)&amp;IF($OL121&lt;-1," pontos"," ponto"),""),IF(IFERROR(VLOOKUP($ML121,$BB$2:$BF$24,4,FALSE),0)+IFERROR(VLOOKUP($MM121,$BB$2:$BF$24,4,FALSE),0)&gt;1,$NT121&amp;" e "&amp;$NU121&amp;" são as duas de frequência",""),IF(AND((COUNTIF($MH121:$MK121,"Rápido")+COUNTIF($NT121:$NU121,"Rápido"))&gt;0,(COUNTIF($MH121:$MK121,"Atrasar")+COUNTIF($NT121:$NU121,"Atrasar"))&gt;0),"Rápido não entra com Atrasar",""),IF(AND((COUNTIF($MH121:$MK121,"Reação")+COUNTIF($NT121:$NU121,"Reação"))&gt;0,(COUNTIF($MH121:$MK121,"Rápido")+COUNTIF($NT121:$NU121,"Rápido"))&gt;0),"Reação não entra com Rápido",""),IF(AND((COUNTIF($MH121:$MK121,"Reação")+COUNTIF($NT121:$NU121,"Reação"))&gt;0,(COUNTIF($MH121:$MK121,"Armado")+COUNTIF($NT121:$NU121,"Armado"))&gt;0),"Reação não entra com Armado",""),IF(AND((COUNTIF($MH121:$MK121,"Reação")+COUNTIF($NT121:$NU121,"Reação"))&gt;0,(COUNTIF($MH121:$MK121,"Atrasar")+COUNTIF($NT121:$NU121,"Atrasar"))&gt;0),"Reação não entra com Atrasar",""),IF(AND((COUNTIF($MH121:$MK121,"Reação")+COUNTIF($NT121:$NU121,"Reação"))&gt;0,(COUNTIF($MH121:$MK121,"Parado")+COUNTIF($NT121:$NU121,"Parado"))&gt;0),"Reação não entra com Parado",""),IF(AND((COUNTIF($MH121:$MK121,"Atrasar")+COUNTIF($NT121:$NU121,"Atrasar"))&gt;0,(COUNTIF($MH121:$MK121,"Parado")+COUNTIF($NT121:$NU121,"Parado"))&gt;0),"Atrasar não entra com Parado",""),IF(AND((COUNTIF($MH121:$MK121,"Armado")+COUNTIF($NT121:$NU121,"Armado"))&gt;0,(COUNTIF($MH121:$MK121,"Carregar")+COUNTIF($NT121:$NU121,"Carregar"))&gt;0),"Armado não entra com Carregar",""),IF(AND(COUNTIF($NT121:$NU121,"Corpo a Corpo")&gt;0,$NO121=0,OR($ME121="Cone",$ME121="Linha")),"Corpo a Corpo não entra em "&amp;$ME121,""),IF(AND(COUNTIF($NT121:$NU121,"Corpo a Corpo")&gt;0,$NO121=1),"A Forma "&amp;$ME121&amp;" já traz o Corpo a Corpo",""),IF(AND(COUNTIF($NT121:$NU121,"Tudo ou Nada")&gt;0,$NQ121=0),"Tudo ou Nada só entra em habilidade de Teste de Resistência",""),IF(AND(COUNTIF($MH121:$MK121,"Inescapável")&gt;0,OR($OD121&gt;1,$OE121&gt;0)),"Inescapável não aceita outra peça",""),IF(AND($MC121&gt;0,$OM121*IF(COUNTIF($MH121:$MK121,"Remate")&gt;0,1.25,1)+$ON121&gt;4*$MC121),($OM121*IF(COUNTIF($MH121:$MK121,"Remate")&gt;0,1.25,1)+$ON121)&amp;" dados somando repetições"&amp;IF(COUNTIF($MH121:$MK121,"Remate")&gt;0," e o Remate","")&amp;": o teto da Classe "&amp;$MC121&amp;" é "&amp;4*$MC121,"")))</f>
        <v/>
      </c>
      <c r="PD121" s="152">
        <f>IF($PC121="",0,(LEN($PC121)-LEN(SUBSTITUTE($PC121," · ","")))/3+1)</f>
        <v/>
      </c>
      <c r="PE121" s="152">
        <f>IF($MN121=0,"",TEXTJOIN(" · ",TRUE,IF($OG121&gt;2*$MC121,"A devolução parou no teto de "&amp;2*$MC121,""),IF($OJ121&gt;0,"Devolução perdida: "&amp;$OJ121&amp;IF($OJ121&gt;1," pontos"," ponto")&amp;" sem peça para pagar",""),IF(AND($NM121&gt;0,AND($MC121&gt;0,$NP121=0),$OM121=0),"Controle sem dano: uma rodada a mais e CD +2",""),IF(AND($NM121&gt;0,AND($MC121&gt;0,$NP121=0),$OM121&gt;0,$OM121&lt;=$MC121),"Controle com saldo até a Classe: uma rodada a mais",""),IF(AND($MC121&gt;0,$NN121&lt;&gt;""),"Efeito de "&amp;$NN121&amp;" pela Classe "&amp;MAX(1,$MC121-1),"")))</f>
        <v/>
      </c>
      <c r="PF121" s="152">
        <f>IF($PE121="",0,(LEN($PE121)-LEN(SUBSTITUTE($PE121," · ","")))/3+1)</f>
        <v/>
      </c>
      <c r="PG121" s="152">
        <f>IF($MN121=0,IF($OD121+COUNTIF($ML121:$MM121,"?*")&gt;0,"Dê um nome",""),IF($PD121&gt;0,"⚠ "&amp;$PD121&amp;IF($PD121&gt;1," erros"," erro"),IF($PF121&gt;0,"! "&amp;$PF121&amp;IF($PF121&gt;1," avisos"," aviso"),"Na regra")))</f>
        <v/>
      </c>
      <c r="PH121" s="152">
        <f>IF($MN121=0,"",IF($PD121+$PF121=0,"Dentro das regras que a ficha confere",$PC121&amp;IF(AND($PD121&gt;0,$PF121&gt;0)," · ","")&amp;$PE121))</f>
        <v/>
      </c>
      <c r="PI121" s="152">
        <f>IF($MA121&gt;$MO121,$MB121&amp;" · ABRE NO NÍVEL "&amp;$MA121,$MB121)</f>
        <v/>
      </c>
      <c r="PJ121" s="152">
        <f>IF($MN121=0,"",IF($MC121=0,"Sem PE",3*$MC121&amp;" PE"))</f>
        <v/>
      </c>
      <c r="PK121" s="152">
        <f>IF($MN121=0,"",IF($MC121=0,"A atuação básica dela",IF(COUNTIF($NT121:$NU121,"Atrasar")&gt;0,"Sua Ação Completa",IF(COUNTIF($MH121:$MK121,"Rápido")&gt;0,"Sua Bônus",IF(COUNTIF($MH121:$MK121,"Reação")&gt;0,"Sua Reação","Sua Padrão")))&amp;" + a básica dela"&amp;IF(COUNTIF($MH121:$MK121,"Reação")&gt;0," e a coletiva","")&amp;IF(COUNTIF($NT121:$NU121,"Carregar")&gt;0," · em dois turnos","")))</f>
        <v/>
      </c>
      <c r="PL121" s="152">
        <f>IF($MG121&lt;&gt;"",$MG121,IF($MT121=0,"",INDEX($AA$2:$AA$11,$MT121)))</f>
        <v/>
      </c>
      <c r="PM121" s="152">
        <f>IF(OR($MN121=0,$MT121=0),"",IF(COUNTIF($MH121:$MK121,"Inescapável")&gt;0,"Automático",IF($PL121="Ataque",IF($MR121="","Ataque","Ataque "&amp;IF(($MR121+2*IF(COUNTIF($MH121:$MK121,"Precisão")&gt;0,1,0))&gt;=0,"+","−")&amp;ABS(($MR121+2*IF(COUNTIF($MH121:$MK121,"Precisão")&gt;0,1,0)))),IF(LEFT($PL121,2)="TR",$PL121&amp;IF($MS121="",""," · CD "&amp;$MS121)&amp;IF(COUNTIF($MH121:$MK121,"Certeiro")&gt;0," · metade",""),"Sem rolagem"))))</f>
        <v/>
      </c>
      <c r="PN121" s="152">
        <f>IF(OR($MN121=0,$MT121=0),"",IF($MC121=0,IF(OR($NP121&gt;=1,$OM121=0),"Sem dano",$OM121&amp;"d6"&amp;IF($MF121="",""," "&amp;$MF121)),IF(OR($NP121&gt;=1,$OM121=0),UPPER(LEFT(INDEX($OV121:$PB121,1,MAX(1,$MC121)),1))&amp;MID(INDEX($OV121:$PB121,1,MAX(1,$MC121)),2,99),UPPER(LEFT(INDEX($OV121:$PB121,1,MAX(1,$MC121)),1))&amp;MID(INDEX($OV121:$PB121,1,MAX(1,$MC121)),2,99)&amp;IF($MF121="",""," "&amp;$MF121)&amp;IF($ON121&gt;0," · +"&amp;$ON121&amp;"d8",""))))</f>
        <v/>
      </c>
      <c r="PO121" s="152">
        <f>COUNTIF($MH121:$MK121,"Longe")+3*COUNTIF($MH121:$MK121,"Muito Longe")</f>
        <v/>
      </c>
      <c r="PP121" s="152">
        <f>COUNTIF($MH121:$MK121,"Maior")+3*COUNTIF($MH121:$MK121,"Muito Maior")</f>
        <v/>
      </c>
      <c r="PQ121" s="152">
        <f>IF($MT121=0,0,CHOOSE(1+INDEX($AC$2:$AC$11,$MT121),0,$PO121,$PP121,$PO121+$PP121))</f>
        <v/>
      </c>
      <c r="PR121" s="152">
        <f>IF($MT121=0,0,CHOOSE(1+INDEX($AD$2:$AD$11,$MT121),0,$PO121,$PP121,$PO121+$PP121))</f>
        <v/>
      </c>
      <c r="PS121" s="152">
        <f>IF(OR($MN121=0,$MT121=0),"",INDEX($AI$2:$AN$41,($MT121-1)*4+IF($MC121=0,1,IF($MC121&lt;=5,2,IF($MC121=6,3,4))),1+MIN(5,$PQ121))&amp;INDEX($AO$2:$AT$41,($MT121-1)*4+IF($MC121=0,1,IF($MC121&lt;=5,2,IF($MC121=6,3,4))),1+MIN(5,$PR121))&amp;IF(INDEX($AE$2:$AE$11,$MT121)=1,IF(COUNTIF($MH121:$MK121,"Mais Um")&gt;0," · +"&amp;COUNTIF($MH121:$MK121,"Mais Um")&amp;IF(COUNTIF($MH121:$MK121,"Mais Um")&gt;1," alvos"," alvo"),"")&amp;IF(COUNTIF($MH121:$MK121,"Rajada")&gt;0,IF($MC121=0," · 1 tiro"," · "&amp;(MAX(1,$MC121-1)+1)&amp;" tiros"),""),""))</f>
        <v/>
      </c>
      <c r="PT121" s="152">
        <f>IF($MN121=0,"",IF($MC121=0,$MQ121&amp;"d6"&amp;IF($OD121&gt;0," − 1 = "&amp;$OM121&amp;"d6"," da básica do nível "&amp;$MO121),$OK121&amp;" − "&amp;$OF121&amp;" + "&amp;$OI121&amp;" = "&amp;$OL121&amp;" · teto "&amp;4*$MC121&amp;"d8"&amp;IF($NO121=1," · a Forma devolve "&amp;$MC121,"")&amp;IF($OJ121&gt;0," · perde "&amp;$OJ121,"")))</f>
        <v/>
      </c>
      <c r="PU121" s="152">
        <f>IF($MN121=0,"",IF($MC121=0,"A básica não amplia: os dados dela sobem com o nível",IF($MC121&gt;=$MP121,"Já está na maior Classe que o nível liberou",TEXTJOIN(" · ",TRUE,IF(AND(2&gt;$MC121,2&lt;=$MP121),"2 → "&amp;$OW121&amp;", 6 PE",""),IF(AND(3&gt;$MC121,3&lt;=$MP121),"3 → "&amp;$OX121&amp;", 9 PE",""),IF(AND(4&gt;$MC121,4&lt;=$MP121),"4 → "&amp;$OY121&amp;", 12 PE",""),IF(AND(5&gt;$MC121,5&lt;=$MP121),"5 → "&amp;$OZ121&amp;", 15 PE",""),IF(AND(6&gt;$MC121,6&lt;=$MP121),"6 → "&amp;$PA121&amp;", 18 PE",""),IF(AND(7&gt;$MC121,7&lt;=$MP121),"7 → "&amp;$PB121&amp;", 21 PE","")))))</f>
        <v/>
      </c>
      <c r="PV121" s="152">
        <f>IF(OR($MN121=0,$MY121=0),"",IF($MC121=0,"−1 dado","−"&amp;INDEX($I$2:$N$8,MAX(1,$MC121),MAX(1,$ND121))&amp;" · "&amp;CHOOSE(MAX(1,$ND121),"Leve","Média","Pesada","Leve · Livre","Média · Livre","Pesada · Livre")))</f>
        <v/>
      </c>
      <c r="PW121" s="152">
        <f>IF(OR($MN121=0,$MZ121=0),"",IF($MC121=0,"−1 dado","−"&amp;INDEX($I$2:$N$8,MAX(1,$MC121),MAX(1,$NE121))&amp;" · "&amp;CHOOSE(MAX(1,$NE121),"Leve","Média","Pesada","Leve · Livre","Média · Livre","Pesada · Livre")))</f>
        <v/>
      </c>
      <c r="PX121" s="152">
        <f>IF(OR($MN121=0,$NA121=0),"",IF($MC121=0,"−1 dado","−"&amp;INDEX($I$2:$N$8,MAX(1,$MC121),MAX(1,$NF121))&amp;" · "&amp;CHOOSE(MAX(1,$NF121),"Leve","Média","Pesada","Leve · Livre","Média · Livre","Pesada · Livre")))</f>
        <v/>
      </c>
      <c r="PY121" s="152">
        <f>IF(OR($MN121=0,$NB121=0),"",IF($MC121=0,"−1 dado","−"&amp;INDEX($I$2:$N$8,MAX(1,$MC121),MAX(1,$NG121))&amp;" · "&amp;CHOOSE(MAX(1,$NG121),"Leve","Média","Pesada","Leve · Livre","Média · Livre","Pesada · Livre")))</f>
        <v/>
      </c>
      <c r="PZ121" s="152">
        <f>IF(OR($MN121=0,$ML121=""),"",IF($MC121=0,"não devolve","+"&amp;IF($NR121=1,CEILING($MC121/2,1),$MC121)))</f>
        <v/>
      </c>
      <c r="QA121" s="152">
        <f>IF(OR($MN121=0,$MM121=""),"",IF($MC121=0,"não devolve","+"&amp;IF($NS121=1,CEILING($MC121/2,1),$MC121)))</f>
        <v/>
      </c>
    </row>
    <row r="122">
      <c r="LX122" s="150" t="inlineStr">
        <is>
          <t>Ficha 10 · Básica 2</t>
        </is>
      </c>
      <c r="LY122" s="152" t="n">
        <v>10</v>
      </c>
      <c r="LZ122" s="152" t="n">
        <v>0</v>
      </c>
      <c r="MA122" s="152" t="n">
        <v>11</v>
      </c>
      <c r="MB122" s="150" t="inlineStr">
        <is>
          <t>BÁSICA 2</t>
        </is>
      </c>
      <c r="MC122" s="152" t="n">
        <v>0</v>
      </c>
      <c r="MD122" s="152">
        <f>'INVOCAÇÕES'!$AC$686&amp;""</f>
        <v/>
      </c>
      <c r="ME122" s="152">
        <f>'INVOCAÇÕES'!$AB$691&amp;""</f>
        <v/>
      </c>
      <c r="MF122" s="152">
        <f>'INVOCAÇÕES'!$AB$692&amp;""</f>
        <v/>
      </c>
      <c r="MG122" s="152">
        <f>'INVOCAÇÕES'!$AD$692&amp;""</f>
        <v/>
      </c>
      <c r="MH122" s="152">
        <f>'INVOCAÇÕES'!$AC$695&amp;""</f>
        <v/>
      </c>
      <c r="MI122" s="152">
        <f>'INVOCAÇÕES'!$AC$696&amp;""</f>
        <v/>
      </c>
      <c r="MJ122" s="152">
        <f>'INVOCAÇÕES'!$AC$697&amp;""</f>
        <v/>
      </c>
      <c r="MK122" s="152">
        <f>'INVOCAÇÕES'!$AC$698&amp;""</f>
        <v/>
      </c>
      <c r="ML122" s="152">
        <f>'INVOCAÇÕES'!$AC$699&amp;""</f>
        <v/>
      </c>
      <c r="MM122" s="152">
        <f>'INVOCAÇÕES'!$AC$700&amp;""</f>
        <v/>
      </c>
      <c r="MN122" s="152">
        <f>IF($MD122&lt;&gt;"",1,0)</f>
        <v/>
      </c>
      <c r="MO122" s="152">
        <f>INDEX($FG$2:$FG$13,$LY122)</f>
        <v/>
      </c>
      <c r="MP122" s="152">
        <f>INDEX($FH$2:$FH$13,$LY122)</f>
        <v/>
      </c>
      <c r="MQ122" s="152">
        <f>INDEX($FI$2:$FI$13,$LY122)</f>
        <v/>
      </c>
      <c r="MR122" s="152">
        <f>INDEX($FT$2:$FT$13,$LY122)</f>
        <v/>
      </c>
      <c r="MS122" s="152">
        <f>INDEX($FU$2:$FU$13,$LY122)</f>
        <v/>
      </c>
      <c r="MT122" s="152">
        <f>IFERROR(MATCH($ME122,$V$2:$V$11,0),0)</f>
        <v/>
      </c>
      <c r="MU122" s="152">
        <f>IFERROR(VLOOKUP($MH122,$AV$2:$AZ$84,2,FALSE),"")</f>
        <v/>
      </c>
      <c r="MV122" s="152">
        <f>IFERROR(VLOOKUP($MI122,$AV$2:$AZ$84,2,FALSE),"")</f>
        <v/>
      </c>
      <c r="MW122" s="152">
        <f>IFERROR(VLOOKUP($MJ122,$AV$2:$AZ$84,2,FALSE),"")</f>
        <v/>
      </c>
      <c r="MX122" s="152">
        <f>IFERROR(VLOOKUP($MK122,$AV$2:$AZ$84,2,FALSE),"")</f>
        <v/>
      </c>
      <c r="MY122" s="152">
        <f>IFERROR(VLOOKUP($MH122,$AV$2:$AZ$84,3,FALSE),0)</f>
        <v/>
      </c>
      <c r="MZ122" s="152">
        <f>IFERROR(VLOOKUP($MI122,$AV$2:$AZ$84,3,FALSE),0)</f>
        <v/>
      </c>
      <c r="NA122" s="152">
        <f>IFERROR(VLOOKUP($MJ122,$AV$2:$AZ$84,3,FALSE),0)</f>
        <v/>
      </c>
      <c r="NB122" s="152">
        <f>IFERROR(VLOOKUP($MK122,$AV$2:$AZ$84,3,FALSE),0)</f>
        <v/>
      </c>
      <c r="NC122" s="152">
        <f>IF($MC122=0,0,IF($MT122=0,0,INDEX($X$2:$X$11,$MT122)))</f>
        <v/>
      </c>
      <c r="ND122" s="152">
        <f>IF(OR($MY122=0,$MC122=0),0,$MY122+3*IF(AND($MU122&lt;&gt;"",OR($MU122=INDEX($ED$2:$ED$13,$LY122),$MU122=INDEX($EE$2:$EE$13,$LY122))),1,0))</f>
        <v/>
      </c>
      <c r="NE122" s="152">
        <f>IF(OR($MZ122=0,$MC122=0),0,$MZ122+3*IF(AND($MV122&lt;&gt;"",OR($MV122=INDEX($ED$2:$ED$13,$LY122),$MV122=INDEX($EE$2:$EE$13,$LY122))),1,0))</f>
        <v/>
      </c>
      <c r="NF122" s="152">
        <f>IF(OR($NA122=0,$MC122=0),0,$NA122+3*IF(AND($MW122&lt;&gt;"",OR($MW122=INDEX($ED$2:$ED$13,$LY122),$MW122=INDEX($EE$2:$EE$13,$LY122))),1,0))</f>
        <v/>
      </c>
      <c r="NG122" s="152">
        <f>IF(OR($NB122=0,$MC122=0),0,$NB122+3*IF(AND($MX122&lt;&gt;"",OR($MX122=INDEX($ED$2:$ED$13,$LY122),$MX122=INDEX($EE$2:$EE$13,$LY122))),1,0))</f>
        <v/>
      </c>
      <c r="NH122" s="152">
        <f>IF($MT122=0,0,IF(INDEX($W$2:$W$11,$MT122)="",0,IF(COUNTIF(INDEX($ED$2:$EH$13,$LY122,0),INDEX($W$2:$W$11,$MT122))=0,1,0)))</f>
        <v/>
      </c>
      <c r="NI122" s="152">
        <f>IF(OR($MY122=0,$MU122=""),0,IF(COUNTIF(INDEX($ED$2:$EH$13,$LY122,0),$MU122)=0,1,0))</f>
        <v/>
      </c>
      <c r="NJ122" s="152">
        <f>IF(OR($MZ122=0,$MV122=""),0,IF(COUNTIF(INDEX($ED$2:$EH$13,$LY122,0),$MV122)=0,1,0))</f>
        <v/>
      </c>
      <c r="NK122" s="152">
        <f>IF(OR($NA122=0,$MW122=""),0,IF(COUNTIF(INDEX($ED$2:$EH$13,$LY122,0),$MW122)=0,1,0))</f>
        <v/>
      </c>
      <c r="NL122" s="152">
        <f>IF(OR($NB122=0,$MX122=""),0,IF(COUNTIF(INDEX($ED$2:$EH$13,$LY122,0),$MX122)=0,1,0))</f>
        <v/>
      </c>
      <c r="NM122" s="152">
        <f>IFERROR(VLOOKUP($MH122,$AV$2:$AZ$84,4,FALSE),0)+IFERROR(VLOOKUP($MI122,$AV$2:$AZ$84,4,FALSE),0)+IFERROR(VLOOKUP($MJ122,$AV$2:$AZ$84,4,FALSE),0)+IFERROR(VLOOKUP($MK122,$AV$2:$AZ$84,4,FALSE),0)</f>
        <v/>
      </c>
      <c r="NN122" s="152">
        <f>TEXTJOIN(", ",TRUE,IF(IFERROR(VLOOKUP($MH122,$AV$2:$AZ$84,5,FALSE),0)=1,$MH122,""),IF(IFERROR(VLOOKUP($MI122,$AV$2:$AZ$84,5,FALSE),0)=1,$MI122,""),IF(IFERROR(VLOOKUP($MJ122,$AV$2:$AZ$84,5,FALSE),0)=1,$MJ122,""),IF(IFERROR(VLOOKUP($MK122,$AV$2:$AZ$84,5,FALSE),0)=1,$MK122,""))</f>
        <v/>
      </c>
      <c r="NO122" s="152">
        <f>IF($MT122=0,0,INDEX($Y$2:$Y$11,$MT122))</f>
        <v/>
      </c>
      <c r="NP122" s="152">
        <f>IF($MT122=0,0,INDEX($Z$2:$Z$11,$MT122))</f>
        <v/>
      </c>
      <c r="NQ122" s="152">
        <f>IF($MT122=0,0,INDEX($AB$2:$AB$11,$MT122))</f>
        <v/>
      </c>
      <c r="NR122" s="152">
        <f>IFERROR(VLOOKUP($ML122,$BB$2:$BF$24,3,FALSE),0)</f>
        <v/>
      </c>
      <c r="NS122" s="152">
        <f>IFERROR(VLOOKUP($MM122,$BB$2:$BF$24,3,FALSE),0)</f>
        <v/>
      </c>
      <c r="NT122" s="152">
        <f>IFERROR(VLOOKUP($ML122,$BB$2:$BF$24,2,FALSE),"")</f>
        <v/>
      </c>
      <c r="NU122" s="152">
        <f>IFERROR(VLOOKUP($MM122,$BB$2:$BF$24,2,FALSE),"")</f>
        <v/>
      </c>
      <c r="NV122" s="152">
        <f>COUNTIF($NC122:$NG122,1)</f>
        <v/>
      </c>
      <c r="NW122" s="152">
        <f>COUNTIF($NC122:$NG122,2)</f>
        <v/>
      </c>
      <c r="NX122" s="152">
        <f>COUNTIF($NC122:$NG122,3)</f>
        <v/>
      </c>
      <c r="NY122" s="152">
        <f>COUNTIF($NC122:$NG122,4)</f>
        <v/>
      </c>
      <c r="NZ122" s="152">
        <f>COUNTIF($NC122:$NG122,5)</f>
        <v/>
      </c>
      <c r="OA122" s="152">
        <f>COUNTIF($NC122:$NG122,6)</f>
        <v/>
      </c>
      <c r="OB122" s="152">
        <f>COUNTIF($NR122:$NS122,1)</f>
        <v/>
      </c>
      <c r="OC122" s="152">
        <f>COUNTIF($NR122:$NS122,2)+$NO122</f>
        <v/>
      </c>
      <c r="OD122" s="152">
        <f>COUNTIF($MH122:$MK122,"?*")</f>
        <v/>
      </c>
      <c r="OE122" s="152">
        <f>COUNTIF($ML122:$MM122,"?*")+$NO122</f>
        <v/>
      </c>
      <c r="OF122" s="152">
        <f>IF($MC122=0,0,SUMPRODUCT($NV122:$OA122,INDEX($I$2:$N$8,MAX(1,$MC122),0)))</f>
        <v/>
      </c>
      <c r="OG122" s="152">
        <f>IF($MC122=0,0,$OB122*CEILING($MC122/2,1)+$OC122*$MC122)</f>
        <v/>
      </c>
      <c r="OH122" s="152">
        <f>MIN(2*$MC122,$OG122)</f>
        <v/>
      </c>
      <c r="OI122" s="152">
        <f>MIN($OH122,$OF122)</f>
        <v/>
      </c>
      <c r="OJ122" s="152">
        <f>$OH122-$OI122</f>
        <v/>
      </c>
      <c r="OK122" s="152">
        <f>IF($MC122=0,0,INDEX($P$2:$P$8,MAX(1,$MC122)))</f>
        <v/>
      </c>
      <c r="OL122" s="152">
        <f>$OK122-$OF122+$OI122</f>
        <v/>
      </c>
      <c r="OM122" s="152">
        <f>IF($MC122=0,MAX(0,$MQ122-IF($OD122&gt;0,1,0)),MAX(0,$OL122))</f>
        <v/>
      </c>
      <c r="ON122" s="152">
        <f>IF($MC122=0,0,(IF(COUNTIF($MH122:$MK122,"Salto")&gt;0,1,0)+IF(COUNTIF($MH122:$MK122,"Queima")&gt;0,1,0)+IF(COUNTIF($MH122:$MK122,"Estilhaço")&gt;0,1,0))*FLOOR($OM122/2,1))</f>
        <v/>
      </c>
      <c r="OO122" s="152">
        <f>MAX(0,2-SUMPRODUCT($NV122:$OA122,$I$2:$N$2)+MIN(2,$OB122*1+$OC122*1,SUMPRODUCT($NV122:$OA122,$I$2:$N$2)))</f>
        <v/>
      </c>
      <c r="OP122" s="152">
        <f>MAX(0,4-SUMPRODUCT($NV122:$OA122,$I$3:$N$3)+MIN(4,$OB122*1+$OC122*2,SUMPRODUCT($NV122:$OA122,$I$3:$N$3)))</f>
        <v/>
      </c>
      <c r="OQ122" s="152">
        <f>MAX(0,6-SUMPRODUCT($NV122:$OA122,$I$4:$N$4)+MIN(6,$OB122*2+$OC122*3,SUMPRODUCT($NV122:$OA122,$I$4:$N$4)))</f>
        <v/>
      </c>
      <c r="OR122" s="152">
        <f>MAX(0,9-SUMPRODUCT($NV122:$OA122,$I$5:$N$5)+MIN(8,$OB122*2+$OC122*4,SUMPRODUCT($NV122:$OA122,$I$5:$N$5)))</f>
        <v/>
      </c>
      <c r="OS122" s="152">
        <f>MAX(0,11-SUMPRODUCT($NV122:$OA122,$I$6:$N$6)+MIN(10,$OB122*3+$OC122*5,SUMPRODUCT($NV122:$OA122,$I$6:$N$6)))</f>
        <v/>
      </c>
      <c r="OT122" s="152">
        <f>MAX(0,13-SUMPRODUCT($NV122:$OA122,$I$7:$N$7)+MIN(12,$OB122*3+$OC122*6,SUMPRODUCT($NV122:$OA122,$I$7:$N$7)))</f>
        <v/>
      </c>
      <c r="OU122" s="152">
        <f>MAX(0,16-SUMPRODUCT($NV122:$OA122,$I$8:$N$8)+MIN(14,$OB122*4+$OC122*7,SUMPRODUCT($NV122:$OA122,$I$8:$N$8)))</f>
        <v/>
      </c>
      <c r="OV122" s="152">
        <f>IF($NP122=2,3*$OO122&amp;" de vida temp.",IF($NP122=3,"sem dano",IF($OO122=0,IF($NP122=1,"sem cura","sem dano"),IF($NP122=1,"cura ","")&amp;$OO122&amp;"d8")))</f>
        <v/>
      </c>
      <c r="OW122" s="152">
        <f>IF($NP122=2,3*$OP122&amp;" de vida temp.",IF($NP122=3,"sem dano",IF($OP122=0,IF($NP122=1,"sem cura","sem dano"),IF($NP122=1,"cura ","")&amp;$OP122&amp;"d8")))</f>
        <v/>
      </c>
      <c r="OX122" s="152">
        <f>IF($NP122=2,3*$OQ122&amp;" de vida temp.",IF($NP122=3,"sem dano",IF($OQ122=0,IF($NP122=1,"sem cura","sem dano"),IF($NP122=1,"cura ","")&amp;$OQ122&amp;"d8")))</f>
        <v/>
      </c>
      <c r="OY122" s="152">
        <f>IF($NP122=2,3*$OR122&amp;" de vida temp.",IF($NP122=3,"sem dano",IF($OR122=0,IF($NP122=1,"sem cura","sem dano"),IF($NP122=1,"cura ","")&amp;$OR122&amp;"d8")))</f>
        <v/>
      </c>
      <c r="OZ122" s="152">
        <f>IF($NP122=2,3*$OS122&amp;" de vida temp.",IF($NP122=3,"sem dano",IF($OS122=0,IF($NP122=1,"sem cura","sem dano"),IF($NP122=1,"cura ","")&amp;$OS122&amp;"d8")))</f>
        <v/>
      </c>
      <c r="PA122" s="152">
        <f>IF($NP122=2,3*$OT122&amp;" de vida temp.",IF($NP122=3,"sem dano",IF($OT122=0,IF($NP122=1,"sem cura","sem dano"),IF($NP122=1,"cura ","")&amp;$OT122&amp;"d8")))</f>
        <v/>
      </c>
      <c r="PB122" s="152">
        <f>IF($NP122=2,3*$OU122&amp;" de vida temp.",IF($NP122=3,"sem dano",IF($OU122=0,IF($NP122=1,"sem cura","sem dano"),IF($NP122=1,"cura ","")&amp;$OU122&amp;"d8")))</f>
        <v/>
      </c>
      <c r="PC122" s="152">
        <f>IF($MN122=0,"",TEXTJOIN(" · ",TRUE,IF($MA122&gt;$MO122,"Este lugar abre no nível "&amp;$MA122,""),IF($MC122&gt;$MP122,"Classe "&amp;$MC122&amp;": o nível "&amp;$MO122&amp;" libera até a "&amp;$MP122,""),IF($NH122=1,"A Forma "&amp;$ME122&amp;" pede "&amp;INDEX($W$2:$W$11,$MT122)&amp;" aberta",""),IF(AND($MC122=0,$MT122&gt;0,IF($MT122=0,0,INDEX($AF$2:$AF$11,$MT122))=0),$ME122&amp;" não existe na Classe 0",""),IF($NI122=1,"Família Fechada: "&amp;$MH122,""),IF($NJ122=1,"Família Fechada: "&amp;$MI122,""),IF($NK122=1,"Família Fechada: "&amp;$MJ122,""),IF($NL122=1,"Família Fechada: "&amp;$MK122,""),IF(AND($MC122&gt;0,$OD122&gt;INDEX($O$2:$O$8,MAX(1,$MC122))),$OD122&amp;" Melhorias: a Classe "&amp;$MC122&amp;" aceita "&amp;INDEX($O$2:$O$8,MAX(1,$MC122)),""),IF(AND($MC122=0,$OD122&gt;1),"A básica aceita uma Melhoria",""),IF(AND($MC122=0,COUNTIF($MY122:$NB122,"&gt;1")&gt;0),"A básica só aceita Melhoria Leve",""),IF(AND($MC122&gt;0,$OE122&gt;2),$OE122&amp;" Restrições"&amp;IF($NO122=1,", contando a que a Forma "&amp;$ME122&amp;" já traz","")&amp;": o limite é 2",""),IF(AND($MC122=0,COUNTIF($ML122:$MM122,"?*")&gt;1),"A básica aceita uma Restrição Leve",""),IF(AND($MC122=0,COUNTIF($NR122:$NS122,2)&gt;0),"A básica só aceita Restrição Leve",""),IF(AND($MC122&gt;0,$OL122&lt;0),"Orçamento estourado: faltam "&amp;(-$OL122)&amp;IF($OL122&lt;-1," pontos"," ponto"),""),IF(IFERROR(VLOOKUP($ML122,$BB$2:$BF$24,4,FALSE),0)+IFERROR(VLOOKUP($MM122,$BB$2:$BF$24,4,FALSE),0)&gt;1,$NT122&amp;" e "&amp;$NU122&amp;" são as duas de frequência",""),IF(AND((COUNTIF($MH122:$MK122,"Rápido")+COUNTIF($NT122:$NU122,"Rápido"))&gt;0,(COUNTIF($MH122:$MK122,"Atrasar")+COUNTIF($NT122:$NU122,"Atrasar"))&gt;0),"Rápido não entra com Atrasar",""),IF(AND((COUNTIF($MH122:$MK122,"Reação")+COUNTIF($NT122:$NU122,"Reação"))&gt;0,(COUNTIF($MH122:$MK122,"Rápido")+COUNTIF($NT122:$NU122,"Rápido"))&gt;0),"Reação não entra com Rápido",""),IF(AND((COUNTIF($MH122:$MK122,"Reação")+COUNTIF($NT122:$NU122,"Reação"))&gt;0,(COUNTIF($MH122:$MK122,"Armado")+COUNTIF($NT122:$NU122,"Armado"))&gt;0),"Reação não entra com Armado",""),IF(AND((COUNTIF($MH122:$MK122,"Reação")+COUNTIF($NT122:$NU122,"Reação"))&gt;0,(COUNTIF($MH122:$MK122,"Atrasar")+COUNTIF($NT122:$NU122,"Atrasar"))&gt;0),"Reação não entra com Atrasar",""),IF(AND((COUNTIF($MH122:$MK122,"Reação")+COUNTIF($NT122:$NU122,"Reação"))&gt;0,(COUNTIF($MH122:$MK122,"Parado")+COUNTIF($NT122:$NU122,"Parado"))&gt;0),"Reação não entra com Parado",""),IF(AND((COUNTIF($MH122:$MK122,"Atrasar")+COUNTIF($NT122:$NU122,"Atrasar"))&gt;0,(COUNTIF($MH122:$MK122,"Parado")+COUNTIF($NT122:$NU122,"Parado"))&gt;0),"Atrasar não entra com Parado",""),IF(AND((COUNTIF($MH122:$MK122,"Armado")+COUNTIF($NT122:$NU122,"Armado"))&gt;0,(COUNTIF($MH122:$MK122,"Carregar")+COUNTIF($NT122:$NU122,"Carregar"))&gt;0),"Armado não entra com Carregar",""),IF(AND(COUNTIF($NT122:$NU122,"Corpo a Corpo")&gt;0,$NO122=0,OR($ME122="Cone",$ME122="Linha")),"Corpo a Corpo não entra em "&amp;$ME122,""),IF(AND(COUNTIF($NT122:$NU122,"Corpo a Corpo")&gt;0,$NO122=1),"A Forma "&amp;$ME122&amp;" já traz o Corpo a Corpo",""),IF(AND(COUNTIF($NT122:$NU122,"Tudo ou Nada")&gt;0,$NQ122=0),"Tudo ou Nada só entra em habilidade de Teste de Resistência",""),IF(AND(COUNTIF($MH122:$MK122,"Inescapável")&gt;0,OR($OD122&gt;1,$OE122&gt;0)),"Inescapável não aceita outra peça",""),IF(AND($MC122&gt;0,$OM122*IF(COUNTIF($MH122:$MK122,"Remate")&gt;0,1.25,1)+$ON122&gt;4*$MC122),($OM122*IF(COUNTIF($MH122:$MK122,"Remate")&gt;0,1.25,1)+$ON122)&amp;" dados somando repetições"&amp;IF(COUNTIF($MH122:$MK122,"Remate")&gt;0," e o Remate","")&amp;": o teto da Classe "&amp;$MC122&amp;" é "&amp;4*$MC122,"")))</f>
        <v/>
      </c>
      <c r="PD122" s="152">
        <f>IF($PC122="",0,(LEN($PC122)-LEN(SUBSTITUTE($PC122," · ","")))/3+1)</f>
        <v/>
      </c>
      <c r="PE122" s="152">
        <f>IF($MN122=0,"",TEXTJOIN(" · ",TRUE,IF($OG122&gt;2*$MC122,"A devolução parou no teto de "&amp;2*$MC122,""),IF($OJ122&gt;0,"Devolução perdida: "&amp;$OJ122&amp;IF($OJ122&gt;1," pontos"," ponto")&amp;" sem peça para pagar",""),IF(AND($NM122&gt;0,AND($MC122&gt;0,$NP122=0),$OM122=0),"Controle sem dano: uma rodada a mais e CD +2",""),IF(AND($NM122&gt;0,AND($MC122&gt;0,$NP122=0),$OM122&gt;0,$OM122&lt;=$MC122),"Controle com saldo até a Classe: uma rodada a mais",""),IF(AND($MC122&gt;0,$NN122&lt;&gt;""),"Efeito de "&amp;$NN122&amp;" pela Classe "&amp;MAX(1,$MC122-1),"")))</f>
        <v/>
      </c>
      <c r="PF122" s="152">
        <f>IF($PE122="",0,(LEN($PE122)-LEN(SUBSTITUTE($PE122," · ","")))/3+1)</f>
        <v/>
      </c>
      <c r="PG122" s="152">
        <f>IF($MN122=0,IF($OD122+COUNTIF($ML122:$MM122,"?*")&gt;0,"Dê um nome",""),IF($PD122&gt;0,"⚠ "&amp;$PD122&amp;IF($PD122&gt;1," erros"," erro"),IF($PF122&gt;0,"! "&amp;$PF122&amp;IF($PF122&gt;1," avisos"," aviso"),"Na regra")))</f>
        <v/>
      </c>
      <c r="PH122" s="152">
        <f>IF($MN122=0,"",IF($PD122+$PF122=0,"Dentro das regras que a ficha confere",$PC122&amp;IF(AND($PD122&gt;0,$PF122&gt;0)," · ","")&amp;$PE122))</f>
        <v/>
      </c>
      <c r="PI122" s="152">
        <f>IF($MA122&gt;$MO122,$MB122&amp;" · ABRE NO NÍVEL "&amp;$MA122,$MB122)</f>
        <v/>
      </c>
      <c r="PJ122" s="152">
        <f>IF($MN122=0,"",IF($MC122=0,"Sem PE",3*$MC122&amp;" PE"))</f>
        <v/>
      </c>
      <c r="PK122" s="152">
        <f>IF($MN122=0,"",IF($MC122=0,"A atuação básica dela",IF(COUNTIF($NT122:$NU122,"Atrasar")&gt;0,"Sua Ação Completa",IF(COUNTIF($MH122:$MK122,"Rápido")&gt;0,"Sua Bônus",IF(COUNTIF($MH122:$MK122,"Reação")&gt;0,"Sua Reação","Sua Padrão")))&amp;" + a básica dela"&amp;IF(COUNTIF($MH122:$MK122,"Reação")&gt;0," e a coletiva","")&amp;IF(COUNTIF($NT122:$NU122,"Carregar")&gt;0," · em dois turnos","")))</f>
        <v/>
      </c>
      <c r="PL122" s="152">
        <f>IF($MG122&lt;&gt;"",$MG122,IF($MT122=0,"",INDEX($AA$2:$AA$11,$MT122)))</f>
        <v/>
      </c>
      <c r="PM122" s="152">
        <f>IF(OR($MN122=0,$MT122=0),"",IF(COUNTIF($MH122:$MK122,"Inescapável")&gt;0,"Automático",IF($PL122="Ataque",IF($MR122="","Ataque","Ataque "&amp;IF(($MR122+2*IF(COUNTIF($MH122:$MK122,"Precisão")&gt;0,1,0))&gt;=0,"+","−")&amp;ABS(($MR122+2*IF(COUNTIF($MH122:$MK122,"Precisão")&gt;0,1,0)))),IF(LEFT($PL122,2)="TR",$PL122&amp;IF($MS122="",""," · CD "&amp;$MS122)&amp;IF(COUNTIF($MH122:$MK122,"Certeiro")&gt;0," · metade",""),"Sem rolagem"))))</f>
        <v/>
      </c>
      <c r="PN122" s="152">
        <f>IF(OR($MN122=0,$MT122=0),"",IF($MC122=0,IF(OR($NP122&gt;=1,$OM122=0),"Sem dano",$OM122&amp;"d6"&amp;IF($MF122="",""," "&amp;$MF122)),IF(OR($NP122&gt;=1,$OM122=0),UPPER(LEFT(INDEX($OV122:$PB122,1,MAX(1,$MC122)),1))&amp;MID(INDEX($OV122:$PB122,1,MAX(1,$MC122)),2,99),UPPER(LEFT(INDEX($OV122:$PB122,1,MAX(1,$MC122)),1))&amp;MID(INDEX($OV122:$PB122,1,MAX(1,$MC122)),2,99)&amp;IF($MF122="",""," "&amp;$MF122)&amp;IF($ON122&gt;0," · +"&amp;$ON122&amp;"d8",""))))</f>
        <v/>
      </c>
      <c r="PO122" s="152">
        <f>COUNTIF($MH122:$MK122,"Longe")+3*COUNTIF($MH122:$MK122,"Muito Longe")</f>
        <v/>
      </c>
      <c r="PP122" s="152">
        <f>COUNTIF($MH122:$MK122,"Maior")+3*COUNTIF($MH122:$MK122,"Muito Maior")</f>
        <v/>
      </c>
      <c r="PQ122" s="152">
        <f>IF($MT122=0,0,CHOOSE(1+INDEX($AC$2:$AC$11,$MT122),0,$PO122,$PP122,$PO122+$PP122))</f>
        <v/>
      </c>
      <c r="PR122" s="152">
        <f>IF($MT122=0,0,CHOOSE(1+INDEX($AD$2:$AD$11,$MT122),0,$PO122,$PP122,$PO122+$PP122))</f>
        <v/>
      </c>
      <c r="PS122" s="152">
        <f>IF(OR($MN122=0,$MT122=0),"",INDEX($AI$2:$AN$41,($MT122-1)*4+IF($MC122=0,1,IF($MC122&lt;=5,2,IF($MC122=6,3,4))),1+MIN(5,$PQ122))&amp;INDEX($AO$2:$AT$41,($MT122-1)*4+IF($MC122=0,1,IF($MC122&lt;=5,2,IF($MC122=6,3,4))),1+MIN(5,$PR122))&amp;IF(INDEX($AE$2:$AE$11,$MT122)=1,IF(COUNTIF($MH122:$MK122,"Mais Um")&gt;0," · +"&amp;COUNTIF($MH122:$MK122,"Mais Um")&amp;IF(COUNTIF($MH122:$MK122,"Mais Um")&gt;1," alvos"," alvo"),"")&amp;IF(COUNTIF($MH122:$MK122,"Rajada")&gt;0,IF($MC122=0," · 1 tiro"," · "&amp;(MAX(1,$MC122-1)+1)&amp;" tiros"),""),""))</f>
        <v/>
      </c>
      <c r="PT122" s="152">
        <f>IF($MN122=0,"",IF($MC122=0,$MQ122&amp;"d6"&amp;IF($OD122&gt;0," − 1 = "&amp;$OM122&amp;"d6"," da básica do nível "&amp;$MO122),$OK122&amp;" − "&amp;$OF122&amp;" + "&amp;$OI122&amp;" = "&amp;$OL122&amp;" · teto "&amp;4*$MC122&amp;"d8"&amp;IF($NO122=1," · a Forma devolve "&amp;$MC122,"")&amp;IF($OJ122&gt;0," · perde "&amp;$OJ122,"")))</f>
        <v/>
      </c>
      <c r="PU122" s="152">
        <f>IF($MN122=0,"",IF($MC122=0,"A básica não amplia: os dados dela sobem com o nível",IF($MC122&gt;=$MP122,"Já está na maior Classe que o nível liberou",TEXTJOIN(" · ",TRUE,IF(AND(2&gt;$MC122,2&lt;=$MP122),"2 → "&amp;$OW122&amp;", 6 PE",""),IF(AND(3&gt;$MC122,3&lt;=$MP122),"3 → "&amp;$OX122&amp;", 9 PE",""),IF(AND(4&gt;$MC122,4&lt;=$MP122),"4 → "&amp;$OY122&amp;", 12 PE",""),IF(AND(5&gt;$MC122,5&lt;=$MP122),"5 → "&amp;$OZ122&amp;", 15 PE",""),IF(AND(6&gt;$MC122,6&lt;=$MP122),"6 → "&amp;$PA122&amp;", 18 PE",""),IF(AND(7&gt;$MC122,7&lt;=$MP122),"7 → "&amp;$PB122&amp;", 21 PE","")))))</f>
        <v/>
      </c>
      <c r="PV122" s="152">
        <f>IF(OR($MN122=0,$MY122=0),"",IF($MC122=0,"−1 dado","−"&amp;INDEX($I$2:$N$8,MAX(1,$MC122),MAX(1,$ND122))&amp;" · "&amp;CHOOSE(MAX(1,$ND122),"Leve","Média","Pesada","Leve · Livre","Média · Livre","Pesada · Livre")))</f>
        <v/>
      </c>
      <c r="PW122" s="152">
        <f>IF(OR($MN122=0,$MZ122=0),"",IF($MC122=0,"−1 dado","−"&amp;INDEX($I$2:$N$8,MAX(1,$MC122),MAX(1,$NE122))&amp;" · "&amp;CHOOSE(MAX(1,$NE122),"Leve","Média","Pesada","Leve · Livre","Média · Livre","Pesada · Livre")))</f>
        <v/>
      </c>
      <c r="PX122" s="152">
        <f>IF(OR($MN122=0,$NA122=0),"",IF($MC122=0,"−1 dado","−"&amp;INDEX($I$2:$N$8,MAX(1,$MC122),MAX(1,$NF122))&amp;" · "&amp;CHOOSE(MAX(1,$NF122),"Leve","Média","Pesada","Leve · Livre","Média · Livre","Pesada · Livre")))</f>
        <v/>
      </c>
      <c r="PY122" s="152">
        <f>IF(OR($MN122=0,$NB122=0),"",IF($MC122=0,"−1 dado","−"&amp;INDEX($I$2:$N$8,MAX(1,$MC122),MAX(1,$NG122))&amp;" · "&amp;CHOOSE(MAX(1,$NG122),"Leve","Média","Pesada","Leve · Livre","Média · Livre","Pesada · Livre")))</f>
        <v/>
      </c>
      <c r="PZ122" s="152">
        <f>IF(OR($MN122=0,$ML122=""),"",IF($MC122=0,"não devolve","+"&amp;IF($NR122=1,CEILING($MC122/2,1),$MC122)))</f>
        <v/>
      </c>
      <c r="QA122" s="152">
        <f>IF(OR($MN122=0,$MM122=""),"",IF($MC122=0,"não devolve","+"&amp;IF($NS122=1,CEILING($MC122/2,1),$MC122)))</f>
        <v/>
      </c>
    </row>
    <row r="123">
      <c r="LX123" s="150" t="inlineStr">
        <is>
          <t>Ficha 10 · Especial 3</t>
        </is>
      </c>
      <c r="LY123" s="152" t="n">
        <v>10</v>
      </c>
      <c r="LZ123" s="152" t="n">
        <v>1</v>
      </c>
      <c r="MA123" s="152" t="n">
        <v>8</v>
      </c>
      <c r="MB123" s="150" t="inlineStr">
        <is>
          <t>ESPECIAL 3</t>
        </is>
      </c>
      <c r="MC123" s="152">
        <f>MAX(1,MIN(7,N('INVOCAÇÕES'!$AH$686)))</f>
        <v/>
      </c>
      <c r="MD123" s="152">
        <f>'INVOCAÇÕES'!$AI$686&amp;""</f>
        <v/>
      </c>
      <c r="ME123" s="152">
        <f>'INVOCAÇÕES'!$AH$691&amp;""</f>
        <v/>
      </c>
      <c r="MF123" s="152">
        <f>'INVOCAÇÕES'!$AH$692&amp;""</f>
        <v/>
      </c>
      <c r="MG123" s="152">
        <f>'INVOCAÇÕES'!$AJ$692&amp;""</f>
        <v/>
      </c>
      <c r="MH123" s="152">
        <f>'INVOCAÇÕES'!$AI$695&amp;""</f>
        <v/>
      </c>
      <c r="MI123" s="152">
        <f>'INVOCAÇÕES'!$AI$696&amp;""</f>
        <v/>
      </c>
      <c r="MJ123" s="152">
        <f>'INVOCAÇÕES'!$AI$697&amp;""</f>
        <v/>
      </c>
      <c r="MK123" s="152">
        <f>'INVOCAÇÕES'!$AI$698&amp;""</f>
        <v/>
      </c>
      <c r="ML123" s="152">
        <f>'INVOCAÇÕES'!$AI$699&amp;""</f>
        <v/>
      </c>
      <c r="MM123" s="152">
        <f>'INVOCAÇÕES'!$AI$700&amp;""</f>
        <v/>
      </c>
      <c r="MN123" s="152">
        <f>IF($MD123&lt;&gt;"",1,0)</f>
        <v/>
      </c>
      <c r="MO123" s="152">
        <f>INDEX($FG$2:$FG$13,$LY123)</f>
        <v/>
      </c>
      <c r="MP123" s="152">
        <f>INDEX($FH$2:$FH$13,$LY123)</f>
        <v/>
      </c>
      <c r="MQ123" s="152">
        <f>INDEX($FI$2:$FI$13,$LY123)</f>
        <v/>
      </c>
      <c r="MR123" s="152">
        <f>INDEX($FT$2:$FT$13,$LY123)</f>
        <v/>
      </c>
      <c r="MS123" s="152">
        <f>INDEX($FU$2:$FU$13,$LY123)</f>
        <v/>
      </c>
      <c r="MT123" s="152">
        <f>IFERROR(MATCH($ME123,$V$2:$V$11,0),0)</f>
        <v/>
      </c>
      <c r="MU123" s="152">
        <f>IFERROR(VLOOKUP($MH123,$AV$2:$AZ$84,2,FALSE),"")</f>
        <v/>
      </c>
      <c r="MV123" s="152">
        <f>IFERROR(VLOOKUP($MI123,$AV$2:$AZ$84,2,FALSE),"")</f>
        <v/>
      </c>
      <c r="MW123" s="152">
        <f>IFERROR(VLOOKUP($MJ123,$AV$2:$AZ$84,2,FALSE),"")</f>
        <v/>
      </c>
      <c r="MX123" s="152">
        <f>IFERROR(VLOOKUP($MK123,$AV$2:$AZ$84,2,FALSE),"")</f>
        <v/>
      </c>
      <c r="MY123" s="152">
        <f>IFERROR(VLOOKUP($MH123,$AV$2:$AZ$84,3,FALSE),0)</f>
        <v/>
      </c>
      <c r="MZ123" s="152">
        <f>IFERROR(VLOOKUP($MI123,$AV$2:$AZ$84,3,FALSE),0)</f>
        <v/>
      </c>
      <c r="NA123" s="152">
        <f>IFERROR(VLOOKUP($MJ123,$AV$2:$AZ$84,3,FALSE),0)</f>
        <v/>
      </c>
      <c r="NB123" s="152">
        <f>IFERROR(VLOOKUP($MK123,$AV$2:$AZ$84,3,FALSE),0)</f>
        <v/>
      </c>
      <c r="NC123" s="152">
        <f>IF($MC123=0,0,IF($MT123=0,0,INDEX($X$2:$X$11,$MT123)))</f>
        <v/>
      </c>
      <c r="ND123" s="152">
        <f>IF(OR($MY123=0,$MC123=0),0,$MY123+3*IF(AND($MU123&lt;&gt;"",OR($MU123=INDEX($ED$2:$ED$13,$LY123),$MU123=INDEX($EE$2:$EE$13,$LY123))),1,0))</f>
        <v/>
      </c>
      <c r="NE123" s="152">
        <f>IF(OR($MZ123=0,$MC123=0),0,$MZ123+3*IF(AND($MV123&lt;&gt;"",OR($MV123=INDEX($ED$2:$ED$13,$LY123),$MV123=INDEX($EE$2:$EE$13,$LY123))),1,0))</f>
        <v/>
      </c>
      <c r="NF123" s="152">
        <f>IF(OR($NA123=0,$MC123=0),0,$NA123+3*IF(AND($MW123&lt;&gt;"",OR($MW123=INDEX($ED$2:$ED$13,$LY123),$MW123=INDEX($EE$2:$EE$13,$LY123))),1,0))</f>
        <v/>
      </c>
      <c r="NG123" s="152">
        <f>IF(OR($NB123=0,$MC123=0),0,$NB123+3*IF(AND($MX123&lt;&gt;"",OR($MX123=INDEX($ED$2:$ED$13,$LY123),$MX123=INDEX($EE$2:$EE$13,$LY123))),1,0))</f>
        <v/>
      </c>
      <c r="NH123" s="152">
        <f>IF($MT123=0,0,IF(INDEX($W$2:$W$11,$MT123)="",0,IF(COUNTIF(INDEX($ED$2:$EH$13,$LY123,0),INDEX($W$2:$W$11,$MT123))=0,1,0)))</f>
        <v/>
      </c>
      <c r="NI123" s="152">
        <f>IF(OR($MY123=0,$MU123=""),0,IF(COUNTIF(INDEX($ED$2:$EH$13,$LY123,0),$MU123)=0,1,0))</f>
        <v/>
      </c>
      <c r="NJ123" s="152">
        <f>IF(OR($MZ123=0,$MV123=""),0,IF(COUNTIF(INDEX($ED$2:$EH$13,$LY123,0),$MV123)=0,1,0))</f>
        <v/>
      </c>
      <c r="NK123" s="152">
        <f>IF(OR($NA123=0,$MW123=""),0,IF(COUNTIF(INDEX($ED$2:$EH$13,$LY123,0),$MW123)=0,1,0))</f>
        <v/>
      </c>
      <c r="NL123" s="152">
        <f>IF(OR($NB123=0,$MX123=""),0,IF(COUNTIF(INDEX($ED$2:$EH$13,$LY123,0),$MX123)=0,1,0))</f>
        <v/>
      </c>
      <c r="NM123" s="152">
        <f>IFERROR(VLOOKUP($MH123,$AV$2:$AZ$84,4,FALSE),0)+IFERROR(VLOOKUP($MI123,$AV$2:$AZ$84,4,FALSE),0)+IFERROR(VLOOKUP($MJ123,$AV$2:$AZ$84,4,FALSE),0)+IFERROR(VLOOKUP($MK123,$AV$2:$AZ$84,4,FALSE),0)</f>
        <v/>
      </c>
      <c r="NN123" s="152">
        <f>TEXTJOIN(", ",TRUE,IF(IFERROR(VLOOKUP($MH123,$AV$2:$AZ$84,5,FALSE),0)=1,$MH123,""),IF(IFERROR(VLOOKUP($MI123,$AV$2:$AZ$84,5,FALSE),0)=1,$MI123,""),IF(IFERROR(VLOOKUP($MJ123,$AV$2:$AZ$84,5,FALSE),0)=1,$MJ123,""),IF(IFERROR(VLOOKUP($MK123,$AV$2:$AZ$84,5,FALSE),0)=1,$MK123,""))</f>
        <v/>
      </c>
      <c r="NO123" s="152">
        <f>IF($MT123=0,0,INDEX($Y$2:$Y$11,$MT123))</f>
        <v/>
      </c>
      <c r="NP123" s="152">
        <f>IF($MT123=0,0,INDEX($Z$2:$Z$11,$MT123))</f>
        <v/>
      </c>
      <c r="NQ123" s="152">
        <f>IF($MT123=0,0,INDEX($AB$2:$AB$11,$MT123))</f>
        <v/>
      </c>
      <c r="NR123" s="152">
        <f>IFERROR(VLOOKUP($ML123,$BB$2:$BF$24,3,FALSE),0)</f>
        <v/>
      </c>
      <c r="NS123" s="152">
        <f>IFERROR(VLOOKUP($MM123,$BB$2:$BF$24,3,FALSE),0)</f>
        <v/>
      </c>
      <c r="NT123" s="152">
        <f>IFERROR(VLOOKUP($ML123,$BB$2:$BF$24,2,FALSE),"")</f>
        <v/>
      </c>
      <c r="NU123" s="152">
        <f>IFERROR(VLOOKUP($MM123,$BB$2:$BF$24,2,FALSE),"")</f>
        <v/>
      </c>
      <c r="NV123" s="152">
        <f>COUNTIF($NC123:$NG123,1)</f>
        <v/>
      </c>
      <c r="NW123" s="152">
        <f>COUNTIF($NC123:$NG123,2)</f>
        <v/>
      </c>
      <c r="NX123" s="152">
        <f>COUNTIF($NC123:$NG123,3)</f>
        <v/>
      </c>
      <c r="NY123" s="152">
        <f>COUNTIF($NC123:$NG123,4)</f>
        <v/>
      </c>
      <c r="NZ123" s="152">
        <f>COUNTIF($NC123:$NG123,5)</f>
        <v/>
      </c>
      <c r="OA123" s="152">
        <f>COUNTIF($NC123:$NG123,6)</f>
        <v/>
      </c>
      <c r="OB123" s="152">
        <f>COUNTIF($NR123:$NS123,1)</f>
        <v/>
      </c>
      <c r="OC123" s="152">
        <f>COUNTIF($NR123:$NS123,2)+$NO123</f>
        <v/>
      </c>
      <c r="OD123" s="152">
        <f>COUNTIF($MH123:$MK123,"?*")</f>
        <v/>
      </c>
      <c r="OE123" s="152">
        <f>COUNTIF($ML123:$MM123,"?*")+$NO123</f>
        <v/>
      </c>
      <c r="OF123" s="152">
        <f>IF($MC123=0,0,SUMPRODUCT($NV123:$OA123,INDEX($I$2:$N$8,MAX(1,$MC123),0)))</f>
        <v/>
      </c>
      <c r="OG123" s="152">
        <f>IF($MC123=0,0,$OB123*CEILING($MC123/2,1)+$OC123*$MC123)</f>
        <v/>
      </c>
      <c r="OH123" s="152">
        <f>MIN(2*$MC123,$OG123)</f>
        <v/>
      </c>
      <c r="OI123" s="152">
        <f>MIN($OH123,$OF123)</f>
        <v/>
      </c>
      <c r="OJ123" s="152">
        <f>$OH123-$OI123</f>
        <v/>
      </c>
      <c r="OK123" s="152">
        <f>IF($MC123=0,0,INDEX($P$2:$P$8,MAX(1,$MC123)))</f>
        <v/>
      </c>
      <c r="OL123" s="152">
        <f>$OK123-$OF123+$OI123</f>
        <v/>
      </c>
      <c r="OM123" s="152">
        <f>IF($MC123=0,MAX(0,$MQ123-IF($OD123&gt;0,1,0)),MAX(0,$OL123))</f>
        <v/>
      </c>
      <c r="ON123" s="152">
        <f>IF($MC123=0,0,(IF(COUNTIF($MH123:$MK123,"Salto")&gt;0,1,0)+IF(COUNTIF($MH123:$MK123,"Queima")&gt;0,1,0)+IF(COUNTIF($MH123:$MK123,"Estilhaço")&gt;0,1,0))*FLOOR($OM123/2,1))</f>
        <v/>
      </c>
      <c r="OO123" s="152">
        <f>MAX(0,2-SUMPRODUCT($NV123:$OA123,$I$2:$N$2)+MIN(2,$OB123*1+$OC123*1,SUMPRODUCT($NV123:$OA123,$I$2:$N$2)))</f>
        <v/>
      </c>
      <c r="OP123" s="152">
        <f>MAX(0,4-SUMPRODUCT($NV123:$OA123,$I$3:$N$3)+MIN(4,$OB123*1+$OC123*2,SUMPRODUCT($NV123:$OA123,$I$3:$N$3)))</f>
        <v/>
      </c>
      <c r="OQ123" s="152">
        <f>MAX(0,6-SUMPRODUCT($NV123:$OA123,$I$4:$N$4)+MIN(6,$OB123*2+$OC123*3,SUMPRODUCT($NV123:$OA123,$I$4:$N$4)))</f>
        <v/>
      </c>
      <c r="OR123" s="152">
        <f>MAX(0,9-SUMPRODUCT($NV123:$OA123,$I$5:$N$5)+MIN(8,$OB123*2+$OC123*4,SUMPRODUCT($NV123:$OA123,$I$5:$N$5)))</f>
        <v/>
      </c>
      <c r="OS123" s="152">
        <f>MAX(0,11-SUMPRODUCT($NV123:$OA123,$I$6:$N$6)+MIN(10,$OB123*3+$OC123*5,SUMPRODUCT($NV123:$OA123,$I$6:$N$6)))</f>
        <v/>
      </c>
      <c r="OT123" s="152">
        <f>MAX(0,13-SUMPRODUCT($NV123:$OA123,$I$7:$N$7)+MIN(12,$OB123*3+$OC123*6,SUMPRODUCT($NV123:$OA123,$I$7:$N$7)))</f>
        <v/>
      </c>
      <c r="OU123" s="152">
        <f>MAX(0,16-SUMPRODUCT($NV123:$OA123,$I$8:$N$8)+MIN(14,$OB123*4+$OC123*7,SUMPRODUCT($NV123:$OA123,$I$8:$N$8)))</f>
        <v/>
      </c>
      <c r="OV123" s="152">
        <f>IF($NP123=2,3*$OO123&amp;" de vida temp.",IF($NP123=3,"sem dano",IF($OO123=0,IF($NP123=1,"sem cura","sem dano"),IF($NP123=1,"cura ","")&amp;$OO123&amp;"d8")))</f>
        <v/>
      </c>
      <c r="OW123" s="152">
        <f>IF($NP123=2,3*$OP123&amp;" de vida temp.",IF($NP123=3,"sem dano",IF($OP123=0,IF($NP123=1,"sem cura","sem dano"),IF($NP123=1,"cura ","")&amp;$OP123&amp;"d8")))</f>
        <v/>
      </c>
      <c r="OX123" s="152">
        <f>IF($NP123=2,3*$OQ123&amp;" de vida temp.",IF($NP123=3,"sem dano",IF($OQ123=0,IF($NP123=1,"sem cura","sem dano"),IF($NP123=1,"cura ","")&amp;$OQ123&amp;"d8")))</f>
        <v/>
      </c>
      <c r="OY123" s="152">
        <f>IF($NP123=2,3*$OR123&amp;" de vida temp.",IF($NP123=3,"sem dano",IF($OR123=0,IF($NP123=1,"sem cura","sem dano"),IF($NP123=1,"cura ","")&amp;$OR123&amp;"d8")))</f>
        <v/>
      </c>
      <c r="OZ123" s="152">
        <f>IF($NP123=2,3*$OS123&amp;" de vida temp.",IF($NP123=3,"sem dano",IF($OS123=0,IF($NP123=1,"sem cura","sem dano"),IF($NP123=1,"cura ","")&amp;$OS123&amp;"d8")))</f>
        <v/>
      </c>
      <c r="PA123" s="152">
        <f>IF($NP123=2,3*$OT123&amp;" de vida temp.",IF($NP123=3,"sem dano",IF($OT123=0,IF($NP123=1,"sem cura","sem dano"),IF($NP123=1,"cura ","")&amp;$OT123&amp;"d8")))</f>
        <v/>
      </c>
      <c r="PB123" s="152">
        <f>IF($NP123=2,3*$OU123&amp;" de vida temp.",IF($NP123=3,"sem dano",IF($OU123=0,IF($NP123=1,"sem cura","sem dano"),IF($NP123=1,"cura ","")&amp;$OU123&amp;"d8")))</f>
        <v/>
      </c>
      <c r="PC123" s="152">
        <f>IF($MN123=0,"",TEXTJOIN(" · ",TRUE,IF($MA123&gt;$MO123,"Este lugar abre no nível "&amp;$MA123,""),IF($MC123&gt;$MP123,"Classe "&amp;$MC123&amp;": o nível "&amp;$MO123&amp;" libera até a "&amp;$MP123,""),IF($NH123=1,"A Forma "&amp;$ME123&amp;" pede "&amp;INDEX($W$2:$W$11,$MT123)&amp;" aberta",""),IF(AND($MC123=0,$MT123&gt;0,IF($MT123=0,0,INDEX($AF$2:$AF$11,$MT123))=0),$ME123&amp;" não existe na Classe 0",""),IF($NI123=1,"Família Fechada: "&amp;$MH123,""),IF($NJ123=1,"Família Fechada: "&amp;$MI123,""),IF($NK123=1,"Família Fechada: "&amp;$MJ123,""),IF($NL123=1,"Família Fechada: "&amp;$MK123,""),IF(AND($MC123&gt;0,$OD123&gt;INDEX($O$2:$O$8,MAX(1,$MC123))),$OD123&amp;" Melhorias: a Classe "&amp;$MC123&amp;" aceita "&amp;INDEX($O$2:$O$8,MAX(1,$MC123)),""),IF(AND($MC123=0,$OD123&gt;1),"A básica aceita uma Melhoria",""),IF(AND($MC123=0,COUNTIF($MY123:$NB123,"&gt;1")&gt;0),"A básica só aceita Melhoria Leve",""),IF(AND($MC123&gt;0,$OE123&gt;2),$OE123&amp;" Restrições"&amp;IF($NO123=1,", contando a que a Forma "&amp;$ME123&amp;" já traz","")&amp;": o limite é 2",""),IF(AND($MC123=0,COUNTIF($ML123:$MM123,"?*")&gt;1),"A básica aceita uma Restrição Leve",""),IF(AND($MC123=0,COUNTIF($NR123:$NS123,2)&gt;0),"A básica só aceita Restrição Leve",""),IF(AND($MC123&gt;0,$OL123&lt;0),"Orçamento estourado: faltam "&amp;(-$OL123)&amp;IF($OL123&lt;-1," pontos"," ponto"),""),IF(IFERROR(VLOOKUP($ML123,$BB$2:$BF$24,4,FALSE),0)+IFERROR(VLOOKUP($MM123,$BB$2:$BF$24,4,FALSE),0)&gt;1,$NT123&amp;" e "&amp;$NU123&amp;" são as duas de frequência",""),IF(AND((COUNTIF($MH123:$MK123,"Rápido")+COUNTIF($NT123:$NU123,"Rápido"))&gt;0,(COUNTIF($MH123:$MK123,"Atrasar")+COUNTIF($NT123:$NU123,"Atrasar"))&gt;0),"Rápido não entra com Atrasar",""),IF(AND((COUNTIF($MH123:$MK123,"Reação")+COUNTIF($NT123:$NU123,"Reação"))&gt;0,(COUNTIF($MH123:$MK123,"Rápido")+COUNTIF($NT123:$NU123,"Rápido"))&gt;0),"Reação não entra com Rápido",""),IF(AND((COUNTIF($MH123:$MK123,"Reação")+COUNTIF($NT123:$NU123,"Reação"))&gt;0,(COUNTIF($MH123:$MK123,"Armado")+COUNTIF($NT123:$NU123,"Armado"))&gt;0),"Reação não entra com Armado",""),IF(AND((COUNTIF($MH123:$MK123,"Reação")+COUNTIF($NT123:$NU123,"Reação"))&gt;0,(COUNTIF($MH123:$MK123,"Atrasar")+COUNTIF($NT123:$NU123,"Atrasar"))&gt;0),"Reação não entra com Atrasar",""),IF(AND((COUNTIF($MH123:$MK123,"Reação")+COUNTIF($NT123:$NU123,"Reação"))&gt;0,(COUNTIF($MH123:$MK123,"Parado")+COUNTIF($NT123:$NU123,"Parado"))&gt;0),"Reação não entra com Parado",""),IF(AND((COUNTIF($MH123:$MK123,"Atrasar")+COUNTIF($NT123:$NU123,"Atrasar"))&gt;0,(COUNTIF($MH123:$MK123,"Parado")+COUNTIF($NT123:$NU123,"Parado"))&gt;0),"Atrasar não entra com Parado",""),IF(AND((COUNTIF($MH123:$MK123,"Armado")+COUNTIF($NT123:$NU123,"Armado"))&gt;0,(COUNTIF($MH123:$MK123,"Carregar")+COUNTIF($NT123:$NU123,"Carregar"))&gt;0),"Armado não entra com Carregar",""),IF(AND(COUNTIF($NT123:$NU123,"Corpo a Corpo")&gt;0,$NO123=0,OR($ME123="Cone",$ME123="Linha")),"Corpo a Corpo não entra em "&amp;$ME123,""),IF(AND(COUNTIF($NT123:$NU123,"Corpo a Corpo")&gt;0,$NO123=1),"A Forma "&amp;$ME123&amp;" já traz o Corpo a Corpo",""),IF(AND(COUNTIF($NT123:$NU123,"Tudo ou Nada")&gt;0,$NQ123=0),"Tudo ou Nada só entra em habilidade de Teste de Resistência",""),IF(AND(COUNTIF($MH123:$MK123,"Inescapável")&gt;0,OR($OD123&gt;1,$OE123&gt;0)),"Inescapável não aceita outra peça",""),IF(AND($MC123&gt;0,$OM123*IF(COUNTIF($MH123:$MK123,"Remate")&gt;0,1.25,1)+$ON123&gt;4*$MC123),($OM123*IF(COUNTIF($MH123:$MK123,"Remate")&gt;0,1.25,1)+$ON123)&amp;" dados somando repetições"&amp;IF(COUNTIF($MH123:$MK123,"Remate")&gt;0," e o Remate","")&amp;": o teto da Classe "&amp;$MC123&amp;" é "&amp;4*$MC123,"")))</f>
        <v/>
      </c>
      <c r="PD123" s="152">
        <f>IF($PC123="",0,(LEN($PC123)-LEN(SUBSTITUTE($PC123," · ","")))/3+1)</f>
        <v/>
      </c>
      <c r="PE123" s="152">
        <f>IF($MN123=0,"",TEXTJOIN(" · ",TRUE,IF($OG123&gt;2*$MC123,"A devolução parou no teto de "&amp;2*$MC123,""),IF($OJ123&gt;0,"Devolução perdida: "&amp;$OJ123&amp;IF($OJ123&gt;1," pontos"," ponto")&amp;" sem peça para pagar",""),IF(AND($NM123&gt;0,AND($MC123&gt;0,$NP123=0),$OM123=0),"Controle sem dano: uma rodada a mais e CD +2",""),IF(AND($NM123&gt;0,AND($MC123&gt;0,$NP123=0),$OM123&gt;0,$OM123&lt;=$MC123),"Controle com saldo até a Classe: uma rodada a mais",""),IF(AND($MC123&gt;0,$NN123&lt;&gt;""),"Efeito de "&amp;$NN123&amp;" pela Classe "&amp;MAX(1,$MC123-1),"")))</f>
        <v/>
      </c>
      <c r="PF123" s="152">
        <f>IF($PE123="",0,(LEN($PE123)-LEN(SUBSTITUTE($PE123," · ","")))/3+1)</f>
        <v/>
      </c>
      <c r="PG123" s="152">
        <f>IF($MN123=0,IF($OD123+COUNTIF($ML123:$MM123,"?*")&gt;0,"Dê um nome",""),IF($PD123&gt;0,"⚠ "&amp;$PD123&amp;IF($PD123&gt;1," erros"," erro"),IF($PF123&gt;0,"! "&amp;$PF123&amp;IF($PF123&gt;1," avisos"," aviso"),"Na regra")))</f>
        <v/>
      </c>
      <c r="PH123" s="152">
        <f>IF($MN123=0,"",IF($PD123+$PF123=0,"Dentro das regras que a ficha confere",$PC123&amp;IF(AND($PD123&gt;0,$PF123&gt;0)," · ","")&amp;$PE123))</f>
        <v/>
      </c>
      <c r="PI123" s="152">
        <f>IF($MA123&gt;$MO123,$MB123&amp;" · ABRE NO NÍVEL "&amp;$MA123,$MB123)</f>
        <v/>
      </c>
      <c r="PJ123" s="152">
        <f>IF($MN123=0,"",IF($MC123=0,"Sem PE",3*$MC123&amp;" PE"))</f>
        <v/>
      </c>
      <c r="PK123" s="152">
        <f>IF($MN123=0,"",IF($MC123=0,"A atuação básica dela",IF(COUNTIF($NT123:$NU123,"Atrasar")&gt;0,"Sua Ação Completa",IF(COUNTIF($MH123:$MK123,"Rápido")&gt;0,"Sua Bônus",IF(COUNTIF($MH123:$MK123,"Reação")&gt;0,"Sua Reação","Sua Padrão")))&amp;" + a básica dela"&amp;IF(COUNTIF($MH123:$MK123,"Reação")&gt;0," e a coletiva","")&amp;IF(COUNTIF($NT123:$NU123,"Carregar")&gt;0," · em dois turnos","")))</f>
        <v/>
      </c>
      <c r="PL123" s="152">
        <f>IF($MG123&lt;&gt;"",$MG123,IF($MT123=0,"",INDEX($AA$2:$AA$11,$MT123)))</f>
        <v/>
      </c>
      <c r="PM123" s="152">
        <f>IF(OR($MN123=0,$MT123=0),"",IF(COUNTIF($MH123:$MK123,"Inescapável")&gt;0,"Automático",IF($PL123="Ataque",IF($MR123="","Ataque","Ataque "&amp;IF(($MR123+2*IF(COUNTIF($MH123:$MK123,"Precisão")&gt;0,1,0))&gt;=0,"+","−")&amp;ABS(($MR123+2*IF(COUNTIF($MH123:$MK123,"Precisão")&gt;0,1,0)))),IF(LEFT($PL123,2)="TR",$PL123&amp;IF($MS123="",""," · CD "&amp;$MS123)&amp;IF(COUNTIF($MH123:$MK123,"Certeiro")&gt;0," · metade",""),"Sem rolagem"))))</f>
        <v/>
      </c>
      <c r="PN123" s="152">
        <f>IF(OR($MN123=0,$MT123=0),"",IF($MC123=0,IF(OR($NP123&gt;=1,$OM123=0),"Sem dano",$OM123&amp;"d6"&amp;IF($MF123="",""," "&amp;$MF123)),IF(OR($NP123&gt;=1,$OM123=0),UPPER(LEFT(INDEX($OV123:$PB123,1,MAX(1,$MC123)),1))&amp;MID(INDEX($OV123:$PB123,1,MAX(1,$MC123)),2,99),UPPER(LEFT(INDEX($OV123:$PB123,1,MAX(1,$MC123)),1))&amp;MID(INDEX($OV123:$PB123,1,MAX(1,$MC123)),2,99)&amp;IF($MF123="",""," "&amp;$MF123)&amp;IF($ON123&gt;0," · +"&amp;$ON123&amp;"d8",""))))</f>
        <v/>
      </c>
      <c r="PO123" s="152">
        <f>COUNTIF($MH123:$MK123,"Longe")+3*COUNTIF($MH123:$MK123,"Muito Longe")</f>
        <v/>
      </c>
      <c r="PP123" s="152">
        <f>COUNTIF($MH123:$MK123,"Maior")+3*COUNTIF($MH123:$MK123,"Muito Maior")</f>
        <v/>
      </c>
      <c r="PQ123" s="152">
        <f>IF($MT123=0,0,CHOOSE(1+INDEX($AC$2:$AC$11,$MT123),0,$PO123,$PP123,$PO123+$PP123))</f>
        <v/>
      </c>
      <c r="PR123" s="152">
        <f>IF($MT123=0,0,CHOOSE(1+INDEX($AD$2:$AD$11,$MT123),0,$PO123,$PP123,$PO123+$PP123))</f>
        <v/>
      </c>
      <c r="PS123" s="152">
        <f>IF(OR($MN123=0,$MT123=0),"",INDEX($AI$2:$AN$41,($MT123-1)*4+IF($MC123=0,1,IF($MC123&lt;=5,2,IF($MC123=6,3,4))),1+MIN(5,$PQ123))&amp;INDEX($AO$2:$AT$41,($MT123-1)*4+IF($MC123=0,1,IF($MC123&lt;=5,2,IF($MC123=6,3,4))),1+MIN(5,$PR123))&amp;IF(INDEX($AE$2:$AE$11,$MT123)=1,IF(COUNTIF($MH123:$MK123,"Mais Um")&gt;0," · +"&amp;COUNTIF($MH123:$MK123,"Mais Um")&amp;IF(COUNTIF($MH123:$MK123,"Mais Um")&gt;1," alvos"," alvo"),"")&amp;IF(COUNTIF($MH123:$MK123,"Rajada")&gt;0,IF($MC123=0," · 1 tiro"," · "&amp;(MAX(1,$MC123-1)+1)&amp;" tiros"),""),""))</f>
        <v/>
      </c>
      <c r="PT123" s="152">
        <f>IF($MN123=0,"",IF($MC123=0,$MQ123&amp;"d6"&amp;IF($OD123&gt;0," − 1 = "&amp;$OM123&amp;"d6"," da básica do nível "&amp;$MO123),$OK123&amp;" − "&amp;$OF123&amp;" + "&amp;$OI123&amp;" = "&amp;$OL123&amp;" · teto "&amp;4*$MC123&amp;"d8"&amp;IF($NO123=1," · a Forma devolve "&amp;$MC123,"")&amp;IF($OJ123&gt;0," · perde "&amp;$OJ123,"")))</f>
        <v/>
      </c>
      <c r="PU123" s="152">
        <f>IF($MN123=0,"",IF($MC123=0,"A básica não amplia: os dados dela sobem com o nível",IF($MC123&gt;=$MP123,"Já está na maior Classe que o nível liberou",TEXTJOIN(" · ",TRUE,IF(AND(2&gt;$MC123,2&lt;=$MP123),"2 → "&amp;$OW123&amp;", 6 PE",""),IF(AND(3&gt;$MC123,3&lt;=$MP123),"3 → "&amp;$OX123&amp;", 9 PE",""),IF(AND(4&gt;$MC123,4&lt;=$MP123),"4 → "&amp;$OY123&amp;", 12 PE",""),IF(AND(5&gt;$MC123,5&lt;=$MP123),"5 → "&amp;$OZ123&amp;", 15 PE",""),IF(AND(6&gt;$MC123,6&lt;=$MP123),"6 → "&amp;$PA123&amp;", 18 PE",""),IF(AND(7&gt;$MC123,7&lt;=$MP123),"7 → "&amp;$PB123&amp;", 21 PE","")))))</f>
        <v/>
      </c>
      <c r="PV123" s="152">
        <f>IF(OR($MN123=0,$MY123=0),"",IF($MC123=0,"−1 dado","−"&amp;INDEX($I$2:$N$8,MAX(1,$MC123),MAX(1,$ND123))&amp;" · "&amp;CHOOSE(MAX(1,$ND123),"Leve","Média","Pesada","Leve · Livre","Média · Livre","Pesada · Livre")))</f>
        <v/>
      </c>
      <c r="PW123" s="152">
        <f>IF(OR($MN123=0,$MZ123=0),"",IF($MC123=0,"−1 dado","−"&amp;INDEX($I$2:$N$8,MAX(1,$MC123),MAX(1,$NE123))&amp;" · "&amp;CHOOSE(MAX(1,$NE123),"Leve","Média","Pesada","Leve · Livre","Média · Livre","Pesada · Livre")))</f>
        <v/>
      </c>
      <c r="PX123" s="152">
        <f>IF(OR($MN123=0,$NA123=0),"",IF($MC123=0,"−1 dado","−"&amp;INDEX($I$2:$N$8,MAX(1,$MC123),MAX(1,$NF123))&amp;" · "&amp;CHOOSE(MAX(1,$NF123),"Leve","Média","Pesada","Leve · Livre","Média · Livre","Pesada · Livre")))</f>
        <v/>
      </c>
      <c r="PY123" s="152">
        <f>IF(OR($MN123=0,$NB123=0),"",IF($MC123=0,"−1 dado","−"&amp;INDEX($I$2:$N$8,MAX(1,$MC123),MAX(1,$NG123))&amp;" · "&amp;CHOOSE(MAX(1,$NG123),"Leve","Média","Pesada","Leve · Livre","Média · Livre","Pesada · Livre")))</f>
        <v/>
      </c>
      <c r="PZ123" s="152">
        <f>IF(OR($MN123=0,$ML123=""),"",IF($MC123=0,"não devolve","+"&amp;IF($NR123=1,CEILING($MC123/2,1),$MC123)))</f>
        <v/>
      </c>
      <c r="QA123" s="152">
        <f>IF(OR($MN123=0,$MM123=""),"",IF($MC123=0,"não devolve","+"&amp;IF($NS123=1,CEILING($MC123/2,1),$MC123)))</f>
        <v/>
      </c>
    </row>
    <row r="124">
      <c r="LX124" s="150" t="inlineStr">
        <is>
          <t>Ficha 10 · Especial 4</t>
        </is>
      </c>
      <c r="LY124" s="152" t="n">
        <v>10</v>
      </c>
      <c r="LZ124" s="152" t="n">
        <v>1</v>
      </c>
      <c r="MA124" s="152" t="n">
        <v>12</v>
      </c>
      <c r="MB124" s="150" t="inlineStr">
        <is>
          <t>ESPECIAL 4</t>
        </is>
      </c>
      <c r="MC124" s="152">
        <f>MAX(1,MIN(7,N('INVOCAÇÕES'!$AN$686)))</f>
        <v/>
      </c>
      <c r="MD124" s="152">
        <f>'INVOCAÇÕES'!$AO$686&amp;""</f>
        <v/>
      </c>
      <c r="ME124" s="152">
        <f>'INVOCAÇÕES'!$AN$691&amp;""</f>
        <v/>
      </c>
      <c r="MF124" s="152">
        <f>'INVOCAÇÕES'!$AN$692&amp;""</f>
        <v/>
      </c>
      <c r="MG124" s="152">
        <f>'INVOCAÇÕES'!$AP$692&amp;""</f>
        <v/>
      </c>
      <c r="MH124" s="152">
        <f>'INVOCAÇÕES'!$AO$695&amp;""</f>
        <v/>
      </c>
      <c r="MI124" s="152">
        <f>'INVOCAÇÕES'!$AO$696&amp;""</f>
        <v/>
      </c>
      <c r="MJ124" s="152">
        <f>'INVOCAÇÕES'!$AO$697&amp;""</f>
        <v/>
      </c>
      <c r="MK124" s="152">
        <f>'INVOCAÇÕES'!$AO$698&amp;""</f>
        <v/>
      </c>
      <c r="ML124" s="152">
        <f>'INVOCAÇÕES'!$AO$699&amp;""</f>
        <v/>
      </c>
      <c r="MM124" s="152">
        <f>'INVOCAÇÕES'!$AO$700&amp;""</f>
        <v/>
      </c>
      <c r="MN124" s="152">
        <f>IF($MD124&lt;&gt;"",1,0)</f>
        <v/>
      </c>
      <c r="MO124" s="152">
        <f>INDEX($FG$2:$FG$13,$LY124)</f>
        <v/>
      </c>
      <c r="MP124" s="152">
        <f>INDEX($FH$2:$FH$13,$LY124)</f>
        <v/>
      </c>
      <c r="MQ124" s="152">
        <f>INDEX($FI$2:$FI$13,$LY124)</f>
        <v/>
      </c>
      <c r="MR124" s="152">
        <f>INDEX($FT$2:$FT$13,$LY124)</f>
        <v/>
      </c>
      <c r="MS124" s="152">
        <f>INDEX($FU$2:$FU$13,$LY124)</f>
        <v/>
      </c>
      <c r="MT124" s="152">
        <f>IFERROR(MATCH($ME124,$V$2:$V$11,0),0)</f>
        <v/>
      </c>
      <c r="MU124" s="152">
        <f>IFERROR(VLOOKUP($MH124,$AV$2:$AZ$84,2,FALSE),"")</f>
        <v/>
      </c>
      <c r="MV124" s="152">
        <f>IFERROR(VLOOKUP($MI124,$AV$2:$AZ$84,2,FALSE),"")</f>
        <v/>
      </c>
      <c r="MW124" s="152">
        <f>IFERROR(VLOOKUP($MJ124,$AV$2:$AZ$84,2,FALSE),"")</f>
        <v/>
      </c>
      <c r="MX124" s="152">
        <f>IFERROR(VLOOKUP($MK124,$AV$2:$AZ$84,2,FALSE),"")</f>
        <v/>
      </c>
      <c r="MY124" s="152">
        <f>IFERROR(VLOOKUP($MH124,$AV$2:$AZ$84,3,FALSE),0)</f>
        <v/>
      </c>
      <c r="MZ124" s="152">
        <f>IFERROR(VLOOKUP($MI124,$AV$2:$AZ$84,3,FALSE),0)</f>
        <v/>
      </c>
      <c r="NA124" s="152">
        <f>IFERROR(VLOOKUP($MJ124,$AV$2:$AZ$84,3,FALSE),0)</f>
        <v/>
      </c>
      <c r="NB124" s="152">
        <f>IFERROR(VLOOKUP($MK124,$AV$2:$AZ$84,3,FALSE),0)</f>
        <v/>
      </c>
      <c r="NC124" s="152">
        <f>IF($MC124=0,0,IF($MT124=0,0,INDEX($X$2:$X$11,$MT124)))</f>
        <v/>
      </c>
      <c r="ND124" s="152">
        <f>IF(OR($MY124=0,$MC124=0),0,$MY124+3*IF(AND($MU124&lt;&gt;"",OR($MU124=INDEX($ED$2:$ED$13,$LY124),$MU124=INDEX($EE$2:$EE$13,$LY124))),1,0))</f>
        <v/>
      </c>
      <c r="NE124" s="152">
        <f>IF(OR($MZ124=0,$MC124=0),0,$MZ124+3*IF(AND($MV124&lt;&gt;"",OR($MV124=INDEX($ED$2:$ED$13,$LY124),$MV124=INDEX($EE$2:$EE$13,$LY124))),1,0))</f>
        <v/>
      </c>
      <c r="NF124" s="152">
        <f>IF(OR($NA124=0,$MC124=0),0,$NA124+3*IF(AND($MW124&lt;&gt;"",OR($MW124=INDEX($ED$2:$ED$13,$LY124),$MW124=INDEX($EE$2:$EE$13,$LY124))),1,0))</f>
        <v/>
      </c>
      <c r="NG124" s="152">
        <f>IF(OR($NB124=0,$MC124=0),0,$NB124+3*IF(AND($MX124&lt;&gt;"",OR($MX124=INDEX($ED$2:$ED$13,$LY124),$MX124=INDEX($EE$2:$EE$13,$LY124))),1,0))</f>
        <v/>
      </c>
      <c r="NH124" s="152">
        <f>IF($MT124=0,0,IF(INDEX($W$2:$W$11,$MT124)="",0,IF(COUNTIF(INDEX($ED$2:$EH$13,$LY124,0),INDEX($W$2:$W$11,$MT124))=0,1,0)))</f>
        <v/>
      </c>
      <c r="NI124" s="152">
        <f>IF(OR($MY124=0,$MU124=""),0,IF(COUNTIF(INDEX($ED$2:$EH$13,$LY124,0),$MU124)=0,1,0))</f>
        <v/>
      </c>
      <c r="NJ124" s="152">
        <f>IF(OR($MZ124=0,$MV124=""),0,IF(COUNTIF(INDEX($ED$2:$EH$13,$LY124,0),$MV124)=0,1,0))</f>
        <v/>
      </c>
      <c r="NK124" s="152">
        <f>IF(OR($NA124=0,$MW124=""),0,IF(COUNTIF(INDEX($ED$2:$EH$13,$LY124,0),$MW124)=0,1,0))</f>
        <v/>
      </c>
      <c r="NL124" s="152">
        <f>IF(OR($NB124=0,$MX124=""),0,IF(COUNTIF(INDEX($ED$2:$EH$13,$LY124,0),$MX124)=0,1,0))</f>
        <v/>
      </c>
      <c r="NM124" s="152">
        <f>IFERROR(VLOOKUP($MH124,$AV$2:$AZ$84,4,FALSE),0)+IFERROR(VLOOKUP($MI124,$AV$2:$AZ$84,4,FALSE),0)+IFERROR(VLOOKUP($MJ124,$AV$2:$AZ$84,4,FALSE),0)+IFERROR(VLOOKUP($MK124,$AV$2:$AZ$84,4,FALSE),0)</f>
        <v/>
      </c>
      <c r="NN124" s="152">
        <f>TEXTJOIN(", ",TRUE,IF(IFERROR(VLOOKUP($MH124,$AV$2:$AZ$84,5,FALSE),0)=1,$MH124,""),IF(IFERROR(VLOOKUP($MI124,$AV$2:$AZ$84,5,FALSE),0)=1,$MI124,""),IF(IFERROR(VLOOKUP($MJ124,$AV$2:$AZ$84,5,FALSE),0)=1,$MJ124,""),IF(IFERROR(VLOOKUP($MK124,$AV$2:$AZ$84,5,FALSE),0)=1,$MK124,""))</f>
        <v/>
      </c>
      <c r="NO124" s="152">
        <f>IF($MT124=0,0,INDEX($Y$2:$Y$11,$MT124))</f>
        <v/>
      </c>
      <c r="NP124" s="152">
        <f>IF($MT124=0,0,INDEX($Z$2:$Z$11,$MT124))</f>
        <v/>
      </c>
      <c r="NQ124" s="152">
        <f>IF($MT124=0,0,INDEX($AB$2:$AB$11,$MT124))</f>
        <v/>
      </c>
      <c r="NR124" s="152">
        <f>IFERROR(VLOOKUP($ML124,$BB$2:$BF$24,3,FALSE),0)</f>
        <v/>
      </c>
      <c r="NS124" s="152">
        <f>IFERROR(VLOOKUP($MM124,$BB$2:$BF$24,3,FALSE),0)</f>
        <v/>
      </c>
      <c r="NT124" s="152">
        <f>IFERROR(VLOOKUP($ML124,$BB$2:$BF$24,2,FALSE),"")</f>
        <v/>
      </c>
      <c r="NU124" s="152">
        <f>IFERROR(VLOOKUP($MM124,$BB$2:$BF$24,2,FALSE),"")</f>
        <v/>
      </c>
      <c r="NV124" s="152">
        <f>COUNTIF($NC124:$NG124,1)</f>
        <v/>
      </c>
      <c r="NW124" s="152">
        <f>COUNTIF($NC124:$NG124,2)</f>
        <v/>
      </c>
      <c r="NX124" s="152">
        <f>COUNTIF($NC124:$NG124,3)</f>
        <v/>
      </c>
      <c r="NY124" s="152">
        <f>COUNTIF($NC124:$NG124,4)</f>
        <v/>
      </c>
      <c r="NZ124" s="152">
        <f>COUNTIF($NC124:$NG124,5)</f>
        <v/>
      </c>
      <c r="OA124" s="152">
        <f>COUNTIF($NC124:$NG124,6)</f>
        <v/>
      </c>
      <c r="OB124" s="152">
        <f>COUNTIF($NR124:$NS124,1)</f>
        <v/>
      </c>
      <c r="OC124" s="152">
        <f>COUNTIF($NR124:$NS124,2)+$NO124</f>
        <v/>
      </c>
      <c r="OD124" s="152">
        <f>COUNTIF($MH124:$MK124,"?*")</f>
        <v/>
      </c>
      <c r="OE124" s="152">
        <f>COUNTIF($ML124:$MM124,"?*")+$NO124</f>
        <v/>
      </c>
      <c r="OF124" s="152">
        <f>IF($MC124=0,0,SUMPRODUCT($NV124:$OA124,INDEX($I$2:$N$8,MAX(1,$MC124),0)))</f>
        <v/>
      </c>
      <c r="OG124" s="152">
        <f>IF($MC124=0,0,$OB124*CEILING($MC124/2,1)+$OC124*$MC124)</f>
        <v/>
      </c>
      <c r="OH124" s="152">
        <f>MIN(2*$MC124,$OG124)</f>
        <v/>
      </c>
      <c r="OI124" s="152">
        <f>MIN($OH124,$OF124)</f>
        <v/>
      </c>
      <c r="OJ124" s="152">
        <f>$OH124-$OI124</f>
        <v/>
      </c>
      <c r="OK124" s="152">
        <f>IF($MC124=0,0,INDEX($P$2:$P$8,MAX(1,$MC124)))</f>
        <v/>
      </c>
      <c r="OL124" s="152">
        <f>$OK124-$OF124+$OI124</f>
        <v/>
      </c>
      <c r="OM124" s="152">
        <f>IF($MC124=0,MAX(0,$MQ124-IF($OD124&gt;0,1,0)),MAX(0,$OL124))</f>
        <v/>
      </c>
      <c r="ON124" s="152">
        <f>IF($MC124=0,0,(IF(COUNTIF($MH124:$MK124,"Salto")&gt;0,1,0)+IF(COUNTIF($MH124:$MK124,"Queima")&gt;0,1,0)+IF(COUNTIF($MH124:$MK124,"Estilhaço")&gt;0,1,0))*FLOOR($OM124/2,1))</f>
        <v/>
      </c>
      <c r="OO124" s="152">
        <f>MAX(0,2-SUMPRODUCT($NV124:$OA124,$I$2:$N$2)+MIN(2,$OB124*1+$OC124*1,SUMPRODUCT($NV124:$OA124,$I$2:$N$2)))</f>
        <v/>
      </c>
      <c r="OP124" s="152">
        <f>MAX(0,4-SUMPRODUCT($NV124:$OA124,$I$3:$N$3)+MIN(4,$OB124*1+$OC124*2,SUMPRODUCT($NV124:$OA124,$I$3:$N$3)))</f>
        <v/>
      </c>
      <c r="OQ124" s="152">
        <f>MAX(0,6-SUMPRODUCT($NV124:$OA124,$I$4:$N$4)+MIN(6,$OB124*2+$OC124*3,SUMPRODUCT($NV124:$OA124,$I$4:$N$4)))</f>
        <v/>
      </c>
      <c r="OR124" s="152">
        <f>MAX(0,9-SUMPRODUCT($NV124:$OA124,$I$5:$N$5)+MIN(8,$OB124*2+$OC124*4,SUMPRODUCT($NV124:$OA124,$I$5:$N$5)))</f>
        <v/>
      </c>
      <c r="OS124" s="152">
        <f>MAX(0,11-SUMPRODUCT($NV124:$OA124,$I$6:$N$6)+MIN(10,$OB124*3+$OC124*5,SUMPRODUCT($NV124:$OA124,$I$6:$N$6)))</f>
        <v/>
      </c>
      <c r="OT124" s="152">
        <f>MAX(0,13-SUMPRODUCT($NV124:$OA124,$I$7:$N$7)+MIN(12,$OB124*3+$OC124*6,SUMPRODUCT($NV124:$OA124,$I$7:$N$7)))</f>
        <v/>
      </c>
      <c r="OU124" s="152">
        <f>MAX(0,16-SUMPRODUCT($NV124:$OA124,$I$8:$N$8)+MIN(14,$OB124*4+$OC124*7,SUMPRODUCT($NV124:$OA124,$I$8:$N$8)))</f>
        <v/>
      </c>
      <c r="OV124" s="152">
        <f>IF($NP124=2,3*$OO124&amp;" de vida temp.",IF($NP124=3,"sem dano",IF($OO124=0,IF($NP124=1,"sem cura","sem dano"),IF($NP124=1,"cura ","")&amp;$OO124&amp;"d8")))</f>
        <v/>
      </c>
      <c r="OW124" s="152">
        <f>IF($NP124=2,3*$OP124&amp;" de vida temp.",IF($NP124=3,"sem dano",IF($OP124=0,IF($NP124=1,"sem cura","sem dano"),IF($NP124=1,"cura ","")&amp;$OP124&amp;"d8")))</f>
        <v/>
      </c>
      <c r="OX124" s="152">
        <f>IF($NP124=2,3*$OQ124&amp;" de vida temp.",IF($NP124=3,"sem dano",IF($OQ124=0,IF($NP124=1,"sem cura","sem dano"),IF($NP124=1,"cura ","")&amp;$OQ124&amp;"d8")))</f>
        <v/>
      </c>
      <c r="OY124" s="152">
        <f>IF($NP124=2,3*$OR124&amp;" de vida temp.",IF($NP124=3,"sem dano",IF($OR124=0,IF($NP124=1,"sem cura","sem dano"),IF($NP124=1,"cura ","")&amp;$OR124&amp;"d8")))</f>
        <v/>
      </c>
      <c r="OZ124" s="152">
        <f>IF($NP124=2,3*$OS124&amp;" de vida temp.",IF($NP124=3,"sem dano",IF($OS124=0,IF($NP124=1,"sem cura","sem dano"),IF($NP124=1,"cura ","")&amp;$OS124&amp;"d8")))</f>
        <v/>
      </c>
      <c r="PA124" s="152">
        <f>IF($NP124=2,3*$OT124&amp;" de vida temp.",IF($NP124=3,"sem dano",IF($OT124=0,IF($NP124=1,"sem cura","sem dano"),IF($NP124=1,"cura ","")&amp;$OT124&amp;"d8")))</f>
        <v/>
      </c>
      <c r="PB124" s="152">
        <f>IF($NP124=2,3*$OU124&amp;" de vida temp.",IF($NP124=3,"sem dano",IF($OU124=0,IF($NP124=1,"sem cura","sem dano"),IF($NP124=1,"cura ","")&amp;$OU124&amp;"d8")))</f>
        <v/>
      </c>
      <c r="PC124" s="152">
        <f>IF($MN124=0,"",TEXTJOIN(" · ",TRUE,IF($MA124&gt;$MO124,"Este lugar abre no nível "&amp;$MA124,""),IF($MC124&gt;$MP124,"Classe "&amp;$MC124&amp;": o nível "&amp;$MO124&amp;" libera até a "&amp;$MP124,""),IF($NH124=1,"A Forma "&amp;$ME124&amp;" pede "&amp;INDEX($W$2:$W$11,$MT124)&amp;" aberta",""),IF(AND($MC124=0,$MT124&gt;0,IF($MT124=0,0,INDEX($AF$2:$AF$11,$MT124))=0),$ME124&amp;" não existe na Classe 0",""),IF($NI124=1,"Família Fechada: "&amp;$MH124,""),IF($NJ124=1,"Família Fechada: "&amp;$MI124,""),IF($NK124=1,"Família Fechada: "&amp;$MJ124,""),IF($NL124=1,"Família Fechada: "&amp;$MK124,""),IF(AND($MC124&gt;0,$OD124&gt;INDEX($O$2:$O$8,MAX(1,$MC124))),$OD124&amp;" Melhorias: a Classe "&amp;$MC124&amp;" aceita "&amp;INDEX($O$2:$O$8,MAX(1,$MC124)),""),IF(AND($MC124=0,$OD124&gt;1),"A básica aceita uma Melhoria",""),IF(AND($MC124=0,COUNTIF($MY124:$NB124,"&gt;1")&gt;0),"A básica só aceita Melhoria Leve",""),IF(AND($MC124&gt;0,$OE124&gt;2),$OE124&amp;" Restrições"&amp;IF($NO124=1,", contando a que a Forma "&amp;$ME124&amp;" já traz","")&amp;": o limite é 2",""),IF(AND($MC124=0,COUNTIF($ML124:$MM124,"?*")&gt;1),"A básica aceita uma Restrição Leve",""),IF(AND($MC124=0,COUNTIF($NR124:$NS124,2)&gt;0),"A básica só aceita Restrição Leve",""),IF(AND($MC124&gt;0,$OL124&lt;0),"Orçamento estourado: faltam "&amp;(-$OL124)&amp;IF($OL124&lt;-1," pontos"," ponto"),""),IF(IFERROR(VLOOKUP($ML124,$BB$2:$BF$24,4,FALSE),0)+IFERROR(VLOOKUP($MM124,$BB$2:$BF$24,4,FALSE),0)&gt;1,$NT124&amp;" e "&amp;$NU124&amp;" são as duas de frequência",""),IF(AND((COUNTIF($MH124:$MK124,"Rápido")+COUNTIF($NT124:$NU124,"Rápido"))&gt;0,(COUNTIF($MH124:$MK124,"Atrasar")+COUNTIF($NT124:$NU124,"Atrasar"))&gt;0),"Rápido não entra com Atrasar",""),IF(AND((COUNTIF($MH124:$MK124,"Reação")+COUNTIF($NT124:$NU124,"Reação"))&gt;0,(COUNTIF($MH124:$MK124,"Rápido")+COUNTIF($NT124:$NU124,"Rápido"))&gt;0),"Reação não entra com Rápido",""),IF(AND((COUNTIF($MH124:$MK124,"Reação")+COUNTIF($NT124:$NU124,"Reação"))&gt;0,(COUNTIF($MH124:$MK124,"Armado")+COUNTIF($NT124:$NU124,"Armado"))&gt;0),"Reação não entra com Armado",""),IF(AND((COUNTIF($MH124:$MK124,"Reação")+COUNTIF($NT124:$NU124,"Reação"))&gt;0,(COUNTIF($MH124:$MK124,"Atrasar")+COUNTIF($NT124:$NU124,"Atrasar"))&gt;0),"Reação não entra com Atrasar",""),IF(AND((COUNTIF($MH124:$MK124,"Reação")+COUNTIF($NT124:$NU124,"Reação"))&gt;0,(COUNTIF($MH124:$MK124,"Parado")+COUNTIF($NT124:$NU124,"Parado"))&gt;0),"Reação não entra com Parado",""),IF(AND((COUNTIF($MH124:$MK124,"Atrasar")+COUNTIF($NT124:$NU124,"Atrasar"))&gt;0,(COUNTIF($MH124:$MK124,"Parado")+COUNTIF($NT124:$NU124,"Parado"))&gt;0),"Atrasar não entra com Parado",""),IF(AND((COUNTIF($MH124:$MK124,"Armado")+COUNTIF($NT124:$NU124,"Armado"))&gt;0,(COUNTIF($MH124:$MK124,"Carregar")+COUNTIF($NT124:$NU124,"Carregar"))&gt;0),"Armado não entra com Carregar",""),IF(AND(COUNTIF($NT124:$NU124,"Corpo a Corpo")&gt;0,$NO124=0,OR($ME124="Cone",$ME124="Linha")),"Corpo a Corpo não entra em "&amp;$ME124,""),IF(AND(COUNTIF($NT124:$NU124,"Corpo a Corpo")&gt;0,$NO124=1),"A Forma "&amp;$ME124&amp;" já traz o Corpo a Corpo",""),IF(AND(COUNTIF($NT124:$NU124,"Tudo ou Nada")&gt;0,$NQ124=0),"Tudo ou Nada só entra em habilidade de Teste de Resistência",""),IF(AND(COUNTIF($MH124:$MK124,"Inescapável")&gt;0,OR($OD124&gt;1,$OE124&gt;0)),"Inescapável não aceita outra peça",""),IF(AND($MC124&gt;0,$OM124*IF(COUNTIF($MH124:$MK124,"Remate")&gt;0,1.25,1)+$ON124&gt;4*$MC124),($OM124*IF(COUNTIF($MH124:$MK124,"Remate")&gt;0,1.25,1)+$ON124)&amp;" dados somando repetições"&amp;IF(COUNTIF($MH124:$MK124,"Remate")&gt;0," e o Remate","")&amp;": o teto da Classe "&amp;$MC124&amp;" é "&amp;4*$MC124,"")))</f>
        <v/>
      </c>
      <c r="PD124" s="152">
        <f>IF($PC124="",0,(LEN($PC124)-LEN(SUBSTITUTE($PC124," · ","")))/3+1)</f>
        <v/>
      </c>
      <c r="PE124" s="152">
        <f>IF($MN124=0,"",TEXTJOIN(" · ",TRUE,IF($OG124&gt;2*$MC124,"A devolução parou no teto de "&amp;2*$MC124,""),IF($OJ124&gt;0,"Devolução perdida: "&amp;$OJ124&amp;IF($OJ124&gt;1," pontos"," ponto")&amp;" sem peça para pagar",""),IF(AND($NM124&gt;0,AND($MC124&gt;0,$NP124=0),$OM124=0),"Controle sem dano: uma rodada a mais e CD +2",""),IF(AND($NM124&gt;0,AND($MC124&gt;0,$NP124=0),$OM124&gt;0,$OM124&lt;=$MC124),"Controle com saldo até a Classe: uma rodada a mais",""),IF(AND($MC124&gt;0,$NN124&lt;&gt;""),"Efeito de "&amp;$NN124&amp;" pela Classe "&amp;MAX(1,$MC124-1),"")))</f>
        <v/>
      </c>
      <c r="PF124" s="152">
        <f>IF($PE124="",0,(LEN($PE124)-LEN(SUBSTITUTE($PE124," · ","")))/3+1)</f>
        <v/>
      </c>
      <c r="PG124" s="152">
        <f>IF($MN124=0,IF($OD124+COUNTIF($ML124:$MM124,"?*")&gt;0,"Dê um nome",""),IF($PD124&gt;0,"⚠ "&amp;$PD124&amp;IF($PD124&gt;1," erros"," erro"),IF($PF124&gt;0,"! "&amp;$PF124&amp;IF($PF124&gt;1," avisos"," aviso"),"Na regra")))</f>
        <v/>
      </c>
      <c r="PH124" s="152">
        <f>IF($MN124=0,"",IF($PD124+$PF124=0,"Dentro das regras que a ficha confere",$PC124&amp;IF(AND($PD124&gt;0,$PF124&gt;0)," · ","")&amp;$PE124))</f>
        <v/>
      </c>
      <c r="PI124" s="152">
        <f>IF($MA124&gt;$MO124,$MB124&amp;" · ABRE NO NÍVEL "&amp;$MA124,$MB124)</f>
        <v/>
      </c>
      <c r="PJ124" s="152">
        <f>IF($MN124=0,"",IF($MC124=0,"Sem PE",3*$MC124&amp;" PE"))</f>
        <v/>
      </c>
      <c r="PK124" s="152">
        <f>IF($MN124=0,"",IF($MC124=0,"A atuação básica dela",IF(COUNTIF($NT124:$NU124,"Atrasar")&gt;0,"Sua Ação Completa",IF(COUNTIF($MH124:$MK124,"Rápido")&gt;0,"Sua Bônus",IF(COUNTIF($MH124:$MK124,"Reação")&gt;0,"Sua Reação","Sua Padrão")))&amp;" + a básica dela"&amp;IF(COUNTIF($MH124:$MK124,"Reação")&gt;0," e a coletiva","")&amp;IF(COUNTIF($NT124:$NU124,"Carregar")&gt;0," · em dois turnos","")))</f>
        <v/>
      </c>
      <c r="PL124" s="152">
        <f>IF($MG124&lt;&gt;"",$MG124,IF($MT124=0,"",INDEX($AA$2:$AA$11,$MT124)))</f>
        <v/>
      </c>
      <c r="PM124" s="152">
        <f>IF(OR($MN124=0,$MT124=0),"",IF(COUNTIF($MH124:$MK124,"Inescapável")&gt;0,"Automático",IF($PL124="Ataque",IF($MR124="","Ataque","Ataque "&amp;IF(($MR124+2*IF(COUNTIF($MH124:$MK124,"Precisão")&gt;0,1,0))&gt;=0,"+","−")&amp;ABS(($MR124+2*IF(COUNTIF($MH124:$MK124,"Precisão")&gt;0,1,0)))),IF(LEFT($PL124,2)="TR",$PL124&amp;IF($MS124="",""," · CD "&amp;$MS124)&amp;IF(COUNTIF($MH124:$MK124,"Certeiro")&gt;0," · metade",""),"Sem rolagem"))))</f>
        <v/>
      </c>
      <c r="PN124" s="152">
        <f>IF(OR($MN124=0,$MT124=0),"",IF($MC124=0,IF(OR($NP124&gt;=1,$OM124=0),"Sem dano",$OM124&amp;"d6"&amp;IF($MF124="",""," "&amp;$MF124)),IF(OR($NP124&gt;=1,$OM124=0),UPPER(LEFT(INDEX($OV124:$PB124,1,MAX(1,$MC124)),1))&amp;MID(INDEX($OV124:$PB124,1,MAX(1,$MC124)),2,99),UPPER(LEFT(INDEX($OV124:$PB124,1,MAX(1,$MC124)),1))&amp;MID(INDEX($OV124:$PB124,1,MAX(1,$MC124)),2,99)&amp;IF($MF124="",""," "&amp;$MF124)&amp;IF($ON124&gt;0," · +"&amp;$ON124&amp;"d8",""))))</f>
        <v/>
      </c>
      <c r="PO124" s="152">
        <f>COUNTIF($MH124:$MK124,"Longe")+3*COUNTIF($MH124:$MK124,"Muito Longe")</f>
        <v/>
      </c>
      <c r="PP124" s="152">
        <f>COUNTIF($MH124:$MK124,"Maior")+3*COUNTIF($MH124:$MK124,"Muito Maior")</f>
        <v/>
      </c>
      <c r="PQ124" s="152">
        <f>IF($MT124=0,0,CHOOSE(1+INDEX($AC$2:$AC$11,$MT124),0,$PO124,$PP124,$PO124+$PP124))</f>
        <v/>
      </c>
      <c r="PR124" s="152">
        <f>IF($MT124=0,0,CHOOSE(1+INDEX($AD$2:$AD$11,$MT124),0,$PO124,$PP124,$PO124+$PP124))</f>
        <v/>
      </c>
      <c r="PS124" s="152">
        <f>IF(OR($MN124=0,$MT124=0),"",INDEX($AI$2:$AN$41,($MT124-1)*4+IF($MC124=0,1,IF($MC124&lt;=5,2,IF($MC124=6,3,4))),1+MIN(5,$PQ124))&amp;INDEX($AO$2:$AT$41,($MT124-1)*4+IF($MC124=0,1,IF($MC124&lt;=5,2,IF($MC124=6,3,4))),1+MIN(5,$PR124))&amp;IF(INDEX($AE$2:$AE$11,$MT124)=1,IF(COUNTIF($MH124:$MK124,"Mais Um")&gt;0," · +"&amp;COUNTIF($MH124:$MK124,"Mais Um")&amp;IF(COUNTIF($MH124:$MK124,"Mais Um")&gt;1," alvos"," alvo"),"")&amp;IF(COUNTIF($MH124:$MK124,"Rajada")&gt;0,IF($MC124=0," · 1 tiro"," · "&amp;(MAX(1,$MC124-1)+1)&amp;" tiros"),""),""))</f>
        <v/>
      </c>
      <c r="PT124" s="152">
        <f>IF($MN124=0,"",IF($MC124=0,$MQ124&amp;"d6"&amp;IF($OD124&gt;0," − 1 = "&amp;$OM124&amp;"d6"," da básica do nível "&amp;$MO124),$OK124&amp;" − "&amp;$OF124&amp;" + "&amp;$OI124&amp;" = "&amp;$OL124&amp;" · teto "&amp;4*$MC124&amp;"d8"&amp;IF($NO124=1," · a Forma devolve "&amp;$MC124,"")&amp;IF($OJ124&gt;0," · perde "&amp;$OJ124,"")))</f>
        <v/>
      </c>
      <c r="PU124" s="152">
        <f>IF($MN124=0,"",IF($MC124=0,"A básica não amplia: os dados dela sobem com o nível",IF($MC124&gt;=$MP124,"Já está na maior Classe que o nível liberou",TEXTJOIN(" · ",TRUE,IF(AND(2&gt;$MC124,2&lt;=$MP124),"2 → "&amp;$OW124&amp;", 6 PE",""),IF(AND(3&gt;$MC124,3&lt;=$MP124),"3 → "&amp;$OX124&amp;", 9 PE",""),IF(AND(4&gt;$MC124,4&lt;=$MP124),"4 → "&amp;$OY124&amp;", 12 PE",""),IF(AND(5&gt;$MC124,5&lt;=$MP124),"5 → "&amp;$OZ124&amp;", 15 PE",""),IF(AND(6&gt;$MC124,6&lt;=$MP124),"6 → "&amp;$PA124&amp;", 18 PE",""),IF(AND(7&gt;$MC124,7&lt;=$MP124),"7 → "&amp;$PB124&amp;", 21 PE","")))))</f>
        <v/>
      </c>
      <c r="PV124" s="152">
        <f>IF(OR($MN124=0,$MY124=0),"",IF($MC124=0,"−1 dado","−"&amp;INDEX($I$2:$N$8,MAX(1,$MC124),MAX(1,$ND124))&amp;" · "&amp;CHOOSE(MAX(1,$ND124),"Leve","Média","Pesada","Leve · Livre","Média · Livre","Pesada · Livre")))</f>
        <v/>
      </c>
      <c r="PW124" s="152">
        <f>IF(OR($MN124=0,$MZ124=0),"",IF($MC124=0,"−1 dado","−"&amp;INDEX($I$2:$N$8,MAX(1,$MC124),MAX(1,$NE124))&amp;" · "&amp;CHOOSE(MAX(1,$NE124),"Leve","Média","Pesada","Leve · Livre","Média · Livre","Pesada · Livre")))</f>
        <v/>
      </c>
      <c r="PX124" s="152">
        <f>IF(OR($MN124=0,$NA124=0),"",IF($MC124=0,"−1 dado","−"&amp;INDEX($I$2:$N$8,MAX(1,$MC124),MAX(1,$NF124))&amp;" · "&amp;CHOOSE(MAX(1,$NF124),"Leve","Média","Pesada","Leve · Livre","Média · Livre","Pesada · Livre")))</f>
        <v/>
      </c>
      <c r="PY124" s="152">
        <f>IF(OR($MN124=0,$NB124=0),"",IF($MC124=0,"−1 dado","−"&amp;INDEX($I$2:$N$8,MAX(1,$MC124),MAX(1,$NG124))&amp;" · "&amp;CHOOSE(MAX(1,$NG124),"Leve","Média","Pesada","Leve · Livre","Média · Livre","Pesada · Livre")))</f>
        <v/>
      </c>
      <c r="PZ124" s="152">
        <f>IF(OR($MN124=0,$ML124=""),"",IF($MC124=0,"não devolve","+"&amp;IF($NR124=1,CEILING($MC124/2,1),$MC124)))</f>
        <v/>
      </c>
      <c r="QA124" s="152">
        <f>IF(OR($MN124=0,$MM124=""),"",IF($MC124=0,"não devolve","+"&amp;IF($NS124=1,CEILING($MC124/2,1),$MC124)))</f>
        <v/>
      </c>
    </row>
    <row r="125">
      <c r="LX125" s="150" t="inlineStr">
        <is>
          <t>Ficha 10 · Especial 5</t>
        </is>
      </c>
      <c r="LY125" s="152" t="n">
        <v>10</v>
      </c>
      <c r="LZ125" s="152" t="n">
        <v>1</v>
      </c>
      <c r="MA125" s="152" t="n">
        <v>16</v>
      </c>
      <c r="MB125" s="150" t="inlineStr">
        <is>
          <t>ESPECIAL 5</t>
        </is>
      </c>
      <c r="MC125" s="152">
        <f>MAX(1,MIN(7,N('INVOCAÇÕES'!$AB$708)))</f>
        <v/>
      </c>
      <c r="MD125" s="152">
        <f>'INVOCAÇÕES'!$AC$708&amp;""</f>
        <v/>
      </c>
      <c r="ME125" s="152">
        <f>'INVOCAÇÕES'!$AB$713&amp;""</f>
        <v/>
      </c>
      <c r="MF125" s="152">
        <f>'INVOCAÇÕES'!$AB$714&amp;""</f>
        <v/>
      </c>
      <c r="MG125" s="152">
        <f>'INVOCAÇÕES'!$AD$714&amp;""</f>
        <v/>
      </c>
      <c r="MH125" s="152">
        <f>'INVOCAÇÕES'!$AC$717&amp;""</f>
        <v/>
      </c>
      <c r="MI125" s="152">
        <f>'INVOCAÇÕES'!$AC$718&amp;""</f>
        <v/>
      </c>
      <c r="MJ125" s="152">
        <f>'INVOCAÇÕES'!$AC$719&amp;""</f>
        <v/>
      </c>
      <c r="MK125" s="152">
        <f>'INVOCAÇÕES'!$AC$720&amp;""</f>
        <v/>
      </c>
      <c r="ML125" s="152">
        <f>'INVOCAÇÕES'!$AC$721&amp;""</f>
        <v/>
      </c>
      <c r="MM125" s="152">
        <f>'INVOCAÇÕES'!$AC$722&amp;""</f>
        <v/>
      </c>
      <c r="MN125" s="152">
        <f>IF($MD125&lt;&gt;"",1,0)</f>
        <v/>
      </c>
      <c r="MO125" s="152">
        <f>INDEX($FG$2:$FG$13,$LY125)</f>
        <v/>
      </c>
      <c r="MP125" s="152">
        <f>INDEX($FH$2:$FH$13,$LY125)</f>
        <v/>
      </c>
      <c r="MQ125" s="152">
        <f>INDEX($FI$2:$FI$13,$LY125)</f>
        <v/>
      </c>
      <c r="MR125" s="152">
        <f>INDEX($FT$2:$FT$13,$LY125)</f>
        <v/>
      </c>
      <c r="MS125" s="152">
        <f>INDEX($FU$2:$FU$13,$LY125)</f>
        <v/>
      </c>
      <c r="MT125" s="152">
        <f>IFERROR(MATCH($ME125,$V$2:$V$11,0),0)</f>
        <v/>
      </c>
      <c r="MU125" s="152">
        <f>IFERROR(VLOOKUP($MH125,$AV$2:$AZ$84,2,FALSE),"")</f>
        <v/>
      </c>
      <c r="MV125" s="152">
        <f>IFERROR(VLOOKUP($MI125,$AV$2:$AZ$84,2,FALSE),"")</f>
        <v/>
      </c>
      <c r="MW125" s="152">
        <f>IFERROR(VLOOKUP($MJ125,$AV$2:$AZ$84,2,FALSE),"")</f>
        <v/>
      </c>
      <c r="MX125" s="152">
        <f>IFERROR(VLOOKUP($MK125,$AV$2:$AZ$84,2,FALSE),"")</f>
        <v/>
      </c>
      <c r="MY125" s="152">
        <f>IFERROR(VLOOKUP($MH125,$AV$2:$AZ$84,3,FALSE),0)</f>
        <v/>
      </c>
      <c r="MZ125" s="152">
        <f>IFERROR(VLOOKUP($MI125,$AV$2:$AZ$84,3,FALSE),0)</f>
        <v/>
      </c>
      <c r="NA125" s="152">
        <f>IFERROR(VLOOKUP($MJ125,$AV$2:$AZ$84,3,FALSE),0)</f>
        <v/>
      </c>
      <c r="NB125" s="152">
        <f>IFERROR(VLOOKUP($MK125,$AV$2:$AZ$84,3,FALSE),0)</f>
        <v/>
      </c>
      <c r="NC125" s="152">
        <f>IF($MC125=0,0,IF($MT125=0,0,INDEX($X$2:$X$11,$MT125)))</f>
        <v/>
      </c>
      <c r="ND125" s="152">
        <f>IF(OR($MY125=0,$MC125=0),0,$MY125+3*IF(AND($MU125&lt;&gt;"",OR($MU125=INDEX($ED$2:$ED$13,$LY125),$MU125=INDEX($EE$2:$EE$13,$LY125))),1,0))</f>
        <v/>
      </c>
      <c r="NE125" s="152">
        <f>IF(OR($MZ125=0,$MC125=0),0,$MZ125+3*IF(AND($MV125&lt;&gt;"",OR($MV125=INDEX($ED$2:$ED$13,$LY125),$MV125=INDEX($EE$2:$EE$13,$LY125))),1,0))</f>
        <v/>
      </c>
      <c r="NF125" s="152">
        <f>IF(OR($NA125=0,$MC125=0),0,$NA125+3*IF(AND($MW125&lt;&gt;"",OR($MW125=INDEX($ED$2:$ED$13,$LY125),$MW125=INDEX($EE$2:$EE$13,$LY125))),1,0))</f>
        <v/>
      </c>
      <c r="NG125" s="152">
        <f>IF(OR($NB125=0,$MC125=0),0,$NB125+3*IF(AND($MX125&lt;&gt;"",OR($MX125=INDEX($ED$2:$ED$13,$LY125),$MX125=INDEX($EE$2:$EE$13,$LY125))),1,0))</f>
        <v/>
      </c>
      <c r="NH125" s="152">
        <f>IF($MT125=0,0,IF(INDEX($W$2:$W$11,$MT125)="",0,IF(COUNTIF(INDEX($ED$2:$EH$13,$LY125,0),INDEX($W$2:$W$11,$MT125))=0,1,0)))</f>
        <v/>
      </c>
      <c r="NI125" s="152">
        <f>IF(OR($MY125=0,$MU125=""),0,IF(COUNTIF(INDEX($ED$2:$EH$13,$LY125,0),$MU125)=0,1,0))</f>
        <v/>
      </c>
      <c r="NJ125" s="152">
        <f>IF(OR($MZ125=0,$MV125=""),0,IF(COUNTIF(INDEX($ED$2:$EH$13,$LY125,0),$MV125)=0,1,0))</f>
        <v/>
      </c>
      <c r="NK125" s="152">
        <f>IF(OR($NA125=0,$MW125=""),0,IF(COUNTIF(INDEX($ED$2:$EH$13,$LY125,0),$MW125)=0,1,0))</f>
        <v/>
      </c>
      <c r="NL125" s="152">
        <f>IF(OR($NB125=0,$MX125=""),0,IF(COUNTIF(INDEX($ED$2:$EH$13,$LY125,0),$MX125)=0,1,0))</f>
        <v/>
      </c>
      <c r="NM125" s="152">
        <f>IFERROR(VLOOKUP($MH125,$AV$2:$AZ$84,4,FALSE),0)+IFERROR(VLOOKUP($MI125,$AV$2:$AZ$84,4,FALSE),0)+IFERROR(VLOOKUP($MJ125,$AV$2:$AZ$84,4,FALSE),0)+IFERROR(VLOOKUP($MK125,$AV$2:$AZ$84,4,FALSE),0)</f>
        <v/>
      </c>
      <c r="NN125" s="152">
        <f>TEXTJOIN(", ",TRUE,IF(IFERROR(VLOOKUP($MH125,$AV$2:$AZ$84,5,FALSE),0)=1,$MH125,""),IF(IFERROR(VLOOKUP($MI125,$AV$2:$AZ$84,5,FALSE),0)=1,$MI125,""),IF(IFERROR(VLOOKUP($MJ125,$AV$2:$AZ$84,5,FALSE),0)=1,$MJ125,""),IF(IFERROR(VLOOKUP($MK125,$AV$2:$AZ$84,5,FALSE),0)=1,$MK125,""))</f>
        <v/>
      </c>
      <c r="NO125" s="152">
        <f>IF($MT125=0,0,INDEX($Y$2:$Y$11,$MT125))</f>
        <v/>
      </c>
      <c r="NP125" s="152">
        <f>IF($MT125=0,0,INDEX($Z$2:$Z$11,$MT125))</f>
        <v/>
      </c>
      <c r="NQ125" s="152">
        <f>IF($MT125=0,0,INDEX($AB$2:$AB$11,$MT125))</f>
        <v/>
      </c>
      <c r="NR125" s="152">
        <f>IFERROR(VLOOKUP($ML125,$BB$2:$BF$24,3,FALSE),0)</f>
        <v/>
      </c>
      <c r="NS125" s="152">
        <f>IFERROR(VLOOKUP($MM125,$BB$2:$BF$24,3,FALSE),0)</f>
        <v/>
      </c>
      <c r="NT125" s="152">
        <f>IFERROR(VLOOKUP($ML125,$BB$2:$BF$24,2,FALSE),"")</f>
        <v/>
      </c>
      <c r="NU125" s="152">
        <f>IFERROR(VLOOKUP($MM125,$BB$2:$BF$24,2,FALSE),"")</f>
        <v/>
      </c>
      <c r="NV125" s="152">
        <f>COUNTIF($NC125:$NG125,1)</f>
        <v/>
      </c>
      <c r="NW125" s="152">
        <f>COUNTIF($NC125:$NG125,2)</f>
        <v/>
      </c>
      <c r="NX125" s="152">
        <f>COUNTIF($NC125:$NG125,3)</f>
        <v/>
      </c>
      <c r="NY125" s="152">
        <f>COUNTIF($NC125:$NG125,4)</f>
        <v/>
      </c>
      <c r="NZ125" s="152">
        <f>COUNTIF($NC125:$NG125,5)</f>
        <v/>
      </c>
      <c r="OA125" s="152">
        <f>COUNTIF($NC125:$NG125,6)</f>
        <v/>
      </c>
      <c r="OB125" s="152">
        <f>COUNTIF($NR125:$NS125,1)</f>
        <v/>
      </c>
      <c r="OC125" s="152">
        <f>COUNTIF($NR125:$NS125,2)+$NO125</f>
        <v/>
      </c>
      <c r="OD125" s="152">
        <f>COUNTIF($MH125:$MK125,"?*")</f>
        <v/>
      </c>
      <c r="OE125" s="152">
        <f>COUNTIF($ML125:$MM125,"?*")+$NO125</f>
        <v/>
      </c>
      <c r="OF125" s="152">
        <f>IF($MC125=0,0,SUMPRODUCT($NV125:$OA125,INDEX($I$2:$N$8,MAX(1,$MC125),0)))</f>
        <v/>
      </c>
      <c r="OG125" s="152">
        <f>IF($MC125=0,0,$OB125*CEILING($MC125/2,1)+$OC125*$MC125)</f>
        <v/>
      </c>
      <c r="OH125" s="152">
        <f>MIN(2*$MC125,$OG125)</f>
        <v/>
      </c>
      <c r="OI125" s="152">
        <f>MIN($OH125,$OF125)</f>
        <v/>
      </c>
      <c r="OJ125" s="152">
        <f>$OH125-$OI125</f>
        <v/>
      </c>
      <c r="OK125" s="152">
        <f>IF($MC125=0,0,INDEX($P$2:$P$8,MAX(1,$MC125)))</f>
        <v/>
      </c>
      <c r="OL125" s="152">
        <f>$OK125-$OF125+$OI125</f>
        <v/>
      </c>
      <c r="OM125" s="152">
        <f>IF($MC125=0,MAX(0,$MQ125-IF($OD125&gt;0,1,0)),MAX(0,$OL125))</f>
        <v/>
      </c>
      <c r="ON125" s="152">
        <f>IF($MC125=0,0,(IF(COUNTIF($MH125:$MK125,"Salto")&gt;0,1,0)+IF(COUNTIF($MH125:$MK125,"Queima")&gt;0,1,0)+IF(COUNTIF($MH125:$MK125,"Estilhaço")&gt;0,1,0))*FLOOR($OM125/2,1))</f>
        <v/>
      </c>
      <c r="OO125" s="152">
        <f>MAX(0,2-SUMPRODUCT($NV125:$OA125,$I$2:$N$2)+MIN(2,$OB125*1+$OC125*1,SUMPRODUCT($NV125:$OA125,$I$2:$N$2)))</f>
        <v/>
      </c>
      <c r="OP125" s="152">
        <f>MAX(0,4-SUMPRODUCT($NV125:$OA125,$I$3:$N$3)+MIN(4,$OB125*1+$OC125*2,SUMPRODUCT($NV125:$OA125,$I$3:$N$3)))</f>
        <v/>
      </c>
      <c r="OQ125" s="152">
        <f>MAX(0,6-SUMPRODUCT($NV125:$OA125,$I$4:$N$4)+MIN(6,$OB125*2+$OC125*3,SUMPRODUCT($NV125:$OA125,$I$4:$N$4)))</f>
        <v/>
      </c>
      <c r="OR125" s="152">
        <f>MAX(0,9-SUMPRODUCT($NV125:$OA125,$I$5:$N$5)+MIN(8,$OB125*2+$OC125*4,SUMPRODUCT($NV125:$OA125,$I$5:$N$5)))</f>
        <v/>
      </c>
      <c r="OS125" s="152">
        <f>MAX(0,11-SUMPRODUCT($NV125:$OA125,$I$6:$N$6)+MIN(10,$OB125*3+$OC125*5,SUMPRODUCT($NV125:$OA125,$I$6:$N$6)))</f>
        <v/>
      </c>
      <c r="OT125" s="152">
        <f>MAX(0,13-SUMPRODUCT($NV125:$OA125,$I$7:$N$7)+MIN(12,$OB125*3+$OC125*6,SUMPRODUCT($NV125:$OA125,$I$7:$N$7)))</f>
        <v/>
      </c>
      <c r="OU125" s="152">
        <f>MAX(0,16-SUMPRODUCT($NV125:$OA125,$I$8:$N$8)+MIN(14,$OB125*4+$OC125*7,SUMPRODUCT($NV125:$OA125,$I$8:$N$8)))</f>
        <v/>
      </c>
      <c r="OV125" s="152">
        <f>IF($NP125=2,3*$OO125&amp;" de vida temp.",IF($NP125=3,"sem dano",IF($OO125=0,IF($NP125=1,"sem cura","sem dano"),IF($NP125=1,"cura ","")&amp;$OO125&amp;"d8")))</f>
        <v/>
      </c>
      <c r="OW125" s="152">
        <f>IF($NP125=2,3*$OP125&amp;" de vida temp.",IF($NP125=3,"sem dano",IF($OP125=0,IF($NP125=1,"sem cura","sem dano"),IF($NP125=1,"cura ","")&amp;$OP125&amp;"d8")))</f>
        <v/>
      </c>
      <c r="OX125" s="152">
        <f>IF($NP125=2,3*$OQ125&amp;" de vida temp.",IF($NP125=3,"sem dano",IF($OQ125=0,IF($NP125=1,"sem cura","sem dano"),IF($NP125=1,"cura ","")&amp;$OQ125&amp;"d8")))</f>
        <v/>
      </c>
      <c r="OY125" s="152">
        <f>IF($NP125=2,3*$OR125&amp;" de vida temp.",IF($NP125=3,"sem dano",IF($OR125=0,IF($NP125=1,"sem cura","sem dano"),IF($NP125=1,"cura ","")&amp;$OR125&amp;"d8")))</f>
        <v/>
      </c>
      <c r="OZ125" s="152">
        <f>IF($NP125=2,3*$OS125&amp;" de vida temp.",IF($NP125=3,"sem dano",IF($OS125=0,IF($NP125=1,"sem cura","sem dano"),IF($NP125=1,"cura ","")&amp;$OS125&amp;"d8")))</f>
        <v/>
      </c>
      <c r="PA125" s="152">
        <f>IF($NP125=2,3*$OT125&amp;" de vida temp.",IF($NP125=3,"sem dano",IF($OT125=0,IF($NP125=1,"sem cura","sem dano"),IF($NP125=1,"cura ","")&amp;$OT125&amp;"d8")))</f>
        <v/>
      </c>
      <c r="PB125" s="152">
        <f>IF($NP125=2,3*$OU125&amp;" de vida temp.",IF($NP125=3,"sem dano",IF($OU125=0,IF($NP125=1,"sem cura","sem dano"),IF($NP125=1,"cura ","")&amp;$OU125&amp;"d8")))</f>
        <v/>
      </c>
      <c r="PC125" s="152">
        <f>IF($MN125=0,"",TEXTJOIN(" · ",TRUE,IF($MA125&gt;$MO125,"Este lugar abre no nível "&amp;$MA125,""),IF($MC125&gt;$MP125,"Classe "&amp;$MC125&amp;": o nível "&amp;$MO125&amp;" libera até a "&amp;$MP125,""),IF($NH125=1,"A Forma "&amp;$ME125&amp;" pede "&amp;INDEX($W$2:$W$11,$MT125)&amp;" aberta",""),IF(AND($MC125=0,$MT125&gt;0,IF($MT125=0,0,INDEX($AF$2:$AF$11,$MT125))=0),$ME125&amp;" não existe na Classe 0",""),IF($NI125=1,"Família Fechada: "&amp;$MH125,""),IF($NJ125=1,"Família Fechada: "&amp;$MI125,""),IF($NK125=1,"Família Fechada: "&amp;$MJ125,""),IF($NL125=1,"Família Fechada: "&amp;$MK125,""),IF(AND($MC125&gt;0,$OD125&gt;INDEX($O$2:$O$8,MAX(1,$MC125))),$OD125&amp;" Melhorias: a Classe "&amp;$MC125&amp;" aceita "&amp;INDEX($O$2:$O$8,MAX(1,$MC125)),""),IF(AND($MC125=0,$OD125&gt;1),"A básica aceita uma Melhoria",""),IF(AND($MC125=0,COUNTIF($MY125:$NB125,"&gt;1")&gt;0),"A básica só aceita Melhoria Leve",""),IF(AND($MC125&gt;0,$OE125&gt;2),$OE125&amp;" Restrições"&amp;IF($NO125=1,", contando a que a Forma "&amp;$ME125&amp;" já traz","")&amp;": o limite é 2",""),IF(AND($MC125=0,COUNTIF($ML125:$MM125,"?*")&gt;1),"A básica aceita uma Restrição Leve",""),IF(AND($MC125=0,COUNTIF($NR125:$NS125,2)&gt;0),"A básica só aceita Restrição Leve",""),IF(AND($MC125&gt;0,$OL125&lt;0),"Orçamento estourado: faltam "&amp;(-$OL125)&amp;IF($OL125&lt;-1," pontos"," ponto"),""),IF(IFERROR(VLOOKUP($ML125,$BB$2:$BF$24,4,FALSE),0)+IFERROR(VLOOKUP($MM125,$BB$2:$BF$24,4,FALSE),0)&gt;1,$NT125&amp;" e "&amp;$NU125&amp;" são as duas de frequência",""),IF(AND((COUNTIF($MH125:$MK125,"Rápido")+COUNTIF($NT125:$NU125,"Rápido"))&gt;0,(COUNTIF($MH125:$MK125,"Atrasar")+COUNTIF($NT125:$NU125,"Atrasar"))&gt;0),"Rápido não entra com Atrasar",""),IF(AND((COUNTIF($MH125:$MK125,"Reação")+COUNTIF($NT125:$NU125,"Reação"))&gt;0,(COUNTIF($MH125:$MK125,"Rápido")+COUNTIF($NT125:$NU125,"Rápido"))&gt;0),"Reação não entra com Rápido",""),IF(AND((COUNTIF($MH125:$MK125,"Reação")+COUNTIF($NT125:$NU125,"Reação"))&gt;0,(COUNTIF($MH125:$MK125,"Armado")+COUNTIF($NT125:$NU125,"Armado"))&gt;0),"Reação não entra com Armado",""),IF(AND((COUNTIF($MH125:$MK125,"Reação")+COUNTIF($NT125:$NU125,"Reação"))&gt;0,(COUNTIF($MH125:$MK125,"Atrasar")+COUNTIF($NT125:$NU125,"Atrasar"))&gt;0),"Reação não entra com Atrasar",""),IF(AND((COUNTIF($MH125:$MK125,"Reação")+COUNTIF($NT125:$NU125,"Reação"))&gt;0,(COUNTIF($MH125:$MK125,"Parado")+COUNTIF($NT125:$NU125,"Parado"))&gt;0),"Reação não entra com Parado",""),IF(AND((COUNTIF($MH125:$MK125,"Atrasar")+COUNTIF($NT125:$NU125,"Atrasar"))&gt;0,(COUNTIF($MH125:$MK125,"Parado")+COUNTIF($NT125:$NU125,"Parado"))&gt;0),"Atrasar não entra com Parado",""),IF(AND((COUNTIF($MH125:$MK125,"Armado")+COUNTIF($NT125:$NU125,"Armado"))&gt;0,(COUNTIF($MH125:$MK125,"Carregar")+COUNTIF($NT125:$NU125,"Carregar"))&gt;0),"Armado não entra com Carregar",""),IF(AND(COUNTIF($NT125:$NU125,"Corpo a Corpo")&gt;0,$NO125=0,OR($ME125="Cone",$ME125="Linha")),"Corpo a Corpo não entra em "&amp;$ME125,""),IF(AND(COUNTIF($NT125:$NU125,"Corpo a Corpo")&gt;0,$NO125=1),"A Forma "&amp;$ME125&amp;" já traz o Corpo a Corpo",""),IF(AND(COUNTIF($NT125:$NU125,"Tudo ou Nada")&gt;0,$NQ125=0),"Tudo ou Nada só entra em habilidade de Teste de Resistência",""),IF(AND(COUNTIF($MH125:$MK125,"Inescapável")&gt;0,OR($OD125&gt;1,$OE125&gt;0)),"Inescapável não aceita outra peça",""),IF(AND($MC125&gt;0,$OM125*IF(COUNTIF($MH125:$MK125,"Remate")&gt;0,1.25,1)+$ON125&gt;4*$MC125),($OM125*IF(COUNTIF($MH125:$MK125,"Remate")&gt;0,1.25,1)+$ON125)&amp;" dados somando repetições"&amp;IF(COUNTIF($MH125:$MK125,"Remate")&gt;0," e o Remate","")&amp;": o teto da Classe "&amp;$MC125&amp;" é "&amp;4*$MC125,"")))</f>
        <v/>
      </c>
      <c r="PD125" s="152">
        <f>IF($PC125="",0,(LEN($PC125)-LEN(SUBSTITUTE($PC125," · ","")))/3+1)</f>
        <v/>
      </c>
      <c r="PE125" s="152">
        <f>IF($MN125=0,"",TEXTJOIN(" · ",TRUE,IF($OG125&gt;2*$MC125,"A devolução parou no teto de "&amp;2*$MC125,""),IF($OJ125&gt;0,"Devolução perdida: "&amp;$OJ125&amp;IF($OJ125&gt;1," pontos"," ponto")&amp;" sem peça para pagar",""),IF(AND($NM125&gt;0,AND($MC125&gt;0,$NP125=0),$OM125=0),"Controle sem dano: uma rodada a mais e CD +2",""),IF(AND($NM125&gt;0,AND($MC125&gt;0,$NP125=0),$OM125&gt;0,$OM125&lt;=$MC125),"Controle com saldo até a Classe: uma rodada a mais",""),IF(AND($MC125&gt;0,$NN125&lt;&gt;""),"Efeito de "&amp;$NN125&amp;" pela Classe "&amp;MAX(1,$MC125-1),"")))</f>
        <v/>
      </c>
      <c r="PF125" s="152">
        <f>IF($PE125="",0,(LEN($PE125)-LEN(SUBSTITUTE($PE125," · ","")))/3+1)</f>
        <v/>
      </c>
      <c r="PG125" s="152">
        <f>IF($MN125=0,IF($OD125+COUNTIF($ML125:$MM125,"?*")&gt;0,"Dê um nome",""),IF($PD125&gt;0,"⚠ "&amp;$PD125&amp;IF($PD125&gt;1," erros"," erro"),IF($PF125&gt;0,"! "&amp;$PF125&amp;IF($PF125&gt;1," avisos"," aviso"),"Na regra")))</f>
        <v/>
      </c>
      <c r="PH125" s="152">
        <f>IF($MN125=0,"",IF($PD125+$PF125=0,"Dentro das regras que a ficha confere",$PC125&amp;IF(AND($PD125&gt;0,$PF125&gt;0)," · ","")&amp;$PE125))</f>
        <v/>
      </c>
      <c r="PI125" s="152">
        <f>IF($MA125&gt;$MO125,$MB125&amp;" · ABRE NO NÍVEL "&amp;$MA125,$MB125)</f>
        <v/>
      </c>
      <c r="PJ125" s="152">
        <f>IF($MN125=0,"",IF($MC125=0,"Sem PE",3*$MC125&amp;" PE"))</f>
        <v/>
      </c>
      <c r="PK125" s="152">
        <f>IF($MN125=0,"",IF($MC125=0,"A atuação básica dela",IF(COUNTIF($NT125:$NU125,"Atrasar")&gt;0,"Sua Ação Completa",IF(COUNTIF($MH125:$MK125,"Rápido")&gt;0,"Sua Bônus",IF(COUNTIF($MH125:$MK125,"Reação")&gt;0,"Sua Reação","Sua Padrão")))&amp;" + a básica dela"&amp;IF(COUNTIF($MH125:$MK125,"Reação")&gt;0," e a coletiva","")&amp;IF(COUNTIF($NT125:$NU125,"Carregar")&gt;0," · em dois turnos","")))</f>
        <v/>
      </c>
      <c r="PL125" s="152">
        <f>IF($MG125&lt;&gt;"",$MG125,IF($MT125=0,"",INDEX($AA$2:$AA$11,$MT125)))</f>
        <v/>
      </c>
      <c r="PM125" s="152">
        <f>IF(OR($MN125=0,$MT125=0),"",IF(COUNTIF($MH125:$MK125,"Inescapável")&gt;0,"Automático",IF($PL125="Ataque",IF($MR125="","Ataque","Ataque "&amp;IF(($MR125+2*IF(COUNTIF($MH125:$MK125,"Precisão")&gt;0,1,0))&gt;=0,"+","−")&amp;ABS(($MR125+2*IF(COUNTIF($MH125:$MK125,"Precisão")&gt;0,1,0)))),IF(LEFT($PL125,2)="TR",$PL125&amp;IF($MS125="",""," · CD "&amp;$MS125)&amp;IF(COUNTIF($MH125:$MK125,"Certeiro")&gt;0," · metade",""),"Sem rolagem"))))</f>
        <v/>
      </c>
      <c r="PN125" s="152">
        <f>IF(OR($MN125=0,$MT125=0),"",IF($MC125=0,IF(OR($NP125&gt;=1,$OM125=0),"Sem dano",$OM125&amp;"d6"&amp;IF($MF125="",""," "&amp;$MF125)),IF(OR($NP125&gt;=1,$OM125=0),UPPER(LEFT(INDEX($OV125:$PB125,1,MAX(1,$MC125)),1))&amp;MID(INDEX($OV125:$PB125,1,MAX(1,$MC125)),2,99),UPPER(LEFT(INDEX($OV125:$PB125,1,MAX(1,$MC125)),1))&amp;MID(INDEX($OV125:$PB125,1,MAX(1,$MC125)),2,99)&amp;IF($MF125="",""," "&amp;$MF125)&amp;IF($ON125&gt;0," · +"&amp;$ON125&amp;"d8",""))))</f>
        <v/>
      </c>
      <c r="PO125" s="152">
        <f>COUNTIF($MH125:$MK125,"Longe")+3*COUNTIF($MH125:$MK125,"Muito Longe")</f>
        <v/>
      </c>
      <c r="PP125" s="152">
        <f>COUNTIF($MH125:$MK125,"Maior")+3*COUNTIF($MH125:$MK125,"Muito Maior")</f>
        <v/>
      </c>
      <c r="PQ125" s="152">
        <f>IF($MT125=0,0,CHOOSE(1+INDEX($AC$2:$AC$11,$MT125),0,$PO125,$PP125,$PO125+$PP125))</f>
        <v/>
      </c>
      <c r="PR125" s="152">
        <f>IF($MT125=0,0,CHOOSE(1+INDEX($AD$2:$AD$11,$MT125),0,$PO125,$PP125,$PO125+$PP125))</f>
        <v/>
      </c>
      <c r="PS125" s="152">
        <f>IF(OR($MN125=0,$MT125=0),"",INDEX($AI$2:$AN$41,($MT125-1)*4+IF($MC125=0,1,IF($MC125&lt;=5,2,IF($MC125=6,3,4))),1+MIN(5,$PQ125))&amp;INDEX($AO$2:$AT$41,($MT125-1)*4+IF($MC125=0,1,IF($MC125&lt;=5,2,IF($MC125=6,3,4))),1+MIN(5,$PR125))&amp;IF(INDEX($AE$2:$AE$11,$MT125)=1,IF(COUNTIF($MH125:$MK125,"Mais Um")&gt;0," · +"&amp;COUNTIF($MH125:$MK125,"Mais Um")&amp;IF(COUNTIF($MH125:$MK125,"Mais Um")&gt;1," alvos"," alvo"),"")&amp;IF(COUNTIF($MH125:$MK125,"Rajada")&gt;0,IF($MC125=0," · 1 tiro"," · "&amp;(MAX(1,$MC125-1)+1)&amp;" tiros"),""),""))</f>
        <v/>
      </c>
      <c r="PT125" s="152">
        <f>IF($MN125=0,"",IF($MC125=0,$MQ125&amp;"d6"&amp;IF($OD125&gt;0," − 1 = "&amp;$OM125&amp;"d6"," da básica do nível "&amp;$MO125),$OK125&amp;" − "&amp;$OF125&amp;" + "&amp;$OI125&amp;" = "&amp;$OL125&amp;" · teto "&amp;4*$MC125&amp;"d8"&amp;IF($NO125=1," · a Forma devolve "&amp;$MC125,"")&amp;IF($OJ125&gt;0," · perde "&amp;$OJ125,"")))</f>
        <v/>
      </c>
      <c r="PU125" s="152">
        <f>IF($MN125=0,"",IF($MC125=0,"A básica não amplia: os dados dela sobem com o nível",IF($MC125&gt;=$MP125,"Já está na maior Classe que o nível liberou",TEXTJOIN(" · ",TRUE,IF(AND(2&gt;$MC125,2&lt;=$MP125),"2 → "&amp;$OW125&amp;", 6 PE",""),IF(AND(3&gt;$MC125,3&lt;=$MP125),"3 → "&amp;$OX125&amp;", 9 PE",""),IF(AND(4&gt;$MC125,4&lt;=$MP125),"4 → "&amp;$OY125&amp;", 12 PE",""),IF(AND(5&gt;$MC125,5&lt;=$MP125),"5 → "&amp;$OZ125&amp;", 15 PE",""),IF(AND(6&gt;$MC125,6&lt;=$MP125),"6 → "&amp;$PA125&amp;", 18 PE",""),IF(AND(7&gt;$MC125,7&lt;=$MP125),"7 → "&amp;$PB125&amp;", 21 PE","")))))</f>
        <v/>
      </c>
      <c r="PV125" s="152">
        <f>IF(OR($MN125=0,$MY125=0),"",IF($MC125=0,"−1 dado","−"&amp;INDEX($I$2:$N$8,MAX(1,$MC125),MAX(1,$ND125))&amp;" · "&amp;CHOOSE(MAX(1,$ND125),"Leve","Média","Pesada","Leve · Livre","Média · Livre","Pesada · Livre")))</f>
        <v/>
      </c>
      <c r="PW125" s="152">
        <f>IF(OR($MN125=0,$MZ125=0),"",IF($MC125=0,"−1 dado","−"&amp;INDEX($I$2:$N$8,MAX(1,$MC125),MAX(1,$NE125))&amp;" · "&amp;CHOOSE(MAX(1,$NE125),"Leve","Média","Pesada","Leve · Livre","Média · Livre","Pesada · Livre")))</f>
        <v/>
      </c>
      <c r="PX125" s="152">
        <f>IF(OR($MN125=0,$NA125=0),"",IF($MC125=0,"−1 dado","−"&amp;INDEX($I$2:$N$8,MAX(1,$MC125),MAX(1,$NF125))&amp;" · "&amp;CHOOSE(MAX(1,$NF125),"Leve","Média","Pesada","Leve · Livre","Média · Livre","Pesada · Livre")))</f>
        <v/>
      </c>
      <c r="PY125" s="152">
        <f>IF(OR($MN125=0,$NB125=0),"",IF($MC125=0,"−1 dado","−"&amp;INDEX($I$2:$N$8,MAX(1,$MC125),MAX(1,$NG125))&amp;" · "&amp;CHOOSE(MAX(1,$NG125),"Leve","Média","Pesada","Leve · Livre","Média · Livre","Pesada · Livre")))</f>
        <v/>
      </c>
      <c r="PZ125" s="152">
        <f>IF(OR($MN125=0,$ML125=""),"",IF($MC125=0,"não devolve","+"&amp;IF($NR125=1,CEILING($MC125/2,1),$MC125)))</f>
        <v/>
      </c>
      <c r="QA125" s="152">
        <f>IF(OR($MN125=0,$MM125=""),"",IF($MC125=0,"não devolve","+"&amp;IF($NS125=1,CEILING($MC125/2,1),$MC125)))</f>
        <v/>
      </c>
    </row>
    <row r="126">
      <c r="LX126" s="150" t="inlineStr">
        <is>
          <t>Ficha 10 · Especial 6</t>
        </is>
      </c>
      <c r="LY126" s="152" t="n">
        <v>10</v>
      </c>
      <c r="LZ126" s="152" t="n">
        <v>1</v>
      </c>
      <c r="MA126" s="152" t="n">
        <v>20</v>
      </c>
      <c r="MB126" s="150" t="inlineStr">
        <is>
          <t>ESPECIAL 6</t>
        </is>
      </c>
      <c r="MC126" s="152">
        <f>MAX(1,MIN(7,N('INVOCAÇÕES'!$AH$708)))</f>
        <v/>
      </c>
      <c r="MD126" s="152">
        <f>'INVOCAÇÕES'!$AI$708&amp;""</f>
        <v/>
      </c>
      <c r="ME126" s="152">
        <f>'INVOCAÇÕES'!$AH$713&amp;""</f>
        <v/>
      </c>
      <c r="MF126" s="152">
        <f>'INVOCAÇÕES'!$AH$714&amp;""</f>
        <v/>
      </c>
      <c r="MG126" s="152">
        <f>'INVOCAÇÕES'!$AJ$714&amp;""</f>
        <v/>
      </c>
      <c r="MH126" s="152">
        <f>'INVOCAÇÕES'!$AI$717&amp;""</f>
        <v/>
      </c>
      <c r="MI126" s="152">
        <f>'INVOCAÇÕES'!$AI$718&amp;""</f>
        <v/>
      </c>
      <c r="MJ126" s="152">
        <f>'INVOCAÇÕES'!$AI$719&amp;""</f>
        <v/>
      </c>
      <c r="MK126" s="152">
        <f>'INVOCAÇÕES'!$AI$720&amp;""</f>
        <v/>
      </c>
      <c r="ML126" s="152">
        <f>'INVOCAÇÕES'!$AI$721&amp;""</f>
        <v/>
      </c>
      <c r="MM126" s="152">
        <f>'INVOCAÇÕES'!$AI$722&amp;""</f>
        <v/>
      </c>
      <c r="MN126" s="152">
        <f>IF($MD126&lt;&gt;"",1,0)</f>
        <v/>
      </c>
      <c r="MO126" s="152">
        <f>INDEX($FG$2:$FG$13,$LY126)</f>
        <v/>
      </c>
      <c r="MP126" s="152">
        <f>INDEX($FH$2:$FH$13,$LY126)</f>
        <v/>
      </c>
      <c r="MQ126" s="152">
        <f>INDEX($FI$2:$FI$13,$LY126)</f>
        <v/>
      </c>
      <c r="MR126" s="152">
        <f>INDEX($FT$2:$FT$13,$LY126)</f>
        <v/>
      </c>
      <c r="MS126" s="152">
        <f>INDEX($FU$2:$FU$13,$LY126)</f>
        <v/>
      </c>
      <c r="MT126" s="152">
        <f>IFERROR(MATCH($ME126,$V$2:$V$11,0),0)</f>
        <v/>
      </c>
      <c r="MU126" s="152">
        <f>IFERROR(VLOOKUP($MH126,$AV$2:$AZ$84,2,FALSE),"")</f>
        <v/>
      </c>
      <c r="MV126" s="152">
        <f>IFERROR(VLOOKUP($MI126,$AV$2:$AZ$84,2,FALSE),"")</f>
        <v/>
      </c>
      <c r="MW126" s="152">
        <f>IFERROR(VLOOKUP($MJ126,$AV$2:$AZ$84,2,FALSE),"")</f>
        <v/>
      </c>
      <c r="MX126" s="152">
        <f>IFERROR(VLOOKUP($MK126,$AV$2:$AZ$84,2,FALSE),"")</f>
        <v/>
      </c>
      <c r="MY126" s="152">
        <f>IFERROR(VLOOKUP($MH126,$AV$2:$AZ$84,3,FALSE),0)</f>
        <v/>
      </c>
      <c r="MZ126" s="152">
        <f>IFERROR(VLOOKUP($MI126,$AV$2:$AZ$84,3,FALSE),0)</f>
        <v/>
      </c>
      <c r="NA126" s="152">
        <f>IFERROR(VLOOKUP($MJ126,$AV$2:$AZ$84,3,FALSE),0)</f>
        <v/>
      </c>
      <c r="NB126" s="152">
        <f>IFERROR(VLOOKUP($MK126,$AV$2:$AZ$84,3,FALSE),0)</f>
        <v/>
      </c>
      <c r="NC126" s="152">
        <f>IF($MC126=0,0,IF($MT126=0,0,INDEX($X$2:$X$11,$MT126)))</f>
        <v/>
      </c>
      <c r="ND126" s="152">
        <f>IF(OR($MY126=0,$MC126=0),0,$MY126+3*IF(AND($MU126&lt;&gt;"",OR($MU126=INDEX($ED$2:$ED$13,$LY126),$MU126=INDEX($EE$2:$EE$13,$LY126))),1,0))</f>
        <v/>
      </c>
      <c r="NE126" s="152">
        <f>IF(OR($MZ126=0,$MC126=0),0,$MZ126+3*IF(AND($MV126&lt;&gt;"",OR($MV126=INDEX($ED$2:$ED$13,$LY126),$MV126=INDEX($EE$2:$EE$13,$LY126))),1,0))</f>
        <v/>
      </c>
      <c r="NF126" s="152">
        <f>IF(OR($NA126=0,$MC126=0),0,$NA126+3*IF(AND($MW126&lt;&gt;"",OR($MW126=INDEX($ED$2:$ED$13,$LY126),$MW126=INDEX($EE$2:$EE$13,$LY126))),1,0))</f>
        <v/>
      </c>
      <c r="NG126" s="152">
        <f>IF(OR($NB126=0,$MC126=0),0,$NB126+3*IF(AND($MX126&lt;&gt;"",OR($MX126=INDEX($ED$2:$ED$13,$LY126),$MX126=INDEX($EE$2:$EE$13,$LY126))),1,0))</f>
        <v/>
      </c>
      <c r="NH126" s="152">
        <f>IF($MT126=0,0,IF(INDEX($W$2:$W$11,$MT126)="",0,IF(COUNTIF(INDEX($ED$2:$EH$13,$LY126,0),INDEX($W$2:$W$11,$MT126))=0,1,0)))</f>
        <v/>
      </c>
      <c r="NI126" s="152">
        <f>IF(OR($MY126=0,$MU126=""),0,IF(COUNTIF(INDEX($ED$2:$EH$13,$LY126,0),$MU126)=0,1,0))</f>
        <v/>
      </c>
      <c r="NJ126" s="152">
        <f>IF(OR($MZ126=0,$MV126=""),0,IF(COUNTIF(INDEX($ED$2:$EH$13,$LY126,0),$MV126)=0,1,0))</f>
        <v/>
      </c>
      <c r="NK126" s="152">
        <f>IF(OR($NA126=0,$MW126=""),0,IF(COUNTIF(INDEX($ED$2:$EH$13,$LY126,0),$MW126)=0,1,0))</f>
        <v/>
      </c>
      <c r="NL126" s="152">
        <f>IF(OR($NB126=0,$MX126=""),0,IF(COUNTIF(INDEX($ED$2:$EH$13,$LY126,0),$MX126)=0,1,0))</f>
        <v/>
      </c>
      <c r="NM126" s="152">
        <f>IFERROR(VLOOKUP($MH126,$AV$2:$AZ$84,4,FALSE),0)+IFERROR(VLOOKUP($MI126,$AV$2:$AZ$84,4,FALSE),0)+IFERROR(VLOOKUP($MJ126,$AV$2:$AZ$84,4,FALSE),0)+IFERROR(VLOOKUP($MK126,$AV$2:$AZ$84,4,FALSE),0)</f>
        <v/>
      </c>
      <c r="NN126" s="152">
        <f>TEXTJOIN(", ",TRUE,IF(IFERROR(VLOOKUP($MH126,$AV$2:$AZ$84,5,FALSE),0)=1,$MH126,""),IF(IFERROR(VLOOKUP($MI126,$AV$2:$AZ$84,5,FALSE),0)=1,$MI126,""),IF(IFERROR(VLOOKUP($MJ126,$AV$2:$AZ$84,5,FALSE),0)=1,$MJ126,""),IF(IFERROR(VLOOKUP($MK126,$AV$2:$AZ$84,5,FALSE),0)=1,$MK126,""))</f>
        <v/>
      </c>
      <c r="NO126" s="152">
        <f>IF($MT126=0,0,INDEX($Y$2:$Y$11,$MT126))</f>
        <v/>
      </c>
      <c r="NP126" s="152">
        <f>IF($MT126=0,0,INDEX($Z$2:$Z$11,$MT126))</f>
        <v/>
      </c>
      <c r="NQ126" s="152">
        <f>IF($MT126=0,0,INDEX($AB$2:$AB$11,$MT126))</f>
        <v/>
      </c>
      <c r="NR126" s="152">
        <f>IFERROR(VLOOKUP($ML126,$BB$2:$BF$24,3,FALSE),0)</f>
        <v/>
      </c>
      <c r="NS126" s="152">
        <f>IFERROR(VLOOKUP($MM126,$BB$2:$BF$24,3,FALSE),0)</f>
        <v/>
      </c>
      <c r="NT126" s="152">
        <f>IFERROR(VLOOKUP($ML126,$BB$2:$BF$24,2,FALSE),"")</f>
        <v/>
      </c>
      <c r="NU126" s="152">
        <f>IFERROR(VLOOKUP($MM126,$BB$2:$BF$24,2,FALSE),"")</f>
        <v/>
      </c>
      <c r="NV126" s="152">
        <f>COUNTIF($NC126:$NG126,1)</f>
        <v/>
      </c>
      <c r="NW126" s="152">
        <f>COUNTIF($NC126:$NG126,2)</f>
        <v/>
      </c>
      <c r="NX126" s="152">
        <f>COUNTIF($NC126:$NG126,3)</f>
        <v/>
      </c>
      <c r="NY126" s="152">
        <f>COUNTIF($NC126:$NG126,4)</f>
        <v/>
      </c>
      <c r="NZ126" s="152">
        <f>COUNTIF($NC126:$NG126,5)</f>
        <v/>
      </c>
      <c r="OA126" s="152">
        <f>COUNTIF($NC126:$NG126,6)</f>
        <v/>
      </c>
      <c r="OB126" s="152">
        <f>COUNTIF($NR126:$NS126,1)</f>
        <v/>
      </c>
      <c r="OC126" s="152">
        <f>COUNTIF($NR126:$NS126,2)+$NO126</f>
        <v/>
      </c>
      <c r="OD126" s="152">
        <f>COUNTIF($MH126:$MK126,"?*")</f>
        <v/>
      </c>
      <c r="OE126" s="152">
        <f>COUNTIF($ML126:$MM126,"?*")+$NO126</f>
        <v/>
      </c>
      <c r="OF126" s="152">
        <f>IF($MC126=0,0,SUMPRODUCT($NV126:$OA126,INDEX($I$2:$N$8,MAX(1,$MC126),0)))</f>
        <v/>
      </c>
      <c r="OG126" s="152">
        <f>IF($MC126=0,0,$OB126*CEILING($MC126/2,1)+$OC126*$MC126)</f>
        <v/>
      </c>
      <c r="OH126" s="152">
        <f>MIN(2*$MC126,$OG126)</f>
        <v/>
      </c>
      <c r="OI126" s="152">
        <f>MIN($OH126,$OF126)</f>
        <v/>
      </c>
      <c r="OJ126" s="152">
        <f>$OH126-$OI126</f>
        <v/>
      </c>
      <c r="OK126" s="152">
        <f>IF($MC126=0,0,INDEX($P$2:$P$8,MAX(1,$MC126)))</f>
        <v/>
      </c>
      <c r="OL126" s="152">
        <f>$OK126-$OF126+$OI126</f>
        <v/>
      </c>
      <c r="OM126" s="152">
        <f>IF($MC126=0,MAX(0,$MQ126-IF($OD126&gt;0,1,0)),MAX(0,$OL126))</f>
        <v/>
      </c>
      <c r="ON126" s="152">
        <f>IF($MC126=0,0,(IF(COUNTIF($MH126:$MK126,"Salto")&gt;0,1,0)+IF(COUNTIF($MH126:$MK126,"Queima")&gt;0,1,0)+IF(COUNTIF($MH126:$MK126,"Estilhaço")&gt;0,1,0))*FLOOR($OM126/2,1))</f>
        <v/>
      </c>
      <c r="OO126" s="152">
        <f>MAX(0,2-SUMPRODUCT($NV126:$OA126,$I$2:$N$2)+MIN(2,$OB126*1+$OC126*1,SUMPRODUCT($NV126:$OA126,$I$2:$N$2)))</f>
        <v/>
      </c>
      <c r="OP126" s="152">
        <f>MAX(0,4-SUMPRODUCT($NV126:$OA126,$I$3:$N$3)+MIN(4,$OB126*1+$OC126*2,SUMPRODUCT($NV126:$OA126,$I$3:$N$3)))</f>
        <v/>
      </c>
      <c r="OQ126" s="152">
        <f>MAX(0,6-SUMPRODUCT($NV126:$OA126,$I$4:$N$4)+MIN(6,$OB126*2+$OC126*3,SUMPRODUCT($NV126:$OA126,$I$4:$N$4)))</f>
        <v/>
      </c>
      <c r="OR126" s="152">
        <f>MAX(0,9-SUMPRODUCT($NV126:$OA126,$I$5:$N$5)+MIN(8,$OB126*2+$OC126*4,SUMPRODUCT($NV126:$OA126,$I$5:$N$5)))</f>
        <v/>
      </c>
      <c r="OS126" s="152">
        <f>MAX(0,11-SUMPRODUCT($NV126:$OA126,$I$6:$N$6)+MIN(10,$OB126*3+$OC126*5,SUMPRODUCT($NV126:$OA126,$I$6:$N$6)))</f>
        <v/>
      </c>
      <c r="OT126" s="152">
        <f>MAX(0,13-SUMPRODUCT($NV126:$OA126,$I$7:$N$7)+MIN(12,$OB126*3+$OC126*6,SUMPRODUCT($NV126:$OA126,$I$7:$N$7)))</f>
        <v/>
      </c>
      <c r="OU126" s="152">
        <f>MAX(0,16-SUMPRODUCT($NV126:$OA126,$I$8:$N$8)+MIN(14,$OB126*4+$OC126*7,SUMPRODUCT($NV126:$OA126,$I$8:$N$8)))</f>
        <v/>
      </c>
      <c r="OV126" s="152">
        <f>IF($NP126=2,3*$OO126&amp;" de vida temp.",IF($NP126=3,"sem dano",IF($OO126=0,IF($NP126=1,"sem cura","sem dano"),IF($NP126=1,"cura ","")&amp;$OO126&amp;"d8")))</f>
        <v/>
      </c>
      <c r="OW126" s="152">
        <f>IF($NP126=2,3*$OP126&amp;" de vida temp.",IF($NP126=3,"sem dano",IF($OP126=0,IF($NP126=1,"sem cura","sem dano"),IF($NP126=1,"cura ","")&amp;$OP126&amp;"d8")))</f>
        <v/>
      </c>
      <c r="OX126" s="152">
        <f>IF($NP126=2,3*$OQ126&amp;" de vida temp.",IF($NP126=3,"sem dano",IF($OQ126=0,IF($NP126=1,"sem cura","sem dano"),IF($NP126=1,"cura ","")&amp;$OQ126&amp;"d8")))</f>
        <v/>
      </c>
      <c r="OY126" s="152">
        <f>IF($NP126=2,3*$OR126&amp;" de vida temp.",IF($NP126=3,"sem dano",IF($OR126=0,IF($NP126=1,"sem cura","sem dano"),IF($NP126=1,"cura ","")&amp;$OR126&amp;"d8")))</f>
        <v/>
      </c>
      <c r="OZ126" s="152">
        <f>IF($NP126=2,3*$OS126&amp;" de vida temp.",IF($NP126=3,"sem dano",IF($OS126=0,IF($NP126=1,"sem cura","sem dano"),IF($NP126=1,"cura ","")&amp;$OS126&amp;"d8")))</f>
        <v/>
      </c>
      <c r="PA126" s="152">
        <f>IF($NP126=2,3*$OT126&amp;" de vida temp.",IF($NP126=3,"sem dano",IF($OT126=0,IF($NP126=1,"sem cura","sem dano"),IF($NP126=1,"cura ","")&amp;$OT126&amp;"d8")))</f>
        <v/>
      </c>
      <c r="PB126" s="152">
        <f>IF($NP126=2,3*$OU126&amp;" de vida temp.",IF($NP126=3,"sem dano",IF($OU126=0,IF($NP126=1,"sem cura","sem dano"),IF($NP126=1,"cura ","")&amp;$OU126&amp;"d8")))</f>
        <v/>
      </c>
      <c r="PC126" s="152">
        <f>IF($MN126=0,"",TEXTJOIN(" · ",TRUE,IF($MA126&gt;$MO126,"Este lugar abre no nível "&amp;$MA126,""),IF($MC126&gt;$MP126,"Classe "&amp;$MC126&amp;": o nível "&amp;$MO126&amp;" libera até a "&amp;$MP126,""),IF($NH126=1,"A Forma "&amp;$ME126&amp;" pede "&amp;INDEX($W$2:$W$11,$MT126)&amp;" aberta",""),IF(AND($MC126=0,$MT126&gt;0,IF($MT126=0,0,INDEX($AF$2:$AF$11,$MT126))=0),$ME126&amp;" não existe na Classe 0",""),IF($NI126=1,"Família Fechada: "&amp;$MH126,""),IF($NJ126=1,"Família Fechada: "&amp;$MI126,""),IF($NK126=1,"Família Fechada: "&amp;$MJ126,""),IF($NL126=1,"Família Fechada: "&amp;$MK126,""),IF(AND($MC126&gt;0,$OD126&gt;INDEX($O$2:$O$8,MAX(1,$MC126))),$OD126&amp;" Melhorias: a Classe "&amp;$MC126&amp;" aceita "&amp;INDEX($O$2:$O$8,MAX(1,$MC126)),""),IF(AND($MC126=0,$OD126&gt;1),"A básica aceita uma Melhoria",""),IF(AND($MC126=0,COUNTIF($MY126:$NB126,"&gt;1")&gt;0),"A básica só aceita Melhoria Leve",""),IF(AND($MC126&gt;0,$OE126&gt;2),$OE126&amp;" Restrições"&amp;IF($NO126=1,", contando a que a Forma "&amp;$ME126&amp;" já traz","")&amp;": o limite é 2",""),IF(AND($MC126=0,COUNTIF($ML126:$MM126,"?*")&gt;1),"A básica aceita uma Restrição Leve",""),IF(AND($MC126=0,COUNTIF($NR126:$NS126,2)&gt;0),"A básica só aceita Restrição Leve",""),IF(AND($MC126&gt;0,$OL126&lt;0),"Orçamento estourado: faltam "&amp;(-$OL126)&amp;IF($OL126&lt;-1," pontos"," ponto"),""),IF(IFERROR(VLOOKUP($ML126,$BB$2:$BF$24,4,FALSE),0)+IFERROR(VLOOKUP($MM126,$BB$2:$BF$24,4,FALSE),0)&gt;1,$NT126&amp;" e "&amp;$NU126&amp;" são as duas de frequência",""),IF(AND((COUNTIF($MH126:$MK126,"Rápido")+COUNTIF($NT126:$NU126,"Rápido"))&gt;0,(COUNTIF($MH126:$MK126,"Atrasar")+COUNTIF($NT126:$NU126,"Atrasar"))&gt;0),"Rápido não entra com Atrasar",""),IF(AND((COUNTIF($MH126:$MK126,"Reação")+COUNTIF($NT126:$NU126,"Reação"))&gt;0,(COUNTIF($MH126:$MK126,"Rápido")+COUNTIF($NT126:$NU126,"Rápido"))&gt;0),"Reação não entra com Rápido",""),IF(AND((COUNTIF($MH126:$MK126,"Reação")+COUNTIF($NT126:$NU126,"Reação"))&gt;0,(COUNTIF($MH126:$MK126,"Armado")+COUNTIF($NT126:$NU126,"Armado"))&gt;0),"Reação não entra com Armado",""),IF(AND((COUNTIF($MH126:$MK126,"Reação")+COUNTIF($NT126:$NU126,"Reação"))&gt;0,(COUNTIF($MH126:$MK126,"Atrasar")+COUNTIF($NT126:$NU126,"Atrasar"))&gt;0),"Reação não entra com Atrasar",""),IF(AND((COUNTIF($MH126:$MK126,"Reação")+COUNTIF($NT126:$NU126,"Reação"))&gt;0,(COUNTIF($MH126:$MK126,"Parado")+COUNTIF($NT126:$NU126,"Parado"))&gt;0),"Reação não entra com Parado",""),IF(AND((COUNTIF($MH126:$MK126,"Atrasar")+COUNTIF($NT126:$NU126,"Atrasar"))&gt;0,(COUNTIF($MH126:$MK126,"Parado")+COUNTIF($NT126:$NU126,"Parado"))&gt;0),"Atrasar não entra com Parado",""),IF(AND((COUNTIF($MH126:$MK126,"Armado")+COUNTIF($NT126:$NU126,"Armado"))&gt;0,(COUNTIF($MH126:$MK126,"Carregar")+COUNTIF($NT126:$NU126,"Carregar"))&gt;0),"Armado não entra com Carregar",""),IF(AND(COUNTIF($NT126:$NU126,"Corpo a Corpo")&gt;0,$NO126=0,OR($ME126="Cone",$ME126="Linha")),"Corpo a Corpo não entra em "&amp;$ME126,""),IF(AND(COUNTIF($NT126:$NU126,"Corpo a Corpo")&gt;0,$NO126=1),"A Forma "&amp;$ME126&amp;" já traz o Corpo a Corpo",""),IF(AND(COUNTIF($NT126:$NU126,"Tudo ou Nada")&gt;0,$NQ126=0),"Tudo ou Nada só entra em habilidade de Teste de Resistência",""),IF(AND(COUNTIF($MH126:$MK126,"Inescapável")&gt;0,OR($OD126&gt;1,$OE126&gt;0)),"Inescapável não aceita outra peça",""),IF(AND($MC126&gt;0,$OM126*IF(COUNTIF($MH126:$MK126,"Remate")&gt;0,1.25,1)+$ON126&gt;4*$MC126),($OM126*IF(COUNTIF($MH126:$MK126,"Remate")&gt;0,1.25,1)+$ON126)&amp;" dados somando repetições"&amp;IF(COUNTIF($MH126:$MK126,"Remate")&gt;0," e o Remate","")&amp;": o teto da Classe "&amp;$MC126&amp;" é "&amp;4*$MC126,"")))</f>
        <v/>
      </c>
      <c r="PD126" s="152">
        <f>IF($PC126="",0,(LEN($PC126)-LEN(SUBSTITUTE($PC126," · ","")))/3+1)</f>
        <v/>
      </c>
      <c r="PE126" s="152">
        <f>IF($MN126=0,"",TEXTJOIN(" · ",TRUE,IF($OG126&gt;2*$MC126,"A devolução parou no teto de "&amp;2*$MC126,""),IF($OJ126&gt;0,"Devolução perdida: "&amp;$OJ126&amp;IF($OJ126&gt;1," pontos"," ponto")&amp;" sem peça para pagar",""),IF(AND($NM126&gt;0,AND($MC126&gt;0,$NP126=0),$OM126=0),"Controle sem dano: uma rodada a mais e CD +2",""),IF(AND($NM126&gt;0,AND($MC126&gt;0,$NP126=0),$OM126&gt;0,$OM126&lt;=$MC126),"Controle com saldo até a Classe: uma rodada a mais",""),IF(AND($MC126&gt;0,$NN126&lt;&gt;""),"Efeito de "&amp;$NN126&amp;" pela Classe "&amp;MAX(1,$MC126-1),"")))</f>
        <v/>
      </c>
      <c r="PF126" s="152">
        <f>IF($PE126="",0,(LEN($PE126)-LEN(SUBSTITUTE($PE126," · ","")))/3+1)</f>
        <v/>
      </c>
      <c r="PG126" s="152">
        <f>IF($MN126=0,IF($OD126+COUNTIF($ML126:$MM126,"?*")&gt;0,"Dê um nome",""),IF($PD126&gt;0,"⚠ "&amp;$PD126&amp;IF($PD126&gt;1," erros"," erro"),IF($PF126&gt;0,"! "&amp;$PF126&amp;IF($PF126&gt;1," avisos"," aviso"),"Na regra")))</f>
        <v/>
      </c>
      <c r="PH126" s="152">
        <f>IF($MN126=0,"",IF($PD126+$PF126=0,"Dentro das regras que a ficha confere",$PC126&amp;IF(AND($PD126&gt;0,$PF126&gt;0)," · ","")&amp;$PE126))</f>
        <v/>
      </c>
      <c r="PI126" s="152">
        <f>IF($MA126&gt;$MO126,$MB126&amp;" · ABRE NO NÍVEL "&amp;$MA126,$MB126)</f>
        <v/>
      </c>
      <c r="PJ126" s="152">
        <f>IF($MN126=0,"",IF($MC126=0,"Sem PE",3*$MC126&amp;" PE"))</f>
        <v/>
      </c>
      <c r="PK126" s="152">
        <f>IF($MN126=0,"",IF($MC126=0,"A atuação básica dela",IF(COUNTIF($NT126:$NU126,"Atrasar")&gt;0,"Sua Ação Completa",IF(COUNTIF($MH126:$MK126,"Rápido")&gt;0,"Sua Bônus",IF(COUNTIF($MH126:$MK126,"Reação")&gt;0,"Sua Reação","Sua Padrão")))&amp;" + a básica dela"&amp;IF(COUNTIF($MH126:$MK126,"Reação")&gt;0," e a coletiva","")&amp;IF(COUNTIF($NT126:$NU126,"Carregar")&gt;0," · em dois turnos","")))</f>
        <v/>
      </c>
      <c r="PL126" s="152">
        <f>IF($MG126&lt;&gt;"",$MG126,IF($MT126=0,"",INDEX($AA$2:$AA$11,$MT126)))</f>
        <v/>
      </c>
      <c r="PM126" s="152">
        <f>IF(OR($MN126=0,$MT126=0),"",IF(COUNTIF($MH126:$MK126,"Inescapável")&gt;0,"Automático",IF($PL126="Ataque",IF($MR126="","Ataque","Ataque "&amp;IF(($MR126+2*IF(COUNTIF($MH126:$MK126,"Precisão")&gt;0,1,0))&gt;=0,"+","−")&amp;ABS(($MR126+2*IF(COUNTIF($MH126:$MK126,"Precisão")&gt;0,1,0)))),IF(LEFT($PL126,2)="TR",$PL126&amp;IF($MS126="",""," · CD "&amp;$MS126)&amp;IF(COUNTIF($MH126:$MK126,"Certeiro")&gt;0," · metade",""),"Sem rolagem"))))</f>
        <v/>
      </c>
      <c r="PN126" s="152">
        <f>IF(OR($MN126=0,$MT126=0),"",IF($MC126=0,IF(OR($NP126&gt;=1,$OM126=0),"Sem dano",$OM126&amp;"d6"&amp;IF($MF126="",""," "&amp;$MF126)),IF(OR($NP126&gt;=1,$OM126=0),UPPER(LEFT(INDEX($OV126:$PB126,1,MAX(1,$MC126)),1))&amp;MID(INDEX($OV126:$PB126,1,MAX(1,$MC126)),2,99),UPPER(LEFT(INDEX($OV126:$PB126,1,MAX(1,$MC126)),1))&amp;MID(INDEX($OV126:$PB126,1,MAX(1,$MC126)),2,99)&amp;IF($MF126="",""," "&amp;$MF126)&amp;IF($ON126&gt;0," · +"&amp;$ON126&amp;"d8",""))))</f>
        <v/>
      </c>
      <c r="PO126" s="152">
        <f>COUNTIF($MH126:$MK126,"Longe")+3*COUNTIF($MH126:$MK126,"Muito Longe")</f>
        <v/>
      </c>
      <c r="PP126" s="152">
        <f>COUNTIF($MH126:$MK126,"Maior")+3*COUNTIF($MH126:$MK126,"Muito Maior")</f>
        <v/>
      </c>
      <c r="PQ126" s="152">
        <f>IF($MT126=0,0,CHOOSE(1+INDEX($AC$2:$AC$11,$MT126),0,$PO126,$PP126,$PO126+$PP126))</f>
        <v/>
      </c>
      <c r="PR126" s="152">
        <f>IF($MT126=0,0,CHOOSE(1+INDEX($AD$2:$AD$11,$MT126),0,$PO126,$PP126,$PO126+$PP126))</f>
        <v/>
      </c>
      <c r="PS126" s="152">
        <f>IF(OR($MN126=0,$MT126=0),"",INDEX($AI$2:$AN$41,($MT126-1)*4+IF($MC126=0,1,IF($MC126&lt;=5,2,IF($MC126=6,3,4))),1+MIN(5,$PQ126))&amp;INDEX($AO$2:$AT$41,($MT126-1)*4+IF($MC126=0,1,IF($MC126&lt;=5,2,IF($MC126=6,3,4))),1+MIN(5,$PR126))&amp;IF(INDEX($AE$2:$AE$11,$MT126)=1,IF(COUNTIF($MH126:$MK126,"Mais Um")&gt;0," · +"&amp;COUNTIF($MH126:$MK126,"Mais Um")&amp;IF(COUNTIF($MH126:$MK126,"Mais Um")&gt;1," alvos"," alvo"),"")&amp;IF(COUNTIF($MH126:$MK126,"Rajada")&gt;0,IF($MC126=0," · 1 tiro"," · "&amp;(MAX(1,$MC126-1)+1)&amp;" tiros"),""),""))</f>
        <v/>
      </c>
      <c r="PT126" s="152">
        <f>IF($MN126=0,"",IF($MC126=0,$MQ126&amp;"d6"&amp;IF($OD126&gt;0," − 1 = "&amp;$OM126&amp;"d6"," da básica do nível "&amp;$MO126),$OK126&amp;" − "&amp;$OF126&amp;" + "&amp;$OI126&amp;" = "&amp;$OL126&amp;" · teto "&amp;4*$MC126&amp;"d8"&amp;IF($NO126=1," · a Forma devolve "&amp;$MC126,"")&amp;IF($OJ126&gt;0," · perde "&amp;$OJ126,"")))</f>
        <v/>
      </c>
      <c r="PU126" s="152">
        <f>IF($MN126=0,"",IF($MC126=0,"A básica não amplia: os dados dela sobem com o nível",IF($MC126&gt;=$MP126,"Já está na maior Classe que o nível liberou",TEXTJOIN(" · ",TRUE,IF(AND(2&gt;$MC126,2&lt;=$MP126),"2 → "&amp;$OW126&amp;", 6 PE",""),IF(AND(3&gt;$MC126,3&lt;=$MP126),"3 → "&amp;$OX126&amp;", 9 PE",""),IF(AND(4&gt;$MC126,4&lt;=$MP126),"4 → "&amp;$OY126&amp;", 12 PE",""),IF(AND(5&gt;$MC126,5&lt;=$MP126),"5 → "&amp;$OZ126&amp;", 15 PE",""),IF(AND(6&gt;$MC126,6&lt;=$MP126),"6 → "&amp;$PA126&amp;", 18 PE",""),IF(AND(7&gt;$MC126,7&lt;=$MP126),"7 → "&amp;$PB126&amp;", 21 PE","")))))</f>
        <v/>
      </c>
      <c r="PV126" s="152">
        <f>IF(OR($MN126=0,$MY126=0),"",IF($MC126=0,"−1 dado","−"&amp;INDEX($I$2:$N$8,MAX(1,$MC126),MAX(1,$ND126))&amp;" · "&amp;CHOOSE(MAX(1,$ND126),"Leve","Média","Pesada","Leve · Livre","Média · Livre","Pesada · Livre")))</f>
        <v/>
      </c>
      <c r="PW126" s="152">
        <f>IF(OR($MN126=0,$MZ126=0),"",IF($MC126=0,"−1 dado","−"&amp;INDEX($I$2:$N$8,MAX(1,$MC126),MAX(1,$NE126))&amp;" · "&amp;CHOOSE(MAX(1,$NE126),"Leve","Média","Pesada","Leve · Livre","Média · Livre","Pesada · Livre")))</f>
        <v/>
      </c>
      <c r="PX126" s="152">
        <f>IF(OR($MN126=0,$NA126=0),"",IF($MC126=0,"−1 dado","−"&amp;INDEX($I$2:$N$8,MAX(1,$MC126),MAX(1,$NF126))&amp;" · "&amp;CHOOSE(MAX(1,$NF126),"Leve","Média","Pesada","Leve · Livre","Média · Livre","Pesada · Livre")))</f>
        <v/>
      </c>
      <c r="PY126" s="152">
        <f>IF(OR($MN126=0,$NB126=0),"",IF($MC126=0,"−1 dado","−"&amp;INDEX($I$2:$N$8,MAX(1,$MC126),MAX(1,$NG126))&amp;" · "&amp;CHOOSE(MAX(1,$NG126),"Leve","Média","Pesada","Leve · Livre","Média · Livre","Pesada · Livre")))</f>
        <v/>
      </c>
      <c r="PZ126" s="152">
        <f>IF(OR($MN126=0,$ML126=""),"",IF($MC126=0,"não devolve","+"&amp;IF($NR126=1,CEILING($MC126/2,1),$MC126)))</f>
        <v/>
      </c>
      <c r="QA126" s="152">
        <f>IF(OR($MN126=0,$MM126=""),"",IF($MC126=0,"não devolve","+"&amp;IF($NS126=1,CEILING($MC126/2,1),$MC126)))</f>
        <v/>
      </c>
    </row>
    <row r="127">
      <c r="LX127" s="150" t="inlineStr">
        <is>
          <t>Ficha 10 · Especial 7</t>
        </is>
      </c>
      <c r="LY127" s="152" t="n">
        <v>10</v>
      </c>
      <c r="LZ127" s="152" t="n">
        <v>1</v>
      </c>
      <c r="MA127" s="152" t="n">
        <v>24</v>
      </c>
      <c r="MB127" s="150" t="inlineStr">
        <is>
          <t>ESPECIAL 7</t>
        </is>
      </c>
      <c r="MC127" s="152">
        <f>MAX(1,MIN(7,N('INVOCAÇÕES'!$AN$708)))</f>
        <v/>
      </c>
      <c r="MD127" s="152">
        <f>'INVOCAÇÕES'!$AO$708&amp;""</f>
        <v/>
      </c>
      <c r="ME127" s="152">
        <f>'INVOCAÇÕES'!$AN$713&amp;""</f>
        <v/>
      </c>
      <c r="MF127" s="152">
        <f>'INVOCAÇÕES'!$AN$714&amp;""</f>
        <v/>
      </c>
      <c r="MG127" s="152">
        <f>'INVOCAÇÕES'!$AP$714&amp;""</f>
        <v/>
      </c>
      <c r="MH127" s="152">
        <f>'INVOCAÇÕES'!$AO$717&amp;""</f>
        <v/>
      </c>
      <c r="MI127" s="152">
        <f>'INVOCAÇÕES'!$AO$718&amp;""</f>
        <v/>
      </c>
      <c r="MJ127" s="152">
        <f>'INVOCAÇÕES'!$AO$719&amp;""</f>
        <v/>
      </c>
      <c r="MK127" s="152">
        <f>'INVOCAÇÕES'!$AO$720&amp;""</f>
        <v/>
      </c>
      <c r="ML127" s="152">
        <f>'INVOCAÇÕES'!$AO$721&amp;""</f>
        <v/>
      </c>
      <c r="MM127" s="152">
        <f>'INVOCAÇÕES'!$AO$722&amp;""</f>
        <v/>
      </c>
      <c r="MN127" s="152">
        <f>IF($MD127&lt;&gt;"",1,0)</f>
        <v/>
      </c>
      <c r="MO127" s="152">
        <f>INDEX($FG$2:$FG$13,$LY127)</f>
        <v/>
      </c>
      <c r="MP127" s="152">
        <f>INDEX($FH$2:$FH$13,$LY127)</f>
        <v/>
      </c>
      <c r="MQ127" s="152">
        <f>INDEX($FI$2:$FI$13,$LY127)</f>
        <v/>
      </c>
      <c r="MR127" s="152">
        <f>INDEX($FT$2:$FT$13,$LY127)</f>
        <v/>
      </c>
      <c r="MS127" s="152">
        <f>INDEX($FU$2:$FU$13,$LY127)</f>
        <v/>
      </c>
      <c r="MT127" s="152">
        <f>IFERROR(MATCH($ME127,$V$2:$V$11,0),0)</f>
        <v/>
      </c>
      <c r="MU127" s="152">
        <f>IFERROR(VLOOKUP($MH127,$AV$2:$AZ$84,2,FALSE),"")</f>
        <v/>
      </c>
      <c r="MV127" s="152">
        <f>IFERROR(VLOOKUP($MI127,$AV$2:$AZ$84,2,FALSE),"")</f>
        <v/>
      </c>
      <c r="MW127" s="152">
        <f>IFERROR(VLOOKUP($MJ127,$AV$2:$AZ$84,2,FALSE),"")</f>
        <v/>
      </c>
      <c r="MX127" s="152">
        <f>IFERROR(VLOOKUP($MK127,$AV$2:$AZ$84,2,FALSE),"")</f>
        <v/>
      </c>
      <c r="MY127" s="152">
        <f>IFERROR(VLOOKUP($MH127,$AV$2:$AZ$84,3,FALSE),0)</f>
        <v/>
      </c>
      <c r="MZ127" s="152">
        <f>IFERROR(VLOOKUP($MI127,$AV$2:$AZ$84,3,FALSE),0)</f>
        <v/>
      </c>
      <c r="NA127" s="152">
        <f>IFERROR(VLOOKUP($MJ127,$AV$2:$AZ$84,3,FALSE),0)</f>
        <v/>
      </c>
      <c r="NB127" s="152">
        <f>IFERROR(VLOOKUP($MK127,$AV$2:$AZ$84,3,FALSE),0)</f>
        <v/>
      </c>
      <c r="NC127" s="152">
        <f>IF($MC127=0,0,IF($MT127=0,0,INDEX($X$2:$X$11,$MT127)))</f>
        <v/>
      </c>
      <c r="ND127" s="152">
        <f>IF(OR($MY127=0,$MC127=0),0,$MY127+3*IF(AND($MU127&lt;&gt;"",OR($MU127=INDEX($ED$2:$ED$13,$LY127),$MU127=INDEX($EE$2:$EE$13,$LY127))),1,0))</f>
        <v/>
      </c>
      <c r="NE127" s="152">
        <f>IF(OR($MZ127=0,$MC127=0),0,$MZ127+3*IF(AND($MV127&lt;&gt;"",OR($MV127=INDEX($ED$2:$ED$13,$LY127),$MV127=INDEX($EE$2:$EE$13,$LY127))),1,0))</f>
        <v/>
      </c>
      <c r="NF127" s="152">
        <f>IF(OR($NA127=0,$MC127=0),0,$NA127+3*IF(AND($MW127&lt;&gt;"",OR($MW127=INDEX($ED$2:$ED$13,$LY127),$MW127=INDEX($EE$2:$EE$13,$LY127))),1,0))</f>
        <v/>
      </c>
      <c r="NG127" s="152">
        <f>IF(OR($NB127=0,$MC127=0),0,$NB127+3*IF(AND($MX127&lt;&gt;"",OR($MX127=INDEX($ED$2:$ED$13,$LY127),$MX127=INDEX($EE$2:$EE$13,$LY127))),1,0))</f>
        <v/>
      </c>
      <c r="NH127" s="152">
        <f>IF($MT127=0,0,IF(INDEX($W$2:$W$11,$MT127)="",0,IF(COUNTIF(INDEX($ED$2:$EH$13,$LY127,0),INDEX($W$2:$W$11,$MT127))=0,1,0)))</f>
        <v/>
      </c>
      <c r="NI127" s="152">
        <f>IF(OR($MY127=0,$MU127=""),0,IF(COUNTIF(INDEX($ED$2:$EH$13,$LY127,0),$MU127)=0,1,0))</f>
        <v/>
      </c>
      <c r="NJ127" s="152">
        <f>IF(OR($MZ127=0,$MV127=""),0,IF(COUNTIF(INDEX($ED$2:$EH$13,$LY127,0),$MV127)=0,1,0))</f>
        <v/>
      </c>
      <c r="NK127" s="152">
        <f>IF(OR($NA127=0,$MW127=""),0,IF(COUNTIF(INDEX($ED$2:$EH$13,$LY127,0),$MW127)=0,1,0))</f>
        <v/>
      </c>
      <c r="NL127" s="152">
        <f>IF(OR($NB127=0,$MX127=""),0,IF(COUNTIF(INDEX($ED$2:$EH$13,$LY127,0),$MX127)=0,1,0))</f>
        <v/>
      </c>
      <c r="NM127" s="152">
        <f>IFERROR(VLOOKUP($MH127,$AV$2:$AZ$84,4,FALSE),0)+IFERROR(VLOOKUP($MI127,$AV$2:$AZ$84,4,FALSE),0)+IFERROR(VLOOKUP($MJ127,$AV$2:$AZ$84,4,FALSE),0)+IFERROR(VLOOKUP($MK127,$AV$2:$AZ$84,4,FALSE),0)</f>
        <v/>
      </c>
      <c r="NN127" s="152">
        <f>TEXTJOIN(", ",TRUE,IF(IFERROR(VLOOKUP($MH127,$AV$2:$AZ$84,5,FALSE),0)=1,$MH127,""),IF(IFERROR(VLOOKUP($MI127,$AV$2:$AZ$84,5,FALSE),0)=1,$MI127,""),IF(IFERROR(VLOOKUP($MJ127,$AV$2:$AZ$84,5,FALSE),0)=1,$MJ127,""),IF(IFERROR(VLOOKUP($MK127,$AV$2:$AZ$84,5,FALSE),0)=1,$MK127,""))</f>
        <v/>
      </c>
      <c r="NO127" s="152">
        <f>IF($MT127=0,0,INDEX($Y$2:$Y$11,$MT127))</f>
        <v/>
      </c>
      <c r="NP127" s="152">
        <f>IF($MT127=0,0,INDEX($Z$2:$Z$11,$MT127))</f>
        <v/>
      </c>
      <c r="NQ127" s="152">
        <f>IF($MT127=0,0,INDEX($AB$2:$AB$11,$MT127))</f>
        <v/>
      </c>
      <c r="NR127" s="152">
        <f>IFERROR(VLOOKUP($ML127,$BB$2:$BF$24,3,FALSE),0)</f>
        <v/>
      </c>
      <c r="NS127" s="152">
        <f>IFERROR(VLOOKUP($MM127,$BB$2:$BF$24,3,FALSE),0)</f>
        <v/>
      </c>
      <c r="NT127" s="152">
        <f>IFERROR(VLOOKUP($ML127,$BB$2:$BF$24,2,FALSE),"")</f>
        <v/>
      </c>
      <c r="NU127" s="152">
        <f>IFERROR(VLOOKUP($MM127,$BB$2:$BF$24,2,FALSE),"")</f>
        <v/>
      </c>
      <c r="NV127" s="152">
        <f>COUNTIF($NC127:$NG127,1)</f>
        <v/>
      </c>
      <c r="NW127" s="152">
        <f>COUNTIF($NC127:$NG127,2)</f>
        <v/>
      </c>
      <c r="NX127" s="152">
        <f>COUNTIF($NC127:$NG127,3)</f>
        <v/>
      </c>
      <c r="NY127" s="152">
        <f>COUNTIF($NC127:$NG127,4)</f>
        <v/>
      </c>
      <c r="NZ127" s="152">
        <f>COUNTIF($NC127:$NG127,5)</f>
        <v/>
      </c>
      <c r="OA127" s="152">
        <f>COUNTIF($NC127:$NG127,6)</f>
        <v/>
      </c>
      <c r="OB127" s="152">
        <f>COUNTIF($NR127:$NS127,1)</f>
        <v/>
      </c>
      <c r="OC127" s="152">
        <f>COUNTIF($NR127:$NS127,2)+$NO127</f>
        <v/>
      </c>
      <c r="OD127" s="152">
        <f>COUNTIF($MH127:$MK127,"?*")</f>
        <v/>
      </c>
      <c r="OE127" s="152">
        <f>COUNTIF($ML127:$MM127,"?*")+$NO127</f>
        <v/>
      </c>
      <c r="OF127" s="152">
        <f>IF($MC127=0,0,SUMPRODUCT($NV127:$OA127,INDEX($I$2:$N$8,MAX(1,$MC127),0)))</f>
        <v/>
      </c>
      <c r="OG127" s="152">
        <f>IF($MC127=0,0,$OB127*CEILING($MC127/2,1)+$OC127*$MC127)</f>
        <v/>
      </c>
      <c r="OH127" s="152">
        <f>MIN(2*$MC127,$OG127)</f>
        <v/>
      </c>
      <c r="OI127" s="152">
        <f>MIN($OH127,$OF127)</f>
        <v/>
      </c>
      <c r="OJ127" s="152">
        <f>$OH127-$OI127</f>
        <v/>
      </c>
      <c r="OK127" s="152">
        <f>IF($MC127=0,0,INDEX($P$2:$P$8,MAX(1,$MC127)))</f>
        <v/>
      </c>
      <c r="OL127" s="152">
        <f>$OK127-$OF127+$OI127</f>
        <v/>
      </c>
      <c r="OM127" s="152">
        <f>IF($MC127=0,MAX(0,$MQ127-IF($OD127&gt;0,1,0)),MAX(0,$OL127))</f>
        <v/>
      </c>
      <c r="ON127" s="152">
        <f>IF($MC127=0,0,(IF(COUNTIF($MH127:$MK127,"Salto")&gt;0,1,0)+IF(COUNTIF($MH127:$MK127,"Queima")&gt;0,1,0)+IF(COUNTIF($MH127:$MK127,"Estilhaço")&gt;0,1,0))*FLOOR($OM127/2,1))</f>
        <v/>
      </c>
      <c r="OO127" s="152">
        <f>MAX(0,2-SUMPRODUCT($NV127:$OA127,$I$2:$N$2)+MIN(2,$OB127*1+$OC127*1,SUMPRODUCT($NV127:$OA127,$I$2:$N$2)))</f>
        <v/>
      </c>
      <c r="OP127" s="152">
        <f>MAX(0,4-SUMPRODUCT($NV127:$OA127,$I$3:$N$3)+MIN(4,$OB127*1+$OC127*2,SUMPRODUCT($NV127:$OA127,$I$3:$N$3)))</f>
        <v/>
      </c>
      <c r="OQ127" s="152">
        <f>MAX(0,6-SUMPRODUCT($NV127:$OA127,$I$4:$N$4)+MIN(6,$OB127*2+$OC127*3,SUMPRODUCT($NV127:$OA127,$I$4:$N$4)))</f>
        <v/>
      </c>
      <c r="OR127" s="152">
        <f>MAX(0,9-SUMPRODUCT($NV127:$OA127,$I$5:$N$5)+MIN(8,$OB127*2+$OC127*4,SUMPRODUCT($NV127:$OA127,$I$5:$N$5)))</f>
        <v/>
      </c>
      <c r="OS127" s="152">
        <f>MAX(0,11-SUMPRODUCT($NV127:$OA127,$I$6:$N$6)+MIN(10,$OB127*3+$OC127*5,SUMPRODUCT($NV127:$OA127,$I$6:$N$6)))</f>
        <v/>
      </c>
      <c r="OT127" s="152">
        <f>MAX(0,13-SUMPRODUCT($NV127:$OA127,$I$7:$N$7)+MIN(12,$OB127*3+$OC127*6,SUMPRODUCT($NV127:$OA127,$I$7:$N$7)))</f>
        <v/>
      </c>
      <c r="OU127" s="152">
        <f>MAX(0,16-SUMPRODUCT($NV127:$OA127,$I$8:$N$8)+MIN(14,$OB127*4+$OC127*7,SUMPRODUCT($NV127:$OA127,$I$8:$N$8)))</f>
        <v/>
      </c>
      <c r="OV127" s="152">
        <f>IF($NP127=2,3*$OO127&amp;" de vida temp.",IF($NP127=3,"sem dano",IF($OO127=0,IF($NP127=1,"sem cura","sem dano"),IF($NP127=1,"cura ","")&amp;$OO127&amp;"d8")))</f>
        <v/>
      </c>
      <c r="OW127" s="152">
        <f>IF($NP127=2,3*$OP127&amp;" de vida temp.",IF($NP127=3,"sem dano",IF($OP127=0,IF($NP127=1,"sem cura","sem dano"),IF($NP127=1,"cura ","")&amp;$OP127&amp;"d8")))</f>
        <v/>
      </c>
      <c r="OX127" s="152">
        <f>IF($NP127=2,3*$OQ127&amp;" de vida temp.",IF($NP127=3,"sem dano",IF($OQ127=0,IF($NP127=1,"sem cura","sem dano"),IF($NP127=1,"cura ","")&amp;$OQ127&amp;"d8")))</f>
        <v/>
      </c>
      <c r="OY127" s="152">
        <f>IF($NP127=2,3*$OR127&amp;" de vida temp.",IF($NP127=3,"sem dano",IF($OR127=0,IF($NP127=1,"sem cura","sem dano"),IF($NP127=1,"cura ","")&amp;$OR127&amp;"d8")))</f>
        <v/>
      </c>
      <c r="OZ127" s="152">
        <f>IF($NP127=2,3*$OS127&amp;" de vida temp.",IF($NP127=3,"sem dano",IF($OS127=0,IF($NP127=1,"sem cura","sem dano"),IF($NP127=1,"cura ","")&amp;$OS127&amp;"d8")))</f>
        <v/>
      </c>
      <c r="PA127" s="152">
        <f>IF($NP127=2,3*$OT127&amp;" de vida temp.",IF($NP127=3,"sem dano",IF($OT127=0,IF($NP127=1,"sem cura","sem dano"),IF($NP127=1,"cura ","")&amp;$OT127&amp;"d8")))</f>
        <v/>
      </c>
      <c r="PB127" s="152">
        <f>IF($NP127=2,3*$OU127&amp;" de vida temp.",IF($NP127=3,"sem dano",IF($OU127=0,IF($NP127=1,"sem cura","sem dano"),IF($NP127=1,"cura ","")&amp;$OU127&amp;"d8")))</f>
        <v/>
      </c>
      <c r="PC127" s="152">
        <f>IF($MN127=0,"",TEXTJOIN(" · ",TRUE,IF($MA127&gt;$MO127,"Este lugar abre no nível "&amp;$MA127,""),IF($MC127&gt;$MP127,"Classe "&amp;$MC127&amp;": o nível "&amp;$MO127&amp;" libera até a "&amp;$MP127,""),IF($NH127=1,"A Forma "&amp;$ME127&amp;" pede "&amp;INDEX($W$2:$W$11,$MT127)&amp;" aberta",""),IF(AND($MC127=0,$MT127&gt;0,IF($MT127=0,0,INDEX($AF$2:$AF$11,$MT127))=0),$ME127&amp;" não existe na Classe 0",""),IF($NI127=1,"Família Fechada: "&amp;$MH127,""),IF($NJ127=1,"Família Fechada: "&amp;$MI127,""),IF($NK127=1,"Família Fechada: "&amp;$MJ127,""),IF($NL127=1,"Família Fechada: "&amp;$MK127,""),IF(AND($MC127&gt;0,$OD127&gt;INDEX($O$2:$O$8,MAX(1,$MC127))),$OD127&amp;" Melhorias: a Classe "&amp;$MC127&amp;" aceita "&amp;INDEX($O$2:$O$8,MAX(1,$MC127)),""),IF(AND($MC127=0,$OD127&gt;1),"A básica aceita uma Melhoria",""),IF(AND($MC127=0,COUNTIF($MY127:$NB127,"&gt;1")&gt;0),"A básica só aceita Melhoria Leve",""),IF(AND($MC127&gt;0,$OE127&gt;2),$OE127&amp;" Restrições"&amp;IF($NO127=1,", contando a que a Forma "&amp;$ME127&amp;" já traz","")&amp;": o limite é 2",""),IF(AND($MC127=0,COUNTIF($ML127:$MM127,"?*")&gt;1),"A básica aceita uma Restrição Leve",""),IF(AND($MC127=0,COUNTIF($NR127:$NS127,2)&gt;0),"A básica só aceita Restrição Leve",""),IF(AND($MC127&gt;0,$OL127&lt;0),"Orçamento estourado: faltam "&amp;(-$OL127)&amp;IF($OL127&lt;-1," pontos"," ponto"),""),IF(IFERROR(VLOOKUP($ML127,$BB$2:$BF$24,4,FALSE),0)+IFERROR(VLOOKUP($MM127,$BB$2:$BF$24,4,FALSE),0)&gt;1,$NT127&amp;" e "&amp;$NU127&amp;" são as duas de frequência",""),IF(AND((COUNTIF($MH127:$MK127,"Rápido")+COUNTIF($NT127:$NU127,"Rápido"))&gt;0,(COUNTIF($MH127:$MK127,"Atrasar")+COUNTIF($NT127:$NU127,"Atrasar"))&gt;0),"Rápido não entra com Atrasar",""),IF(AND((COUNTIF($MH127:$MK127,"Reação")+COUNTIF($NT127:$NU127,"Reação"))&gt;0,(COUNTIF($MH127:$MK127,"Rápido")+COUNTIF($NT127:$NU127,"Rápido"))&gt;0),"Reação não entra com Rápido",""),IF(AND((COUNTIF($MH127:$MK127,"Reação")+COUNTIF($NT127:$NU127,"Reação"))&gt;0,(COUNTIF($MH127:$MK127,"Armado")+COUNTIF($NT127:$NU127,"Armado"))&gt;0),"Reação não entra com Armado",""),IF(AND((COUNTIF($MH127:$MK127,"Reação")+COUNTIF($NT127:$NU127,"Reação"))&gt;0,(COUNTIF($MH127:$MK127,"Atrasar")+COUNTIF($NT127:$NU127,"Atrasar"))&gt;0),"Reação não entra com Atrasar",""),IF(AND((COUNTIF($MH127:$MK127,"Reação")+COUNTIF($NT127:$NU127,"Reação"))&gt;0,(COUNTIF($MH127:$MK127,"Parado")+COUNTIF($NT127:$NU127,"Parado"))&gt;0),"Reação não entra com Parado",""),IF(AND((COUNTIF($MH127:$MK127,"Atrasar")+COUNTIF($NT127:$NU127,"Atrasar"))&gt;0,(COUNTIF($MH127:$MK127,"Parado")+COUNTIF($NT127:$NU127,"Parado"))&gt;0),"Atrasar não entra com Parado",""),IF(AND((COUNTIF($MH127:$MK127,"Armado")+COUNTIF($NT127:$NU127,"Armado"))&gt;0,(COUNTIF($MH127:$MK127,"Carregar")+COUNTIF($NT127:$NU127,"Carregar"))&gt;0),"Armado não entra com Carregar",""),IF(AND(COUNTIF($NT127:$NU127,"Corpo a Corpo")&gt;0,$NO127=0,OR($ME127="Cone",$ME127="Linha")),"Corpo a Corpo não entra em "&amp;$ME127,""),IF(AND(COUNTIF($NT127:$NU127,"Corpo a Corpo")&gt;0,$NO127=1),"A Forma "&amp;$ME127&amp;" já traz o Corpo a Corpo",""),IF(AND(COUNTIF($NT127:$NU127,"Tudo ou Nada")&gt;0,$NQ127=0),"Tudo ou Nada só entra em habilidade de Teste de Resistência",""),IF(AND(COUNTIF($MH127:$MK127,"Inescapável")&gt;0,OR($OD127&gt;1,$OE127&gt;0)),"Inescapável não aceita outra peça",""),IF(AND($MC127&gt;0,$OM127*IF(COUNTIF($MH127:$MK127,"Remate")&gt;0,1.25,1)+$ON127&gt;4*$MC127),($OM127*IF(COUNTIF($MH127:$MK127,"Remate")&gt;0,1.25,1)+$ON127)&amp;" dados somando repetições"&amp;IF(COUNTIF($MH127:$MK127,"Remate")&gt;0," e o Remate","")&amp;": o teto da Classe "&amp;$MC127&amp;" é "&amp;4*$MC127,"")))</f>
        <v/>
      </c>
      <c r="PD127" s="152">
        <f>IF($PC127="",0,(LEN($PC127)-LEN(SUBSTITUTE($PC127," · ","")))/3+1)</f>
        <v/>
      </c>
      <c r="PE127" s="152">
        <f>IF($MN127=0,"",TEXTJOIN(" · ",TRUE,IF($OG127&gt;2*$MC127,"A devolução parou no teto de "&amp;2*$MC127,""),IF($OJ127&gt;0,"Devolução perdida: "&amp;$OJ127&amp;IF($OJ127&gt;1," pontos"," ponto")&amp;" sem peça para pagar",""),IF(AND($NM127&gt;0,AND($MC127&gt;0,$NP127=0),$OM127=0),"Controle sem dano: uma rodada a mais e CD +2",""),IF(AND($NM127&gt;0,AND($MC127&gt;0,$NP127=0),$OM127&gt;0,$OM127&lt;=$MC127),"Controle com saldo até a Classe: uma rodada a mais",""),IF(AND($MC127&gt;0,$NN127&lt;&gt;""),"Efeito de "&amp;$NN127&amp;" pela Classe "&amp;MAX(1,$MC127-1),"")))</f>
        <v/>
      </c>
      <c r="PF127" s="152">
        <f>IF($PE127="",0,(LEN($PE127)-LEN(SUBSTITUTE($PE127," · ","")))/3+1)</f>
        <v/>
      </c>
      <c r="PG127" s="152">
        <f>IF($MN127=0,IF($OD127+COUNTIF($ML127:$MM127,"?*")&gt;0,"Dê um nome",""),IF($PD127&gt;0,"⚠ "&amp;$PD127&amp;IF($PD127&gt;1," erros"," erro"),IF($PF127&gt;0,"! "&amp;$PF127&amp;IF($PF127&gt;1," avisos"," aviso"),"Na regra")))</f>
        <v/>
      </c>
      <c r="PH127" s="152">
        <f>IF($MN127=0,"",IF($PD127+$PF127=0,"Dentro das regras que a ficha confere",$PC127&amp;IF(AND($PD127&gt;0,$PF127&gt;0)," · ","")&amp;$PE127))</f>
        <v/>
      </c>
      <c r="PI127" s="152">
        <f>IF($MA127&gt;$MO127,$MB127&amp;" · ABRE NO NÍVEL "&amp;$MA127,$MB127)</f>
        <v/>
      </c>
      <c r="PJ127" s="152">
        <f>IF($MN127=0,"",IF($MC127=0,"Sem PE",3*$MC127&amp;" PE"))</f>
        <v/>
      </c>
      <c r="PK127" s="152">
        <f>IF($MN127=0,"",IF($MC127=0,"A atuação básica dela",IF(COUNTIF($NT127:$NU127,"Atrasar")&gt;0,"Sua Ação Completa",IF(COUNTIF($MH127:$MK127,"Rápido")&gt;0,"Sua Bônus",IF(COUNTIF($MH127:$MK127,"Reação")&gt;0,"Sua Reação","Sua Padrão")))&amp;" + a básica dela"&amp;IF(COUNTIF($MH127:$MK127,"Reação")&gt;0," e a coletiva","")&amp;IF(COUNTIF($NT127:$NU127,"Carregar")&gt;0," · em dois turnos","")))</f>
        <v/>
      </c>
      <c r="PL127" s="152">
        <f>IF($MG127&lt;&gt;"",$MG127,IF($MT127=0,"",INDEX($AA$2:$AA$11,$MT127)))</f>
        <v/>
      </c>
      <c r="PM127" s="152">
        <f>IF(OR($MN127=0,$MT127=0),"",IF(COUNTIF($MH127:$MK127,"Inescapável")&gt;0,"Automático",IF($PL127="Ataque",IF($MR127="","Ataque","Ataque "&amp;IF(($MR127+2*IF(COUNTIF($MH127:$MK127,"Precisão")&gt;0,1,0))&gt;=0,"+","−")&amp;ABS(($MR127+2*IF(COUNTIF($MH127:$MK127,"Precisão")&gt;0,1,0)))),IF(LEFT($PL127,2)="TR",$PL127&amp;IF($MS127="",""," · CD "&amp;$MS127)&amp;IF(COUNTIF($MH127:$MK127,"Certeiro")&gt;0," · metade",""),"Sem rolagem"))))</f>
        <v/>
      </c>
      <c r="PN127" s="152">
        <f>IF(OR($MN127=0,$MT127=0),"",IF($MC127=0,IF(OR($NP127&gt;=1,$OM127=0),"Sem dano",$OM127&amp;"d6"&amp;IF($MF127="",""," "&amp;$MF127)),IF(OR($NP127&gt;=1,$OM127=0),UPPER(LEFT(INDEX($OV127:$PB127,1,MAX(1,$MC127)),1))&amp;MID(INDEX($OV127:$PB127,1,MAX(1,$MC127)),2,99),UPPER(LEFT(INDEX($OV127:$PB127,1,MAX(1,$MC127)),1))&amp;MID(INDEX($OV127:$PB127,1,MAX(1,$MC127)),2,99)&amp;IF($MF127="",""," "&amp;$MF127)&amp;IF($ON127&gt;0," · +"&amp;$ON127&amp;"d8",""))))</f>
        <v/>
      </c>
      <c r="PO127" s="152">
        <f>COUNTIF($MH127:$MK127,"Longe")+3*COUNTIF($MH127:$MK127,"Muito Longe")</f>
        <v/>
      </c>
      <c r="PP127" s="152">
        <f>COUNTIF($MH127:$MK127,"Maior")+3*COUNTIF($MH127:$MK127,"Muito Maior")</f>
        <v/>
      </c>
      <c r="PQ127" s="152">
        <f>IF($MT127=0,0,CHOOSE(1+INDEX($AC$2:$AC$11,$MT127),0,$PO127,$PP127,$PO127+$PP127))</f>
        <v/>
      </c>
      <c r="PR127" s="152">
        <f>IF($MT127=0,0,CHOOSE(1+INDEX($AD$2:$AD$11,$MT127),0,$PO127,$PP127,$PO127+$PP127))</f>
        <v/>
      </c>
      <c r="PS127" s="152">
        <f>IF(OR($MN127=0,$MT127=0),"",INDEX($AI$2:$AN$41,($MT127-1)*4+IF($MC127=0,1,IF($MC127&lt;=5,2,IF($MC127=6,3,4))),1+MIN(5,$PQ127))&amp;INDEX($AO$2:$AT$41,($MT127-1)*4+IF($MC127=0,1,IF($MC127&lt;=5,2,IF($MC127=6,3,4))),1+MIN(5,$PR127))&amp;IF(INDEX($AE$2:$AE$11,$MT127)=1,IF(COUNTIF($MH127:$MK127,"Mais Um")&gt;0," · +"&amp;COUNTIF($MH127:$MK127,"Mais Um")&amp;IF(COUNTIF($MH127:$MK127,"Mais Um")&gt;1," alvos"," alvo"),"")&amp;IF(COUNTIF($MH127:$MK127,"Rajada")&gt;0,IF($MC127=0," · 1 tiro"," · "&amp;(MAX(1,$MC127-1)+1)&amp;" tiros"),""),""))</f>
        <v/>
      </c>
      <c r="PT127" s="152">
        <f>IF($MN127=0,"",IF($MC127=0,$MQ127&amp;"d6"&amp;IF($OD127&gt;0," − 1 = "&amp;$OM127&amp;"d6"," da básica do nível "&amp;$MO127),$OK127&amp;" − "&amp;$OF127&amp;" + "&amp;$OI127&amp;" = "&amp;$OL127&amp;" · teto "&amp;4*$MC127&amp;"d8"&amp;IF($NO127=1," · a Forma devolve "&amp;$MC127,"")&amp;IF($OJ127&gt;0," · perde "&amp;$OJ127,"")))</f>
        <v/>
      </c>
      <c r="PU127" s="152">
        <f>IF($MN127=0,"",IF($MC127=0,"A básica não amplia: os dados dela sobem com o nível",IF($MC127&gt;=$MP127,"Já está na maior Classe que o nível liberou",TEXTJOIN(" · ",TRUE,IF(AND(2&gt;$MC127,2&lt;=$MP127),"2 → "&amp;$OW127&amp;", 6 PE",""),IF(AND(3&gt;$MC127,3&lt;=$MP127),"3 → "&amp;$OX127&amp;", 9 PE",""),IF(AND(4&gt;$MC127,4&lt;=$MP127),"4 → "&amp;$OY127&amp;", 12 PE",""),IF(AND(5&gt;$MC127,5&lt;=$MP127),"5 → "&amp;$OZ127&amp;", 15 PE",""),IF(AND(6&gt;$MC127,6&lt;=$MP127),"6 → "&amp;$PA127&amp;", 18 PE",""),IF(AND(7&gt;$MC127,7&lt;=$MP127),"7 → "&amp;$PB127&amp;", 21 PE","")))))</f>
        <v/>
      </c>
      <c r="PV127" s="152">
        <f>IF(OR($MN127=0,$MY127=0),"",IF($MC127=0,"−1 dado","−"&amp;INDEX($I$2:$N$8,MAX(1,$MC127),MAX(1,$ND127))&amp;" · "&amp;CHOOSE(MAX(1,$ND127),"Leve","Média","Pesada","Leve · Livre","Média · Livre","Pesada · Livre")))</f>
        <v/>
      </c>
      <c r="PW127" s="152">
        <f>IF(OR($MN127=0,$MZ127=0),"",IF($MC127=0,"−1 dado","−"&amp;INDEX($I$2:$N$8,MAX(1,$MC127),MAX(1,$NE127))&amp;" · "&amp;CHOOSE(MAX(1,$NE127),"Leve","Média","Pesada","Leve · Livre","Média · Livre","Pesada · Livre")))</f>
        <v/>
      </c>
      <c r="PX127" s="152">
        <f>IF(OR($MN127=0,$NA127=0),"",IF($MC127=0,"−1 dado","−"&amp;INDEX($I$2:$N$8,MAX(1,$MC127),MAX(1,$NF127))&amp;" · "&amp;CHOOSE(MAX(1,$NF127),"Leve","Média","Pesada","Leve · Livre","Média · Livre","Pesada · Livre")))</f>
        <v/>
      </c>
      <c r="PY127" s="152">
        <f>IF(OR($MN127=0,$NB127=0),"",IF($MC127=0,"−1 dado","−"&amp;INDEX($I$2:$N$8,MAX(1,$MC127),MAX(1,$NG127))&amp;" · "&amp;CHOOSE(MAX(1,$NG127),"Leve","Média","Pesada","Leve · Livre","Média · Livre","Pesada · Livre")))</f>
        <v/>
      </c>
      <c r="PZ127" s="152">
        <f>IF(OR($MN127=0,$ML127=""),"",IF($MC127=0,"não devolve","+"&amp;IF($NR127=1,CEILING($MC127/2,1),$MC127)))</f>
        <v/>
      </c>
      <c r="QA127" s="152">
        <f>IF(OR($MN127=0,$MM127=""),"",IF($MC127=0,"não devolve","+"&amp;IF($NS127=1,CEILING($MC127/2,1),$MC127)))</f>
        <v/>
      </c>
    </row>
    <row r="128">
      <c r="LX128" s="150" t="inlineStr">
        <is>
          <t>Ficha 10 · Especial 8</t>
        </is>
      </c>
      <c r="LY128" s="152" t="n">
        <v>10</v>
      </c>
      <c r="LZ128" s="152" t="n">
        <v>1</v>
      </c>
      <c r="MA128" s="152" t="n">
        <v>28</v>
      </c>
      <c r="MB128" s="150" t="inlineStr">
        <is>
          <t>ESPECIAL 8</t>
        </is>
      </c>
      <c r="MC128" s="152">
        <f>MAX(1,MIN(7,N('INVOCAÇÕES'!$AB$730)))</f>
        <v/>
      </c>
      <c r="MD128" s="152">
        <f>'INVOCAÇÕES'!$AC$730&amp;""</f>
        <v/>
      </c>
      <c r="ME128" s="152">
        <f>'INVOCAÇÕES'!$AB$735&amp;""</f>
        <v/>
      </c>
      <c r="MF128" s="152">
        <f>'INVOCAÇÕES'!$AB$736&amp;""</f>
        <v/>
      </c>
      <c r="MG128" s="152">
        <f>'INVOCAÇÕES'!$AD$736&amp;""</f>
        <v/>
      </c>
      <c r="MH128" s="152">
        <f>'INVOCAÇÕES'!$AC$739&amp;""</f>
        <v/>
      </c>
      <c r="MI128" s="152">
        <f>'INVOCAÇÕES'!$AC$740&amp;""</f>
        <v/>
      </c>
      <c r="MJ128" s="152">
        <f>'INVOCAÇÕES'!$AC$741&amp;""</f>
        <v/>
      </c>
      <c r="MK128" s="152">
        <f>'INVOCAÇÕES'!$AC$742&amp;""</f>
        <v/>
      </c>
      <c r="ML128" s="152">
        <f>'INVOCAÇÕES'!$AC$743&amp;""</f>
        <v/>
      </c>
      <c r="MM128" s="152">
        <f>'INVOCAÇÕES'!$AC$744&amp;""</f>
        <v/>
      </c>
      <c r="MN128" s="152">
        <f>IF($MD128&lt;&gt;"",1,0)</f>
        <v/>
      </c>
      <c r="MO128" s="152">
        <f>INDEX($FG$2:$FG$13,$LY128)</f>
        <v/>
      </c>
      <c r="MP128" s="152">
        <f>INDEX($FH$2:$FH$13,$LY128)</f>
        <v/>
      </c>
      <c r="MQ128" s="152">
        <f>INDEX($FI$2:$FI$13,$LY128)</f>
        <v/>
      </c>
      <c r="MR128" s="152">
        <f>INDEX($FT$2:$FT$13,$LY128)</f>
        <v/>
      </c>
      <c r="MS128" s="152">
        <f>INDEX($FU$2:$FU$13,$LY128)</f>
        <v/>
      </c>
      <c r="MT128" s="152">
        <f>IFERROR(MATCH($ME128,$V$2:$V$11,0),0)</f>
        <v/>
      </c>
      <c r="MU128" s="152">
        <f>IFERROR(VLOOKUP($MH128,$AV$2:$AZ$84,2,FALSE),"")</f>
        <v/>
      </c>
      <c r="MV128" s="152">
        <f>IFERROR(VLOOKUP($MI128,$AV$2:$AZ$84,2,FALSE),"")</f>
        <v/>
      </c>
      <c r="MW128" s="152">
        <f>IFERROR(VLOOKUP($MJ128,$AV$2:$AZ$84,2,FALSE),"")</f>
        <v/>
      </c>
      <c r="MX128" s="152">
        <f>IFERROR(VLOOKUP($MK128,$AV$2:$AZ$84,2,FALSE),"")</f>
        <v/>
      </c>
      <c r="MY128" s="152">
        <f>IFERROR(VLOOKUP($MH128,$AV$2:$AZ$84,3,FALSE),0)</f>
        <v/>
      </c>
      <c r="MZ128" s="152">
        <f>IFERROR(VLOOKUP($MI128,$AV$2:$AZ$84,3,FALSE),0)</f>
        <v/>
      </c>
      <c r="NA128" s="152">
        <f>IFERROR(VLOOKUP($MJ128,$AV$2:$AZ$84,3,FALSE),0)</f>
        <v/>
      </c>
      <c r="NB128" s="152">
        <f>IFERROR(VLOOKUP($MK128,$AV$2:$AZ$84,3,FALSE),0)</f>
        <v/>
      </c>
      <c r="NC128" s="152">
        <f>IF($MC128=0,0,IF($MT128=0,0,INDEX($X$2:$X$11,$MT128)))</f>
        <v/>
      </c>
      <c r="ND128" s="152">
        <f>IF(OR($MY128=0,$MC128=0),0,$MY128+3*IF(AND($MU128&lt;&gt;"",OR($MU128=INDEX($ED$2:$ED$13,$LY128),$MU128=INDEX($EE$2:$EE$13,$LY128))),1,0))</f>
        <v/>
      </c>
      <c r="NE128" s="152">
        <f>IF(OR($MZ128=0,$MC128=0),0,$MZ128+3*IF(AND($MV128&lt;&gt;"",OR($MV128=INDEX($ED$2:$ED$13,$LY128),$MV128=INDEX($EE$2:$EE$13,$LY128))),1,0))</f>
        <v/>
      </c>
      <c r="NF128" s="152">
        <f>IF(OR($NA128=0,$MC128=0),0,$NA128+3*IF(AND($MW128&lt;&gt;"",OR($MW128=INDEX($ED$2:$ED$13,$LY128),$MW128=INDEX($EE$2:$EE$13,$LY128))),1,0))</f>
        <v/>
      </c>
      <c r="NG128" s="152">
        <f>IF(OR($NB128=0,$MC128=0),0,$NB128+3*IF(AND($MX128&lt;&gt;"",OR($MX128=INDEX($ED$2:$ED$13,$LY128),$MX128=INDEX($EE$2:$EE$13,$LY128))),1,0))</f>
        <v/>
      </c>
      <c r="NH128" s="152">
        <f>IF($MT128=0,0,IF(INDEX($W$2:$W$11,$MT128)="",0,IF(COUNTIF(INDEX($ED$2:$EH$13,$LY128,0),INDEX($W$2:$W$11,$MT128))=0,1,0)))</f>
        <v/>
      </c>
      <c r="NI128" s="152">
        <f>IF(OR($MY128=0,$MU128=""),0,IF(COUNTIF(INDEX($ED$2:$EH$13,$LY128,0),$MU128)=0,1,0))</f>
        <v/>
      </c>
      <c r="NJ128" s="152">
        <f>IF(OR($MZ128=0,$MV128=""),0,IF(COUNTIF(INDEX($ED$2:$EH$13,$LY128,0),$MV128)=0,1,0))</f>
        <v/>
      </c>
      <c r="NK128" s="152">
        <f>IF(OR($NA128=0,$MW128=""),0,IF(COUNTIF(INDEX($ED$2:$EH$13,$LY128,0),$MW128)=0,1,0))</f>
        <v/>
      </c>
      <c r="NL128" s="152">
        <f>IF(OR($NB128=0,$MX128=""),0,IF(COUNTIF(INDEX($ED$2:$EH$13,$LY128,0),$MX128)=0,1,0))</f>
        <v/>
      </c>
      <c r="NM128" s="152">
        <f>IFERROR(VLOOKUP($MH128,$AV$2:$AZ$84,4,FALSE),0)+IFERROR(VLOOKUP($MI128,$AV$2:$AZ$84,4,FALSE),0)+IFERROR(VLOOKUP($MJ128,$AV$2:$AZ$84,4,FALSE),0)+IFERROR(VLOOKUP($MK128,$AV$2:$AZ$84,4,FALSE),0)</f>
        <v/>
      </c>
      <c r="NN128" s="152">
        <f>TEXTJOIN(", ",TRUE,IF(IFERROR(VLOOKUP($MH128,$AV$2:$AZ$84,5,FALSE),0)=1,$MH128,""),IF(IFERROR(VLOOKUP($MI128,$AV$2:$AZ$84,5,FALSE),0)=1,$MI128,""),IF(IFERROR(VLOOKUP($MJ128,$AV$2:$AZ$84,5,FALSE),0)=1,$MJ128,""),IF(IFERROR(VLOOKUP($MK128,$AV$2:$AZ$84,5,FALSE),0)=1,$MK128,""))</f>
        <v/>
      </c>
      <c r="NO128" s="152">
        <f>IF($MT128=0,0,INDEX($Y$2:$Y$11,$MT128))</f>
        <v/>
      </c>
      <c r="NP128" s="152">
        <f>IF($MT128=0,0,INDEX($Z$2:$Z$11,$MT128))</f>
        <v/>
      </c>
      <c r="NQ128" s="152">
        <f>IF($MT128=0,0,INDEX($AB$2:$AB$11,$MT128))</f>
        <v/>
      </c>
      <c r="NR128" s="152">
        <f>IFERROR(VLOOKUP($ML128,$BB$2:$BF$24,3,FALSE),0)</f>
        <v/>
      </c>
      <c r="NS128" s="152">
        <f>IFERROR(VLOOKUP($MM128,$BB$2:$BF$24,3,FALSE),0)</f>
        <v/>
      </c>
      <c r="NT128" s="152">
        <f>IFERROR(VLOOKUP($ML128,$BB$2:$BF$24,2,FALSE),"")</f>
        <v/>
      </c>
      <c r="NU128" s="152">
        <f>IFERROR(VLOOKUP($MM128,$BB$2:$BF$24,2,FALSE),"")</f>
        <v/>
      </c>
      <c r="NV128" s="152">
        <f>COUNTIF($NC128:$NG128,1)</f>
        <v/>
      </c>
      <c r="NW128" s="152">
        <f>COUNTIF($NC128:$NG128,2)</f>
        <v/>
      </c>
      <c r="NX128" s="152">
        <f>COUNTIF($NC128:$NG128,3)</f>
        <v/>
      </c>
      <c r="NY128" s="152">
        <f>COUNTIF($NC128:$NG128,4)</f>
        <v/>
      </c>
      <c r="NZ128" s="152">
        <f>COUNTIF($NC128:$NG128,5)</f>
        <v/>
      </c>
      <c r="OA128" s="152">
        <f>COUNTIF($NC128:$NG128,6)</f>
        <v/>
      </c>
      <c r="OB128" s="152">
        <f>COUNTIF($NR128:$NS128,1)</f>
        <v/>
      </c>
      <c r="OC128" s="152">
        <f>COUNTIF($NR128:$NS128,2)+$NO128</f>
        <v/>
      </c>
      <c r="OD128" s="152">
        <f>COUNTIF($MH128:$MK128,"?*")</f>
        <v/>
      </c>
      <c r="OE128" s="152">
        <f>COUNTIF($ML128:$MM128,"?*")+$NO128</f>
        <v/>
      </c>
      <c r="OF128" s="152">
        <f>IF($MC128=0,0,SUMPRODUCT($NV128:$OA128,INDEX($I$2:$N$8,MAX(1,$MC128),0)))</f>
        <v/>
      </c>
      <c r="OG128" s="152">
        <f>IF($MC128=0,0,$OB128*CEILING($MC128/2,1)+$OC128*$MC128)</f>
        <v/>
      </c>
      <c r="OH128" s="152">
        <f>MIN(2*$MC128,$OG128)</f>
        <v/>
      </c>
      <c r="OI128" s="152">
        <f>MIN($OH128,$OF128)</f>
        <v/>
      </c>
      <c r="OJ128" s="152">
        <f>$OH128-$OI128</f>
        <v/>
      </c>
      <c r="OK128" s="152">
        <f>IF($MC128=0,0,INDEX($P$2:$P$8,MAX(1,$MC128)))</f>
        <v/>
      </c>
      <c r="OL128" s="152">
        <f>$OK128-$OF128+$OI128</f>
        <v/>
      </c>
      <c r="OM128" s="152">
        <f>IF($MC128=0,MAX(0,$MQ128-IF($OD128&gt;0,1,0)),MAX(0,$OL128))</f>
        <v/>
      </c>
      <c r="ON128" s="152">
        <f>IF($MC128=0,0,(IF(COUNTIF($MH128:$MK128,"Salto")&gt;0,1,0)+IF(COUNTIF($MH128:$MK128,"Queima")&gt;0,1,0)+IF(COUNTIF($MH128:$MK128,"Estilhaço")&gt;0,1,0))*FLOOR($OM128/2,1))</f>
        <v/>
      </c>
      <c r="OO128" s="152">
        <f>MAX(0,2-SUMPRODUCT($NV128:$OA128,$I$2:$N$2)+MIN(2,$OB128*1+$OC128*1,SUMPRODUCT($NV128:$OA128,$I$2:$N$2)))</f>
        <v/>
      </c>
      <c r="OP128" s="152">
        <f>MAX(0,4-SUMPRODUCT($NV128:$OA128,$I$3:$N$3)+MIN(4,$OB128*1+$OC128*2,SUMPRODUCT($NV128:$OA128,$I$3:$N$3)))</f>
        <v/>
      </c>
      <c r="OQ128" s="152">
        <f>MAX(0,6-SUMPRODUCT($NV128:$OA128,$I$4:$N$4)+MIN(6,$OB128*2+$OC128*3,SUMPRODUCT($NV128:$OA128,$I$4:$N$4)))</f>
        <v/>
      </c>
      <c r="OR128" s="152">
        <f>MAX(0,9-SUMPRODUCT($NV128:$OA128,$I$5:$N$5)+MIN(8,$OB128*2+$OC128*4,SUMPRODUCT($NV128:$OA128,$I$5:$N$5)))</f>
        <v/>
      </c>
      <c r="OS128" s="152">
        <f>MAX(0,11-SUMPRODUCT($NV128:$OA128,$I$6:$N$6)+MIN(10,$OB128*3+$OC128*5,SUMPRODUCT($NV128:$OA128,$I$6:$N$6)))</f>
        <v/>
      </c>
      <c r="OT128" s="152">
        <f>MAX(0,13-SUMPRODUCT($NV128:$OA128,$I$7:$N$7)+MIN(12,$OB128*3+$OC128*6,SUMPRODUCT($NV128:$OA128,$I$7:$N$7)))</f>
        <v/>
      </c>
      <c r="OU128" s="152">
        <f>MAX(0,16-SUMPRODUCT($NV128:$OA128,$I$8:$N$8)+MIN(14,$OB128*4+$OC128*7,SUMPRODUCT($NV128:$OA128,$I$8:$N$8)))</f>
        <v/>
      </c>
      <c r="OV128" s="152">
        <f>IF($NP128=2,3*$OO128&amp;" de vida temp.",IF($NP128=3,"sem dano",IF($OO128=0,IF($NP128=1,"sem cura","sem dano"),IF($NP128=1,"cura ","")&amp;$OO128&amp;"d8")))</f>
        <v/>
      </c>
      <c r="OW128" s="152">
        <f>IF($NP128=2,3*$OP128&amp;" de vida temp.",IF($NP128=3,"sem dano",IF($OP128=0,IF($NP128=1,"sem cura","sem dano"),IF($NP128=1,"cura ","")&amp;$OP128&amp;"d8")))</f>
        <v/>
      </c>
      <c r="OX128" s="152">
        <f>IF($NP128=2,3*$OQ128&amp;" de vida temp.",IF($NP128=3,"sem dano",IF($OQ128=0,IF($NP128=1,"sem cura","sem dano"),IF($NP128=1,"cura ","")&amp;$OQ128&amp;"d8")))</f>
        <v/>
      </c>
      <c r="OY128" s="152">
        <f>IF($NP128=2,3*$OR128&amp;" de vida temp.",IF($NP128=3,"sem dano",IF($OR128=0,IF($NP128=1,"sem cura","sem dano"),IF($NP128=1,"cura ","")&amp;$OR128&amp;"d8")))</f>
        <v/>
      </c>
      <c r="OZ128" s="152">
        <f>IF($NP128=2,3*$OS128&amp;" de vida temp.",IF($NP128=3,"sem dano",IF($OS128=0,IF($NP128=1,"sem cura","sem dano"),IF($NP128=1,"cura ","")&amp;$OS128&amp;"d8")))</f>
        <v/>
      </c>
      <c r="PA128" s="152">
        <f>IF($NP128=2,3*$OT128&amp;" de vida temp.",IF($NP128=3,"sem dano",IF($OT128=0,IF($NP128=1,"sem cura","sem dano"),IF($NP128=1,"cura ","")&amp;$OT128&amp;"d8")))</f>
        <v/>
      </c>
      <c r="PB128" s="152">
        <f>IF($NP128=2,3*$OU128&amp;" de vida temp.",IF($NP128=3,"sem dano",IF($OU128=0,IF($NP128=1,"sem cura","sem dano"),IF($NP128=1,"cura ","")&amp;$OU128&amp;"d8")))</f>
        <v/>
      </c>
      <c r="PC128" s="152">
        <f>IF($MN128=0,"",TEXTJOIN(" · ",TRUE,IF($MA128&gt;$MO128,"Este lugar abre no nível "&amp;$MA128,""),IF($MC128&gt;$MP128,"Classe "&amp;$MC128&amp;": o nível "&amp;$MO128&amp;" libera até a "&amp;$MP128,""),IF($NH128=1,"A Forma "&amp;$ME128&amp;" pede "&amp;INDEX($W$2:$W$11,$MT128)&amp;" aberta",""),IF(AND($MC128=0,$MT128&gt;0,IF($MT128=0,0,INDEX($AF$2:$AF$11,$MT128))=0),$ME128&amp;" não existe na Classe 0",""),IF($NI128=1,"Família Fechada: "&amp;$MH128,""),IF($NJ128=1,"Família Fechada: "&amp;$MI128,""),IF($NK128=1,"Família Fechada: "&amp;$MJ128,""),IF($NL128=1,"Família Fechada: "&amp;$MK128,""),IF(AND($MC128&gt;0,$OD128&gt;INDEX($O$2:$O$8,MAX(1,$MC128))),$OD128&amp;" Melhorias: a Classe "&amp;$MC128&amp;" aceita "&amp;INDEX($O$2:$O$8,MAX(1,$MC128)),""),IF(AND($MC128=0,$OD128&gt;1),"A básica aceita uma Melhoria",""),IF(AND($MC128=0,COUNTIF($MY128:$NB128,"&gt;1")&gt;0),"A básica só aceita Melhoria Leve",""),IF(AND($MC128&gt;0,$OE128&gt;2),$OE128&amp;" Restrições"&amp;IF($NO128=1,", contando a que a Forma "&amp;$ME128&amp;" já traz","")&amp;": o limite é 2",""),IF(AND($MC128=0,COUNTIF($ML128:$MM128,"?*")&gt;1),"A básica aceita uma Restrição Leve",""),IF(AND($MC128=0,COUNTIF($NR128:$NS128,2)&gt;0),"A básica só aceita Restrição Leve",""),IF(AND($MC128&gt;0,$OL128&lt;0),"Orçamento estourado: faltam "&amp;(-$OL128)&amp;IF($OL128&lt;-1," pontos"," ponto"),""),IF(IFERROR(VLOOKUP($ML128,$BB$2:$BF$24,4,FALSE),0)+IFERROR(VLOOKUP($MM128,$BB$2:$BF$24,4,FALSE),0)&gt;1,$NT128&amp;" e "&amp;$NU128&amp;" são as duas de frequência",""),IF(AND((COUNTIF($MH128:$MK128,"Rápido")+COUNTIF($NT128:$NU128,"Rápido"))&gt;0,(COUNTIF($MH128:$MK128,"Atrasar")+COUNTIF($NT128:$NU128,"Atrasar"))&gt;0),"Rápido não entra com Atrasar",""),IF(AND((COUNTIF($MH128:$MK128,"Reação")+COUNTIF($NT128:$NU128,"Reação"))&gt;0,(COUNTIF($MH128:$MK128,"Rápido")+COUNTIF($NT128:$NU128,"Rápido"))&gt;0),"Reação não entra com Rápido",""),IF(AND((COUNTIF($MH128:$MK128,"Reação")+COUNTIF($NT128:$NU128,"Reação"))&gt;0,(COUNTIF($MH128:$MK128,"Armado")+COUNTIF($NT128:$NU128,"Armado"))&gt;0),"Reação não entra com Armado",""),IF(AND((COUNTIF($MH128:$MK128,"Reação")+COUNTIF($NT128:$NU128,"Reação"))&gt;0,(COUNTIF($MH128:$MK128,"Atrasar")+COUNTIF($NT128:$NU128,"Atrasar"))&gt;0),"Reação não entra com Atrasar",""),IF(AND((COUNTIF($MH128:$MK128,"Reação")+COUNTIF($NT128:$NU128,"Reação"))&gt;0,(COUNTIF($MH128:$MK128,"Parado")+COUNTIF($NT128:$NU128,"Parado"))&gt;0),"Reação não entra com Parado",""),IF(AND((COUNTIF($MH128:$MK128,"Atrasar")+COUNTIF($NT128:$NU128,"Atrasar"))&gt;0,(COUNTIF($MH128:$MK128,"Parado")+COUNTIF($NT128:$NU128,"Parado"))&gt;0),"Atrasar não entra com Parado",""),IF(AND((COUNTIF($MH128:$MK128,"Armado")+COUNTIF($NT128:$NU128,"Armado"))&gt;0,(COUNTIF($MH128:$MK128,"Carregar")+COUNTIF($NT128:$NU128,"Carregar"))&gt;0),"Armado não entra com Carregar",""),IF(AND(COUNTIF($NT128:$NU128,"Corpo a Corpo")&gt;0,$NO128=0,OR($ME128="Cone",$ME128="Linha")),"Corpo a Corpo não entra em "&amp;$ME128,""),IF(AND(COUNTIF($NT128:$NU128,"Corpo a Corpo")&gt;0,$NO128=1),"A Forma "&amp;$ME128&amp;" já traz o Corpo a Corpo",""),IF(AND(COUNTIF($NT128:$NU128,"Tudo ou Nada")&gt;0,$NQ128=0),"Tudo ou Nada só entra em habilidade de Teste de Resistência",""),IF(AND(COUNTIF($MH128:$MK128,"Inescapável")&gt;0,OR($OD128&gt;1,$OE128&gt;0)),"Inescapável não aceita outra peça",""),IF(AND($MC128&gt;0,$OM128*IF(COUNTIF($MH128:$MK128,"Remate")&gt;0,1.25,1)+$ON128&gt;4*$MC128),($OM128*IF(COUNTIF($MH128:$MK128,"Remate")&gt;0,1.25,1)+$ON128)&amp;" dados somando repetições"&amp;IF(COUNTIF($MH128:$MK128,"Remate")&gt;0," e o Remate","")&amp;": o teto da Classe "&amp;$MC128&amp;" é "&amp;4*$MC128,"")))</f>
        <v/>
      </c>
      <c r="PD128" s="152">
        <f>IF($PC128="",0,(LEN($PC128)-LEN(SUBSTITUTE($PC128," · ","")))/3+1)</f>
        <v/>
      </c>
      <c r="PE128" s="152">
        <f>IF($MN128=0,"",TEXTJOIN(" · ",TRUE,IF($OG128&gt;2*$MC128,"A devolução parou no teto de "&amp;2*$MC128,""),IF($OJ128&gt;0,"Devolução perdida: "&amp;$OJ128&amp;IF($OJ128&gt;1," pontos"," ponto")&amp;" sem peça para pagar",""),IF(AND($NM128&gt;0,AND($MC128&gt;0,$NP128=0),$OM128=0),"Controle sem dano: uma rodada a mais e CD +2",""),IF(AND($NM128&gt;0,AND($MC128&gt;0,$NP128=0),$OM128&gt;0,$OM128&lt;=$MC128),"Controle com saldo até a Classe: uma rodada a mais",""),IF(AND($MC128&gt;0,$NN128&lt;&gt;""),"Efeito de "&amp;$NN128&amp;" pela Classe "&amp;MAX(1,$MC128-1),"")))</f>
        <v/>
      </c>
      <c r="PF128" s="152">
        <f>IF($PE128="",0,(LEN($PE128)-LEN(SUBSTITUTE($PE128," · ","")))/3+1)</f>
        <v/>
      </c>
      <c r="PG128" s="152">
        <f>IF($MN128=0,IF($OD128+COUNTIF($ML128:$MM128,"?*")&gt;0,"Dê um nome",""),IF($PD128&gt;0,"⚠ "&amp;$PD128&amp;IF($PD128&gt;1," erros"," erro"),IF($PF128&gt;0,"! "&amp;$PF128&amp;IF($PF128&gt;1," avisos"," aviso"),"Na regra")))</f>
        <v/>
      </c>
      <c r="PH128" s="152">
        <f>IF($MN128=0,"",IF($PD128+$PF128=0,"Dentro das regras que a ficha confere",$PC128&amp;IF(AND($PD128&gt;0,$PF128&gt;0)," · ","")&amp;$PE128))</f>
        <v/>
      </c>
      <c r="PI128" s="152">
        <f>IF($MA128&gt;$MO128,$MB128&amp;" · ABRE NO NÍVEL "&amp;$MA128,$MB128)</f>
        <v/>
      </c>
      <c r="PJ128" s="152">
        <f>IF($MN128=0,"",IF($MC128=0,"Sem PE",3*$MC128&amp;" PE"))</f>
        <v/>
      </c>
      <c r="PK128" s="152">
        <f>IF($MN128=0,"",IF($MC128=0,"A atuação básica dela",IF(COUNTIF($NT128:$NU128,"Atrasar")&gt;0,"Sua Ação Completa",IF(COUNTIF($MH128:$MK128,"Rápido")&gt;0,"Sua Bônus",IF(COUNTIF($MH128:$MK128,"Reação")&gt;0,"Sua Reação","Sua Padrão")))&amp;" + a básica dela"&amp;IF(COUNTIF($MH128:$MK128,"Reação")&gt;0," e a coletiva","")&amp;IF(COUNTIF($NT128:$NU128,"Carregar")&gt;0," · em dois turnos","")))</f>
        <v/>
      </c>
      <c r="PL128" s="152">
        <f>IF($MG128&lt;&gt;"",$MG128,IF($MT128=0,"",INDEX($AA$2:$AA$11,$MT128)))</f>
        <v/>
      </c>
      <c r="PM128" s="152">
        <f>IF(OR($MN128=0,$MT128=0),"",IF(COUNTIF($MH128:$MK128,"Inescapável")&gt;0,"Automático",IF($PL128="Ataque",IF($MR128="","Ataque","Ataque "&amp;IF(($MR128+2*IF(COUNTIF($MH128:$MK128,"Precisão")&gt;0,1,0))&gt;=0,"+","−")&amp;ABS(($MR128+2*IF(COUNTIF($MH128:$MK128,"Precisão")&gt;0,1,0)))),IF(LEFT($PL128,2)="TR",$PL128&amp;IF($MS128="",""," · CD "&amp;$MS128)&amp;IF(COUNTIF($MH128:$MK128,"Certeiro")&gt;0," · metade",""),"Sem rolagem"))))</f>
        <v/>
      </c>
      <c r="PN128" s="152">
        <f>IF(OR($MN128=0,$MT128=0),"",IF($MC128=0,IF(OR($NP128&gt;=1,$OM128=0),"Sem dano",$OM128&amp;"d6"&amp;IF($MF128="",""," "&amp;$MF128)),IF(OR($NP128&gt;=1,$OM128=0),UPPER(LEFT(INDEX($OV128:$PB128,1,MAX(1,$MC128)),1))&amp;MID(INDEX($OV128:$PB128,1,MAX(1,$MC128)),2,99),UPPER(LEFT(INDEX($OV128:$PB128,1,MAX(1,$MC128)),1))&amp;MID(INDEX($OV128:$PB128,1,MAX(1,$MC128)),2,99)&amp;IF($MF128="",""," "&amp;$MF128)&amp;IF($ON128&gt;0," · +"&amp;$ON128&amp;"d8",""))))</f>
        <v/>
      </c>
      <c r="PO128" s="152">
        <f>COUNTIF($MH128:$MK128,"Longe")+3*COUNTIF($MH128:$MK128,"Muito Longe")</f>
        <v/>
      </c>
      <c r="PP128" s="152">
        <f>COUNTIF($MH128:$MK128,"Maior")+3*COUNTIF($MH128:$MK128,"Muito Maior")</f>
        <v/>
      </c>
      <c r="PQ128" s="152">
        <f>IF($MT128=0,0,CHOOSE(1+INDEX($AC$2:$AC$11,$MT128),0,$PO128,$PP128,$PO128+$PP128))</f>
        <v/>
      </c>
      <c r="PR128" s="152">
        <f>IF($MT128=0,0,CHOOSE(1+INDEX($AD$2:$AD$11,$MT128),0,$PO128,$PP128,$PO128+$PP128))</f>
        <v/>
      </c>
      <c r="PS128" s="152">
        <f>IF(OR($MN128=0,$MT128=0),"",INDEX($AI$2:$AN$41,($MT128-1)*4+IF($MC128=0,1,IF($MC128&lt;=5,2,IF($MC128=6,3,4))),1+MIN(5,$PQ128))&amp;INDEX($AO$2:$AT$41,($MT128-1)*4+IF($MC128=0,1,IF($MC128&lt;=5,2,IF($MC128=6,3,4))),1+MIN(5,$PR128))&amp;IF(INDEX($AE$2:$AE$11,$MT128)=1,IF(COUNTIF($MH128:$MK128,"Mais Um")&gt;0," · +"&amp;COUNTIF($MH128:$MK128,"Mais Um")&amp;IF(COUNTIF($MH128:$MK128,"Mais Um")&gt;1," alvos"," alvo"),"")&amp;IF(COUNTIF($MH128:$MK128,"Rajada")&gt;0,IF($MC128=0," · 1 tiro"," · "&amp;(MAX(1,$MC128-1)+1)&amp;" tiros"),""),""))</f>
        <v/>
      </c>
      <c r="PT128" s="152">
        <f>IF($MN128=0,"",IF($MC128=0,$MQ128&amp;"d6"&amp;IF($OD128&gt;0," − 1 = "&amp;$OM128&amp;"d6"," da básica do nível "&amp;$MO128),$OK128&amp;" − "&amp;$OF128&amp;" + "&amp;$OI128&amp;" = "&amp;$OL128&amp;" · teto "&amp;4*$MC128&amp;"d8"&amp;IF($NO128=1," · a Forma devolve "&amp;$MC128,"")&amp;IF($OJ128&gt;0," · perde "&amp;$OJ128,"")))</f>
        <v/>
      </c>
      <c r="PU128" s="152">
        <f>IF($MN128=0,"",IF($MC128=0,"A básica não amplia: os dados dela sobem com o nível",IF($MC128&gt;=$MP128,"Já está na maior Classe que o nível liberou",TEXTJOIN(" · ",TRUE,IF(AND(2&gt;$MC128,2&lt;=$MP128),"2 → "&amp;$OW128&amp;", 6 PE",""),IF(AND(3&gt;$MC128,3&lt;=$MP128),"3 → "&amp;$OX128&amp;", 9 PE",""),IF(AND(4&gt;$MC128,4&lt;=$MP128),"4 → "&amp;$OY128&amp;", 12 PE",""),IF(AND(5&gt;$MC128,5&lt;=$MP128),"5 → "&amp;$OZ128&amp;", 15 PE",""),IF(AND(6&gt;$MC128,6&lt;=$MP128),"6 → "&amp;$PA128&amp;", 18 PE",""),IF(AND(7&gt;$MC128,7&lt;=$MP128),"7 → "&amp;$PB128&amp;", 21 PE","")))))</f>
        <v/>
      </c>
      <c r="PV128" s="152">
        <f>IF(OR($MN128=0,$MY128=0),"",IF($MC128=0,"−1 dado","−"&amp;INDEX($I$2:$N$8,MAX(1,$MC128),MAX(1,$ND128))&amp;" · "&amp;CHOOSE(MAX(1,$ND128),"Leve","Média","Pesada","Leve · Livre","Média · Livre","Pesada · Livre")))</f>
        <v/>
      </c>
      <c r="PW128" s="152">
        <f>IF(OR($MN128=0,$MZ128=0),"",IF($MC128=0,"−1 dado","−"&amp;INDEX($I$2:$N$8,MAX(1,$MC128),MAX(1,$NE128))&amp;" · "&amp;CHOOSE(MAX(1,$NE128),"Leve","Média","Pesada","Leve · Livre","Média · Livre","Pesada · Livre")))</f>
        <v/>
      </c>
      <c r="PX128" s="152">
        <f>IF(OR($MN128=0,$NA128=0),"",IF($MC128=0,"−1 dado","−"&amp;INDEX($I$2:$N$8,MAX(1,$MC128),MAX(1,$NF128))&amp;" · "&amp;CHOOSE(MAX(1,$NF128),"Leve","Média","Pesada","Leve · Livre","Média · Livre","Pesada · Livre")))</f>
        <v/>
      </c>
      <c r="PY128" s="152">
        <f>IF(OR($MN128=0,$NB128=0),"",IF($MC128=0,"−1 dado","−"&amp;INDEX($I$2:$N$8,MAX(1,$MC128),MAX(1,$NG128))&amp;" · "&amp;CHOOSE(MAX(1,$NG128),"Leve","Média","Pesada","Leve · Livre","Média · Livre","Pesada · Livre")))</f>
        <v/>
      </c>
      <c r="PZ128" s="152">
        <f>IF(OR($MN128=0,$ML128=""),"",IF($MC128=0,"não devolve","+"&amp;IF($NR128=1,CEILING($MC128/2,1),$MC128)))</f>
        <v/>
      </c>
      <c r="QA128" s="152">
        <f>IF(OR($MN128=0,$MM128=""),"",IF($MC128=0,"não devolve","+"&amp;IF($NS128=1,CEILING($MC128/2,1),$MC128)))</f>
        <v/>
      </c>
    </row>
    <row r="129">
      <c r="LX129" s="150" t="inlineStr">
        <is>
          <t>Ficha 10 · Escolha da trilha 1</t>
        </is>
      </c>
      <c r="LY129" s="152" t="n">
        <v>10</v>
      </c>
      <c r="LZ129" s="152" t="n">
        <v>2</v>
      </c>
      <c r="MA129" s="152" t="n">
        <v>0</v>
      </c>
      <c r="MB129" s="150" t="inlineStr">
        <is>
          <t>ESCOLHA DA TRILHA 1</t>
        </is>
      </c>
      <c r="MC129" s="152">
        <f>MAX(0,MIN(7,N('INVOCAÇÕES'!$AB$754)))</f>
        <v/>
      </c>
      <c r="MD129" s="152">
        <f>'INVOCAÇÕES'!$AC$754&amp;""</f>
        <v/>
      </c>
      <c r="ME129" s="152">
        <f>'INVOCAÇÕES'!$AB$759&amp;""</f>
        <v/>
      </c>
      <c r="MF129" s="152">
        <f>'INVOCAÇÕES'!$AB$760&amp;""</f>
        <v/>
      </c>
      <c r="MG129" s="152">
        <f>'INVOCAÇÕES'!$AD$760&amp;""</f>
        <v/>
      </c>
      <c r="MH129" s="152">
        <f>'INVOCAÇÕES'!$AC$763&amp;""</f>
        <v/>
      </c>
      <c r="MI129" s="152">
        <f>'INVOCAÇÕES'!$AC$764&amp;""</f>
        <v/>
      </c>
      <c r="MJ129" s="152">
        <f>'INVOCAÇÕES'!$AC$765&amp;""</f>
        <v/>
      </c>
      <c r="MK129" s="152">
        <f>'INVOCAÇÕES'!$AC$766&amp;""</f>
        <v/>
      </c>
      <c r="ML129" s="152">
        <f>'INVOCAÇÕES'!$AC$767&amp;""</f>
        <v/>
      </c>
      <c r="MM129" s="152">
        <f>'INVOCAÇÕES'!$AC$768&amp;""</f>
        <v/>
      </c>
      <c r="MN129" s="152">
        <f>IF($MD129&lt;&gt;"",1,0)</f>
        <v/>
      </c>
      <c r="MO129" s="152">
        <f>INDEX($FG$2:$FG$13,$LY129)</f>
        <v/>
      </c>
      <c r="MP129" s="152">
        <f>INDEX($FH$2:$FH$13,$LY129)</f>
        <v/>
      </c>
      <c r="MQ129" s="152">
        <f>INDEX($FI$2:$FI$13,$LY129)</f>
        <v/>
      </c>
      <c r="MR129" s="152">
        <f>INDEX($FT$2:$FT$13,$LY129)</f>
        <v/>
      </c>
      <c r="MS129" s="152">
        <f>INDEX($FU$2:$FU$13,$LY129)</f>
        <v/>
      </c>
      <c r="MT129" s="152">
        <f>IFERROR(MATCH($ME129,$V$2:$V$11,0),0)</f>
        <v/>
      </c>
      <c r="MU129" s="152">
        <f>IFERROR(VLOOKUP($MH129,$AV$2:$AZ$84,2,FALSE),"")</f>
        <v/>
      </c>
      <c r="MV129" s="152">
        <f>IFERROR(VLOOKUP($MI129,$AV$2:$AZ$84,2,FALSE),"")</f>
        <v/>
      </c>
      <c r="MW129" s="152">
        <f>IFERROR(VLOOKUP($MJ129,$AV$2:$AZ$84,2,FALSE),"")</f>
        <v/>
      </c>
      <c r="MX129" s="152">
        <f>IFERROR(VLOOKUP($MK129,$AV$2:$AZ$84,2,FALSE),"")</f>
        <v/>
      </c>
      <c r="MY129" s="152">
        <f>IFERROR(VLOOKUP($MH129,$AV$2:$AZ$84,3,FALSE),0)</f>
        <v/>
      </c>
      <c r="MZ129" s="152">
        <f>IFERROR(VLOOKUP($MI129,$AV$2:$AZ$84,3,FALSE),0)</f>
        <v/>
      </c>
      <c r="NA129" s="152">
        <f>IFERROR(VLOOKUP($MJ129,$AV$2:$AZ$84,3,FALSE),0)</f>
        <v/>
      </c>
      <c r="NB129" s="152">
        <f>IFERROR(VLOOKUP($MK129,$AV$2:$AZ$84,3,FALSE),0)</f>
        <v/>
      </c>
      <c r="NC129" s="152">
        <f>IF($MC129=0,0,IF($MT129=0,0,INDEX($X$2:$X$11,$MT129)))</f>
        <v/>
      </c>
      <c r="ND129" s="152">
        <f>IF(OR($MY129=0,$MC129=0),0,$MY129+3*IF(AND($MU129&lt;&gt;"",OR($MU129=INDEX($ED$2:$ED$13,$LY129),$MU129=INDEX($EE$2:$EE$13,$LY129))),1,0))</f>
        <v/>
      </c>
      <c r="NE129" s="152">
        <f>IF(OR($MZ129=0,$MC129=0),0,$MZ129+3*IF(AND($MV129&lt;&gt;"",OR($MV129=INDEX($ED$2:$ED$13,$LY129),$MV129=INDEX($EE$2:$EE$13,$LY129))),1,0))</f>
        <v/>
      </c>
      <c r="NF129" s="152">
        <f>IF(OR($NA129=0,$MC129=0),0,$NA129+3*IF(AND($MW129&lt;&gt;"",OR($MW129=INDEX($ED$2:$ED$13,$LY129),$MW129=INDEX($EE$2:$EE$13,$LY129))),1,0))</f>
        <v/>
      </c>
      <c r="NG129" s="152">
        <f>IF(OR($NB129=0,$MC129=0),0,$NB129+3*IF(AND($MX129&lt;&gt;"",OR($MX129=INDEX($ED$2:$ED$13,$LY129),$MX129=INDEX($EE$2:$EE$13,$LY129))),1,0))</f>
        <v/>
      </c>
      <c r="NH129" s="152">
        <f>IF($MT129=0,0,IF(INDEX($W$2:$W$11,$MT129)="",0,IF(COUNTIF(INDEX($ED$2:$EH$13,$LY129,0),INDEX($W$2:$W$11,$MT129))=0,1,0)))</f>
        <v/>
      </c>
      <c r="NI129" s="152">
        <f>IF(OR($MY129=0,$MU129=""),0,IF(COUNTIF(INDEX($ED$2:$EH$13,$LY129,0),$MU129)=0,1,0))</f>
        <v/>
      </c>
      <c r="NJ129" s="152">
        <f>IF(OR($MZ129=0,$MV129=""),0,IF(COUNTIF(INDEX($ED$2:$EH$13,$LY129,0),$MV129)=0,1,0))</f>
        <v/>
      </c>
      <c r="NK129" s="152">
        <f>IF(OR($NA129=0,$MW129=""),0,IF(COUNTIF(INDEX($ED$2:$EH$13,$LY129,0),$MW129)=0,1,0))</f>
        <v/>
      </c>
      <c r="NL129" s="152">
        <f>IF(OR($NB129=0,$MX129=""),0,IF(COUNTIF(INDEX($ED$2:$EH$13,$LY129,0),$MX129)=0,1,0))</f>
        <v/>
      </c>
      <c r="NM129" s="152">
        <f>IFERROR(VLOOKUP($MH129,$AV$2:$AZ$84,4,FALSE),0)+IFERROR(VLOOKUP($MI129,$AV$2:$AZ$84,4,FALSE),0)+IFERROR(VLOOKUP($MJ129,$AV$2:$AZ$84,4,FALSE),0)+IFERROR(VLOOKUP($MK129,$AV$2:$AZ$84,4,FALSE),0)</f>
        <v/>
      </c>
      <c r="NN129" s="152">
        <f>TEXTJOIN(", ",TRUE,IF(IFERROR(VLOOKUP($MH129,$AV$2:$AZ$84,5,FALSE),0)=1,$MH129,""),IF(IFERROR(VLOOKUP($MI129,$AV$2:$AZ$84,5,FALSE),0)=1,$MI129,""),IF(IFERROR(VLOOKUP($MJ129,$AV$2:$AZ$84,5,FALSE),0)=1,$MJ129,""),IF(IFERROR(VLOOKUP($MK129,$AV$2:$AZ$84,5,FALSE),0)=1,$MK129,""))</f>
        <v/>
      </c>
      <c r="NO129" s="152">
        <f>IF($MT129=0,0,INDEX($Y$2:$Y$11,$MT129))</f>
        <v/>
      </c>
      <c r="NP129" s="152">
        <f>IF($MT129=0,0,INDEX($Z$2:$Z$11,$MT129))</f>
        <v/>
      </c>
      <c r="NQ129" s="152">
        <f>IF($MT129=0,0,INDEX($AB$2:$AB$11,$MT129))</f>
        <v/>
      </c>
      <c r="NR129" s="152">
        <f>IFERROR(VLOOKUP($ML129,$BB$2:$BF$24,3,FALSE),0)</f>
        <v/>
      </c>
      <c r="NS129" s="152">
        <f>IFERROR(VLOOKUP($MM129,$BB$2:$BF$24,3,FALSE),0)</f>
        <v/>
      </c>
      <c r="NT129" s="152">
        <f>IFERROR(VLOOKUP($ML129,$BB$2:$BF$24,2,FALSE),"")</f>
        <v/>
      </c>
      <c r="NU129" s="152">
        <f>IFERROR(VLOOKUP($MM129,$BB$2:$BF$24,2,FALSE),"")</f>
        <v/>
      </c>
      <c r="NV129" s="152">
        <f>COUNTIF($NC129:$NG129,1)</f>
        <v/>
      </c>
      <c r="NW129" s="152">
        <f>COUNTIF($NC129:$NG129,2)</f>
        <v/>
      </c>
      <c r="NX129" s="152">
        <f>COUNTIF($NC129:$NG129,3)</f>
        <v/>
      </c>
      <c r="NY129" s="152">
        <f>COUNTIF($NC129:$NG129,4)</f>
        <v/>
      </c>
      <c r="NZ129" s="152">
        <f>COUNTIF($NC129:$NG129,5)</f>
        <v/>
      </c>
      <c r="OA129" s="152">
        <f>COUNTIF($NC129:$NG129,6)</f>
        <v/>
      </c>
      <c r="OB129" s="152">
        <f>COUNTIF($NR129:$NS129,1)</f>
        <v/>
      </c>
      <c r="OC129" s="152">
        <f>COUNTIF($NR129:$NS129,2)+$NO129</f>
        <v/>
      </c>
      <c r="OD129" s="152">
        <f>COUNTIF($MH129:$MK129,"?*")</f>
        <v/>
      </c>
      <c r="OE129" s="152">
        <f>COUNTIF($ML129:$MM129,"?*")+$NO129</f>
        <v/>
      </c>
      <c r="OF129" s="152">
        <f>IF($MC129=0,0,SUMPRODUCT($NV129:$OA129,INDEX($I$2:$N$8,MAX(1,$MC129),0)))</f>
        <v/>
      </c>
      <c r="OG129" s="152">
        <f>IF($MC129=0,0,$OB129*CEILING($MC129/2,1)+$OC129*$MC129)</f>
        <v/>
      </c>
      <c r="OH129" s="152">
        <f>MIN(2*$MC129,$OG129)</f>
        <v/>
      </c>
      <c r="OI129" s="152">
        <f>MIN($OH129,$OF129)</f>
        <v/>
      </c>
      <c r="OJ129" s="152">
        <f>$OH129-$OI129</f>
        <v/>
      </c>
      <c r="OK129" s="152">
        <f>IF($MC129=0,0,INDEX($P$2:$P$8,MAX(1,$MC129)))</f>
        <v/>
      </c>
      <c r="OL129" s="152">
        <f>$OK129-$OF129+$OI129</f>
        <v/>
      </c>
      <c r="OM129" s="152">
        <f>IF($MC129=0,MAX(0,$MQ129-IF($OD129&gt;0,1,0)),MAX(0,$OL129))</f>
        <v/>
      </c>
      <c r="ON129" s="152">
        <f>IF($MC129=0,0,(IF(COUNTIF($MH129:$MK129,"Salto")&gt;0,1,0)+IF(COUNTIF($MH129:$MK129,"Queima")&gt;0,1,0)+IF(COUNTIF($MH129:$MK129,"Estilhaço")&gt;0,1,0))*FLOOR($OM129/2,1))</f>
        <v/>
      </c>
      <c r="OO129" s="152">
        <f>MAX(0,2-SUMPRODUCT($NV129:$OA129,$I$2:$N$2)+MIN(2,$OB129*1+$OC129*1,SUMPRODUCT($NV129:$OA129,$I$2:$N$2)))</f>
        <v/>
      </c>
      <c r="OP129" s="152">
        <f>MAX(0,4-SUMPRODUCT($NV129:$OA129,$I$3:$N$3)+MIN(4,$OB129*1+$OC129*2,SUMPRODUCT($NV129:$OA129,$I$3:$N$3)))</f>
        <v/>
      </c>
      <c r="OQ129" s="152">
        <f>MAX(0,6-SUMPRODUCT($NV129:$OA129,$I$4:$N$4)+MIN(6,$OB129*2+$OC129*3,SUMPRODUCT($NV129:$OA129,$I$4:$N$4)))</f>
        <v/>
      </c>
      <c r="OR129" s="152">
        <f>MAX(0,9-SUMPRODUCT($NV129:$OA129,$I$5:$N$5)+MIN(8,$OB129*2+$OC129*4,SUMPRODUCT($NV129:$OA129,$I$5:$N$5)))</f>
        <v/>
      </c>
      <c r="OS129" s="152">
        <f>MAX(0,11-SUMPRODUCT($NV129:$OA129,$I$6:$N$6)+MIN(10,$OB129*3+$OC129*5,SUMPRODUCT($NV129:$OA129,$I$6:$N$6)))</f>
        <v/>
      </c>
      <c r="OT129" s="152">
        <f>MAX(0,13-SUMPRODUCT($NV129:$OA129,$I$7:$N$7)+MIN(12,$OB129*3+$OC129*6,SUMPRODUCT($NV129:$OA129,$I$7:$N$7)))</f>
        <v/>
      </c>
      <c r="OU129" s="152">
        <f>MAX(0,16-SUMPRODUCT($NV129:$OA129,$I$8:$N$8)+MIN(14,$OB129*4+$OC129*7,SUMPRODUCT($NV129:$OA129,$I$8:$N$8)))</f>
        <v/>
      </c>
      <c r="OV129" s="152">
        <f>IF($NP129=2,3*$OO129&amp;" de vida temp.",IF($NP129=3,"sem dano",IF($OO129=0,IF($NP129=1,"sem cura","sem dano"),IF($NP129=1,"cura ","")&amp;$OO129&amp;"d8")))</f>
        <v/>
      </c>
      <c r="OW129" s="152">
        <f>IF($NP129=2,3*$OP129&amp;" de vida temp.",IF($NP129=3,"sem dano",IF($OP129=0,IF($NP129=1,"sem cura","sem dano"),IF($NP129=1,"cura ","")&amp;$OP129&amp;"d8")))</f>
        <v/>
      </c>
      <c r="OX129" s="152">
        <f>IF($NP129=2,3*$OQ129&amp;" de vida temp.",IF($NP129=3,"sem dano",IF($OQ129=0,IF($NP129=1,"sem cura","sem dano"),IF($NP129=1,"cura ","")&amp;$OQ129&amp;"d8")))</f>
        <v/>
      </c>
      <c r="OY129" s="152">
        <f>IF($NP129=2,3*$OR129&amp;" de vida temp.",IF($NP129=3,"sem dano",IF($OR129=0,IF($NP129=1,"sem cura","sem dano"),IF($NP129=1,"cura ","")&amp;$OR129&amp;"d8")))</f>
        <v/>
      </c>
      <c r="OZ129" s="152">
        <f>IF($NP129=2,3*$OS129&amp;" de vida temp.",IF($NP129=3,"sem dano",IF($OS129=0,IF($NP129=1,"sem cura","sem dano"),IF($NP129=1,"cura ","")&amp;$OS129&amp;"d8")))</f>
        <v/>
      </c>
      <c r="PA129" s="152">
        <f>IF($NP129=2,3*$OT129&amp;" de vida temp.",IF($NP129=3,"sem dano",IF($OT129=0,IF($NP129=1,"sem cura","sem dano"),IF($NP129=1,"cura ","")&amp;$OT129&amp;"d8")))</f>
        <v/>
      </c>
      <c r="PB129" s="152">
        <f>IF($NP129=2,3*$OU129&amp;" de vida temp.",IF($NP129=3,"sem dano",IF($OU129=0,IF($NP129=1,"sem cura","sem dano"),IF($NP129=1,"cura ","")&amp;$OU129&amp;"d8")))</f>
        <v/>
      </c>
      <c r="PC129" s="152">
        <f>IF($MN129=0,"",TEXTJOIN(" · ",TRUE,IF($MA129&gt;$MO129,"Este lugar abre no nível "&amp;$MA129,""),IF($MC129&gt;$MP129,"Classe "&amp;$MC129&amp;": o nível "&amp;$MO129&amp;" libera até a "&amp;$MP129,""),IF($NH129=1,"A Forma "&amp;$ME129&amp;" pede "&amp;INDEX($W$2:$W$11,$MT129)&amp;" aberta",""),IF(AND($MC129=0,$MT129&gt;0,IF($MT129=0,0,INDEX($AF$2:$AF$11,$MT129))=0),$ME129&amp;" não existe na Classe 0",""),IF($NI129=1,"Família Fechada: "&amp;$MH129,""),IF($NJ129=1,"Família Fechada: "&amp;$MI129,""),IF($NK129=1,"Família Fechada: "&amp;$MJ129,""),IF($NL129=1,"Família Fechada: "&amp;$MK129,""),IF(AND($MC129&gt;0,$OD129&gt;INDEX($O$2:$O$8,MAX(1,$MC129))),$OD129&amp;" Melhorias: a Classe "&amp;$MC129&amp;" aceita "&amp;INDEX($O$2:$O$8,MAX(1,$MC129)),""),IF(AND($MC129=0,$OD129&gt;1),"A básica aceita uma Melhoria",""),IF(AND($MC129=0,COUNTIF($MY129:$NB129,"&gt;1")&gt;0),"A básica só aceita Melhoria Leve",""),IF(AND($MC129&gt;0,$OE129&gt;2),$OE129&amp;" Restrições"&amp;IF($NO129=1,", contando a que a Forma "&amp;$ME129&amp;" já traz","")&amp;": o limite é 2",""),IF(AND($MC129=0,COUNTIF($ML129:$MM129,"?*")&gt;1),"A básica aceita uma Restrição Leve",""),IF(AND($MC129=0,COUNTIF($NR129:$NS129,2)&gt;0),"A básica só aceita Restrição Leve",""),IF(AND($MC129&gt;0,$OL129&lt;0),"Orçamento estourado: faltam "&amp;(-$OL129)&amp;IF($OL129&lt;-1," pontos"," ponto"),""),IF(IFERROR(VLOOKUP($ML129,$BB$2:$BF$24,4,FALSE),0)+IFERROR(VLOOKUP($MM129,$BB$2:$BF$24,4,FALSE),0)&gt;1,$NT129&amp;" e "&amp;$NU129&amp;" são as duas de frequência",""),IF(AND((COUNTIF($MH129:$MK129,"Rápido")+COUNTIF($NT129:$NU129,"Rápido"))&gt;0,(COUNTIF($MH129:$MK129,"Atrasar")+COUNTIF($NT129:$NU129,"Atrasar"))&gt;0),"Rápido não entra com Atrasar",""),IF(AND((COUNTIF($MH129:$MK129,"Reação")+COUNTIF($NT129:$NU129,"Reação"))&gt;0,(COUNTIF($MH129:$MK129,"Rápido")+COUNTIF($NT129:$NU129,"Rápido"))&gt;0),"Reação não entra com Rápido",""),IF(AND((COUNTIF($MH129:$MK129,"Reação")+COUNTIF($NT129:$NU129,"Reação"))&gt;0,(COUNTIF($MH129:$MK129,"Armado")+COUNTIF($NT129:$NU129,"Armado"))&gt;0),"Reação não entra com Armado",""),IF(AND((COUNTIF($MH129:$MK129,"Reação")+COUNTIF($NT129:$NU129,"Reação"))&gt;0,(COUNTIF($MH129:$MK129,"Atrasar")+COUNTIF($NT129:$NU129,"Atrasar"))&gt;0),"Reação não entra com Atrasar",""),IF(AND((COUNTIF($MH129:$MK129,"Reação")+COUNTIF($NT129:$NU129,"Reação"))&gt;0,(COUNTIF($MH129:$MK129,"Parado")+COUNTIF($NT129:$NU129,"Parado"))&gt;0),"Reação não entra com Parado",""),IF(AND((COUNTIF($MH129:$MK129,"Atrasar")+COUNTIF($NT129:$NU129,"Atrasar"))&gt;0,(COUNTIF($MH129:$MK129,"Parado")+COUNTIF($NT129:$NU129,"Parado"))&gt;0),"Atrasar não entra com Parado",""),IF(AND((COUNTIF($MH129:$MK129,"Armado")+COUNTIF($NT129:$NU129,"Armado"))&gt;0,(COUNTIF($MH129:$MK129,"Carregar")+COUNTIF($NT129:$NU129,"Carregar"))&gt;0),"Armado não entra com Carregar",""),IF(AND(COUNTIF($NT129:$NU129,"Corpo a Corpo")&gt;0,$NO129=0,OR($ME129="Cone",$ME129="Linha")),"Corpo a Corpo não entra em "&amp;$ME129,""),IF(AND(COUNTIF($NT129:$NU129,"Corpo a Corpo")&gt;0,$NO129=1),"A Forma "&amp;$ME129&amp;" já traz o Corpo a Corpo",""),IF(AND(COUNTIF($NT129:$NU129,"Tudo ou Nada")&gt;0,$NQ129=0),"Tudo ou Nada só entra em habilidade de Teste de Resistência",""),IF(AND(COUNTIF($MH129:$MK129,"Inescapável")&gt;0,OR($OD129&gt;1,$OE129&gt;0)),"Inescapável não aceita outra peça",""),IF(AND($MC129&gt;0,$OM129*IF(COUNTIF($MH129:$MK129,"Remate")&gt;0,1.25,1)+$ON129&gt;4*$MC129),($OM129*IF(COUNTIF($MH129:$MK129,"Remate")&gt;0,1.25,1)+$ON129)&amp;" dados somando repetições"&amp;IF(COUNTIF($MH129:$MK129,"Remate")&gt;0," e o Remate","")&amp;": o teto da Classe "&amp;$MC129&amp;" é "&amp;4*$MC129,"")))</f>
        <v/>
      </c>
      <c r="PD129" s="152">
        <f>IF($PC129="",0,(LEN($PC129)-LEN(SUBSTITUTE($PC129," · ","")))/3+1)</f>
        <v/>
      </c>
      <c r="PE129" s="152">
        <f>IF($MN129=0,"",TEXTJOIN(" · ",TRUE,IF($OG129&gt;2*$MC129,"A devolução parou no teto de "&amp;2*$MC129,""),IF($OJ129&gt;0,"Devolução perdida: "&amp;$OJ129&amp;IF($OJ129&gt;1," pontos"," ponto")&amp;" sem peça para pagar",""),IF(AND($NM129&gt;0,AND($MC129&gt;0,$NP129=0),$OM129=0),"Controle sem dano: uma rodada a mais e CD +2",""),IF(AND($NM129&gt;0,AND($MC129&gt;0,$NP129=0),$OM129&gt;0,$OM129&lt;=$MC129),"Controle com saldo até a Classe: uma rodada a mais",""),IF(AND($MC129&gt;0,$NN129&lt;&gt;""),"Efeito de "&amp;$NN129&amp;" pela Classe "&amp;MAX(1,$MC129-1),"")))</f>
        <v/>
      </c>
      <c r="PF129" s="152">
        <f>IF($PE129="",0,(LEN($PE129)-LEN(SUBSTITUTE($PE129," · ","")))/3+1)</f>
        <v/>
      </c>
      <c r="PG129" s="152">
        <f>IF($MN129=0,IF($OD129+COUNTIF($ML129:$MM129,"?*")&gt;0,"Dê um nome",""),IF($PD129&gt;0,"⚠ "&amp;$PD129&amp;IF($PD129&gt;1," erros"," erro"),IF($PF129&gt;0,"! "&amp;$PF129&amp;IF($PF129&gt;1," avisos"," aviso"),"Na regra")))</f>
        <v/>
      </c>
      <c r="PH129" s="152">
        <f>IF($MN129=0,"",IF($PD129+$PF129=0,"Dentro das regras que a ficha confere",$PC129&amp;IF(AND($PD129&gt;0,$PF129&gt;0)," · ","")&amp;$PE129))</f>
        <v/>
      </c>
      <c r="PI129" s="152">
        <f>IF($MA129&gt;$MO129,$MB129&amp;" · ABRE NO NÍVEL "&amp;$MA129,$MB129)</f>
        <v/>
      </c>
      <c r="PJ129" s="152">
        <f>IF($MN129=0,"",IF($MC129=0,"Sem PE",3*$MC129&amp;" PE"))</f>
        <v/>
      </c>
      <c r="PK129" s="152">
        <f>IF($MN129=0,"",IF($MC129=0,"A atuação básica dela",IF(COUNTIF($NT129:$NU129,"Atrasar")&gt;0,"Sua Ação Completa",IF(COUNTIF($MH129:$MK129,"Rápido")&gt;0,"Sua Bônus",IF(COUNTIF($MH129:$MK129,"Reação")&gt;0,"Sua Reação","Sua Padrão")))&amp;" + a básica dela"&amp;IF(COUNTIF($MH129:$MK129,"Reação")&gt;0," e a coletiva","")&amp;IF(COUNTIF($NT129:$NU129,"Carregar")&gt;0," · em dois turnos","")))</f>
        <v/>
      </c>
      <c r="PL129" s="152">
        <f>IF($MG129&lt;&gt;"",$MG129,IF($MT129=0,"",INDEX($AA$2:$AA$11,$MT129)))</f>
        <v/>
      </c>
      <c r="PM129" s="152">
        <f>IF(OR($MN129=0,$MT129=0),"",IF(COUNTIF($MH129:$MK129,"Inescapável")&gt;0,"Automático",IF($PL129="Ataque",IF($MR129="","Ataque","Ataque "&amp;IF(($MR129+2*IF(COUNTIF($MH129:$MK129,"Precisão")&gt;0,1,0))&gt;=0,"+","−")&amp;ABS(($MR129+2*IF(COUNTIF($MH129:$MK129,"Precisão")&gt;0,1,0)))),IF(LEFT($PL129,2)="TR",$PL129&amp;IF($MS129="",""," · CD "&amp;$MS129)&amp;IF(COUNTIF($MH129:$MK129,"Certeiro")&gt;0," · metade",""),"Sem rolagem"))))</f>
        <v/>
      </c>
      <c r="PN129" s="152">
        <f>IF(OR($MN129=0,$MT129=0),"",IF($MC129=0,IF(OR($NP129&gt;=1,$OM129=0),"Sem dano",$OM129&amp;"d6"&amp;IF($MF129="",""," "&amp;$MF129)),IF(OR($NP129&gt;=1,$OM129=0),UPPER(LEFT(INDEX($OV129:$PB129,1,MAX(1,$MC129)),1))&amp;MID(INDEX($OV129:$PB129,1,MAX(1,$MC129)),2,99),UPPER(LEFT(INDEX($OV129:$PB129,1,MAX(1,$MC129)),1))&amp;MID(INDEX($OV129:$PB129,1,MAX(1,$MC129)),2,99)&amp;IF($MF129="",""," "&amp;$MF129)&amp;IF($ON129&gt;0," · +"&amp;$ON129&amp;"d8",""))))</f>
        <v/>
      </c>
      <c r="PO129" s="152">
        <f>COUNTIF($MH129:$MK129,"Longe")+3*COUNTIF($MH129:$MK129,"Muito Longe")</f>
        <v/>
      </c>
      <c r="PP129" s="152">
        <f>COUNTIF($MH129:$MK129,"Maior")+3*COUNTIF($MH129:$MK129,"Muito Maior")</f>
        <v/>
      </c>
      <c r="PQ129" s="152">
        <f>IF($MT129=0,0,CHOOSE(1+INDEX($AC$2:$AC$11,$MT129),0,$PO129,$PP129,$PO129+$PP129))</f>
        <v/>
      </c>
      <c r="PR129" s="152">
        <f>IF($MT129=0,0,CHOOSE(1+INDEX($AD$2:$AD$11,$MT129),0,$PO129,$PP129,$PO129+$PP129))</f>
        <v/>
      </c>
      <c r="PS129" s="152">
        <f>IF(OR($MN129=0,$MT129=0),"",INDEX($AI$2:$AN$41,($MT129-1)*4+IF($MC129=0,1,IF($MC129&lt;=5,2,IF($MC129=6,3,4))),1+MIN(5,$PQ129))&amp;INDEX($AO$2:$AT$41,($MT129-1)*4+IF($MC129=0,1,IF($MC129&lt;=5,2,IF($MC129=6,3,4))),1+MIN(5,$PR129))&amp;IF(INDEX($AE$2:$AE$11,$MT129)=1,IF(COUNTIF($MH129:$MK129,"Mais Um")&gt;0," · +"&amp;COUNTIF($MH129:$MK129,"Mais Um")&amp;IF(COUNTIF($MH129:$MK129,"Mais Um")&gt;1," alvos"," alvo"),"")&amp;IF(COUNTIF($MH129:$MK129,"Rajada")&gt;0,IF($MC129=0," · 1 tiro"," · "&amp;(MAX(1,$MC129-1)+1)&amp;" tiros"),""),""))</f>
        <v/>
      </c>
      <c r="PT129" s="152">
        <f>IF($MN129=0,"",IF($MC129=0,$MQ129&amp;"d6"&amp;IF($OD129&gt;0," − 1 = "&amp;$OM129&amp;"d6"," da básica do nível "&amp;$MO129),$OK129&amp;" − "&amp;$OF129&amp;" + "&amp;$OI129&amp;" = "&amp;$OL129&amp;" · teto "&amp;4*$MC129&amp;"d8"&amp;IF($NO129=1," · a Forma devolve "&amp;$MC129,"")&amp;IF($OJ129&gt;0," · perde "&amp;$OJ129,"")))</f>
        <v/>
      </c>
      <c r="PU129" s="152">
        <f>IF($MN129=0,"",IF($MC129=0,"A básica não amplia: os dados dela sobem com o nível",IF($MC129&gt;=$MP129,"Já está na maior Classe que o nível liberou",TEXTJOIN(" · ",TRUE,IF(AND(2&gt;$MC129,2&lt;=$MP129),"2 → "&amp;$OW129&amp;", 6 PE",""),IF(AND(3&gt;$MC129,3&lt;=$MP129),"3 → "&amp;$OX129&amp;", 9 PE",""),IF(AND(4&gt;$MC129,4&lt;=$MP129),"4 → "&amp;$OY129&amp;", 12 PE",""),IF(AND(5&gt;$MC129,5&lt;=$MP129),"5 → "&amp;$OZ129&amp;", 15 PE",""),IF(AND(6&gt;$MC129,6&lt;=$MP129),"6 → "&amp;$PA129&amp;", 18 PE",""),IF(AND(7&gt;$MC129,7&lt;=$MP129),"7 → "&amp;$PB129&amp;", 21 PE","")))))</f>
        <v/>
      </c>
      <c r="PV129" s="152">
        <f>IF(OR($MN129=0,$MY129=0),"",IF($MC129=0,"−1 dado","−"&amp;INDEX($I$2:$N$8,MAX(1,$MC129),MAX(1,$ND129))&amp;" · "&amp;CHOOSE(MAX(1,$ND129),"Leve","Média","Pesada","Leve · Livre","Média · Livre","Pesada · Livre")))</f>
        <v/>
      </c>
      <c r="PW129" s="152">
        <f>IF(OR($MN129=0,$MZ129=0),"",IF($MC129=0,"−1 dado","−"&amp;INDEX($I$2:$N$8,MAX(1,$MC129),MAX(1,$NE129))&amp;" · "&amp;CHOOSE(MAX(1,$NE129),"Leve","Média","Pesada","Leve · Livre","Média · Livre","Pesada · Livre")))</f>
        <v/>
      </c>
      <c r="PX129" s="152">
        <f>IF(OR($MN129=0,$NA129=0),"",IF($MC129=0,"−1 dado","−"&amp;INDEX($I$2:$N$8,MAX(1,$MC129),MAX(1,$NF129))&amp;" · "&amp;CHOOSE(MAX(1,$NF129),"Leve","Média","Pesada","Leve · Livre","Média · Livre","Pesada · Livre")))</f>
        <v/>
      </c>
      <c r="PY129" s="152">
        <f>IF(OR($MN129=0,$NB129=0),"",IF($MC129=0,"−1 dado","−"&amp;INDEX($I$2:$N$8,MAX(1,$MC129),MAX(1,$NG129))&amp;" · "&amp;CHOOSE(MAX(1,$NG129),"Leve","Média","Pesada","Leve · Livre","Média · Livre","Pesada · Livre")))</f>
        <v/>
      </c>
      <c r="PZ129" s="152">
        <f>IF(OR($MN129=0,$ML129=""),"",IF($MC129=0,"não devolve","+"&amp;IF($NR129=1,CEILING($MC129/2,1),$MC129)))</f>
        <v/>
      </c>
      <c r="QA129" s="152">
        <f>IF(OR($MN129=0,$MM129=""),"",IF($MC129=0,"não devolve","+"&amp;IF($NS129=1,CEILING($MC129/2,1),$MC129)))</f>
        <v/>
      </c>
    </row>
    <row r="130">
      <c r="LX130" s="150" t="inlineStr">
        <is>
          <t>Ficha 10 · Escolha da trilha 2</t>
        </is>
      </c>
      <c r="LY130" s="152" t="n">
        <v>10</v>
      </c>
      <c r="LZ130" s="152" t="n">
        <v>2</v>
      </c>
      <c r="MA130" s="152" t="n">
        <v>0</v>
      </c>
      <c r="MB130" s="150" t="inlineStr">
        <is>
          <t>ESCOLHA DA TRILHA 2</t>
        </is>
      </c>
      <c r="MC130" s="152">
        <f>MAX(0,MIN(7,N('INVOCAÇÕES'!$AH$754)))</f>
        <v/>
      </c>
      <c r="MD130" s="152">
        <f>'INVOCAÇÕES'!$AI$754&amp;""</f>
        <v/>
      </c>
      <c r="ME130" s="152">
        <f>'INVOCAÇÕES'!$AH$759&amp;""</f>
        <v/>
      </c>
      <c r="MF130" s="152">
        <f>'INVOCAÇÕES'!$AH$760&amp;""</f>
        <v/>
      </c>
      <c r="MG130" s="152">
        <f>'INVOCAÇÕES'!$AJ$760&amp;""</f>
        <v/>
      </c>
      <c r="MH130" s="152">
        <f>'INVOCAÇÕES'!$AI$763&amp;""</f>
        <v/>
      </c>
      <c r="MI130" s="152">
        <f>'INVOCAÇÕES'!$AI$764&amp;""</f>
        <v/>
      </c>
      <c r="MJ130" s="152">
        <f>'INVOCAÇÕES'!$AI$765&amp;""</f>
        <v/>
      </c>
      <c r="MK130" s="152">
        <f>'INVOCAÇÕES'!$AI$766&amp;""</f>
        <v/>
      </c>
      <c r="ML130" s="152">
        <f>'INVOCAÇÕES'!$AI$767&amp;""</f>
        <v/>
      </c>
      <c r="MM130" s="152">
        <f>'INVOCAÇÕES'!$AI$768&amp;""</f>
        <v/>
      </c>
      <c r="MN130" s="152">
        <f>IF($MD130&lt;&gt;"",1,0)</f>
        <v/>
      </c>
      <c r="MO130" s="152">
        <f>INDEX($FG$2:$FG$13,$LY130)</f>
        <v/>
      </c>
      <c r="MP130" s="152">
        <f>INDEX($FH$2:$FH$13,$LY130)</f>
        <v/>
      </c>
      <c r="MQ130" s="152">
        <f>INDEX($FI$2:$FI$13,$LY130)</f>
        <v/>
      </c>
      <c r="MR130" s="152">
        <f>INDEX($FT$2:$FT$13,$LY130)</f>
        <v/>
      </c>
      <c r="MS130" s="152">
        <f>INDEX($FU$2:$FU$13,$LY130)</f>
        <v/>
      </c>
      <c r="MT130" s="152">
        <f>IFERROR(MATCH($ME130,$V$2:$V$11,0),0)</f>
        <v/>
      </c>
      <c r="MU130" s="152">
        <f>IFERROR(VLOOKUP($MH130,$AV$2:$AZ$84,2,FALSE),"")</f>
        <v/>
      </c>
      <c r="MV130" s="152">
        <f>IFERROR(VLOOKUP($MI130,$AV$2:$AZ$84,2,FALSE),"")</f>
        <v/>
      </c>
      <c r="MW130" s="152">
        <f>IFERROR(VLOOKUP($MJ130,$AV$2:$AZ$84,2,FALSE),"")</f>
        <v/>
      </c>
      <c r="MX130" s="152">
        <f>IFERROR(VLOOKUP($MK130,$AV$2:$AZ$84,2,FALSE),"")</f>
        <v/>
      </c>
      <c r="MY130" s="152">
        <f>IFERROR(VLOOKUP($MH130,$AV$2:$AZ$84,3,FALSE),0)</f>
        <v/>
      </c>
      <c r="MZ130" s="152">
        <f>IFERROR(VLOOKUP($MI130,$AV$2:$AZ$84,3,FALSE),0)</f>
        <v/>
      </c>
      <c r="NA130" s="152">
        <f>IFERROR(VLOOKUP($MJ130,$AV$2:$AZ$84,3,FALSE),0)</f>
        <v/>
      </c>
      <c r="NB130" s="152">
        <f>IFERROR(VLOOKUP($MK130,$AV$2:$AZ$84,3,FALSE),0)</f>
        <v/>
      </c>
      <c r="NC130" s="152">
        <f>IF($MC130=0,0,IF($MT130=0,0,INDEX($X$2:$X$11,$MT130)))</f>
        <v/>
      </c>
      <c r="ND130" s="152">
        <f>IF(OR($MY130=0,$MC130=0),0,$MY130+3*IF(AND($MU130&lt;&gt;"",OR($MU130=INDEX($ED$2:$ED$13,$LY130),$MU130=INDEX($EE$2:$EE$13,$LY130))),1,0))</f>
        <v/>
      </c>
      <c r="NE130" s="152">
        <f>IF(OR($MZ130=0,$MC130=0),0,$MZ130+3*IF(AND($MV130&lt;&gt;"",OR($MV130=INDEX($ED$2:$ED$13,$LY130),$MV130=INDEX($EE$2:$EE$13,$LY130))),1,0))</f>
        <v/>
      </c>
      <c r="NF130" s="152">
        <f>IF(OR($NA130=0,$MC130=0),0,$NA130+3*IF(AND($MW130&lt;&gt;"",OR($MW130=INDEX($ED$2:$ED$13,$LY130),$MW130=INDEX($EE$2:$EE$13,$LY130))),1,0))</f>
        <v/>
      </c>
      <c r="NG130" s="152">
        <f>IF(OR($NB130=0,$MC130=0),0,$NB130+3*IF(AND($MX130&lt;&gt;"",OR($MX130=INDEX($ED$2:$ED$13,$LY130),$MX130=INDEX($EE$2:$EE$13,$LY130))),1,0))</f>
        <v/>
      </c>
      <c r="NH130" s="152">
        <f>IF($MT130=0,0,IF(INDEX($W$2:$W$11,$MT130)="",0,IF(COUNTIF(INDEX($ED$2:$EH$13,$LY130,0),INDEX($W$2:$W$11,$MT130))=0,1,0)))</f>
        <v/>
      </c>
      <c r="NI130" s="152">
        <f>IF(OR($MY130=0,$MU130=""),0,IF(COUNTIF(INDEX($ED$2:$EH$13,$LY130,0),$MU130)=0,1,0))</f>
        <v/>
      </c>
      <c r="NJ130" s="152">
        <f>IF(OR($MZ130=0,$MV130=""),0,IF(COUNTIF(INDEX($ED$2:$EH$13,$LY130,0),$MV130)=0,1,0))</f>
        <v/>
      </c>
      <c r="NK130" s="152">
        <f>IF(OR($NA130=0,$MW130=""),0,IF(COUNTIF(INDEX($ED$2:$EH$13,$LY130,0),$MW130)=0,1,0))</f>
        <v/>
      </c>
      <c r="NL130" s="152">
        <f>IF(OR($NB130=0,$MX130=""),0,IF(COUNTIF(INDEX($ED$2:$EH$13,$LY130,0),$MX130)=0,1,0))</f>
        <v/>
      </c>
      <c r="NM130" s="152">
        <f>IFERROR(VLOOKUP($MH130,$AV$2:$AZ$84,4,FALSE),0)+IFERROR(VLOOKUP($MI130,$AV$2:$AZ$84,4,FALSE),0)+IFERROR(VLOOKUP($MJ130,$AV$2:$AZ$84,4,FALSE),0)+IFERROR(VLOOKUP($MK130,$AV$2:$AZ$84,4,FALSE),0)</f>
        <v/>
      </c>
      <c r="NN130" s="152">
        <f>TEXTJOIN(", ",TRUE,IF(IFERROR(VLOOKUP($MH130,$AV$2:$AZ$84,5,FALSE),0)=1,$MH130,""),IF(IFERROR(VLOOKUP($MI130,$AV$2:$AZ$84,5,FALSE),0)=1,$MI130,""),IF(IFERROR(VLOOKUP($MJ130,$AV$2:$AZ$84,5,FALSE),0)=1,$MJ130,""),IF(IFERROR(VLOOKUP($MK130,$AV$2:$AZ$84,5,FALSE),0)=1,$MK130,""))</f>
        <v/>
      </c>
      <c r="NO130" s="152">
        <f>IF($MT130=0,0,INDEX($Y$2:$Y$11,$MT130))</f>
        <v/>
      </c>
      <c r="NP130" s="152">
        <f>IF($MT130=0,0,INDEX($Z$2:$Z$11,$MT130))</f>
        <v/>
      </c>
      <c r="NQ130" s="152">
        <f>IF($MT130=0,0,INDEX($AB$2:$AB$11,$MT130))</f>
        <v/>
      </c>
      <c r="NR130" s="152">
        <f>IFERROR(VLOOKUP($ML130,$BB$2:$BF$24,3,FALSE),0)</f>
        <v/>
      </c>
      <c r="NS130" s="152">
        <f>IFERROR(VLOOKUP($MM130,$BB$2:$BF$24,3,FALSE),0)</f>
        <v/>
      </c>
      <c r="NT130" s="152">
        <f>IFERROR(VLOOKUP($ML130,$BB$2:$BF$24,2,FALSE),"")</f>
        <v/>
      </c>
      <c r="NU130" s="152">
        <f>IFERROR(VLOOKUP($MM130,$BB$2:$BF$24,2,FALSE),"")</f>
        <v/>
      </c>
      <c r="NV130" s="152">
        <f>COUNTIF($NC130:$NG130,1)</f>
        <v/>
      </c>
      <c r="NW130" s="152">
        <f>COUNTIF($NC130:$NG130,2)</f>
        <v/>
      </c>
      <c r="NX130" s="152">
        <f>COUNTIF($NC130:$NG130,3)</f>
        <v/>
      </c>
      <c r="NY130" s="152">
        <f>COUNTIF($NC130:$NG130,4)</f>
        <v/>
      </c>
      <c r="NZ130" s="152">
        <f>COUNTIF($NC130:$NG130,5)</f>
        <v/>
      </c>
      <c r="OA130" s="152">
        <f>COUNTIF($NC130:$NG130,6)</f>
        <v/>
      </c>
      <c r="OB130" s="152">
        <f>COUNTIF($NR130:$NS130,1)</f>
        <v/>
      </c>
      <c r="OC130" s="152">
        <f>COUNTIF($NR130:$NS130,2)+$NO130</f>
        <v/>
      </c>
      <c r="OD130" s="152">
        <f>COUNTIF($MH130:$MK130,"?*")</f>
        <v/>
      </c>
      <c r="OE130" s="152">
        <f>COUNTIF($ML130:$MM130,"?*")+$NO130</f>
        <v/>
      </c>
      <c r="OF130" s="152">
        <f>IF($MC130=0,0,SUMPRODUCT($NV130:$OA130,INDEX($I$2:$N$8,MAX(1,$MC130),0)))</f>
        <v/>
      </c>
      <c r="OG130" s="152">
        <f>IF($MC130=0,0,$OB130*CEILING($MC130/2,1)+$OC130*$MC130)</f>
        <v/>
      </c>
      <c r="OH130" s="152">
        <f>MIN(2*$MC130,$OG130)</f>
        <v/>
      </c>
      <c r="OI130" s="152">
        <f>MIN($OH130,$OF130)</f>
        <v/>
      </c>
      <c r="OJ130" s="152">
        <f>$OH130-$OI130</f>
        <v/>
      </c>
      <c r="OK130" s="152">
        <f>IF($MC130=0,0,INDEX($P$2:$P$8,MAX(1,$MC130)))</f>
        <v/>
      </c>
      <c r="OL130" s="152">
        <f>$OK130-$OF130+$OI130</f>
        <v/>
      </c>
      <c r="OM130" s="152">
        <f>IF($MC130=0,MAX(0,$MQ130-IF($OD130&gt;0,1,0)),MAX(0,$OL130))</f>
        <v/>
      </c>
      <c r="ON130" s="152">
        <f>IF($MC130=0,0,(IF(COUNTIF($MH130:$MK130,"Salto")&gt;0,1,0)+IF(COUNTIF($MH130:$MK130,"Queima")&gt;0,1,0)+IF(COUNTIF($MH130:$MK130,"Estilhaço")&gt;0,1,0))*FLOOR($OM130/2,1))</f>
        <v/>
      </c>
      <c r="OO130" s="152">
        <f>MAX(0,2-SUMPRODUCT($NV130:$OA130,$I$2:$N$2)+MIN(2,$OB130*1+$OC130*1,SUMPRODUCT($NV130:$OA130,$I$2:$N$2)))</f>
        <v/>
      </c>
      <c r="OP130" s="152">
        <f>MAX(0,4-SUMPRODUCT($NV130:$OA130,$I$3:$N$3)+MIN(4,$OB130*1+$OC130*2,SUMPRODUCT($NV130:$OA130,$I$3:$N$3)))</f>
        <v/>
      </c>
      <c r="OQ130" s="152">
        <f>MAX(0,6-SUMPRODUCT($NV130:$OA130,$I$4:$N$4)+MIN(6,$OB130*2+$OC130*3,SUMPRODUCT($NV130:$OA130,$I$4:$N$4)))</f>
        <v/>
      </c>
      <c r="OR130" s="152">
        <f>MAX(0,9-SUMPRODUCT($NV130:$OA130,$I$5:$N$5)+MIN(8,$OB130*2+$OC130*4,SUMPRODUCT($NV130:$OA130,$I$5:$N$5)))</f>
        <v/>
      </c>
      <c r="OS130" s="152">
        <f>MAX(0,11-SUMPRODUCT($NV130:$OA130,$I$6:$N$6)+MIN(10,$OB130*3+$OC130*5,SUMPRODUCT($NV130:$OA130,$I$6:$N$6)))</f>
        <v/>
      </c>
      <c r="OT130" s="152">
        <f>MAX(0,13-SUMPRODUCT($NV130:$OA130,$I$7:$N$7)+MIN(12,$OB130*3+$OC130*6,SUMPRODUCT($NV130:$OA130,$I$7:$N$7)))</f>
        <v/>
      </c>
      <c r="OU130" s="152">
        <f>MAX(0,16-SUMPRODUCT($NV130:$OA130,$I$8:$N$8)+MIN(14,$OB130*4+$OC130*7,SUMPRODUCT($NV130:$OA130,$I$8:$N$8)))</f>
        <v/>
      </c>
      <c r="OV130" s="152">
        <f>IF($NP130=2,3*$OO130&amp;" de vida temp.",IF($NP130=3,"sem dano",IF($OO130=0,IF($NP130=1,"sem cura","sem dano"),IF($NP130=1,"cura ","")&amp;$OO130&amp;"d8")))</f>
        <v/>
      </c>
      <c r="OW130" s="152">
        <f>IF($NP130=2,3*$OP130&amp;" de vida temp.",IF($NP130=3,"sem dano",IF($OP130=0,IF($NP130=1,"sem cura","sem dano"),IF($NP130=1,"cura ","")&amp;$OP130&amp;"d8")))</f>
        <v/>
      </c>
      <c r="OX130" s="152">
        <f>IF($NP130=2,3*$OQ130&amp;" de vida temp.",IF($NP130=3,"sem dano",IF($OQ130=0,IF($NP130=1,"sem cura","sem dano"),IF($NP130=1,"cura ","")&amp;$OQ130&amp;"d8")))</f>
        <v/>
      </c>
      <c r="OY130" s="152">
        <f>IF($NP130=2,3*$OR130&amp;" de vida temp.",IF($NP130=3,"sem dano",IF($OR130=0,IF($NP130=1,"sem cura","sem dano"),IF($NP130=1,"cura ","")&amp;$OR130&amp;"d8")))</f>
        <v/>
      </c>
      <c r="OZ130" s="152">
        <f>IF($NP130=2,3*$OS130&amp;" de vida temp.",IF($NP130=3,"sem dano",IF($OS130=0,IF($NP130=1,"sem cura","sem dano"),IF($NP130=1,"cura ","")&amp;$OS130&amp;"d8")))</f>
        <v/>
      </c>
      <c r="PA130" s="152">
        <f>IF($NP130=2,3*$OT130&amp;" de vida temp.",IF($NP130=3,"sem dano",IF($OT130=0,IF($NP130=1,"sem cura","sem dano"),IF($NP130=1,"cura ","")&amp;$OT130&amp;"d8")))</f>
        <v/>
      </c>
      <c r="PB130" s="152">
        <f>IF($NP130=2,3*$OU130&amp;" de vida temp.",IF($NP130=3,"sem dano",IF($OU130=0,IF($NP130=1,"sem cura","sem dano"),IF($NP130=1,"cura ","")&amp;$OU130&amp;"d8")))</f>
        <v/>
      </c>
      <c r="PC130" s="152">
        <f>IF($MN130=0,"",TEXTJOIN(" · ",TRUE,IF($MA130&gt;$MO130,"Este lugar abre no nível "&amp;$MA130,""),IF($MC130&gt;$MP130,"Classe "&amp;$MC130&amp;": o nível "&amp;$MO130&amp;" libera até a "&amp;$MP130,""),IF($NH130=1,"A Forma "&amp;$ME130&amp;" pede "&amp;INDEX($W$2:$W$11,$MT130)&amp;" aberta",""),IF(AND($MC130=0,$MT130&gt;0,IF($MT130=0,0,INDEX($AF$2:$AF$11,$MT130))=0),$ME130&amp;" não existe na Classe 0",""),IF($NI130=1,"Família Fechada: "&amp;$MH130,""),IF($NJ130=1,"Família Fechada: "&amp;$MI130,""),IF($NK130=1,"Família Fechada: "&amp;$MJ130,""),IF($NL130=1,"Família Fechada: "&amp;$MK130,""),IF(AND($MC130&gt;0,$OD130&gt;INDEX($O$2:$O$8,MAX(1,$MC130))),$OD130&amp;" Melhorias: a Classe "&amp;$MC130&amp;" aceita "&amp;INDEX($O$2:$O$8,MAX(1,$MC130)),""),IF(AND($MC130=0,$OD130&gt;1),"A básica aceita uma Melhoria",""),IF(AND($MC130=0,COUNTIF($MY130:$NB130,"&gt;1")&gt;0),"A básica só aceita Melhoria Leve",""),IF(AND($MC130&gt;0,$OE130&gt;2),$OE130&amp;" Restrições"&amp;IF($NO130=1,", contando a que a Forma "&amp;$ME130&amp;" já traz","")&amp;": o limite é 2",""),IF(AND($MC130=0,COUNTIF($ML130:$MM130,"?*")&gt;1),"A básica aceita uma Restrição Leve",""),IF(AND($MC130=0,COUNTIF($NR130:$NS130,2)&gt;0),"A básica só aceita Restrição Leve",""),IF(AND($MC130&gt;0,$OL130&lt;0),"Orçamento estourado: faltam "&amp;(-$OL130)&amp;IF($OL130&lt;-1," pontos"," ponto"),""),IF(IFERROR(VLOOKUP($ML130,$BB$2:$BF$24,4,FALSE),0)+IFERROR(VLOOKUP($MM130,$BB$2:$BF$24,4,FALSE),0)&gt;1,$NT130&amp;" e "&amp;$NU130&amp;" são as duas de frequência",""),IF(AND((COUNTIF($MH130:$MK130,"Rápido")+COUNTIF($NT130:$NU130,"Rápido"))&gt;0,(COUNTIF($MH130:$MK130,"Atrasar")+COUNTIF($NT130:$NU130,"Atrasar"))&gt;0),"Rápido não entra com Atrasar",""),IF(AND((COUNTIF($MH130:$MK130,"Reação")+COUNTIF($NT130:$NU130,"Reação"))&gt;0,(COUNTIF($MH130:$MK130,"Rápido")+COUNTIF($NT130:$NU130,"Rápido"))&gt;0),"Reação não entra com Rápido",""),IF(AND((COUNTIF($MH130:$MK130,"Reação")+COUNTIF($NT130:$NU130,"Reação"))&gt;0,(COUNTIF($MH130:$MK130,"Armado")+COUNTIF($NT130:$NU130,"Armado"))&gt;0),"Reação não entra com Armado",""),IF(AND((COUNTIF($MH130:$MK130,"Reação")+COUNTIF($NT130:$NU130,"Reação"))&gt;0,(COUNTIF($MH130:$MK130,"Atrasar")+COUNTIF($NT130:$NU130,"Atrasar"))&gt;0),"Reação não entra com Atrasar",""),IF(AND((COUNTIF($MH130:$MK130,"Reação")+COUNTIF($NT130:$NU130,"Reação"))&gt;0,(COUNTIF($MH130:$MK130,"Parado")+COUNTIF($NT130:$NU130,"Parado"))&gt;0),"Reação não entra com Parado",""),IF(AND((COUNTIF($MH130:$MK130,"Atrasar")+COUNTIF($NT130:$NU130,"Atrasar"))&gt;0,(COUNTIF($MH130:$MK130,"Parado")+COUNTIF($NT130:$NU130,"Parado"))&gt;0),"Atrasar não entra com Parado",""),IF(AND((COUNTIF($MH130:$MK130,"Armado")+COUNTIF($NT130:$NU130,"Armado"))&gt;0,(COUNTIF($MH130:$MK130,"Carregar")+COUNTIF($NT130:$NU130,"Carregar"))&gt;0),"Armado não entra com Carregar",""),IF(AND(COUNTIF($NT130:$NU130,"Corpo a Corpo")&gt;0,$NO130=0,OR($ME130="Cone",$ME130="Linha")),"Corpo a Corpo não entra em "&amp;$ME130,""),IF(AND(COUNTIF($NT130:$NU130,"Corpo a Corpo")&gt;0,$NO130=1),"A Forma "&amp;$ME130&amp;" já traz o Corpo a Corpo",""),IF(AND(COUNTIF($NT130:$NU130,"Tudo ou Nada")&gt;0,$NQ130=0),"Tudo ou Nada só entra em habilidade de Teste de Resistência",""),IF(AND(COUNTIF($MH130:$MK130,"Inescapável")&gt;0,OR($OD130&gt;1,$OE130&gt;0)),"Inescapável não aceita outra peça",""),IF(AND($MC130&gt;0,$OM130*IF(COUNTIF($MH130:$MK130,"Remate")&gt;0,1.25,1)+$ON130&gt;4*$MC130),($OM130*IF(COUNTIF($MH130:$MK130,"Remate")&gt;0,1.25,1)+$ON130)&amp;" dados somando repetições"&amp;IF(COUNTIF($MH130:$MK130,"Remate")&gt;0," e o Remate","")&amp;": o teto da Classe "&amp;$MC130&amp;" é "&amp;4*$MC130,"")))</f>
        <v/>
      </c>
      <c r="PD130" s="152">
        <f>IF($PC130="",0,(LEN($PC130)-LEN(SUBSTITUTE($PC130," · ","")))/3+1)</f>
        <v/>
      </c>
      <c r="PE130" s="152">
        <f>IF($MN130=0,"",TEXTJOIN(" · ",TRUE,IF($OG130&gt;2*$MC130,"A devolução parou no teto de "&amp;2*$MC130,""),IF($OJ130&gt;0,"Devolução perdida: "&amp;$OJ130&amp;IF($OJ130&gt;1," pontos"," ponto")&amp;" sem peça para pagar",""),IF(AND($NM130&gt;0,AND($MC130&gt;0,$NP130=0),$OM130=0),"Controle sem dano: uma rodada a mais e CD +2",""),IF(AND($NM130&gt;0,AND($MC130&gt;0,$NP130=0),$OM130&gt;0,$OM130&lt;=$MC130),"Controle com saldo até a Classe: uma rodada a mais",""),IF(AND($MC130&gt;0,$NN130&lt;&gt;""),"Efeito de "&amp;$NN130&amp;" pela Classe "&amp;MAX(1,$MC130-1),"")))</f>
        <v/>
      </c>
      <c r="PF130" s="152">
        <f>IF($PE130="",0,(LEN($PE130)-LEN(SUBSTITUTE($PE130," · ","")))/3+1)</f>
        <v/>
      </c>
      <c r="PG130" s="152">
        <f>IF($MN130=0,IF($OD130+COUNTIF($ML130:$MM130,"?*")&gt;0,"Dê um nome",""),IF($PD130&gt;0,"⚠ "&amp;$PD130&amp;IF($PD130&gt;1," erros"," erro"),IF($PF130&gt;0,"! "&amp;$PF130&amp;IF($PF130&gt;1," avisos"," aviso"),"Na regra")))</f>
        <v/>
      </c>
      <c r="PH130" s="152">
        <f>IF($MN130=0,"",IF($PD130+$PF130=0,"Dentro das regras que a ficha confere",$PC130&amp;IF(AND($PD130&gt;0,$PF130&gt;0)," · ","")&amp;$PE130))</f>
        <v/>
      </c>
      <c r="PI130" s="152">
        <f>IF($MA130&gt;$MO130,$MB130&amp;" · ABRE NO NÍVEL "&amp;$MA130,$MB130)</f>
        <v/>
      </c>
      <c r="PJ130" s="152">
        <f>IF($MN130=0,"",IF($MC130=0,"Sem PE",3*$MC130&amp;" PE"))</f>
        <v/>
      </c>
      <c r="PK130" s="152">
        <f>IF($MN130=0,"",IF($MC130=0,"A atuação básica dela",IF(COUNTIF($NT130:$NU130,"Atrasar")&gt;0,"Sua Ação Completa",IF(COUNTIF($MH130:$MK130,"Rápido")&gt;0,"Sua Bônus",IF(COUNTIF($MH130:$MK130,"Reação")&gt;0,"Sua Reação","Sua Padrão")))&amp;" + a básica dela"&amp;IF(COUNTIF($MH130:$MK130,"Reação")&gt;0," e a coletiva","")&amp;IF(COUNTIF($NT130:$NU130,"Carregar")&gt;0," · em dois turnos","")))</f>
        <v/>
      </c>
      <c r="PL130" s="152">
        <f>IF($MG130&lt;&gt;"",$MG130,IF($MT130=0,"",INDEX($AA$2:$AA$11,$MT130)))</f>
        <v/>
      </c>
      <c r="PM130" s="152">
        <f>IF(OR($MN130=0,$MT130=0),"",IF(COUNTIF($MH130:$MK130,"Inescapável")&gt;0,"Automático",IF($PL130="Ataque",IF($MR130="","Ataque","Ataque "&amp;IF(($MR130+2*IF(COUNTIF($MH130:$MK130,"Precisão")&gt;0,1,0))&gt;=0,"+","−")&amp;ABS(($MR130+2*IF(COUNTIF($MH130:$MK130,"Precisão")&gt;0,1,0)))),IF(LEFT($PL130,2)="TR",$PL130&amp;IF($MS130="",""," · CD "&amp;$MS130)&amp;IF(COUNTIF($MH130:$MK130,"Certeiro")&gt;0," · metade",""),"Sem rolagem"))))</f>
        <v/>
      </c>
      <c r="PN130" s="152">
        <f>IF(OR($MN130=0,$MT130=0),"",IF($MC130=0,IF(OR($NP130&gt;=1,$OM130=0),"Sem dano",$OM130&amp;"d6"&amp;IF($MF130="",""," "&amp;$MF130)),IF(OR($NP130&gt;=1,$OM130=0),UPPER(LEFT(INDEX($OV130:$PB130,1,MAX(1,$MC130)),1))&amp;MID(INDEX($OV130:$PB130,1,MAX(1,$MC130)),2,99),UPPER(LEFT(INDEX($OV130:$PB130,1,MAX(1,$MC130)),1))&amp;MID(INDEX($OV130:$PB130,1,MAX(1,$MC130)),2,99)&amp;IF($MF130="",""," "&amp;$MF130)&amp;IF($ON130&gt;0," · +"&amp;$ON130&amp;"d8",""))))</f>
        <v/>
      </c>
      <c r="PO130" s="152">
        <f>COUNTIF($MH130:$MK130,"Longe")+3*COUNTIF($MH130:$MK130,"Muito Longe")</f>
        <v/>
      </c>
      <c r="PP130" s="152">
        <f>COUNTIF($MH130:$MK130,"Maior")+3*COUNTIF($MH130:$MK130,"Muito Maior")</f>
        <v/>
      </c>
      <c r="PQ130" s="152">
        <f>IF($MT130=0,0,CHOOSE(1+INDEX($AC$2:$AC$11,$MT130),0,$PO130,$PP130,$PO130+$PP130))</f>
        <v/>
      </c>
      <c r="PR130" s="152">
        <f>IF($MT130=0,0,CHOOSE(1+INDEX($AD$2:$AD$11,$MT130),0,$PO130,$PP130,$PO130+$PP130))</f>
        <v/>
      </c>
      <c r="PS130" s="152">
        <f>IF(OR($MN130=0,$MT130=0),"",INDEX($AI$2:$AN$41,($MT130-1)*4+IF($MC130=0,1,IF($MC130&lt;=5,2,IF($MC130=6,3,4))),1+MIN(5,$PQ130))&amp;INDEX($AO$2:$AT$41,($MT130-1)*4+IF($MC130=0,1,IF($MC130&lt;=5,2,IF($MC130=6,3,4))),1+MIN(5,$PR130))&amp;IF(INDEX($AE$2:$AE$11,$MT130)=1,IF(COUNTIF($MH130:$MK130,"Mais Um")&gt;0," · +"&amp;COUNTIF($MH130:$MK130,"Mais Um")&amp;IF(COUNTIF($MH130:$MK130,"Mais Um")&gt;1," alvos"," alvo"),"")&amp;IF(COUNTIF($MH130:$MK130,"Rajada")&gt;0,IF($MC130=0," · 1 tiro"," · "&amp;(MAX(1,$MC130-1)+1)&amp;" tiros"),""),""))</f>
        <v/>
      </c>
      <c r="PT130" s="152">
        <f>IF($MN130=0,"",IF($MC130=0,$MQ130&amp;"d6"&amp;IF($OD130&gt;0," − 1 = "&amp;$OM130&amp;"d6"," da básica do nível "&amp;$MO130),$OK130&amp;" − "&amp;$OF130&amp;" + "&amp;$OI130&amp;" = "&amp;$OL130&amp;" · teto "&amp;4*$MC130&amp;"d8"&amp;IF($NO130=1," · a Forma devolve "&amp;$MC130,"")&amp;IF($OJ130&gt;0," · perde "&amp;$OJ130,"")))</f>
        <v/>
      </c>
      <c r="PU130" s="152">
        <f>IF($MN130=0,"",IF($MC130=0,"A básica não amplia: os dados dela sobem com o nível",IF($MC130&gt;=$MP130,"Já está na maior Classe que o nível liberou",TEXTJOIN(" · ",TRUE,IF(AND(2&gt;$MC130,2&lt;=$MP130),"2 → "&amp;$OW130&amp;", 6 PE",""),IF(AND(3&gt;$MC130,3&lt;=$MP130),"3 → "&amp;$OX130&amp;", 9 PE",""),IF(AND(4&gt;$MC130,4&lt;=$MP130),"4 → "&amp;$OY130&amp;", 12 PE",""),IF(AND(5&gt;$MC130,5&lt;=$MP130),"5 → "&amp;$OZ130&amp;", 15 PE",""),IF(AND(6&gt;$MC130,6&lt;=$MP130),"6 → "&amp;$PA130&amp;", 18 PE",""),IF(AND(7&gt;$MC130,7&lt;=$MP130),"7 → "&amp;$PB130&amp;", 21 PE","")))))</f>
        <v/>
      </c>
      <c r="PV130" s="152">
        <f>IF(OR($MN130=0,$MY130=0),"",IF($MC130=0,"−1 dado","−"&amp;INDEX($I$2:$N$8,MAX(1,$MC130),MAX(1,$ND130))&amp;" · "&amp;CHOOSE(MAX(1,$ND130),"Leve","Média","Pesada","Leve · Livre","Média · Livre","Pesada · Livre")))</f>
        <v/>
      </c>
      <c r="PW130" s="152">
        <f>IF(OR($MN130=0,$MZ130=0),"",IF($MC130=0,"−1 dado","−"&amp;INDEX($I$2:$N$8,MAX(1,$MC130),MAX(1,$NE130))&amp;" · "&amp;CHOOSE(MAX(1,$NE130),"Leve","Média","Pesada","Leve · Livre","Média · Livre","Pesada · Livre")))</f>
        <v/>
      </c>
      <c r="PX130" s="152">
        <f>IF(OR($MN130=0,$NA130=0),"",IF($MC130=0,"−1 dado","−"&amp;INDEX($I$2:$N$8,MAX(1,$MC130),MAX(1,$NF130))&amp;" · "&amp;CHOOSE(MAX(1,$NF130),"Leve","Média","Pesada","Leve · Livre","Média · Livre","Pesada · Livre")))</f>
        <v/>
      </c>
      <c r="PY130" s="152">
        <f>IF(OR($MN130=0,$NB130=0),"",IF($MC130=0,"−1 dado","−"&amp;INDEX($I$2:$N$8,MAX(1,$MC130),MAX(1,$NG130))&amp;" · "&amp;CHOOSE(MAX(1,$NG130),"Leve","Média","Pesada","Leve · Livre","Média · Livre","Pesada · Livre")))</f>
        <v/>
      </c>
      <c r="PZ130" s="152">
        <f>IF(OR($MN130=0,$ML130=""),"",IF($MC130=0,"não devolve","+"&amp;IF($NR130=1,CEILING($MC130/2,1),$MC130)))</f>
        <v/>
      </c>
      <c r="QA130" s="152">
        <f>IF(OR($MN130=0,$MM130=""),"",IF($MC130=0,"não devolve","+"&amp;IF($NS130=1,CEILING($MC130/2,1),$MC130)))</f>
        <v/>
      </c>
    </row>
    <row r="131">
      <c r="LX131" s="150" t="inlineStr">
        <is>
          <t>Ficha 10 · Escolha da trilha 3</t>
        </is>
      </c>
      <c r="LY131" s="152" t="n">
        <v>10</v>
      </c>
      <c r="LZ131" s="152" t="n">
        <v>2</v>
      </c>
      <c r="MA131" s="152" t="n">
        <v>0</v>
      </c>
      <c r="MB131" s="150" t="inlineStr">
        <is>
          <t>ESCOLHA DA TRILHA 3</t>
        </is>
      </c>
      <c r="MC131" s="152">
        <f>MAX(0,MIN(7,N('INVOCAÇÕES'!$AN$754)))</f>
        <v/>
      </c>
      <c r="MD131" s="152">
        <f>'INVOCAÇÕES'!$AO$754&amp;""</f>
        <v/>
      </c>
      <c r="ME131" s="152">
        <f>'INVOCAÇÕES'!$AN$759&amp;""</f>
        <v/>
      </c>
      <c r="MF131" s="152">
        <f>'INVOCAÇÕES'!$AN$760&amp;""</f>
        <v/>
      </c>
      <c r="MG131" s="152">
        <f>'INVOCAÇÕES'!$AP$760&amp;""</f>
        <v/>
      </c>
      <c r="MH131" s="152">
        <f>'INVOCAÇÕES'!$AO$763&amp;""</f>
        <v/>
      </c>
      <c r="MI131" s="152">
        <f>'INVOCAÇÕES'!$AO$764&amp;""</f>
        <v/>
      </c>
      <c r="MJ131" s="152">
        <f>'INVOCAÇÕES'!$AO$765&amp;""</f>
        <v/>
      </c>
      <c r="MK131" s="152">
        <f>'INVOCAÇÕES'!$AO$766&amp;""</f>
        <v/>
      </c>
      <c r="ML131" s="152">
        <f>'INVOCAÇÕES'!$AO$767&amp;""</f>
        <v/>
      </c>
      <c r="MM131" s="152">
        <f>'INVOCAÇÕES'!$AO$768&amp;""</f>
        <v/>
      </c>
      <c r="MN131" s="152">
        <f>IF($MD131&lt;&gt;"",1,0)</f>
        <v/>
      </c>
      <c r="MO131" s="152">
        <f>INDEX($FG$2:$FG$13,$LY131)</f>
        <v/>
      </c>
      <c r="MP131" s="152">
        <f>INDEX($FH$2:$FH$13,$LY131)</f>
        <v/>
      </c>
      <c r="MQ131" s="152">
        <f>INDEX($FI$2:$FI$13,$LY131)</f>
        <v/>
      </c>
      <c r="MR131" s="152">
        <f>INDEX($FT$2:$FT$13,$LY131)</f>
        <v/>
      </c>
      <c r="MS131" s="152">
        <f>INDEX($FU$2:$FU$13,$LY131)</f>
        <v/>
      </c>
      <c r="MT131" s="152">
        <f>IFERROR(MATCH($ME131,$V$2:$V$11,0),0)</f>
        <v/>
      </c>
      <c r="MU131" s="152">
        <f>IFERROR(VLOOKUP($MH131,$AV$2:$AZ$84,2,FALSE),"")</f>
        <v/>
      </c>
      <c r="MV131" s="152">
        <f>IFERROR(VLOOKUP($MI131,$AV$2:$AZ$84,2,FALSE),"")</f>
        <v/>
      </c>
      <c r="MW131" s="152">
        <f>IFERROR(VLOOKUP($MJ131,$AV$2:$AZ$84,2,FALSE),"")</f>
        <v/>
      </c>
      <c r="MX131" s="152">
        <f>IFERROR(VLOOKUP($MK131,$AV$2:$AZ$84,2,FALSE),"")</f>
        <v/>
      </c>
      <c r="MY131" s="152">
        <f>IFERROR(VLOOKUP($MH131,$AV$2:$AZ$84,3,FALSE),0)</f>
        <v/>
      </c>
      <c r="MZ131" s="152">
        <f>IFERROR(VLOOKUP($MI131,$AV$2:$AZ$84,3,FALSE),0)</f>
        <v/>
      </c>
      <c r="NA131" s="152">
        <f>IFERROR(VLOOKUP($MJ131,$AV$2:$AZ$84,3,FALSE),0)</f>
        <v/>
      </c>
      <c r="NB131" s="152">
        <f>IFERROR(VLOOKUP($MK131,$AV$2:$AZ$84,3,FALSE),0)</f>
        <v/>
      </c>
      <c r="NC131" s="152">
        <f>IF($MC131=0,0,IF($MT131=0,0,INDEX($X$2:$X$11,$MT131)))</f>
        <v/>
      </c>
      <c r="ND131" s="152">
        <f>IF(OR($MY131=0,$MC131=0),0,$MY131+3*IF(AND($MU131&lt;&gt;"",OR($MU131=INDEX($ED$2:$ED$13,$LY131),$MU131=INDEX($EE$2:$EE$13,$LY131))),1,0))</f>
        <v/>
      </c>
      <c r="NE131" s="152">
        <f>IF(OR($MZ131=0,$MC131=0),0,$MZ131+3*IF(AND($MV131&lt;&gt;"",OR($MV131=INDEX($ED$2:$ED$13,$LY131),$MV131=INDEX($EE$2:$EE$13,$LY131))),1,0))</f>
        <v/>
      </c>
      <c r="NF131" s="152">
        <f>IF(OR($NA131=0,$MC131=0),0,$NA131+3*IF(AND($MW131&lt;&gt;"",OR($MW131=INDEX($ED$2:$ED$13,$LY131),$MW131=INDEX($EE$2:$EE$13,$LY131))),1,0))</f>
        <v/>
      </c>
      <c r="NG131" s="152">
        <f>IF(OR($NB131=0,$MC131=0),0,$NB131+3*IF(AND($MX131&lt;&gt;"",OR($MX131=INDEX($ED$2:$ED$13,$LY131),$MX131=INDEX($EE$2:$EE$13,$LY131))),1,0))</f>
        <v/>
      </c>
      <c r="NH131" s="152">
        <f>IF($MT131=0,0,IF(INDEX($W$2:$W$11,$MT131)="",0,IF(COUNTIF(INDEX($ED$2:$EH$13,$LY131,0),INDEX($W$2:$W$11,$MT131))=0,1,0)))</f>
        <v/>
      </c>
      <c r="NI131" s="152">
        <f>IF(OR($MY131=0,$MU131=""),0,IF(COUNTIF(INDEX($ED$2:$EH$13,$LY131,0),$MU131)=0,1,0))</f>
        <v/>
      </c>
      <c r="NJ131" s="152">
        <f>IF(OR($MZ131=0,$MV131=""),0,IF(COUNTIF(INDEX($ED$2:$EH$13,$LY131,0),$MV131)=0,1,0))</f>
        <v/>
      </c>
      <c r="NK131" s="152">
        <f>IF(OR($NA131=0,$MW131=""),0,IF(COUNTIF(INDEX($ED$2:$EH$13,$LY131,0),$MW131)=0,1,0))</f>
        <v/>
      </c>
      <c r="NL131" s="152">
        <f>IF(OR($NB131=0,$MX131=""),0,IF(COUNTIF(INDEX($ED$2:$EH$13,$LY131,0),$MX131)=0,1,0))</f>
        <v/>
      </c>
      <c r="NM131" s="152">
        <f>IFERROR(VLOOKUP($MH131,$AV$2:$AZ$84,4,FALSE),0)+IFERROR(VLOOKUP($MI131,$AV$2:$AZ$84,4,FALSE),0)+IFERROR(VLOOKUP($MJ131,$AV$2:$AZ$84,4,FALSE),0)+IFERROR(VLOOKUP($MK131,$AV$2:$AZ$84,4,FALSE),0)</f>
        <v/>
      </c>
      <c r="NN131" s="152">
        <f>TEXTJOIN(", ",TRUE,IF(IFERROR(VLOOKUP($MH131,$AV$2:$AZ$84,5,FALSE),0)=1,$MH131,""),IF(IFERROR(VLOOKUP($MI131,$AV$2:$AZ$84,5,FALSE),0)=1,$MI131,""),IF(IFERROR(VLOOKUP($MJ131,$AV$2:$AZ$84,5,FALSE),0)=1,$MJ131,""),IF(IFERROR(VLOOKUP($MK131,$AV$2:$AZ$84,5,FALSE),0)=1,$MK131,""))</f>
        <v/>
      </c>
      <c r="NO131" s="152">
        <f>IF($MT131=0,0,INDEX($Y$2:$Y$11,$MT131))</f>
        <v/>
      </c>
      <c r="NP131" s="152">
        <f>IF($MT131=0,0,INDEX($Z$2:$Z$11,$MT131))</f>
        <v/>
      </c>
      <c r="NQ131" s="152">
        <f>IF($MT131=0,0,INDEX($AB$2:$AB$11,$MT131))</f>
        <v/>
      </c>
      <c r="NR131" s="152">
        <f>IFERROR(VLOOKUP($ML131,$BB$2:$BF$24,3,FALSE),0)</f>
        <v/>
      </c>
      <c r="NS131" s="152">
        <f>IFERROR(VLOOKUP($MM131,$BB$2:$BF$24,3,FALSE),0)</f>
        <v/>
      </c>
      <c r="NT131" s="152">
        <f>IFERROR(VLOOKUP($ML131,$BB$2:$BF$24,2,FALSE),"")</f>
        <v/>
      </c>
      <c r="NU131" s="152">
        <f>IFERROR(VLOOKUP($MM131,$BB$2:$BF$24,2,FALSE),"")</f>
        <v/>
      </c>
      <c r="NV131" s="152">
        <f>COUNTIF($NC131:$NG131,1)</f>
        <v/>
      </c>
      <c r="NW131" s="152">
        <f>COUNTIF($NC131:$NG131,2)</f>
        <v/>
      </c>
      <c r="NX131" s="152">
        <f>COUNTIF($NC131:$NG131,3)</f>
        <v/>
      </c>
      <c r="NY131" s="152">
        <f>COUNTIF($NC131:$NG131,4)</f>
        <v/>
      </c>
      <c r="NZ131" s="152">
        <f>COUNTIF($NC131:$NG131,5)</f>
        <v/>
      </c>
      <c r="OA131" s="152">
        <f>COUNTIF($NC131:$NG131,6)</f>
        <v/>
      </c>
      <c r="OB131" s="152">
        <f>COUNTIF($NR131:$NS131,1)</f>
        <v/>
      </c>
      <c r="OC131" s="152">
        <f>COUNTIF($NR131:$NS131,2)+$NO131</f>
        <v/>
      </c>
      <c r="OD131" s="152">
        <f>COUNTIF($MH131:$MK131,"?*")</f>
        <v/>
      </c>
      <c r="OE131" s="152">
        <f>COUNTIF($ML131:$MM131,"?*")+$NO131</f>
        <v/>
      </c>
      <c r="OF131" s="152">
        <f>IF($MC131=0,0,SUMPRODUCT($NV131:$OA131,INDEX($I$2:$N$8,MAX(1,$MC131),0)))</f>
        <v/>
      </c>
      <c r="OG131" s="152">
        <f>IF($MC131=0,0,$OB131*CEILING($MC131/2,1)+$OC131*$MC131)</f>
        <v/>
      </c>
      <c r="OH131" s="152">
        <f>MIN(2*$MC131,$OG131)</f>
        <v/>
      </c>
      <c r="OI131" s="152">
        <f>MIN($OH131,$OF131)</f>
        <v/>
      </c>
      <c r="OJ131" s="152">
        <f>$OH131-$OI131</f>
        <v/>
      </c>
      <c r="OK131" s="152">
        <f>IF($MC131=0,0,INDEX($P$2:$P$8,MAX(1,$MC131)))</f>
        <v/>
      </c>
      <c r="OL131" s="152">
        <f>$OK131-$OF131+$OI131</f>
        <v/>
      </c>
      <c r="OM131" s="152">
        <f>IF($MC131=0,MAX(0,$MQ131-IF($OD131&gt;0,1,0)),MAX(0,$OL131))</f>
        <v/>
      </c>
      <c r="ON131" s="152">
        <f>IF($MC131=0,0,(IF(COUNTIF($MH131:$MK131,"Salto")&gt;0,1,0)+IF(COUNTIF($MH131:$MK131,"Queima")&gt;0,1,0)+IF(COUNTIF($MH131:$MK131,"Estilhaço")&gt;0,1,0))*FLOOR($OM131/2,1))</f>
        <v/>
      </c>
      <c r="OO131" s="152">
        <f>MAX(0,2-SUMPRODUCT($NV131:$OA131,$I$2:$N$2)+MIN(2,$OB131*1+$OC131*1,SUMPRODUCT($NV131:$OA131,$I$2:$N$2)))</f>
        <v/>
      </c>
      <c r="OP131" s="152">
        <f>MAX(0,4-SUMPRODUCT($NV131:$OA131,$I$3:$N$3)+MIN(4,$OB131*1+$OC131*2,SUMPRODUCT($NV131:$OA131,$I$3:$N$3)))</f>
        <v/>
      </c>
      <c r="OQ131" s="152">
        <f>MAX(0,6-SUMPRODUCT($NV131:$OA131,$I$4:$N$4)+MIN(6,$OB131*2+$OC131*3,SUMPRODUCT($NV131:$OA131,$I$4:$N$4)))</f>
        <v/>
      </c>
      <c r="OR131" s="152">
        <f>MAX(0,9-SUMPRODUCT($NV131:$OA131,$I$5:$N$5)+MIN(8,$OB131*2+$OC131*4,SUMPRODUCT($NV131:$OA131,$I$5:$N$5)))</f>
        <v/>
      </c>
      <c r="OS131" s="152">
        <f>MAX(0,11-SUMPRODUCT($NV131:$OA131,$I$6:$N$6)+MIN(10,$OB131*3+$OC131*5,SUMPRODUCT($NV131:$OA131,$I$6:$N$6)))</f>
        <v/>
      </c>
      <c r="OT131" s="152">
        <f>MAX(0,13-SUMPRODUCT($NV131:$OA131,$I$7:$N$7)+MIN(12,$OB131*3+$OC131*6,SUMPRODUCT($NV131:$OA131,$I$7:$N$7)))</f>
        <v/>
      </c>
      <c r="OU131" s="152">
        <f>MAX(0,16-SUMPRODUCT($NV131:$OA131,$I$8:$N$8)+MIN(14,$OB131*4+$OC131*7,SUMPRODUCT($NV131:$OA131,$I$8:$N$8)))</f>
        <v/>
      </c>
      <c r="OV131" s="152">
        <f>IF($NP131=2,3*$OO131&amp;" de vida temp.",IF($NP131=3,"sem dano",IF($OO131=0,IF($NP131=1,"sem cura","sem dano"),IF($NP131=1,"cura ","")&amp;$OO131&amp;"d8")))</f>
        <v/>
      </c>
      <c r="OW131" s="152">
        <f>IF($NP131=2,3*$OP131&amp;" de vida temp.",IF($NP131=3,"sem dano",IF($OP131=0,IF($NP131=1,"sem cura","sem dano"),IF($NP131=1,"cura ","")&amp;$OP131&amp;"d8")))</f>
        <v/>
      </c>
      <c r="OX131" s="152">
        <f>IF($NP131=2,3*$OQ131&amp;" de vida temp.",IF($NP131=3,"sem dano",IF($OQ131=0,IF($NP131=1,"sem cura","sem dano"),IF($NP131=1,"cura ","")&amp;$OQ131&amp;"d8")))</f>
        <v/>
      </c>
      <c r="OY131" s="152">
        <f>IF($NP131=2,3*$OR131&amp;" de vida temp.",IF($NP131=3,"sem dano",IF($OR131=0,IF($NP131=1,"sem cura","sem dano"),IF($NP131=1,"cura ","")&amp;$OR131&amp;"d8")))</f>
        <v/>
      </c>
      <c r="OZ131" s="152">
        <f>IF($NP131=2,3*$OS131&amp;" de vida temp.",IF($NP131=3,"sem dano",IF($OS131=0,IF($NP131=1,"sem cura","sem dano"),IF($NP131=1,"cura ","")&amp;$OS131&amp;"d8")))</f>
        <v/>
      </c>
      <c r="PA131" s="152">
        <f>IF($NP131=2,3*$OT131&amp;" de vida temp.",IF($NP131=3,"sem dano",IF($OT131=0,IF($NP131=1,"sem cura","sem dano"),IF($NP131=1,"cura ","")&amp;$OT131&amp;"d8")))</f>
        <v/>
      </c>
      <c r="PB131" s="152">
        <f>IF($NP131=2,3*$OU131&amp;" de vida temp.",IF($NP131=3,"sem dano",IF($OU131=0,IF($NP131=1,"sem cura","sem dano"),IF($NP131=1,"cura ","")&amp;$OU131&amp;"d8")))</f>
        <v/>
      </c>
      <c r="PC131" s="152">
        <f>IF($MN131=0,"",TEXTJOIN(" · ",TRUE,IF($MA131&gt;$MO131,"Este lugar abre no nível "&amp;$MA131,""),IF($MC131&gt;$MP131,"Classe "&amp;$MC131&amp;": o nível "&amp;$MO131&amp;" libera até a "&amp;$MP131,""),IF($NH131=1,"A Forma "&amp;$ME131&amp;" pede "&amp;INDEX($W$2:$W$11,$MT131)&amp;" aberta",""),IF(AND($MC131=0,$MT131&gt;0,IF($MT131=0,0,INDEX($AF$2:$AF$11,$MT131))=0),$ME131&amp;" não existe na Classe 0",""),IF($NI131=1,"Família Fechada: "&amp;$MH131,""),IF($NJ131=1,"Família Fechada: "&amp;$MI131,""),IF($NK131=1,"Família Fechada: "&amp;$MJ131,""),IF($NL131=1,"Família Fechada: "&amp;$MK131,""),IF(AND($MC131&gt;0,$OD131&gt;INDEX($O$2:$O$8,MAX(1,$MC131))),$OD131&amp;" Melhorias: a Classe "&amp;$MC131&amp;" aceita "&amp;INDEX($O$2:$O$8,MAX(1,$MC131)),""),IF(AND($MC131=0,$OD131&gt;1),"A básica aceita uma Melhoria",""),IF(AND($MC131=0,COUNTIF($MY131:$NB131,"&gt;1")&gt;0),"A básica só aceita Melhoria Leve",""),IF(AND($MC131&gt;0,$OE131&gt;2),$OE131&amp;" Restrições"&amp;IF($NO131=1,", contando a que a Forma "&amp;$ME131&amp;" já traz","")&amp;": o limite é 2",""),IF(AND($MC131=0,COUNTIF($ML131:$MM131,"?*")&gt;1),"A básica aceita uma Restrição Leve",""),IF(AND($MC131=0,COUNTIF($NR131:$NS131,2)&gt;0),"A básica só aceita Restrição Leve",""),IF(AND($MC131&gt;0,$OL131&lt;0),"Orçamento estourado: faltam "&amp;(-$OL131)&amp;IF($OL131&lt;-1," pontos"," ponto"),""),IF(IFERROR(VLOOKUP($ML131,$BB$2:$BF$24,4,FALSE),0)+IFERROR(VLOOKUP($MM131,$BB$2:$BF$24,4,FALSE),0)&gt;1,$NT131&amp;" e "&amp;$NU131&amp;" são as duas de frequência",""),IF(AND((COUNTIF($MH131:$MK131,"Rápido")+COUNTIF($NT131:$NU131,"Rápido"))&gt;0,(COUNTIF($MH131:$MK131,"Atrasar")+COUNTIF($NT131:$NU131,"Atrasar"))&gt;0),"Rápido não entra com Atrasar",""),IF(AND((COUNTIF($MH131:$MK131,"Reação")+COUNTIF($NT131:$NU131,"Reação"))&gt;0,(COUNTIF($MH131:$MK131,"Rápido")+COUNTIF($NT131:$NU131,"Rápido"))&gt;0),"Reação não entra com Rápido",""),IF(AND((COUNTIF($MH131:$MK131,"Reação")+COUNTIF($NT131:$NU131,"Reação"))&gt;0,(COUNTIF($MH131:$MK131,"Armado")+COUNTIF($NT131:$NU131,"Armado"))&gt;0),"Reação não entra com Armado",""),IF(AND((COUNTIF($MH131:$MK131,"Reação")+COUNTIF($NT131:$NU131,"Reação"))&gt;0,(COUNTIF($MH131:$MK131,"Atrasar")+COUNTIF($NT131:$NU131,"Atrasar"))&gt;0),"Reação não entra com Atrasar",""),IF(AND((COUNTIF($MH131:$MK131,"Reação")+COUNTIF($NT131:$NU131,"Reação"))&gt;0,(COUNTIF($MH131:$MK131,"Parado")+COUNTIF($NT131:$NU131,"Parado"))&gt;0),"Reação não entra com Parado",""),IF(AND((COUNTIF($MH131:$MK131,"Atrasar")+COUNTIF($NT131:$NU131,"Atrasar"))&gt;0,(COUNTIF($MH131:$MK131,"Parado")+COUNTIF($NT131:$NU131,"Parado"))&gt;0),"Atrasar não entra com Parado",""),IF(AND((COUNTIF($MH131:$MK131,"Armado")+COUNTIF($NT131:$NU131,"Armado"))&gt;0,(COUNTIF($MH131:$MK131,"Carregar")+COUNTIF($NT131:$NU131,"Carregar"))&gt;0),"Armado não entra com Carregar",""),IF(AND(COUNTIF($NT131:$NU131,"Corpo a Corpo")&gt;0,$NO131=0,OR($ME131="Cone",$ME131="Linha")),"Corpo a Corpo não entra em "&amp;$ME131,""),IF(AND(COUNTIF($NT131:$NU131,"Corpo a Corpo")&gt;0,$NO131=1),"A Forma "&amp;$ME131&amp;" já traz o Corpo a Corpo",""),IF(AND(COUNTIF($NT131:$NU131,"Tudo ou Nada")&gt;0,$NQ131=0),"Tudo ou Nada só entra em habilidade de Teste de Resistência",""),IF(AND(COUNTIF($MH131:$MK131,"Inescapável")&gt;0,OR($OD131&gt;1,$OE131&gt;0)),"Inescapável não aceita outra peça",""),IF(AND($MC131&gt;0,$OM131*IF(COUNTIF($MH131:$MK131,"Remate")&gt;0,1.25,1)+$ON131&gt;4*$MC131),($OM131*IF(COUNTIF($MH131:$MK131,"Remate")&gt;0,1.25,1)+$ON131)&amp;" dados somando repetições"&amp;IF(COUNTIF($MH131:$MK131,"Remate")&gt;0," e o Remate","")&amp;": o teto da Classe "&amp;$MC131&amp;" é "&amp;4*$MC131,"")))</f>
        <v/>
      </c>
      <c r="PD131" s="152">
        <f>IF($PC131="",0,(LEN($PC131)-LEN(SUBSTITUTE($PC131," · ","")))/3+1)</f>
        <v/>
      </c>
      <c r="PE131" s="152">
        <f>IF($MN131=0,"",TEXTJOIN(" · ",TRUE,IF($OG131&gt;2*$MC131,"A devolução parou no teto de "&amp;2*$MC131,""),IF($OJ131&gt;0,"Devolução perdida: "&amp;$OJ131&amp;IF($OJ131&gt;1," pontos"," ponto")&amp;" sem peça para pagar",""),IF(AND($NM131&gt;0,AND($MC131&gt;0,$NP131=0),$OM131=0),"Controle sem dano: uma rodada a mais e CD +2",""),IF(AND($NM131&gt;0,AND($MC131&gt;0,$NP131=0),$OM131&gt;0,$OM131&lt;=$MC131),"Controle com saldo até a Classe: uma rodada a mais",""),IF(AND($MC131&gt;0,$NN131&lt;&gt;""),"Efeito de "&amp;$NN131&amp;" pela Classe "&amp;MAX(1,$MC131-1),"")))</f>
        <v/>
      </c>
      <c r="PF131" s="152">
        <f>IF($PE131="",0,(LEN($PE131)-LEN(SUBSTITUTE($PE131," · ","")))/3+1)</f>
        <v/>
      </c>
      <c r="PG131" s="152">
        <f>IF($MN131=0,IF($OD131+COUNTIF($ML131:$MM131,"?*")&gt;0,"Dê um nome",""),IF($PD131&gt;0,"⚠ "&amp;$PD131&amp;IF($PD131&gt;1," erros"," erro"),IF($PF131&gt;0,"! "&amp;$PF131&amp;IF($PF131&gt;1," avisos"," aviso"),"Na regra")))</f>
        <v/>
      </c>
      <c r="PH131" s="152">
        <f>IF($MN131=0,"",IF($PD131+$PF131=0,"Dentro das regras que a ficha confere",$PC131&amp;IF(AND($PD131&gt;0,$PF131&gt;0)," · ","")&amp;$PE131))</f>
        <v/>
      </c>
      <c r="PI131" s="152">
        <f>IF($MA131&gt;$MO131,$MB131&amp;" · ABRE NO NÍVEL "&amp;$MA131,$MB131)</f>
        <v/>
      </c>
      <c r="PJ131" s="152">
        <f>IF($MN131=0,"",IF($MC131=0,"Sem PE",3*$MC131&amp;" PE"))</f>
        <v/>
      </c>
      <c r="PK131" s="152">
        <f>IF($MN131=0,"",IF($MC131=0,"A atuação básica dela",IF(COUNTIF($NT131:$NU131,"Atrasar")&gt;0,"Sua Ação Completa",IF(COUNTIF($MH131:$MK131,"Rápido")&gt;0,"Sua Bônus",IF(COUNTIF($MH131:$MK131,"Reação")&gt;0,"Sua Reação","Sua Padrão")))&amp;" + a básica dela"&amp;IF(COUNTIF($MH131:$MK131,"Reação")&gt;0," e a coletiva","")&amp;IF(COUNTIF($NT131:$NU131,"Carregar")&gt;0," · em dois turnos","")))</f>
        <v/>
      </c>
      <c r="PL131" s="152">
        <f>IF($MG131&lt;&gt;"",$MG131,IF($MT131=0,"",INDEX($AA$2:$AA$11,$MT131)))</f>
        <v/>
      </c>
      <c r="PM131" s="152">
        <f>IF(OR($MN131=0,$MT131=0),"",IF(COUNTIF($MH131:$MK131,"Inescapável")&gt;0,"Automático",IF($PL131="Ataque",IF($MR131="","Ataque","Ataque "&amp;IF(($MR131+2*IF(COUNTIF($MH131:$MK131,"Precisão")&gt;0,1,0))&gt;=0,"+","−")&amp;ABS(($MR131+2*IF(COUNTIF($MH131:$MK131,"Precisão")&gt;0,1,0)))),IF(LEFT($PL131,2)="TR",$PL131&amp;IF($MS131="",""," · CD "&amp;$MS131)&amp;IF(COUNTIF($MH131:$MK131,"Certeiro")&gt;0," · metade",""),"Sem rolagem"))))</f>
        <v/>
      </c>
      <c r="PN131" s="152">
        <f>IF(OR($MN131=0,$MT131=0),"",IF($MC131=0,IF(OR($NP131&gt;=1,$OM131=0),"Sem dano",$OM131&amp;"d6"&amp;IF($MF131="",""," "&amp;$MF131)),IF(OR($NP131&gt;=1,$OM131=0),UPPER(LEFT(INDEX($OV131:$PB131,1,MAX(1,$MC131)),1))&amp;MID(INDEX($OV131:$PB131,1,MAX(1,$MC131)),2,99),UPPER(LEFT(INDEX($OV131:$PB131,1,MAX(1,$MC131)),1))&amp;MID(INDEX($OV131:$PB131,1,MAX(1,$MC131)),2,99)&amp;IF($MF131="",""," "&amp;$MF131)&amp;IF($ON131&gt;0," · +"&amp;$ON131&amp;"d8",""))))</f>
        <v/>
      </c>
      <c r="PO131" s="152">
        <f>COUNTIF($MH131:$MK131,"Longe")+3*COUNTIF($MH131:$MK131,"Muito Longe")</f>
        <v/>
      </c>
      <c r="PP131" s="152">
        <f>COUNTIF($MH131:$MK131,"Maior")+3*COUNTIF($MH131:$MK131,"Muito Maior")</f>
        <v/>
      </c>
      <c r="PQ131" s="152">
        <f>IF($MT131=0,0,CHOOSE(1+INDEX($AC$2:$AC$11,$MT131),0,$PO131,$PP131,$PO131+$PP131))</f>
        <v/>
      </c>
      <c r="PR131" s="152">
        <f>IF($MT131=0,0,CHOOSE(1+INDEX($AD$2:$AD$11,$MT131),0,$PO131,$PP131,$PO131+$PP131))</f>
        <v/>
      </c>
      <c r="PS131" s="152">
        <f>IF(OR($MN131=0,$MT131=0),"",INDEX($AI$2:$AN$41,($MT131-1)*4+IF($MC131=0,1,IF($MC131&lt;=5,2,IF($MC131=6,3,4))),1+MIN(5,$PQ131))&amp;INDEX($AO$2:$AT$41,($MT131-1)*4+IF($MC131=0,1,IF($MC131&lt;=5,2,IF($MC131=6,3,4))),1+MIN(5,$PR131))&amp;IF(INDEX($AE$2:$AE$11,$MT131)=1,IF(COUNTIF($MH131:$MK131,"Mais Um")&gt;0," · +"&amp;COUNTIF($MH131:$MK131,"Mais Um")&amp;IF(COUNTIF($MH131:$MK131,"Mais Um")&gt;1," alvos"," alvo"),"")&amp;IF(COUNTIF($MH131:$MK131,"Rajada")&gt;0,IF($MC131=0," · 1 tiro"," · "&amp;(MAX(1,$MC131-1)+1)&amp;" tiros"),""),""))</f>
        <v/>
      </c>
      <c r="PT131" s="152">
        <f>IF($MN131=0,"",IF($MC131=0,$MQ131&amp;"d6"&amp;IF($OD131&gt;0," − 1 = "&amp;$OM131&amp;"d6"," da básica do nível "&amp;$MO131),$OK131&amp;" − "&amp;$OF131&amp;" + "&amp;$OI131&amp;" = "&amp;$OL131&amp;" · teto "&amp;4*$MC131&amp;"d8"&amp;IF($NO131=1," · a Forma devolve "&amp;$MC131,"")&amp;IF($OJ131&gt;0," · perde "&amp;$OJ131,"")))</f>
        <v/>
      </c>
      <c r="PU131" s="152">
        <f>IF($MN131=0,"",IF($MC131=0,"A básica não amplia: os dados dela sobem com o nível",IF($MC131&gt;=$MP131,"Já está na maior Classe que o nível liberou",TEXTJOIN(" · ",TRUE,IF(AND(2&gt;$MC131,2&lt;=$MP131),"2 → "&amp;$OW131&amp;", 6 PE",""),IF(AND(3&gt;$MC131,3&lt;=$MP131),"3 → "&amp;$OX131&amp;", 9 PE",""),IF(AND(4&gt;$MC131,4&lt;=$MP131),"4 → "&amp;$OY131&amp;", 12 PE",""),IF(AND(5&gt;$MC131,5&lt;=$MP131),"5 → "&amp;$OZ131&amp;", 15 PE",""),IF(AND(6&gt;$MC131,6&lt;=$MP131),"6 → "&amp;$PA131&amp;", 18 PE",""),IF(AND(7&gt;$MC131,7&lt;=$MP131),"7 → "&amp;$PB131&amp;", 21 PE","")))))</f>
        <v/>
      </c>
      <c r="PV131" s="152">
        <f>IF(OR($MN131=0,$MY131=0),"",IF($MC131=0,"−1 dado","−"&amp;INDEX($I$2:$N$8,MAX(1,$MC131),MAX(1,$ND131))&amp;" · "&amp;CHOOSE(MAX(1,$ND131),"Leve","Média","Pesada","Leve · Livre","Média · Livre","Pesada · Livre")))</f>
        <v/>
      </c>
      <c r="PW131" s="152">
        <f>IF(OR($MN131=0,$MZ131=0),"",IF($MC131=0,"−1 dado","−"&amp;INDEX($I$2:$N$8,MAX(1,$MC131),MAX(1,$NE131))&amp;" · "&amp;CHOOSE(MAX(1,$NE131),"Leve","Média","Pesada","Leve · Livre","Média · Livre","Pesada · Livre")))</f>
        <v/>
      </c>
      <c r="PX131" s="152">
        <f>IF(OR($MN131=0,$NA131=0),"",IF($MC131=0,"−1 dado","−"&amp;INDEX($I$2:$N$8,MAX(1,$MC131),MAX(1,$NF131))&amp;" · "&amp;CHOOSE(MAX(1,$NF131),"Leve","Média","Pesada","Leve · Livre","Média · Livre","Pesada · Livre")))</f>
        <v/>
      </c>
      <c r="PY131" s="152">
        <f>IF(OR($MN131=0,$NB131=0),"",IF($MC131=0,"−1 dado","−"&amp;INDEX($I$2:$N$8,MAX(1,$MC131),MAX(1,$NG131))&amp;" · "&amp;CHOOSE(MAX(1,$NG131),"Leve","Média","Pesada","Leve · Livre","Média · Livre","Pesada · Livre")))</f>
        <v/>
      </c>
      <c r="PZ131" s="152">
        <f>IF(OR($MN131=0,$ML131=""),"",IF($MC131=0,"não devolve","+"&amp;IF($NR131=1,CEILING($MC131/2,1),$MC131)))</f>
        <v/>
      </c>
      <c r="QA131" s="152">
        <f>IF(OR($MN131=0,$MM131=""),"",IF($MC131=0,"não devolve","+"&amp;IF($NS131=1,CEILING($MC131/2,1),$MC131)))</f>
        <v/>
      </c>
    </row>
    <row r="132">
      <c r="LX132" s="150" t="inlineStr">
        <is>
          <t>Ficha 11 · Básica 1</t>
        </is>
      </c>
      <c r="LY132" s="152" t="n">
        <v>11</v>
      </c>
      <c r="LZ132" s="152" t="n">
        <v>0</v>
      </c>
      <c r="MA132" s="152" t="n">
        <v>1</v>
      </c>
      <c r="MB132" s="150" t="inlineStr">
        <is>
          <t>BÁSICA 1</t>
        </is>
      </c>
      <c r="MC132" s="152" t="n">
        <v>0</v>
      </c>
      <c r="MD132" s="152">
        <f>'INVOCAÇÕES'!$AC$850&amp;""</f>
        <v/>
      </c>
      <c r="ME132" s="152">
        <f>'INVOCAÇÕES'!$AB$855&amp;""</f>
        <v/>
      </c>
      <c r="MF132" s="152">
        <f>'INVOCAÇÕES'!$AB$856&amp;""</f>
        <v/>
      </c>
      <c r="MG132" s="152">
        <f>'INVOCAÇÕES'!$AD$856&amp;""</f>
        <v/>
      </c>
      <c r="MH132" s="152">
        <f>'INVOCAÇÕES'!$AC$859&amp;""</f>
        <v/>
      </c>
      <c r="MI132" s="152">
        <f>'INVOCAÇÕES'!$AC$860&amp;""</f>
        <v/>
      </c>
      <c r="MJ132" s="152">
        <f>'INVOCAÇÕES'!$AC$861&amp;""</f>
        <v/>
      </c>
      <c r="MK132" s="152">
        <f>'INVOCAÇÕES'!$AC$862&amp;""</f>
        <v/>
      </c>
      <c r="ML132" s="152">
        <f>'INVOCAÇÕES'!$AC$863&amp;""</f>
        <v/>
      </c>
      <c r="MM132" s="152">
        <f>'INVOCAÇÕES'!$AC$864&amp;""</f>
        <v/>
      </c>
      <c r="MN132" s="152">
        <f>IF($MD132&lt;&gt;"",1,0)</f>
        <v/>
      </c>
      <c r="MO132" s="152">
        <f>INDEX($FG$2:$FG$13,$LY132)</f>
        <v/>
      </c>
      <c r="MP132" s="152">
        <f>INDEX($FH$2:$FH$13,$LY132)</f>
        <v/>
      </c>
      <c r="MQ132" s="152">
        <f>INDEX($FI$2:$FI$13,$LY132)</f>
        <v/>
      </c>
      <c r="MR132" s="152">
        <f>INDEX($FT$2:$FT$13,$LY132)</f>
        <v/>
      </c>
      <c r="MS132" s="152">
        <f>INDEX($FU$2:$FU$13,$LY132)</f>
        <v/>
      </c>
      <c r="MT132" s="152">
        <f>IFERROR(MATCH($ME132,$V$2:$V$11,0),0)</f>
        <v/>
      </c>
      <c r="MU132" s="152">
        <f>IFERROR(VLOOKUP($MH132,$AV$2:$AZ$84,2,FALSE),"")</f>
        <v/>
      </c>
      <c r="MV132" s="152">
        <f>IFERROR(VLOOKUP($MI132,$AV$2:$AZ$84,2,FALSE),"")</f>
        <v/>
      </c>
      <c r="MW132" s="152">
        <f>IFERROR(VLOOKUP($MJ132,$AV$2:$AZ$84,2,FALSE),"")</f>
        <v/>
      </c>
      <c r="MX132" s="152">
        <f>IFERROR(VLOOKUP($MK132,$AV$2:$AZ$84,2,FALSE),"")</f>
        <v/>
      </c>
      <c r="MY132" s="152">
        <f>IFERROR(VLOOKUP($MH132,$AV$2:$AZ$84,3,FALSE),0)</f>
        <v/>
      </c>
      <c r="MZ132" s="152">
        <f>IFERROR(VLOOKUP($MI132,$AV$2:$AZ$84,3,FALSE),0)</f>
        <v/>
      </c>
      <c r="NA132" s="152">
        <f>IFERROR(VLOOKUP($MJ132,$AV$2:$AZ$84,3,FALSE),0)</f>
        <v/>
      </c>
      <c r="NB132" s="152">
        <f>IFERROR(VLOOKUP($MK132,$AV$2:$AZ$84,3,FALSE),0)</f>
        <v/>
      </c>
      <c r="NC132" s="152">
        <f>IF($MC132=0,0,IF($MT132=0,0,INDEX($X$2:$X$11,$MT132)))</f>
        <v/>
      </c>
      <c r="ND132" s="152">
        <f>IF(OR($MY132=0,$MC132=0),0,$MY132+3*IF(AND($MU132&lt;&gt;"",OR($MU132=INDEX($ED$2:$ED$13,$LY132),$MU132=INDEX($EE$2:$EE$13,$LY132))),1,0))</f>
        <v/>
      </c>
      <c r="NE132" s="152">
        <f>IF(OR($MZ132=0,$MC132=0),0,$MZ132+3*IF(AND($MV132&lt;&gt;"",OR($MV132=INDEX($ED$2:$ED$13,$LY132),$MV132=INDEX($EE$2:$EE$13,$LY132))),1,0))</f>
        <v/>
      </c>
      <c r="NF132" s="152">
        <f>IF(OR($NA132=0,$MC132=0),0,$NA132+3*IF(AND($MW132&lt;&gt;"",OR($MW132=INDEX($ED$2:$ED$13,$LY132),$MW132=INDEX($EE$2:$EE$13,$LY132))),1,0))</f>
        <v/>
      </c>
      <c r="NG132" s="152">
        <f>IF(OR($NB132=0,$MC132=0),0,$NB132+3*IF(AND($MX132&lt;&gt;"",OR($MX132=INDEX($ED$2:$ED$13,$LY132),$MX132=INDEX($EE$2:$EE$13,$LY132))),1,0))</f>
        <v/>
      </c>
      <c r="NH132" s="152">
        <f>IF($MT132=0,0,IF(INDEX($W$2:$W$11,$MT132)="",0,IF(COUNTIF(INDEX($ED$2:$EH$13,$LY132,0),INDEX($W$2:$W$11,$MT132))=0,1,0)))</f>
        <v/>
      </c>
      <c r="NI132" s="152">
        <f>IF(OR($MY132=0,$MU132=""),0,IF(COUNTIF(INDEX($ED$2:$EH$13,$LY132,0),$MU132)=0,1,0))</f>
        <v/>
      </c>
      <c r="NJ132" s="152">
        <f>IF(OR($MZ132=0,$MV132=""),0,IF(COUNTIF(INDEX($ED$2:$EH$13,$LY132,0),$MV132)=0,1,0))</f>
        <v/>
      </c>
      <c r="NK132" s="152">
        <f>IF(OR($NA132=0,$MW132=""),0,IF(COUNTIF(INDEX($ED$2:$EH$13,$LY132,0),$MW132)=0,1,0))</f>
        <v/>
      </c>
      <c r="NL132" s="152">
        <f>IF(OR($NB132=0,$MX132=""),0,IF(COUNTIF(INDEX($ED$2:$EH$13,$LY132,0),$MX132)=0,1,0))</f>
        <v/>
      </c>
      <c r="NM132" s="152">
        <f>IFERROR(VLOOKUP($MH132,$AV$2:$AZ$84,4,FALSE),0)+IFERROR(VLOOKUP($MI132,$AV$2:$AZ$84,4,FALSE),0)+IFERROR(VLOOKUP($MJ132,$AV$2:$AZ$84,4,FALSE),0)+IFERROR(VLOOKUP($MK132,$AV$2:$AZ$84,4,FALSE),0)</f>
        <v/>
      </c>
      <c r="NN132" s="152">
        <f>TEXTJOIN(", ",TRUE,IF(IFERROR(VLOOKUP($MH132,$AV$2:$AZ$84,5,FALSE),0)=1,$MH132,""),IF(IFERROR(VLOOKUP($MI132,$AV$2:$AZ$84,5,FALSE),0)=1,$MI132,""),IF(IFERROR(VLOOKUP($MJ132,$AV$2:$AZ$84,5,FALSE),0)=1,$MJ132,""),IF(IFERROR(VLOOKUP($MK132,$AV$2:$AZ$84,5,FALSE),0)=1,$MK132,""))</f>
        <v/>
      </c>
      <c r="NO132" s="152">
        <f>IF($MT132=0,0,INDEX($Y$2:$Y$11,$MT132))</f>
        <v/>
      </c>
      <c r="NP132" s="152">
        <f>IF($MT132=0,0,INDEX($Z$2:$Z$11,$MT132))</f>
        <v/>
      </c>
      <c r="NQ132" s="152">
        <f>IF($MT132=0,0,INDEX($AB$2:$AB$11,$MT132))</f>
        <v/>
      </c>
      <c r="NR132" s="152">
        <f>IFERROR(VLOOKUP($ML132,$BB$2:$BF$24,3,FALSE),0)</f>
        <v/>
      </c>
      <c r="NS132" s="152">
        <f>IFERROR(VLOOKUP($MM132,$BB$2:$BF$24,3,FALSE),0)</f>
        <v/>
      </c>
      <c r="NT132" s="152">
        <f>IFERROR(VLOOKUP($ML132,$BB$2:$BF$24,2,FALSE),"")</f>
        <v/>
      </c>
      <c r="NU132" s="152">
        <f>IFERROR(VLOOKUP($MM132,$BB$2:$BF$24,2,FALSE),"")</f>
        <v/>
      </c>
      <c r="NV132" s="152">
        <f>COUNTIF($NC132:$NG132,1)</f>
        <v/>
      </c>
      <c r="NW132" s="152">
        <f>COUNTIF($NC132:$NG132,2)</f>
        <v/>
      </c>
      <c r="NX132" s="152">
        <f>COUNTIF($NC132:$NG132,3)</f>
        <v/>
      </c>
      <c r="NY132" s="152">
        <f>COUNTIF($NC132:$NG132,4)</f>
        <v/>
      </c>
      <c r="NZ132" s="152">
        <f>COUNTIF($NC132:$NG132,5)</f>
        <v/>
      </c>
      <c r="OA132" s="152">
        <f>COUNTIF($NC132:$NG132,6)</f>
        <v/>
      </c>
      <c r="OB132" s="152">
        <f>COUNTIF($NR132:$NS132,1)</f>
        <v/>
      </c>
      <c r="OC132" s="152">
        <f>COUNTIF($NR132:$NS132,2)+$NO132</f>
        <v/>
      </c>
      <c r="OD132" s="152">
        <f>COUNTIF($MH132:$MK132,"?*")</f>
        <v/>
      </c>
      <c r="OE132" s="152">
        <f>COUNTIF($ML132:$MM132,"?*")+$NO132</f>
        <v/>
      </c>
      <c r="OF132" s="152">
        <f>IF($MC132=0,0,SUMPRODUCT($NV132:$OA132,INDEX($I$2:$N$8,MAX(1,$MC132),0)))</f>
        <v/>
      </c>
      <c r="OG132" s="152">
        <f>IF($MC132=0,0,$OB132*CEILING($MC132/2,1)+$OC132*$MC132)</f>
        <v/>
      </c>
      <c r="OH132" s="152">
        <f>MIN(2*$MC132,$OG132)</f>
        <v/>
      </c>
      <c r="OI132" s="152">
        <f>MIN($OH132,$OF132)</f>
        <v/>
      </c>
      <c r="OJ132" s="152">
        <f>$OH132-$OI132</f>
        <v/>
      </c>
      <c r="OK132" s="152">
        <f>IF($MC132=0,0,INDEX($P$2:$P$8,MAX(1,$MC132)))</f>
        <v/>
      </c>
      <c r="OL132" s="152">
        <f>$OK132-$OF132+$OI132</f>
        <v/>
      </c>
      <c r="OM132" s="152">
        <f>IF($MC132=0,MAX(0,$MQ132-IF($OD132&gt;0,1,0)),MAX(0,$OL132))</f>
        <v/>
      </c>
      <c r="ON132" s="152">
        <f>IF($MC132=0,0,(IF(COUNTIF($MH132:$MK132,"Salto")&gt;0,1,0)+IF(COUNTIF($MH132:$MK132,"Queima")&gt;0,1,0)+IF(COUNTIF($MH132:$MK132,"Estilhaço")&gt;0,1,0))*FLOOR($OM132/2,1))</f>
        <v/>
      </c>
      <c r="OO132" s="152">
        <f>MAX(0,2-SUMPRODUCT($NV132:$OA132,$I$2:$N$2)+MIN(2,$OB132*1+$OC132*1,SUMPRODUCT($NV132:$OA132,$I$2:$N$2)))</f>
        <v/>
      </c>
      <c r="OP132" s="152">
        <f>MAX(0,4-SUMPRODUCT($NV132:$OA132,$I$3:$N$3)+MIN(4,$OB132*1+$OC132*2,SUMPRODUCT($NV132:$OA132,$I$3:$N$3)))</f>
        <v/>
      </c>
      <c r="OQ132" s="152">
        <f>MAX(0,6-SUMPRODUCT($NV132:$OA132,$I$4:$N$4)+MIN(6,$OB132*2+$OC132*3,SUMPRODUCT($NV132:$OA132,$I$4:$N$4)))</f>
        <v/>
      </c>
      <c r="OR132" s="152">
        <f>MAX(0,9-SUMPRODUCT($NV132:$OA132,$I$5:$N$5)+MIN(8,$OB132*2+$OC132*4,SUMPRODUCT($NV132:$OA132,$I$5:$N$5)))</f>
        <v/>
      </c>
      <c r="OS132" s="152">
        <f>MAX(0,11-SUMPRODUCT($NV132:$OA132,$I$6:$N$6)+MIN(10,$OB132*3+$OC132*5,SUMPRODUCT($NV132:$OA132,$I$6:$N$6)))</f>
        <v/>
      </c>
      <c r="OT132" s="152">
        <f>MAX(0,13-SUMPRODUCT($NV132:$OA132,$I$7:$N$7)+MIN(12,$OB132*3+$OC132*6,SUMPRODUCT($NV132:$OA132,$I$7:$N$7)))</f>
        <v/>
      </c>
      <c r="OU132" s="152">
        <f>MAX(0,16-SUMPRODUCT($NV132:$OA132,$I$8:$N$8)+MIN(14,$OB132*4+$OC132*7,SUMPRODUCT($NV132:$OA132,$I$8:$N$8)))</f>
        <v/>
      </c>
      <c r="OV132" s="152">
        <f>IF($NP132=2,3*$OO132&amp;" de vida temp.",IF($NP132=3,"sem dano",IF($OO132=0,IF($NP132=1,"sem cura","sem dano"),IF($NP132=1,"cura ","")&amp;$OO132&amp;"d8")))</f>
        <v/>
      </c>
      <c r="OW132" s="152">
        <f>IF($NP132=2,3*$OP132&amp;" de vida temp.",IF($NP132=3,"sem dano",IF($OP132=0,IF($NP132=1,"sem cura","sem dano"),IF($NP132=1,"cura ","")&amp;$OP132&amp;"d8")))</f>
        <v/>
      </c>
      <c r="OX132" s="152">
        <f>IF($NP132=2,3*$OQ132&amp;" de vida temp.",IF($NP132=3,"sem dano",IF($OQ132=0,IF($NP132=1,"sem cura","sem dano"),IF($NP132=1,"cura ","")&amp;$OQ132&amp;"d8")))</f>
        <v/>
      </c>
      <c r="OY132" s="152">
        <f>IF($NP132=2,3*$OR132&amp;" de vida temp.",IF($NP132=3,"sem dano",IF($OR132=0,IF($NP132=1,"sem cura","sem dano"),IF($NP132=1,"cura ","")&amp;$OR132&amp;"d8")))</f>
        <v/>
      </c>
      <c r="OZ132" s="152">
        <f>IF($NP132=2,3*$OS132&amp;" de vida temp.",IF($NP132=3,"sem dano",IF($OS132=0,IF($NP132=1,"sem cura","sem dano"),IF($NP132=1,"cura ","")&amp;$OS132&amp;"d8")))</f>
        <v/>
      </c>
      <c r="PA132" s="152">
        <f>IF($NP132=2,3*$OT132&amp;" de vida temp.",IF($NP132=3,"sem dano",IF($OT132=0,IF($NP132=1,"sem cura","sem dano"),IF($NP132=1,"cura ","")&amp;$OT132&amp;"d8")))</f>
        <v/>
      </c>
      <c r="PB132" s="152">
        <f>IF($NP132=2,3*$OU132&amp;" de vida temp.",IF($NP132=3,"sem dano",IF($OU132=0,IF($NP132=1,"sem cura","sem dano"),IF($NP132=1,"cura ","")&amp;$OU132&amp;"d8")))</f>
        <v/>
      </c>
      <c r="PC132" s="152">
        <f>IF($MN132=0,"",TEXTJOIN(" · ",TRUE,IF($MA132&gt;$MO132,"Este lugar abre no nível "&amp;$MA132,""),IF($MC132&gt;$MP132,"Classe "&amp;$MC132&amp;": o nível "&amp;$MO132&amp;" libera até a "&amp;$MP132,""),IF($NH132=1,"A Forma "&amp;$ME132&amp;" pede "&amp;INDEX($W$2:$W$11,$MT132)&amp;" aberta",""),IF(AND($MC132=0,$MT132&gt;0,IF($MT132=0,0,INDEX($AF$2:$AF$11,$MT132))=0),$ME132&amp;" não existe na Classe 0",""),IF($NI132=1,"Família Fechada: "&amp;$MH132,""),IF($NJ132=1,"Família Fechada: "&amp;$MI132,""),IF($NK132=1,"Família Fechada: "&amp;$MJ132,""),IF($NL132=1,"Família Fechada: "&amp;$MK132,""),IF(AND($MC132&gt;0,$OD132&gt;INDEX($O$2:$O$8,MAX(1,$MC132))),$OD132&amp;" Melhorias: a Classe "&amp;$MC132&amp;" aceita "&amp;INDEX($O$2:$O$8,MAX(1,$MC132)),""),IF(AND($MC132=0,$OD132&gt;1),"A básica aceita uma Melhoria",""),IF(AND($MC132=0,COUNTIF($MY132:$NB132,"&gt;1")&gt;0),"A básica só aceita Melhoria Leve",""),IF(AND($MC132&gt;0,$OE132&gt;2),$OE132&amp;" Restrições"&amp;IF($NO132=1,", contando a que a Forma "&amp;$ME132&amp;" já traz","")&amp;": o limite é 2",""),IF(AND($MC132=0,COUNTIF($ML132:$MM132,"?*")&gt;1),"A básica aceita uma Restrição Leve",""),IF(AND($MC132=0,COUNTIF($NR132:$NS132,2)&gt;0),"A básica só aceita Restrição Leve",""),IF(AND($MC132&gt;0,$OL132&lt;0),"Orçamento estourado: faltam "&amp;(-$OL132)&amp;IF($OL132&lt;-1," pontos"," ponto"),""),IF(IFERROR(VLOOKUP($ML132,$BB$2:$BF$24,4,FALSE),0)+IFERROR(VLOOKUP($MM132,$BB$2:$BF$24,4,FALSE),0)&gt;1,$NT132&amp;" e "&amp;$NU132&amp;" são as duas de frequência",""),IF(AND((COUNTIF($MH132:$MK132,"Rápido")+COUNTIF($NT132:$NU132,"Rápido"))&gt;0,(COUNTIF($MH132:$MK132,"Atrasar")+COUNTIF($NT132:$NU132,"Atrasar"))&gt;0),"Rápido não entra com Atrasar",""),IF(AND((COUNTIF($MH132:$MK132,"Reação")+COUNTIF($NT132:$NU132,"Reação"))&gt;0,(COUNTIF($MH132:$MK132,"Rápido")+COUNTIF($NT132:$NU132,"Rápido"))&gt;0),"Reação não entra com Rápido",""),IF(AND((COUNTIF($MH132:$MK132,"Reação")+COUNTIF($NT132:$NU132,"Reação"))&gt;0,(COUNTIF($MH132:$MK132,"Armado")+COUNTIF($NT132:$NU132,"Armado"))&gt;0),"Reação não entra com Armado",""),IF(AND((COUNTIF($MH132:$MK132,"Reação")+COUNTIF($NT132:$NU132,"Reação"))&gt;0,(COUNTIF($MH132:$MK132,"Atrasar")+COUNTIF($NT132:$NU132,"Atrasar"))&gt;0),"Reação não entra com Atrasar",""),IF(AND((COUNTIF($MH132:$MK132,"Reação")+COUNTIF($NT132:$NU132,"Reação"))&gt;0,(COUNTIF($MH132:$MK132,"Parado")+COUNTIF($NT132:$NU132,"Parado"))&gt;0),"Reação não entra com Parado",""),IF(AND((COUNTIF($MH132:$MK132,"Atrasar")+COUNTIF($NT132:$NU132,"Atrasar"))&gt;0,(COUNTIF($MH132:$MK132,"Parado")+COUNTIF($NT132:$NU132,"Parado"))&gt;0),"Atrasar não entra com Parado",""),IF(AND((COUNTIF($MH132:$MK132,"Armado")+COUNTIF($NT132:$NU132,"Armado"))&gt;0,(COUNTIF($MH132:$MK132,"Carregar")+COUNTIF($NT132:$NU132,"Carregar"))&gt;0),"Armado não entra com Carregar",""),IF(AND(COUNTIF($NT132:$NU132,"Corpo a Corpo")&gt;0,$NO132=0,OR($ME132="Cone",$ME132="Linha")),"Corpo a Corpo não entra em "&amp;$ME132,""),IF(AND(COUNTIF($NT132:$NU132,"Corpo a Corpo")&gt;0,$NO132=1),"A Forma "&amp;$ME132&amp;" já traz o Corpo a Corpo",""),IF(AND(COUNTIF($NT132:$NU132,"Tudo ou Nada")&gt;0,$NQ132=0),"Tudo ou Nada só entra em habilidade de Teste de Resistência",""),IF(AND(COUNTIF($MH132:$MK132,"Inescapável")&gt;0,OR($OD132&gt;1,$OE132&gt;0)),"Inescapável não aceita outra peça",""),IF(AND($MC132&gt;0,$OM132*IF(COUNTIF($MH132:$MK132,"Remate")&gt;0,1.25,1)+$ON132&gt;4*$MC132),($OM132*IF(COUNTIF($MH132:$MK132,"Remate")&gt;0,1.25,1)+$ON132)&amp;" dados somando repetições"&amp;IF(COUNTIF($MH132:$MK132,"Remate")&gt;0," e o Remate","")&amp;": o teto da Classe "&amp;$MC132&amp;" é "&amp;4*$MC132,"")))</f>
        <v/>
      </c>
      <c r="PD132" s="152">
        <f>IF($PC132="",0,(LEN($PC132)-LEN(SUBSTITUTE($PC132," · ","")))/3+1)</f>
        <v/>
      </c>
      <c r="PE132" s="152">
        <f>IF($MN132=0,"",TEXTJOIN(" · ",TRUE,IF($OG132&gt;2*$MC132,"A devolução parou no teto de "&amp;2*$MC132,""),IF($OJ132&gt;0,"Devolução perdida: "&amp;$OJ132&amp;IF($OJ132&gt;1," pontos"," ponto")&amp;" sem peça para pagar",""),IF(AND($NM132&gt;0,AND($MC132&gt;0,$NP132=0),$OM132=0),"Controle sem dano: uma rodada a mais e CD +2",""),IF(AND($NM132&gt;0,AND($MC132&gt;0,$NP132=0),$OM132&gt;0,$OM132&lt;=$MC132),"Controle com saldo até a Classe: uma rodada a mais",""),IF(AND($MC132&gt;0,$NN132&lt;&gt;""),"Efeito de "&amp;$NN132&amp;" pela Classe "&amp;MAX(1,$MC132-1),"")))</f>
        <v/>
      </c>
      <c r="PF132" s="152">
        <f>IF($PE132="",0,(LEN($PE132)-LEN(SUBSTITUTE($PE132," · ","")))/3+1)</f>
        <v/>
      </c>
      <c r="PG132" s="152">
        <f>IF($MN132=0,IF($OD132+COUNTIF($ML132:$MM132,"?*")&gt;0,"Dê um nome",""),IF($PD132&gt;0,"⚠ "&amp;$PD132&amp;IF($PD132&gt;1," erros"," erro"),IF($PF132&gt;0,"! "&amp;$PF132&amp;IF($PF132&gt;1," avisos"," aviso"),"Na regra")))</f>
        <v/>
      </c>
      <c r="PH132" s="152">
        <f>IF($MN132=0,"",IF($PD132+$PF132=0,"Dentro das regras que a ficha confere",$PC132&amp;IF(AND($PD132&gt;0,$PF132&gt;0)," · ","")&amp;$PE132))</f>
        <v/>
      </c>
      <c r="PI132" s="152">
        <f>IF($MA132&gt;$MO132,$MB132&amp;" · ABRE NO NÍVEL "&amp;$MA132,$MB132)</f>
        <v/>
      </c>
      <c r="PJ132" s="152">
        <f>IF($MN132=0,"",IF($MC132=0,"Sem PE",3*$MC132&amp;" PE"))</f>
        <v/>
      </c>
      <c r="PK132" s="152">
        <f>IF($MN132=0,"",IF($MC132=0,"A atuação básica dela",IF(COUNTIF($NT132:$NU132,"Atrasar")&gt;0,"Sua Ação Completa",IF(COUNTIF($MH132:$MK132,"Rápido")&gt;0,"Sua Bônus",IF(COUNTIF($MH132:$MK132,"Reação")&gt;0,"Sua Reação","Sua Padrão")))&amp;" + a básica dela"&amp;IF(COUNTIF($MH132:$MK132,"Reação")&gt;0," e a coletiva","")&amp;IF(COUNTIF($NT132:$NU132,"Carregar")&gt;0," · em dois turnos","")))</f>
        <v/>
      </c>
      <c r="PL132" s="152">
        <f>IF($MG132&lt;&gt;"",$MG132,IF($MT132=0,"",INDEX($AA$2:$AA$11,$MT132)))</f>
        <v/>
      </c>
      <c r="PM132" s="152">
        <f>IF(OR($MN132=0,$MT132=0),"",IF(COUNTIF($MH132:$MK132,"Inescapável")&gt;0,"Automático",IF($PL132="Ataque",IF($MR132="","Ataque","Ataque "&amp;IF(($MR132+2*IF(COUNTIF($MH132:$MK132,"Precisão")&gt;0,1,0))&gt;=0,"+","−")&amp;ABS(($MR132+2*IF(COUNTIF($MH132:$MK132,"Precisão")&gt;0,1,0)))),IF(LEFT($PL132,2)="TR",$PL132&amp;IF($MS132="",""," · CD "&amp;$MS132)&amp;IF(COUNTIF($MH132:$MK132,"Certeiro")&gt;0," · metade",""),"Sem rolagem"))))</f>
        <v/>
      </c>
      <c r="PN132" s="152">
        <f>IF(OR($MN132=0,$MT132=0),"",IF($MC132=0,IF(OR($NP132&gt;=1,$OM132=0),"Sem dano",$OM132&amp;"d6"&amp;IF($MF132="",""," "&amp;$MF132)),IF(OR($NP132&gt;=1,$OM132=0),UPPER(LEFT(INDEX($OV132:$PB132,1,MAX(1,$MC132)),1))&amp;MID(INDEX($OV132:$PB132,1,MAX(1,$MC132)),2,99),UPPER(LEFT(INDEX($OV132:$PB132,1,MAX(1,$MC132)),1))&amp;MID(INDEX($OV132:$PB132,1,MAX(1,$MC132)),2,99)&amp;IF($MF132="",""," "&amp;$MF132)&amp;IF($ON132&gt;0," · +"&amp;$ON132&amp;"d8",""))))</f>
        <v/>
      </c>
      <c r="PO132" s="152">
        <f>COUNTIF($MH132:$MK132,"Longe")+3*COUNTIF($MH132:$MK132,"Muito Longe")</f>
        <v/>
      </c>
      <c r="PP132" s="152">
        <f>COUNTIF($MH132:$MK132,"Maior")+3*COUNTIF($MH132:$MK132,"Muito Maior")</f>
        <v/>
      </c>
      <c r="PQ132" s="152">
        <f>IF($MT132=0,0,CHOOSE(1+INDEX($AC$2:$AC$11,$MT132),0,$PO132,$PP132,$PO132+$PP132))</f>
        <v/>
      </c>
      <c r="PR132" s="152">
        <f>IF($MT132=0,0,CHOOSE(1+INDEX($AD$2:$AD$11,$MT132),0,$PO132,$PP132,$PO132+$PP132))</f>
        <v/>
      </c>
      <c r="PS132" s="152">
        <f>IF(OR($MN132=0,$MT132=0),"",INDEX($AI$2:$AN$41,($MT132-1)*4+IF($MC132=0,1,IF($MC132&lt;=5,2,IF($MC132=6,3,4))),1+MIN(5,$PQ132))&amp;INDEX($AO$2:$AT$41,($MT132-1)*4+IF($MC132=0,1,IF($MC132&lt;=5,2,IF($MC132=6,3,4))),1+MIN(5,$PR132))&amp;IF(INDEX($AE$2:$AE$11,$MT132)=1,IF(COUNTIF($MH132:$MK132,"Mais Um")&gt;0," · +"&amp;COUNTIF($MH132:$MK132,"Mais Um")&amp;IF(COUNTIF($MH132:$MK132,"Mais Um")&gt;1," alvos"," alvo"),"")&amp;IF(COUNTIF($MH132:$MK132,"Rajada")&gt;0,IF($MC132=0," · 1 tiro"," · "&amp;(MAX(1,$MC132-1)+1)&amp;" tiros"),""),""))</f>
        <v/>
      </c>
      <c r="PT132" s="152">
        <f>IF($MN132=0,"",IF($MC132=0,$MQ132&amp;"d6"&amp;IF($OD132&gt;0," − 1 = "&amp;$OM132&amp;"d6"," da básica do nível "&amp;$MO132),$OK132&amp;" − "&amp;$OF132&amp;" + "&amp;$OI132&amp;" = "&amp;$OL132&amp;" · teto "&amp;4*$MC132&amp;"d8"&amp;IF($NO132=1," · a Forma devolve "&amp;$MC132,"")&amp;IF($OJ132&gt;0," · perde "&amp;$OJ132,"")))</f>
        <v/>
      </c>
      <c r="PU132" s="152">
        <f>IF($MN132=0,"",IF($MC132=0,"A básica não amplia: os dados dela sobem com o nível",IF($MC132&gt;=$MP132,"Já está na maior Classe que o nível liberou",TEXTJOIN(" · ",TRUE,IF(AND(2&gt;$MC132,2&lt;=$MP132),"2 → "&amp;$OW132&amp;", 6 PE",""),IF(AND(3&gt;$MC132,3&lt;=$MP132),"3 → "&amp;$OX132&amp;", 9 PE",""),IF(AND(4&gt;$MC132,4&lt;=$MP132),"4 → "&amp;$OY132&amp;", 12 PE",""),IF(AND(5&gt;$MC132,5&lt;=$MP132),"5 → "&amp;$OZ132&amp;", 15 PE",""),IF(AND(6&gt;$MC132,6&lt;=$MP132),"6 → "&amp;$PA132&amp;", 18 PE",""),IF(AND(7&gt;$MC132,7&lt;=$MP132),"7 → "&amp;$PB132&amp;", 21 PE","")))))</f>
        <v/>
      </c>
      <c r="PV132" s="152">
        <f>IF(OR($MN132=0,$MY132=0),"",IF($MC132=0,"−1 dado","−"&amp;INDEX($I$2:$N$8,MAX(1,$MC132),MAX(1,$ND132))&amp;" · "&amp;CHOOSE(MAX(1,$ND132),"Leve","Média","Pesada","Leve · Livre","Média · Livre","Pesada · Livre")))</f>
        <v/>
      </c>
      <c r="PW132" s="152">
        <f>IF(OR($MN132=0,$MZ132=0),"",IF($MC132=0,"−1 dado","−"&amp;INDEX($I$2:$N$8,MAX(1,$MC132),MAX(1,$NE132))&amp;" · "&amp;CHOOSE(MAX(1,$NE132),"Leve","Média","Pesada","Leve · Livre","Média · Livre","Pesada · Livre")))</f>
        <v/>
      </c>
      <c r="PX132" s="152">
        <f>IF(OR($MN132=0,$NA132=0),"",IF($MC132=0,"−1 dado","−"&amp;INDEX($I$2:$N$8,MAX(1,$MC132),MAX(1,$NF132))&amp;" · "&amp;CHOOSE(MAX(1,$NF132),"Leve","Média","Pesada","Leve · Livre","Média · Livre","Pesada · Livre")))</f>
        <v/>
      </c>
      <c r="PY132" s="152">
        <f>IF(OR($MN132=0,$NB132=0),"",IF($MC132=0,"−1 dado","−"&amp;INDEX($I$2:$N$8,MAX(1,$MC132),MAX(1,$NG132))&amp;" · "&amp;CHOOSE(MAX(1,$NG132),"Leve","Média","Pesada","Leve · Livre","Média · Livre","Pesada · Livre")))</f>
        <v/>
      </c>
      <c r="PZ132" s="152">
        <f>IF(OR($MN132=0,$ML132=""),"",IF($MC132=0,"não devolve","+"&amp;IF($NR132=1,CEILING($MC132/2,1),$MC132)))</f>
        <v/>
      </c>
      <c r="QA132" s="152">
        <f>IF(OR($MN132=0,$MM132=""),"",IF($MC132=0,"não devolve","+"&amp;IF($NS132=1,CEILING($MC132/2,1),$MC132)))</f>
        <v/>
      </c>
    </row>
    <row r="133">
      <c r="LX133" s="150" t="inlineStr">
        <is>
          <t>Ficha 11 · Especial 1</t>
        </is>
      </c>
      <c r="LY133" s="152" t="n">
        <v>11</v>
      </c>
      <c r="LZ133" s="152" t="n">
        <v>1</v>
      </c>
      <c r="MA133" s="152" t="n">
        <v>1</v>
      </c>
      <c r="MB133" s="150" t="inlineStr">
        <is>
          <t>ESPECIAL 1</t>
        </is>
      </c>
      <c r="MC133" s="152">
        <f>MAX(1,MIN(7,N('INVOCAÇÕES'!$AH$850)))</f>
        <v/>
      </c>
      <c r="MD133" s="152">
        <f>'INVOCAÇÕES'!$AI$850&amp;""</f>
        <v/>
      </c>
      <c r="ME133" s="152">
        <f>'INVOCAÇÕES'!$AH$855&amp;""</f>
        <v/>
      </c>
      <c r="MF133" s="152">
        <f>'INVOCAÇÕES'!$AH$856&amp;""</f>
        <v/>
      </c>
      <c r="MG133" s="152">
        <f>'INVOCAÇÕES'!$AJ$856&amp;""</f>
        <v/>
      </c>
      <c r="MH133" s="152">
        <f>'INVOCAÇÕES'!$AI$859&amp;""</f>
        <v/>
      </c>
      <c r="MI133" s="152">
        <f>'INVOCAÇÕES'!$AI$860&amp;""</f>
        <v/>
      </c>
      <c r="MJ133" s="152">
        <f>'INVOCAÇÕES'!$AI$861&amp;""</f>
        <v/>
      </c>
      <c r="MK133" s="152">
        <f>'INVOCAÇÕES'!$AI$862&amp;""</f>
        <v/>
      </c>
      <c r="ML133" s="152">
        <f>'INVOCAÇÕES'!$AI$863&amp;""</f>
        <v/>
      </c>
      <c r="MM133" s="152">
        <f>'INVOCAÇÕES'!$AI$864&amp;""</f>
        <v/>
      </c>
      <c r="MN133" s="152">
        <f>IF($MD133&lt;&gt;"",1,0)</f>
        <v/>
      </c>
      <c r="MO133" s="152">
        <f>INDEX($FG$2:$FG$13,$LY133)</f>
        <v/>
      </c>
      <c r="MP133" s="152">
        <f>INDEX($FH$2:$FH$13,$LY133)</f>
        <v/>
      </c>
      <c r="MQ133" s="152">
        <f>INDEX($FI$2:$FI$13,$LY133)</f>
        <v/>
      </c>
      <c r="MR133" s="152">
        <f>INDEX($FT$2:$FT$13,$LY133)</f>
        <v/>
      </c>
      <c r="MS133" s="152">
        <f>INDEX($FU$2:$FU$13,$LY133)</f>
        <v/>
      </c>
      <c r="MT133" s="152">
        <f>IFERROR(MATCH($ME133,$V$2:$V$11,0),0)</f>
        <v/>
      </c>
      <c r="MU133" s="152">
        <f>IFERROR(VLOOKUP($MH133,$AV$2:$AZ$84,2,FALSE),"")</f>
        <v/>
      </c>
      <c r="MV133" s="152">
        <f>IFERROR(VLOOKUP($MI133,$AV$2:$AZ$84,2,FALSE),"")</f>
        <v/>
      </c>
      <c r="MW133" s="152">
        <f>IFERROR(VLOOKUP($MJ133,$AV$2:$AZ$84,2,FALSE),"")</f>
        <v/>
      </c>
      <c r="MX133" s="152">
        <f>IFERROR(VLOOKUP($MK133,$AV$2:$AZ$84,2,FALSE),"")</f>
        <v/>
      </c>
      <c r="MY133" s="152">
        <f>IFERROR(VLOOKUP($MH133,$AV$2:$AZ$84,3,FALSE),0)</f>
        <v/>
      </c>
      <c r="MZ133" s="152">
        <f>IFERROR(VLOOKUP($MI133,$AV$2:$AZ$84,3,FALSE),0)</f>
        <v/>
      </c>
      <c r="NA133" s="152">
        <f>IFERROR(VLOOKUP($MJ133,$AV$2:$AZ$84,3,FALSE),0)</f>
        <v/>
      </c>
      <c r="NB133" s="152">
        <f>IFERROR(VLOOKUP($MK133,$AV$2:$AZ$84,3,FALSE),0)</f>
        <v/>
      </c>
      <c r="NC133" s="152">
        <f>IF($MC133=0,0,IF($MT133=0,0,INDEX($X$2:$X$11,$MT133)))</f>
        <v/>
      </c>
      <c r="ND133" s="152">
        <f>IF(OR($MY133=0,$MC133=0),0,$MY133+3*IF(AND($MU133&lt;&gt;"",OR($MU133=INDEX($ED$2:$ED$13,$LY133),$MU133=INDEX($EE$2:$EE$13,$LY133))),1,0))</f>
        <v/>
      </c>
      <c r="NE133" s="152">
        <f>IF(OR($MZ133=0,$MC133=0),0,$MZ133+3*IF(AND($MV133&lt;&gt;"",OR($MV133=INDEX($ED$2:$ED$13,$LY133),$MV133=INDEX($EE$2:$EE$13,$LY133))),1,0))</f>
        <v/>
      </c>
      <c r="NF133" s="152">
        <f>IF(OR($NA133=0,$MC133=0),0,$NA133+3*IF(AND($MW133&lt;&gt;"",OR($MW133=INDEX($ED$2:$ED$13,$LY133),$MW133=INDEX($EE$2:$EE$13,$LY133))),1,0))</f>
        <v/>
      </c>
      <c r="NG133" s="152">
        <f>IF(OR($NB133=0,$MC133=0),0,$NB133+3*IF(AND($MX133&lt;&gt;"",OR($MX133=INDEX($ED$2:$ED$13,$LY133),$MX133=INDEX($EE$2:$EE$13,$LY133))),1,0))</f>
        <v/>
      </c>
      <c r="NH133" s="152">
        <f>IF($MT133=0,0,IF(INDEX($W$2:$W$11,$MT133)="",0,IF(COUNTIF(INDEX($ED$2:$EH$13,$LY133,0),INDEX($W$2:$W$11,$MT133))=0,1,0)))</f>
        <v/>
      </c>
      <c r="NI133" s="152">
        <f>IF(OR($MY133=0,$MU133=""),0,IF(COUNTIF(INDEX($ED$2:$EH$13,$LY133,0),$MU133)=0,1,0))</f>
        <v/>
      </c>
      <c r="NJ133" s="152">
        <f>IF(OR($MZ133=0,$MV133=""),0,IF(COUNTIF(INDEX($ED$2:$EH$13,$LY133,0),$MV133)=0,1,0))</f>
        <v/>
      </c>
      <c r="NK133" s="152">
        <f>IF(OR($NA133=0,$MW133=""),0,IF(COUNTIF(INDEX($ED$2:$EH$13,$LY133,0),$MW133)=0,1,0))</f>
        <v/>
      </c>
      <c r="NL133" s="152">
        <f>IF(OR($NB133=0,$MX133=""),0,IF(COUNTIF(INDEX($ED$2:$EH$13,$LY133,0),$MX133)=0,1,0))</f>
        <v/>
      </c>
      <c r="NM133" s="152">
        <f>IFERROR(VLOOKUP($MH133,$AV$2:$AZ$84,4,FALSE),0)+IFERROR(VLOOKUP($MI133,$AV$2:$AZ$84,4,FALSE),0)+IFERROR(VLOOKUP($MJ133,$AV$2:$AZ$84,4,FALSE),0)+IFERROR(VLOOKUP($MK133,$AV$2:$AZ$84,4,FALSE),0)</f>
        <v/>
      </c>
      <c r="NN133" s="152">
        <f>TEXTJOIN(", ",TRUE,IF(IFERROR(VLOOKUP($MH133,$AV$2:$AZ$84,5,FALSE),0)=1,$MH133,""),IF(IFERROR(VLOOKUP($MI133,$AV$2:$AZ$84,5,FALSE),0)=1,$MI133,""),IF(IFERROR(VLOOKUP($MJ133,$AV$2:$AZ$84,5,FALSE),0)=1,$MJ133,""),IF(IFERROR(VLOOKUP($MK133,$AV$2:$AZ$84,5,FALSE),0)=1,$MK133,""))</f>
        <v/>
      </c>
      <c r="NO133" s="152">
        <f>IF($MT133=0,0,INDEX($Y$2:$Y$11,$MT133))</f>
        <v/>
      </c>
      <c r="NP133" s="152">
        <f>IF($MT133=0,0,INDEX($Z$2:$Z$11,$MT133))</f>
        <v/>
      </c>
      <c r="NQ133" s="152">
        <f>IF($MT133=0,0,INDEX($AB$2:$AB$11,$MT133))</f>
        <v/>
      </c>
      <c r="NR133" s="152">
        <f>IFERROR(VLOOKUP($ML133,$BB$2:$BF$24,3,FALSE),0)</f>
        <v/>
      </c>
      <c r="NS133" s="152">
        <f>IFERROR(VLOOKUP($MM133,$BB$2:$BF$24,3,FALSE),0)</f>
        <v/>
      </c>
      <c r="NT133" s="152">
        <f>IFERROR(VLOOKUP($ML133,$BB$2:$BF$24,2,FALSE),"")</f>
        <v/>
      </c>
      <c r="NU133" s="152">
        <f>IFERROR(VLOOKUP($MM133,$BB$2:$BF$24,2,FALSE),"")</f>
        <v/>
      </c>
      <c r="NV133" s="152">
        <f>COUNTIF($NC133:$NG133,1)</f>
        <v/>
      </c>
      <c r="NW133" s="152">
        <f>COUNTIF($NC133:$NG133,2)</f>
        <v/>
      </c>
      <c r="NX133" s="152">
        <f>COUNTIF($NC133:$NG133,3)</f>
        <v/>
      </c>
      <c r="NY133" s="152">
        <f>COUNTIF($NC133:$NG133,4)</f>
        <v/>
      </c>
      <c r="NZ133" s="152">
        <f>COUNTIF($NC133:$NG133,5)</f>
        <v/>
      </c>
      <c r="OA133" s="152">
        <f>COUNTIF($NC133:$NG133,6)</f>
        <v/>
      </c>
      <c r="OB133" s="152">
        <f>COUNTIF($NR133:$NS133,1)</f>
        <v/>
      </c>
      <c r="OC133" s="152">
        <f>COUNTIF($NR133:$NS133,2)+$NO133</f>
        <v/>
      </c>
      <c r="OD133" s="152">
        <f>COUNTIF($MH133:$MK133,"?*")</f>
        <v/>
      </c>
      <c r="OE133" s="152">
        <f>COUNTIF($ML133:$MM133,"?*")+$NO133</f>
        <v/>
      </c>
      <c r="OF133" s="152">
        <f>IF($MC133=0,0,SUMPRODUCT($NV133:$OA133,INDEX($I$2:$N$8,MAX(1,$MC133),0)))</f>
        <v/>
      </c>
      <c r="OG133" s="152">
        <f>IF($MC133=0,0,$OB133*CEILING($MC133/2,1)+$OC133*$MC133)</f>
        <v/>
      </c>
      <c r="OH133" s="152">
        <f>MIN(2*$MC133,$OG133)</f>
        <v/>
      </c>
      <c r="OI133" s="152">
        <f>MIN($OH133,$OF133)</f>
        <v/>
      </c>
      <c r="OJ133" s="152">
        <f>$OH133-$OI133</f>
        <v/>
      </c>
      <c r="OK133" s="152">
        <f>IF($MC133=0,0,INDEX($P$2:$P$8,MAX(1,$MC133)))</f>
        <v/>
      </c>
      <c r="OL133" s="152">
        <f>$OK133-$OF133+$OI133</f>
        <v/>
      </c>
      <c r="OM133" s="152">
        <f>IF($MC133=0,MAX(0,$MQ133-IF($OD133&gt;0,1,0)),MAX(0,$OL133))</f>
        <v/>
      </c>
      <c r="ON133" s="152">
        <f>IF($MC133=0,0,(IF(COUNTIF($MH133:$MK133,"Salto")&gt;0,1,0)+IF(COUNTIF($MH133:$MK133,"Queima")&gt;0,1,0)+IF(COUNTIF($MH133:$MK133,"Estilhaço")&gt;0,1,0))*FLOOR($OM133/2,1))</f>
        <v/>
      </c>
      <c r="OO133" s="152">
        <f>MAX(0,2-SUMPRODUCT($NV133:$OA133,$I$2:$N$2)+MIN(2,$OB133*1+$OC133*1,SUMPRODUCT($NV133:$OA133,$I$2:$N$2)))</f>
        <v/>
      </c>
      <c r="OP133" s="152">
        <f>MAX(0,4-SUMPRODUCT($NV133:$OA133,$I$3:$N$3)+MIN(4,$OB133*1+$OC133*2,SUMPRODUCT($NV133:$OA133,$I$3:$N$3)))</f>
        <v/>
      </c>
      <c r="OQ133" s="152">
        <f>MAX(0,6-SUMPRODUCT($NV133:$OA133,$I$4:$N$4)+MIN(6,$OB133*2+$OC133*3,SUMPRODUCT($NV133:$OA133,$I$4:$N$4)))</f>
        <v/>
      </c>
      <c r="OR133" s="152">
        <f>MAX(0,9-SUMPRODUCT($NV133:$OA133,$I$5:$N$5)+MIN(8,$OB133*2+$OC133*4,SUMPRODUCT($NV133:$OA133,$I$5:$N$5)))</f>
        <v/>
      </c>
      <c r="OS133" s="152">
        <f>MAX(0,11-SUMPRODUCT($NV133:$OA133,$I$6:$N$6)+MIN(10,$OB133*3+$OC133*5,SUMPRODUCT($NV133:$OA133,$I$6:$N$6)))</f>
        <v/>
      </c>
      <c r="OT133" s="152">
        <f>MAX(0,13-SUMPRODUCT($NV133:$OA133,$I$7:$N$7)+MIN(12,$OB133*3+$OC133*6,SUMPRODUCT($NV133:$OA133,$I$7:$N$7)))</f>
        <v/>
      </c>
      <c r="OU133" s="152">
        <f>MAX(0,16-SUMPRODUCT($NV133:$OA133,$I$8:$N$8)+MIN(14,$OB133*4+$OC133*7,SUMPRODUCT($NV133:$OA133,$I$8:$N$8)))</f>
        <v/>
      </c>
      <c r="OV133" s="152">
        <f>IF($NP133=2,3*$OO133&amp;" de vida temp.",IF($NP133=3,"sem dano",IF($OO133=0,IF($NP133=1,"sem cura","sem dano"),IF($NP133=1,"cura ","")&amp;$OO133&amp;"d8")))</f>
        <v/>
      </c>
      <c r="OW133" s="152">
        <f>IF($NP133=2,3*$OP133&amp;" de vida temp.",IF($NP133=3,"sem dano",IF($OP133=0,IF($NP133=1,"sem cura","sem dano"),IF($NP133=1,"cura ","")&amp;$OP133&amp;"d8")))</f>
        <v/>
      </c>
      <c r="OX133" s="152">
        <f>IF($NP133=2,3*$OQ133&amp;" de vida temp.",IF($NP133=3,"sem dano",IF($OQ133=0,IF($NP133=1,"sem cura","sem dano"),IF($NP133=1,"cura ","")&amp;$OQ133&amp;"d8")))</f>
        <v/>
      </c>
      <c r="OY133" s="152">
        <f>IF($NP133=2,3*$OR133&amp;" de vida temp.",IF($NP133=3,"sem dano",IF($OR133=0,IF($NP133=1,"sem cura","sem dano"),IF($NP133=1,"cura ","")&amp;$OR133&amp;"d8")))</f>
        <v/>
      </c>
      <c r="OZ133" s="152">
        <f>IF($NP133=2,3*$OS133&amp;" de vida temp.",IF($NP133=3,"sem dano",IF($OS133=0,IF($NP133=1,"sem cura","sem dano"),IF($NP133=1,"cura ","")&amp;$OS133&amp;"d8")))</f>
        <v/>
      </c>
      <c r="PA133" s="152">
        <f>IF($NP133=2,3*$OT133&amp;" de vida temp.",IF($NP133=3,"sem dano",IF($OT133=0,IF($NP133=1,"sem cura","sem dano"),IF($NP133=1,"cura ","")&amp;$OT133&amp;"d8")))</f>
        <v/>
      </c>
      <c r="PB133" s="152">
        <f>IF($NP133=2,3*$OU133&amp;" de vida temp.",IF($NP133=3,"sem dano",IF($OU133=0,IF($NP133=1,"sem cura","sem dano"),IF($NP133=1,"cura ","")&amp;$OU133&amp;"d8")))</f>
        <v/>
      </c>
      <c r="PC133" s="152">
        <f>IF($MN133=0,"",TEXTJOIN(" · ",TRUE,IF($MA133&gt;$MO133,"Este lugar abre no nível "&amp;$MA133,""),IF($MC133&gt;$MP133,"Classe "&amp;$MC133&amp;": o nível "&amp;$MO133&amp;" libera até a "&amp;$MP133,""),IF($NH133=1,"A Forma "&amp;$ME133&amp;" pede "&amp;INDEX($W$2:$W$11,$MT133)&amp;" aberta",""),IF(AND($MC133=0,$MT133&gt;0,IF($MT133=0,0,INDEX($AF$2:$AF$11,$MT133))=0),$ME133&amp;" não existe na Classe 0",""),IF($NI133=1,"Família Fechada: "&amp;$MH133,""),IF($NJ133=1,"Família Fechada: "&amp;$MI133,""),IF($NK133=1,"Família Fechada: "&amp;$MJ133,""),IF($NL133=1,"Família Fechada: "&amp;$MK133,""),IF(AND($MC133&gt;0,$OD133&gt;INDEX($O$2:$O$8,MAX(1,$MC133))),$OD133&amp;" Melhorias: a Classe "&amp;$MC133&amp;" aceita "&amp;INDEX($O$2:$O$8,MAX(1,$MC133)),""),IF(AND($MC133=0,$OD133&gt;1),"A básica aceita uma Melhoria",""),IF(AND($MC133=0,COUNTIF($MY133:$NB133,"&gt;1")&gt;0),"A básica só aceita Melhoria Leve",""),IF(AND($MC133&gt;0,$OE133&gt;2),$OE133&amp;" Restrições"&amp;IF($NO133=1,", contando a que a Forma "&amp;$ME133&amp;" já traz","")&amp;": o limite é 2",""),IF(AND($MC133=0,COUNTIF($ML133:$MM133,"?*")&gt;1),"A básica aceita uma Restrição Leve",""),IF(AND($MC133=0,COUNTIF($NR133:$NS133,2)&gt;0),"A básica só aceita Restrição Leve",""),IF(AND($MC133&gt;0,$OL133&lt;0),"Orçamento estourado: faltam "&amp;(-$OL133)&amp;IF($OL133&lt;-1," pontos"," ponto"),""),IF(IFERROR(VLOOKUP($ML133,$BB$2:$BF$24,4,FALSE),0)+IFERROR(VLOOKUP($MM133,$BB$2:$BF$24,4,FALSE),0)&gt;1,$NT133&amp;" e "&amp;$NU133&amp;" são as duas de frequência",""),IF(AND((COUNTIF($MH133:$MK133,"Rápido")+COUNTIF($NT133:$NU133,"Rápido"))&gt;0,(COUNTIF($MH133:$MK133,"Atrasar")+COUNTIF($NT133:$NU133,"Atrasar"))&gt;0),"Rápido não entra com Atrasar",""),IF(AND((COUNTIF($MH133:$MK133,"Reação")+COUNTIF($NT133:$NU133,"Reação"))&gt;0,(COUNTIF($MH133:$MK133,"Rápido")+COUNTIF($NT133:$NU133,"Rápido"))&gt;0),"Reação não entra com Rápido",""),IF(AND((COUNTIF($MH133:$MK133,"Reação")+COUNTIF($NT133:$NU133,"Reação"))&gt;0,(COUNTIF($MH133:$MK133,"Armado")+COUNTIF($NT133:$NU133,"Armado"))&gt;0),"Reação não entra com Armado",""),IF(AND((COUNTIF($MH133:$MK133,"Reação")+COUNTIF($NT133:$NU133,"Reação"))&gt;0,(COUNTIF($MH133:$MK133,"Atrasar")+COUNTIF($NT133:$NU133,"Atrasar"))&gt;0),"Reação não entra com Atrasar",""),IF(AND((COUNTIF($MH133:$MK133,"Reação")+COUNTIF($NT133:$NU133,"Reação"))&gt;0,(COUNTIF($MH133:$MK133,"Parado")+COUNTIF($NT133:$NU133,"Parado"))&gt;0),"Reação não entra com Parado",""),IF(AND((COUNTIF($MH133:$MK133,"Atrasar")+COUNTIF($NT133:$NU133,"Atrasar"))&gt;0,(COUNTIF($MH133:$MK133,"Parado")+COUNTIF($NT133:$NU133,"Parado"))&gt;0),"Atrasar não entra com Parado",""),IF(AND((COUNTIF($MH133:$MK133,"Armado")+COUNTIF($NT133:$NU133,"Armado"))&gt;0,(COUNTIF($MH133:$MK133,"Carregar")+COUNTIF($NT133:$NU133,"Carregar"))&gt;0),"Armado não entra com Carregar",""),IF(AND(COUNTIF($NT133:$NU133,"Corpo a Corpo")&gt;0,$NO133=0,OR($ME133="Cone",$ME133="Linha")),"Corpo a Corpo não entra em "&amp;$ME133,""),IF(AND(COUNTIF($NT133:$NU133,"Corpo a Corpo")&gt;0,$NO133=1),"A Forma "&amp;$ME133&amp;" já traz o Corpo a Corpo",""),IF(AND(COUNTIF($NT133:$NU133,"Tudo ou Nada")&gt;0,$NQ133=0),"Tudo ou Nada só entra em habilidade de Teste de Resistência",""),IF(AND(COUNTIF($MH133:$MK133,"Inescapável")&gt;0,OR($OD133&gt;1,$OE133&gt;0)),"Inescapável não aceita outra peça",""),IF(AND($MC133&gt;0,$OM133*IF(COUNTIF($MH133:$MK133,"Remate")&gt;0,1.25,1)+$ON133&gt;4*$MC133),($OM133*IF(COUNTIF($MH133:$MK133,"Remate")&gt;0,1.25,1)+$ON133)&amp;" dados somando repetições"&amp;IF(COUNTIF($MH133:$MK133,"Remate")&gt;0," e o Remate","")&amp;": o teto da Classe "&amp;$MC133&amp;" é "&amp;4*$MC133,"")))</f>
        <v/>
      </c>
      <c r="PD133" s="152">
        <f>IF($PC133="",0,(LEN($PC133)-LEN(SUBSTITUTE($PC133," · ","")))/3+1)</f>
        <v/>
      </c>
      <c r="PE133" s="152">
        <f>IF($MN133=0,"",TEXTJOIN(" · ",TRUE,IF($OG133&gt;2*$MC133,"A devolução parou no teto de "&amp;2*$MC133,""),IF($OJ133&gt;0,"Devolução perdida: "&amp;$OJ133&amp;IF($OJ133&gt;1," pontos"," ponto")&amp;" sem peça para pagar",""),IF(AND($NM133&gt;0,AND($MC133&gt;0,$NP133=0),$OM133=0),"Controle sem dano: uma rodada a mais e CD +2",""),IF(AND($NM133&gt;0,AND($MC133&gt;0,$NP133=0),$OM133&gt;0,$OM133&lt;=$MC133),"Controle com saldo até a Classe: uma rodada a mais",""),IF(AND($MC133&gt;0,$NN133&lt;&gt;""),"Efeito de "&amp;$NN133&amp;" pela Classe "&amp;MAX(1,$MC133-1),"")))</f>
        <v/>
      </c>
      <c r="PF133" s="152">
        <f>IF($PE133="",0,(LEN($PE133)-LEN(SUBSTITUTE($PE133," · ","")))/3+1)</f>
        <v/>
      </c>
      <c r="PG133" s="152">
        <f>IF($MN133=0,IF($OD133+COUNTIF($ML133:$MM133,"?*")&gt;0,"Dê um nome",""),IF($PD133&gt;0,"⚠ "&amp;$PD133&amp;IF($PD133&gt;1," erros"," erro"),IF($PF133&gt;0,"! "&amp;$PF133&amp;IF($PF133&gt;1," avisos"," aviso"),"Na regra")))</f>
        <v/>
      </c>
      <c r="PH133" s="152">
        <f>IF($MN133=0,"",IF($PD133+$PF133=0,"Dentro das regras que a ficha confere",$PC133&amp;IF(AND($PD133&gt;0,$PF133&gt;0)," · ","")&amp;$PE133))</f>
        <v/>
      </c>
      <c r="PI133" s="152">
        <f>IF($MA133&gt;$MO133,$MB133&amp;" · ABRE NO NÍVEL "&amp;$MA133,$MB133)</f>
        <v/>
      </c>
      <c r="PJ133" s="152">
        <f>IF($MN133=0,"",IF($MC133=0,"Sem PE",3*$MC133&amp;" PE"))</f>
        <v/>
      </c>
      <c r="PK133" s="152">
        <f>IF($MN133=0,"",IF($MC133=0,"A atuação básica dela",IF(COUNTIF($NT133:$NU133,"Atrasar")&gt;0,"Sua Ação Completa",IF(COUNTIF($MH133:$MK133,"Rápido")&gt;0,"Sua Bônus",IF(COUNTIF($MH133:$MK133,"Reação")&gt;0,"Sua Reação","Sua Padrão")))&amp;" + a básica dela"&amp;IF(COUNTIF($MH133:$MK133,"Reação")&gt;0," e a coletiva","")&amp;IF(COUNTIF($NT133:$NU133,"Carregar")&gt;0," · em dois turnos","")))</f>
        <v/>
      </c>
      <c r="PL133" s="152">
        <f>IF($MG133&lt;&gt;"",$MG133,IF($MT133=0,"",INDEX($AA$2:$AA$11,$MT133)))</f>
        <v/>
      </c>
      <c r="PM133" s="152">
        <f>IF(OR($MN133=0,$MT133=0),"",IF(COUNTIF($MH133:$MK133,"Inescapável")&gt;0,"Automático",IF($PL133="Ataque",IF($MR133="","Ataque","Ataque "&amp;IF(($MR133+2*IF(COUNTIF($MH133:$MK133,"Precisão")&gt;0,1,0))&gt;=0,"+","−")&amp;ABS(($MR133+2*IF(COUNTIF($MH133:$MK133,"Precisão")&gt;0,1,0)))),IF(LEFT($PL133,2)="TR",$PL133&amp;IF($MS133="",""," · CD "&amp;$MS133)&amp;IF(COUNTIF($MH133:$MK133,"Certeiro")&gt;0," · metade",""),"Sem rolagem"))))</f>
        <v/>
      </c>
      <c r="PN133" s="152">
        <f>IF(OR($MN133=0,$MT133=0),"",IF($MC133=0,IF(OR($NP133&gt;=1,$OM133=0),"Sem dano",$OM133&amp;"d6"&amp;IF($MF133="",""," "&amp;$MF133)),IF(OR($NP133&gt;=1,$OM133=0),UPPER(LEFT(INDEX($OV133:$PB133,1,MAX(1,$MC133)),1))&amp;MID(INDEX($OV133:$PB133,1,MAX(1,$MC133)),2,99),UPPER(LEFT(INDEX($OV133:$PB133,1,MAX(1,$MC133)),1))&amp;MID(INDEX($OV133:$PB133,1,MAX(1,$MC133)),2,99)&amp;IF($MF133="",""," "&amp;$MF133)&amp;IF($ON133&gt;0," · +"&amp;$ON133&amp;"d8",""))))</f>
        <v/>
      </c>
      <c r="PO133" s="152">
        <f>COUNTIF($MH133:$MK133,"Longe")+3*COUNTIF($MH133:$MK133,"Muito Longe")</f>
        <v/>
      </c>
      <c r="PP133" s="152">
        <f>COUNTIF($MH133:$MK133,"Maior")+3*COUNTIF($MH133:$MK133,"Muito Maior")</f>
        <v/>
      </c>
      <c r="PQ133" s="152">
        <f>IF($MT133=0,0,CHOOSE(1+INDEX($AC$2:$AC$11,$MT133),0,$PO133,$PP133,$PO133+$PP133))</f>
        <v/>
      </c>
      <c r="PR133" s="152">
        <f>IF($MT133=0,0,CHOOSE(1+INDEX($AD$2:$AD$11,$MT133),0,$PO133,$PP133,$PO133+$PP133))</f>
        <v/>
      </c>
      <c r="PS133" s="152">
        <f>IF(OR($MN133=0,$MT133=0),"",INDEX($AI$2:$AN$41,($MT133-1)*4+IF($MC133=0,1,IF($MC133&lt;=5,2,IF($MC133=6,3,4))),1+MIN(5,$PQ133))&amp;INDEX($AO$2:$AT$41,($MT133-1)*4+IF($MC133=0,1,IF($MC133&lt;=5,2,IF($MC133=6,3,4))),1+MIN(5,$PR133))&amp;IF(INDEX($AE$2:$AE$11,$MT133)=1,IF(COUNTIF($MH133:$MK133,"Mais Um")&gt;0," · +"&amp;COUNTIF($MH133:$MK133,"Mais Um")&amp;IF(COUNTIF($MH133:$MK133,"Mais Um")&gt;1," alvos"," alvo"),"")&amp;IF(COUNTIF($MH133:$MK133,"Rajada")&gt;0,IF($MC133=0," · 1 tiro"," · "&amp;(MAX(1,$MC133-1)+1)&amp;" tiros"),""),""))</f>
        <v/>
      </c>
      <c r="PT133" s="152">
        <f>IF($MN133=0,"",IF($MC133=0,$MQ133&amp;"d6"&amp;IF($OD133&gt;0," − 1 = "&amp;$OM133&amp;"d6"," da básica do nível "&amp;$MO133),$OK133&amp;" − "&amp;$OF133&amp;" + "&amp;$OI133&amp;" = "&amp;$OL133&amp;" · teto "&amp;4*$MC133&amp;"d8"&amp;IF($NO133=1," · a Forma devolve "&amp;$MC133,"")&amp;IF($OJ133&gt;0," · perde "&amp;$OJ133,"")))</f>
        <v/>
      </c>
      <c r="PU133" s="152">
        <f>IF($MN133=0,"",IF($MC133=0,"A básica não amplia: os dados dela sobem com o nível",IF($MC133&gt;=$MP133,"Já está na maior Classe que o nível liberou",TEXTJOIN(" · ",TRUE,IF(AND(2&gt;$MC133,2&lt;=$MP133),"2 → "&amp;$OW133&amp;", 6 PE",""),IF(AND(3&gt;$MC133,3&lt;=$MP133),"3 → "&amp;$OX133&amp;", 9 PE",""),IF(AND(4&gt;$MC133,4&lt;=$MP133),"4 → "&amp;$OY133&amp;", 12 PE",""),IF(AND(5&gt;$MC133,5&lt;=$MP133),"5 → "&amp;$OZ133&amp;", 15 PE",""),IF(AND(6&gt;$MC133,6&lt;=$MP133),"6 → "&amp;$PA133&amp;", 18 PE",""),IF(AND(7&gt;$MC133,7&lt;=$MP133),"7 → "&amp;$PB133&amp;", 21 PE","")))))</f>
        <v/>
      </c>
      <c r="PV133" s="152">
        <f>IF(OR($MN133=0,$MY133=0),"",IF($MC133=0,"−1 dado","−"&amp;INDEX($I$2:$N$8,MAX(1,$MC133),MAX(1,$ND133))&amp;" · "&amp;CHOOSE(MAX(1,$ND133),"Leve","Média","Pesada","Leve · Livre","Média · Livre","Pesada · Livre")))</f>
        <v/>
      </c>
      <c r="PW133" s="152">
        <f>IF(OR($MN133=0,$MZ133=0),"",IF($MC133=0,"−1 dado","−"&amp;INDEX($I$2:$N$8,MAX(1,$MC133),MAX(1,$NE133))&amp;" · "&amp;CHOOSE(MAX(1,$NE133),"Leve","Média","Pesada","Leve · Livre","Média · Livre","Pesada · Livre")))</f>
        <v/>
      </c>
      <c r="PX133" s="152">
        <f>IF(OR($MN133=0,$NA133=0),"",IF($MC133=0,"−1 dado","−"&amp;INDEX($I$2:$N$8,MAX(1,$MC133),MAX(1,$NF133))&amp;" · "&amp;CHOOSE(MAX(1,$NF133),"Leve","Média","Pesada","Leve · Livre","Média · Livre","Pesada · Livre")))</f>
        <v/>
      </c>
      <c r="PY133" s="152">
        <f>IF(OR($MN133=0,$NB133=0),"",IF($MC133=0,"−1 dado","−"&amp;INDEX($I$2:$N$8,MAX(1,$MC133),MAX(1,$NG133))&amp;" · "&amp;CHOOSE(MAX(1,$NG133),"Leve","Média","Pesada","Leve · Livre","Média · Livre","Pesada · Livre")))</f>
        <v/>
      </c>
      <c r="PZ133" s="152">
        <f>IF(OR($MN133=0,$ML133=""),"",IF($MC133=0,"não devolve","+"&amp;IF($NR133=1,CEILING($MC133/2,1),$MC133)))</f>
        <v/>
      </c>
      <c r="QA133" s="152">
        <f>IF(OR($MN133=0,$MM133=""),"",IF($MC133=0,"não devolve","+"&amp;IF($NS133=1,CEILING($MC133/2,1),$MC133)))</f>
        <v/>
      </c>
    </row>
    <row r="134">
      <c r="LX134" s="150" t="inlineStr">
        <is>
          <t>Ficha 11 · Especial 2</t>
        </is>
      </c>
      <c r="LY134" s="152" t="n">
        <v>11</v>
      </c>
      <c r="LZ134" s="152" t="n">
        <v>1</v>
      </c>
      <c r="MA134" s="152" t="n">
        <v>4</v>
      </c>
      <c r="MB134" s="150" t="inlineStr">
        <is>
          <t>ESPECIAL 2</t>
        </is>
      </c>
      <c r="MC134" s="152">
        <f>MAX(1,MIN(7,N('INVOCAÇÕES'!$AN$850)))</f>
        <v/>
      </c>
      <c r="MD134" s="152">
        <f>'INVOCAÇÕES'!$AO$850&amp;""</f>
        <v/>
      </c>
      <c r="ME134" s="152">
        <f>'INVOCAÇÕES'!$AN$855&amp;""</f>
        <v/>
      </c>
      <c r="MF134" s="152">
        <f>'INVOCAÇÕES'!$AN$856&amp;""</f>
        <v/>
      </c>
      <c r="MG134" s="152">
        <f>'INVOCAÇÕES'!$AP$856&amp;""</f>
        <v/>
      </c>
      <c r="MH134" s="152">
        <f>'INVOCAÇÕES'!$AO$859&amp;""</f>
        <v/>
      </c>
      <c r="MI134" s="152">
        <f>'INVOCAÇÕES'!$AO$860&amp;""</f>
        <v/>
      </c>
      <c r="MJ134" s="152">
        <f>'INVOCAÇÕES'!$AO$861&amp;""</f>
        <v/>
      </c>
      <c r="MK134" s="152">
        <f>'INVOCAÇÕES'!$AO$862&amp;""</f>
        <v/>
      </c>
      <c r="ML134" s="152">
        <f>'INVOCAÇÕES'!$AO$863&amp;""</f>
        <v/>
      </c>
      <c r="MM134" s="152">
        <f>'INVOCAÇÕES'!$AO$864&amp;""</f>
        <v/>
      </c>
      <c r="MN134" s="152">
        <f>IF($MD134&lt;&gt;"",1,0)</f>
        <v/>
      </c>
      <c r="MO134" s="152">
        <f>INDEX($FG$2:$FG$13,$LY134)</f>
        <v/>
      </c>
      <c r="MP134" s="152">
        <f>INDEX($FH$2:$FH$13,$LY134)</f>
        <v/>
      </c>
      <c r="MQ134" s="152">
        <f>INDEX($FI$2:$FI$13,$LY134)</f>
        <v/>
      </c>
      <c r="MR134" s="152">
        <f>INDEX($FT$2:$FT$13,$LY134)</f>
        <v/>
      </c>
      <c r="MS134" s="152">
        <f>INDEX($FU$2:$FU$13,$LY134)</f>
        <v/>
      </c>
      <c r="MT134" s="152">
        <f>IFERROR(MATCH($ME134,$V$2:$V$11,0),0)</f>
        <v/>
      </c>
      <c r="MU134" s="152">
        <f>IFERROR(VLOOKUP($MH134,$AV$2:$AZ$84,2,FALSE),"")</f>
        <v/>
      </c>
      <c r="MV134" s="152">
        <f>IFERROR(VLOOKUP($MI134,$AV$2:$AZ$84,2,FALSE),"")</f>
        <v/>
      </c>
      <c r="MW134" s="152">
        <f>IFERROR(VLOOKUP($MJ134,$AV$2:$AZ$84,2,FALSE),"")</f>
        <v/>
      </c>
      <c r="MX134" s="152">
        <f>IFERROR(VLOOKUP($MK134,$AV$2:$AZ$84,2,FALSE),"")</f>
        <v/>
      </c>
      <c r="MY134" s="152">
        <f>IFERROR(VLOOKUP($MH134,$AV$2:$AZ$84,3,FALSE),0)</f>
        <v/>
      </c>
      <c r="MZ134" s="152">
        <f>IFERROR(VLOOKUP($MI134,$AV$2:$AZ$84,3,FALSE),0)</f>
        <v/>
      </c>
      <c r="NA134" s="152">
        <f>IFERROR(VLOOKUP($MJ134,$AV$2:$AZ$84,3,FALSE),0)</f>
        <v/>
      </c>
      <c r="NB134" s="152">
        <f>IFERROR(VLOOKUP($MK134,$AV$2:$AZ$84,3,FALSE),0)</f>
        <v/>
      </c>
      <c r="NC134" s="152">
        <f>IF($MC134=0,0,IF($MT134=0,0,INDEX($X$2:$X$11,$MT134)))</f>
        <v/>
      </c>
      <c r="ND134" s="152">
        <f>IF(OR($MY134=0,$MC134=0),0,$MY134+3*IF(AND($MU134&lt;&gt;"",OR($MU134=INDEX($ED$2:$ED$13,$LY134),$MU134=INDEX($EE$2:$EE$13,$LY134))),1,0))</f>
        <v/>
      </c>
      <c r="NE134" s="152">
        <f>IF(OR($MZ134=0,$MC134=0),0,$MZ134+3*IF(AND($MV134&lt;&gt;"",OR($MV134=INDEX($ED$2:$ED$13,$LY134),$MV134=INDEX($EE$2:$EE$13,$LY134))),1,0))</f>
        <v/>
      </c>
      <c r="NF134" s="152">
        <f>IF(OR($NA134=0,$MC134=0),0,$NA134+3*IF(AND($MW134&lt;&gt;"",OR($MW134=INDEX($ED$2:$ED$13,$LY134),$MW134=INDEX($EE$2:$EE$13,$LY134))),1,0))</f>
        <v/>
      </c>
      <c r="NG134" s="152">
        <f>IF(OR($NB134=0,$MC134=0),0,$NB134+3*IF(AND($MX134&lt;&gt;"",OR($MX134=INDEX($ED$2:$ED$13,$LY134),$MX134=INDEX($EE$2:$EE$13,$LY134))),1,0))</f>
        <v/>
      </c>
      <c r="NH134" s="152">
        <f>IF($MT134=0,0,IF(INDEX($W$2:$W$11,$MT134)="",0,IF(COUNTIF(INDEX($ED$2:$EH$13,$LY134,0),INDEX($W$2:$W$11,$MT134))=0,1,0)))</f>
        <v/>
      </c>
      <c r="NI134" s="152">
        <f>IF(OR($MY134=0,$MU134=""),0,IF(COUNTIF(INDEX($ED$2:$EH$13,$LY134,0),$MU134)=0,1,0))</f>
        <v/>
      </c>
      <c r="NJ134" s="152">
        <f>IF(OR($MZ134=0,$MV134=""),0,IF(COUNTIF(INDEX($ED$2:$EH$13,$LY134,0),$MV134)=0,1,0))</f>
        <v/>
      </c>
      <c r="NK134" s="152">
        <f>IF(OR($NA134=0,$MW134=""),0,IF(COUNTIF(INDEX($ED$2:$EH$13,$LY134,0),$MW134)=0,1,0))</f>
        <v/>
      </c>
      <c r="NL134" s="152">
        <f>IF(OR($NB134=0,$MX134=""),0,IF(COUNTIF(INDEX($ED$2:$EH$13,$LY134,0),$MX134)=0,1,0))</f>
        <v/>
      </c>
      <c r="NM134" s="152">
        <f>IFERROR(VLOOKUP($MH134,$AV$2:$AZ$84,4,FALSE),0)+IFERROR(VLOOKUP($MI134,$AV$2:$AZ$84,4,FALSE),0)+IFERROR(VLOOKUP($MJ134,$AV$2:$AZ$84,4,FALSE),0)+IFERROR(VLOOKUP($MK134,$AV$2:$AZ$84,4,FALSE),0)</f>
        <v/>
      </c>
      <c r="NN134" s="152">
        <f>TEXTJOIN(", ",TRUE,IF(IFERROR(VLOOKUP($MH134,$AV$2:$AZ$84,5,FALSE),0)=1,$MH134,""),IF(IFERROR(VLOOKUP($MI134,$AV$2:$AZ$84,5,FALSE),0)=1,$MI134,""),IF(IFERROR(VLOOKUP($MJ134,$AV$2:$AZ$84,5,FALSE),0)=1,$MJ134,""),IF(IFERROR(VLOOKUP($MK134,$AV$2:$AZ$84,5,FALSE),0)=1,$MK134,""))</f>
        <v/>
      </c>
      <c r="NO134" s="152">
        <f>IF($MT134=0,0,INDEX($Y$2:$Y$11,$MT134))</f>
        <v/>
      </c>
      <c r="NP134" s="152">
        <f>IF($MT134=0,0,INDEX($Z$2:$Z$11,$MT134))</f>
        <v/>
      </c>
      <c r="NQ134" s="152">
        <f>IF($MT134=0,0,INDEX($AB$2:$AB$11,$MT134))</f>
        <v/>
      </c>
      <c r="NR134" s="152">
        <f>IFERROR(VLOOKUP($ML134,$BB$2:$BF$24,3,FALSE),0)</f>
        <v/>
      </c>
      <c r="NS134" s="152">
        <f>IFERROR(VLOOKUP($MM134,$BB$2:$BF$24,3,FALSE),0)</f>
        <v/>
      </c>
      <c r="NT134" s="152">
        <f>IFERROR(VLOOKUP($ML134,$BB$2:$BF$24,2,FALSE),"")</f>
        <v/>
      </c>
      <c r="NU134" s="152">
        <f>IFERROR(VLOOKUP($MM134,$BB$2:$BF$24,2,FALSE),"")</f>
        <v/>
      </c>
      <c r="NV134" s="152">
        <f>COUNTIF($NC134:$NG134,1)</f>
        <v/>
      </c>
      <c r="NW134" s="152">
        <f>COUNTIF($NC134:$NG134,2)</f>
        <v/>
      </c>
      <c r="NX134" s="152">
        <f>COUNTIF($NC134:$NG134,3)</f>
        <v/>
      </c>
      <c r="NY134" s="152">
        <f>COUNTIF($NC134:$NG134,4)</f>
        <v/>
      </c>
      <c r="NZ134" s="152">
        <f>COUNTIF($NC134:$NG134,5)</f>
        <v/>
      </c>
      <c r="OA134" s="152">
        <f>COUNTIF($NC134:$NG134,6)</f>
        <v/>
      </c>
      <c r="OB134" s="152">
        <f>COUNTIF($NR134:$NS134,1)</f>
        <v/>
      </c>
      <c r="OC134" s="152">
        <f>COUNTIF($NR134:$NS134,2)+$NO134</f>
        <v/>
      </c>
      <c r="OD134" s="152">
        <f>COUNTIF($MH134:$MK134,"?*")</f>
        <v/>
      </c>
      <c r="OE134" s="152">
        <f>COUNTIF($ML134:$MM134,"?*")+$NO134</f>
        <v/>
      </c>
      <c r="OF134" s="152">
        <f>IF($MC134=0,0,SUMPRODUCT($NV134:$OA134,INDEX($I$2:$N$8,MAX(1,$MC134),0)))</f>
        <v/>
      </c>
      <c r="OG134" s="152">
        <f>IF($MC134=0,0,$OB134*CEILING($MC134/2,1)+$OC134*$MC134)</f>
        <v/>
      </c>
      <c r="OH134" s="152">
        <f>MIN(2*$MC134,$OG134)</f>
        <v/>
      </c>
      <c r="OI134" s="152">
        <f>MIN($OH134,$OF134)</f>
        <v/>
      </c>
      <c r="OJ134" s="152">
        <f>$OH134-$OI134</f>
        <v/>
      </c>
      <c r="OK134" s="152">
        <f>IF($MC134=0,0,INDEX($P$2:$P$8,MAX(1,$MC134)))</f>
        <v/>
      </c>
      <c r="OL134" s="152">
        <f>$OK134-$OF134+$OI134</f>
        <v/>
      </c>
      <c r="OM134" s="152">
        <f>IF($MC134=0,MAX(0,$MQ134-IF($OD134&gt;0,1,0)),MAX(0,$OL134))</f>
        <v/>
      </c>
      <c r="ON134" s="152">
        <f>IF($MC134=0,0,(IF(COUNTIF($MH134:$MK134,"Salto")&gt;0,1,0)+IF(COUNTIF($MH134:$MK134,"Queima")&gt;0,1,0)+IF(COUNTIF($MH134:$MK134,"Estilhaço")&gt;0,1,0))*FLOOR($OM134/2,1))</f>
        <v/>
      </c>
      <c r="OO134" s="152">
        <f>MAX(0,2-SUMPRODUCT($NV134:$OA134,$I$2:$N$2)+MIN(2,$OB134*1+$OC134*1,SUMPRODUCT($NV134:$OA134,$I$2:$N$2)))</f>
        <v/>
      </c>
      <c r="OP134" s="152">
        <f>MAX(0,4-SUMPRODUCT($NV134:$OA134,$I$3:$N$3)+MIN(4,$OB134*1+$OC134*2,SUMPRODUCT($NV134:$OA134,$I$3:$N$3)))</f>
        <v/>
      </c>
      <c r="OQ134" s="152">
        <f>MAX(0,6-SUMPRODUCT($NV134:$OA134,$I$4:$N$4)+MIN(6,$OB134*2+$OC134*3,SUMPRODUCT($NV134:$OA134,$I$4:$N$4)))</f>
        <v/>
      </c>
      <c r="OR134" s="152">
        <f>MAX(0,9-SUMPRODUCT($NV134:$OA134,$I$5:$N$5)+MIN(8,$OB134*2+$OC134*4,SUMPRODUCT($NV134:$OA134,$I$5:$N$5)))</f>
        <v/>
      </c>
      <c r="OS134" s="152">
        <f>MAX(0,11-SUMPRODUCT($NV134:$OA134,$I$6:$N$6)+MIN(10,$OB134*3+$OC134*5,SUMPRODUCT($NV134:$OA134,$I$6:$N$6)))</f>
        <v/>
      </c>
      <c r="OT134" s="152">
        <f>MAX(0,13-SUMPRODUCT($NV134:$OA134,$I$7:$N$7)+MIN(12,$OB134*3+$OC134*6,SUMPRODUCT($NV134:$OA134,$I$7:$N$7)))</f>
        <v/>
      </c>
      <c r="OU134" s="152">
        <f>MAX(0,16-SUMPRODUCT($NV134:$OA134,$I$8:$N$8)+MIN(14,$OB134*4+$OC134*7,SUMPRODUCT($NV134:$OA134,$I$8:$N$8)))</f>
        <v/>
      </c>
      <c r="OV134" s="152">
        <f>IF($NP134=2,3*$OO134&amp;" de vida temp.",IF($NP134=3,"sem dano",IF($OO134=0,IF($NP134=1,"sem cura","sem dano"),IF($NP134=1,"cura ","")&amp;$OO134&amp;"d8")))</f>
        <v/>
      </c>
      <c r="OW134" s="152">
        <f>IF($NP134=2,3*$OP134&amp;" de vida temp.",IF($NP134=3,"sem dano",IF($OP134=0,IF($NP134=1,"sem cura","sem dano"),IF($NP134=1,"cura ","")&amp;$OP134&amp;"d8")))</f>
        <v/>
      </c>
      <c r="OX134" s="152">
        <f>IF($NP134=2,3*$OQ134&amp;" de vida temp.",IF($NP134=3,"sem dano",IF($OQ134=0,IF($NP134=1,"sem cura","sem dano"),IF($NP134=1,"cura ","")&amp;$OQ134&amp;"d8")))</f>
        <v/>
      </c>
      <c r="OY134" s="152">
        <f>IF($NP134=2,3*$OR134&amp;" de vida temp.",IF($NP134=3,"sem dano",IF($OR134=0,IF($NP134=1,"sem cura","sem dano"),IF($NP134=1,"cura ","")&amp;$OR134&amp;"d8")))</f>
        <v/>
      </c>
      <c r="OZ134" s="152">
        <f>IF($NP134=2,3*$OS134&amp;" de vida temp.",IF($NP134=3,"sem dano",IF($OS134=0,IF($NP134=1,"sem cura","sem dano"),IF($NP134=1,"cura ","")&amp;$OS134&amp;"d8")))</f>
        <v/>
      </c>
      <c r="PA134" s="152">
        <f>IF($NP134=2,3*$OT134&amp;" de vida temp.",IF($NP134=3,"sem dano",IF($OT134=0,IF($NP134=1,"sem cura","sem dano"),IF($NP134=1,"cura ","")&amp;$OT134&amp;"d8")))</f>
        <v/>
      </c>
      <c r="PB134" s="152">
        <f>IF($NP134=2,3*$OU134&amp;" de vida temp.",IF($NP134=3,"sem dano",IF($OU134=0,IF($NP134=1,"sem cura","sem dano"),IF($NP134=1,"cura ","")&amp;$OU134&amp;"d8")))</f>
        <v/>
      </c>
      <c r="PC134" s="152">
        <f>IF($MN134=0,"",TEXTJOIN(" · ",TRUE,IF($MA134&gt;$MO134,"Este lugar abre no nível "&amp;$MA134,""),IF($MC134&gt;$MP134,"Classe "&amp;$MC134&amp;": o nível "&amp;$MO134&amp;" libera até a "&amp;$MP134,""),IF($NH134=1,"A Forma "&amp;$ME134&amp;" pede "&amp;INDEX($W$2:$W$11,$MT134)&amp;" aberta",""),IF(AND($MC134=0,$MT134&gt;0,IF($MT134=0,0,INDEX($AF$2:$AF$11,$MT134))=0),$ME134&amp;" não existe na Classe 0",""),IF($NI134=1,"Família Fechada: "&amp;$MH134,""),IF($NJ134=1,"Família Fechada: "&amp;$MI134,""),IF($NK134=1,"Família Fechada: "&amp;$MJ134,""),IF($NL134=1,"Família Fechada: "&amp;$MK134,""),IF(AND($MC134&gt;0,$OD134&gt;INDEX($O$2:$O$8,MAX(1,$MC134))),$OD134&amp;" Melhorias: a Classe "&amp;$MC134&amp;" aceita "&amp;INDEX($O$2:$O$8,MAX(1,$MC134)),""),IF(AND($MC134=0,$OD134&gt;1),"A básica aceita uma Melhoria",""),IF(AND($MC134=0,COUNTIF($MY134:$NB134,"&gt;1")&gt;0),"A básica só aceita Melhoria Leve",""),IF(AND($MC134&gt;0,$OE134&gt;2),$OE134&amp;" Restrições"&amp;IF($NO134=1,", contando a que a Forma "&amp;$ME134&amp;" já traz","")&amp;": o limite é 2",""),IF(AND($MC134=0,COUNTIF($ML134:$MM134,"?*")&gt;1),"A básica aceita uma Restrição Leve",""),IF(AND($MC134=0,COUNTIF($NR134:$NS134,2)&gt;0),"A básica só aceita Restrição Leve",""),IF(AND($MC134&gt;0,$OL134&lt;0),"Orçamento estourado: faltam "&amp;(-$OL134)&amp;IF($OL134&lt;-1," pontos"," ponto"),""),IF(IFERROR(VLOOKUP($ML134,$BB$2:$BF$24,4,FALSE),0)+IFERROR(VLOOKUP($MM134,$BB$2:$BF$24,4,FALSE),0)&gt;1,$NT134&amp;" e "&amp;$NU134&amp;" são as duas de frequência",""),IF(AND((COUNTIF($MH134:$MK134,"Rápido")+COUNTIF($NT134:$NU134,"Rápido"))&gt;0,(COUNTIF($MH134:$MK134,"Atrasar")+COUNTIF($NT134:$NU134,"Atrasar"))&gt;0),"Rápido não entra com Atrasar",""),IF(AND((COUNTIF($MH134:$MK134,"Reação")+COUNTIF($NT134:$NU134,"Reação"))&gt;0,(COUNTIF($MH134:$MK134,"Rápido")+COUNTIF($NT134:$NU134,"Rápido"))&gt;0),"Reação não entra com Rápido",""),IF(AND((COUNTIF($MH134:$MK134,"Reação")+COUNTIF($NT134:$NU134,"Reação"))&gt;0,(COUNTIF($MH134:$MK134,"Armado")+COUNTIF($NT134:$NU134,"Armado"))&gt;0),"Reação não entra com Armado",""),IF(AND((COUNTIF($MH134:$MK134,"Reação")+COUNTIF($NT134:$NU134,"Reação"))&gt;0,(COUNTIF($MH134:$MK134,"Atrasar")+COUNTIF($NT134:$NU134,"Atrasar"))&gt;0),"Reação não entra com Atrasar",""),IF(AND((COUNTIF($MH134:$MK134,"Reação")+COUNTIF($NT134:$NU134,"Reação"))&gt;0,(COUNTIF($MH134:$MK134,"Parado")+COUNTIF($NT134:$NU134,"Parado"))&gt;0),"Reação não entra com Parado",""),IF(AND((COUNTIF($MH134:$MK134,"Atrasar")+COUNTIF($NT134:$NU134,"Atrasar"))&gt;0,(COUNTIF($MH134:$MK134,"Parado")+COUNTIF($NT134:$NU134,"Parado"))&gt;0),"Atrasar não entra com Parado",""),IF(AND((COUNTIF($MH134:$MK134,"Armado")+COUNTIF($NT134:$NU134,"Armado"))&gt;0,(COUNTIF($MH134:$MK134,"Carregar")+COUNTIF($NT134:$NU134,"Carregar"))&gt;0),"Armado não entra com Carregar",""),IF(AND(COUNTIF($NT134:$NU134,"Corpo a Corpo")&gt;0,$NO134=0,OR($ME134="Cone",$ME134="Linha")),"Corpo a Corpo não entra em "&amp;$ME134,""),IF(AND(COUNTIF($NT134:$NU134,"Corpo a Corpo")&gt;0,$NO134=1),"A Forma "&amp;$ME134&amp;" já traz o Corpo a Corpo",""),IF(AND(COUNTIF($NT134:$NU134,"Tudo ou Nada")&gt;0,$NQ134=0),"Tudo ou Nada só entra em habilidade de Teste de Resistência",""),IF(AND(COUNTIF($MH134:$MK134,"Inescapável")&gt;0,OR($OD134&gt;1,$OE134&gt;0)),"Inescapável não aceita outra peça",""),IF(AND($MC134&gt;0,$OM134*IF(COUNTIF($MH134:$MK134,"Remate")&gt;0,1.25,1)+$ON134&gt;4*$MC134),($OM134*IF(COUNTIF($MH134:$MK134,"Remate")&gt;0,1.25,1)+$ON134)&amp;" dados somando repetições"&amp;IF(COUNTIF($MH134:$MK134,"Remate")&gt;0," e o Remate","")&amp;": o teto da Classe "&amp;$MC134&amp;" é "&amp;4*$MC134,"")))</f>
        <v/>
      </c>
      <c r="PD134" s="152">
        <f>IF($PC134="",0,(LEN($PC134)-LEN(SUBSTITUTE($PC134," · ","")))/3+1)</f>
        <v/>
      </c>
      <c r="PE134" s="152">
        <f>IF($MN134=0,"",TEXTJOIN(" · ",TRUE,IF($OG134&gt;2*$MC134,"A devolução parou no teto de "&amp;2*$MC134,""),IF($OJ134&gt;0,"Devolução perdida: "&amp;$OJ134&amp;IF($OJ134&gt;1," pontos"," ponto")&amp;" sem peça para pagar",""),IF(AND($NM134&gt;0,AND($MC134&gt;0,$NP134=0),$OM134=0),"Controle sem dano: uma rodada a mais e CD +2",""),IF(AND($NM134&gt;0,AND($MC134&gt;0,$NP134=0),$OM134&gt;0,$OM134&lt;=$MC134),"Controle com saldo até a Classe: uma rodada a mais",""),IF(AND($MC134&gt;0,$NN134&lt;&gt;""),"Efeito de "&amp;$NN134&amp;" pela Classe "&amp;MAX(1,$MC134-1),"")))</f>
        <v/>
      </c>
      <c r="PF134" s="152">
        <f>IF($PE134="",0,(LEN($PE134)-LEN(SUBSTITUTE($PE134," · ","")))/3+1)</f>
        <v/>
      </c>
      <c r="PG134" s="152">
        <f>IF($MN134=0,IF($OD134+COUNTIF($ML134:$MM134,"?*")&gt;0,"Dê um nome",""),IF($PD134&gt;0,"⚠ "&amp;$PD134&amp;IF($PD134&gt;1," erros"," erro"),IF($PF134&gt;0,"! "&amp;$PF134&amp;IF($PF134&gt;1," avisos"," aviso"),"Na regra")))</f>
        <v/>
      </c>
      <c r="PH134" s="152">
        <f>IF($MN134=0,"",IF($PD134+$PF134=0,"Dentro das regras que a ficha confere",$PC134&amp;IF(AND($PD134&gt;0,$PF134&gt;0)," · ","")&amp;$PE134))</f>
        <v/>
      </c>
      <c r="PI134" s="152">
        <f>IF($MA134&gt;$MO134,$MB134&amp;" · ABRE NO NÍVEL "&amp;$MA134,$MB134)</f>
        <v/>
      </c>
      <c r="PJ134" s="152">
        <f>IF($MN134=0,"",IF($MC134=0,"Sem PE",3*$MC134&amp;" PE"))</f>
        <v/>
      </c>
      <c r="PK134" s="152">
        <f>IF($MN134=0,"",IF($MC134=0,"A atuação básica dela",IF(COUNTIF($NT134:$NU134,"Atrasar")&gt;0,"Sua Ação Completa",IF(COUNTIF($MH134:$MK134,"Rápido")&gt;0,"Sua Bônus",IF(COUNTIF($MH134:$MK134,"Reação")&gt;0,"Sua Reação","Sua Padrão")))&amp;" + a básica dela"&amp;IF(COUNTIF($MH134:$MK134,"Reação")&gt;0," e a coletiva","")&amp;IF(COUNTIF($NT134:$NU134,"Carregar")&gt;0," · em dois turnos","")))</f>
        <v/>
      </c>
      <c r="PL134" s="152">
        <f>IF($MG134&lt;&gt;"",$MG134,IF($MT134=0,"",INDEX($AA$2:$AA$11,$MT134)))</f>
        <v/>
      </c>
      <c r="PM134" s="152">
        <f>IF(OR($MN134=0,$MT134=0),"",IF(COUNTIF($MH134:$MK134,"Inescapável")&gt;0,"Automático",IF($PL134="Ataque",IF($MR134="","Ataque","Ataque "&amp;IF(($MR134+2*IF(COUNTIF($MH134:$MK134,"Precisão")&gt;0,1,0))&gt;=0,"+","−")&amp;ABS(($MR134+2*IF(COUNTIF($MH134:$MK134,"Precisão")&gt;0,1,0)))),IF(LEFT($PL134,2)="TR",$PL134&amp;IF($MS134="",""," · CD "&amp;$MS134)&amp;IF(COUNTIF($MH134:$MK134,"Certeiro")&gt;0," · metade",""),"Sem rolagem"))))</f>
        <v/>
      </c>
      <c r="PN134" s="152">
        <f>IF(OR($MN134=0,$MT134=0),"",IF($MC134=0,IF(OR($NP134&gt;=1,$OM134=0),"Sem dano",$OM134&amp;"d6"&amp;IF($MF134="",""," "&amp;$MF134)),IF(OR($NP134&gt;=1,$OM134=0),UPPER(LEFT(INDEX($OV134:$PB134,1,MAX(1,$MC134)),1))&amp;MID(INDEX($OV134:$PB134,1,MAX(1,$MC134)),2,99),UPPER(LEFT(INDEX($OV134:$PB134,1,MAX(1,$MC134)),1))&amp;MID(INDEX($OV134:$PB134,1,MAX(1,$MC134)),2,99)&amp;IF($MF134="",""," "&amp;$MF134)&amp;IF($ON134&gt;0," · +"&amp;$ON134&amp;"d8",""))))</f>
        <v/>
      </c>
      <c r="PO134" s="152">
        <f>COUNTIF($MH134:$MK134,"Longe")+3*COUNTIF($MH134:$MK134,"Muito Longe")</f>
        <v/>
      </c>
      <c r="PP134" s="152">
        <f>COUNTIF($MH134:$MK134,"Maior")+3*COUNTIF($MH134:$MK134,"Muito Maior")</f>
        <v/>
      </c>
      <c r="PQ134" s="152">
        <f>IF($MT134=0,0,CHOOSE(1+INDEX($AC$2:$AC$11,$MT134),0,$PO134,$PP134,$PO134+$PP134))</f>
        <v/>
      </c>
      <c r="PR134" s="152">
        <f>IF($MT134=0,0,CHOOSE(1+INDEX($AD$2:$AD$11,$MT134),0,$PO134,$PP134,$PO134+$PP134))</f>
        <v/>
      </c>
      <c r="PS134" s="152">
        <f>IF(OR($MN134=0,$MT134=0),"",INDEX($AI$2:$AN$41,($MT134-1)*4+IF($MC134=0,1,IF($MC134&lt;=5,2,IF($MC134=6,3,4))),1+MIN(5,$PQ134))&amp;INDEX($AO$2:$AT$41,($MT134-1)*4+IF($MC134=0,1,IF($MC134&lt;=5,2,IF($MC134=6,3,4))),1+MIN(5,$PR134))&amp;IF(INDEX($AE$2:$AE$11,$MT134)=1,IF(COUNTIF($MH134:$MK134,"Mais Um")&gt;0," · +"&amp;COUNTIF($MH134:$MK134,"Mais Um")&amp;IF(COUNTIF($MH134:$MK134,"Mais Um")&gt;1," alvos"," alvo"),"")&amp;IF(COUNTIF($MH134:$MK134,"Rajada")&gt;0,IF($MC134=0," · 1 tiro"," · "&amp;(MAX(1,$MC134-1)+1)&amp;" tiros"),""),""))</f>
        <v/>
      </c>
      <c r="PT134" s="152">
        <f>IF($MN134=0,"",IF($MC134=0,$MQ134&amp;"d6"&amp;IF($OD134&gt;0," − 1 = "&amp;$OM134&amp;"d6"," da básica do nível "&amp;$MO134),$OK134&amp;" − "&amp;$OF134&amp;" + "&amp;$OI134&amp;" = "&amp;$OL134&amp;" · teto "&amp;4*$MC134&amp;"d8"&amp;IF($NO134=1," · a Forma devolve "&amp;$MC134,"")&amp;IF($OJ134&gt;0," · perde "&amp;$OJ134,"")))</f>
        <v/>
      </c>
      <c r="PU134" s="152">
        <f>IF($MN134=0,"",IF($MC134=0,"A básica não amplia: os dados dela sobem com o nível",IF($MC134&gt;=$MP134,"Já está na maior Classe que o nível liberou",TEXTJOIN(" · ",TRUE,IF(AND(2&gt;$MC134,2&lt;=$MP134),"2 → "&amp;$OW134&amp;", 6 PE",""),IF(AND(3&gt;$MC134,3&lt;=$MP134),"3 → "&amp;$OX134&amp;", 9 PE",""),IF(AND(4&gt;$MC134,4&lt;=$MP134),"4 → "&amp;$OY134&amp;", 12 PE",""),IF(AND(5&gt;$MC134,5&lt;=$MP134),"5 → "&amp;$OZ134&amp;", 15 PE",""),IF(AND(6&gt;$MC134,6&lt;=$MP134),"6 → "&amp;$PA134&amp;", 18 PE",""),IF(AND(7&gt;$MC134,7&lt;=$MP134),"7 → "&amp;$PB134&amp;", 21 PE","")))))</f>
        <v/>
      </c>
      <c r="PV134" s="152">
        <f>IF(OR($MN134=0,$MY134=0),"",IF($MC134=0,"−1 dado","−"&amp;INDEX($I$2:$N$8,MAX(1,$MC134),MAX(1,$ND134))&amp;" · "&amp;CHOOSE(MAX(1,$ND134),"Leve","Média","Pesada","Leve · Livre","Média · Livre","Pesada · Livre")))</f>
        <v/>
      </c>
      <c r="PW134" s="152">
        <f>IF(OR($MN134=0,$MZ134=0),"",IF($MC134=0,"−1 dado","−"&amp;INDEX($I$2:$N$8,MAX(1,$MC134),MAX(1,$NE134))&amp;" · "&amp;CHOOSE(MAX(1,$NE134),"Leve","Média","Pesada","Leve · Livre","Média · Livre","Pesada · Livre")))</f>
        <v/>
      </c>
      <c r="PX134" s="152">
        <f>IF(OR($MN134=0,$NA134=0),"",IF($MC134=0,"−1 dado","−"&amp;INDEX($I$2:$N$8,MAX(1,$MC134),MAX(1,$NF134))&amp;" · "&amp;CHOOSE(MAX(1,$NF134),"Leve","Média","Pesada","Leve · Livre","Média · Livre","Pesada · Livre")))</f>
        <v/>
      </c>
      <c r="PY134" s="152">
        <f>IF(OR($MN134=0,$NB134=0),"",IF($MC134=0,"−1 dado","−"&amp;INDEX($I$2:$N$8,MAX(1,$MC134),MAX(1,$NG134))&amp;" · "&amp;CHOOSE(MAX(1,$NG134),"Leve","Média","Pesada","Leve · Livre","Média · Livre","Pesada · Livre")))</f>
        <v/>
      </c>
      <c r="PZ134" s="152">
        <f>IF(OR($MN134=0,$ML134=""),"",IF($MC134=0,"não devolve","+"&amp;IF($NR134=1,CEILING($MC134/2,1),$MC134)))</f>
        <v/>
      </c>
      <c r="QA134" s="152">
        <f>IF(OR($MN134=0,$MM134=""),"",IF($MC134=0,"não devolve","+"&amp;IF($NS134=1,CEILING($MC134/2,1),$MC134)))</f>
        <v/>
      </c>
    </row>
    <row r="135">
      <c r="LX135" s="150" t="inlineStr">
        <is>
          <t>Ficha 11 · Básica 2</t>
        </is>
      </c>
      <c r="LY135" s="152" t="n">
        <v>11</v>
      </c>
      <c r="LZ135" s="152" t="n">
        <v>0</v>
      </c>
      <c r="MA135" s="152" t="n">
        <v>11</v>
      </c>
      <c r="MB135" s="150" t="inlineStr">
        <is>
          <t>BÁSICA 2</t>
        </is>
      </c>
      <c r="MC135" s="152" t="n">
        <v>0</v>
      </c>
      <c r="MD135" s="152">
        <f>'INVOCAÇÕES'!$AC$884&amp;""</f>
        <v/>
      </c>
      <c r="ME135" s="152">
        <f>'INVOCAÇÕES'!$AB$889&amp;""</f>
        <v/>
      </c>
      <c r="MF135" s="152">
        <f>'INVOCAÇÕES'!$AB$890&amp;""</f>
        <v/>
      </c>
      <c r="MG135" s="152">
        <f>'INVOCAÇÕES'!$AD$890&amp;""</f>
        <v/>
      </c>
      <c r="MH135" s="152">
        <f>'INVOCAÇÕES'!$AC$893&amp;""</f>
        <v/>
      </c>
      <c r="MI135" s="152">
        <f>'INVOCAÇÕES'!$AC$894&amp;""</f>
        <v/>
      </c>
      <c r="MJ135" s="152">
        <f>'INVOCAÇÕES'!$AC$895&amp;""</f>
        <v/>
      </c>
      <c r="MK135" s="152">
        <f>'INVOCAÇÕES'!$AC$896&amp;""</f>
        <v/>
      </c>
      <c r="ML135" s="152">
        <f>'INVOCAÇÕES'!$AC$897&amp;""</f>
        <v/>
      </c>
      <c r="MM135" s="152">
        <f>'INVOCAÇÕES'!$AC$898&amp;""</f>
        <v/>
      </c>
      <c r="MN135" s="152">
        <f>IF($MD135&lt;&gt;"",1,0)</f>
        <v/>
      </c>
      <c r="MO135" s="152">
        <f>INDEX($FG$2:$FG$13,$LY135)</f>
        <v/>
      </c>
      <c r="MP135" s="152">
        <f>INDEX($FH$2:$FH$13,$LY135)</f>
        <v/>
      </c>
      <c r="MQ135" s="152">
        <f>INDEX($FI$2:$FI$13,$LY135)</f>
        <v/>
      </c>
      <c r="MR135" s="152">
        <f>INDEX($FT$2:$FT$13,$LY135)</f>
        <v/>
      </c>
      <c r="MS135" s="152">
        <f>INDEX($FU$2:$FU$13,$LY135)</f>
        <v/>
      </c>
      <c r="MT135" s="152">
        <f>IFERROR(MATCH($ME135,$V$2:$V$11,0),0)</f>
        <v/>
      </c>
      <c r="MU135" s="152">
        <f>IFERROR(VLOOKUP($MH135,$AV$2:$AZ$84,2,FALSE),"")</f>
        <v/>
      </c>
      <c r="MV135" s="152">
        <f>IFERROR(VLOOKUP($MI135,$AV$2:$AZ$84,2,FALSE),"")</f>
        <v/>
      </c>
      <c r="MW135" s="152">
        <f>IFERROR(VLOOKUP($MJ135,$AV$2:$AZ$84,2,FALSE),"")</f>
        <v/>
      </c>
      <c r="MX135" s="152">
        <f>IFERROR(VLOOKUP($MK135,$AV$2:$AZ$84,2,FALSE),"")</f>
        <v/>
      </c>
      <c r="MY135" s="152">
        <f>IFERROR(VLOOKUP($MH135,$AV$2:$AZ$84,3,FALSE),0)</f>
        <v/>
      </c>
      <c r="MZ135" s="152">
        <f>IFERROR(VLOOKUP($MI135,$AV$2:$AZ$84,3,FALSE),0)</f>
        <v/>
      </c>
      <c r="NA135" s="152">
        <f>IFERROR(VLOOKUP($MJ135,$AV$2:$AZ$84,3,FALSE),0)</f>
        <v/>
      </c>
      <c r="NB135" s="152">
        <f>IFERROR(VLOOKUP($MK135,$AV$2:$AZ$84,3,FALSE),0)</f>
        <v/>
      </c>
      <c r="NC135" s="152">
        <f>IF($MC135=0,0,IF($MT135=0,0,INDEX($X$2:$X$11,$MT135)))</f>
        <v/>
      </c>
      <c r="ND135" s="152">
        <f>IF(OR($MY135=0,$MC135=0),0,$MY135+3*IF(AND($MU135&lt;&gt;"",OR($MU135=INDEX($ED$2:$ED$13,$LY135),$MU135=INDEX($EE$2:$EE$13,$LY135))),1,0))</f>
        <v/>
      </c>
      <c r="NE135" s="152">
        <f>IF(OR($MZ135=0,$MC135=0),0,$MZ135+3*IF(AND($MV135&lt;&gt;"",OR($MV135=INDEX($ED$2:$ED$13,$LY135),$MV135=INDEX($EE$2:$EE$13,$LY135))),1,0))</f>
        <v/>
      </c>
      <c r="NF135" s="152">
        <f>IF(OR($NA135=0,$MC135=0),0,$NA135+3*IF(AND($MW135&lt;&gt;"",OR($MW135=INDEX($ED$2:$ED$13,$LY135),$MW135=INDEX($EE$2:$EE$13,$LY135))),1,0))</f>
        <v/>
      </c>
      <c r="NG135" s="152">
        <f>IF(OR($NB135=0,$MC135=0),0,$NB135+3*IF(AND($MX135&lt;&gt;"",OR($MX135=INDEX($ED$2:$ED$13,$LY135),$MX135=INDEX($EE$2:$EE$13,$LY135))),1,0))</f>
        <v/>
      </c>
      <c r="NH135" s="152">
        <f>IF($MT135=0,0,IF(INDEX($W$2:$W$11,$MT135)="",0,IF(COUNTIF(INDEX($ED$2:$EH$13,$LY135,0),INDEX($W$2:$W$11,$MT135))=0,1,0)))</f>
        <v/>
      </c>
      <c r="NI135" s="152">
        <f>IF(OR($MY135=0,$MU135=""),0,IF(COUNTIF(INDEX($ED$2:$EH$13,$LY135,0),$MU135)=0,1,0))</f>
        <v/>
      </c>
      <c r="NJ135" s="152">
        <f>IF(OR($MZ135=0,$MV135=""),0,IF(COUNTIF(INDEX($ED$2:$EH$13,$LY135,0),$MV135)=0,1,0))</f>
        <v/>
      </c>
      <c r="NK135" s="152">
        <f>IF(OR($NA135=0,$MW135=""),0,IF(COUNTIF(INDEX($ED$2:$EH$13,$LY135,0),$MW135)=0,1,0))</f>
        <v/>
      </c>
      <c r="NL135" s="152">
        <f>IF(OR($NB135=0,$MX135=""),0,IF(COUNTIF(INDEX($ED$2:$EH$13,$LY135,0),$MX135)=0,1,0))</f>
        <v/>
      </c>
      <c r="NM135" s="152">
        <f>IFERROR(VLOOKUP($MH135,$AV$2:$AZ$84,4,FALSE),0)+IFERROR(VLOOKUP($MI135,$AV$2:$AZ$84,4,FALSE),0)+IFERROR(VLOOKUP($MJ135,$AV$2:$AZ$84,4,FALSE),0)+IFERROR(VLOOKUP($MK135,$AV$2:$AZ$84,4,FALSE),0)</f>
        <v/>
      </c>
      <c r="NN135" s="152">
        <f>TEXTJOIN(", ",TRUE,IF(IFERROR(VLOOKUP($MH135,$AV$2:$AZ$84,5,FALSE),0)=1,$MH135,""),IF(IFERROR(VLOOKUP($MI135,$AV$2:$AZ$84,5,FALSE),0)=1,$MI135,""),IF(IFERROR(VLOOKUP($MJ135,$AV$2:$AZ$84,5,FALSE),0)=1,$MJ135,""),IF(IFERROR(VLOOKUP($MK135,$AV$2:$AZ$84,5,FALSE),0)=1,$MK135,""))</f>
        <v/>
      </c>
      <c r="NO135" s="152">
        <f>IF($MT135=0,0,INDEX($Y$2:$Y$11,$MT135))</f>
        <v/>
      </c>
      <c r="NP135" s="152">
        <f>IF($MT135=0,0,INDEX($Z$2:$Z$11,$MT135))</f>
        <v/>
      </c>
      <c r="NQ135" s="152">
        <f>IF($MT135=0,0,INDEX($AB$2:$AB$11,$MT135))</f>
        <v/>
      </c>
      <c r="NR135" s="152">
        <f>IFERROR(VLOOKUP($ML135,$BB$2:$BF$24,3,FALSE),0)</f>
        <v/>
      </c>
      <c r="NS135" s="152">
        <f>IFERROR(VLOOKUP($MM135,$BB$2:$BF$24,3,FALSE),0)</f>
        <v/>
      </c>
      <c r="NT135" s="152">
        <f>IFERROR(VLOOKUP($ML135,$BB$2:$BF$24,2,FALSE),"")</f>
        <v/>
      </c>
      <c r="NU135" s="152">
        <f>IFERROR(VLOOKUP($MM135,$BB$2:$BF$24,2,FALSE),"")</f>
        <v/>
      </c>
      <c r="NV135" s="152">
        <f>COUNTIF($NC135:$NG135,1)</f>
        <v/>
      </c>
      <c r="NW135" s="152">
        <f>COUNTIF($NC135:$NG135,2)</f>
        <v/>
      </c>
      <c r="NX135" s="152">
        <f>COUNTIF($NC135:$NG135,3)</f>
        <v/>
      </c>
      <c r="NY135" s="152">
        <f>COUNTIF($NC135:$NG135,4)</f>
        <v/>
      </c>
      <c r="NZ135" s="152">
        <f>COUNTIF($NC135:$NG135,5)</f>
        <v/>
      </c>
      <c r="OA135" s="152">
        <f>COUNTIF($NC135:$NG135,6)</f>
        <v/>
      </c>
      <c r="OB135" s="152">
        <f>COUNTIF($NR135:$NS135,1)</f>
        <v/>
      </c>
      <c r="OC135" s="152">
        <f>COUNTIF($NR135:$NS135,2)+$NO135</f>
        <v/>
      </c>
      <c r="OD135" s="152">
        <f>COUNTIF($MH135:$MK135,"?*")</f>
        <v/>
      </c>
      <c r="OE135" s="152">
        <f>COUNTIF($ML135:$MM135,"?*")+$NO135</f>
        <v/>
      </c>
      <c r="OF135" s="152">
        <f>IF($MC135=0,0,SUMPRODUCT($NV135:$OA135,INDEX($I$2:$N$8,MAX(1,$MC135),0)))</f>
        <v/>
      </c>
      <c r="OG135" s="152">
        <f>IF($MC135=0,0,$OB135*CEILING($MC135/2,1)+$OC135*$MC135)</f>
        <v/>
      </c>
      <c r="OH135" s="152">
        <f>MIN(2*$MC135,$OG135)</f>
        <v/>
      </c>
      <c r="OI135" s="152">
        <f>MIN($OH135,$OF135)</f>
        <v/>
      </c>
      <c r="OJ135" s="152">
        <f>$OH135-$OI135</f>
        <v/>
      </c>
      <c r="OK135" s="152">
        <f>IF($MC135=0,0,INDEX($P$2:$P$8,MAX(1,$MC135)))</f>
        <v/>
      </c>
      <c r="OL135" s="152">
        <f>$OK135-$OF135+$OI135</f>
        <v/>
      </c>
      <c r="OM135" s="152">
        <f>IF($MC135=0,MAX(0,$MQ135-IF($OD135&gt;0,1,0)),MAX(0,$OL135))</f>
        <v/>
      </c>
      <c r="ON135" s="152">
        <f>IF($MC135=0,0,(IF(COUNTIF($MH135:$MK135,"Salto")&gt;0,1,0)+IF(COUNTIF($MH135:$MK135,"Queima")&gt;0,1,0)+IF(COUNTIF($MH135:$MK135,"Estilhaço")&gt;0,1,0))*FLOOR($OM135/2,1))</f>
        <v/>
      </c>
      <c r="OO135" s="152">
        <f>MAX(0,2-SUMPRODUCT($NV135:$OA135,$I$2:$N$2)+MIN(2,$OB135*1+$OC135*1,SUMPRODUCT($NV135:$OA135,$I$2:$N$2)))</f>
        <v/>
      </c>
      <c r="OP135" s="152">
        <f>MAX(0,4-SUMPRODUCT($NV135:$OA135,$I$3:$N$3)+MIN(4,$OB135*1+$OC135*2,SUMPRODUCT($NV135:$OA135,$I$3:$N$3)))</f>
        <v/>
      </c>
      <c r="OQ135" s="152">
        <f>MAX(0,6-SUMPRODUCT($NV135:$OA135,$I$4:$N$4)+MIN(6,$OB135*2+$OC135*3,SUMPRODUCT($NV135:$OA135,$I$4:$N$4)))</f>
        <v/>
      </c>
      <c r="OR135" s="152">
        <f>MAX(0,9-SUMPRODUCT($NV135:$OA135,$I$5:$N$5)+MIN(8,$OB135*2+$OC135*4,SUMPRODUCT($NV135:$OA135,$I$5:$N$5)))</f>
        <v/>
      </c>
      <c r="OS135" s="152">
        <f>MAX(0,11-SUMPRODUCT($NV135:$OA135,$I$6:$N$6)+MIN(10,$OB135*3+$OC135*5,SUMPRODUCT($NV135:$OA135,$I$6:$N$6)))</f>
        <v/>
      </c>
      <c r="OT135" s="152">
        <f>MAX(0,13-SUMPRODUCT($NV135:$OA135,$I$7:$N$7)+MIN(12,$OB135*3+$OC135*6,SUMPRODUCT($NV135:$OA135,$I$7:$N$7)))</f>
        <v/>
      </c>
      <c r="OU135" s="152">
        <f>MAX(0,16-SUMPRODUCT($NV135:$OA135,$I$8:$N$8)+MIN(14,$OB135*4+$OC135*7,SUMPRODUCT($NV135:$OA135,$I$8:$N$8)))</f>
        <v/>
      </c>
      <c r="OV135" s="152">
        <f>IF($NP135=2,3*$OO135&amp;" de vida temp.",IF($NP135=3,"sem dano",IF($OO135=0,IF($NP135=1,"sem cura","sem dano"),IF($NP135=1,"cura ","")&amp;$OO135&amp;"d8")))</f>
        <v/>
      </c>
      <c r="OW135" s="152">
        <f>IF($NP135=2,3*$OP135&amp;" de vida temp.",IF($NP135=3,"sem dano",IF($OP135=0,IF($NP135=1,"sem cura","sem dano"),IF($NP135=1,"cura ","")&amp;$OP135&amp;"d8")))</f>
        <v/>
      </c>
      <c r="OX135" s="152">
        <f>IF($NP135=2,3*$OQ135&amp;" de vida temp.",IF($NP135=3,"sem dano",IF($OQ135=0,IF($NP135=1,"sem cura","sem dano"),IF($NP135=1,"cura ","")&amp;$OQ135&amp;"d8")))</f>
        <v/>
      </c>
      <c r="OY135" s="152">
        <f>IF($NP135=2,3*$OR135&amp;" de vida temp.",IF($NP135=3,"sem dano",IF($OR135=0,IF($NP135=1,"sem cura","sem dano"),IF($NP135=1,"cura ","")&amp;$OR135&amp;"d8")))</f>
        <v/>
      </c>
      <c r="OZ135" s="152">
        <f>IF($NP135=2,3*$OS135&amp;" de vida temp.",IF($NP135=3,"sem dano",IF($OS135=0,IF($NP135=1,"sem cura","sem dano"),IF($NP135=1,"cura ","")&amp;$OS135&amp;"d8")))</f>
        <v/>
      </c>
      <c r="PA135" s="152">
        <f>IF($NP135=2,3*$OT135&amp;" de vida temp.",IF($NP135=3,"sem dano",IF($OT135=0,IF($NP135=1,"sem cura","sem dano"),IF($NP135=1,"cura ","")&amp;$OT135&amp;"d8")))</f>
        <v/>
      </c>
      <c r="PB135" s="152">
        <f>IF($NP135=2,3*$OU135&amp;" de vida temp.",IF($NP135=3,"sem dano",IF($OU135=0,IF($NP135=1,"sem cura","sem dano"),IF($NP135=1,"cura ","")&amp;$OU135&amp;"d8")))</f>
        <v/>
      </c>
      <c r="PC135" s="152">
        <f>IF($MN135=0,"",TEXTJOIN(" · ",TRUE,IF($MA135&gt;$MO135,"Este lugar abre no nível "&amp;$MA135,""),IF($MC135&gt;$MP135,"Classe "&amp;$MC135&amp;": o nível "&amp;$MO135&amp;" libera até a "&amp;$MP135,""),IF($NH135=1,"A Forma "&amp;$ME135&amp;" pede "&amp;INDEX($W$2:$W$11,$MT135)&amp;" aberta",""),IF(AND($MC135=0,$MT135&gt;0,IF($MT135=0,0,INDEX($AF$2:$AF$11,$MT135))=0),$ME135&amp;" não existe na Classe 0",""),IF($NI135=1,"Família Fechada: "&amp;$MH135,""),IF($NJ135=1,"Família Fechada: "&amp;$MI135,""),IF($NK135=1,"Família Fechada: "&amp;$MJ135,""),IF($NL135=1,"Família Fechada: "&amp;$MK135,""),IF(AND($MC135&gt;0,$OD135&gt;INDEX($O$2:$O$8,MAX(1,$MC135))),$OD135&amp;" Melhorias: a Classe "&amp;$MC135&amp;" aceita "&amp;INDEX($O$2:$O$8,MAX(1,$MC135)),""),IF(AND($MC135=0,$OD135&gt;1),"A básica aceita uma Melhoria",""),IF(AND($MC135=0,COUNTIF($MY135:$NB135,"&gt;1")&gt;0),"A básica só aceita Melhoria Leve",""),IF(AND($MC135&gt;0,$OE135&gt;2),$OE135&amp;" Restrições"&amp;IF($NO135=1,", contando a que a Forma "&amp;$ME135&amp;" já traz","")&amp;": o limite é 2",""),IF(AND($MC135=0,COUNTIF($ML135:$MM135,"?*")&gt;1),"A básica aceita uma Restrição Leve",""),IF(AND($MC135=0,COUNTIF($NR135:$NS135,2)&gt;0),"A básica só aceita Restrição Leve",""),IF(AND($MC135&gt;0,$OL135&lt;0),"Orçamento estourado: faltam "&amp;(-$OL135)&amp;IF($OL135&lt;-1," pontos"," ponto"),""),IF(IFERROR(VLOOKUP($ML135,$BB$2:$BF$24,4,FALSE),0)+IFERROR(VLOOKUP($MM135,$BB$2:$BF$24,4,FALSE),0)&gt;1,$NT135&amp;" e "&amp;$NU135&amp;" são as duas de frequência",""),IF(AND((COUNTIF($MH135:$MK135,"Rápido")+COUNTIF($NT135:$NU135,"Rápido"))&gt;0,(COUNTIF($MH135:$MK135,"Atrasar")+COUNTIF($NT135:$NU135,"Atrasar"))&gt;0),"Rápido não entra com Atrasar",""),IF(AND((COUNTIF($MH135:$MK135,"Reação")+COUNTIF($NT135:$NU135,"Reação"))&gt;0,(COUNTIF($MH135:$MK135,"Rápido")+COUNTIF($NT135:$NU135,"Rápido"))&gt;0),"Reação não entra com Rápido",""),IF(AND((COUNTIF($MH135:$MK135,"Reação")+COUNTIF($NT135:$NU135,"Reação"))&gt;0,(COUNTIF($MH135:$MK135,"Armado")+COUNTIF($NT135:$NU135,"Armado"))&gt;0),"Reação não entra com Armado",""),IF(AND((COUNTIF($MH135:$MK135,"Reação")+COUNTIF($NT135:$NU135,"Reação"))&gt;0,(COUNTIF($MH135:$MK135,"Atrasar")+COUNTIF($NT135:$NU135,"Atrasar"))&gt;0),"Reação não entra com Atrasar",""),IF(AND((COUNTIF($MH135:$MK135,"Reação")+COUNTIF($NT135:$NU135,"Reação"))&gt;0,(COUNTIF($MH135:$MK135,"Parado")+COUNTIF($NT135:$NU135,"Parado"))&gt;0),"Reação não entra com Parado",""),IF(AND((COUNTIF($MH135:$MK135,"Atrasar")+COUNTIF($NT135:$NU135,"Atrasar"))&gt;0,(COUNTIF($MH135:$MK135,"Parado")+COUNTIF($NT135:$NU135,"Parado"))&gt;0),"Atrasar não entra com Parado",""),IF(AND((COUNTIF($MH135:$MK135,"Armado")+COUNTIF($NT135:$NU135,"Armado"))&gt;0,(COUNTIF($MH135:$MK135,"Carregar")+COUNTIF($NT135:$NU135,"Carregar"))&gt;0),"Armado não entra com Carregar",""),IF(AND(COUNTIF($NT135:$NU135,"Corpo a Corpo")&gt;0,$NO135=0,OR($ME135="Cone",$ME135="Linha")),"Corpo a Corpo não entra em "&amp;$ME135,""),IF(AND(COUNTIF($NT135:$NU135,"Corpo a Corpo")&gt;0,$NO135=1),"A Forma "&amp;$ME135&amp;" já traz o Corpo a Corpo",""),IF(AND(COUNTIF($NT135:$NU135,"Tudo ou Nada")&gt;0,$NQ135=0),"Tudo ou Nada só entra em habilidade de Teste de Resistência",""),IF(AND(COUNTIF($MH135:$MK135,"Inescapável")&gt;0,OR($OD135&gt;1,$OE135&gt;0)),"Inescapável não aceita outra peça",""),IF(AND($MC135&gt;0,$OM135*IF(COUNTIF($MH135:$MK135,"Remate")&gt;0,1.25,1)+$ON135&gt;4*$MC135),($OM135*IF(COUNTIF($MH135:$MK135,"Remate")&gt;0,1.25,1)+$ON135)&amp;" dados somando repetições"&amp;IF(COUNTIF($MH135:$MK135,"Remate")&gt;0," e o Remate","")&amp;": o teto da Classe "&amp;$MC135&amp;" é "&amp;4*$MC135,"")))</f>
        <v/>
      </c>
      <c r="PD135" s="152">
        <f>IF($PC135="",0,(LEN($PC135)-LEN(SUBSTITUTE($PC135," · ","")))/3+1)</f>
        <v/>
      </c>
      <c r="PE135" s="152">
        <f>IF($MN135=0,"",TEXTJOIN(" · ",TRUE,IF($OG135&gt;2*$MC135,"A devolução parou no teto de "&amp;2*$MC135,""),IF($OJ135&gt;0,"Devolução perdida: "&amp;$OJ135&amp;IF($OJ135&gt;1," pontos"," ponto")&amp;" sem peça para pagar",""),IF(AND($NM135&gt;0,AND($MC135&gt;0,$NP135=0),$OM135=0),"Controle sem dano: uma rodada a mais e CD +2",""),IF(AND($NM135&gt;0,AND($MC135&gt;0,$NP135=0),$OM135&gt;0,$OM135&lt;=$MC135),"Controle com saldo até a Classe: uma rodada a mais",""),IF(AND($MC135&gt;0,$NN135&lt;&gt;""),"Efeito de "&amp;$NN135&amp;" pela Classe "&amp;MAX(1,$MC135-1),"")))</f>
        <v/>
      </c>
      <c r="PF135" s="152">
        <f>IF($PE135="",0,(LEN($PE135)-LEN(SUBSTITUTE($PE135," · ","")))/3+1)</f>
        <v/>
      </c>
      <c r="PG135" s="152">
        <f>IF($MN135=0,IF($OD135+COUNTIF($ML135:$MM135,"?*")&gt;0,"Dê um nome",""),IF($PD135&gt;0,"⚠ "&amp;$PD135&amp;IF($PD135&gt;1," erros"," erro"),IF($PF135&gt;0,"! "&amp;$PF135&amp;IF($PF135&gt;1," avisos"," aviso"),"Na regra")))</f>
        <v/>
      </c>
      <c r="PH135" s="152">
        <f>IF($MN135=0,"",IF($PD135+$PF135=0,"Dentro das regras que a ficha confere",$PC135&amp;IF(AND($PD135&gt;0,$PF135&gt;0)," · ","")&amp;$PE135))</f>
        <v/>
      </c>
      <c r="PI135" s="152">
        <f>IF($MA135&gt;$MO135,$MB135&amp;" · ABRE NO NÍVEL "&amp;$MA135,$MB135)</f>
        <v/>
      </c>
      <c r="PJ135" s="152">
        <f>IF($MN135=0,"",IF($MC135=0,"Sem PE",3*$MC135&amp;" PE"))</f>
        <v/>
      </c>
      <c r="PK135" s="152">
        <f>IF($MN135=0,"",IF($MC135=0,"A atuação básica dela",IF(COUNTIF($NT135:$NU135,"Atrasar")&gt;0,"Sua Ação Completa",IF(COUNTIF($MH135:$MK135,"Rápido")&gt;0,"Sua Bônus",IF(COUNTIF($MH135:$MK135,"Reação")&gt;0,"Sua Reação","Sua Padrão")))&amp;" + a básica dela"&amp;IF(COUNTIF($MH135:$MK135,"Reação")&gt;0," e a coletiva","")&amp;IF(COUNTIF($NT135:$NU135,"Carregar")&gt;0," · em dois turnos","")))</f>
        <v/>
      </c>
      <c r="PL135" s="152">
        <f>IF($MG135&lt;&gt;"",$MG135,IF($MT135=0,"",INDEX($AA$2:$AA$11,$MT135)))</f>
        <v/>
      </c>
      <c r="PM135" s="152">
        <f>IF(OR($MN135=0,$MT135=0),"",IF(COUNTIF($MH135:$MK135,"Inescapável")&gt;0,"Automático",IF($PL135="Ataque",IF($MR135="","Ataque","Ataque "&amp;IF(($MR135+2*IF(COUNTIF($MH135:$MK135,"Precisão")&gt;0,1,0))&gt;=0,"+","−")&amp;ABS(($MR135+2*IF(COUNTIF($MH135:$MK135,"Precisão")&gt;0,1,0)))),IF(LEFT($PL135,2)="TR",$PL135&amp;IF($MS135="",""," · CD "&amp;$MS135)&amp;IF(COUNTIF($MH135:$MK135,"Certeiro")&gt;0," · metade",""),"Sem rolagem"))))</f>
        <v/>
      </c>
      <c r="PN135" s="152">
        <f>IF(OR($MN135=0,$MT135=0),"",IF($MC135=0,IF(OR($NP135&gt;=1,$OM135=0),"Sem dano",$OM135&amp;"d6"&amp;IF($MF135="",""," "&amp;$MF135)),IF(OR($NP135&gt;=1,$OM135=0),UPPER(LEFT(INDEX($OV135:$PB135,1,MAX(1,$MC135)),1))&amp;MID(INDEX($OV135:$PB135,1,MAX(1,$MC135)),2,99),UPPER(LEFT(INDEX($OV135:$PB135,1,MAX(1,$MC135)),1))&amp;MID(INDEX($OV135:$PB135,1,MAX(1,$MC135)),2,99)&amp;IF($MF135="",""," "&amp;$MF135)&amp;IF($ON135&gt;0," · +"&amp;$ON135&amp;"d8",""))))</f>
        <v/>
      </c>
      <c r="PO135" s="152">
        <f>COUNTIF($MH135:$MK135,"Longe")+3*COUNTIF($MH135:$MK135,"Muito Longe")</f>
        <v/>
      </c>
      <c r="PP135" s="152">
        <f>COUNTIF($MH135:$MK135,"Maior")+3*COUNTIF($MH135:$MK135,"Muito Maior")</f>
        <v/>
      </c>
      <c r="PQ135" s="152">
        <f>IF($MT135=0,0,CHOOSE(1+INDEX($AC$2:$AC$11,$MT135),0,$PO135,$PP135,$PO135+$PP135))</f>
        <v/>
      </c>
      <c r="PR135" s="152">
        <f>IF($MT135=0,0,CHOOSE(1+INDEX($AD$2:$AD$11,$MT135),0,$PO135,$PP135,$PO135+$PP135))</f>
        <v/>
      </c>
      <c r="PS135" s="152">
        <f>IF(OR($MN135=0,$MT135=0),"",INDEX($AI$2:$AN$41,($MT135-1)*4+IF($MC135=0,1,IF($MC135&lt;=5,2,IF($MC135=6,3,4))),1+MIN(5,$PQ135))&amp;INDEX($AO$2:$AT$41,($MT135-1)*4+IF($MC135=0,1,IF($MC135&lt;=5,2,IF($MC135=6,3,4))),1+MIN(5,$PR135))&amp;IF(INDEX($AE$2:$AE$11,$MT135)=1,IF(COUNTIF($MH135:$MK135,"Mais Um")&gt;0," · +"&amp;COUNTIF($MH135:$MK135,"Mais Um")&amp;IF(COUNTIF($MH135:$MK135,"Mais Um")&gt;1," alvos"," alvo"),"")&amp;IF(COUNTIF($MH135:$MK135,"Rajada")&gt;0,IF($MC135=0," · 1 tiro"," · "&amp;(MAX(1,$MC135-1)+1)&amp;" tiros"),""),""))</f>
        <v/>
      </c>
      <c r="PT135" s="152">
        <f>IF($MN135=0,"",IF($MC135=0,$MQ135&amp;"d6"&amp;IF($OD135&gt;0," − 1 = "&amp;$OM135&amp;"d6"," da básica do nível "&amp;$MO135),$OK135&amp;" − "&amp;$OF135&amp;" + "&amp;$OI135&amp;" = "&amp;$OL135&amp;" · teto "&amp;4*$MC135&amp;"d8"&amp;IF($NO135=1," · a Forma devolve "&amp;$MC135,"")&amp;IF($OJ135&gt;0," · perde "&amp;$OJ135,"")))</f>
        <v/>
      </c>
      <c r="PU135" s="152">
        <f>IF($MN135=0,"",IF($MC135=0,"A básica não amplia: os dados dela sobem com o nível",IF($MC135&gt;=$MP135,"Já está na maior Classe que o nível liberou",TEXTJOIN(" · ",TRUE,IF(AND(2&gt;$MC135,2&lt;=$MP135),"2 → "&amp;$OW135&amp;", 6 PE",""),IF(AND(3&gt;$MC135,3&lt;=$MP135),"3 → "&amp;$OX135&amp;", 9 PE",""),IF(AND(4&gt;$MC135,4&lt;=$MP135),"4 → "&amp;$OY135&amp;", 12 PE",""),IF(AND(5&gt;$MC135,5&lt;=$MP135),"5 → "&amp;$OZ135&amp;", 15 PE",""),IF(AND(6&gt;$MC135,6&lt;=$MP135),"6 → "&amp;$PA135&amp;", 18 PE",""),IF(AND(7&gt;$MC135,7&lt;=$MP135),"7 → "&amp;$PB135&amp;", 21 PE","")))))</f>
        <v/>
      </c>
      <c r="PV135" s="152">
        <f>IF(OR($MN135=0,$MY135=0),"",IF($MC135=0,"−1 dado","−"&amp;INDEX($I$2:$N$8,MAX(1,$MC135),MAX(1,$ND135))&amp;" · "&amp;CHOOSE(MAX(1,$ND135),"Leve","Média","Pesada","Leve · Livre","Média · Livre","Pesada · Livre")))</f>
        <v/>
      </c>
      <c r="PW135" s="152">
        <f>IF(OR($MN135=0,$MZ135=0),"",IF($MC135=0,"−1 dado","−"&amp;INDEX($I$2:$N$8,MAX(1,$MC135),MAX(1,$NE135))&amp;" · "&amp;CHOOSE(MAX(1,$NE135),"Leve","Média","Pesada","Leve · Livre","Média · Livre","Pesada · Livre")))</f>
        <v/>
      </c>
      <c r="PX135" s="152">
        <f>IF(OR($MN135=0,$NA135=0),"",IF($MC135=0,"−1 dado","−"&amp;INDEX($I$2:$N$8,MAX(1,$MC135),MAX(1,$NF135))&amp;" · "&amp;CHOOSE(MAX(1,$NF135),"Leve","Média","Pesada","Leve · Livre","Média · Livre","Pesada · Livre")))</f>
        <v/>
      </c>
      <c r="PY135" s="152">
        <f>IF(OR($MN135=0,$NB135=0),"",IF($MC135=0,"−1 dado","−"&amp;INDEX($I$2:$N$8,MAX(1,$MC135),MAX(1,$NG135))&amp;" · "&amp;CHOOSE(MAX(1,$NG135),"Leve","Média","Pesada","Leve · Livre","Média · Livre","Pesada · Livre")))</f>
        <v/>
      </c>
      <c r="PZ135" s="152">
        <f>IF(OR($MN135=0,$ML135=""),"",IF($MC135=0,"não devolve","+"&amp;IF($NR135=1,CEILING($MC135/2,1),$MC135)))</f>
        <v/>
      </c>
      <c r="QA135" s="152">
        <f>IF(OR($MN135=0,$MM135=""),"",IF($MC135=0,"não devolve","+"&amp;IF($NS135=1,CEILING($MC135/2,1),$MC135)))</f>
        <v/>
      </c>
    </row>
    <row r="136">
      <c r="LX136" s="150" t="inlineStr">
        <is>
          <t>Ficha 11 · Especial 3</t>
        </is>
      </c>
      <c r="LY136" s="152" t="n">
        <v>11</v>
      </c>
      <c r="LZ136" s="152" t="n">
        <v>1</v>
      </c>
      <c r="MA136" s="152" t="n">
        <v>8</v>
      </c>
      <c r="MB136" s="150" t="inlineStr">
        <is>
          <t>ESPECIAL 3</t>
        </is>
      </c>
      <c r="MC136" s="152">
        <f>MAX(1,MIN(7,N('INVOCAÇÕES'!$AH$884)))</f>
        <v/>
      </c>
      <c r="MD136" s="152">
        <f>'INVOCAÇÕES'!$AI$884&amp;""</f>
        <v/>
      </c>
      <c r="ME136" s="152">
        <f>'INVOCAÇÕES'!$AH$889&amp;""</f>
        <v/>
      </c>
      <c r="MF136" s="152">
        <f>'INVOCAÇÕES'!$AH$890&amp;""</f>
        <v/>
      </c>
      <c r="MG136" s="152">
        <f>'INVOCAÇÕES'!$AJ$890&amp;""</f>
        <v/>
      </c>
      <c r="MH136" s="152">
        <f>'INVOCAÇÕES'!$AI$893&amp;""</f>
        <v/>
      </c>
      <c r="MI136" s="152">
        <f>'INVOCAÇÕES'!$AI$894&amp;""</f>
        <v/>
      </c>
      <c r="MJ136" s="152">
        <f>'INVOCAÇÕES'!$AI$895&amp;""</f>
        <v/>
      </c>
      <c r="MK136" s="152">
        <f>'INVOCAÇÕES'!$AI$896&amp;""</f>
        <v/>
      </c>
      <c r="ML136" s="152">
        <f>'INVOCAÇÕES'!$AI$897&amp;""</f>
        <v/>
      </c>
      <c r="MM136" s="152">
        <f>'INVOCAÇÕES'!$AI$898&amp;""</f>
        <v/>
      </c>
      <c r="MN136" s="152">
        <f>IF($MD136&lt;&gt;"",1,0)</f>
        <v/>
      </c>
      <c r="MO136" s="152">
        <f>INDEX($FG$2:$FG$13,$LY136)</f>
        <v/>
      </c>
      <c r="MP136" s="152">
        <f>INDEX($FH$2:$FH$13,$LY136)</f>
        <v/>
      </c>
      <c r="MQ136" s="152">
        <f>INDEX($FI$2:$FI$13,$LY136)</f>
        <v/>
      </c>
      <c r="MR136" s="152">
        <f>INDEX($FT$2:$FT$13,$LY136)</f>
        <v/>
      </c>
      <c r="MS136" s="152">
        <f>INDEX($FU$2:$FU$13,$LY136)</f>
        <v/>
      </c>
      <c r="MT136" s="152">
        <f>IFERROR(MATCH($ME136,$V$2:$V$11,0),0)</f>
        <v/>
      </c>
      <c r="MU136" s="152">
        <f>IFERROR(VLOOKUP($MH136,$AV$2:$AZ$84,2,FALSE),"")</f>
        <v/>
      </c>
      <c r="MV136" s="152">
        <f>IFERROR(VLOOKUP($MI136,$AV$2:$AZ$84,2,FALSE),"")</f>
        <v/>
      </c>
      <c r="MW136" s="152">
        <f>IFERROR(VLOOKUP($MJ136,$AV$2:$AZ$84,2,FALSE),"")</f>
        <v/>
      </c>
      <c r="MX136" s="152">
        <f>IFERROR(VLOOKUP($MK136,$AV$2:$AZ$84,2,FALSE),"")</f>
        <v/>
      </c>
      <c r="MY136" s="152">
        <f>IFERROR(VLOOKUP($MH136,$AV$2:$AZ$84,3,FALSE),0)</f>
        <v/>
      </c>
      <c r="MZ136" s="152">
        <f>IFERROR(VLOOKUP($MI136,$AV$2:$AZ$84,3,FALSE),0)</f>
        <v/>
      </c>
      <c r="NA136" s="152">
        <f>IFERROR(VLOOKUP($MJ136,$AV$2:$AZ$84,3,FALSE),0)</f>
        <v/>
      </c>
      <c r="NB136" s="152">
        <f>IFERROR(VLOOKUP($MK136,$AV$2:$AZ$84,3,FALSE),0)</f>
        <v/>
      </c>
      <c r="NC136" s="152">
        <f>IF($MC136=0,0,IF($MT136=0,0,INDEX($X$2:$X$11,$MT136)))</f>
        <v/>
      </c>
      <c r="ND136" s="152">
        <f>IF(OR($MY136=0,$MC136=0),0,$MY136+3*IF(AND($MU136&lt;&gt;"",OR($MU136=INDEX($ED$2:$ED$13,$LY136),$MU136=INDEX($EE$2:$EE$13,$LY136))),1,0))</f>
        <v/>
      </c>
      <c r="NE136" s="152">
        <f>IF(OR($MZ136=0,$MC136=0),0,$MZ136+3*IF(AND($MV136&lt;&gt;"",OR($MV136=INDEX($ED$2:$ED$13,$LY136),$MV136=INDEX($EE$2:$EE$13,$LY136))),1,0))</f>
        <v/>
      </c>
      <c r="NF136" s="152">
        <f>IF(OR($NA136=0,$MC136=0),0,$NA136+3*IF(AND($MW136&lt;&gt;"",OR($MW136=INDEX($ED$2:$ED$13,$LY136),$MW136=INDEX($EE$2:$EE$13,$LY136))),1,0))</f>
        <v/>
      </c>
      <c r="NG136" s="152">
        <f>IF(OR($NB136=0,$MC136=0),0,$NB136+3*IF(AND($MX136&lt;&gt;"",OR($MX136=INDEX($ED$2:$ED$13,$LY136),$MX136=INDEX($EE$2:$EE$13,$LY136))),1,0))</f>
        <v/>
      </c>
      <c r="NH136" s="152">
        <f>IF($MT136=0,0,IF(INDEX($W$2:$W$11,$MT136)="",0,IF(COUNTIF(INDEX($ED$2:$EH$13,$LY136,0),INDEX($W$2:$W$11,$MT136))=0,1,0)))</f>
        <v/>
      </c>
      <c r="NI136" s="152">
        <f>IF(OR($MY136=0,$MU136=""),0,IF(COUNTIF(INDEX($ED$2:$EH$13,$LY136,0),$MU136)=0,1,0))</f>
        <v/>
      </c>
      <c r="NJ136" s="152">
        <f>IF(OR($MZ136=0,$MV136=""),0,IF(COUNTIF(INDEX($ED$2:$EH$13,$LY136,0),$MV136)=0,1,0))</f>
        <v/>
      </c>
      <c r="NK136" s="152">
        <f>IF(OR($NA136=0,$MW136=""),0,IF(COUNTIF(INDEX($ED$2:$EH$13,$LY136,0),$MW136)=0,1,0))</f>
        <v/>
      </c>
      <c r="NL136" s="152">
        <f>IF(OR($NB136=0,$MX136=""),0,IF(COUNTIF(INDEX($ED$2:$EH$13,$LY136,0),$MX136)=0,1,0))</f>
        <v/>
      </c>
      <c r="NM136" s="152">
        <f>IFERROR(VLOOKUP($MH136,$AV$2:$AZ$84,4,FALSE),0)+IFERROR(VLOOKUP($MI136,$AV$2:$AZ$84,4,FALSE),0)+IFERROR(VLOOKUP($MJ136,$AV$2:$AZ$84,4,FALSE),0)+IFERROR(VLOOKUP($MK136,$AV$2:$AZ$84,4,FALSE),0)</f>
        <v/>
      </c>
      <c r="NN136" s="152">
        <f>TEXTJOIN(", ",TRUE,IF(IFERROR(VLOOKUP($MH136,$AV$2:$AZ$84,5,FALSE),0)=1,$MH136,""),IF(IFERROR(VLOOKUP($MI136,$AV$2:$AZ$84,5,FALSE),0)=1,$MI136,""),IF(IFERROR(VLOOKUP($MJ136,$AV$2:$AZ$84,5,FALSE),0)=1,$MJ136,""),IF(IFERROR(VLOOKUP($MK136,$AV$2:$AZ$84,5,FALSE),0)=1,$MK136,""))</f>
        <v/>
      </c>
      <c r="NO136" s="152">
        <f>IF($MT136=0,0,INDEX($Y$2:$Y$11,$MT136))</f>
        <v/>
      </c>
      <c r="NP136" s="152">
        <f>IF($MT136=0,0,INDEX($Z$2:$Z$11,$MT136))</f>
        <v/>
      </c>
      <c r="NQ136" s="152">
        <f>IF($MT136=0,0,INDEX($AB$2:$AB$11,$MT136))</f>
        <v/>
      </c>
      <c r="NR136" s="152">
        <f>IFERROR(VLOOKUP($ML136,$BB$2:$BF$24,3,FALSE),0)</f>
        <v/>
      </c>
      <c r="NS136" s="152">
        <f>IFERROR(VLOOKUP($MM136,$BB$2:$BF$24,3,FALSE),0)</f>
        <v/>
      </c>
      <c r="NT136" s="152">
        <f>IFERROR(VLOOKUP($ML136,$BB$2:$BF$24,2,FALSE),"")</f>
        <v/>
      </c>
      <c r="NU136" s="152">
        <f>IFERROR(VLOOKUP($MM136,$BB$2:$BF$24,2,FALSE),"")</f>
        <v/>
      </c>
      <c r="NV136" s="152">
        <f>COUNTIF($NC136:$NG136,1)</f>
        <v/>
      </c>
      <c r="NW136" s="152">
        <f>COUNTIF($NC136:$NG136,2)</f>
        <v/>
      </c>
      <c r="NX136" s="152">
        <f>COUNTIF($NC136:$NG136,3)</f>
        <v/>
      </c>
      <c r="NY136" s="152">
        <f>COUNTIF($NC136:$NG136,4)</f>
        <v/>
      </c>
      <c r="NZ136" s="152">
        <f>COUNTIF($NC136:$NG136,5)</f>
        <v/>
      </c>
      <c r="OA136" s="152">
        <f>COUNTIF($NC136:$NG136,6)</f>
        <v/>
      </c>
      <c r="OB136" s="152">
        <f>COUNTIF($NR136:$NS136,1)</f>
        <v/>
      </c>
      <c r="OC136" s="152">
        <f>COUNTIF($NR136:$NS136,2)+$NO136</f>
        <v/>
      </c>
      <c r="OD136" s="152">
        <f>COUNTIF($MH136:$MK136,"?*")</f>
        <v/>
      </c>
      <c r="OE136" s="152">
        <f>COUNTIF($ML136:$MM136,"?*")+$NO136</f>
        <v/>
      </c>
      <c r="OF136" s="152">
        <f>IF($MC136=0,0,SUMPRODUCT($NV136:$OA136,INDEX($I$2:$N$8,MAX(1,$MC136),0)))</f>
        <v/>
      </c>
      <c r="OG136" s="152">
        <f>IF($MC136=0,0,$OB136*CEILING($MC136/2,1)+$OC136*$MC136)</f>
        <v/>
      </c>
      <c r="OH136" s="152">
        <f>MIN(2*$MC136,$OG136)</f>
        <v/>
      </c>
      <c r="OI136" s="152">
        <f>MIN($OH136,$OF136)</f>
        <v/>
      </c>
      <c r="OJ136" s="152">
        <f>$OH136-$OI136</f>
        <v/>
      </c>
      <c r="OK136" s="152">
        <f>IF($MC136=0,0,INDEX($P$2:$P$8,MAX(1,$MC136)))</f>
        <v/>
      </c>
      <c r="OL136" s="152">
        <f>$OK136-$OF136+$OI136</f>
        <v/>
      </c>
      <c r="OM136" s="152">
        <f>IF($MC136=0,MAX(0,$MQ136-IF($OD136&gt;0,1,0)),MAX(0,$OL136))</f>
        <v/>
      </c>
      <c r="ON136" s="152">
        <f>IF($MC136=0,0,(IF(COUNTIF($MH136:$MK136,"Salto")&gt;0,1,0)+IF(COUNTIF($MH136:$MK136,"Queima")&gt;0,1,0)+IF(COUNTIF($MH136:$MK136,"Estilhaço")&gt;0,1,0))*FLOOR($OM136/2,1))</f>
        <v/>
      </c>
      <c r="OO136" s="152">
        <f>MAX(0,2-SUMPRODUCT($NV136:$OA136,$I$2:$N$2)+MIN(2,$OB136*1+$OC136*1,SUMPRODUCT($NV136:$OA136,$I$2:$N$2)))</f>
        <v/>
      </c>
      <c r="OP136" s="152">
        <f>MAX(0,4-SUMPRODUCT($NV136:$OA136,$I$3:$N$3)+MIN(4,$OB136*1+$OC136*2,SUMPRODUCT($NV136:$OA136,$I$3:$N$3)))</f>
        <v/>
      </c>
      <c r="OQ136" s="152">
        <f>MAX(0,6-SUMPRODUCT($NV136:$OA136,$I$4:$N$4)+MIN(6,$OB136*2+$OC136*3,SUMPRODUCT($NV136:$OA136,$I$4:$N$4)))</f>
        <v/>
      </c>
      <c r="OR136" s="152">
        <f>MAX(0,9-SUMPRODUCT($NV136:$OA136,$I$5:$N$5)+MIN(8,$OB136*2+$OC136*4,SUMPRODUCT($NV136:$OA136,$I$5:$N$5)))</f>
        <v/>
      </c>
      <c r="OS136" s="152">
        <f>MAX(0,11-SUMPRODUCT($NV136:$OA136,$I$6:$N$6)+MIN(10,$OB136*3+$OC136*5,SUMPRODUCT($NV136:$OA136,$I$6:$N$6)))</f>
        <v/>
      </c>
      <c r="OT136" s="152">
        <f>MAX(0,13-SUMPRODUCT($NV136:$OA136,$I$7:$N$7)+MIN(12,$OB136*3+$OC136*6,SUMPRODUCT($NV136:$OA136,$I$7:$N$7)))</f>
        <v/>
      </c>
      <c r="OU136" s="152">
        <f>MAX(0,16-SUMPRODUCT($NV136:$OA136,$I$8:$N$8)+MIN(14,$OB136*4+$OC136*7,SUMPRODUCT($NV136:$OA136,$I$8:$N$8)))</f>
        <v/>
      </c>
      <c r="OV136" s="152">
        <f>IF($NP136=2,3*$OO136&amp;" de vida temp.",IF($NP136=3,"sem dano",IF($OO136=0,IF($NP136=1,"sem cura","sem dano"),IF($NP136=1,"cura ","")&amp;$OO136&amp;"d8")))</f>
        <v/>
      </c>
      <c r="OW136" s="152">
        <f>IF($NP136=2,3*$OP136&amp;" de vida temp.",IF($NP136=3,"sem dano",IF($OP136=0,IF($NP136=1,"sem cura","sem dano"),IF($NP136=1,"cura ","")&amp;$OP136&amp;"d8")))</f>
        <v/>
      </c>
      <c r="OX136" s="152">
        <f>IF($NP136=2,3*$OQ136&amp;" de vida temp.",IF($NP136=3,"sem dano",IF($OQ136=0,IF($NP136=1,"sem cura","sem dano"),IF($NP136=1,"cura ","")&amp;$OQ136&amp;"d8")))</f>
        <v/>
      </c>
      <c r="OY136" s="152">
        <f>IF($NP136=2,3*$OR136&amp;" de vida temp.",IF($NP136=3,"sem dano",IF($OR136=0,IF($NP136=1,"sem cura","sem dano"),IF($NP136=1,"cura ","")&amp;$OR136&amp;"d8")))</f>
        <v/>
      </c>
      <c r="OZ136" s="152">
        <f>IF($NP136=2,3*$OS136&amp;" de vida temp.",IF($NP136=3,"sem dano",IF($OS136=0,IF($NP136=1,"sem cura","sem dano"),IF($NP136=1,"cura ","")&amp;$OS136&amp;"d8")))</f>
        <v/>
      </c>
      <c r="PA136" s="152">
        <f>IF($NP136=2,3*$OT136&amp;" de vida temp.",IF($NP136=3,"sem dano",IF($OT136=0,IF($NP136=1,"sem cura","sem dano"),IF($NP136=1,"cura ","")&amp;$OT136&amp;"d8")))</f>
        <v/>
      </c>
      <c r="PB136" s="152">
        <f>IF($NP136=2,3*$OU136&amp;" de vida temp.",IF($NP136=3,"sem dano",IF($OU136=0,IF($NP136=1,"sem cura","sem dano"),IF($NP136=1,"cura ","")&amp;$OU136&amp;"d8")))</f>
        <v/>
      </c>
      <c r="PC136" s="152">
        <f>IF($MN136=0,"",TEXTJOIN(" · ",TRUE,IF($MA136&gt;$MO136,"Este lugar abre no nível "&amp;$MA136,""),IF($MC136&gt;$MP136,"Classe "&amp;$MC136&amp;": o nível "&amp;$MO136&amp;" libera até a "&amp;$MP136,""),IF($NH136=1,"A Forma "&amp;$ME136&amp;" pede "&amp;INDEX($W$2:$W$11,$MT136)&amp;" aberta",""),IF(AND($MC136=0,$MT136&gt;0,IF($MT136=0,0,INDEX($AF$2:$AF$11,$MT136))=0),$ME136&amp;" não existe na Classe 0",""),IF($NI136=1,"Família Fechada: "&amp;$MH136,""),IF($NJ136=1,"Família Fechada: "&amp;$MI136,""),IF($NK136=1,"Família Fechada: "&amp;$MJ136,""),IF($NL136=1,"Família Fechada: "&amp;$MK136,""),IF(AND($MC136&gt;0,$OD136&gt;INDEX($O$2:$O$8,MAX(1,$MC136))),$OD136&amp;" Melhorias: a Classe "&amp;$MC136&amp;" aceita "&amp;INDEX($O$2:$O$8,MAX(1,$MC136)),""),IF(AND($MC136=0,$OD136&gt;1),"A básica aceita uma Melhoria",""),IF(AND($MC136=0,COUNTIF($MY136:$NB136,"&gt;1")&gt;0),"A básica só aceita Melhoria Leve",""),IF(AND($MC136&gt;0,$OE136&gt;2),$OE136&amp;" Restrições"&amp;IF($NO136=1,", contando a que a Forma "&amp;$ME136&amp;" já traz","")&amp;": o limite é 2",""),IF(AND($MC136=0,COUNTIF($ML136:$MM136,"?*")&gt;1),"A básica aceita uma Restrição Leve",""),IF(AND($MC136=0,COUNTIF($NR136:$NS136,2)&gt;0),"A básica só aceita Restrição Leve",""),IF(AND($MC136&gt;0,$OL136&lt;0),"Orçamento estourado: faltam "&amp;(-$OL136)&amp;IF($OL136&lt;-1," pontos"," ponto"),""),IF(IFERROR(VLOOKUP($ML136,$BB$2:$BF$24,4,FALSE),0)+IFERROR(VLOOKUP($MM136,$BB$2:$BF$24,4,FALSE),0)&gt;1,$NT136&amp;" e "&amp;$NU136&amp;" são as duas de frequência",""),IF(AND((COUNTIF($MH136:$MK136,"Rápido")+COUNTIF($NT136:$NU136,"Rápido"))&gt;0,(COUNTIF($MH136:$MK136,"Atrasar")+COUNTIF($NT136:$NU136,"Atrasar"))&gt;0),"Rápido não entra com Atrasar",""),IF(AND((COUNTIF($MH136:$MK136,"Reação")+COUNTIF($NT136:$NU136,"Reação"))&gt;0,(COUNTIF($MH136:$MK136,"Rápido")+COUNTIF($NT136:$NU136,"Rápido"))&gt;0),"Reação não entra com Rápido",""),IF(AND((COUNTIF($MH136:$MK136,"Reação")+COUNTIF($NT136:$NU136,"Reação"))&gt;0,(COUNTIF($MH136:$MK136,"Armado")+COUNTIF($NT136:$NU136,"Armado"))&gt;0),"Reação não entra com Armado",""),IF(AND((COUNTIF($MH136:$MK136,"Reação")+COUNTIF($NT136:$NU136,"Reação"))&gt;0,(COUNTIF($MH136:$MK136,"Atrasar")+COUNTIF($NT136:$NU136,"Atrasar"))&gt;0),"Reação não entra com Atrasar",""),IF(AND((COUNTIF($MH136:$MK136,"Reação")+COUNTIF($NT136:$NU136,"Reação"))&gt;0,(COUNTIF($MH136:$MK136,"Parado")+COUNTIF($NT136:$NU136,"Parado"))&gt;0),"Reação não entra com Parado",""),IF(AND((COUNTIF($MH136:$MK136,"Atrasar")+COUNTIF($NT136:$NU136,"Atrasar"))&gt;0,(COUNTIF($MH136:$MK136,"Parado")+COUNTIF($NT136:$NU136,"Parado"))&gt;0),"Atrasar não entra com Parado",""),IF(AND((COUNTIF($MH136:$MK136,"Armado")+COUNTIF($NT136:$NU136,"Armado"))&gt;0,(COUNTIF($MH136:$MK136,"Carregar")+COUNTIF($NT136:$NU136,"Carregar"))&gt;0),"Armado não entra com Carregar",""),IF(AND(COUNTIF($NT136:$NU136,"Corpo a Corpo")&gt;0,$NO136=0,OR($ME136="Cone",$ME136="Linha")),"Corpo a Corpo não entra em "&amp;$ME136,""),IF(AND(COUNTIF($NT136:$NU136,"Corpo a Corpo")&gt;0,$NO136=1),"A Forma "&amp;$ME136&amp;" já traz o Corpo a Corpo",""),IF(AND(COUNTIF($NT136:$NU136,"Tudo ou Nada")&gt;0,$NQ136=0),"Tudo ou Nada só entra em habilidade de Teste de Resistência",""),IF(AND(COUNTIF($MH136:$MK136,"Inescapável")&gt;0,OR($OD136&gt;1,$OE136&gt;0)),"Inescapável não aceita outra peça",""),IF(AND($MC136&gt;0,$OM136*IF(COUNTIF($MH136:$MK136,"Remate")&gt;0,1.25,1)+$ON136&gt;4*$MC136),($OM136*IF(COUNTIF($MH136:$MK136,"Remate")&gt;0,1.25,1)+$ON136)&amp;" dados somando repetições"&amp;IF(COUNTIF($MH136:$MK136,"Remate")&gt;0," e o Remate","")&amp;": o teto da Classe "&amp;$MC136&amp;" é "&amp;4*$MC136,"")))</f>
        <v/>
      </c>
      <c r="PD136" s="152">
        <f>IF($PC136="",0,(LEN($PC136)-LEN(SUBSTITUTE($PC136," · ","")))/3+1)</f>
        <v/>
      </c>
      <c r="PE136" s="152">
        <f>IF($MN136=0,"",TEXTJOIN(" · ",TRUE,IF($OG136&gt;2*$MC136,"A devolução parou no teto de "&amp;2*$MC136,""),IF($OJ136&gt;0,"Devolução perdida: "&amp;$OJ136&amp;IF($OJ136&gt;1," pontos"," ponto")&amp;" sem peça para pagar",""),IF(AND($NM136&gt;0,AND($MC136&gt;0,$NP136=0),$OM136=0),"Controle sem dano: uma rodada a mais e CD +2",""),IF(AND($NM136&gt;0,AND($MC136&gt;0,$NP136=0),$OM136&gt;0,$OM136&lt;=$MC136),"Controle com saldo até a Classe: uma rodada a mais",""),IF(AND($MC136&gt;0,$NN136&lt;&gt;""),"Efeito de "&amp;$NN136&amp;" pela Classe "&amp;MAX(1,$MC136-1),"")))</f>
        <v/>
      </c>
      <c r="PF136" s="152">
        <f>IF($PE136="",0,(LEN($PE136)-LEN(SUBSTITUTE($PE136," · ","")))/3+1)</f>
        <v/>
      </c>
      <c r="PG136" s="152">
        <f>IF($MN136=0,IF($OD136+COUNTIF($ML136:$MM136,"?*")&gt;0,"Dê um nome",""),IF($PD136&gt;0,"⚠ "&amp;$PD136&amp;IF($PD136&gt;1," erros"," erro"),IF($PF136&gt;0,"! "&amp;$PF136&amp;IF($PF136&gt;1," avisos"," aviso"),"Na regra")))</f>
        <v/>
      </c>
      <c r="PH136" s="152">
        <f>IF($MN136=0,"",IF($PD136+$PF136=0,"Dentro das regras que a ficha confere",$PC136&amp;IF(AND($PD136&gt;0,$PF136&gt;0)," · ","")&amp;$PE136))</f>
        <v/>
      </c>
      <c r="PI136" s="152">
        <f>IF($MA136&gt;$MO136,$MB136&amp;" · ABRE NO NÍVEL "&amp;$MA136,$MB136)</f>
        <v/>
      </c>
      <c r="PJ136" s="152">
        <f>IF($MN136=0,"",IF($MC136=0,"Sem PE",3*$MC136&amp;" PE"))</f>
        <v/>
      </c>
      <c r="PK136" s="152">
        <f>IF($MN136=0,"",IF($MC136=0,"A atuação básica dela",IF(COUNTIF($NT136:$NU136,"Atrasar")&gt;0,"Sua Ação Completa",IF(COUNTIF($MH136:$MK136,"Rápido")&gt;0,"Sua Bônus",IF(COUNTIF($MH136:$MK136,"Reação")&gt;0,"Sua Reação","Sua Padrão")))&amp;" + a básica dela"&amp;IF(COUNTIF($MH136:$MK136,"Reação")&gt;0," e a coletiva","")&amp;IF(COUNTIF($NT136:$NU136,"Carregar")&gt;0," · em dois turnos","")))</f>
        <v/>
      </c>
      <c r="PL136" s="152">
        <f>IF($MG136&lt;&gt;"",$MG136,IF($MT136=0,"",INDEX($AA$2:$AA$11,$MT136)))</f>
        <v/>
      </c>
      <c r="PM136" s="152">
        <f>IF(OR($MN136=0,$MT136=0),"",IF(COUNTIF($MH136:$MK136,"Inescapável")&gt;0,"Automático",IF($PL136="Ataque",IF($MR136="","Ataque","Ataque "&amp;IF(($MR136+2*IF(COUNTIF($MH136:$MK136,"Precisão")&gt;0,1,0))&gt;=0,"+","−")&amp;ABS(($MR136+2*IF(COUNTIF($MH136:$MK136,"Precisão")&gt;0,1,0)))),IF(LEFT($PL136,2)="TR",$PL136&amp;IF($MS136="",""," · CD "&amp;$MS136)&amp;IF(COUNTIF($MH136:$MK136,"Certeiro")&gt;0," · metade",""),"Sem rolagem"))))</f>
        <v/>
      </c>
      <c r="PN136" s="152">
        <f>IF(OR($MN136=0,$MT136=0),"",IF($MC136=0,IF(OR($NP136&gt;=1,$OM136=0),"Sem dano",$OM136&amp;"d6"&amp;IF($MF136="",""," "&amp;$MF136)),IF(OR($NP136&gt;=1,$OM136=0),UPPER(LEFT(INDEX($OV136:$PB136,1,MAX(1,$MC136)),1))&amp;MID(INDEX($OV136:$PB136,1,MAX(1,$MC136)),2,99),UPPER(LEFT(INDEX($OV136:$PB136,1,MAX(1,$MC136)),1))&amp;MID(INDEX($OV136:$PB136,1,MAX(1,$MC136)),2,99)&amp;IF($MF136="",""," "&amp;$MF136)&amp;IF($ON136&gt;0," · +"&amp;$ON136&amp;"d8",""))))</f>
        <v/>
      </c>
      <c r="PO136" s="152">
        <f>COUNTIF($MH136:$MK136,"Longe")+3*COUNTIF($MH136:$MK136,"Muito Longe")</f>
        <v/>
      </c>
      <c r="PP136" s="152">
        <f>COUNTIF($MH136:$MK136,"Maior")+3*COUNTIF($MH136:$MK136,"Muito Maior")</f>
        <v/>
      </c>
      <c r="PQ136" s="152">
        <f>IF($MT136=0,0,CHOOSE(1+INDEX($AC$2:$AC$11,$MT136),0,$PO136,$PP136,$PO136+$PP136))</f>
        <v/>
      </c>
      <c r="PR136" s="152">
        <f>IF($MT136=0,0,CHOOSE(1+INDEX($AD$2:$AD$11,$MT136),0,$PO136,$PP136,$PO136+$PP136))</f>
        <v/>
      </c>
      <c r="PS136" s="152">
        <f>IF(OR($MN136=0,$MT136=0),"",INDEX($AI$2:$AN$41,($MT136-1)*4+IF($MC136=0,1,IF($MC136&lt;=5,2,IF($MC136=6,3,4))),1+MIN(5,$PQ136))&amp;INDEX($AO$2:$AT$41,($MT136-1)*4+IF($MC136=0,1,IF($MC136&lt;=5,2,IF($MC136=6,3,4))),1+MIN(5,$PR136))&amp;IF(INDEX($AE$2:$AE$11,$MT136)=1,IF(COUNTIF($MH136:$MK136,"Mais Um")&gt;0," · +"&amp;COUNTIF($MH136:$MK136,"Mais Um")&amp;IF(COUNTIF($MH136:$MK136,"Mais Um")&gt;1," alvos"," alvo"),"")&amp;IF(COUNTIF($MH136:$MK136,"Rajada")&gt;0,IF($MC136=0," · 1 tiro"," · "&amp;(MAX(1,$MC136-1)+1)&amp;" tiros"),""),""))</f>
        <v/>
      </c>
      <c r="PT136" s="152">
        <f>IF($MN136=0,"",IF($MC136=0,$MQ136&amp;"d6"&amp;IF($OD136&gt;0," − 1 = "&amp;$OM136&amp;"d6"," da básica do nível "&amp;$MO136),$OK136&amp;" − "&amp;$OF136&amp;" + "&amp;$OI136&amp;" = "&amp;$OL136&amp;" · teto "&amp;4*$MC136&amp;"d8"&amp;IF($NO136=1," · a Forma devolve "&amp;$MC136,"")&amp;IF($OJ136&gt;0," · perde "&amp;$OJ136,"")))</f>
        <v/>
      </c>
      <c r="PU136" s="152">
        <f>IF($MN136=0,"",IF($MC136=0,"A básica não amplia: os dados dela sobem com o nível",IF($MC136&gt;=$MP136,"Já está na maior Classe que o nível liberou",TEXTJOIN(" · ",TRUE,IF(AND(2&gt;$MC136,2&lt;=$MP136),"2 → "&amp;$OW136&amp;", 6 PE",""),IF(AND(3&gt;$MC136,3&lt;=$MP136),"3 → "&amp;$OX136&amp;", 9 PE",""),IF(AND(4&gt;$MC136,4&lt;=$MP136),"4 → "&amp;$OY136&amp;", 12 PE",""),IF(AND(5&gt;$MC136,5&lt;=$MP136),"5 → "&amp;$OZ136&amp;", 15 PE",""),IF(AND(6&gt;$MC136,6&lt;=$MP136),"6 → "&amp;$PA136&amp;", 18 PE",""),IF(AND(7&gt;$MC136,7&lt;=$MP136),"7 → "&amp;$PB136&amp;", 21 PE","")))))</f>
        <v/>
      </c>
      <c r="PV136" s="152">
        <f>IF(OR($MN136=0,$MY136=0),"",IF($MC136=0,"−1 dado","−"&amp;INDEX($I$2:$N$8,MAX(1,$MC136),MAX(1,$ND136))&amp;" · "&amp;CHOOSE(MAX(1,$ND136),"Leve","Média","Pesada","Leve · Livre","Média · Livre","Pesada · Livre")))</f>
        <v/>
      </c>
      <c r="PW136" s="152">
        <f>IF(OR($MN136=0,$MZ136=0),"",IF($MC136=0,"−1 dado","−"&amp;INDEX($I$2:$N$8,MAX(1,$MC136),MAX(1,$NE136))&amp;" · "&amp;CHOOSE(MAX(1,$NE136),"Leve","Média","Pesada","Leve · Livre","Média · Livre","Pesada · Livre")))</f>
        <v/>
      </c>
      <c r="PX136" s="152">
        <f>IF(OR($MN136=0,$NA136=0),"",IF($MC136=0,"−1 dado","−"&amp;INDEX($I$2:$N$8,MAX(1,$MC136),MAX(1,$NF136))&amp;" · "&amp;CHOOSE(MAX(1,$NF136),"Leve","Média","Pesada","Leve · Livre","Média · Livre","Pesada · Livre")))</f>
        <v/>
      </c>
      <c r="PY136" s="152">
        <f>IF(OR($MN136=0,$NB136=0),"",IF($MC136=0,"−1 dado","−"&amp;INDEX($I$2:$N$8,MAX(1,$MC136),MAX(1,$NG136))&amp;" · "&amp;CHOOSE(MAX(1,$NG136),"Leve","Média","Pesada","Leve · Livre","Média · Livre","Pesada · Livre")))</f>
        <v/>
      </c>
      <c r="PZ136" s="152">
        <f>IF(OR($MN136=0,$ML136=""),"",IF($MC136=0,"não devolve","+"&amp;IF($NR136=1,CEILING($MC136/2,1),$MC136)))</f>
        <v/>
      </c>
      <c r="QA136" s="152">
        <f>IF(OR($MN136=0,$MM136=""),"",IF($MC136=0,"não devolve","+"&amp;IF($NS136=1,CEILING($MC136/2,1),$MC136)))</f>
        <v/>
      </c>
    </row>
    <row r="137">
      <c r="LX137" s="150" t="inlineStr">
        <is>
          <t>Ficha 11 · Especial 4</t>
        </is>
      </c>
      <c r="LY137" s="152" t="n">
        <v>11</v>
      </c>
      <c r="LZ137" s="152" t="n">
        <v>1</v>
      </c>
      <c r="MA137" s="152" t="n">
        <v>12</v>
      </c>
      <c r="MB137" s="150" t="inlineStr">
        <is>
          <t>ESPECIAL 4</t>
        </is>
      </c>
      <c r="MC137" s="152">
        <f>MAX(1,MIN(7,N('INVOCAÇÕES'!$AN$884)))</f>
        <v/>
      </c>
      <c r="MD137" s="152">
        <f>'INVOCAÇÕES'!$AO$884&amp;""</f>
        <v/>
      </c>
      <c r="ME137" s="152">
        <f>'INVOCAÇÕES'!$AN$889&amp;""</f>
        <v/>
      </c>
      <c r="MF137" s="152">
        <f>'INVOCAÇÕES'!$AN$890&amp;""</f>
        <v/>
      </c>
      <c r="MG137" s="152">
        <f>'INVOCAÇÕES'!$AP$890&amp;""</f>
        <v/>
      </c>
      <c r="MH137" s="152">
        <f>'INVOCAÇÕES'!$AO$893&amp;""</f>
        <v/>
      </c>
      <c r="MI137" s="152">
        <f>'INVOCAÇÕES'!$AO$894&amp;""</f>
        <v/>
      </c>
      <c r="MJ137" s="152">
        <f>'INVOCAÇÕES'!$AO$895&amp;""</f>
        <v/>
      </c>
      <c r="MK137" s="152">
        <f>'INVOCAÇÕES'!$AO$896&amp;""</f>
        <v/>
      </c>
      <c r="ML137" s="152">
        <f>'INVOCAÇÕES'!$AO$897&amp;""</f>
        <v/>
      </c>
      <c r="MM137" s="152">
        <f>'INVOCAÇÕES'!$AO$898&amp;""</f>
        <v/>
      </c>
      <c r="MN137" s="152">
        <f>IF($MD137&lt;&gt;"",1,0)</f>
        <v/>
      </c>
      <c r="MO137" s="152">
        <f>INDEX($FG$2:$FG$13,$LY137)</f>
        <v/>
      </c>
      <c r="MP137" s="152">
        <f>INDEX($FH$2:$FH$13,$LY137)</f>
        <v/>
      </c>
      <c r="MQ137" s="152">
        <f>INDEX($FI$2:$FI$13,$LY137)</f>
        <v/>
      </c>
      <c r="MR137" s="152">
        <f>INDEX($FT$2:$FT$13,$LY137)</f>
        <v/>
      </c>
      <c r="MS137" s="152">
        <f>INDEX($FU$2:$FU$13,$LY137)</f>
        <v/>
      </c>
      <c r="MT137" s="152">
        <f>IFERROR(MATCH($ME137,$V$2:$V$11,0),0)</f>
        <v/>
      </c>
      <c r="MU137" s="152">
        <f>IFERROR(VLOOKUP($MH137,$AV$2:$AZ$84,2,FALSE),"")</f>
        <v/>
      </c>
      <c r="MV137" s="152">
        <f>IFERROR(VLOOKUP($MI137,$AV$2:$AZ$84,2,FALSE),"")</f>
        <v/>
      </c>
      <c r="MW137" s="152">
        <f>IFERROR(VLOOKUP($MJ137,$AV$2:$AZ$84,2,FALSE),"")</f>
        <v/>
      </c>
      <c r="MX137" s="152">
        <f>IFERROR(VLOOKUP($MK137,$AV$2:$AZ$84,2,FALSE),"")</f>
        <v/>
      </c>
      <c r="MY137" s="152">
        <f>IFERROR(VLOOKUP($MH137,$AV$2:$AZ$84,3,FALSE),0)</f>
        <v/>
      </c>
      <c r="MZ137" s="152">
        <f>IFERROR(VLOOKUP($MI137,$AV$2:$AZ$84,3,FALSE),0)</f>
        <v/>
      </c>
      <c r="NA137" s="152">
        <f>IFERROR(VLOOKUP($MJ137,$AV$2:$AZ$84,3,FALSE),0)</f>
        <v/>
      </c>
      <c r="NB137" s="152">
        <f>IFERROR(VLOOKUP($MK137,$AV$2:$AZ$84,3,FALSE),0)</f>
        <v/>
      </c>
      <c r="NC137" s="152">
        <f>IF($MC137=0,0,IF($MT137=0,0,INDEX($X$2:$X$11,$MT137)))</f>
        <v/>
      </c>
      <c r="ND137" s="152">
        <f>IF(OR($MY137=0,$MC137=0),0,$MY137+3*IF(AND($MU137&lt;&gt;"",OR($MU137=INDEX($ED$2:$ED$13,$LY137),$MU137=INDEX($EE$2:$EE$13,$LY137))),1,0))</f>
        <v/>
      </c>
      <c r="NE137" s="152">
        <f>IF(OR($MZ137=0,$MC137=0),0,$MZ137+3*IF(AND($MV137&lt;&gt;"",OR($MV137=INDEX($ED$2:$ED$13,$LY137),$MV137=INDEX($EE$2:$EE$13,$LY137))),1,0))</f>
        <v/>
      </c>
      <c r="NF137" s="152">
        <f>IF(OR($NA137=0,$MC137=0),0,$NA137+3*IF(AND($MW137&lt;&gt;"",OR($MW137=INDEX($ED$2:$ED$13,$LY137),$MW137=INDEX($EE$2:$EE$13,$LY137))),1,0))</f>
        <v/>
      </c>
      <c r="NG137" s="152">
        <f>IF(OR($NB137=0,$MC137=0),0,$NB137+3*IF(AND($MX137&lt;&gt;"",OR($MX137=INDEX($ED$2:$ED$13,$LY137),$MX137=INDEX($EE$2:$EE$13,$LY137))),1,0))</f>
        <v/>
      </c>
      <c r="NH137" s="152">
        <f>IF($MT137=0,0,IF(INDEX($W$2:$W$11,$MT137)="",0,IF(COUNTIF(INDEX($ED$2:$EH$13,$LY137,0),INDEX($W$2:$W$11,$MT137))=0,1,0)))</f>
        <v/>
      </c>
      <c r="NI137" s="152">
        <f>IF(OR($MY137=0,$MU137=""),0,IF(COUNTIF(INDEX($ED$2:$EH$13,$LY137,0),$MU137)=0,1,0))</f>
        <v/>
      </c>
      <c r="NJ137" s="152">
        <f>IF(OR($MZ137=0,$MV137=""),0,IF(COUNTIF(INDEX($ED$2:$EH$13,$LY137,0),$MV137)=0,1,0))</f>
        <v/>
      </c>
      <c r="NK137" s="152">
        <f>IF(OR($NA137=0,$MW137=""),0,IF(COUNTIF(INDEX($ED$2:$EH$13,$LY137,0),$MW137)=0,1,0))</f>
        <v/>
      </c>
      <c r="NL137" s="152">
        <f>IF(OR($NB137=0,$MX137=""),0,IF(COUNTIF(INDEX($ED$2:$EH$13,$LY137,0),$MX137)=0,1,0))</f>
        <v/>
      </c>
      <c r="NM137" s="152">
        <f>IFERROR(VLOOKUP($MH137,$AV$2:$AZ$84,4,FALSE),0)+IFERROR(VLOOKUP($MI137,$AV$2:$AZ$84,4,FALSE),0)+IFERROR(VLOOKUP($MJ137,$AV$2:$AZ$84,4,FALSE),0)+IFERROR(VLOOKUP($MK137,$AV$2:$AZ$84,4,FALSE),0)</f>
        <v/>
      </c>
      <c r="NN137" s="152">
        <f>TEXTJOIN(", ",TRUE,IF(IFERROR(VLOOKUP($MH137,$AV$2:$AZ$84,5,FALSE),0)=1,$MH137,""),IF(IFERROR(VLOOKUP($MI137,$AV$2:$AZ$84,5,FALSE),0)=1,$MI137,""),IF(IFERROR(VLOOKUP($MJ137,$AV$2:$AZ$84,5,FALSE),0)=1,$MJ137,""),IF(IFERROR(VLOOKUP($MK137,$AV$2:$AZ$84,5,FALSE),0)=1,$MK137,""))</f>
        <v/>
      </c>
      <c r="NO137" s="152">
        <f>IF($MT137=0,0,INDEX($Y$2:$Y$11,$MT137))</f>
        <v/>
      </c>
      <c r="NP137" s="152">
        <f>IF($MT137=0,0,INDEX($Z$2:$Z$11,$MT137))</f>
        <v/>
      </c>
      <c r="NQ137" s="152">
        <f>IF($MT137=0,0,INDEX($AB$2:$AB$11,$MT137))</f>
        <v/>
      </c>
      <c r="NR137" s="152">
        <f>IFERROR(VLOOKUP($ML137,$BB$2:$BF$24,3,FALSE),0)</f>
        <v/>
      </c>
      <c r="NS137" s="152">
        <f>IFERROR(VLOOKUP($MM137,$BB$2:$BF$24,3,FALSE),0)</f>
        <v/>
      </c>
      <c r="NT137" s="152">
        <f>IFERROR(VLOOKUP($ML137,$BB$2:$BF$24,2,FALSE),"")</f>
        <v/>
      </c>
      <c r="NU137" s="152">
        <f>IFERROR(VLOOKUP($MM137,$BB$2:$BF$24,2,FALSE),"")</f>
        <v/>
      </c>
      <c r="NV137" s="152">
        <f>COUNTIF($NC137:$NG137,1)</f>
        <v/>
      </c>
      <c r="NW137" s="152">
        <f>COUNTIF($NC137:$NG137,2)</f>
        <v/>
      </c>
      <c r="NX137" s="152">
        <f>COUNTIF($NC137:$NG137,3)</f>
        <v/>
      </c>
      <c r="NY137" s="152">
        <f>COUNTIF($NC137:$NG137,4)</f>
        <v/>
      </c>
      <c r="NZ137" s="152">
        <f>COUNTIF($NC137:$NG137,5)</f>
        <v/>
      </c>
      <c r="OA137" s="152">
        <f>COUNTIF($NC137:$NG137,6)</f>
        <v/>
      </c>
      <c r="OB137" s="152">
        <f>COUNTIF($NR137:$NS137,1)</f>
        <v/>
      </c>
      <c r="OC137" s="152">
        <f>COUNTIF($NR137:$NS137,2)+$NO137</f>
        <v/>
      </c>
      <c r="OD137" s="152">
        <f>COUNTIF($MH137:$MK137,"?*")</f>
        <v/>
      </c>
      <c r="OE137" s="152">
        <f>COUNTIF($ML137:$MM137,"?*")+$NO137</f>
        <v/>
      </c>
      <c r="OF137" s="152">
        <f>IF($MC137=0,0,SUMPRODUCT($NV137:$OA137,INDEX($I$2:$N$8,MAX(1,$MC137),0)))</f>
        <v/>
      </c>
      <c r="OG137" s="152">
        <f>IF($MC137=0,0,$OB137*CEILING($MC137/2,1)+$OC137*$MC137)</f>
        <v/>
      </c>
      <c r="OH137" s="152">
        <f>MIN(2*$MC137,$OG137)</f>
        <v/>
      </c>
      <c r="OI137" s="152">
        <f>MIN($OH137,$OF137)</f>
        <v/>
      </c>
      <c r="OJ137" s="152">
        <f>$OH137-$OI137</f>
        <v/>
      </c>
      <c r="OK137" s="152">
        <f>IF($MC137=0,0,INDEX($P$2:$P$8,MAX(1,$MC137)))</f>
        <v/>
      </c>
      <c r="OL137" s="152">
        <f>$OK137-$OF137+$OI137</f>
        <v/>
      </c>
      <c r="OM137" s="152">
        <f>IF($MC137=0,MAX(0,$MQ137-IF($OD137&gt;0,1,0)),MAX(0,$OL137))</f>
        <v/>
      </c>
      <c r="ON137" s="152">
        <f>IF($MC137=0,0,(IF(COUNTIF($MH137:$MK137,"Salto")&gt;0,1,0)+IF(COUNTIF($MH137:$MK137,"Queima")&gt;0,1,0)+IF(COUNTIF($MH137:$MK137,"Estilhaço")&gt;0,1,0))*FLOOR($OM137/2,1))</f>
        <v/>
      </c>
      <c r="OO137" s="152">
        <f>MAX(0,2-SUMPRODUCT($NV137:$OA137,$I$2:$N$2)+MIN(2,$OB137*1+$OC137*1,SUMPRODUCT($NV137:$OA137,$I$2:$N$2)))</f>
        <v/>
      </c>
      <c r="OP137" s="152">
        <f>MAX(0,4-SUMPRODUCT($NV137:$OA137,$I$3:$N$3)+MIN(4,$OB137*1+$OC137*2,SUMPRODUCT($NV137:$OA137,$I$3:$N$3)))</f>
        <v/>
      </c>
      <c r="OQ137" s="152">
        <f>MAX(0,6-SUMPRODUCT($NV137:$OA137,$I$4:$N$4)+MIN(6,$OB137*2+$OC137*3,SUMPRODUCT($NV137:$OA137,$I$4:$N$4)))</f>
        <v/>
      </c>
      <c r="OR137" s="152">
        <f>MAX(0,9-SUMPRODUCT($NV137:$OA137,$I$5:$N$5)+MIN(8,$OB137*2+$OC137*4,SUMPRODUCT($NV137:$OA137,$I$5:$N$5)))</f>
        <v/>
      </c>
      <c r="OS137" s="152">
        <f>MAX(0,11-SUMPRODUCT($NV137:$OA137,$I$6:$N$6)+MIN(10,$OB137*3+$OC137*5,SUMPRODUCT($NV137:$OA137,$I$6:$N$6)))</f>
        <v/>
      </c>
      <c r="OT137" s="152">
        <f>MAX(0,13-SUMPRODUCT($NV137:$OA137,$I$7:$N$7)+MIN(12,$OB137*3+$OC137*6,SUMPRODUCT($NV137:$OA137,$I$7:$N$7)))</f>
        <v/>
      </c>
      <c r="OU137" s="152">
        <f>MAX(0,16-SUMPRODUCT($NV137:$OA137,$I$8:$N$8)+MIN(14,$OB137*4+$OC137*7,SUMPRODUCT($NV137:$OA137,$I$8:$N$8)))</f>
        <v/>
      </c>
      <c r="OV137" s="152">
        <f>IF($NP137=2,3*$OO137&amp;" de vida temp.",IF($NP137=3,"sem dano",IF($OO137=0,IF($NP137=1,"sem cura","sem dano"),IF($NP137=1,"cura ","")&amp;$OO137&amp;"d8")))</f>
        <v/>
      </c>
      <c r="OW137" s="152">
        <f>IF($NP137=2,3*$OP137&amp;" de vida temp.",IF($NP137=3,"sem dano",IF($OP137=0,IF($NP137=1,"sem cura","sem dano"),IF($NP137=1,"cura ","")&amp;$OP137&amp;"d8")))</f>
        <v/>
      </c>
      <c r="OX137" s="152">
        <f>IF($NP137=2,3*$OQ137&amp;" de vida temp.",IF($NP137=3,"sem dano",IF($OQ137=0,IF($NP137=1,"sem cura","sem dano"),IF($NP137=1,"cura ","")&amp;$OQ137&amp;"d8")))</f>
        <v/>
      </c>
      <c r="OY137" s="152">
        <f>IF($NP137=2,3*$OR137&amp;" de vida temp.",IF($NP137=3,"sem dano",IF($OR137=0,IF($NP137=1,"sem cura","sem dano"),IF($NP137=1,"cura ","")&amp;$OR137&amp;"d8")))</f>
        <v/>
      </c>
      <c r="OZ137" s="152">
        <f>IF($NP137=2,3*$OS137&amp;" de vida temp.",IF($NP137=3,"sem dano",IF($OS137=0,IF($NP137=1,"sem cura","sem dano"),IF($NP137=1,"cura ","")&amp;$OS137&amp;"d8")))</f>
        <v/>
      </c>
      <c r="PA137" s="152">
        <f>IF($NP137=2,3*$OT137&amp;" de vida temp.",IF($NP137=3,"sem dano",IF($OT137=0,IF($NP137=1,"sem cura","sem dano"),IF($NP137=1,"cura ","")&amp;$OT137&amp;"d8")))</f>
        <v/>
      </c>
      <c r="PB137" s="152">
        <f>IF($NP137=2,3*$OU137&amp;" de vida temp.",IF($NP137=3,"sem dano",IF($OU137=0,IF($NP137=1,"sem cura","sem dano"),IF($NP137=1,"cura ","")&amp;$OU137&amp;"d8")))</f>
        <v/>
      </c>
      <c r="PC137" s="152">
        <f>IF($MN137=0,"",TEXTJOIN(" · ",TRUE,IF($MA137&gt;$MO137,"Este lugar abre no nível "&amp;$MA137,""),IF($MC137&gt;$MP137,"Classe "&amp;$MC137&amp;": o nível "&amp;$MO137&amp;" libera até a "&amp;$MP137,""),IF($NH137=1,"A Forma "&amp;$ME137&amp;" pede "&amp;INDEX($W$2:$W$11,$MT137)&amp;" aberta",""),IF(AND($MC137=0,$MT137&gt;0,IF($MT137=0,0,INDEX($AF$2:$AF$11,$MT137))=0),$ME137&amp;" não existe na Classe 0",""),IF($NI137=1,"Família Fechada: "&amp;$MH137,""),IF($NJ137=1,"Família Fechada: "&amp;$MI137,""),IF($NK137=1,"Família Fechada: "&amp;$MJ137,""),IF($NL137=1,"Família Fechada: "&amp;$MK137,""),IF(AND($MC137&gt;0,$OD137&gt;INDEX($O$2:$O$8,MAX(1,$MC137))),$OD137&amp;" Melhorias: a Classe "&amp;$MC137&amp;" aceita "&amp;INDEX($O$2:$O$8,MAX(1,$MC137)),""),IF(AND($MC137=0,$OD137&gt;1),"A básica aceita uma Melhoria",""),IF(AND($MC137=0,COUNTIF($MY137:$NB137,"&gt;1")&gt;0),"A básica só aceita Melhoria Leve",""),IF(AND($MC137&gt;0,$OE137&gt;2),$OE137&amp;" Restrições"&amp;IF($NO137=1,", contando a que a Forma "&amp;$ME137&amp;" já traz","")&amp;": o limite é 2",""),IF(AND($MC137=0,COUNTIF($ML137:$MM137,"?*")&gt;1),"A básica aceita uma Restrição Leve",""),IF(AND($MC137=0,COUNTIF($NR137:$NS137,2)&gt;0),"A básica só aceita Restrição Leve",""),IF(AND($MC137&gt;0,$OL137&lt;0),"Orçamento estourado: faltam "&amp;(-$OL137)&amp;IF($OL137&lt;-1," pontos"," ponto"),""),IF(IFERROR(VLOOKUP($ML137,$BB$2:$BF$24,4,FALSE),0)+IFERROR(VLOOKUP($MM137,$BB$2:$BF$24,4,FALSE),0)&gt;1,$NT137&amp;" e "&amp;$NU137&amp;" são as duas de frequência",""),IF(AND((COUNTIF($MH137:$MK137,"Rápido")+COUNTIF($NT137:$NU137,"Rápido"))&gt;0,(COUNTIF($MH137:$MK137,"Atrasar")+COUNTIF($NT137:$NU137,"Atrasar"))&gt;0),"Rápido não entra com Atrasar",""),IF(AND((COUNTIF($MH137:$MK137,"Reação")+COUNTIF($NT137:$NU137,"Reação"))&gt;0,(COUNTIF($MH137:$MK137,"Rápido")+COUNTIF($NT137:$NU137,"Rápido"))&gt;0),"Reação não entra com Rápido",""),IF(AND((COUNTIF($MH137:$MK137,"Reação")+COUNTIF($NT137:$NU137,"Reação"))&gt;0,(COUNTIF($MH137:$MK137,"Armado")+COUNTIF($NT137:$NU137,"Armado"))&gt;0),"Reação não entra com Armado",""),IF(AND((COUNTIF($MH137:$MK137,"Reação")+COUNTIF($NT137:$NU137,"Reação"))&gt;0,(COUNTIF($MH137:$MK137,"Atrasar")+COUNTIF($NT137:$NU137,"Atrasar"))&gt;0),"Reação não entra com Atrasar",""),IF(AND((COUNTIF($MH137:$MK137,"Reação")+COUNTIF($NT137:$NU137,"Reação"))&gt;0,(COUNTIF($MH137:$MK137,"Parado")+COUNTIF($NT137:$NU137,"Parado"))&gt;0),"Reação não entra com Parado",""),IF(AND((COUNTIF($MH137:$MK137,"Atrasar")+COUNTIF($NT137:$NU137,"Atrasar"))&gt;0,(COUNTIF($MH137:$MK137,"Parado")+COUNTIF($NT137:$NU137,"Parado"))&gt;0),"Atrasar não entra com Parado",""),IF(AND((COUNTIF($MH137:$MK137,"Armado")+COUNTIF($NT137:$NU137,"Armado"))&gt;0,(COUNTIF($MH137:$MK137,"Carregar")+COUNTIF($NT137:$NU137,"Carregar"))&gt;0),"Armado não entra com Carregar",""),IF(AND(COUNTIF($NT137:$NU137,"Corpo a Corpo")&gt;0,$NO137=0,OR($ME137="Cone",$ME137="Linha")),"Corpo a Corpo não entra em "&amp;$ME137,""),IF(AND(COUNTIF($NT137:$NU137,"Corpo a Corpo")&gt;0,$NO137=1),"A Forma "&amp;$ME137&amp;" já traz o Corpo a Corpo",""),IF(AND(COUNTIF($NT137:$NU137,"Tudo ou Nada")&gt;0,$NQ137=0),"Tudo ou Nada só entra em habilidade de Teste de Resistência",""),IF(AND(COUNTIF($MH137:$MK137,"Inescapável")&gt;0,OR($OD137&gt;1,$OE137&gt;0)),"Inescapável não aceita outra peça",""),IF(AND($MC137&gt;0,$OM137*IF(COUNTIF($MH137:$MK137,"Remate")&gt;0,1.25,1)+$ON137&gt;4*$MC137),($OM137*IF(COUNTIF($MH137:$MK137,"Remate")&gt;0,1.25,1)+$ON137)&amp;" dados somando repetições"&amp;IF(COUNTIF($MH137:$MK137,"Remate")&gt;0," e o Remate","")&amp;": o teto da Classe "&amp;$MC137&amp;" é "&amp;4*$MC137,"")))</f>
        <v/>
      </c>
      <c r="PD137" s="152">
        <f>IF($PC137="",0,(LEN($PC137)-LEN(SUBSTITUTE($PC137," · ","")))/3+1)</f>
        <v/>
      </c>
      <c r="PE137" s="152">
        <f>IF($MN137=0,"",TEXTJOIN(" · ",TRUE,IF($OG137&gt;2*$MC137,"A devolução parou no teto de "&amp;2*$MC137,""),IF($OJ137&gt;0,"Devolução perdida: "&amp;$OJ137&amp;IF($OJ137&gt;1," pontos"," ponto")&amp;" sem peça para pagar",""),IF(AND($NM137&gt;0,AND($MC137&gt;0,$NP137=0),$OM137=0),"Controle sem dano: uma rodada a mais e CD +2",""),IF(AND($NM137&gt;0,AND($MC137&gt;0,$NP137=0),$OM137&gt;0,$OM137&lt;=$MC137),"Controle com saldo até a Classe: uma rodada a mais",""),IF(AND($MC137&gt;0,$NN137&lt;&gt;""),"Efeito de "&amp;$NN137&amp;" pela Classe "&amp;MAX(1,$MC137-1),"")))</f>
        <v/>
      </c>
      <c r="PF137" s="152">
        <f>IF($PE137="",0,(LEN($PE137)-LEN(SUBSTITUTE($PE137," · ","")))/3+1)</f>
        <v/>
      </c>
      <c r="PG137" s="152">
        <f>IF($MN137=0,IF($OD137+COUNTIF($ML137:$MM137,"?*")&gt;0,"Dê um nome",""),IF($PD137&gt;0,"⚠ "&amp;$PD137&amp;IF($PD137&gt;1," erros"," erro"),IF($PF137&gt;0,"! "&amp;$PF137&amp;IF($PF137&gt;1," avisos"," aviso"),"Na regra")))</f>
        <v/>
      </c>
      <c r="PH137" s="152">
        <f>IF($MN137=0,"",IF($PD137+$PF137=0,"Dentro das regras que a ficha confere",$PC137&amp;IF(AND($PD137&gt;0,$PF137&gt;0)," · ","")&amp;$PE137))</f>
        <v/>
      </c>
      <c r="PI137" s="152">
        <f>IF($MA137&gt;$MO137,$MB137&amp;" · ABRE NO NÍVEL "&amp;$MA137,$MB137)</f>
        <v/>
      </c>
      <c r="PJ137" s="152">
        <f>IF($MN137=0,"",IF($MC137=0,"Sem PE",3*$MC137&amp;" PE"))</f>
        <v/>
      </c>
      <c r="PK137" s="152">
        <f>IF($MN137=0,"",IF($MC137=0,"A atuação básica dela",IF(COUNTIF($NT137:$NU137,"Atrasar")&gt;0,"Sua Ação Completa",IF(COUNTIF($MH137:$MK137,"Rápido")&gt;0,"Sua Bônus",IF(COUNTIF($MH137:$MK137,"Reação")&gt;0,"Sua Reação","Sua Padrão")))&amp;" + a básica dela"&amp;IF(COUNTIF($MH137:$MK137,"Reação")&gt;0," e a coletiva","")&amp;IF(COUNTIF($NT137:$NU137,"Carregar")&gt;0," · em dois turnos","")))</f>
        <v/>
      </c>
      <c r="PL137" s="152">
        <f>IF($MG137&lt;&gt;"",$MG137,IF($MT137=0,"",INDEX($AA$2:$AA$11,$MT137)))</f>
        <v/>
      </c>
      <c r="PM137" s="152">
        <f>IF(OR($MN137=0,$MT137=0),"",IF(COUNTIF($MH137:$MK137,"Inescapável")&gt;0,"Automático",IF($PL137="Ataque",IF($MR137="","Ataque","Ataque "&amp;IF(($MR137+2*IF(COUNTIF($MH137:$MK137,"Precisão")&gt;0,1,0))&gt;=0,"+","−")&amp;ABS(($MR137+2*IF(COUNTIF($MH137:$MK137,"Precisão")&gt;0,1,0)))),IF(LEFT($PL137,2)="TR",$PL137&amp;IF($MS137="",""," · CD "&amp;$MS137)&amp;IF(COUNTIF($MH137:$MK137,"Certeiro")&gt;0," · metade",""),"Sem rolagem"))))</f>
        <v/>
      </c>
      <c r="PN137" s="152">
        <f>IF(OR($MN137=0,$MT137=0),"",IF($MC137=0,IF(OR($NP137&gt;=1,$OM137=0),"Sem dano",$OM137&amp;"d6"&amp;IF($MF137="",""," "&amp;$MF137)),IF(OR($NP137&gt;=1,$OM137=0),UPPER(LEFT(INDEX($OV137:$PB137,1,MAX(1,$MC137)),1))&amp;MID(INDEX($OV137:$PB137,1,MAX(1,$MC137)),2,99),UPPER(LEFT(INDEX($OV137:$PB137,1,MAX(1,$MC137)),1))&amp;MID(INDEX($OV137:$PB137,1,MAX(1,$MC137)),2,99)&amp;IF($MF137="",""," "&amp;$MF137)&amp;IF($ON137&gt;0," · +"&amp;$ON137&amp;"d8",""))))</f>
        <v/>
      </c>
      <c r="PO137" s="152">
        <f>COUNTIF($MH137:$MK137,"Longe")+3*COUNTIF($MH137:$MK137,"Muito Longe")</f>
        <v/>
      </c>
      <c r="PP137" s="152">
        <f>COUNTIF($MH137:$MK137,"Maior")+3*COUNTIF($MH137:$MK137,"Muito Maior")</f>
        <v/>
      </c>
      <c r="PQ137" s="152">
        <f>IF($MT137=0,0,CHOOSE(1+INDEX($AC$2:$AC$11,$MT137),0,$PO137,$PP137,$PO137+$PP137))</f>
        <v/>
      </c>
      <c r="PR137" s="152">
        <f>IF($MT137=0,0,CHOOSE(1+INDEX($AD$2:$AD$11,$MT137),0,$PO137,$PP137,$PO137+$PP137))</f>
        <v/>
      </c>
      <c r="PS137" s="152">
        <f>IF(OR($MN137=0,$MT137=0),"",INDEX($AI$2:$AN$41,($MT137-1)*4+IF($MC137=0,1,IF($MC137&lt;=5,2,IF($MC137=6,3,4))),1+MIN(5,$PQ137))&amp;INDEX($AO$2:$AT$41,($MT137-1)*4+IF($MC137=0,1,IF($MC137&lt;=5,2,IF($MC137=6,3,4))),1+MIN(5,$PR137))&amp;IF(INDEX($AE$2:$AE$11,$MT137)=1,IF(COUNTIF($MH137:$MK137,"Mais Um")&gt;0," · +"&amp;COUNTIF($MH137:$MK137,"Mais Um")&amp;IF(COUNTIF($MH137:$MK137,"Mais Um")&gt;1," alvos"," alvo"),"")&amp;IF(COUNTIF($MH137:$MK137,"Rajada")&gt;0,IF($MC137=0," · 1 tiro"," · "&amp;(MAX(1,$MC137-1)+1)&amp;" tiros"),""),""))</f>
        <v/>
      </c>
      <c r="PT137" s="152">
        <f>IF($MN137=0,"",IF($MC137=0,$MQ137&amp;"d6"&amp;IF($OD137&gt;0," − 1 = "&amp;$OM137&amp;"d6"," da básica do nível "&amp;$MO137),$OK137&amp;" − "&amp;$OF137&amp;" + "&amp;$OI137&amp;" = "&amp;$OL137&amp;" · teto "&amp;4*$MC137&amp;"d8"&amp;IF($NO137=1," · a Forma devolve "&amp;$MC137,"")&amp;IF($OJ137&gt;0," · perde "&amp;$OJ137,"")))</f>
        <v/>
      </c>
      <c r="PU137" s="152">
        <f>IF($MN137=0,"",IF($MC137=0,"A básica não amplia: os dados dela sobem com o nível",IF($MC137&gt;=$MP137,"Já está na maior Classe que o nível liberou",TEXTJOIN(" · ",TRUE,IF(AND(2&gt;$MC137,2&lt;=$MP137),"2 → "&amp;$OW137&amp;", 6 PE",""),IF(AND(3&gt;$MC137,3&lt;=$MP137),"3 → "&amp;$OX137&amp;", 9 PE",""),IF(AND(4&gt;$MC137,4&lt;=$MP137),"4 → "&amp;$OY137&amp;", 12 PE",""),IF(AND(5&gt;$MC137,5&lt;=$MP137),"5 → "&amp;$OZ137&amp;", 15 PE",""),IF(AND(6&gt;$MC137,6&lt;=$MP137),"6 → "&amp;$PA137&amp;", 18 PE",""),IF(AND(7&gt;$MC137,7&lt;=$MP137),"7 → "&amp;$PB137&amp;", 21 PE","")))))</f>
        <v/>
      </c>
      <c r="PV137" s="152">
        <f>IF(OR($MN137=0,$MY137=0),"",IF($MC137=0,"−1 dado","−"&amp;INDEX($I$2:$N$8,MAX(1,$MC137),MAX(1,$ND137))&amp;" · "&amp;CHOOSE(MAX(1,$ND137),"Leve","Média","Pesada","Leve · Livre","Média · Livre","Pesada · Livre")))</f>
        <v/>
      </c>
      <c r="PW137" s="152">
        <f>IF(OR($MN137=0,$MZ137=0),"",IF($MC137=0,"−1 dado","−"&amp;INDEX($I$2:$N$8,MAX(1,$MC137),MAX(1,$NE137))&amp;" · "&amp;CHOOSE(MAX(1,$NE137),"Leve","Média","Pesada","Leve · Livre","Média · Livre","Pesada · Livre")))</f>
        <v/>
      </c>
      <c r="PX137" s="152">
        <f>IF(OR($MN137=0,$NA137=0),"",IF($MC137=0,"−1 dado","−"&amp;INDEX($I$2:$N$8,MAX(1,$MC137),MAX(1,$NF137))&amp;" · "&amp;CHOOSE(MAX(1,$NF137),"Leve","Média","Pesada","Leve · Livre","Média · Livre","Pesada · Livre")))</f>
        <v/>
      </c>
      <c r="PY137" s="152">
        <f>IF(OR($MN137=0,$NB137=0),"",IF($MC137=0,"−1 dado","−"&amp;INDEX($I$2:$N$8,MAX(1,$MC137),MAX(1,$NG137))&amp;" · "&amp;CHOOSE(MAX(1,$NG137),"Leve","Média","Pesada","Leve · Livre","Média · Livre","Pesada · Livre")))</f>
        <v/>
      </c>
      <c r="PZ137" s="152">
        <f>IF(OR($MN137=0,$ML137=""),"",IF($MC137=0,"não devolve","+"&amp;IF($NR137=1,CEILING($MC137/2,1),$MC137)))</f>
        <v/>
      </c>
      <c r="QA137" s="152">
        <f>IF(OR($MN137=0,$MM137=""),"",IF($MC137=0,"não devolve","+"&amp;IF($NS137=1,CEILING($MC137/2,1),$MC137)))</f>
        <v/>
      </c>
    </row>
    <row r="138">
      <c r="LX138" s="150" t="inlineStr">
        <is>
          <t>Ficha 11 · Especial 5</t>
        </is>
      </c>
      <c r="LY138" s="152" t="n">
        <v>11</v>
      </c>
      <c r="LZ138" s="152" t="n">
        <v>1</v>
      </c>
      <c r="MA138" s="152" t="n">
        <v>16</v>
      </c>
      <c r="MB138" s="150" t="inlineStr">
        <is>
          <t>ESPECIAL 5</t>
        </is>
      </c>
      <c r="MC138" s="152">
        <f>MAX(1,MIN(7,N('INVOCAÇÕES'!$AB$906)))</f>
        <v/>
      </c>
      <c r="MD138" s="152">
        <f>'INVOCAÇÕES'!$AC$906&amp;""</f>
        <v/>
      </c>
      <c r="ME138" s="152">
        <f>'INVOCAÇÕES'!$AB$911&amp;""</f>
        <v/>
      </c>
      <c r="MF138" s="152">
        <f>'INVOCAÇÕES'!$AB$912&amp;""</f>
        <v/>
      </c>
      <c r="MG138" s="152">
        <f>'INVOCAÇÕES'!$AD$912&amp;""</f>
        <v/>
      </c>
      <c r="MH138" s="152">
        <f>'INVOCAÇÕES'!$AC$915&amp;""</f>
        <v/>
      </c>
      <c r="MI138" s="152">
        <f>'INVOCAÇÕES'!$AC$916&amp;""</f>
        <v/>
      </c>
      <c r="MJ138" s="152">
        <f>'INVOCAÇÕES'!$AC$917&amp;""</f>
        <v/>
      </c>
      <c r="MK138" s="152">
        <f>'INVOCAÇÕES'!$AC$918&amp;""</f>
        <v/>
      </c>
      <c r="ML138" s="152">
        <f>'INVOCAÇÕES'!$AC$919&amp;""</f>
        <v/>
      </c>
      <c r="MM138" s="152">
        <f>'INVOCAÇÕES'!$AC$920&amp;""</f>
        <v/>
      </c>
      <c r="MN138" s="152">
        <f>IF($MD138&lt;&gt;"",1,0)</f>
        <v/>
      </c>
      <c r="MO138" s="152">
        <f>INDEX($FG$2:$FG$13,$LY138)</f>
        <v/>
      </c>
      <c r="MP138" s="152">
        <f>INDEX($FH$2:$FH$13,$LY138)</f>
        <v/>
      </c>
      <c r="MQ138" s="152">
        <f>INDEX($FI$2:$FI$13,$LY138)</f>
        <v/>
      </c>
      <c r="MR138" s="152">
        <f>INDEX($FT$2:$FT$13,$LY138)</f>
        <v/>
      </c>
      <c r="MS138" s="152">
        <f>INDEX($FU$2:$FU$13,$LY138)</f>
        <v/>
      </c>
      <c r="MT138" s="152">
        <f>IFERROR(MATCH($ME138,$V$2:$V$11,0),0)</f>
        <v/>
      </c>
      <c r="MU138" s="152">
        <f>IFERROR(VLOOKUP($MH138,$AV$2:$AZ$84,2,FALSE),"")</f>
        <v/>
      </c>
      <c r="MV138" s="152">
        <f>IFERROR(VLOOKUP($MI138,$AV$2:$AZ$84,2,FALSE),"")</f>
        <v/>
      </c>
      <c r="MW138" s="152">
        <f>IFERROR(VLOOKUP($MJ138,$AV$2:$AZ$84,2,FALSE),"")</f>
        <v/>
      </c>
      <c r="MX138" s="152">
        <f>IFERROR(VLOOKUP($MK138,$AV$2:$AZ$84,2,FALSE),"")</f>
        <v/>
      </c>
      <c r="MY138" s="152">
        <f>IFERROR(VLOOKUP($MH138,$AV$2:$AZ$84,3,FALSE),0)</f>
        <v/>
      </c>
      <c r="MZ138" s="152">
        <f>IFERROR(VLOOKUP($MI138,$AV$2:$AZ$84,3,FALSE),0)</f>
        <v/>
      </c>
      <c r="NA138" s="152">
        <f>IFERROR(VLOOKUP($MJ138,$AV$2:$AZ$84,3,FALSE),0)</f>
        <v/>
      </c>
      <c r="NB138" s="152">
        <f>IFERROR(VLOOKUP($MK138,$AV$2:$AZ$84,3,FALSE),0)</f>
        <v/>
      </c>
      <c r="NC138" s="152">
        <f>IF($MC138=0,0,IF($MT138=0,0,INDEX($X$2:$X$11,$MT138)))</f>
        <v/>
      </c>
      <c r="ND138" s="152">
        <f>IF(OR($MY138=0,$MC138=0),0,$MY138+3*IF(AND($MU138&lt;&gt;"",OR($MU138=INDEX($ED$2:$ED$13,$LY138),$MU138=INDEX($EE$2:$EE$13,$LY138))),1,0))</f>
        <v/>
      </c>
      <c r="NE138" s="152">
        <f>IF(OR($MZ138=0,$MC138=0),0,$MZ138+3*IF(AND($MV138&lt;&gt;"",OR($MV138=INDEX($ED$2:$ED$13,$LY138),$MV138=INDEX($EE$2:$EE$13,$LY138))),1,0))</f>
        <v/>
      </c>
      <c r="NF138" s="152">
        <f>IF(OR($NA138=0,$MC138=0),0,$NA138+3*IF(AND($MW138&lt;&gt;"",OR($MW138=INDEX($ED$2:$ED$13,$LY138),$MW138=INDEX($EE$2:$EE$13,$LY138))),1,0))</f>
        <v/>
      </c>
      <c r="NG138" s="152">
        <f>IF(OR($NB138=0,$MC138=0),0,$NB138+3*IF(AND($MX138&lt;&gt;"",OR($MX138=INDEX($ED$2:$ED$13,$LY138),$MX138=INDEX($EE$2:$EE$13,$LY138))),1,0))</f>
        <v/>
      </c>
      <c r="NH138" s="152">
        <f>IF($MT138=0,0,IF(INDEX($W$2:$W$11,$MT138)="",0,IF(COUNTIF(INDEX($ED$2:$EH$13,$LY138,0),INDEX($W$2:$W$11,$MT138))=0,1,0)))</f>
        <v/>
      </c>
      <c r="NI138" s="152">
        <f>IF(OR($MY138=0,$MU138=""),0,IF(COUNTIF(INDEX($ED$2:$EH$13,$LY138,0),$MU138)=0,1,0))</f>
        <v/>
      </c>
      <c r="NJ138" s="152">
        <f>IF(OR($MZ138=0,$MV138=""),0,IF(COUNTIF(INDEX($ED$2:$EH$13,$LY138,0),$MV138)=0,1,0))</f>
        <v/>
      </c>
      <c r="NK138" s="152">
        <f>IF(OR($NA138=0,$MW138=""),0,IF(COUNTIF(INDEX($ED$2:$EH$13,$LY138,0),$MW138)=0,1,0))</f>
        <v/>
      </c>
      <c r="NL138" s="152">
        <f>IF(OR($NB138=0,$MX138=""),0,IF(COUNTIF(INDEX($ED$2:$EH$13,$LY138,0),$MX138)=0,1,0))</f>
        <v/>
      </c>
      <c r="NM138" s="152">
        <f>IFERROR(VLOOKUP($MH138,$AV$2:$AZ$84,4,FALSE),0)+IFERROR(VLOOKUP($MI138,$AV$2:$AZ$84,4,FALSE),0)+IFERROR(VLOOKUP($MJ138,$AV$2:$AZ$84,4,FALSE),0)+IFERROR(VLOOKUP($MK138,$AV$2:$AZ$84,4,FALSE),0)</f>
        <v/>
      </c>
      <c r="NN138" s="152">
        <f>TEXTJOIN(", ",TRUE,IF(IFERROR(VLOOKUP($MH138,$AV$2:$AZ$84,5,FALSE),0)=1,$MH138,""),IF(IFERROR(VLOOKUP($MI138,$AV$2:$AZ$84,5,FALSE),0)=1,$MI138,""),IF(IFERROR(VLOOKUP($MJ138,$AV$2:$AZ$84,5,FALSE),0)=1,$MJ138,""),IF(IFERROR(VLOOKUP($MK138,$AV$2:$AZ$84,5,FALSE),0)=1,$MK138,""))</f>
        <v/>
      </c>
      <c r="NO138" s="152">
        <f>IF($MT138=0,0,INDEX($Y$2:$Y$11,$MT138))</f>
        <v/>
      </c>
      <c r="NP138" s="152">
        <f>IF($MT138=0,0,INDEX($Z$2:$Z$11,$MT138))</f>
        <v/>
      </c>
      <c r="NQ138" s="152">
        <f>IF($MT138=0,0,INDEX($AB$2:$AB$11,$MT138))</f>
        <v/>
      </c>
      <c r="NR138" s="152">
        <f>IFERROR(VLOOKUP($ML138,$BB$2:$BF$24,3,FALSE),0)</f>
        <v/>
      </c>
      <c r="NS138" s="152">
        <f>IFERROR(VLOOKUP($MM138,$BB$2:$BF$24,3,FALSE),0)</f>
        <v/>
      </c>
      <c r="NT138" s="152">
        <f>IFERROR(VLOOKUP($ML138,$BB$2:$BF$24,2,FALSE),"")</f>
        <v/>
      </c>
      <c r="NU138" s="152">
        <f>IFERROR(VLOOKUP($MM138,$BB$2:$BF$24,2,FALSE),"")</f>
        <v/>
      </c>
      <c r="NV138" s="152">
        <f>COUNTIF($NC138:$NG138,1)</f>
        <v/>
      </c>
      <c r="NW138" s="152">
        <f>COUNTIF($NC138:$NG138,2)</f>
        <v/>
      </c>
      <c r="NX138" s="152">
        <f>COUNTIF($NC138:$NG138,3)</f>
        <v/>
      </c>
      <c r="NY138" s="152">
        <f>COUNTIF($NC138:$NG138,4)</f>
        <v/>
      </c>
      <c r="NZ138" s="152">
        <f>COUNTIF($NC138:$NG138,5)</f>
        <v/>
      </c>
      <c r="OA138" s="152">
        <f>COUNTIF($NC138:$NG138,6)</f>
        <v/>
      </c>
      <c r="OB138" s="152">
        <f>COUNTIF($NR138:$NS138,1)</f>
        <v/>
      </c>
      <c r="OC138" s="152">
        <f>COUNTIF($NR138:$NS138,2)+$NO138</f>
        <v/>
      </c>
      <c r="OD138" s="152">
        <f>COUNTIF($MH138:$MK138,"?*")</f>
        <v/>
      </c>
      <c r="OE138" s="152">
        <f>COUNTIF($ML138:$MM138,"?*")+$NO138</f>
        <v/>
      </c>
      <c r="OF138" s="152">
        <f>IF($MC138=0,0,SUMPRODUCT($NV138:$OA138,INDEX($I$2:$N$8,MAX(1,$MC138),0)))</f>
        <v/>
      </c>
      <c r="OG138" s="152">
        <f>IF($MC138=0,0,$OB138*CEILING($MC138/2,1)+$OC138*$MC138)</f>
        <v/>
      </c>
      <c r="OH138" s="152">
        <f>MIN(2*$MC138,$OG138)</f>
        <v/>
      </c>
      <c r="OI138" s="152">
        <f>MIN($OH138,$OF138)</f>
        <v/>
      </c>
      <c r="OJ138" s="152">
        <f>$OH138-$OI138</f>
        <v/>
      </c>
      <c r="OK138" s="152">
        <f>IF($MC138=0,0,INDEX($P$2:$P$8,MAX(1,$MC138)))</f>
        <v/>
      </c>
      <c r="OL138" s="152">
        <f>$OK138-$OF138+$OI138</f>
        <v/>
      </c>
      <c r="OM138" s="152">
        <f>IF($MC138=0,MAX(0,$MQ138-IF($OD138&gt;0,1,0)),MAX(0,$OL138))</f>
        <v/>
      </c>
      <c r="ON138" s="152">
        <f>IF($MC138=0,0,(IF(COUNTIF($MH138:$MK138,"Salto")&gt;0,1,0)+IF(COUNTIF($MH138:$MK138,"Queima")&gt;0,1,0)+IF(COUNTIF($MH138:$MK138,"Estilhaço")&gt;0,1,0))*FLOOR($OM138/2,1))</f>
        <v/>
      </c>
      <c r="OO138" s="152">
        <f>MAX(0,2-SUMPRODUCT($NV138:$OA138,$I$2:$N$2)+MIN(2,$OB138*1+$OC138*1,SUMPRODUCT($NV138:$OA138,$I$2:$N$2)))</f>
        <v/>
      </c>
      <c r="OP138" s="152">
        <f>MAX(0,4-SUMPRODUCT($NV138:$OA138,$I$3:$N$3)+MIN(4,$OB138*1+$OC138*2,SUMPRODUCT($NV138:$OA138,$I$3:$N$3)))</f>
        <v/>
      </c>
      <c r="OQ138" s="152">
        <f>MAX(0,6-SUMPRODUCT($NV138:$OA138,$I$4:$N$4)+MIN(6,$OB138*2+$OC138*3,SUMPRODUCT($NV138:$OA138,$I$4:$N$4)))</f>
        <v/>
      </c>
      <c r="OR138" s="152">
        <f>MAX(0,9-SUMPRODUCT($NV138:$OA138,$I$5:$N$5)+MIN(8,$OB138*2+$OC138*4,SUMPRODUCT($NV138:$OA138,$I$5:$N$5)))</f>
        <v/>
      </c>
      <c r="OS138" s="152">
        <f>MAX(0,11-SUMPRODUCT($NV138:$OA138,$I$6:$N$6)+MIN(10,$OB138*3+$OC138*5,SUMPRODUCT($NV138:$OA138,$I$6:$N$6)))</f>
        <v/>
      </c>
      <c r="OT138" s="152">
        <f>MAX(0,13-SUMPRODUCT($NV138:$OA138,$I$7:$N$7)+MIN(12,$OB138*3+$OC138*6,SUMPRODUCT($NV138:$OA138,$I$7:$N$7)))</f>
        <v/>
      </c>
      <c r="OU138" s="152">
        <f>MAX(0,16-SUMPRODUCT($NV138:$OA138,$I$8:$N$8)+MIN(14,$OB138*4+$OC138*7,SUMPRODUCT($NV138:$OA138,$I$8:$N$8)))</f>
        <v/>
      </c>
      <c r="OV138" s="152">
        <f>IF($NP138=2,3*$OO138&amp;" de vida temp.",IF($NP138=3,"sem dano",IF($OO138=0,IF($NP138=1,"sem cura","sem dano"),IF($NP138=1,"cura ","")&amp;$OO138&amp;"d8")))</f>
        <v/>
      </c>
      <c r="OW138" s="152">
        <f>IF($NP138=2,3*$OP138&amp;" de vida temp.",IF($NP138=3,"sem dano",IF($OP138=0,IF($NP138=1,"sem cura","sem dano"),IF($NP138=1,"cura ","")&amp;$OP138&amp;"d8")))</f>
        <v/>
      </c>
      <c r="OX138" s="152">
        <f>IF($NP138=2,3*$OQ138&amp;" de vida temp.",IF($NP138=3,"sem dano",IF($OQ138=0,IF($NP138=1,"sem cura","sem dano"),IF($NP138=1,"cura ","")&amp;$OQ138&amp;"d8")))</f>
        <v/>
      </c>
      <c r="OY138" s="152">
        <f>IF($NP138=2,3*$OR138&amp;" de vida temp.",IF($NP138=3,"sem dano",IF($OR138=0,IF($NP138=1,"sem cura","sem dano"),IF($NP138=1,"cura ","")&amp;$OR138&amp;"d8")))</f>
        <v/>
      </c>
      <c r="OZ138" s="152">
        <f>IF($NP138=2,3*$OS138&amp;" de vida temp.",IF($NP138=3,"sem dano",IF($OS138=0,IF($NP138=1,"sem cura","sem dano"),IF($NP138=1,"cura ","")&amp;$OS138&amp;"d8")))</f>
        <v/>
      </c>
      <c r="PA138" s="152">
        <f>IF($NP138=2,3*$OT138&amp;" de vida temp.",IF($NP138=3,"sem dano",IF($OT138=0,IF($NP138=1,"sem cura","sem dano"),IF($NP138=1,"cura ","")&amp;$OT138&amp;"d8")))</f>
        <v/>
      </c>
      <c r="PB138" s="152">
        <f>IF($NP138=2,3*$OU138&amp;" de vida temp.",IF($NP138=3,"sem dano",IF($OU138=0,IF($NP138=1,"sem cura","sem dano"),IF($NP138=1,"cura ","")&amp;$OU138&amp;"d8")))</f>
        <v/>
      </c>
      <c r="PC138" s="152">
        <f>IF($MN138=0,"",TEXTJOIN(" · ",TRUE,IF($MA138&gt;$MO138,"Este lugar abre no nível "&amp;$MA138,""),IF($MC138&gt;$MP138,"Classe "&amp;$MC138&amp;": o nível "&amp;$MO138&amp;" libera até a "&amp;$MP138,""),IF($NH138=1,"A Forma "&amp;$ME138&amp;" pede "&amp;INDEX($W$2:$W$11,$MT138)&amp;" aberta",""),IF(AND($MC138=0,$MT138&gt;0,IF($MT138=0,0,INDEX($AF$2:$AF$11,$MT138))=0),$ME138&amp;" não existe na Classe 0",""),IF($NI138=1,"Família Fechada: "&amp;$MH138,""),IF($NJ138=1,"Família Fechada: "&amp;$MI138,""),IF($NK138=1,"Família Fechada: "&amp;$MJ138,""),IF($NL138=1,"Família Fechada: "&amp;$MK138,""),IF(AND($MC138&gt;0,$OD138&gt;INDEX($O$2:$O$8,MAX(1,$MC138))),$OD138&amp;" Melhorias: a Classe "&amp;$MC138&amp;" aceita "&amp;INDEX($O$2:$O$8,MAX(1,$MC138)),""),IF(AND($MC138=0,$OD138&gt;1),"A básica aceita uma Melhoria",""),IF(AND($MC138=0,COUNTIF($MY138:$NB138,"&gt;1")&gt;0),"A básica só aceita Melhoria Leve",""),IF(AND($MC138&gt;0,$OE138&gt;2),$OE138&amp;" Restrições"&amp;IF($NO138=1,", contando a que a Forma "&amp;$ME138&amp;" já traz","")&amp;": o limite é 2",""),IF(AND($MC138=0,COUNTIF($ML138:$MM138,"?*")&gt;1),"A básica aceita uma Restrição Leve",""),IF(AND($MC138=0,COUNTIF($NR138:$NS138,2)&gt;0),"A básica só aceita Restrição Leve",""),IF(AND($MC138&gt;0,$OL138&lt;0),"Orçamento estourado: faltam "&amp;(-$OL138)&amp;IF($OL138&lt;-1," pontos"," ponto"),""),IF(IFERROR(VLOOKUP($ML138,$BB$2:$BF$24,4,FALSE),0)+IFERROR(VLOOKUP($MM138,$BB$2:$BF$24,4,FALSE),0)&gt;1,$NT138&amp;" e "&amp;$NU138&amp;" são as duas de frequência",""),IF(AND((COUNTIF($MH138:$MK138,"Rápido")+COUNTIF($NT138:$NU138,"Rápido"))&gt;0,(COUNTIF($MH138:$MK138,"Atrasar")+COUNTIF($NT138:$NU138,"Atrasar"))&gt;0),"Rápido não entra com Atrasar",""),IF(AND((COUNTIF($MH138:$MK138,"Reação")+COUNTIF($NT138:$NU138,"Reação"))&gt;0,(COUNTIF($MH138:$MK138,"Rápido")+COUNTIF($NT138:$NU138,"Rápido"))&gt;0),"Reação não entra com Rápido",""),IF(AND((COUNTIF($MH138:$MK138,"Reação")+COUNTIF($NT138:$NU138,"Reação"))&gt;0,(COUNTIF($MH138:$MK138,"Armado")+COUNTIF($NT138:$NU138,"Armado"))&gt;0),"Reação não entra com Armado",""),IF(AND((COUNTIF($MH138:$MK138,"Reação")+COUNTIF($NT138:$NU138,"Reação"))&gt;0,(COUNTIF($MH138:$MK138,"Atrasar")+COUNTIF($NT138:$NU138,"Atrasar"))&gt;0),"Reação não entra com Atrasar",""),IF(AND((COUNTIF($MH138:$MK138,"Reação")+COUNTIF($NT138:$NU138,"Reação"))&gt;0,(COUNTIF($MH138:$MK138,"Parado")+COUNTIF($NT138:$NU138,"Parado"))&gt;0),"Reação não entra com Parado",""),IF(AND((COUNTIF($MH138:$MK138,"Atrasar")+COUNTIF($NT138:$NU138,"Atrasar"))&gt;0,(COUNTIF($MH138:$MK138,"Parado")+COUNTIF($NT138:$NU138,"Parado"))&gt;0),"Atrasar não entra com Parado",""),IF(AND((COUNTIF($MH138:$MK138,"Armado")+COUNTIF($NT138:$NU138,"Armado"))&gt;0,(COUNTIF($MH138:$MK138,"Carregar")+COUNTIF($NT138:$NU138,"Carregar"))&gt;0),"Armado não entra com Carregar",""),IF(AND(COUNTIF($NT138:$NU138,"Corpo a Corpo")&gt;0,$NO138=0,OR($ME138="Cone",$ME138="Linha")),"Corpo a Corpo não entra em "&amp;$ME138,""),IF(AND(COUNTIF($NT138:$NU138,"Corpo a Corpo")&gt;0,$NO138=1),"A Forma "&amp;$ME138&amp;" já traz o Corpo a Corpo",""),IF(AND(COUNTIF($NT138:$NU138,"Tudo ou Nada")&gt;0,$NQ138=0),"Tudo ou Nada só entra em habilidade de Teste de Resistência",""),IF(AND(COUNTIF($MH138:$MK138,"Inescapável")&gt;0,OR($OD138&gt;1,$OE138&gt;0)),"Inescapável não aceita outra peça",""),IF(AND($MC138&gt;0,$OM138*IF(COUNTIF($MH138:$MK138,"Remate")&gt;0,1.25,1)+$ON138&gt;4*$MC138),($OM138*IF(COUNTIF($MH138:$MK138,"Remate")&gt;0,1.25,1)+$ON138)&amp;" dados somando repetições"&amp;IF(COUNTIF($MH138:$MK138,"Remate")&gt;0," e o Remate","")&amp;": o teto da Classe "&amp;$MC138&amp;" é "&amp;4*$MC138,"")))</f>
        <v/>
      </c>
      <c r="PD138" s="152">
        <f>IF($PC138="",0,(LEN($PC138)-LEN(SUBSTITUTE($PC138," · ","")))/3+1)</f>
        <v/>
      </c>
      <c r="PE138" s="152">
        <f>IF($MN138=0,"",TEXTJOIN(" · ",TRUE,IF($OG138&gt;2*$MC138,"A devolução parou no teto de "&amp;2*$MC138,""),IF($OJ138&gt;0,"Devolução perdida: "&amp;$OJ138&amp;IF($OJ138&gt;1," pontos"," ponto")&amp;" sem peça para pagar",""),IF(AND($NM138&gt;0,AND($MC138&gt;0,$NP138=0),$OM138=0),"Controle sem dano: uma rodada a mais e CD +2",""),IF(AND($NM138&gt;0,AND($MC138&gt;0,$NP138=0),$OM138&gt;0,$OM138&lt;=$MC138),"Controle com saldo até a Classe: uma rodada a mais",""),IF(AND($MC138&gt;0,$NN138&lt;&gt;""),"Efeito de "&amp;$NN138&amp;" pela Classe "&amp;MAX(1,$MC138-1),"")))</f>
        <v/>
      </c>
      <c r="PF138" s="152">
        <f>IF($PE138="",0,(LEN($PE138)-LEN(SUBSTITUTE($PE138," · ","")))/3+1)</f>
        <v/>
      </c>
      <c r="PG138" s="152">
        <f>IF($MN138=0,IF($OD138+COUNTIF($ML138:$MM138,"?*")&gt;0,"Dê um nome",""),IF($PD138&gt;0,"⚠ "&amp;$PD138&amp;IF($PD138&gt;1," erros"," erro"),IF($PF138&gt;0,"! "&amp;$PF138&amp;IF($PF138&gt;1," avisos"," aviso"),"Na regra")))</f>
        <v/>
      </c>
      <c r="PH138" s="152">
        <f>IF($MN138=0,"",IF($PD138+$PF138=0,"Dentro das regras que a ficha confere",$PC138&amp;IF(AND($PD138&gt;0,$PF138&gt;0)," · ","")&amp;$PE138))</f>
        <v/>
      </c>
      <c r="PI138" s="152">
        <f>IF($MA138&gt;$MO138,$MB138&amp;" · ABRE NO NÍVEL "&amp;$MA138,$MB138)</f>
        <v/>
      </c>
      <c r="PJ138" s="152">
        <f>IF($MN138=0,"",IF($MC138=0,"Sem PE",3*$MC138&amp;" PE"))</f>
        <v/>
      </c>
      <c r="PK138" s="152">
        <f>IF($MN138=0,"",IF($MC138=0,"A atuação básica dela",IF(COUNTIF($NT138:$NU138,"Atrasar")&gt;0,"Sua Ação Completa",IF(COUNTIF($MH138:$MK138,"Rápido")&gt;0,"Sua Bônus",IF(COUNTIF($MH138:$MK138,"Reação")&gt;0,"Sua Reação","Sua Padrão")))&amp;" + a básica dela"&amp;IF(COUNTIF($MH138:$MK138,"Reação")&gt;0," e a coletiva","")&amp;IF(COUNTIF($NT138:$NU138,"Carregar")&gt;0," · em dois turnos","")))</f>
        <v/>
      </c>
      <c r="PL138" s="152">
        <f>IF($MG138&lt;&gt;"",$MG138,IF($MT138=0,"",INDEX($AA$2:$AA$11,$MT138)))</f>
        <v/>
      </c>
      <c r="PM138" s="152">
        <f>IF(OR($MN138=0,$MT138=0),"",IF(COUNTIF($MH138:$MK138,"Inescapável")&gt;0,"Automático",IF($PL138="Ataque",IF($MR138="","Ataque","Ataque "&amp;IF(($MR138+2*IF(COUNTIF($MH138:$MK138,"Precisão")&gt;0,1,0))&gt;=0,"+","−")&amp;ABS(($MR138+2*IF(COUNTIF($MH138:$MK138,"Precisão")&gt;0,1,0)))),IF(LEFT($PL138,2)="TR",$PL138&amp;IF($MS138="",""," · CD "&amp;$MS138)&amp;IF(COUNTIF($MH138:$MK138,"Certeiro")&gt;0," · metade",""),"Sem rolagem"))))</f>
        <v/>
      </c>
      <c r="PN138" s="152">
        <f>IF(OR($MN138=0,$MT138=0),"",IF($MC138=0,IF(OR($NP138&gt;=1,$OM138=0),"Sem dano",$OM138&amp;"d6"&amp;IF($MF138="",""," "&amp;$MF138)),IF(OR($NP138&gt;=1,$OM138=0),UPPER(LEFT(INDEX($OV138:$PB138,1,MAX(1,$MC138)),1))&amp;MID(INDEX($OV138:$PB138,1,MAX(1,$MC138)),2,99),UPPER(LEFT(INDEX($OV138:$PB138,1,MAX(1,$MC138)),1))&amp;MID(INDEX($OV138:$PB138,1,MAX(1,$MC138)),2,99)&amp;IF($MF138="",""," "&amp;$MF138)&amp;IF($ON138&gt;0," · +"&amp;$ON138&amp;"d8",""))))</f>
        <v/>
      </c>
      <c r="PO138" s="152">
        <f>COUNTIF($MH138:$MK138,"Longe")+3*COUNTIF($MH138:$MK138,"Muito Longe")</f>
        <v/>
      </c>
      <c r="PP138" s="152">
        <f>COUNTIF($MH138:$MK138,"Maior")+3*COUNTIF($MH138:$MK138,"Muito Maior")</f>
        <v/>
      </c>
      <c r="PQ138" s="152">
        <f>IF($MT138=0,0,CHOOSE(1+INDEX($AC$2:$AC$11,$MT138),0,$PO138,$PP138,$PO138+$PP138))</f>
        <v/>
      </c>
      <c r="PR138" s="152">
        <f>IF($MT138=0,0,CHOOSE(1+INDEX($AD$2:$AD$11,$MT138),0,$PO138,$PP138,$PO138+$PP138))</f>
        <v/>
      </c>
      <c r="PS138" s="152">
        <f>IF(OR($MN138=0,$MT138=0),"",INDEX($AI$2:$AN$41,($MT138-1)*4+IF($MC138=0,1,IF($MC138&lt;=5,2,IF($MC138=6,3,4))),1+MIN(5,$PQ138))&amp;INDEX($AO$2:$AT$41,($MT138-1)*4+IF($MC138=0,1,IF($MC138&lt;=5,2,IF($MC138=6,3,4))),1+MIN(5,$PR138))&amp;IF(INDEX($AE$2:$AE$11,$MT138)=1,IF(COUNTIF($MH138:$MK138,"Mais Um")&gt;0," · +"&amp;COUNTIF($MH138:$MK138,"Mais Um")&amp;IF(COUNTIF($MH138:$MK138,"Mais Um")&gt;1," alvos"," alvo"),"")&amp;IF(COUNTIF($MH138:$MK138,"Rajada")&gt;0,IF($MC138=0," · 1 tiro"," · "&amp;(MAX(1,$MC138-1)+1)&amp;" tiros"),""),""))</f>
        <v/>
      </c>
      <c r="PT138" s="152">
        <f>IF($MN138=0,"",IF($MC138=0,$MQ138&amp;"d6"&amp;IF($OD138&gt;0," − 1 = "&amp;$OM138&amp;"d6"," da básica do nível "&amp;$MO138),$OK138&amp;" − "&amp;$OF138&amp;" + "&amp;$OI138&amp;" = "&amp;$OL138&amp;" · teto "&amp;4*$MC138&amp;"d8"&amp;IF($NO138=1," · a Forma devolve "&amp;$MC138,"")&amp;IF($OJ138&gt;0," · perde "&amp;$OJ138,"")))</f>
        <v/>
      </c>
      <c r="PU138" s="152">
        <f>IF($MN138=0,"",IF($MC138=0,"A básica não amplia: os dados dela sobem com o nível",IF($MC138&gt;=$MP138,"Já está na maior Classe que o nível liberou",TEXTJOIN(" · ",TRUE,IF(AND(2&gt;$MC138,2&lt;=$MP138),"2 → "&amp;$OW138&amp;", 6 PE",""),IF(AND(3&gt;$MC138,3&lt;=$MP138),"3 → "&amp;$OX138&amp;", 9 PE",""),IF(AND(4&gt;$MC138,4&lt;=$MP138),"4 → "&amp;$OY138&amp;", 12 PE",""),IF(AND(5&gt;$MC138,5&lt;=$MP138),"5 → "&amp;$OZ138&amp;", 15 PE",""),IF(AND(6&gt;$MC138,6&lt;=$MP138),"6 → "&amp;$PA138&amp;", 18 PE",""),IF(AND(7&gt;$MC138,7&lt;=$MP138),"7 → "&amp;$PB138&amp;", 21 PE","")))))</f>
        <v/>
      </c>
      <c r="PV138" s="152">
        <f>IF(OR($MN138=0,$MY138=0),"",IF($MC138=0,"−1 dado","−"&amp;INDEX($I$2:$N$8,MAX(1,$MC138),MAX(1,$ND138))&amp;" · "&amp;CHOOSE(MAX(1,$ND138),"Leve","Média","Pesada","Leve · Livre","Média · Livre","Pesada · Livre")))</f>
        <v/>
      </c>
      <c r="PW138" s="152">
        <f>IF(OR($MN138=0,$MZ138=0),"",IF($MC138=0,"−1 dado","−"&amp;INDEX($I$2:$N$8,MAX(1,$MC138),MAX(1,$NE138))&amp;" · "&amp;CHOOSE(MAX(1,$NE138),"Leve","Média","Pesada","Leve · Livre","Média · Livre","Pesada · Livre")))</f>
        <v/>
      </c>
      <c r="PX138" s="152">
        <f>IF(OR($MN138=0,$NA138=0),"",IF($MC138=0,"−1 dado","−"&amp;INDEX($I$2:$N$8,MAX(1,$MC138),MAX(1,$NF138))&amp;" · "&amp;CHOOSE(MAX(1,$NF138),"Leve","Média","Pesada","Leve · Livre","Média · Livre","Pesada · Livre")))</f>
        <v/>
      </c>
      <c r="PY138" s="152">
        <f>IF(OR($MN138=0,$NB138=0),"",IF($MC138=0,"−1 dado","−"&amp;INDEX($I$2:$N$8,MAX(1,$MC138),MAX(1,$NG138))&amp;" · "&amp;CHOOSE(MAX(1,$NG138),"Leve","Média","Pesada","Leve · Livre","Média · Livre","Pesada · Livre")))</f>
        <v/>
      </c>
      <c r="PZ138" s="152">
        <f>IF(OR($MN138=0,$ML138=""),"",IF($MC138=0,"não devolve","+"&amp;IF($NR138=1,CEILING($MC138/2,1),$MC138)))</f>
        <v/>
      </c>
      <c r="QA138" s="152">
        <f>IF(OR($MN138=0,$MM138=""),"",IF($MC138=0,"não devolve","+"&amp;IF($NS138=1,CEILING($MC138/2,1),$MC138)))</f>
        <v/>
      </c>
    </row>
    <row r="139">
      <c r="LX139" s="150" t="inlineStr">
        <is>
          <t>Ficha 11 · Especial 6</t>
        </is>
      </c>
      <c r="LY139" s="152" t="n">
        <v>11</v>
      </c>
      <c r="LZ139" s="152" t="n">
        <v>1</v>
      </c>
      <c r="MA139" s="152" t="n">
        <v>20</v>
      </c>
      <c r="MB139" s="150" t="inlineStr">
        <is>
          <t>ESPECIAL 6</t>
        </is>
      </c>
      <c r="MC139" s="152">
        <f>MAX(1,MIN(7,N('INVOCAÇÕES'!$AH$906)))</f>
        <v/>
      </c>
      <c r="MD139" s="152">
        <f>'INVOCAÇÕES'!$AI$906&amp;""</f>
        <v/>
      </c>
      <c r="ME139" s="152">
        <f>'INVOCAÇÕES'!$AH$911&amp;""</f>
        <v/>
      </c>
      <c r="MF139" s="152">
        <f>'INVOCAÇÕES'!$AH$912&amp;""</f>
        <v/>
      </c>
      <c r="MG139" s="152">
        <f>'INVOCAÇÕES'!$AJ$912&amp;""</f>
        <v/>
      </c>
      <c r="MH139" s="152">
        <f>'INVOCAÇÕES'!$AI$915&amp;""</f>
        <v/>
      </c>
      <c r="MI139" s="152">
        <f>'INVOCAÇÕES'!$AI$916&amp;""</f>
        <v/>
      </c>
      <c r="MJ139" s="152">
        <f>'INVOCAÇÕES'!$AI$917&amp;""</f>
        <v/>
      </c>
      <c r="MK139" s="152">
        <f>'INVOCAÇÕES'!$AI$918&amp;""</f>
        <v/>
      </c>
      <c r="ML139" s="152">
        <f>'INVOCAÇÕES'!$AI$919&amp;""</f>
        <v/>
      </c>
      <c r="MM139" s="152">
        <f>'INVOCAÇÕES'!$AI$920&amp;""</f>
        <v/>
      </c>
      <c r="MN139" s="152">
        <f>IF($MD139&lt;&gt;"",1,0)</f>
        <v/>
      </c>
      <c r="MO139" s="152">
        <f>INDEX($FG$2:$FG$13,$LY139)</f>
        <v/>
      </c>
      <c r="MP139" s="152">
        <f>INDEX($FH$2:$FH$13,$LY139)</f>
        <v/>
      </c>
      <c r="MQ139" s="152">
        <f>INDEX($FI$2:$FI$13,$LY139)</f>
        <v/>
      </c>
      <c r="MR139" s="152">
        <f>INDEX($FT$2:$FT$13,$LY139)</f>
        <v/>
      </c>
      <c r="MS139" s="152">
        <f>INDEX($FU$2:$FU$13,$LY139)</f>
        <v/>
      </c>
      <c r="MT139" s="152">
        <f>IFERROR(MATCH($ME139,$V$2:$V$11,0),0)</f>
        <v/>
      </c>
      <c r="MU139" s="152">
        <f>IFERROR(VLOOKUP($MH139,$AV$2:$AZ$84,2,FALSE),"")</f>
        <v/>
      </c>
      <c r="MV139" s="152">
        <f>IFERROR(VLOOKUP($MI139,$AV$2:$AZ$84,2,FALSE),"")</f>
        <v/>
      </c>
      <c r="MW139" s="152">
        <f>IFERROR(VLOOKUP($MJ139,$AV$2:$AZ$84,2,FALSE),"")</f>
        <v/>
      </c>
      <c r="MX139" s="152">
        <f>IFERROR(VLOOKUP($MK139,$AV$2:$AZ$84,2,FALSE),"")</f>
        <v/>
      </c>
      <c r="MY139" s="152">
        <f>IFERROR(VLOOKUP($MH139,$AV$2:$AZ$84,3,FALSE),0)</f>
        <v/>
      </c>
      <c r="MZ139" s="152">
        <f>IFERROR(VLOOKUP($MI139,$AV$2:$AZ$84,3,FALSE),0)</f>
        <v/>
      </c>
      <c r="NA139" s="152">
        <f>IFERROR(VLOOKUP($MJ139,$AV$2:$AZ$84,3,FALSE),0)</f>
        <v/>
      </c>
      <c r="NB139" s="152">
        <f>IFERROR(VLOOKUP($MK139,$AV$2:$AZ$84,3,FALSE),0)</f>
        <v/>
      </c>
      <c r="NC139" s="152">
        <f>IF($MC139=0,0,IF($MT139=0,0,INDEX($X$2:$X$11,$MT139)))</f>
        <v/>
      </c>
      <c r="ND139" s="152">
        <f>IF(OR($MY139=0,$MC139=0),0,$MY139+3*IF(AND($MU139&lt;&gt;"",OR($MU139=INDEX($ED$2:$ED$13,$LY139),$MU139=INDEX($EE$2:$EE$13,$LY139))),1,0))</f>
        <v/>
      </c>
      <c r="NE139" s="152">
        <f>IF(OR($MZ139=0,$MC139=0),0,$MZ139+3*IF(AND($MV139&lt;&gt;"",OR($MV139=INDEX($ED$2:$ED$13,$LY139),$MV139=INDEX($EE$2:$EE$13,$LY139))),1,0))</f>
        <v/>
      </c>
      <c r="NF139" s="152">
        <f>IF(OR($NA139=0,$MC139=0),0,$NA139+3*IF(AND($MW139&lt;&gt;"",OR($MW139=INDEX($ED$2:$ED$13,$LY139),$MW139=INDEX($EE$2:$EE$13,$LY139))),1,0))</f>
        <v/>
      </c>
      <c r="NG139" s="152">
        <f>IF(OR($NB139=0,$MC139=0),0,$NB139+3*IF(AND($MX139&lt;&gt;"",OR($MX139=INDEX($ED$2:$ED$13,$LY139),$MX139=INDEX($EE$2:$EE$13,$LY139))),1,0))</f>
        <v/>
      </c>
      <c r="NH139" s="152">
        <f>IF($MT139=0,0,IF(INDEX($W$2:$W$11,$MT139)="",0,IF(COUNTIF(INDEX($ED$2:$EH$13,$LY139,0),INDEX($W$2:$W$11,$MT139))=0,1,0)))</f>
        <v/>
      </c>
      <c r="NI139" s="152">
        <f>IF(OR($MY139=0,$MU139=""),0,IF(COUNTIF(INDEX($ED$2:$EH$13,$LY139,0),$MU139)=0,1,0))</f>
        <v/>
      </c>
      <c r="NJ139" s="152">
        <f>IF(OR($MZ139=0,$MV139=""),0,IF(COUNTIF(INDEX($ED$2:$EH$13,$LY139,0),$MV139)=0,1,0))</f>
        <v/>
      </c>
      <c r="NK139" s="152">
        <f>IF(OR($NA139=0,$MW139=""),0,IF(COUNTIF(INDEX($ED$2:$EH$13,$LY139,0),$MW139)=0,1,0))</f>
        <v/>
      </c>
      <c r="NL139" s="152">
        <f>IF(OR($NB139=0,$MX139=""),0,IF(COUNTIF(INDEX($ED$2:$EH$13,$LY139,0),$MX139)=0,1,0))</f>
        <v/>
      </c>
      <c r="NM139" s="152">
        <f>IFERROR(VLOOKUP($MH139,$AV$2:$AZ$84,4,FALSE),0)+IFERROR(VLOOKUP($MI139,$AV$2:$AZ$84,4,FALSE),0)+IFERROR(VLOOKUP($MJ139,$AV$2:$AZ$84,4,FALSE),0)+IFERROR(VLOOKUP($MK139,$AV$2:$AZ$84,4,FALSE),0)</f>
        <v/>
      </c>
      <c r="NN139" s="152">
        <f>TEXTJOIN(", ",TRUE,IF(IFERROR(VLOOKUP($MH139,$AV$2:$AZ$84,5,FALSE),0)=1,$MH139,""),IF(IFERROR(VLOOKUP($MI139,$AV$2:$AZ$84,5,FALSE),0)=1,$MI139,""),IF(IFERROR(VLOOKUP($MJ139,$AV$2:$AZ$84,5,FALSE),0)=1,$MJ139,""),IF(IFERROR(VLOOKUP($MK139,$AV$2:$AZ$84,5,FALSE),0)=1,$MK139,""))</f>
        <v/>
      </c>
      <c r="NO139" s="152">
        <f>IF($MT139=0,0,INDEX($Y$2:$Y$11,$MT139))</f>
        <v/>
      </c>
      <c r="NP139" s="152">
        <f>IF($MT139=0,0,INDEX($Z$2:$Z$11,$MT139))</f>
        <v/>
      </c>
      <c r="NQ139" s="152">
        <f>IF($MT139=0,0,INDEX($AB$2:$AB$11,$MT139))</f>
        <v/>
      </c>
      <c r="NR139" s="152">
        <f>IFERROR(VLOOKUP($ML139,$BB$2:$BF$24,3,FALSE),0)</f>
        <v/>
      </c>
      <c r="NS139" s="152">
        <f>IFERROR(VLOOKUP($MM139,$BB$2:$BF$24,3,FALSE),0)</f>
        <v/>
      </c>
      <c r="NT139" s="152">
        <f>IFERROR(VLOOKUP($ML139,$BB$2:$BF$24,2,FALSE),"")</f>
        <v/>
      </c>
      <c r="NU139" s="152">
        <f>IFERROR(VLOOKUP($MM139,$BB$2:$BF$24,2,FALSE),"")</f>
        <v/>
      </c>
      <c r="NV139" s="152">
        <f>COUNTIF($NC139:$NG139,1)</f>
        <v/>
      </c>
      <c r="NW139" s="152">
        <f>COUNTIF($NC139:$NG139,2)</f>
        <v/>
      </c>
      <c r="NX139" s="152">
        <f>COUNTIF($NC139:$NG139,3)</f>
        <v/>
      </c>
      <c r="NY139" s="152">
        <f>COUNTIF($NC139:$NG139,4)</f>
        <v/>
      </c>
      <c r="NZ139" s="152">
        <f>COUNTIF($NC139:$NG139,5)</f>
        <v/>
      </c>
      <c r="OA139" s="152">
        <f>COUNTIF($NC139:$NG139,6)</f>
        <v/>
      </c>
      <c r="OB139" s="152">
        <f>COUNTIF($NR139:$NS139,1)</f>
        <v/>
      </c>
      <c r="OC139" s="152">
        <f>COUNTIF($NR139:$NS139,2)+$NO139</f>
        <v/>
      </c>
      <c r="OD139" s="152">
        <f>COUNTIF($MH139:$MK139,"?*")</f>
        <v/>
      </c>
      <c r="OE139" s="152">
        <f>COUNTIF($ML139:$MM139,"?*")+$NO139</f>
        <v/>
      </c>
      <c r="OF139" s="152">
        <f>IF($MC139=0,0,SUMPRODUCT($NV139:$OA139,INDEX($I$2:$N$8,MAX(1,$MC139),0)))</f>
        <v/>
      </c>
      <c r="OG139" s="152">
        <f>IF($MC139=0,0,$OB139*CEILING($MC139/2,1)+$OC139*$MC139)</f>
        <v/>
      </c>
      <c r="OH139" s="152">
        <f>MIN(2*$MC139,$OG139)</f>
        <v/>
      </c>
      <c r="OI139" s="152">
        <f>MIN($OH139,$OF139)</f>
        <v/>
      </c>
      <c r="OJ139" s="152">
        <f>$OH139-$OI139</f>
        <v/>
      </c>
      <c r="OK139" s="152">
        <f>IF($MC139=0,0,INDEX($P$2:$P$8,MAX(1,$MC139)))</f>
        <v/>
      </c>
      <c r="OL139" s="152">
        <f>$OK139-$OF139+$OI139</f>
        <v/>
      </c>
      <c r="OM139" s="152">
        <f>IF($MC139=0,MAX(0,$MQ139-IF($OD139&gt;0,1,0)),MAX(0,$OL139))</f>
        <v/>
      </c>
      <c r="ON139" s="152">
        <f>IF($MC139=0,0,(IF(COUNTIF($MH139:$MK139,"Salto")&gt;0,1,0)+IF(COUNTIF($MH139:$MK139,"Queima")&gt;0,1,0)+IF(COUNTIF($MH139:$MK139,"Estilhaço")&gt;0,1,0))*FLOOR($OM139/2,1))</f>
        <v/>
      </c>
      <c r="OO139" s="152">
        <f>MAX(0,2-SUMPRODUCT($NV139:$OA139,$I$2:$N$2)+MIN(2,$OB139*1+$OC139*1,SUMPRODUCT($NV139:$OA139,$I$2:$N$2)))</f>
        <v/>
      </c>
      <c r="OP139" s="152">
        <f>MAX(0,4-SUMPRODUCT($NV139:$OA139,$I$3:$N$3)+MIN(4,$OB139*1+$OC139*2,SUMPRODUCT($NV139:$OA139,$I$3:$N$3)))</f>
        <v/>
      </c>
      <c r="OQ139" s="152">
        <f>MAX(0,6-SUMPRODUCT($NV139:$OA139,$I$4:$N$4)+MIN(6,$OB139*2+$OC139*3,SUMPRODUCT($NV139:$OA139,$I$4:$N$4)))</f>
        <v/>
      </c>
      <c r="OR139" s="152">
        <f>MAX(0,9-SUMPRODUCT($NV139:$OA139,$I$5:$N$5)+MIN(8,$OB139*2+$OC139*4,SUMPRODUCT($NV139:$OA139,$I$5:$N$5)))</f>
        <v/>
      </c>
      <c r="OS139" s="152">
        <f>MAX(0,11-SUMPRODUCT($NV139:$OA139,$I$6:$N$6)+MIN(10,$OB139*3+$OC139*5,SUMPRODUCT($NV139:$OA139,$I$6:$N$6)))</f>
        <v/>
      </c>
      <c r="OT139" s="152">
        <f>MAX(0,13-SUMPRODUCT($NV139:$OA139,$I$7:$N$7)+MIN(12,$OB139*3+$OC139*6,SUMPRODUCT($NV139:$OA139,$I$7:$N$7)))</f>
        <v/>
      </c>
      <c r="OU139" s="152">
        <f>MAX(0,16-SUMPRODUCT($NV139:$OA139,$I$8:$N$8)+MIN(14,$OB139*4+$OC139*7,SUMPRODUCT($NV139:$OA139,$I$8:$N$8)))</f>
        <v/>
      </c>
      <c r="OV139" s="152">
        <f>IF($NP139=2,3*$OO139&amp;" de vida temp.",IF($NP139=3,"sem dano",IF($OO139=0,IF($NP139=1,"sem cura","sem dano"),IF($NP139=1,"cura ","")&amp;$OO139&amp;"d8")))</f>
        <v/>
      </c>
      <c r="OW139" s="152">
        <f>IF($NP139=2,3*$OP139&amp;" de vida temp.",IF($NP139=3,"sem dano",IF($OP139=0,IF($NP139=1,"sem cura","sem dano"),IF($NP139=1,"cura ","")&amp;$OP139&amp;"d8")))</f>
        <v/>
      </c>
      <c r="OX139" s="152">
        <f>IF($NP139=2,3*$OQ139&amp;" de vida temp.",IF($NP139=3,"sem dano",IF($OQ139=0,IF($NP139=1,"sem cura","sem dano"),IF($NP139=1,"cura ","")&amp;$OQ139&amp;"d8")))</f>
        <v/>
      </c>
      <c r="OY139" s="152">
        <f>IF($NP139=2,3*$OR139&amp;" de vida temp.",IF($NP139=3,"sem dano",IF($OR139=0,IF($NP139=1,"sem cura","sem dano"),IF($NP139=1,"cura ","")&amp;$OR139&amp;"d8")))</f>
        <v/>
      </c>
      <c r="OZ139" s="152">
        <f>IF($NP139=2,3*$OS139&amp;" de vida temp.",IF($NP139=3,"sem dano",IF($OS139=0,IF($NP139=1,"sem cura","sem dano"),IF($NP139=1,"cura ","")&amp;$OS139&amp;"d8")))</f>
        <v/>
      </c>
      <c r="PA139" s="152">
        <f>IF($NP139=2,3*$OT139&amp;" de vida temp.",IF($NP139=3,"sem dano",IF($OT139=0,IF($NP139=1,"sem cura","sem dano"),IF($NP139=1,"cura ","")&amp;$OT139&amp;"d8")))</f>
        <v/>
      </c>
      <c r="PB139" s="152">
        <f>IF($NP139=2,3*$OU139&amp;" de vida temp.",IF($NP139=3,"sem dano",IF($OU139=0,IF($NP139=1,"sem cura","sem dano"),IF($NP139=1,"cura ","")&amp;$OU139&amp;"d8")))</f>
        <v/>
      </c>
      <c r="PC139" s="152">
        <f>IF($MN139=0,"",TEXTJOIN(" · ",TRUE,IF($MA139&gt;$MO139,"Este lugar abre no nível "&amp;$MA139,""),IF($MC139&gt;$MP139,"Classe "&amp;$MC139&amp;": o nível "&amp;$MO139&amp;" libera até a "&amp;$MP139,""),IF($NH139=1,"A Forma "&amp;$ME139&amp;" pede "&amp;INDEX($W$2:$W$11,$MT139)&amp;" aberta",""),IF(AND($MC139=0,$MT139&gt;0,IF($MT139=0,0,INDEX($AF$2:$AF$11,$MT139))=0),$ME139&amp;" não existe na Classe 0",""),IF($NI139=1,"Família Fechada: "&amp;$MH139,""),IF($NJ139=1,"Família Fechada: "&amp;$MI139,""),IF($NK139=1,"Família Fechada: "&amp;$MJ139,""),IF($NL139=1,"Família Fechada: "&amp;$MK139,""),IF(AND($MC139&gt;0,$OD139&gt;INDEX($O$2:$O$8,MAX(1,$MC139))),$OD139&amp;" Melhorias: a Classe "&amp;$MC139&amp;" aceita "&amp;INDEX($O$2:$O$8,MAX(1,$MC139)),""),IF(AND($MC139=0,$OD139&gt;1),"A básica aceita uma Melhoria",""),IF(AND($MC139=0,COUNTIF($MY139:$NB139,"&gt;1")&gt;0),"A básica só aceita Melhoria Leve",""),IF(AND($MC139&gt;0,$OE139&gt;2),$OE139&amp;" Restrições"&amp;IF($NO139=1,", contando a que a Forma "&amp;$ME139&amp;" já traz","")&amp;": o limite é 2",""),IF(AND($MC139=0,COUNTIF($ML139:$MM139,"?*")&gt;1),"A básica aceita uma Restrição Leve",""),IF(AND($MC139=0,COUNTIF($NR139:$NS139,2)&gt;0),"A básica só aceita Restrição Leve",""),IF(AND($MC139&gt;0,$OL139&lt;0),"Orçamento estourado: faltam "&amp;(-$OL139)&amp;IF($OL139&lt;-1," pontos"," ponto"),""),IF(IFERROR(VLOOKUP($ML139,$BB$2:$BF$24,4,FALSE),0)+IFERROR(VLOOKUP($MM139,$BB$2:$BF$24,4,FALSE),0)&gt;1,$NT139&amp;" e "&amp;$NU139&amp;" são as duas de frequência",""),IF(AND((COUNTIF($MH139:$MK139,"Rápido")+COUNTIF($NT139:$NU139,"Rápido"))&gt;0,(COUNTIF($MH139:$MK139,"Atrasar")+COUNTIF($NT139:$NU139,"Atrasar"))&gt;0),"Rápido não entra com Atrasar",""),IF(AND((COUNTIF($MH139:$MK139,"Reação")+COUNTIF($NT139:$NU139,"Reação"))&gt;0,(COUNTIF($MH139:$MK139,"Rápido")+COUNTIF($NT139:$NU139,"Rápido"))&gt;0),"Reação não entra com Rápido",""),IF(AND((COUNTIF($MH139:$MK139,"Reação")+COUNTIF($NT139:$NU139,"Reação"))&gt;0,(COUNTIF($MH139:$MK139,"Armado")+COUNTIF($NT139:$NU139,"Armado"))&gt;0),"Reação não entra com Armado",""),IF(AND((COUNTIF($MH139:$MK139,"Reação")+COUNTIF($NT139:$NU139,"Reação"))&gt;0,(COUNTIF($MH139:$MK139,"Atrasar")+COUNTIF($NT139:$NU139,"Atrasar"))&gt;0),"Reação não entra com Atrasar",""),IF(AND((COUNTIF($MH139:$MK139,"Reação")+COUNTIF($NT139:$NU139,"Reação"))&gt;0,(COUNTIF($MH139:$MK139,"Parado")+COUNTIF($NT139:$NU139,"Parado"))&gt;0),"Reação não entra com Parado",""),IF(AND((COUNTIF($MH139:$MK139,"Atrasar")+COUNTIF($NT139:$NU139,"Atrasar"))&gt;0,(COUNTIF($MH139:$MK139,"Parado")+COUNTIF($NT139:$NU139,"Parado"))&gt;0),"Atrasar não entra com Parado",""),IF(AND((COUNTIF($MH139:$MK139,"Armado")+COUNTIF($NT139:$NU139,"Armado"))&gt;0,(COUNTIF($MH139:$MK139,"Carregar")+COUNTIF($NT139:$NU139,"Carregar"))&gt;0),"Armado não entra com Carregar",""),IF(AND(COUNTIF($NT139:$NU139,"Corpo a Corpo")&gt;0,$NO139=0,OR($ME139="Cone",$ME139="Linha")),"Corpo a Corpo não entra em "&amp;$ME139,""),IF(AND(COUNTIF($NT139:$NU139,"Corpo a Corpo")&gt;0,$NO139=1),"A Forma "&amp;$ME139&amp;" já traz o Corpo a Corpo",""),IF(AND(COUNTIF($NT139:$NU139,"Tudo ou Nada")&gt;0,$NQ139=0),"Tudo ou Nada só entra em habilidade de Teste de Resistência",""),IF(AND(COUNTIF($MH139:$MK139,"Inescapável")&gt;0,OR($OD139&gt;1,$OE139&gt;0)),"Inescapável não aceita outra peça",""),IF(AND($MC139&gt;0,$OM139*IF(COUNTIF($MH139:$MK139,"Remate")&gt;0,1.25,1)+$ON139&gt;4*$MC139),($OM139*IF(COUNTIF($MH139:$MK139,"Remate")&gt;0,1.25,1)+$ON139)&amp;" dados somando repetições"&amp;IF(COUNTIF($MH139:$MK139,"Remate")&gt;0," e o Remate","")&amp;": o teto da Classe "&amp;$MC139&amp;" é "&amp;4*$MC139,"")))</f>
        <v/>
      </c>
      <c r="PD139" s="152">
        <f>IF($PC139="",0,(LEN($PC139)-LEN(SUBSTITUTE($PC139," · ","")))/3+1)</f>
        <v/>
      </c>
      <c r="PE139" s="152">
        <f>IF($MN139=0,"",TEXTJOIN(" · ",TRUE,IF($OG139&gt;2*$MC139,"A devolução parou no teto de "&amp;2*$MC139,""),IF($OJ139&gt;0,"Devolução perdida: "&amp;$OJ139&amp;IF($OJ139&gt;1," pontos"," ponto")&amp;" sem peça para pagar",""),IF(AND($NM139&gt;0,AND($MC139&gt;0,$NP139=0),$OM139=0),"Controle sem dano: uma rodada a mais e CD +2",""),IF(AND($NM139&gt;0,AND($MC139&gt;0,$NP139=0),$OM139&gt;0,$OM139&lt;=$MC139),"Controle com saldo até a Classe: uma rodada a mais",""),IF(AND($MC139&gt;0,$NN139&lt;&gt;""),"Efeito de "&amp;$NN139&amp;" pela Classe "&amp;MAX(1,$MC139-1),"")))</f>
        <v/>
      </c>
      <c r="PF139" s="152">
        <f>IF($PE139="",0,(LEN($PE139)-LEN(SUBSTITUTE($PE139," · ","")))/3+1)</f>
        <v/>
      </c>
      <c r="PG139" s="152">
        <f>IF($MN139=0,IF($OD139+COUNTIF($ML139:$MM139,"?*")&gt;0,"Dê um nome",""),IF($PD139&gt;0,"⚠ "&amp;$PD139&amp;IF($PD139&gt;1," erros"," erro"),IF($PF139&gt;0,"! "&amp;$PF139&amp;IF($PF139&gt;1," avisos"," aviso"),"Na regra")))</f>
        <v/>
      </c>
      <c r="PH139" s="152">
        <f>IF($MN139=0,"",IF($PD139+$PF139=0,"Dentro das regras que a ficha confere",$PC139&amp;IF(AND($PD139&gt;0,$PF139&gt;0)," · ","")&amp;$PE139))</f>
        <v/>
      </c>
      <c r="PI139" s="152">
        <f>IF($MA139&gt;$MO139,$MB139&amp;" · ABRE NO NÍVEL "&amp;$MA139,$MB139)</f>
        <v/>
      </c>
      <c r="PJ139" s="152">
        <f>IF($MN139=0,"",IF($MC139=0,"Sem PE",3*$MC139&amp;" PE"))</f>
        <v/>
      </c>
      <c r="PK139" s="152">
        <f>IF($MN139=0,"",IF($MC139=0,"A atuação básica dela",IF(COUNTIF($NT139:$NU139,"Atrasar")&gt;0,"Sua Ação Completa",IF(COUNTIF($MH139:$MK139,"Rápido")&gt;0,"Sua Bônus",IF(COUNTIF($MH139:$MK139,"Reação")&gt;0,"Sua Reação","Sua Padrão")))&amp;" + a básica dela"&amp;IF(COUNTIF($MH139:$MK139,"Reação")&gt;0," e a coletiva","")&amp;IF(COUNTIF($NT139:$NU139,"Carregar")&gt;0," · em dois turnos","")))</f>
        <v/>
      </c>
      <c r="PL139" s="152">
        <f>IF($MG139&lt;&gt;"",$MG139,IF($MT139=0,"",INDEX($AA$2:$AA$11,$MT139)))</f>
        <v/>
      </c>
      <c r="PM139" s="152">
        <f>IF(OR($MN139=0,$MT139=0),"",IF(COUNTIF($MH139:$MK139,"Inescapável")&gt;0,"Automático",IF($PL139="Ataque",IF($MR139="","Ataque","Ataque "&amp;IF(($MR139+2*IF(COUNTIF($MH139:$MK139,"Precisão")&gt;0,1,0))&gt;=0,"+","−")&amp;ABS(($MR139+2*IF(COUNTIF($MH139:$MK139,"Precisão")&gt;0,1,0)))),IF(LEFT($PL139,2)="TR",$PL139&amp;IF($MS139="",""," · CD "&amp;$MS139)&amp;IF(COUNTIF($MH139:$MK139,"Certeiro")&gt;0," · metade",""),"Sem rolagem"))))</f>
        <v/>
      </c>
      <c r="PN139" s="152">
        <f>IF(OR($MN139=0,$MT139=0),"",IF($MC139=0,IF(OR($NP139&gt;=1,$OM139=0),"Sem dano",$OM139&amp;"d6"&amp;IF($MF139="",""," "&amp;$MF139)),IF(OR($NP139&gt;=1,$OM139=0),UPPER(LEFT(INDEX($OV139:$PB139,1,MAX(1,$MC139)),1))&amp;MID(INDEX($OV139:$PB139,1,MAX(1,$MC139)),2,99),UPPER(LEFT(INDEX($OV139:$PB139,1,MAX(1,$MC139)),1))&amp;MID(INDEX($OV139:$PB139,1,MAX(1,$MC139)),2,99)&amp;IF($MF139="",""," "&amp;$MF139)&amp;IF($ON139&gt;0," · +"&amp;$ON139&amp;"d8",""))))</f>
        <v/>
      </c>
      <c r="PO139" s="152">
        <f>COUNTIF($MH139:$MK139,"Longe")+3*COUNTIF($MH139:$MK139,"Muito Longe")</f>
        <v/>
      </c>
      <c r="PP139" s="152">
        <f>COUNTIF($MH139:$MK139,"Maior")+3*COUNTIF($MH139:$MK139,"Muito Maior")</f>
        <v/>
      </c>
      <c r="PQ139" s="152">
        <f>IF($MT139=0,0,CHOOSE(1+INDEX($AC$2:$AC$11,$MT139),0,$PO139,$PP139,$PO139+$PP139))</f>
        <v/>
      </c>
      <c r="PR139" s="152">
        <f>IF($MT139=0,0,CHOOSE(1+INDEX($AD$2:$AD$11,$MT139),0,$PO139,$PP139,$PO139+$PP139))</f>
        <v/>
      </c>
      <c r="PS139" s="152">
        <f>IF(OR($MN139=0,$MT139=0),"",INDEX($AI$2:$AN$41,($MT139-1)*4+IF($MC139=0,1,IF($MC139&lt;=5,2,IF($MC139=6,3,4))),1+MIN(5,$PQ139))&amp;INDEX($AO$2:$AT$41,($MT139-1)*4+IF($MC139=0,1,IF($MC139&lt;=5,2,IF($MC139=6,3,4))),1+MIN(5,$PR139))&amp;IF(INDEX($AE$2:$AE$11,$MT139)=1,IF(COUNTIF($MH139:$MK139,"Mais Um")&gt;0," · +"&amp;COUNTIF($MH139:$MK139,"Mais Um")&amp;IF(COUNTIF($MH139:$MK139,"Mais Um")&gt;1," alvos"," alvo"),"")&amp;IF(COUNTIF($MH139:$MK139,"Rajada")&gt;0,IF($MC139=0," · 1 tiro"," · "&amp;(MAX(1,$MC139-1)+1)&amp;" tiros"),""),""))</f>
        <v/>
      </c>
      <c r="PT139" s="152">
        <f>IF($MN139=0,"",IF($MC139=0,$MQ139&amp;"d6"&amp;IF($OD139&gt;0," − 1 = "&amp;$OM139&amp;"d6"," da básica do nível "&amp;$MO139),$OK139&amp;" − "&amp;$OF139&amp;" + "&amp;$OI139&amp;" = "&amp;$OL139&amp;" · teto "&amp;4*$MC139&amp;"d8"&amp;IF($NO139=1," · a Forma devolve "&amp;$MC139,"")&amp;IF($OJ139&gt;0," · perde "&amp;$OJ139,"")))</f>
        <v/>
      </c>
      <c r="PU139" s="152">
        <f>IF($MN139=0,"",IF($MC139=0,"A básica não amplia: os dados dela sobem com o nível",IF($MC139&gt;=$MP139,"Já está na maior Classe que o nível liberou",TEXTJOIN(" · ",TRUE,IF(AND(2&gt;$MC139,2&lt;=$MP139),"2 → "&amp;$OW139&amp;", 6 PE",""),IF(AND(3&gt;$MC139,3&lt;=$MP139),"3 → "&amp;$OX139&amp;", 9 PE",""),IF(AND(4&gt;$MC139,4&lt;=$MP139),"4 → "&amp;$OY139&amp;", 12 PE",""),IF(AND(5&gt;$MC139,5&lt;=$MP139),"5 → "&amp;$OZ139&amp;", 15 PE",""),IF(AND(6&gt;$MC139,6&lt;=$MP139),"6 → "&amp;$PA139&amp;", 18 PE",""),IF(AND(7&gt;$MC139,7&lt;=$MP139),"7 → "&amp;$PB139&amp;", 21 PE","")))))</f>
        <v/>
      </c>
      <c r="PV139" s="152">
        <f>IF(OR($MN139=0,$MY139=0),"",IF($MC139=0,"−1 dado","−"&amp;INDEX($I$2:$N$8,MAX(1,$MC139),MAX(1,$ND139))&amp;" · "&amp;CHOOSE(MAX(1,$ND139),"Leve","Média","Pesada","Leve · Livre","Média · Livre","Pesada · Livre")))</f>
        <v/>
      </c>
      <c r="PW139" s="152">
        <f>IF(OR($MN139=0,$MZ139=0),"",IF($MC139=0,"−1 dado","−"&amp;INDEX($I$2:$N$8,MAX(1,$MC139),MAX(1,$NE139))&amp;" · "&amp;CHOOSE(MAX(1,$NE139),"Leve","Média","Pesada","Leve · Livre","Média · Livre","Pesada · Livre")))</f>
        <v/>
      </c>
      <c r="PX139" s="152">
        <f>IF(OR($MN139=0,$NA139=0),"",IF($MC139=0,"−1 dado","−"&amp;INDEX($I$2:$N$8,MAX(1,$MC139),MAX(1,$NF139))&amp;" · "&amp;CHOOSE(MAX(1,$NF139),"Leve","Média","Pesada","Leve · Livre","Média · Livre","Pesada · Livre")))</f>
        <v/>
      </c>
      <c r="PY139" s="152">
        <f>IF(OR($MN139=0,$NB139=0),"",IF($MC139=0,"−1 dado","−"&amp;INDEX($I$2:$N$8,MAX(1,$MC139),MAX(1,$NG139))&amp;" · "&amp;CHOOSE(MAX(1,$NG139),"Leve","Média","Pesada","Leve · Livre","Média · Livre","Pesada · Livre")))</f>
        <v/>
      </c>
      <c r="PZ139" s="152">
        <f>IF(OR($MN139=0,$ML139=""),"",IF($MC139=0,"não devolve","+"&amp;IF($NR139=1,CEILING($MC139/2,1),$MC139)))</f>
        <v/>
      </c>
      <c r="QA139" s="152">
        <f>IF(OR($MN139=0,$MM139=""),"",IF($MC139=0,"não devolve","+"&amp;IF($NS139=1,CEILING($MC139/2,1),$MC139)))</f>
        <v/>
      </c>
    </row>
    <row r="140">
      <c r="LX140" s="150" t="inlineStr">
        <is>
          <t>Ficha 11 · Especial 7</t>
        </is>
      </c>
      <c r="LY140" s="152" t="n">
        <v>11</v>
      </c>
      <c r="LZ140" s="152" t="n">
        <v>1</v>
      </c>
      <c r="MA140" s="152" t="n">
        <v>24</v>
      </c>
      <c r="MB140" s="150" t="inlineStr">
        <is>
          <t>ESPECIAL 7</t>
        </is>
      </c>
      <c r="MC140" s="152">
        <f>MAX(1,MIN(7,N('INVOCAÇÕES'!$AN$906)))</f>
        <v/>
      </c>
      <c r="MD140" s="152">
        <f>'INVOCAÇÕES'!$AO$906&amp;""</f>
        <v/>
      </c>
      <c r="ME140" s="152">
        <f>'INVOCAÇÕES'!$AN$911&amp;""</f>
        <v/>
      </c>
      <c r="MF140" s="152">
        <f>'INVOCAÇÕES'!$AN$912&amp;""</f>
        <v/>
      </c>
      <c r="MG140" s="152">
        <f>'INVOCAÇÕES'!$AP$912&amp;""</f>
        <v/>
      </c>
      <c r="MH140" s="152">
        <f>'INVOCAÇÕES'!$AO$915&amp;""</f>
        <v/>
      </c>
      <c r="MI140" s="152">
        <f>'INVOCAÇÕES'!$AO$916&amp;""</f>
        <v/>
      </c>
      <c r="MJ140" s="152">
        <f>'INVOCAÇÕES'!$AO$917&amp;""</f>
        <v/>
      </c>
      <c r="MK140" s="152">
        <f>'INVOCAÇÕES'!$AO$918&amp;""</f>
        <v/>
      </c>
      <c r="ML140" s="152">
        <f>'INVOCAÇÕES'!$AO$919&amp;""</f>
        <v/>
      </c>
      <c r="MM140" s="152">
        <f>'INVOCAÇÕES'!$AO$920&amp;""</f>
        <v/>
      </c>
      <c r="MN140" s="152">
        <f>IF($MD140&lt;&gt;"",1,0)</f>
        <v/>
      </c>
      <c r="MO140" s="152">
        <f>INDEX($FG$2:$FG$13,$LY140)</f>
        <v/>
      </c>
      <c r="MP140" s="152">
        <f>INDEX($FH$2:$FH$13,$LY140)</f>
        <v/>
      </c>
      <c r="MQ140" s="152">
        <f>INDEX($FI$2:$FI$13,$LY140)</f>
        <v/>
      </c>
      <c r="MR140" s="152">
        <f>INDEX($FT$2:$FT$13,$LY140)</f>
        <v/>
      </c>
      <c r="MS140" s="152">
        <f>INDEX($FU$2:$FU$13,$LY140)</f>
        <v/>
      </c>
      <c r="MT140" s="152">
        <f>IFERROR(MATCH($ME140,$V$2:$V$11,0),0)</f>
        <v/>
      </c>
      <c r="MU140" s="152">
        <f>IFERROR(VLOOKUP($MH140,$AV$2:$AZ$84,2,FALSE),"")</f>
        <v/>
      </c>
      <c r="MV140" s="152">
        <f>IFERROR(VLOOKUP($MI140,$AV$2:$AZ$84,2,FALSE),"")</f>
        <v/>
      </c>
      <c r="MW140" s="152">
        <f>IFERROR(VLOOKUP($MJ140,$AV$2:$AZ$84,2,FALSE),"")</f>
        <v/>
      </c>
      <c r="MX140" s="152">
        <f>IFERROR(VLOOKUP($MK140,$AV$2:$AZ$84,2,FALSE),"")</f>
        <v/>
      </c>
      <c r="MY140" s="152">
        <f>IFERROR(VLOOKUP($MH140,$AV$2:$AZ$84,3,FALSE),0)</f>
        <v/>
      </c>
      <c r="MZ140" s="152">
        <f>IFERROR(VLOOKUP($MI140,$AV$2:$AZ$84,3,FALSE),0)</f>
        <v/>
      </c>
      <c r="NA140" s="152">
        <f>IFERROR(VLOOKUP($MJ140,$AV$2:$AZ$84,3,FALSE),0)</f>
        <v/>
      </c>
      <c r="NB140" s="152">
        <f>IFERROR(VLOOKUP($MK140,$AV$2:$AZ$84,3,FALSE),0)</f>
        <v/>
      </c>
      <c r="NC140" s="152">
        <f>IF($MC140=0,0,IF($MT140=0,0,INDEX($X$2:$X$11,$MT140)))</f>
        <v/>
      </c>
      <c r="ND140" s="152">
        <f>IF(OR($MY140=0,$MC140=0),0,$MY140+3*IF(AND($MU140&lt;&gt;"",OR($MU140=INDEX($ED$2:$ED$13,$LY140),$MU140=INDEX($EE$2:$EE$13,$LY140))),1,0))</f>
        <v/>
      </c>
      <c r="NE140" s="152">
        <f>IF(OR($MZ140=0,$MC140=0),0,$MZ140+3*IF(AND($MV140&lt;&gt;"",OR($MV140=INDEX($ED$2:$ED$13,$LY140),$MV140=INDEX($EE$2:$EE$13,$LY140))),1,0))</f>
        <v/>
      </c>
      <c r="NF140" s="152">
        <f>IF(OR($NA140=0,$MC140=0),0,$NA140+3*IF(AND($MW140&lt;&gt;"",OR($MW140=INDEX($ED$2:$ED$13,$LY140),$MW140=INDEX($EE$2:$EE$13,$LY140))),1,0))</f>
        <v/>
      </c>
      <c r="NG140" s="152">
        <f>IF(OR($NB140=0,$MC140=0),0,$NB140+3*IF(AND($MX140&lt;&gt;"",OR($MX140=INDEX($ED$2:$ED$13,$LY140),$MX140=INDEX($EE$2:$EE$13,$LY140))),1,0))</f>
        <v/>
      </c>
      <c r="NH140" s="152">
        <f>IF($MT140=0,0,IF(INDEX($W$2:$W$11,$MT140)="",0,IF(COUNTIF(INDEX($ED$2:$EH$13,$LY140,0),INDEX($W$2:$W$11,$MT140))=0,1,0)))</f>
        <v/>
      </c>
      <c r="NI140" s="152">
        <f>IF(OR($MY140=0,$MU140=""),0,IF(COUNTIF(INDEX($ED$2:$EH$13,$LY140,0),$MU140)=0,1,0))</f>
        <v/>
      </c>
      <c r="NJ140" s="152">
        <f>IF(OR($MZ140=0,$MV140=""),0,IF(COUNTIF(INDEX($ED$2:$EH$13,$LY140,0),$MV140)=0,1,0))</f>
        <v/>
      </c>
      <c r="NK140" s="152">
        <f>IF(OR($NA140=0,$MW140=""),0,IF(COUNTIF(INDEX($ED$2:$EH$13,$LY140,0),$MW140)=0,1,0))</f>
        <v/>
      </c>
      <c r="NL140" s="152">
        <f>IF(OR($NB140=0,$MX140=""),0,IF(COUNTIF(INDEX($ED$2:$EH$13,$LY140,0),$MX140)=0,1,0))</f>
        <v/>
      </c>
      <c r="NM140" s="152">
        <f>IFERROR(VLOOKUP($MH140,$AV$2:$AZ$84,4,FALSE),0)+IFERROR(VLOOKUP($MI140,$AV$2:$AZ$84,4,FALSE),0)+IFERROR(VLOOKUP($MJ140,$AV$2:$AZ$84,4,FALSE),0)+IFERROR(VLOOKUP($MK140,$AV$2:$AZ$84,4,FALSE),0)</f>
        <v/>
      </c>
      <c r="NN140" s="152">
        <f>TEXTJOIN(", ",TRUE,IF(IFERROR(VLOOKUP($MH140,$AV$2:$AZ$84,5,FALSE),0)=1,$MH140,""),IF(IFERROR(VLOOKUP($MI140,$AV$2:$AZ$84,5,FALSE),0)=1,$MI140,""),IF(IFERROR(VLOOKUP($MJ140,$AV$2:$AZ$84,5,FALSE),0)=1,$MJ140,""),IF(IFERROR(VLOOKUP($MK140,$AV$2:$AZ$84,5,FALSE),0)=1,$MK140,""))</f>
        <v/>
      </c>
      <c r="NO140" s="152">
        <f>IF($MT140=0,0,INDEX($Y$2:$Y$11,$MT140))</f>
        <v/>
      </c>
      <c r="NP140" s="152">
        <f>IF($MT140=0,0,INDEX($Z$2:$Z$11,$MT140))</f>
        <v/>
      </c>
      <c r="NQ140" s="152">
        <f>IF($MT140=0,0,INDEX($AB$2:$AB$11,$MT140))</f>
        <v/>
      </c>
      <c r="NR140" s="152">
        <f>IFERROR(VLOOKUP($ML140,$BB$2:$BF$24,3,FALSE),0)</f>
        <v/>
      </c>
      <c r="NS140" s="152">
        <f>IFERROR(VLOOKUP($MM140,$BB$2:$BF$24,3,FALSE),0)</f>
        <v/>
      </c>
      <c r="NT140" s="152">
        <f>IFERROR(VLOOKUP($ML140,$BB$2:$BF$24,2,FALSE),"")</f>
        <v/>
      </c>
      <c r="NU140" s="152">
        <f>IFERROR(VLOOKUP($MM140,$BB$2:$BF$24,2,FALSE),"")</f>
        <v/>
      </c>
      <c r="NV140" s="152">
        <f>COUNTIF($NC140:$NG140,1)</f>
        <v/>
      </c>
      <c r="NW140" s="152">
        <f>COUNTIF($NC140:$NG140,2)</f>
        <v/>
      </c>
      <c r="NX140" s="152">
        <f>COUNTIF($NC140:$NG140,3)</f>
        <v/>
      </c>
      <c r="NY140" s="152">
        <f>COUNTIF($NC140:$NG140,4)</f>
        <v/>
      </c>
      <c r="NZ140" s="152">
        <f>COUNTIF($NC140:$NG140,5)</f>
        <v/>
      </c>
      <c r="OA140" s="152">
        <f>COUNTIF($NC140:$NG140,6)</f>
        <v/>
      </c>
      <c r="OB140" s="152">
        <f>COUNTIF($NR140:$NS140,1)</f>
        <v/>
      </c>
      <c r="OC140" s="152">
        <f>COUNTIF($NR140:$NS140,2)+$NO140</f>
        <v/>
      </c>
      <c r="OD140" s="152">
        <f>COUNTIF($MH140:$MK140,"?*")</f>
        <v/>
      </c>
      <c r="OE140" s="152">
        <f>COUNTIF($ML140:$MM140,"?*")+$NO140</f>
        <v/>
      </c>
      <c r="OF140" s="152">
        <f>IF($MC140=0,0,SUMPRODUCT($NV140:$OA140,INDEX($I$2:$N$8,MAX(1,$MC140),0)))</f>
        <v/>
      </c>
      <c r="OG140" s="152">
        <f>IF($MC140=0,0,$OB140*CEILING($MC140/2,1)+$OC140*$MC140)</f>
        <v/>
      </c>
      <c r="OH140" s="152">
        <f>MIN(2*$MC140,$OG140)</f>
        <v/>
      </c>
      <c r="OI140" s="152">
        <f>MIN($OH140,$OF140)</f>
        <v/>
      </c>
      <c r="OJ140" s="152">
        <f>$OH140-$OI140</f>
        <v/>
      </c>
      <c r="OK140" s="152">
        <f>IF($MC140=0,0,INDEX($P$2:$P$8,MAX(1,$MC140)))</f>
        <v/>
      </c>
      <c r="OL140" s="152">
        <f>$OK140-$OF140+$OI140</f>
        <v/>
      </c>
      <c r="OM140" s="152">
        <f>IF($MC140=0,MAX(0,$MQ140-IF($OD140&gt;0,1,0)),MAX(0,$OL140))</f>
        <v/>
      </c>
      <c r="ON140" s="152">
        <f>IF($MC140=0,0,(IF(COUNTIF($MH140:$MK140,"Salto")&gt;0,1,0)+IF(COUNTIF($MH140:$MK140,"Queima")&gt;0,1,0)+IF(COUNTIF($MH140:$MK140,"Estilhaço")&gt;0,1,0))*FLOOR($OM140/2,1))</f>
        <v/>
      </c>
      <c r="OO140" s="152">
        <f>MAX(0,2-SUMPRODUCT($NV140:$OA140,$I$2:$N$2)+MIN(2,$OB140*1+$OC140*1,SUMPRODUCT($NV140:$OA140,$I$2:$N$2)))</f>
        <v/>
      </c>
      <c r="OP140" s="152">
        <f>MAX(0,4-SUMPRODUCT($NV140:$OA140,$I$3:$N$3)+MIN(4,$OB140*1+$OC140*2,SUMPRODUCT($NV140:$OA140,$I$3:$N$3)))</f>
        <v/>
      </c>
      <c r="OQ140" s="152">
        <f>MAX(0,6-SUMPRODUCT($NV140:$OA140,$I$4:$N$4)+MIN(6,$OB140*2+$OC140*3,SUMPRODUCT($NV140:$OA140,$I$4:$N$4)))</f>
        <v/>
      </c>
      <c r="OR140" s="152">
        <f>MAX(0,9-SUMPRODUCT($NV140:$OA140,$I$5:$N$5)+MIN(8,$OB140*2+$OC140*4,SUMPRODUCT($NV140:$OA140,$I$5:$N$5)))</f>
        <v/>
      </c>
      <c r="OS140" s="152">
        <f>MAX(0,11-SUMPRODUCT($NV140:$OA140,$I$6:$N$6)+MIN(10,$OB140*3+$OC140*5,SUMPRODUCT($NV140:$OA140,$I$6:$N$6)))</f>
        <v/>
      </c>
      <c r="OT140" s="152">
        <f>MAX(0,13-SUMPRODUCT($NV140:$OA140,$I$7:$N$7)+MIN(12,$OB140*3+$OC140*6,SUMPRODUCT($NV140:$OA140,$I$7:$N$7)))</f>
        <v/>
      </c>
      <c r="OU140" s="152">
        <f>MAX(0,16-SUMPRODUCT($NV140:$OA140,$I$8:$N$8)+MIN(14,$OB140*4+$OC140*7,SUMPRODUCT($NV140:$OA140,$I$8:$N$8)))</f>
        <v/>
      </c>
      <c r="OV140" s="152">
        <f>IF($NP140=2,3*$OO140&amp;" de vida temp.",IF($NP140=3,"sem dano",IF($OO140=0,IF($NP140=1,"sem cura","sem dano"),IF($NP140=1,"cura ","")&amp;$OO140&amp;"d8")))</f>
        <v/>
      </c>
      <c r="OW140" s="152">
        <f>IF($NP140=2,3*$OP140&amp;" de vida temp.",IF($NP140=3,"sem dano",IF($OP140=0,IF($NP140=1,"sem cura","sem dano"),IF($NP140=1,"cura ","")&amp;$OP140&amp;"d8")))</f>
        <v/>
      </c>
      <c r="OX140" s="152">
        <f>IF($NP140=2,3*$OQ140&amp;" de vida temp.",IF($NP140=3,"sem dano",IF($OQ140=0,IF($NP140=1,"sem cura","sem dano"),IF($NP140=1,"cura ","")&amp;$OQ140&amp;"d8")))</f>
        <v/>
      </c>
      <c r="OY140" s="152">
        <f>IF($NP140=2,3*$OR140&amp;" de vida temp.",IF($NP140=3,"sem dano",IF($OR140=0,IF($NP140=1,"sem cura","sem dano"),IF($NP140=1,"cura ","")&amp;$OR140&amp;"d8")))</f>
        <v/>
      </c>
      <c r="OZ140" s="152">
        <f>IF($NP140=2,3*$OS140&amp;" de vida temp.",IF($NP140=3,"sem dano",IF($OS140=0,IF($NP140=1,"sem cura","sem dano"),IF($NP140=1,"cura ","")&amp;$OS140&amp;"d8")))</f>
        <v/>
      </c>
      <c r="PA140" s="152">
        <f>IF($NP140=2,3*$OT140&amp;" de vida temp.",IF($NP140=3,"sem dano",IF($OT140=0,IF($NP140=1,"sem cura","sem dano"),IF($NP140=1,"cura ","")&amp;$OT140&amp;"d8")))</f>
        <v/>
      </c>
      <c r="PB140" s="152">
        <f>IF($NP140=2,3*$OU140&amp;" de vida temp.",IF($NP140=3,"sem dano",IF($OU140=0,IF($NP140=1,"sem cura","sem dano"),IF($NP140=1,"cura ","")&amp;$OU140&amp;"d8")))</f>
        <v/>
      </c>
      <c r="PC140" s="152">
        <f>IF($MN140=0,"",TEXTJOIN(" · ",TRUE,IF($MA140&gt;$MO140,"Este lugar abre no nível "&amp;$MA140,""),IF($MC140&gt;$MP140,"Classe "&amp;$MC140&amp;": o nível "&amp;$MO140&amp;" libera até a "&amp;$MP140,""),IF($NH140=1,"A Forma "&amp;$ME140&amp;" pede "&amp;INDEX($W$2:$W$11,$MT140)&amp;" aberta",""),IF(AND($MC140=0,$MT140&gt;0,IF($MT140=0,0,INDEX($AF$2:$AF$11,$MT140))=0),$ME140&amp;" não existe na Classe 0",""),IF($NI140=1,"Família Fechada: "&amp;$MH140,""),IF($NJ140=1,"Família Fechada: "&amp;$MI140,""),IF($NK140=1,"Família Fechada: "&amp;$MJ140,""),IF($NL140=1,"Família Fechada: "&amp;$MK140,""),IF(AND($MC140&gt;0,$OD140&gt;INDEX($O$2:$O$8,MAX(1,$MC140))),$OD140&amp;" Melhorias: a Classe "&amp;$MC140&amp;" aceita "&amp;INDEX($O$2:$O$8,MAX(1,$MC140)),""),IF(AND($MC140=0,$OD140&gt;1),"A básica aceita uma Melhoria",""),IF(AND($MC140=0,COUNTIF($MY140:$NB140,"&gt;1")&gt;0),"A básica só aceita Melhoria Leve",""),IF(AND($MC140&gt;0,$OE140&gt;2),$OE140&amp;" Restrições"&amp;IF($NO140=1,", contando a que a Forma "&amp;$ME140&amp;" já traz","")&amp;": o limite é 2",""),IF(AND($MC140=0,COUNTIF($ML140:$MM140,"?*")&gt;1),"A básica aceita uma Restrição Leve",""),IF(AND($MC140=0,COUNTIF($NR140:$NS140,2)&gt;0),"A básica só aceita Restrição Leve",""),IF(AND($MC140&gt;0,$OL140&lt;0),"Orçamento estourado: faltam "&amp;(-$OL140)&amp;IF($OL140&lt;-1," pontos"," ponto"),""),IF(IFERROR(VLOOKUP($ML140,$BB$2:$BF$24,4,FALSE),0)+IFERROR(VLOOKUP($MM140,$BB$2:$BF$24,4,FALSE),0)&gt;1,$NT140&amp;" e "&amp;$NU140&amp;" são as duas de frequência",""),IF(AND((COUNTIF($MH140:$MK140,"Rápido")+COUNTIF($NT140:$NU140,"Rápido"))&gt;0,(COUNTIF($MH140:$MK140,"Atrasar")+COUNTIF($NT140:$NU140,"Atrasar"))&gt;0),"Rápido não entra com Atrasar",""),IF(AND((COUNTIF($MH140:$MK140,"Reação")+COUNTIF($NT140:$NU140,"Reação"))&gt;0,(COUNTIF($MH140:$MK140,"Rápido")+COUNTIF($NT140:$NU140,"Rápido"))&gt;0),"Reação não entra com Rápido",""),IF(AND((COUNTIF($MH140:$MK140,"Reação")+COUNTIF($NT140:$NU140,"Reação"))&gt;0,(COUNTIF($MH140:$MK140,"Armado")+COUNTIF($NT140:$NU140,"Armado"))&gt;0),"Reação não entra com Armado",""),IF(AND((COUNTIF($MH140:$MK140,"Reação")+COUNTIF($NT140:$NU140,"Reação"))&gt;0,(COUNTIF($MH140:$MK140,"Atrasar")+COUNTIF($NT140:$NU140,"Atrasar"))&gt;0),"Reação não entra com Atrasar",""),IF(AND((COUNTIF($MH140:$MK140,"Reação")+COUNTIF($NT140:$NU140,"Reação"))&gt;0,(COUNTIF($MH140:$MK140,"Parado")+COUNTIF($NT140:$NU140,"Parado"))&gt;0),"Reação não entra com Parado",""),IF(AND((COUNTIF($MH140:$MK140,"Atrasar")+COUNTIF($NT140:$NU140,"Atrasar"))&gt;0,(COUNTIF($MH140:$MK140,"Parado")+COUNTIF($NT140:$NU140,"Parado"))&gt;0),"Atrasar não entra com Parado",""),IF(AND((COUNTIF($MH140:$MK140,"Armado")+COUNTIF($NT140:$NU140,"Armado"))&gt;0,(COUNTIF($MH140:$MK140,"Carregar")+COUNTIF($NT140:$NU140,"Carregar"))&gt;0),"Armado não entra com Carregar",""),IF(AND(COUNTIF($NT140:$NU140,"Corpo a Corpo")&gt;0,$NO140=0,OR($ME140="Cone",$ME140="Linha")),"Corpo a Corpo não entra em "&amp;$ME140,""),IF(AND(COUNTIF($NT140:$NU140,"Corpo a Corpo")&gt;0,$NO140=1),"A Forma "&amp;$ME140&amp;" já traz o Corpo a Corpo",""),IF(AND(COUNTIF($NT140:$NU140,"Tudo ou Nada")&gt;0,$NQ140=0),"Tudo ou Nada só entra em habilidade de Teste de Resistência",""),IF(AND(COUNTIF($MH140:$MK140,"Inescapável")&gt;0,OR($OD140&gt;1,$OE140&gt;0)),"Inescapável não aceita outra peça",""),IF(AND($MC140&gt;0,$OM140*IF(COUNTIF($MH140:$MK140,"Remate")&gt;0,1.25,1)+$ON140&gt;4*$MC140),($OM140*IF(COUNTIF($MH140:$MK140,"Remate")&gt;0,1.25,1)+$ON140)&amp;" dados somando repetições"&amp;IF(COUNTIF($MH140:$MK140,"Remate")&gt;0," e o Remate","")&amp;": o teto da Classe "&amp;$MC140&amp;" é "&amp;4*$MC140,"")))</f>
        <v/>
      </c>
      <c r="PD140" s="152">
        <f>IF($PC140="",0,(LEN($PC140)-LEN(SUBSTITUTE($PC140," · ","")))/3+1)</f>
        <v/>
      </c>
      <c r="PE140" s="152">
        <f>IF($MN140=0,"",TEXTJOIN(" · ",TRUE,IF($OG140&gt;2*$MC140,"A devolução parou no teto de "&amp;2*$MC140,""),IF($OJ140&gt;0,"Devolução perdida: "&amp;$OJ140&amp;IF($OJ140&gt;1," pontos"," ponto")&amp;" sem peça para pagar",""),IF(AND($NM140&gt;0,AND($MC140&gt;0,$NP140=0),$OM140=0),"Controle sem dano: uma rodada a mais e CD +2",""),IF(AND($NM140&gt;0,AND($MC140&gt;0,$NP140=0),$OM140&gt;0,$OM140&lt;=$MC140),"Controle com saldo até a Classe: uma rodada a mais",""),IF(AND($MC140&gt;0,$NN140&lt;&gt;""),"Efeito de "&amp;$NN140&amp;" pela Classe "&amp;MAX(1,$MC140-1),"")))</f>
        <v/>
      </c>
      <c r="PF140" s="152">
        <f>IF($PE140="",0,(LEN($PE140)-LEN(SUBSTITUTE($PE140," · ","")))/3+1)</f>
        <v/>
      </c>
      <c r="PG140" s="152">
        <f>IF($MN140=0,IF($OD140+COUNTIF($ML140:$MM140,"?*")&gt;0,"Dê um nome",""),IF($PD140&gt;0,"⚠ "&amp;$PD140&amp;IF($PD140&gt;1," erros"," erro"),IF($PF140&gt;0,"! "&amp;$PF140&amp;IF($PF140&gt;1," avisos"," aviso"),"Na regra")))</f>
        <v/>
      </c>
      <c r="PH140" s="152">
        <f>IF($MN140=0,"",IF($PD140+$PF140=0,"Dentro das regras que a ficha confere",$PC140&amp;IF(AND($PD140&gt;0,$PF140&gt;0)," · ","")&amp;$PE140))</f>
        <v/>
      </c>
      <c r="PI140" s="152">
        <f>IF($MA140&gt;$MO140,$MB140&amp;" · ABRE NO NÍVEL "&amp;$MA140,$MB140)</f>
        <v/>
      </c>
      <c r="PJ140" s="152">
        <f>IF($MN140=0,"",IF($MC140=0,"Sem PE",3*$MC140&amp;" PE"))</f>
        <v/>
      </c>
      <c r="PK140" s="152">
        <f>IF($MN140=0,"",IF($MC140=0,"A atuação básica dela",IF(COUNTIF($NT140:$NU140,"Atrasar")&gt;0,"Sua Ação Completa",IF(COUNTIF($MH140:$MK140,"Rápido")&gt;0,"Sua Bônus",IF(COUNTIF($MH140:$MK140,"Reação")&gt;0,"Sua Reação","Sua Padrão")))&amp;" + a básica dela"&amp;IF(COUNTIF($MH140:$MK140,"Reação")&gt;0," e a coletiva","")&amp;IF(COUNTIF($NT140:$NU140,"Carregar")&gt;0," · em dois turnos","")))</f>
        <v/>
      </c>
      <c r="PL140" s="152">
        <f>IF($MG140&lt;&gt;"",$MG140,IF($MT140=0,"",INDEX($AA$2:$AA$11,$MT140)))</f>
        <v/>
      </c>
      <c r="PM140" s="152">
        <f>IF(OR($MN140=0,$MT140=0),"",IF(COUNTIF($MH140:$MK140,"Inescapável")&gt;0,"Automático",IF($PL140="Ataque",IF($MR140="","Ataque","Ataque "&amp;IF(($MR140+2*IF(COUNTIF($MH140:$MK140,"Precisão")&gt;0,1,0))&gt;=0,"+","−")&amp;ABS(($MR140+2*IF(COUNTIF($MH140:$MK140,"Precisão")&gt;0,1,0)))),IF(LEFT($PL140,2)="TR",$PL140&amp;IF($MS140="",""," · CD "&amp;$MS140)&amp;IF(COUNTIF($MH140:$MK140,"Certeiro")&gt;0," · metade",""),"Sem rolagem"))))</f>
        <v/>
      </c>
      <c r="PN140" s="152">
        <f>IF(OR($MN140=0,$MT140=0),"",IF($MC140=0,IF(OR($NP140&gt;=1,$OM140=0),"Sem dano",$OM140&amp;"d6"&amp;IF($MF140="",""," "&amp;$MF140)),IF(OR($NP140&gt;=1,$OM140=0),UPPER(LEFT(INDEX($OV140:$PB140,1,MAX(1,$MC140)),1))&amp;MID(INDEX($OV140:$PB140,1,MAX(1,$MC140)),2,99),UPPER(LEFT(INDEX($OV140:$PB140,1,MAX(1,$MC140)),1))&amp;MID(INDEX($OV140:$PB140,1,MAX(1,$MC140)),2,99)&amp;IF($MF140="",""," "&amp;$MF140)&amp;IF($ON140&gt;0," · +"&amp;$ON140&amp;"d8",""))))</f>
        <v/>
      </c>
      <c r="PO140" s="152">
        <f>COUNTIF($MH140:$MK140,"Longe")+3*COUNTIF($MH140:$MK140,"Muito Longe")</f>
        <v/>
      </c>
      <c r="PP140" s="152">
        <f>COUNTIF($MH140:$MK140,"Maior")+3*COUNTIF($MH140:$MK140,"Muito Maior")</f>
        <v/>
      </c>
      <c r="PQ140" s="152">
        <f>IF($MT140=0,0,CHOOSE(1+INDEX($AC$2:$AC$11,$MT140),0,$PO140,$PP140,$PO140+$PP140))</f>
        <v/>
      </c>
      <c r="PR140" s="152">
        <f>IF($MT140=0,0,CHOOSE(1+INDEX($AD$2:$AD$11,$MT140),0,$PO140,$PP140,$PO140+$PP140))</f>
        <v/>
      </c>
      <c r="PS140" s="152">
        <f>IF(OR($MN140=0,$MT140=0),"",INDEX($AI$2:$AN$41,($MT140-1)*4+IF($MC140=0,1,IF($MC140&lt;=5,2,IF($MC140=6,3,4))),1+MIN(5,$PQ140))&amp;INDEX($AO$2:$AT$41,($MT140-1)*4+IF($MC140=0,1,IF($MC140&lt;=5,2,IF($MC140=6,3,4))),1+MIN(5,$PR140))&amp;IF(INDEX($AE$2:$AE$11,$MT140)=1,IF(COUNTIF($MH140:$MK140,"Mais Um")&gt;0," · +"&amp;COUNTIF($MH140:$MK140,"Mais Um")&amp;IF(COUNTIF($MH140:$MK140,"Mais Um")&gt;1," alvos"," alvo"),"")&amp;IF(COUNTIF($MH140:$MK140,"Rajada")&gt;0,IF($MC140=0," · 1 tiro"," · "&amp;(MAX(1,$MC140-1)+1)&amp;" tiros"),""),""))</f>
        <v/>
      </c>
      <c r="PT140" s="152">
        <f>IF($MN140=0,"",IF($MC140=0,$MQ140&amp;"d6"&amp;IF($OD140&gt;0," − 1 = "&amp;$OM140&amp;"d6"," da básica do nível "&amp;$MO140),$OK140&amp;" − "&amp;$OF140&amp;" + "&amp;$OI140&amp;" = "&amp;$OL140&amp;" · teto "&amp;4*$MC140&amp;"d8"&amp;IF($NO140=1," · a Forma devolve "&amp;$MC140,"")&amp;IF($OJ140&gt;0," · perde "&amp;$OJ140,"")))</f>
        <v/>
      </c>
      <c r="PU140" s="152">
        <f>IF($MN140=0,"",IF($MC140=0,"A básica não amplia: os dados dela sobem com o nível",IF($MC140&gt;=$MP140,"Já está na maior Classe que o nível liberou",TEXTJOIN(" · ",TRUE,IF(AND(2&gt;$MC140,2&lt;=$MP140),"2 → "&amp;$OW140&amp;", 6 PE",""),IF(AND(3&gt;$MC140,3&lt;=$MP140),"3 → "&amp;$OX140&amp;", 9 PE",""),IF(AND(4&gt;$MC140,4&lt;=$MP140),"4 → "&amp;$OY140&amp;", 12 PE",""),IF(AND(5&gt;$MC140,5&lt;=$MP140),"5 → "&amp;$OZ140&amp;", 15 PE",""),IF(AND(6&gt;$MC140,6&lt;=$MP140),"6 → "&amp;$PA140&amp;", 18 PE",""),IF(AND(7&gt;$MC140,7&lt;=$MP140),"7 → "&amp;$PB140&amp;", 21 PE","")))))</f>
        <v/>
      </c>
      <c r="PV140" s="152">
        <f>IF(OR($MN140=0,$MY140=0),"",IF($MC140=0,"−1 dado","−"&amp;INDEX($I$2:$N$8,MAX(1,$MC140),MAX(1,$ND140))&amp;" · "&amp;CHOOSE(MAX(1,$ND140),"Leve","Média","Pesada","Leve · Livre","Média · Livre","Pesada · Livre")))</f>
        <v/>
      </c>
      <c r="PW140" s="152">
        <f>IF(OR($MN140=0,$MZ140=0),"",IF($MC140=0,"−1 dado","−"&amp;INDEX($I$2:$N$8,MAX(1,$MC140),MAX(1,$NE140))&amp;" · "&amp;CHOOSE(MAX(1,$NE140),"Leve","Média","Pesada","Leve · Livre","Média · Livre","Pesada · Livre")))</f>
        <v/>
      </c>
      <c r="PX140" s="152">
        <f>IF(OR($MN140=0,$NA140=0),"",IF($MC140=0,"−1 dado","−"&amp;INDEX($I$2:$N$8,MAX(1,$MC140),MAX(1,$NF140))&amp;" · "&amp;CHOOSE(MAX(1,$NF140),"Leve","Média","Pesada","Leve · Livre","Média · Livre","Pesada · Livre")))</f>
        <v/>
      </c>
      <c r="PY140" s="152">
        <f>IF(OR($MN140=0,$NB140=0),"",IF($MC140=0,"−1 dado","−"&amp;INDEX($I$2:$N$8,MAX(1,$MC140),MAX(1,$NG140))&amp;" · "&amp;CHOOSE(MAX(1,$NG140),"Leve","Média","Pesada","Leve · Livre","Média · Livre","Pesada · Livre")))</f>
        <v/>
      </c>
      <c r="PZ140" s="152">
        <f>IF(OR($MN140=0,$ML140=""),"",IF($MC140=0,"não devolve","+"&amp;IF($NR140=1,CEILING($MC140/2,1),$MC140)))</f>
        <v/>
      </c>
      <c r="QA140" s="152">
        <f>IF(OR($MN140=0,$MM140=""),"",IF($MC140=0,"não devolve","+"&amp;IF($NS140=1,CEILING($MC140/2,1),$MC140)))</f>
        <v/>
      </c>
    </row>
    <row r="141">
      <c r="LX141" s="150" t="inlineStr">
        <is>
          <t>Ficha 11 · Especial 8</t>
        </is>
      </c>
      <c r="LY141" s="152" t="n">
        <v>11</v>
      </c>
      <c r="LZ141" s="152" t="n">
        <v>1</v>
      </c>
      <c r="MA141" s="152" t="n">
        <v>28</v>
      </c>
      <c r="MB141" s="150" t="inlineStr">
        <is>
          <t>ESPECIAL 8</t>
        </is>
      </c>
      <c r="MC141" s="152">
        <f>MAX(1,MIN(7,N('INVOCAÇÕES'!$AB$928)))</f>
        <v/>
      </c>
      <c r="MD141" s="152">
        <f>'INVOCAÇÕES'!$AC$928&amp;""</f>
        <v/>
      </c>
      <c r="ME141" s="152">
        <f>'INVOCAÇÕES'!$AB$933&amp;""</f>
        <v/>
      </c>
      <c r="MF141" s="152">
        <f>'INVOCAÇÕES'!$AB$934&amp;""</f>
        <v/>
      </c>
      <c r="MG141" s="152">
        <f>'INVOCAÇÕES'!$AD$934&amp;""</f>
        <v/>
      </c>
      <c r="MH141" s="152">
        <f>'INVOCAÇÕES'!$AC$937&amp;""</f>
        <v/>
      </c>
      <c r="MI141" s="152">
        <f>'INVOCAÇÕES'!$AC$938&amp;""</f>
        <v/>
      </c>
      <c r="MJ141" s="152">
        <f>'INVOCAÇÕES'!$AC$939&amp;""</f>
        <v/>
      </c>
      <c r="MK141" s="152">
        <f>'INVOCAÇÕES'!$AC$940&amp;""</f>
        <v/>
      </c>
      <c r="ML141" s="152">
        <f>'INVOCAÇÕES'!$AC$941&amp;""</f>
        <v/>
      </c>
      <c r="MM141" s="152">
        <f>'INVOCAÇÕES'!$AC$942&amp;""</f>
        <v/>
      </c>
      <c r="MN141" s="152">
        <f>IF($MD141&lt;&gt;"",1,0)</f>
        <v/>
      </c>
      <c r="MO141" s="152">
        <f>INDEX($FG$2:$FG$13,$LY141)</f>
        <v/>
      </c>
      <c r="MP141" s="152">
        <f>INDEX($FH$2:$FH$13,$LY141)</f>
        <v/>
      </c>
      <c r="MQ141" s="152">
        <f>INDEX($FI$2:$FI$13,$LY141)</f>
        <v/>
      </c>
      <c r="MR141" s="152">
        <f>INDEX($FT$2:$FT$13,$LY141)</f>
        <v/>
      </c>
      <c r="MS141" s="152">
        <f>INDEX($FU$2:$FU$13,$LY141)</f>
        <v/>
      </c>
      <c r="MT141" s="152">
        <f>IFERROR(MATCH($ME141,$V$2:$V$11,0),0)</f>
        <v/>
      </c>
      <c r="MU141" s="152">
        <f>IFERROR(VLOOKUP($MH141,$AV$2:$AZ$84,2,FALSE),"")</f>
        <v/>
      </c>
      <c r="MV141" s="152">
        <f>IFERROR(VLOOKUP($MI141,$AV$2:$AZ$84,2,FALSE),"")</f>
        <v/>
      </c>
      <c r="MW141" s="152">
        <f>IFERROR(VLOOKUP($MJ141,$AV$2:$AZ$84,2,FALSE),"")</f>
        <v/>
      </c>
      <c r="MX141" s="152">
        <f>IFERROR(VLOOKUP($MK141,$AV$2:$AZ$84,2,FALSE),"")</f>
        <v/>
      </c>
      <c r="MY141" s="152">
        <f>IFERROR(VLOOKUP($MH141,$AV$2:$AZ$84,3,FALSE),0)</f>
        <v/>
      </c>
      <c r="MZ141" s="152">
        <f>IFERROR(VLOOKUP($MI141,$AV$2:$AZ$84,3,FALSE),0)</f>
        <v/>
      </c>
      <c r="NA141" s="152">
        <f>IFERROR(VLOOKUP($MJ141,$AV$2:$AZ$84,3,FALSE),0)</f>
        <v/>
      </c>
      <c r="NB141" s="152">
        <f>IFERROR(VLOOKUP($MK141,$AV$2:$AZ$84,3,FALSE),0)</f>
        <v/>
      </c>
      <c r="NC141" s="152">
        <f>IF($MC141=0,0,IF($MT141=0,0,INDEX($X$2:$X$11,$MT141)))</f>
        <v/>
      </c>
      <c r="ND141" s="152">
        <f>IF(OR($MY141=0,$MC141=0),0,$MY141+3*IF(AND($MU141&lt;&gt;"",OR($MU141=INDEX($ED$2:$ED$13,$LY141),$MU141=INDEX($EE$2:$EE$13,$LY141))),1,0))</f>
        <v/>
      </c>
      <c r="NE141" s="152">
        <f>IF(OR($MZ141=0,$MC141=0),0,$MZ141+3*IF(AND($MV141&lt;&gt;"",OR($MV141=INDEX($ED$2:$ED$13,$LY141),$MV141=INDEX($EE$2:$EE$13,$LY141))),1,0))</f>
        <v/>
      </c>
      <c r="NF141" s="152">
        <f>IF(OR($NA141=0,$MC141=0),0,$NA141+3*IF(AND($MW141&lt;&gt;"",OR($MW141=INDEX($ED$2:$ED$13,$LY141),$MW141=INDEX($EE$2:$EE$13,$LY141))),1,0))</f>
        <v/>
      </c>
      <c r="NG141" s="152">
        <f>IF(OR($NB141=0,$MC141=0),0,$NB141+3*IF(AND($MX141&lt;&gt;"",OR($MX141=INDEX($ED$2:$ED$13,$LY141),$MX141=INDEX($EE$2:$EE$13,$LY141))),1,0))</f>
        <v/>
      </c>
      <c r="NH141" s="152">
        <f>IF($MT141=0,0,IF(INDEX($W$2:$W$11,$MT141)="",0,IF(COUNTIF(INDEX($ED$2:$EH$13,$LY141,0),INDEX($W$2:$W$11,$MT141))=0,1,0)))</f>
        <v/>
      </c>
      <c r="NI141" s="152">
        <f>IF(OR($MY141=0,$MU141=""),0,IF(COUNTIF(INDEX($ED$2:$EH$13,$LY141,0),$MU141)=0,1,0))</f>
        <v/>
      </c>
      <c r="NJ141" s="152">
        <f>IF(OR($MZ141=0,$MV141=""),0,IF(COUNTIF(INDEX($ED$2:$EH$13,$LY141,0),$MV141)=0,1,0))</f>
        <v/>
      </c>
      <c r="NK141" s="152">
        <f>IF(OR($NA141=0,$MW141=""),0,IF(COUNTIF(INDEX($ED$2:$EH$13,$LY141,0),$MW141)=0,1,0))</f>
        <v/>
      </c>
      <c r="NL141" s="152">
        <f>IF(OR($NB141=0,$MX141=""),0,IF(COUNTIF(INDEX($ED$2:$EH$13,$LY141,0),$MX141)=0,1,0))</f>
        <v/>
      </c>
      <c r="NM141" s="152">
        <f>IFERROR(VLOOKUP($MH141,$AV$2:$AZ$84,4,FALSE),0)+IFERROR(VLOOKUP($MI141,$AV$2:$AZ$84,4,FALSE),0)+IFERROR(VLOOKUP($MJ141,$AV$2:$AZ$84,4,FALSE),0)+IFERROR(VLOOKUP($MK141,$AV$2:$AZ$84,4,FALSE),0)</f>
        <v/>
      </c>
      <c r="NN141" s="152">
        <f>TEXTJOIN(", ",TRUE,IF(IFERROR(VLOOKUP($MH141,$AV$2:$AZ$84,5,FALSE),0)=1,$MH141,""),IF(IFERROR(VLOOKUP($MI141,$AV$2:$AZ$84,5,FALSE),0)=1,$MI141,""),IF(IFERROR(VLOOKUP($MJ141,$AV$2:$AZ$84,5,FALSE),0)=1,$MJ141,""),IF(IFERROR(VLOOKUP($MK141,$AV$2:$AZ$84,5,FALSE),0)=1,$MK141,""))</f>
        <v/>
      </c>
      <c r="NO141" s="152">
        <f>IF($MT141=0,0,INDEX($Y$2:$Y$11,$MT141))</f>
        <v/>
      </c>
      <c r="NP141" s="152">
        <f>IF($MT141=0,0,INDEX($Z$2:$Z$11,$MT141))</f>
        <v/>
      </c>
      <c r="NQ141" s="152">
        <f>IF($MT141=0,0,INDEX($AB$2:$AB$11,$MT141))</f>
        <v/>
      </c>
      <c r="NR141" s="152">
        <f>IFERROR(VLOOKUP($ML141,$BB$2:$BF$24,3,FALSE),0)</f>
        <v/>
      </c>
      <c r="NS141" s="152">
        <f>IFERROR(VLOOKUP($MM141,$BB$2:$BF$24,3,FALSE),0)</f>
        <v/>
      </c>
      <c r="NT141" s="152">
        <f>IFERROR(VLOOKUP($ML141,$BB$2:$BF$24,2,FALSE),"")</f>
        <v/>
      </c>
      <c r="NU141" s="152">
        <f>IFERROR(VLOOKUP($MM141,$BB$2:$BF$24,2,FALSE),"")</f>
        <v/>
      </c>
      <c r="NV141" s="152">
        <f>COUNTIF($NC141:$NG141,1)</f>
        <v/>
      </c>
      <c r="NW141" s="152">
        <f>COUNTIF($NC141:$NG141,2)</f>
        <v/>
      </c>
      <c r="NX141" s="152">
        <f>COUNTIF($NC141:$NG141,3)</f>
        <v/>
      </c>
      <c r="NY141" s="152">
        <f>COUNTIF($NC141:$NG141,4)</f>
        <v/>
      </c>
      <c r="NZ141" s="152">
        <f>COUNTIF($NC141:$NG141,5)</f>
        <v/>
      </c>
      <c r="OA141" s="152">
        <f>COUNTIF($NC141:$NG141,6)</f>
        <v/>
      </c>
      <c r="OB141" s="152">
        <f>COUNTIF($NR141:$NS141,1)</f>
        <v/>
      </c>
      <c r="OC141" s="152">
        <f>COUNTIF($NR141:$NS141,2)+$NO141</f>
        <v/>
      </c>
      <c r="OD141" s="152">
        <f>COUNTIF($MH141:$MK141,"?*")</f>
        <v/>
      </c>
      <c r="OE141" s="152">
        <f>COUNTIF($ML141:$MM141,"?*")+$NO141</f>
        <v/>
      </c>
      <c r="OF141" s="152">
        <f>IF($MC141=0,0,SUMPRODUCT($NV141:$OA141,INDEX($I$2:$N$8,MAX(1,$MC141),0)))</f>
        <v/>
      </c>
      <c r="OG141" s="152">
        <f>IF($MC141=0,0,$OB141*CEILING($MC141/2,1)+$OC141*$MC141)</f>
        <v/>
      </c>
      <c r="OH141" s="152">
        <f>MIN(2*$MC141,$OG141)</f>
        <v/>
      </c>
      <c r="OI141" s="152">
        <f>MIN($OH141,$OF141)</f>
        <v/>
      </c>
      <c r="OJ141" s="152">
        <f>$OH141-$OI141</f>
        <v/>
      </c>
      <c r="OK141" s="152">
        <f>IF($MC141=0,0,INDEX($P$2:$P$8,MAX(1,$MC141)))</f>
        <v/>
      </c>
      <c r="OL141" s="152">
        <f>$OK141-$OF141+$OI141</f>
        <v/>
      </c>
      <c r="OM141" s="152">
        <f>IF($MC141=0,MAX(0,$MQ141-IF($OD141&gt;0,1,0)),MAX(0,$OL141))</f>
        <v/>
      </c>
      <c r="ON141" s="152">
        <f>IF($MC141=0,0,(IF(COUNTIF($MH141:$MK141,"Salto")&gt;0,1,0)+IF(COUNTIF($MH141:$MK141,"Queima")&gt;0,1,0)+IF(COUNTIF($MH141:$MK141,"Estilhaço")&gt;0,1,0))*FLOOR($OM141/2,1))</f>
        <v/>
      </c>
      <c r="OO141" s="152">
        <f>MAX(0,2-SUMPRODUCT($NV141:$OA141,$I$2:$N$2)+MIN(2,$OB141*1+$OC141*1,SUMPRODUCT($NV141:$OA141,$I$2:$N$2)))</f>
        <v/>
      </c>
      <c r="OP141" s="152">
        <f>MAX(0,4-SUMPRODUCT($NV141:$OA141,$I$3:$N$3)+MIN(4,$OB141*1+$OC141*2,SUMPRODUCT($NV141:$OA141,$I$3:$N$3)))</f>
        <v/>
      </c>
      <c r="OQ141" s="152">
        <f>MAX(0,6-SUMPRODUCT($NV141:$OA141,$I$4:$N$4)+MIN(6,$OB141*2+$OC141*3,SUMPRODUCT($NV141:$OA141,$I$4:$N$4)))</f>
        <v/>
      </c>
      <c r="OR141" s="152">
        <f>MAX(0,9-SUMPRODUCT($NV141:$OA141,$I$5:$N$5)+MIN(8,$OB141*2+$OC141*4,SUMPRODUCT($NV141:$OA141,$I$5:$N$5)))</f>
        <v/>
      </c>
      <c r="OS141" s="152">
        <f>MAX(0,11-SUMPRODUCT($NV141:$OA141,$I$6:$N$6)+MIN(10,$OB141*3+$OC141*5,SUMPRODUCT($NV141:$OA141,$I$6:$N$6)))</f>
        <v/>
      </c>
      <c r="OT141" s="152">
        <f>MAX(0,13-SUMPRODUCT($NV141:$OA141,$I$7:$N$7)+MIN(12,$OB141*3+$OC141*6,SUMPRODUCT($NV141:$OA141,$I$7:$N$7)))</f>
        <v/>
      </c>
      <c r="OU141" s="152">
        <f>MAX(0,16-SUMPRODUCT($NV141:$OA141,$I$8:$N$8)+MIN(14,$OB141*4+$OC141*7,SUMPRODUCT($NV141:$OA141,$I$8:$N$8)))</f>
        <v/>
      </c>
      <c r="OV141" s="152">
        <f>IF($NP141=2,3*$OO141&amp;" de vida temp.",IF($NP141=3,"sem dano",IF($OO141=0,IF($NP141=1,"sem cura","sem dano"),IF($NP141=1,"cura ","")&amp;$OO141&amp;"d8")))</f>
        <v/>
      </c>
      <c r="OW141" s="152">
        <f>IF($NP141=2,3*$OP141&amp;" de vida temp.",IF($NP141=3,"sem dano",IF($OP141=0,IF($NP141=1,"sem cura","sem dano"),IF($NP141=1,"cura ","")&amp;$OP141&amp;"d8")))</f>
        <v/>
      </c>
      <c r="OX141" s="152">
        <f>IF($NP141=2,3*$OQ141&amp;" de vida temp.",IF($NP141=3,"sem dano",IF($OQ141=0,IF($NP141=1,"sem cura","sem dano"),IF($NP141=1,"cura ","")&amp;$OQ141&amp;"d8")))</f>
        <v/>
      </c>
      <c r="OY141" s="152">
        <f>IF($NP141=2,3*$OR141&amp;" de vida temp.",IF($NP141=3,"sem dano",IF($OR141=0,IF($NP141=1,"sem cura","sem dano"),IF($NP141=1,"cura ","")&amp;$OR141&amp;"d8")))</f>
        <v/>
      </c>
      <c r="OZ141" s="152">
        <f>IF($NP141=2,3*$OS141&amp;" de vida temp.",IF($NP141=3,"sem dano",IF($OS141=0,IF($NP141=1,"sem cura","sem dano"),IF($NP141=1,"cura ","")&amp;$OS141&amp;"d8")))</f>
        <v/>
      </c>
      <c r="PA141" s="152">
        <f>IF($NP141=2,3*$OT141&amp;" de vida temp.",IF($NP141=3,"sem dano",IF($OT141=0,IF($NP141=1,"sem cura","sem dano"),IF($NP141=1,"cura ","")&amp;$OT141&amp;"d8")))</f>
        <v/>
      </c>
      <c r="PB141" s="152">
        <f>IF($NP141=2,3*$OU141&amp;" de vida temp.",IF($NP141=3,"sem dano",IF($OU141=0,IF($NP141=1,"sem cura","sem dano"),IF($NP141=1,"cura ","")&amp;$OU141&amp;"d8")))</f>
        <v/>
      </c>
      <c r="PC141" s="152">
        <f>IF($MN141=0,"",TEXTJOIN(" · ",TRUE,IF($MA141&gt;$MO141,"Este lugar abre no nível "&amp;$MA141,""),IF($MC141&gt;$MP141,"Classe "&amp;$MC141&amp;": o nível "&amp;$MO141&amp;" libera até a "&amp;$MP141,""),IF($NH141=1,"A Forma "&amp;$ME141&amp;" pede "&amp;INDEX($W$2:$W$11,$MT141)&amp;" aberta",""),IF(AND($MC141=0,$MT141&gt;0,IF($MT141=0,0,INDEX($AF$2:$AF$11,$MT141))=0),$ME141&amp;" não existe na Classe 0",""),IF($NI141=1,"Família Fechada: "&amp;$MH141,""),IF($NJ141=1,"Família Fechada: "&amp;$MI141,""),IF($NK141=1,"Família Fechada: "&amp;$MJ141,""),IF($NL141=1,"Família Fechada: "&amp;$MK141,""),IF(AND($MC141&gt;0,$OD141&gt;INDEX($O$2:$O$8,MAX(1,$MC141))),$OD141&amp;" Melhorias: a Classe "&amp;$MC141&amp;" aceita "&amp;INDEX($O$2:$O$8,MAX(1,$MC141)),""),IF(AND($MC141=0,$OD141&gt;1),"A básica aceita uma Melhoria",""),IF(AND($MC141=0,COUNTIF($MY141:$NB141,"&gt;1")&gt;0),"A básica só aceita Melhoria Leve",""),IF(AND($MC141&gt;0,$OE141&gt;2),$OE141&amp;" Restrições"&amp;IF($NO141=1,", contando a que a Forma "&amp;$ME141&amp;" já traz","")&amp;": o limite é 2",""),IF(AND($MC141=0,COUNTIF($ML141:$MM141,"?*")&gt;1),"A básica aceita uma Restrição Leve",""),IF(AND($MC141=0,COUNTIF($NR141:$NS141,2)&gt;0),"A básica só aceita Restrição Leve",""),IF(AND($MC141&gt;0,$OL141&lt;0),"Orçamento estourado: faltam "&amp;(-$OL141)&amp;IF($OL141&lt;-1," pontos"," ponto"),""),IF(IFERROR(VLOOKUP($ML141,$BB$2:$BF$24,4,FALSE),0)+IFERROR(VLOOKUP($MM141,$BB$2:$BF$24,4,FALSE),0)&gt;1,$NT141&amp;" e "&amp;$NU141&amp;" são as duas de frequência",""),IF(AND((COUNTIF($MH141:$MK141,"Rápido")+COUNTIF($NT141:$NU141,"Rápido"))&gt;0,(COUNTIF($MH141:$MK141,"Atrasar")+COUNTIF($NT141:$NU141,"Atrasar"))&gt;0),"Rápido não entra com Atrasar",""),IF(AND((COUNTIF($MH141:$MK141,"Reação")+COUNTIF($NT141:$NU141,"Reação"))&gt;0,(COUNTIF($MH141:$MK141,"Rápido")+COUNTIF($NT141:$NU141,"Rápido"))&gt;0),"Reação não entra com Rápido",""),IF(AND((COUNTIF($MH141:$MK141,"Reação")+COUNTIF($NT141:$NU141,"Reação"))&gt;0,(COUNTIF($MH141:$MK141,"Armado")+COUNTIF($NT141:$NU141,"Armado"))&gt;0),"Reação não entra com Armado",""),IF(AND((COUNTIF($MH141:$MK141,"Reação")+COUNTIF($NT141:$NU141,"Reação"))&gt;0,(COUNTIF($MH141:$MK141,"Atrasar")+COUNTIF($NT141:$NU141,"Atrasar"))&gt;0),"Reação não entra com Atrasar",""),IF(AND((COUNTIF($MH141:$MK141,"Reação")+COUNTIF($NT141:$NU141,"Reação"))&gt;0,(COUNTIF($MH141:$MK141,"Parado")+COUNTIF($NT141:$NU141,"Parado"))&gt;0),"Reação não entra com Parado",""),IF(AND((COUNTIF($MH141:$MK141,"Atrasar")+COUNTIF($NT141:$NU141,"Atrasar"))&gt;0,(COUNTIF($MH141:$MK141,"Parado")+COUNTIF($NT141:$NU141,"Parado"))&gt;0),"Atrasar não entra com Parado",""),IF(AND((COUNTIF($MH141:$MK141,"Armado")+COUNTIF($NT141:$NU141,"Armado"))&gt;0,(COUNTIF($MH141:$MK141,"Carregar")+COUNTIF($NT141:$NU141,"Carregar"))&gt;0),"Armado não entra com Carregar",""),IF(AND(COUNTIF($NT141:$NU141,"Corpo a Corpo")&gt;0,$NO141=0,OR($ME141="Cone",$ME141="Linha")),"Corpo a Corpo não entra em "&amp;$ME141,""),IF(AND(COUNTIF($NT141:$NU141,"Corpo a Corpo")&gt;0,$NO141=1),"A Forma "&amp;$ME141&amp;" já traz o Corpo a Corpo",""),IF(AND(COUNTIF($NT141:$NU141,"Tudo ou Nada")&gt;0,$NQ141=0),"Tudo ou Nada só entra em habilidade de Teste de Resistência",""),IF(AND(COUNTIF($MH141:$MK141,"Inescapável")&gt;0,OR($OD141&gt;1,$OE141&gt;0)),"Inescapável não aceita outra peça",""),IF(AND($MC141&gt;0,$OM141*IF(COUNTIF($MH141:$MK141,"Remate")&gt;0,1.25,1)+$ON141&gt;4*$MC141),($OM141*IF(COUNTIF($MH141:$MK141,"Remate")&gt;0,1.25,1)+$ON141)&amp;" dados somando repetições"&amp;IF(COUNTIF($MH141:$MK141,"Remate")&gt;0," e o Remate","")&amp;": o teto da Classe "&amp;$MC141&amp;" é "&amp;4*$MC141,"")))</f>
        <v/>
      </c>
      <c r="PD141" s="152">
        <f>IF($PC141="",0,(LEN($PC141)-LEN(SUBSTITUTE($PC141," · ","")))/3+1)</f>
        <v/>
      </c>
      <c r="PE141" s="152">
        <f>IF($MN141=0,"",TEXTJOIN(" · ",TRUE,IF($OG141&gt;2*$MC141,"A devolução parou no teto de "&amp;2*$MC141,""),IF($OJ141&gt;0,"Devolução perdida: "&amp;$OJ141&amp;IF($OJ141&gt;1," pontos"," ponto")&amp;" sem peça para pagar",""),IF(AND($NM141&gt;0,AND($MC141&gt;0,$NP141=0),$OM141=0),"Controle sem dano: uma rodada a mais e CD +2",""),IF(AND($NM141&gt;0,AND($MC141&gt;0,$NP141=0),$OM141&gt;0,$OM141&lt;=$MC141),"Controle com saldo até a Classe: uma rodada a mais",""),IF(AND($MC141&gt;0,$NN141&lt;&gt;""),"Efeito de "&amp;$NN141&amp;" pela Classe "&amp;MAX(1,$MC141-1),"")))</f>
        <v/>
      </c>
      <c r="PF141" s="152">
        <f>IF($PE141="",0,(LEN($PE141)-LEN(SUBSTITUTE($PE141," · ","")))/3+1)</f>
        <v/>
      </c>
      <c r="PG141" s="152">
        <f>IF($MN141=0,IF($OD141+COUNTIF($ML141:$MM141,"?*")&gt;0,"Dê um nome",""),IF($PD141&gt;0,"⚠ "&amp;$PD141&amp;IF($PD141&gt;1," erros"," erro"),IF($PF141&gt;0,"! "&amp;$PF141&amp;IF($PF141&gt;1," avisos"," aviso"),"Na regra")))</f>
        <v/>
      </c>
      <c r="PH141" s="152">
        <f>IF($MN141=0,"",IF($PD141+$PF141=0,"Dentro das regras que a ficha confere",$PC141&amp;IF(AND($PD141&gt;0,$PF141&gt;0)," · ","")&amp;$PE141))</f>
        <v/>
      </c>
      <c r="PI141" s="152">
        <f>IF($MA141&gt;$MO141,$MB141&amp;" · ABRE NO NÍVEL "&amp;$MA141,$MB141)</f>
        <v/>
      </c>
      <c r="PJ141" s="152">
        <f>IF($MN141=0,"",IF($MC141=0,"Sem PE",3*$MC141&amp;" PE"))</f>
        <v/>
      </c>
      <c r="PK141" s="152">
        <f>IF($MN141=0,"",IF($MC141=0,"A atuação básica dela",IF(COUNTIF($NT141:$NU141,"Atrasar")&gt;0,"Sua Ação Completa",IF(COUNTIF($MH141:$MK141,"Rápido")&gt;0,"Sua Bônus",IF(COUNTIF($MH141:$MK141,"Reação")&gt;0,"Sua Reação","Sua Padrão")))&amp;" + a básica dela"&amp;IF(COUNTIF($MH141:$MK141,"Reação")&gt;0," e a coletiva","")&amp;IF(COUNTIF($NT141:$NU141,"Carregar")&gt;0," · em dois turnos","")))</f>
        <v/>
      </c>
      <c r="PL141" s="152">
        <f>IF($MG141&lt;&gt;"",$MG141,IF($MT141=0,"",INDEX($AA$2:$AA$11,$MT141)))</f>
        <v/>
      </c>
      <c r="PM141" s="152">
        <f>IF(OR($MN141=0,$MT141=0),"",IF(COUNTIF($MH141:$MK141,"Inescapável")&gt;0,"Automático",IF($PL141="Ataque",IF($MR141="","Ataque","Ataque "&amp;IF(($MR141+2*IF(COUNTIF($MH141:$MK141,"Precisão")&gt;0,1,0))&gt;=0,"+","−")&amp;ABS(($MR141+2*IF(COUNTIF($MH141:$MK141,"Precisão")&gt;0,1,0)))),IF(LEFT($PL141,2)="TR",$PL141&amp;IF($MS141="",""," · CD "&amp;$MS141)&amp;IF(COUNTIF($MH141:$MK141,"Certeiro")&gt;0," · metade",""),"Sem rolagem"))))</f>
        <v/>
      </c>
      <c r="PN141" s="152">
        <f>IF(OR($MN141=0,$MT141=0),"",IF($MC141=0,IF(OR($NP141&gt;=1,$OM141=0),"Sem dano",$OM141&amp;"d6"&amp;IF($MF141="",""," "&amp;$MF141)),IF(OR($NP141&gt;=1,$OM141=0),UPPER(LEFT(INDEX($OV141:$PB141,1,MAX(1,$MC141)),1))&amp;MID(INDEX($OV141:$PB141,1,MAX(1,$MC141)),2,99),UPPER(LEFT(INDEX($OV141:$PB141,1,MAX(1,$MC141)),1))&amp;MID(INDEX($OV141:$PB141,1,MAX(1,$MC141)),2,99)&amp;IF($MF141="",""," "&amp;$MF141)&amp;IF($ON141&gt;0," · +"&amp;$ON141&amp;"d8",""))))</f>
        <v/>
      </c>
      <c r="PO141" s="152">
        <f>COUNTIF($MH141:$MK141,"Longe")+3*COUNTIF($MH141:$MK141,"Muito Longe")</f>
        <v/>
      </c>
      <c r="PP141" s="152">
        <f>COUNTIF($MH141:$MK141,"Maior")+3*COUNTIF($MH141:$MK141,"Muito Maior")</f>
        <v/>
      </c>
      <c r="PQ141" s="152">
        <f>IF($MT141=0,0,CHOOSE(1+INDEX($AC$2:$AC$11,$MT141),0,$PO141,$PP141,$PO141+$PP141))</f>
        <v/>
      </c>
      <c r="PR141" s="152">
        <f>IF($MT141=0,0,CHOOSE(1+INDEX($AD$2:$AD$11,$MT141),0,$PO141,$PP141,$PO141+$PP141))</f>
        <v/>
      </c>
      <c r="PS141" s="152">
        <f>IF(OR($MN141=0,$MT141=0),"",INDEX($AI$2:$AN$41,($MT141-1)*4+IF($MC141=0,1,IF($MC141&lt;=5,2,IF($MC141=6,3,4))),1+MIN(5,$PQ141))&amp;INDEX($AO$2:$AT$41,($MT141-1)*4+IF($MC141=0,1,IF($MC141&lt;=5,2,IF($MC141=6,3,4))),1+MIN(5,$PR141))&amp;IF(INDEX($AE$2:$AE$11,$MT141)=1,IF(COUNTIF($MH141:$MK141,"Mais Um")&gt;0," · +"&amp;COUNTIF($MH141:$MK141,"Mais Um")&amp;IF(COUNTIF($MH141:$MK141,"Mais Um")&gt;1," alvos"," alvo"),"")&amp;IF(COUNTIF($MH141:$MK141,"Rajada")&gt;0,IF($MC141=0," · 1 tiro"," · "&amp;(MAX(1,$MC141-1)+1)&amp;" tiros"),""),""))</f>
        <v/>
      </c>
      <c r="PT141" s="152">
        <f>IF($MN141=0,"",IF($MC141=0,$MQ141&amp;"d6"&amp;IF($OD141&gt;0," − 1 = "&amp;$OM141&amp;"d6"," da básica do nível "&amp;$MO141),$OK141&amp;" − "&amp;$OF141&amp;" + "&amp;$OI141&amp;" = "&amp;$OL141&amp;" · teto "&amp;4*$MC141&amp;"d8"&amp;IF($NO141=1," · a Forma devolve "&amp;$MC141,"")&amp;IF($OJ141&gt;0," · perde "&amp;$OJ141,"")))</f>
        <v/>
      </c>
      <c r="PU141" s="152">
        <f>IF($MN141=0,"",IF($MC141=0,"A básica não amplia: os dados dela sobem com o nível",IF($MC141&gt;=$MP141,"Já está na maior Classe que o nível liberou",TEXTJOIN(" · ",TRUE,IF(AND(2&gt;$MC141,2&lt;=$MP141),"2 → "&amp;$OW141&amp;", 6 PE",""),IF(AND(3&gt;$MC141,3&lt;=$MP141),"3 → "&amp;$OX141&amp;", 9 PE",""),IF(AND(4&gt;$MC141,4&lt;=$MP141),"4 → "&amp;$OY141&amp;", 12 PE",""),IF(AND(5&gt;$MC141,5&lt;=$MP141),"5 → "&amp;$OZ141&amp;", 15 PE",""),IF(AND(6&gt;$MC141,6&lt;=$MP141),"6 → "&amp;$PA141&amp;", 18 PE",""),IF(AND(7&gt;$MC141,7&lt;=$MP141),"7 → "&amp;$PB141&amp;", 21 PE","")))))</f>
        <v/>
      </c>
      <c r="PV141" s="152">
        <f>IF(OR($MN141=0,$MY141=0),"",IF($MC141=0,"−1 dado","−"&amp;INDEX($I$2:$N$8,MAX(1,$MC141),MAX(1,$ND141))&amp;" · "&amp;CHOOSE(MAX(1,$ND141),"Leve","Média","Pesada","Leve · Livre","Média · Livre","Pesada · Livre")))</f>
        <v/>
      </c>
      <c r="PW141" s="152">
        <f>IF(OR($MN141=0,$MZ141=0),"",IF($MC141=0,"−1 dado","−"&amp;INDEX($I$2:$N$8,MAX(1,$MC141),MAX(1,$NE141))&amp;" · "&amp;CHOOSE(MAX(1,$NE141),"Leve","Média","Pesada","Leve · Livre","Média · Livre","Pesada · Livre")))</f>
        <v/>
      </c>
      <c r="PX141" s="152">
        <f>IF(OR($MN141=0,$NA141=0),"",IF($MC141=0,"−1 dado","−"&amp;INDEX($I$2:$N$8,MAX(1,$MC141),MAX(1,$NF141))&amp;" · "&amp;CHOOSE(MAX(1,$NF141),"Leve","Média","Pesada","Leve · Livre","Média · Livre","Pesada · Livre")))</f>
        <v/>
      </c>
      <c r="PY141" s="152">
        <f>IF(OR($MN141=0,$NB141=0),"",IF($MC141=0,"−1 dado","−"&amp;INDEX($I$2:$N$8,MAX(1,$MC141),MAX(1,$NG141))&amp;" · "&amp;CHOOSE(MAX(1,$NG141),"Leve","Média","Pesada","Leve · Livre","Média · Livre","Pesada · Livre")))</f>
        <v/>
      </c>
      <c r="PZ141" s="152">
        <f>IF(OR($MN141=0,$ML141=""),"",IF($MC141=0,"não devolve","+"&amp;IF($NR141=1,CEILING($MC141/2,1),$MC141)))</f>
        <v/>
      </c>
      <c r="QA141" s="152">
        <f>IF(OR($MN141=0,$MM141=""),"",IF($MC141=0,"não devolve","+"&amp;IF($NS141=1,CEILING($MC141/2,1),$MC141)))</f>
        <v/>
      </c>
    </row>
    <row r="142">
      <c r="LX142" s="150" t="inlineStr">
        <is>
          <t>Ficha 11 · Escolha da trilha 1</t>
        </is>
      </c>
      <c r="LY142" s="152" t="n">
        <v>11</v>
      </c>
      <c r="LZ142" s="152" t="n">
        <v>2</v>
      </c>
      <c r="MA142" s="152" t="n">
        <v>0</v>
      </c>
      <c r="MB142" s="150" t="inlineStr">
        <is>
          <t>ESCOLHA DA TRILHA 1</t>
        </is>
      </c>
      <c r="MC142" s="152">
        <f>MAX(0,MIN(7,N('INVOCAÇÕES'!$AB$952)))</f>
        <v/>
      </c>
      <c r="MD142" s="152">
        <f>'INVOCAÇÕES'!$AC$952&amp;""</f>
        <v/>
      </c>
      <c r="ME142" s="152">
        <f>'INVOCAÇÕES'!$AB$957&amp;""</f>
        <v/>
      </c>
      <c r="MF142" s="152">
        <f>'INVOCAÇÕES'!$AB$958&amp;""</f>
        <v/>
      </c>
      <c r="MG142" s="152">
        <f>'INVOCAÇÕES'!$AD$958&amp;""</f>
        <v/>
      </c>
      <c r="MH142" s="152">
        <f>'INVOCAÇÕES'!$AC$961&amp;""</f>
        <v/>
      </c>
      <c r="MI142" s="152">
        <f>'INVOCAÇÕES'!$AC$962&amp;""</f>
        <v/>
      </c>
      <c r="MJ142" s="152">
        <f>'INVOCAÇÕES'!$AC$963&amp;""</f>
        <v/>
      </c>
      <c r="MK142" s="152">
        <f>'INVOCAÇÕES'!$AC$964&amp;""</f>
        <v/>
      </c>
      <c r="ML142" s="152">
        <f>'INVOCAÇÕES'!$AC$965&amp;""</f>
        <v/>
      </c>
      <c r="MM142" s="152">
        <f>'INVOCAÇÕES'!$AC$966&amp;""</f>
        <v/>
      </c>
      <c r="MN142" s="152">
        <f>IF($MD142&lt;&gt;"",1,0)</f>
        <v/>
      </c>
      <c r="MO142" s="152">
        <f>INDEX($FG$2:$FG$13,$LY142)</f>
        <v/>
      </c>
      <c r="MP142" s="152">
        <f>INDEX($FH$2:$FH$13,$LY142)</f>
        <v/>
      </c>
      <c r="MQ142" s="152">
        <f>INDEX($FI$2:$FI$13,$LY142)</f>
        <v/>
      </c>
      <c r="MR142" s="152">
        <f>INDEX($FT$2:$FT$13,$LY142)</f>
        <v/>
      </c>
      <c r="MS142" s="152">
        <f>INDEX($FU$2:$FU$13,$LY142)</f>
        <v/>
      </c>
      <c r="MT142" s="152">
        <f>IFERROR(MATCH($ME142,$V$2:$V$11,0),0)</f>
        <v/>
      </c>
      <c r="MU142" s="152">
        <f>IFERROR(VLOOKUP($MH142,$AV$2:$AZ$84,2,FALSE),"")</f>
        <v/>
      </c>
      <c r="MV142" s="152">
        <f>IFERROR(VLOOKUP($MI142,$AV$2:$AZ$84,2,FALSE),"")</f>
        <v/>
      </c>
      <c r="MW142" s="152">
        <f>IFERROR(VLOOKUP($MJ142,$AV$2:$AZ$84,2,FALSE),"")</f>
        <v/>
      </c>
      <c r="MX142" s="152">
        <f>IFERROR(VLOOKUP($MK142,$AV$2:$AZ$84,2,FALSE),"")</f>
        <v/>
      </c>
      <c r="MY142" s="152">
        <f>IFERROR(VLOOKUP($MH142,$AV$2:$AZ$84,3,FALSE),0)</f>
        <v/>
      </c>
      <c r="MZ142" s="152">
        <f>IFERROR(VLOOKUP($MI142,$AV$2:$AZ$84,3,FALSE),0)</f>
        <v/>
      </c>
      <c r="NA142" s="152">
        <f>IFERROR(VLOOKUP($MJ142,$AV$2:$AZ$84,3,FALSE),0)</f>
        <v/>
      </c>
      <c r="NB142" s="152">
        <f>IFERROR(VLOOKUP($MK142,$AV$2:$AZ$84,3,FALSE),0)</f>
        <v/>
      </c>
      <c r="NC142" s="152">
        <f>IF($MC142=0,0,IF($MT142=0,0,INDEX($X$2:$X$11,$MT142)))</f>
        <v/>
      </c>
      <c r="ND142" s="152">
        <f>IF(OR($MY142=0,$MC142=0),0,$MY142+3*IF(AND($MU142&lt;&gt;"",OR($MU142=INDEX($ED$2:$ED$13,$LY142),$MU142=INDEX($EE$2:$EE$13,$LY142))),1,0))</f>
        <v/>
      </c>
      <c r="NE142" s="152">
        <f>IF(OR($MZ142=0,$MC142=0),0,$MZ142+3*IF(AND($MV142&lt;&gt;"",OR($MV142=INDEX($ED$2:$ED$13,$LY142),$MV142=INDEX($EE$2:$EE$13,$LY142))),1,0))</f>
        <v/>
      </c>
      <c r="NF142" s="152">
        <f>IF(OR($NA142=0,$MC142=0),0,$NA142+3*IF(AND($MW142&lt;&gt;"",OR($MW142=INDEX($ED$2:$ED$13,$LY142),$MW142=INDEX($EE$2:$EE$13,$LY142))),1,0))</f>
        <v/>
      </c>
      <c r="NG142" s="152">
        <f>IF(OR($NB142=0,$MC142=0),0,$NB142+3*IF(AND($MX142&lt;&gt;"",OR($MX142=INDEX($ED$2:$ED$13,$LY142),$MX142=INDEX($EE$2:$EE$13,$LY142))),1,0))</f>
        <v/>
      </c>
      <c r="NH142" s="152">
        <f>IF($MT142=0,0,IF(INDEX($W$2:$W$11,$MT142)="",0,IF(COUNTIF(INDEX($ED$2:$EH$13,$LY142,0),INDEX($W$2:$W$11,$MT142))=0,1,0)))</f>
        <v/>
      </c>
      <c r="NI142" s="152">
        <f>IF(OR($MY142=0,$MU142=""),0,IF(COUNTIF(INDEX($ED$2:$EH$13,$LY142,0),$MU142)=0,1,0))</f>
        <v/>
      </c>
      <c r="NJ142" s="152">
        <f>IF(OR($MZ142=0,$MV142=""),0,IF(COUNTIF(INDEX($ED$2:$EH$13,$LY142,0),$MV142)=0,1,0))</f>
        <v/>
      </c>
      <c r="NK142" s="152">
        <f>IF(OR($NA142=0,$MW142=""),0,IF(COUNTIF(INDEX($ED$2:$EH$13,$LY142,0),$MW142)=0,1,0))</f>
        <v/>
      </c>
      <c r="NL142" s="152">
        <f>IF(OR($NB142=0,$MX142=""),0,IF(COUNTIF(INDEX($ED$2:$EH$13,$LY142,0),$MX142)=0,1,0))</f>
        <v/>
      </c>
      <c r="NM142" s="152">
        <f>IFERROR(VLOOKUP($MH142,$AV$2:$AZ$84,4,FALSE),0)+IFERROR(VLOOKUP($MI142,$AV$2:$AZ$84,4,FALSE),0)+IFERROR(VLOOKUP($MJ142,$AV$2:$AZ$84,4,FALSE),0)+IFERROR(VLOOKUP($MK142,$AV$2:$AZ$84,4,FALSE),0)</f>
        <v/>
      </c>
      <c r="NN142" s="152">
        <f>TEXTJOIN(", ",TRUE,IF(IFERROR(VLOOKUP($MH142,$AV$2:$AZ$84,5,FALSE),0)=1,$MH142,""),IF(IFERROR(VLOOKUP($MI142,$AV$2:$AZ$84,5,FALSE),0)=1,$MI142,""),IF(IFERROR(VLOOKUP($MJ142,$AV$2:$AZ$84,5,FALSE),0)=1,$MJ142,""),IF(IFERROR(VLOOKUP($MK142,$AV$2:$AZ$84,5,FALSE),0)=1,$MK142,""))</f>
        <v/>
      </c>
      <c r="NO142" s="152">
        <f>IF($MT142=0,0,INDEX($Y$2:$Y$11,$MT142))</f>
        <v/>
      </c>
      <c r="NP142" s="152">
        <f>IF($MT142=0,0,INDEX($Z$2:$Z$11,$MT142))</f>
        <v/>
      </c>
      <c r="NQ142" s="152">
        <f>IF($MT142=0,0,INDEX($AB$2:$AB$11,$MT142))</f>
        <v/>
      </c>
      <c r="NR142" s="152">
        <f>IFERROR(VLOOKUP($ML142,$BB$2:$BF$24,3,FALSE),0)</f>
        <v/>
      </c>
      <c r="NS142" s="152">
        <f>IFERROR(VLOOKUP($MM142,$BB$2:$BF$24,3,FALSE),0)</f>
        <v/>
      </c>
      <c r="NT142" s="152">
        <f>IFERROR(VLOOKUP($ML142,$BB$2:$BF$24,2,FALSE),"")</f>
        <v/>
      </c>
      <c r="NU142" s="152">
        <f>IFERROR(VLOOKUP($MM142,$BB$2:$BF$24,2,FALSE),"")</f>
        <v/>
      </c>
      <c r="NV142" s="152">
        <f>COUNTIF($NC142:$NG142,1)</f>
        <v/>
      </c>
      <c r="NW142" s="152">
        <f>COUNTIF($NC142:$NG142,2)</f>
        <v/>
      </c>
      <c r="NX142" s="152">
        <f>COUNTIF($NC142:$NG142,3)</f>
        <v/>
      </c>
      <c r="NY142" s="152">
        <f>COUNTIF($NC142:$NG142,4)</f>
        <v/>
      </c>
      <c r="NZ142" s="152">
        <f>COUNTIF($NC142:$NG142,5)</f>
        <v/>
      </c>
      <c r="OA142" s="152">
        <f>COUNTIF($NC142:$NG142,6)</f>
        <v/>
      </c>
      <c r="OB142" s="152">
        <f>COUNTIF($NR142:$NS142,1)</f>
        <v/>
      </c>
      <c r="OC142" s="152">
        <f>COUNTIF($NR142:$NS142,2)+$NO142</f>
        <v/>
      </c>
      <c r="OD142" s="152">
        <f>COUNTIF($MH142:$MK142,"?*")</f>
        <v/>
      </c>
      <c r="OE142" s="152">
        <f>COUNTIF($ML142:$MM142,"?*")+$NO142</f>
        <v/>
      </c>
      <c r="OF142" s="152">
        <f>IF($MC142=0,0,SUMPRODUCT($NV142:$OA142,INDEX($I$2:$N$8,MAX(1,$MC142),0)))</f>
        <v/>
      </c>
      <c r="OG142" s="152">
        <f>IF($MC142=0,0,$OB142*CEILING($MC142/2,1)+$OC142*$MC142)</f>
        <v/>
      </c>
      <c r="OH142" s="152">
        <f>MIN(2*$MC142,$OG142)</f>
        <v/>
      </c>
      <c r="OI142" s="152">
        <f>MIN($OH142,$OF142)</f>
        <v/>
      </c>
      <c r="OJ142" s="152">
        <f>$OH142-$OI142</f>
        <v/>
      </c>
      <c r="OK142" s="152">
        <f>IF($MC142=0,0,INDEX($P$2:$P$8,MAX(1,$MC142)))</f>
        <v/>
      </c>
      <c r="OL142" s="152">
        <f>$OK142-$OF142+$OI142</f>
        <v/>
      </c>
      <c r="OM142" s="152">
        <f>IF($MC142=0,MAX(0,$MQ142-IF($OD142&gt;0,1,0)),MAX(0,$OL142))</f>
        <v/>
      </c>
      <c r="ON142" s="152">
        <f>IF($MC142=0,0,(IF(COUNTIF($MH142:$MK142,"Salto")&gt;0,1,0)+IF(COUNTIF($MH142:$MK142,"Queima")&gt;0,1,0)+IF(COUNTIF($MH142:$MK142,"Estilhaço")&gt;0,1,0))*FLOOR($OM142/2,1))</f>
        <v/>
      </c>
      <c r="OO142" s="152">
        <f>MAX(0,2-SUMPRODUCT($NV142:$OA142,$I$2:$N$2)+MIN(2,$OB142*1+$OC142*1,SUMPRODUCT($NV142:$OA142,$I$2:$N$2)))</f>
        <v/>
      </c>
      <c r="OP142" s="152">
        <f>MAX(0,4-SUMPRODUCT($NV142:$OA142,$I$3:$N$3)+MIN(4,$OB142*1+$OC142*2,SUMPRODUCT($NV142:$OA142,$I$3:$N$3)))</f>
        <v/>
      </c>
      <c r="OQ142" s="152">
        <f>MAX(0,6-SUMPRODUCT($NV142:$OA142,$I$4:$N$4)+MIN(6,$OB142*2+$OC142*3,SUMPRODUCT($NV142:$OA142,$I$4:$N$4)))</f>
        <v/>
      </c>
      <c r="OR142" s="152">
        <f>MAX(0,9-SUMPRODUCT($NV142:$OA142,$I$5:$N$5)+MIN(8,$OB142*2+$OC142*4,SUMPRODUCT($NV142:$OA142,$I$5:$N$5)))</f>
        <v/>
      </c>
      <c r="OS142" s="152">
        <f>MAX(0,11-SUMPRODUCT($NV142:$OA142,$I$6:$N$6)+MIN(10,$OB142*3+$OC142*5,SUMPRODUCT($NV142:$OA142,$I$6:$N$6)))</f>
        <v/>
      </c>
      <c r="OT142" s="152">
        <f>MAX(0,13-SUMPRODUCT($NV142:$OA142,$I$7:$N$7)+MIN(12,$OB142*3+$OC142*6,SUMPRODUCT($NV142:$OA142,$I$7:$N$7)))</f>
        <v/>
      </c>
      <c r="OU142" s="152">
        <f>MAX(0,16-SUMPRODUCT($NV142:$OA142,$I$8:$N$8)+MIN(14,$OB142*4+$OC142*7,SUMPRODUCT($NV142:$OA142,$I$8:$N$8)))</f>
        <v/>
      </c>
      <c r="OV142" s="152">
        <f>IF($NP142=2,3*$OO142&amp;" de vida temp.",IF($NP142=3,"sem dano",IF($OO142=0,IF($NP142=1,"sem cura","sem dano"),IF($NP142=1,"cura ","")&amp;$OO142&amp;"d8")))</f>
        <v/>
      </c>
      <c r="OW142" s="152">
        <f>IF($NP142=2,3*$OP142&amp;" de vida temp.",IF($NP142=3,"sem dano",IF($OP142=0,IF($NP142=1,"sem cura","sem dano"),IF($NP142=1,"cura ","")&amp;$OP142&amp;"d8")))</f>
        <v/>
      </c>
      <c r="OX142" s="152">
        <f>IF($NP142=2,3*$OQ142&amp;" de vida temp.",IF($NP142=3,"sem dano",IF($OQ142=0,IF($NP142=1,"sem cura","sem dano"),IF($NP142=1,"cura ","")&amp;$OQ142&amp;"d8")))</f>
        <v/>
      </c>
      <c r="OY142" s="152">
        <f>IF($NP142=2,3*$OR142&amp;" de vida temp.",IF($NP142=3,"sem dano",IF($OR142=0,IF($NP142=1,"sem cura","sem dano"),IF($NP142=1,"cura ","")&amp;$OR142&amp;"d8")))</f>
        <v/>
      </c>
      <c r="OZ142" s="152">
        <f>IF($NP142=2,3*$OS142&amp;" de vida temp.",IF($NP142=3,"sem dano",IF($OS142=0,IF($NP142=1,"sem cura","sem dano"),IF($NP142=1,"cura ","")&amp;$OS142&amp;"d8")))</f>
        <v/>
      </c>
      <c r="PA142" s="152">
        <f>IF($NP142=2,3*$OT142&amp;" de vida temp.",IF($NP142=3,"sem dano",IF($OT142=0,IF($NP142=1,"sem cura","sem dano"),IF($NP142=1,"cura ","")&amp;$OT142&amp;"d8")))</f>
        <v/>
      </c>
      <c r="PB142" s="152">
        <f>IF($NP142=2,3*$OU142&amp;" de vida temp.",IF($NP142=3,"sem dano",IF($OU142=0,IF($NP142=1,"sem cura","sem dano"),IF($NP142=1,"cura ","")&amp;$OU142&amp;"d8")))</f>
        <v/>
      </c>
      <c r="PC142" s="152">
        <f>IF($MN142=0,"",TEXTJOIN(" · ",TRUE,IF($MA142&gt;$MO142,"Este lugar abre no nível "&amp;$MA142,""),IF($MC142&gt;$MP142,"Classe "&amp;$MC142&amp;": o nível "&amp;$MO142&amp;" libera até a "&amp;$MP142,""),IF($NH142=1,"A Forma "&amp;$ME142&amp;" pede "&amp;INDEX($W$2:$W$11,$MT142)&amp;" aberta",""),IF(AND($MC142=0,$MT142&gt;0,IF($MT142=0,0,INDEX($AF$2:$AF$11,$MT142))=0),$ME142&amp;" não existe na Classe 0",""),IF($NI142=1,"Família Fechada: "&amp;$MH142,""),IF($NJ142=1,"Família Fechada: "&amp;$MI142,""),IF($NK142=1,"Família Fechada: "&amp;$MJ142,""),IF($NL142=1,"Família Fechada: "&amp;$MK142,""),IF(AND($MC142&gt;0,$OD142&gt;INDEX($O$2:$O$8,MAX(1,$MC142))),$OD142&amp;" Melhorias: a Classe "&amp;$MC142&amp;" aceita "&amp;INDEX($O$2:$O$8,MAX(1,$MC142)),""),IF(AND($MC142=0,$OD142&gt;1),"A básica aceita uma Melhoria",""),IF(AND($MC142=0,COUNTIF($MY142:$NB142,"&gt;1")&gt;0),"A básica só aceita Melhoria Leve",""),IF(AND($MC142&gt;0,$OE142&gt;2),$OE142&amp;" Restrições"&amp;IF($NO142=1,", contando a que a Forma "&amp;$ME142&amp;" já traz","")&amp;": o limite é 2",""),IF(AND($MC142=0,COUNTIF($ML142:$MM142,"?*")&gt;1),"A básica aceita uma Restrição Leve",""),IF(AND($MC142=0,COUNTIF($NR142:$NS142,2)&gt;0),"A básica só aceita Restrição Leve",""),IF(AND($MC142&gt;0,$OL142&lt;0),"Orçamento estourado: faltam "&amp;(-$OL142)&amp;IF($OL142&lt;-1," pontos"," ponto"),""),IF(IFERROR(VLOOKUP($ML142,$BB$2:$BF$24,4,FALSE),0)+IFERROR(VLOOKUP($MM142,$BB$2:$BF$24,4,FALSE),0)&gt;1,$NT142&amp;" e "&amp;$NU142&amp;" são as duas de frequência",""),IF(AND((COUNTIF($MH142:$MK142,"Rápido")+COUNTIF($NT142:$NU142,"Rápido"))&gt;0,(COUNTIF($MH142:$MK142,"Atrasar")+COUNTIF($NT142:$NU142,"Atrasar"))&gt;0),"Rápido não entra com Atrasar",""),IF(AND((COUNTIF($MH142:$MK142,"Reação")+COUNTIF($NT142:$NU142,"Reação"))&gt;0,(COUNTIF($MH142:$MK142,"Rápido")+COUNTIF($NT142:$NU142,"Rápido"))&gt;0),"Reação não entra com Rápido",""),IF(AND((COUNTIF($MH142:$MK142,"Reação")+COUNTIF($NT142:$NU142,"Reação"))&gt;0,(COUNTIF($MH142:$MK142,"Armado")+COUNTIF($NT142:$NU142,"Armado"))&gt;0),"Reação não entra com Armado",""),IF(AND((COUNTIF($MH142:$MK142,"Reação")+COUNTIF($NT142:$NU142,"Reação"))&gt;0,(COUNTIF($MH142:$MK142,"Atrasar")+COUNTIF($NT142:$NU142,"Atrasar"))&gt;0),"Reação não entra com Atrasar",""),IF(AND((COUNTIF($MH142:$MK142,"Reação")+COUNTIF($NT142:$NU142,"Reação"))&gt;0,(COUNTIF($MH142:$MK142,"Parado")+COUNTIF($NT142:$NU142,"Parado"))&gt;0),"Reação não entra com Parado",""),IF(AND((COUNTIF($MH142:$MK142,"Atrasar")+COUNTIF($NT142:$NU142,"Atrasar"))&gt;0,(COUNTIF($MH142:$MK142,"Parado")+COUNTIF($NT142:$NU142,"Parado"))&gt;0),"Atrasar não entra com Parado",""),IF(AND((COUNTIF($MH142:$MK142,"Armado")+COUNTIF($NT142:$NU142,"Armado"))&gt;0,(COUNTIF($MH142:$MK142,"Carregar")+COUNTIF($NT142:$NU142,"Carregar"))&gt;0),"Armado não entra com Carregar",""),IF(AND(COUNTIF($NT142:$NU142,"Corpo a Corpo")&gt;0,$NO142=0,OR($ME142="Cone",$ME142="Linha")),"Corpo a Corpo não entra em "&amp;$ME142,""),IF(AND(COUNTIF($NT142:$NU142,"Corpo a Corpo")&gt;0,$NO142=1),"A Forma "&amp;$ME142&amp;" já traz o Corpo a Corpo",""),IF(AND(COUNTIF($NT142:$NU142,"Tudo ou Nada")&gt;0,$NQ142=0),"Tudo ou Nada só entra em habilidade de Teste de Resistência",""),IF(AND(COUNTIF($MH142:$MK142,"Inescapável")&gt;0,OR($OD142&gt;1,$OE142&gt;0)),"Inescapável não aceita outra peça",""),IF(AND($MC142&gt;0,$OM142*IF(COUNTIF($MH142:$MK142,"Remate")&gt;0,1.25,1)+$ON142&gt;4*$MC142),($OM142*IF(COUNTIF($MH142:$MK142,"Remate")&gt;0,1.25,1)+$ON142)&amp;" dados somando repetições"&amp;IF(COUNTIF($MH142:$MK142,"Remate")&gt;0," e o Remate","")&amp;": o teto da Classe "&amp;$MC142&amp;" é "&amp;4*$MC142,"")))</f>
        <v/>
      </c>
      <c r="PD142" s="152">
        <f>IF($PC142="",0,(LEN($PC142)-LEN(SUBSTITUTE($PC142," · ","")))/3+1)</f>
        <v/>
      </c>
      <c r="PE142" s="152">
        <f>IF($MN142=0,"",TEXTJOIN(" · ",TRUE,IF($OG142&gt;2*$MC142,"A devolução parou no teto de "&amp;2*$MC142,""),IF($OJ142&gt;0,"Devolução perdida: "&amp;$OJ142&amp;IF($OJ142&gt;1," pontos"," ponto")&amp;" sem peça para pagar",""),IF(AND($NM142&gt;0,AND($MC142&gt;0,$NP142=0),$OM142=0),"Controle sem dano: uma rodada a mais e CD +2",""),IF(AND($NM142&gt;0,AND($MC142&gt;0,$NP142=0),$OM142&gt;0,$OM142&lt;=$MC142),"Controle com saldo até a Classe: uma rodada a mais",""),IF(AND($MC142&gt;0,$NN142&lt;&gt;""),"Efeito de "&amp;$NN142&amp;" pela Classe "&amp;MAX(1,$MC142-1),"")))</f>
        <v/>
      </c>
      <c r="PF142" s="152">
        <f>IF($PE142="",0,(LEN($PE142)-LEN(SUBSTITUTE($PE142," · ","")))/3+1)</f>
        <v/>
      </c>
      <c r="PG142" s="152">
        <f>IF($MN142=0,IF($OD142+COUNTIF($ML142:$MM142,"?*")&gt;0,"Dê um nome",""),IF($PD142&gt;0,"⚠ "&amp;$PD142&amp;IF($PD142&gt;1," erros"," erro"),IF($PF142&gt;0,"! "&amp;$PF142&amp;IF($PF142&gt;1," avisos"," aviso"),"Na regra")))</f>
        <v/>
      </c>
      <c r="PH142" s="152">
        <f>IF($MN142=0,"",IF($PD142+$PF142=0,"Dentro das regras que a ficha confere",$PC142&amp;IF(AND($PD142&gt;0,$PF142&gt;0)," · ","")&amp;$PE142))</f>
        <v/>
      </c>
      <c r="PI142" s="152">
        <f>IF($MA142&gt;$MO142,$MB142&amp;" · ABRE NO NÍVEL "&amp;$MA142,$MB142)</f>
        <v/>
      </c>
      <c r="PJ142" s="152">
        <f>IF($MN142=0,"",IF($MC142=0,"Sem PE",3*$MC142&amp;" PE"))</f>
        <v/>
      </c>
      <c r="PK142" s="152">
        <f>IF($MN142=0,"",IF($MC142=0,"A atuação básica dela",IF(COUNTIF($NT142:$NU142,"Atrasar")&gt;0,"Sua Ação Completa",IF(COUNTIF($MH142:$MK142,"Rápido")&gt;0,"Sua Bônus",IF(COUNTIF($MH142:$MK142,"Reação")&gt;0,"Sua Reação","Sua Padrão")))&amp;" + a básica dela"&amp;IF(COUNTIF($MH142:$MK142,"Reação")&gt;0," e a coletiva","")&amp;IF(COUNTIF($NT142:$NU142,"Carregar")&gt;0," · em dois turnos","")))</f>
        <v/>
      </c>
      <c r="PL142" s="152">
        <f>IF($MG142&lt;&gt;"",$MG142,IF($MT142=0,"",INDEX($AA$2:$AA$11,$MT142)))</f>
        <v/>
      </c>
      <c r="PM142" s="152">
        <f>IF(OR($MN142=0,$MT142=0),"",IF(COUNTIF($MH142:$MK142,"Inescapável")&gt;0,"Automático",IF($PL142="Ataque",IF($MR142="","Ataque","Ataque "&amp;IF(($MR142+2*IF(COUNTIF($MH142:$MK142,"Precisão")&gt;0,1,0))&gt;=0,"+","−")&amp;ABS(($MR142+2*IF(COUNTIF($MH142:$MK142,"Precisão")&gt;0,1,0)))),IF(LEFT($PL142,2)="TR",$PL142&amp;IF($MS142="",""," · CD "&amp;$MS142)&amp;IF(COUNTIF($MH142:$MK142,"Certeiro")&gt;0," · metade",""),"Sem rolagem"))))</f>
        <v/>
      </c>
      <c r="PN142" s="152">
        <f>IF(OR($MN142=0,$MT142=0),"",IF($MC142=0,IF(OR($NP142&gt;=1,$OM142=0),"Sem dano",$OM142&amp;"d6"&amp;IF($MF142="",""," "&amp;$MF142)),IF(OR($NP142&gt;=1,$OM142=0),UPPER(LEFT(INDEX($OV142:$PB142,1,MAX(1,$MC142)),1))&amp;MID(INDEX($OV142:$PB142,1,MAX(1,$MC142)),2,99),UPPER(LEFT(INDEX($OV142:$PB142,1,MAX(1,$MC142)),1))&amp;MID(INDEX($OV142:$PB142,1,MAX(1,$MC142)),2,99)&amp;IF($MF142="",""," "&amp;$MF142)&amp;IF($ON142&gt;0," · +"&amp;$ON142&amp;"d8",""))))</f>
        <v/>
      </c>
      <c r="PO142" s="152">
        <f>COUNTIF($MH142:$MK142,"Longe")+3*COUNTIF($MH142:$MK142,"Muito Longe")</f>
        <v/>
      </c>
      <c r="PP142" s="152">
        <f>COUNTIF($MH142:$MK142,"Maior")+3*COUNTIF($MH142:$MK142,"Muito Maior")</f>
        <v/>
      </c>
      <c r="PQ142" s="152">
        <f>IF($MT142=0,0,CHOOSE(1+INDEX($AC$2:$AC$11,$MT142),0,$PO142,$PP142,$PO142+$PP142))</f>
        <v/>
      </c>
      <c r="PR142" s="152">
        <f>IF($MT142=0,0,CHOOSE(1+INDEX($AD$2:$AD$11,$MT142),0,$PO142,$PP142,$PO142+$PP142))</f>
        <v/>
      </c>
      <c r="PS142" s="152">
        <f>IF(OR($MN142=0,$MT142=0),"",INDEX($AI$2:$AN$41,($MT142-1)*4+IF($MC142=0,1,IF($MC142&lt;=5,2,IF($MC142=6,3,4))),1+MIN(5,$PQ142))&amp;INDEX($AO$2:$AT$41,($MT142-1)*4+IF($MC142=0,1,IF($MC142&lt;=5,2,IF($MC142=6,3,4))),1+MIN(5,$PR142))&amp;IF(INDEX($AE$2:$AE$11,$MT142)=1,IF(COUNTIF($MH142:$MK142,"Mais Um")&gt;0," · +"&amp;COUNTIF($MH142:$MK142,"Mais Um")&amp;IF(COUNTIF($MH142:$MK142,"Mais Um")&gt;1," alvos"," alvo"),"")&amp;IF(COUNTIF($MH142:$MK142,"Rajada")&gt;0,IF($MC142=0," · 1 tiro"," · "&amp;(MAX(1,$MC142-1)+1)&amp;" tiros"),""),""))</f>
        <v/>
      </c>
      <c r="PT142" s="152">
        <f>IF($MN142=0,"",IF($MC142=0,$MQ142&amp;"d6"&amp;IF($OD142&gt;0," − 1 = "&amp;$OM142&amp;"d6"," da básica do nível "&amp;$MO142),$OK142&amp;" − "&amp;$OF142&amp;" + "&amp;$OI142&amp;" = "&amp;$OL142&amp;" · teto "&amp;4*$MC142&amp;"d8"&amp;IF($NO142=1," · a Forma devolve "&amp;$MC142,"")&amp;IF($OJ142&gt;0," · perde "&amp;$OJ142,"")))</f>
        <v/>
      </c>
      <c r="PU142" s="152">
        <f>IF($MN142=0,"",IF($MC142=0,"A básica não amplia: os dados dela sobem com o nível",IF($MC142&gt;=$MP142,"Já está na maior Classe que o nível liberou",TEXTJOIN(" · ",TRUE,IF(AND(2&gt;$MC142,2&lt;=$MP142),"2 → "&amp;$OW142&amp;", 6 PE",""),IF(AND(3&gt;$MC142,3&lt;=$MP142),"3 → "&amp;$OX142&amp;", 9 PE",""),IF(AND(4&gt;$MC142,4&lt;=$MP142),"4 → "&amp;$OY142&amp;", 12 PE",""),IF(AND(5&gt;$MC142,5&lt;=$MP142),"5 → "&amp;$OZ142&amp;", 15 PE",""),IF(AND(6&gt;$MC142,6&lt;=$MP142),"6 → "&amp;$PA142&amp;", 18 PE",""),IF(AND(7&gt;$MC142,7&lt;=$MP142),"7 → "&amp;$PB142&amp;", 21 PE","")))))</f>
        <v/>
      </c>
      <c r="PV142" s="152">
        <f>IF(OR($MN142=0,$MY142=0),"",IF($MC142=0,"−1 dado","−"&amp;INDEX($I$2:$N$8,MAX(1,$MC142),MAX(1,$ND142))&amp;" · "&amp;CHOOSE(MAX(1,$ND142),"Leve","Média","Pesada","Leve · Livre","Média · Livre","Pesada · Livre")))</f>
        <v/>
      </c>
      <c r="PW142" s="152">
        <f>IF(OR($MN142=0,$MZ142=0),"",IF($MC142=0,"−1 dado","−"&amp;INDEX($I$2:$N$8,MAX(1,$MC142),MAX(1,$NE142))&amp;" · "&amp;CHOOSE(MAX(1,$NE142),"Leve","Média","Pesada","Leve · Livre","Média · Livre","Pesada · Livre")))</f>
        <v/>
      </c>
      <c r="PX142" s="152">
        <f>IF(OR($MN142=0,$NA142=0),"",IF($MC142=0,"−1 dado","−"&amp;INDEX($I$2:$N$8,MAX(1,$MC142),MAX(1,$NF142))&amp;" · "&amp;CHOOSE(MAX(1,$NF142),"Leve","Média","Pesada","Leve · Livre","Média · Livre","Pesada · Livre")))</f>
        <v/>
      </c>
      <c r="PY142" s="152">
        <f>IF(OR($MN142=0,$NB142=0),"",IF($MC142=0,"−1 dado","−"&amp;INDEX($I$2:$N$8,MAX(1,$MC142),MAX(1,$NG142))&amp;" · "&amp;CHOOSE(MAX(1,$NG142),"Leve","Média","Pesada","Leve · Livre","Média · Livre","Pesada · Livre")))</f>
        <v/>
      </c>
      <c r="PZ142" s="152">
        <f>IF(OR($MN142=0,$ML142=""),"",IF($MC142=0,"não devolve","+"&amp;IF($NR142=1,CEILING($MC142/2,1),$MC142)))</f>
        <v/>
      </c>
      <c r="QA142" s="152">
        <f>IF(OR($MN142=0,$MM142=""),"",IF($MC142=0,"não devolve","+"&amp;IF($NS142=1,CEILING($MC142/2,1),$MC142)))</f>
        <v/>
      </c>
    </row>
    <row r="143">
      <c r="LX143" s="150" t="inlineStr">
        <is>
          <t>Ficha 11 · Escolha da trilha 2</t>
        </is>
      </c>
      <c r="LY143" s="152" t="n">
        <v>11</v>
      </c>
      <c r="LZ143" s="152" t="n">
        <v>2</v>
      </c>
      <c r="MA143" s="152" t="n">
        <v>0</v>
      </c>
      <c r="MB143" s="150" t="inlineStr">
        <is>
          <t>ESCOLHA DA TRILHA 2</t>
        </is>
      </c>
      <c r="MC143" s="152">
        <f>MAX(0,MIN(7,N('INVOCAÇÕES'!$AH$952)))</f>
        <v/>
      </c>
      <c r="MD143" s="152">
        <f>'INVOCAÇÕES'!$AI$952&amp;""</f>
        <v/>
      </c>
      <c r="ME143" s="152">
        <f>'INVOCAÇÕES'!$AH$957&amp;""</f>
        <v/>
      </c>
      <c r="MF143" s="152">
        <f>'INVOCAÇÕES'!$AH$958&amp;""</f>
        <v/>
      </c>
      <c r="MG143" s="152">
        <f>'INVOCAÇÕES'!$AJ$958&amp;""</f>
        <v/>
      </c>
      <c r="MH143" s="152">
        <f>'INVOCAÇÕES'!$AI$961&amp;""</f>
        <v/>
      </c>
      <c r="MI143" s="152">
        <f>'INVOCAÇÕES'!$AI$962&amp;""</f>
        <v/>
      </c>
      <c r="MJ143" s="152">
        <f>'INVOCAÇÕES'!$AI$963&amp;""</f>
        <v/>
      </c>
      <c r="MK143" s="152">
        <f>'INVOCAÇÕES'!$AI$964&amp;""</f>
        <v/>
      </c>
      <c r="ML143" s="152">
        <f>'INVOCAÇÕES'!$AI$965&amp;""</f>
        <v/>
      </c>
      <c r="MM143" s="152">
        <f>'INVOCAÇÕES'!$AI$966&amp;""</f>
        <v/>
      </c>
      <c r="MN143" s="152">
        <f>IF($MD143&lt;&gt;"",1,0)</f>
        <v/>
      </c>
      <c r="MO143" s="152">
        <f>INDEX($FG$2:$FG$13,$LY143)</f>
        <v/>
      </c>
      <c r="MP143" s="152">
        <f>INDEX($FH$2:$FH$13,$LY143)</f>
        <v/>
      </c>
      <c r="MQ143" s="152">
        <f>INDEX($FI$2:$FI$13,$LY143)</f>
        <v/>
      </c>
      <c r="MR143" s="152">
        <f>INDEX($FT$2:$FT$13,$LY143)</f>
        <v/>
      </c>
      <c r="MS143" s="152">
        <f>INDEX($FU$2:$FU$13,$LY143)</f>
        <v/>
      </c>
      <c r="MT143" s="152">
        <f>IFERROR(MATCH($ME143,$V$2:$V$11,0),0)</f>
        <v/>
      </c>
      <c r="MU143" s="152">
        <f>IFERROR(VLOOKUP($MH143,$AV$2:$AZ$84,2,FALSE),"")</f>
        <v/>
      </c>
      <c r="MV143" s="152">
        <f>IFERROR(VLOOKUP($MI143,$AV$2:$AZ$84,2,FALSE),"")</f>
        <v/>
      </c>
      <c r="MW143" s="152">
        <f>IFERROR(VLOOKUP($MJ143,$AV$2:$AZ$84,2,FALSE),"")</f>
        <v/>
      </c>
      <c r="MX143" s="152">
        <f>IFERROR(VLOOKUP($MK143,$AV$2:$AZ$84,2,FALSE),"")</f>
        <v/>
      </c>
      <c r="MY143" s="152">
        <f>IFERROR(VLOOKUP($MH143,$AV$2:$AZ$84,3,FALSE),0)</f>
        <v/>
      </c>
      <c r="MZ143" s="152">
        <f>IFERROR(VLOOKUP($MI143,$AV$2:$AZ$84,3,FALSE),0)</f>
        <v/>
      </c>
      <c r="NA143" s="152">
        <f>IFERROR(VLOOKUP($MJ143,$AV$2:$AZ$84,3,FALSE),0)</f>
        <v/>
      </c>
      <c r="NB143" s="152">
        <f>IFERROR(VLOOKUP($MK143,$AV$2:$AZ$84,3,FALSE),0)</f>
        <v/>
      </c>
      <c r="NC143" s="152">
        <f>IF($MC143=0,0,IF($MT143=0,0,INDEX($X$2:$X$11,$MT143)))</f>
        <v/>
      </c>
      <c r="ND143" s="152">
        <f>IF(OR($MY143=0,$MC143=0),0,$MY143+3*IF(AND($MU143&lt;&gt;"",OR($MU143=INDEX($ED$2:$ED$13,$LY143),$MU143=INDEX($EE$2:$EE$13,$LY143))),1,0))</f>
        <v/>
      </c>
      <c r="NE143" s="152">
        <f>IF(OR($MZ143=0,$MC143=0),0,$MZ143+3*IF(AND($MV143&lt;&gt;"",OR($MV143=INDEX($ED$2:$ED$13,$LY143),$MV143=INDEX($EE$2:$EE$13,$LY143))),1,0))</f>
        <v/>
      </c>
      <c r="NF143" s="152">
        <f>IF(OR($NA143=0,$MC143=0),0,$NA143+3*IF(AND($MW143&lt;&gt;"",OR($MW143=INDEX($ED$2:$ED$13,$LY143),$MW143=INDEX($EE$2:$EE$13,$LY143))),1,0))</f>
        <v/>
      </c>
      <c r="NG143" s="152">
        <f>IF(OR($NB143=0,$MC143=0),0,$NB143+3*IF(AND($MX143&lt;&gt;"",OR($MX143=INDEX($ED$2:$ED$13,$LY143),$MX143=INDEX($EE$2:$EE$13,$LY143))),1,0))</f>
        <v/>
      </c>
      <c r="NH143" s="152">
        <f>IF($MT143=0,0,IF(INDEX($W$2:$W$11,$MT143)="",0,IF(COUNTIF(INDEX($ED$2:$EH$13,$LY143,0),INDEX($W$2:$W$11,$MT143))=0,1,0)))</f>
        <v/>
      </c>
      <c r="NI143" s="152">
        <f>IF(OR($MY143=0,$MU143=""),0,IF(COUNTIF(INDEX($ED$2:$EH$13,$LY143,0),$MU143)=0,1,0))</f>
        <v/>
      </c>
      <c r="NJ143" s="152">
        <f>IF(OR($MZ143=0,$MV143=""),0,IF(COUNTIF(INDEX($ED$2:$EH$13,$LY143,0),$MV143)=0,1,0))</f>
        <v/>
      </c>
      <c r="NK143" s="152">
        <f>IF(OR($NA143=0,$MW143=""),0,IF(COUNTIF(INDEX($ED$2:$EH$13,$LY143,0),$MW143)=0,1,0))</f>
        <v/>
      </c>
      <c r="NL143" s="152">
        <f>IF(OR($NB143=0,$MX143=""),0,IF(COUNTIF(INDEX($ED$2:$EH$13,$LY143,0),$MX143)=0,1,0))</f>
        <v/>
      </c>
      <c r="NM143" s="152">
        <f>IFERROR(VLOOKUP($MH143,$AV$2:$AZ$84,4,FALSE),0)+IFERROR(VLOOKUP($MI143,$AV$2:$AZ$84,4,FALSE),0)+IFERROR(VLOOKUP($MJ143,$AV$2:$AZ$84,4,FALSE),0)+IFERROR(VLOOKUP($MK143,$AV$2:$AZ$84,4,FALSE),0)</f>
        <v/>
      </c>
      <c r="NN143" s="152">
        <f>TEXTJOIN(", ",TRUE,IF(IFERROR(VLOOKUP($MH143,$AV$2:$AZ$84,5,FALSE),0)=1,$MH143,""),IF(IFERROR(VLOOKUP($MI143,$AV$2:$AZ$84,5,FALSE),0)=1,$MI143,""),IF(IFERROR(VLOOKUP($MJ143,$AV$2:$AZ$84,5,FALSE),0)=1,$MJ143,""),IF(IFERROR(VLOOKUP($MK143,$AV$2:$AZ$84,5,FALSE),0)=1,$MK143,""))</f>
        <v/>
      </c>
      <c r="NO143" s="152">
        <f>IF($MT143=0,0,INDEX($Y$2:$Y$11,$MT143))</f>
        <v/>
      </c>
      <c r="NP143" s="152">
        <f>IF($MT143=0,0,INDEX($Z$2:$Z$11,$MT143))</f>
        <v/>
      </c>
      <c r="NQ143" s="152">
        <f>IF($MT143=0,0,INDEX($AB$2:$AB$11,$MT143))</f>
        <v/>
      </c>
      <c r="NR143" s="152">
        <f>IFERROR(VLOOKUP($ML143,$BB$2:$BF$24,3,FALSE),0)</f>
        <v/>
      </c>
      <c r="NS143" s="152">
        <f>IFERROR(VLOOKUP($MM143,$BB$2:$BF$24,3,FALSE),0)</f>
        <v/>
      </c>
      <c r="NT143" s="152">
        <f>IFERROR(VLOOKUP($ML143,$BB$2:$BF$24,2,FALSE),"")</f>
        <v/>
      </c>
      <c r="NU143" s="152">
        <f>IFERROR(VLOOKUP($MM143,$BB$2:$BF$24,2,FALSE),"")</f>
        <v/>
      </c>
      <c r="NV143" s="152">
        <f>COUNTIF($NC143:$NG143,1)</f>
        <v/>
      </c>
      <c r="NW143" s="152">
        <f>COUNTIF($NC143:$NG143,2)</f>
        <v/>
      </c>
      <c r="NX143" s="152">
        <f>COUNTIF($NC143:$NG143,3)</f>
        <v/>
      </c>
      <c r="NY143" s="152">
        <f>COUNTIF($NC143:$NG143,4)</f>
        <v/>
      </c>
      <c r="NZ143" s="152">
        <f>COUNTIF($NC143:$NG143,5)</f>
        <v/>
      </c>
      <c r="OA143" s="152">
        <f>COUNTIF($NC143:$NG143,6)</f>
        <v/>
      </c>
      <c r="OB143" s="152">
        <f>COUNTIF($NR143:$NS143,1)</f>
        <v/>
      </c>
      <c r="OC143" s="152">
        <f>COUNTIF($NR143:$NS143,2)+$NO143</f>
        <v/>
      </c>
      <c r="OD143" s="152">
        <f>COUNTIF($MH143:$MK143,"?*")</f>
        <v/>
      </c>
      <c r="OE143" s="152">
        <f>COUNTIF($ML143:$MM143,"?*")+$NO143</f>
        <v/>
      </c>
      <c r="OF143" s="152">
        <f>IF($MC143=0,0,SUMPRODUCT($NV143:$OA143,INDEX($I$2:$N$8,MAX(1,$MC143),0)))</f>
        <v/>
      </c>
      <c r="OG143" s="152">
        <f>IF($MC143=0,0,$OB143*CEILING($MC143/2,1)+$OC143*$MC143)</f>
        <v/>
      </c>
      <c r="OH143" s="152">
        <f>MIN(2*$MC143,$OG143)</f>
        <v/>
      </c>
      <c r="OI143" s="152">
        <f>MIN($OH143,$OF143)</f>
        <v/>
      </c>
      <c r="OJ143" s="152">
        <f>$OH143-$OI143</f>
        <v/>
      </c>
      <c r="OK143" s="152">
        <f>IF($MC143=0,0,INDEX($P$2:$P$8,MAX(1,$MC143)))</f>
        <v/>
      </c>
      <c r="OL143" s="152">
        <f>$OK143-$OF143+$OI143</f>
        <v/>
      </c>
      <c r="OM143" s="152">
        <f>IF($MC143=0,MAX(0,$MQ143-IF($OD143&gt;0,1,0)),MAX(0,$OL143))</f>
        <v/>
      </c>
      <c r="ON143" s="152">
        <f>IF($MC143=0,0,(IF(COUNTIF($MH143:$MK143,"Salto")&gt;0,1,0)+IF(COUNTIF($MH143:$MK143,"Queima")&gt;0,1,0)+IF(COUNTIF($MH143:$MK143,"Estilhaço")&gt;0,1,0))*FLOOR($OM143/2,1))</f>
        <v/>
      </c>
      <c r="OO143" s="152">
        <f>MAX(0,2-SUMPRODUCT($NV143:$OA143,$I$2:$N$2)+MIN(2,$OB143*1+$OC143*1,SUMPRODUCT($NV143:$OA143,$I$2:$N$2)))</f>
        <v/>
      </c>
      <c r="OP143" s="152">
        <f>MAX(0,4-SUMPRODUCT($NV143:$OA143,$I$3:$N$3)+MIN(4,$OB143*1+$OC143*2,SUMPRODUCT($NV143:$OA143,$I$3:$N$3)))</f>
        <v/>
      </c>
      <c r="OQ143" s="152">
        <f>MAX(0,6-SUMPRODUCT($NV143:$OA143,$I$4:$N$4)+MIN(6,$OB143*2+$OC143*3,SUMPRODUCT($NV143:$OA143,$I$4:$N$4)))</f>
        <v/>
      </c>
      <c r="OR143" s="152">
        <f>MAX(0,9-SUMPRODUCT($NV143:$OA143,$I$5:$N$5)+MIN(8,$OB143*2+$OC143*4,SUMPRODUCT($NV143:$OA143,$I$5:$N$5)))</f>
        <v/>
      </c>
      <c r="OS143" s="152">
        <f>MAX(0,11-SUMPRODUCT($NV143:$OA143,$I$6:$N$6)+MIN(10,$OB143*3+$OC143*5,SUMPRODUCT($NV143:$OA143,$I$6:$N$6)))</f>
        <v/>
      </c>
      <c r="OT143" s="152">
        <f>MAX(0,13-SUMPRODUCT($NV143:$OA143,$I$7:$N$7)+MIN(12,$OB143*3+$OC143*6,SUMPRODUCT($NV143:$OA143,$I$7:$N$7)))</f>
        <v/>
      </c>
      <c r="OU143" s="152">
        <f>MAX(0,16-SUMPRODUCT($NV143:$OA143,$I$8:$N$8)+MIN(14,$OB143*4+$OC143*7,SUMPRODUCT($NV143:$OA143,$I$8:$N$8)))</f>
        <v/>
      </c>
      <c r="OV143" s="152">
        <f>IF($NP143=2,3*$OO143&amp;" de vida temp.",IF($NP143=3,"sem dano",IF($OO143=0,IF($NP143=1,"sem cura","sem dano"),IF($NP143=1,"cura ","")&amp;$OO143&amp;"d8")))</f>
        <v/>
      </c>
      <c r="OW143" s="152">
        <f>IF($NP143=2,3*$OP143&amp;" de vida temp.",IF($NP143=3,"sem dano",IF($OP143=0,IF($NP143=1,"sem cura","sem dano"),IF($NP143=1,"cura ","")&amp;$OP143&amp;"d8")))</f>
        <v/>
      </c>
      <c r="OX143" s="152">
        <f>IF($NP143=2,3*$OQ143&amp;" de vida temp.",IF($NP143=3,"sem dano",IF($OQ143=0,IF($NP143=1,"sem cura","sem dano"),IF($NP143=1,"cura ","")&amp;$OQ143&amp;"d8")))</f>
        <v/>
      </c>
      <c r="OY143" s="152">
        <f>IF($NP143=2,3*$OR143&amp;" de vida temp.",IF($NP143=3,"sem dano",IF($OR143=0,IF($NP143=1,"sem cura","sem dano"),IF($NP143=1,"cura ","")&amp;$OR143&amp;"d8")))</f>
        <v/>
      </c>
      <c r="OZ143" s="152">
        <f>IF($NP143=2,3*$OS143&amp;" de vida temp.",IF($NP143=3,"sem dano",IF($OS143=0,IF($NP143=1,"sem cura","sem dano"),IF($NP143=1,"cura ","")&amp;$OS143&amp;"d8")))</f>
        <v/>
      </c>
      <c r="PA143" s="152">
        <f>IF($NP143=2,3*$OT143&amp;" de vida temp.",IF($NP143=3,"sem dano",IF($OT143=0,IF($NP143=1,"sem cura","sem dano"),IF($NP143=1,"cura ","")&amp;$OT143&amp;"d8")))</f>
        <v/>
      </c>
      <c r="PB143" s="152">
        <f>IF($NP143=2,3*$OU143&amp;" de vida temp.",IF($NP143=3,"sem dano",IF($OU143=0,IF($NP143=1,"sem cura","sem dano"),IF($NP143=1,"cura ","")&amp;$OU143&amp;"d8")))</f>
        <v/>
      </c>
      <c r="PC143" s="152">
        <f>IF($MN143=0,"",TEXTJOIN(" · ",TRUE,IF($MA143&gt;$MO143,"Este lugar abre no nível "&amp;$MA143,""),IF($MC143&gt;$MP143,"Classe "&amp;$MC143&amp;": o nível "&amp;$MO143&amp;" libera até a "&amp;$MP143,""),IF($NH143=1,"A Forma "&amp;$ME143&amp;" pede "&amp;INDEX($W$2:$W$11,$MT143)&amp;" aberta",""),IF(AND($MC143=0,$MT143&gt;0,IF($MT143=0,0,INDEX($AF$2:$AF$11,$MT143))=0),$ME143&amp;" não existe na Classe 0",""),IF($NI143=1,"Família Fechada: "&amp;$MH143,""),IF($NJ143=1,"Família Fechada: "&amp;$MI143,""),IF($NK143=1,"Família Fechada: "&amp;$MJ143,""),IF($NL143=1,"Família Fechada: "&amp;$MK143,""),IF(AND($MC143&gt;0,$OD143&gt;INDEX($O$2:$O$8,MAX(1,$MC143))),$OD143&amp;" Melhorias: a Classe "&amp;$MC143&amp;" aceita "&amp;INDEX($O$2:$O$8,MAX(1,$MC143)),""),IF(AND($MC143=0,$OD143&gt;1),"A básica aceita uma Melhoria",""),IF(AND($MC143=0,COUNTIF($MY143:$NB143,"&gt;1")&gt;0),"A básica só aceita Melhoria Leve",""),IF(AND($MC143&gt;0,$OE143&gt;2),$OE143&amp;" Restrições"&amp;IF($NO143=1,", contando a que a Forma "&amp;$ME143&amp;" já traz","")&amp;": o limite é 2",""),IF(AND($MC143=0,COUNTIF($ML143:$MM143,"?*")&gt;1),"A básica aceita uma Restrição Leve",""),IF(AND($MC143=0,COUNTIF($NR143:$NS143,2)&gt;0),"A básica só aceita Restrição Leve",""),IF(AND($MC143&gt;0,$OL143&lt;0),"Orçamento estourado: faltam "&amp;(-$OL143)&amp;IF($OL143&lt;-1," pontos"," ponto"),""),IF(IFERROR(VLOOKUP($ML143,$BB$2:$BF$24,4,FALSE),0)+IFERROR(VLOOKUP($MM143,$BB$2:$BF$24,4,FALSE),0)&gt;1,$NT143&amp;" e "&amp;$NU143&amp;" são as duas de frequência",""),IF(AND((COUNTIF($MH143:$MK143,"Rápido")+COUNTIF($NT143:$NU143,"Rápido"))&gt;0,(COUNTIF($MH143:$MK143,"Atrasar")+COUNTIF($NT143:$NU143,"Atrasar"))&gt;0),"Rápido não entra com Atrasar",""),IF(AND((COUNTIF($MH143:$MK143,"Reação")+COUNTIF($NT143:$NU143,"Reação"))&gt;0,(COUNTIF($MH143:$MK143,"Rápido")+COUNTIF($NT143:$NU143,"Rápido"))&gt;0),"Reação não entra com Rápido",""),IF(AND((COUNTIF($MH143:$MK143,"Reação")+COUNTIF($NT143:$NU143,"Reação"))&gt;0,(COUNTIF($MH143:$MK143,"Armado")+COUNTIF($NT143:$NU143,"Armado"))&gt;0),"Reação não entra com Armado",""),IF(AND((COUNTIF($MH143:$MK143,"Reação")+COUNTIF($NT143:$NU143,"Reação"))&gt;0,(COUNTIF($MH143:$MK143,"Atrasar")+COUNTIF($NT143:$NU143,"Atrasar"))&gt;0),"Reação não entra com Atrasar",""),IF(AND((COUNTIF($MH143:$MK143,"Reação")+COUNTIF($NT143:$NU143,"Reação"))&gt;0,(COUNTIF($MH143:$MK143,"Parado")+COUNTIF($NT143:$NU143,"Parado"))&gt;0),"Reação não entra com Parado",""),IF(AND((COUNTIF($MH143:$MK143,"Atrasar")+COUNTIF($NT143:$NU143,"Atrasar"))&gt;0,(COUNTIF($MH143:$MK143,"Parado")+COUNTIF($NT143:$NU143,"Parado"))&gt;0),"Atrasar não entra com Parado",""),IF(AND((COUNTIF($MH143:$MK143,"Armado")+COUNTIF($NT143:$NU143,"Armado"))&gt;0,(COUNTIF($MH143:$MK143,"Carregar")+COUNTIF($NT143:$NU143,"Carregar"))&gt;0),"Armado não entra com Carregar",""),IF(AND(COUNTIF($NT143:$NU143,"Corpo a Corpo")&gt;0,$NO143=0,OR($ME143="Cone",$ME143="Linha")),"Corpo a Corpo não entra em "&amp;$ME143,""),IF(AND(COUNTIF($NT143:$NU143,"Corpo a Corpo")&gt;0,$NO143=1),"A Forma "&amp;$ME143&amp;" já traz o Corpo a Corpo",""),IF(AND(COUNTIF($NT143:$NU143,"Tudo ou Nada")&gt;0,$NQ143=0),"Tudo ou Nada só entra em habilidade de Teste de Resistência",""),IF(AND(COUNTIF($MH143:$MK143,"Inescapável")&gt;0,OR($OD143&gt;1,$OE143&gt;0)),"Inescapável não aceita outra peça",""),IF(AND($MC143&gt;0,$OM143*IF(COUNTIF($MH143:$MK143,"Remate")&gt;0,1.25,1)+$ON143&gt;4*$MC143),($OM143*IF(COUNTIF($MH143:$MK143,"Remate")&gt;0,1.25,1)+$ON143)&amp;" dados somando repetições"&amp;IF(COUNTIF($MH143:$MK143,"Remate")&gt;0," e o Remate","")&amp;": o teto da Classe "&amp;$MC143&amp;" é "&amp;4*$MC143,"")))</f>
        <v/>
      </c>
      <c r="PD143" s="152">
        <f>IF($PC143="",0,(LEN($PC143)-LEN(SUBSTITUTE($PC143," · ","")))/3+1)</f>
        <v/>
      </c>
      <c r="PE143" s="152">
        <f>IF($MN143=0,"",TEXTJOIN(" · ",TRUE,IF($OG143&gt;2*$MC143,"A devolução parou no teto de "&amp;2*$MC143,""),IF($OJ143&gt;0,"Devolução perdida: "&amp;$OJ143&amp;IF($OJ143&gt;1," pontos"," ponto")&amp;" sem peça para pagar",""),IF(AND($NM143&gt;0,AND($MC143&gt;0,$NP143=0),$OM143=0),"Controle sem dano: uma rodada a mais e CD +2",""),IF(AND($NM143&gt;0,AND($MC143&gt;0,$NP143=0),$OM143&gt;0,$OM143&lt;=$MC143),"Controle com saldo até a Classe: uma rodada a mais",""),IF(AND($MC143&gt;0,$NN143&lt;&gt;""),"Efeito de "&amp;$NN143&amp;" pela Classe "&amp;MAX(1,$MC143-1),"")))</f>
        <v/>
      </c>
      <c r="PF143" s="152">
        <f>IF($PE143="",0,(LEN($PE143)-LEN(SUBSTITUTE($PE143," · ","")))/3+1)</f>
        <v/>
      </c>
      <c r="PG143" s="152">
        <f>IF($MN143=0,IF($OD143+COUNTIF($ML143:$MM143,"?*")&gt;0,"Dê um nome",""),IF($PD143&gt;0,"⚠ "&amp;$PD143&amp;IF($PD143&gt;1," erros"," erro"),IF($PF143&gt;0,"! "&amp;$PF143&amp;IF($PF143&gt;1," avisos"," aviso"),"Na regra")))</f>
        <v/>
      </c>
      <c r="PH143" s="152">
        <f>IF($MN143=0,"",IF($PD143+$PF143=0,"Dentro das regras que a ficha confere",$PC143&amp;IF(AND($PD143&gt;0,$PF143&gt;0)," · ","")&amp;$PE143))</f>
        <v/>
      </c>
      <c r="PI143" s="152">
        <f>IF($MA143&gt;$MO143,$MB143&amp;" · ABRE NO NÍVEL "&amp;$MA143,$MB143)</f>
        <v/>
      </c>
      <c r="PJ143" s="152">
        <f>IF($MN143=0,"",IF($MC143=0,"Sem PE",3*$MC143&amp;" PE"))</f>
        <v/>
      </c>
      <c r="PK143" s="152">
        <f>IF($MN143=0,"",IF($MC143=0,"A atuação básica dela",IF(COUNTIF($NT143:$NU143,"Atrasar")&gt;0,"Sua Ação Completa",IF(COUNTIF($MH143:$MK143,"Rápido")&gt;0,"Sua Bônus",IF(COUNTIF($MH143:$MK143,"Reação")&gt;0,"Sua Reação","Sua Padrão")))&amp;" + a básica dela"&amp;IF(COUNTIF($MH143:$MK143,"Reação")&gt;0," e a coletiva","")&amp;IF(COUNTIF($NT143:$NU143,"Carregar")&gt;0," · em dois turnos","")))</f>
        <v/>
      </c>
      <c r="PL143" s="152">
        <f>IF($MG143&lt;&gt;"",$MG143,IF($MT143=0,"",INDEX($AA$2:$AA$11,$MT143)))</f>
        <v/>
      </c>
      <c r="PM143" s="152">
        <f>IF(OR($MN143=0,$MT143=0),"",IF(COUNTIF($MH143:$MK143,"Inescapável")&gt;0,"Automático",IF($PL143="Ataque",IF($MR143="","Ataque","Ataque "&amp;IF(($MR143+2*IF(COUNTIF($MH143:$MK143,"Precisão")&gt;0,1,0))&gt;=0,"+","−")&amp;ABS(($MR143+2*IF(COUNTIF($MH143:$MK143,"Precisão")&gt;0,1,0)))),IF(LEFT($PL143,2)="TR",$PL143&amp;IF($MS143="",""," · CD "&amp;$MS143)&amp;IF(COUNTIF($MH143:$MK143,"Certeiro")&gt;0," · metade",""),"Sem rolagem"))))</f>
        <v/>
      </c>
      <c r="PN143" s="152">
        <f>IF(OR($MN143=0,$MT143=0),"",IF($MC143=0,IF(OR($NP143&gt;=1,$OM143=0),"Sem dano",$OM143&amp;"d6"&amp;IF($MF143="",""," "&amp;$MF143)),IF(OR($NP143&gt;=1,$OM143=0),UPPER(LEFT(INDEX($OV143:$PB143,1,MAX(1,$MC143)),1))&amp;MID(INDEX($OV143:$PB143,1,MAX(1,$MC143)),2,99),UPPER(LEFT(INDEX($OV143:$PB143,1,MAX(1,$MC143)),1))&amp;MID(INDEX($OV143:$PB143,1,MAX(1,$MC143)),2,99)&amp;IF($MF143="",""," "&amp;$MF143)&amp;IF($ON143&gt;0," · +"&amp;$ON143&amp;"d8",""))))</f>
        <v/>
      </c>
      <c r="PO143" s="152">
        <f>COUNTIF($MH143:$MK143,"Longe")+3*COUNTIF($MH143:$MK143,"Muito Longe")</f>
        <v/>
      </c>
      <c r="PP143" s="152">
        <f>COUNTIF($MH143:$MK143,"Maior")+3*COUNTIF($MH143:$MK143,"Muito Maior")</f>
        <v/>
      </c>
      <c r="PQ143" s="152">
        <f>IF($MT143=0,0,CHOOSE(1+INDEX($AC$2:$AC$11,$MT143),0,$PO143,$PP143,$PO143+$PP143))</f>
        <v/>
      </c>
      <c r="PR143" s="152">
        <f>IF($MT143=0,0,CHOOSE(1+INDEX($AD$2:$AD$11,$MT143),0,$PO143,$PP143,$PO143+$PP143))</f>
        <v/>
      </c>
      <c r="PS143" s="152">
        <f>IF(OR($MN143=0,$MT143=0),"",INDEX($AI$2:$AN$41,($MT143-1)*4+IF($MC143=0,1,IF($MC143&lt;=5,2,IF($MC143=6,3,4))),1+MIN(5,$PQ143))&amp;INDEX($AO$2:$AT$41,($MT143-1)*4+IF($MC143=0,1,IF($MC143&lt;=5,2,IF($MC143=6,3,4))),1+MIN(5,$PR143))&amp;IF(INDEX($AE$2:$AE$11,$MT143)=1,IF(COUNTIF($MH143:$MK143,"Mais Um")&gt;0," · +"&amp;COUNTIF($MH143:$MK143,"Mais Um")&amp;IF(COUNTIF($MH143:$MK143,"Mais Um")&gt;1," alvos"," alvo"),"")&amp;IF(COUNTIF($MH143:$MK143,"Rajada")&gt;0,IF($MC143=0," · 1 tiro"," · "&amp;(MAX(1,$MC143-1)+1)&amp;" tiros"),""),""))</f>
        <v/>
      </c>
      <c r="PT143" s="152">
        <f>IF($MN143=0,"",IF($MC143=0,$MQ143&amp;"d6"&amp;IF($OD143&gt;0," − 1 = "&amp;$OM143&amp;"d6"," da básica do nível "&amp;$MO143),$OK143&amp;" − "&amp;$OF143&amp;" + "&amp;$OI143&amp;" = "&amp;$OL143&amp;" · teto "&amp;4*$MC143&amp;"d8"&amp;IF($NO143=1," · a Forma devolve "&amp;$MC143,"")&amp;IF($OJ143&gt;0," · perde "&amp;$OJ143,"")))</f>
        <v/>
      </c>
      <c r="PU143" s="152">
        <f>IF($MN143=0,"",IF($MC143=0,"A básica não amplia: os dados dela sobem com o nível",IF($MC143&gt;=$MP143,"Já está na maior Classe que o nível liberou",TEXTJOIN(" · ",TRUE,IF(AND(2&gt;$MC143,2&lt;=$MP143),"2 → "&amp;$OW143&amp;", 6 PE",""),IF(AND(3&gt;$MC143,3&lt;=$MP143),"3 → "&amp;$OX143&amp;", 9 PE",""),IF(AND(4&gt;$MC143,4&lt;=$MP143),"4 → "&amp;$OY143&amp;", 12 PE",""),IF(AND(5&gt;$MC143,5&lt;=$MP143),"5 → "&amp;$OZ143&amp;", 15 PE",""),IF(AND(6&gt;$MC143,6&lt;=$MP143),"6 → "&amp;$PA143&amp;", 18 PE",""),IF(AND(7&gt;$MC143,7&lt;=$MP143),"7 → "&amp;$PB143&amp;", 21 PE","")))))</f>
        <v/>
      </c>
      <c r="PV143" s="152">
        <f>IF(OR($MN143=0,$MY143=0),"",IF($MC143=0,"−1 dado","−"&amp;INDEX($I$2:$N$8,MAX(1,$MC143),MAX(1,$ND143))&amp;" · "&amp;CHOOSE(MAX(1,$ND143),"Leve","Média","Pesada","Leve · Livre","Média · Livre","Pesada · Livre")))</f>
        <v/>
      </c>
      <c r="PW143" s="152">
        <f>IF(OR($MN143=0,$MZ143=0),"",IF($MC143=0,"−1 dado","−"&amp;INDEX($I$2:$N$8,MAX(1,$MC143),MAX(1,$NE143))&amp;" · "&amp;CHOOSE(MAX(1,$NE143),"Leve","Média","Pesada","Leve · Livre","Média · Livre","Pesada · Livre")))</f>
        <v/>
      </c>
      <c r="PX143" s="152">
        <f>IF(OR($MN143=0,$NA143=0),"",IF($MC143=0,"−1 dado","−"&amp;INDEX($I$2:$N$8,MAX(1,$MC143),MAX(1,$NF143))&amp;" · "&amp;CHOOSE(MAX(1,$NF143),"Leve","Média","Pesada","Leve · Livre","Média · Livre","Pesada · Livre")))</f>
        <v/>
      </c>
      <c r="PY143" s="152">
        <f>IF(OR($MN143=0,$NB143=0),"",IF($MC143=0,"−1 dado","−"&amp;INDEX($I$2:$N$8,MAX(1,$MC143),MAX(1,$NG143))&amp;" · "&amp;CHOOSE(MAX(1,$NG143),"Leve","Média","Pesada","Leve · Livre","Média · Livre","Pesada · Livre")))</f>
        <v/>
      </c>
      <c r="PZ143" s="152">
        <f>IF(OR($MN143=0,$ML143=""),"",IF($MC143=0,"não devolve","+"&amp;IF($NR143=1,CEILING($MC143/2,1),$MC143)))</f>
        <v/>
      </c>
      <c r="QA143" s="152">
        <f>IF(OR($MN143=0,$MM143=""),"",IF($MC143=0,"não devolve","+"&amp;IF($NS143=1,CEILING($MC143/2,1),$MC143)))</f>
        <v/>
      </c>
    </row>
    <row r="144">
      <c r="LX144" s="150" t="inlineStr">
        <is>
          <t>Ficha 11 · Escolha da trilha 3</t>
        </is>
      </c>
      <c r="LY144" s="152" t="n">
        <v>11</v>
      </c>
      <c r="LZ144" s="152" t="n">
        <v>2</v>
      </c>
      <c r="MA144" s="152" t="n">
        <v>0</v>
      </c>
      <c r="MB144" s="150" t="inlineStr">
        <is>
          <t>ESCOLHA DA TRILHA 3</t>
        </is>
      </c>
      <c r="MC144" s="152">
        <f>MAX(0,MIN(7,N('INVOCAÇÕES'!$AN$952)))</f>
        <v/>
      </c>
      <c r="MD144" s="152">
        <f>'INVOCAÇÕES'!$AO$952&amp;""</f>
        <v/>
      </c>
      <c r="ME144" s="152">
        <f>'INVOCAÇÕES'!$AN$957&amp;""</f>
        <v/>
      </c>
      <c r="MF144" s="152">
        <f>'INVOCAÇÕES'!$AN$958&amp;""</f>
        <v/>
      </c>
      <c r="MG144" s="152">
        <f>'INVOCAÇÕES'!$AP$958&amp;""</f>
        <v/>
      </c>
      <c r="MH144" s="152">
        <f>'INVOCAÇÕES'!$AO$961&amp;""</f>
        <v/>
      </c>
      <c r="MI144" s="152">
        <f>'INVOCAÇÕES'!$AO$962&amp;""</f>
        <v/>
      </c>
      <c r="MJ144" s="152">
        <f>'INVOCAÇÕES'!$AO$963&amp;""</f>
        <v/>
      </c>
      <c r="MK144" s="152">
        <f>'INVOCAÇÕES'!$AO$964&amp;""</f>
        <v/>
      </c>
      <c r="ML144" s="152">
        <f>'INVOCAÇÕES'!$AO$965&amp;""</f>
        <v/>
      </c>
      <c r="MM144" s="152">
        <f>'INVOCAÇÕES'!$AO$966&amp;""</f>
        <v/>
      </c>
      <c r="MN144" s="152">
        <f>IF($MD144&lt;&gt;"",1,0)</f>
        <v/>
      </c>
      <c r="MO144" s="152">
        <f>INDEX($FG$2:$FG$13,$LY144)</f>
        <v/>
      </c>
      <c r="MP144" s="152">
        <f>INDEX($FH$2:$FH$13,$LY144)</f>
        <v/>
      </c>
      <c r="MQ144" s="152">
        <f>INDEX($FI$2:$FI$13,$LY144)</f>
        <v/>
      </c>
      <c r="MR144" s="152">
        <f>INDEX($FT$2:$FT$13,$LY144)</f>
        <v/>
      </c>
      <c r="MS144" s="152">
        <f>INDEX($FU$2:$FU$13,$LY144)</f>
        <v/>
      </c>
      <c r="MT144" s="152">
        <f>IFERROR(MATCH($ME144,$V$2:$V$11,0),0)</f>
        <v/>
      </c>
      <c r="MU144" s="152">
        <f>IFERROR(VLOOKUP($MH144,$AV$2:$AZ$84,2,FALSE),"")</f>
        <v/>
      </c>
      <c r="MV144" s="152">
        <f>IFERROR(VLOOKUP($MI144,$AV$2:$AZ$84,2,FALSE),"")</f>
        <v/>
      </c>
      <c r="MW144" s="152">
        <f>IFERROR(VLOOKUP($MJ144,$AV$2:$AZ$84,2,FALSE),"")</f>
        <v/>
      </c>
      <c r="MX144" s="152">
        <f>IFERROR(VLOOKUP($MK144,$AV$2:$AZ$84,2,FALSE),"")</f>
        <v/>
      </c>
      <c r="MY144" s="152">
        <f>IFERROR(VLOOKUP($MH144,$AV$2:$AZ$84,3,FALSE),0)</f>
        <v/>
      </c>
      <c r="MZ144" s="152">
        <f>IFERROR(VLOOKUP($MI144,$AV$2:$AZ$84,3,FALSE),0)</f>
        <v/>
      </c>
      <c r="NA144" s="152">
        <f>IFERROR(VLOOKUP($MJ144,$AV$2:$AZ$84,3,FALSE),0)</f>
        <v/>
      </c>
      <c r="NB144" s="152">
        <f>IFERROR(VLOOKUP($MK144,$AV$2:$AZ$84,3,FALSE),0)</f>
        <v/>
      </c>
      <c r="NC144" s="152">
        <f>IF($MC144=0,0,IF($MT144=0,0,INDEX($X$2:$X$11,$MT144)))</f>
        <v/>
      </c>
      <c r="ND144" s="152">
        <f>IF(OR($MY144=0,$MC144=0),0,$MY144+3*IF(AND($MU144&lt;&gt;"",OR($MU144=INDEX($ED$2:$ED$13,$LY144),$MU144=INDEX($EE$2:$EE$13,$LY144))),1,0))</f>
        <v/>
      </c>
      <c r="NE144" s="152">
        <f>IF(OR($MZ144=0,$MC144=0),0,$MZ144+3*IF(AND($MV144&lt;&gt;"",OR($MV144=INDEX($ED$2:$ED$13,$LY144),$MV144=INDEX($EE$2:$EE$13,$LY144))),1,0))</f>
        <v/>
      </c>
      <c r="NF144" s="152">
        <f>IF(OR($NA144=0,$MC144=0),0,$NA144+3*IF(AND($MW144&lt;&gt;"",OR($MW144=INDEX($ED$2:$ED$13,$LY144),$MW144=INDEX($EE$2:$EE$13,$LY144))),1,0))</f>
        <v/>
      </c>
      <c r="NG144" s="152">
        <f>IF(OR($NB144=0,$MC144=0),0,$NB144+3*IF(AND($MX144&lt;&gt;"",OR($MX144=INDEX($ED$2:$ED$13,$LY144),$MX144=INDEX($EE$2:$EE$13,$LY144))),1,0))</f>
        <v/>
      </c>
      <c r="NH144" s="152">
        <f>IF($MT144=0,0,IF(INDEX($W$2:$W$11,$MT144)="",0,IF(COUNTIF(INDEX($ED$2:$EH$13,$LY144,0),INDEX($W$2:$W$11,$MT144))=0,1,0)))</f>
        <v/>
      </c>
      <c r="NI144" s="152">
        <f>IF(OR($MY144=0,$MU144=""),0,IF(COUNTIF(INDEX($ED$2:$EH$13,$LY144,0),$MU144)=0,1,0))</f>
        <v/>
      </c>
      <c r="NJ144" s="152">
        <f>IF(OR($MZ144=0,$MV144=""),0,IF(COUNTIF(INDEX($ED$2:$EH$13,$LY144,0),$MV144)=0,1,0))</f>
        <v/>
      </c>
      <c r="NK144" s="152">
        <f>IF(OR($NA144=0,$MW144=""),0,IF(COUNTIF(INDEX($ED$2:$EH$13,$LY144,0),$MW144)=0,1,0))</f>
        <v/>
      </c>
      <c r="NL144" s="152">
        <f>IF(OR($NB144=0,$MX144=""),0,IF(COUNTIF(INDEX($ED$2:$EH$13,$LY144,0),$MX144)=0,1,0))</f>
        <v/>
      </c>
      <c r="NM144" s="152">
        <f>IFERROR(VLOOKUP($MH144,$AV$2:$AZ$84,4,FALSE),0)+IFERROR(VLOOKUP($MI144,$AV$2:$AZ$84,4,FALSE),0)+IFERROR(VLOOKUP($MJ144,$AV$2:$AZ$84,4,FALSE),0)+IFERROR(VLOOKUP($MK144,$AV$2:$AZ$84,4,FALSE),0)</f>
        <v/>
      </c>
      <c r="NN144" s="152">
        <f>TEXTJOIN(", ",TRUE,IF(IFERROR(VLOOKUP($MH144,$AV$2:$AZ$84,5,FALSE),0)=1,$MH144,""),IF(IFERROR(VLOOKUP($MI144,$AV$2:$AZ$84,5,FALSE),0)=1,$MI144,""),IF(IFERROR(VLOOKUP($MJ144,$AV$2:$AZ$84,5,FALSE),0)=1,$MJ144,""),IF(IFERROR(VLOOKUP($MK144,$AV$2:$AZ$84,5,FALSE),0)=1,$MK144,""))</f>
        <v/>
      </c>
      <c r="NO144" s="152">
        <f>IF($MT144=0,0,INDEX($Y$2:$Y$11,$MT144))</f>
        <v/>
      </c>
      <c r="NP144" s="152">
        <f>IF($MT144=0,0,INDEX($Z$2:$Z$11,$MT144))</f>
        <v/>
      </c>
      <c r="NQ144" s="152">
        <f>IF($MT144=0,0,INDEX($AB$2:$AB$11,$MT144))</f>
        <v/>
      </c>
      <c r="NR144" s="152">
        <f>IFERROR(VLOOKUP($ML144,$BB$2:$BF$24,3,FALSE),0)</f>
        <v/>
      </c>
      <c r="NS144" s="152">
        <f>IFERROR(VLOOKUP($MM144,$BB$2:$BF$24,3,FALSE),0)</f>
        <v/>
      </c>
      <c r="NT144" s="152">
        <f>IFERROR(VLOOKUP($ML144,$BB$2:$BF$24,2,FALSE),"")</f>
        <v/>
      </c>
      <c r="NU144" s="152">
        <f>IFERROR(VLOOKUP($MM144,$BB$2:$BF$24,2,FALSE),"")</f>
        <v/>
      </c>
      <c r="NV144" s="152">
        <f>COUNTIF($NC144:$NG144,1)</f>
        <v/>
      </c>
      <c r="NW144" s="152">
        <f>COUNTIF($NC144:$NG144,2)</f>
        <v/>
      </c>
      <c r="NX144" s="152">
        <f>COUNTIF($NC144:$NG144,3)</f>
        <v/>
      </c>
      <c r="NY144" s="152">
        <f>COUNTIF($NC144:$NG144,4)</f>
        <v/>
      </c>
      <c r="NZ144" s="152">
        <f>COUNTIF($NC144:$NG144,5)</f>
        <v/>
      </c>
      <c r="OA144" s="152">
        <f>COUNTIF($NC144:$NG144,6)</f>
        <v/>
      </c>
      <c r="OB144" s="152">
        <f>COUNTIF($NR144:$NS144,1)</f>
        <v/>
      </c>
      <c r="OC144" s="152">
        <f>COUNTIF($NR144:$NS144,2)+$NO144</f>
        <v/>
      </c>
      <c r="OD144" s="152">
        <f>COUNTIF($MH144:$MK144,"?*")</f>
        <v/>
      </c>
      <c r="OE144" s="152">
        <f>COUNTIF($ML144:$MM144,"?*")+$NO144</f>
        <v/>
      </c>
      <c r="OF144" s="152">
        <f>IF($MC144=0,0,SUMPRODUCT($NV144:$OA144,INDEX($I$2:$N$8,MAX(1,$MC144),0)))</f>
        <v/>
      </c>
      <c r="OG144" s="152">
        <f>IF($MC144=0,0,$OB144*CEILING($MC144/2,1)+$OC144*$MC144)</f>
        <v/>
      </c>
      <c r="OH144" s="152">
        <f>MIN(2*$MC144,$OG144)</f>
        <v/>
      </c>
      <c r="OI144" s="152">
        <f>MIN($OH144,$OF144)</f>
        <v/>
      </c>
      <c r="OJ144" s="152">
        <f>$OH144-$OI144</f>
        <v/>
      </c>
      <c r="OK144" s="152">
        <f>IF($MC144=0,0,INDEX($P$2:$P$8,MAX(1,$MC144)))</f>
        <v/>
      </c>
      <c r="OL144" s="152">
        <f>$OK144-$OF144+$OI144</f>
        <v/>
      </c>
      <c r="OM144" s="152">
        <f>IF($MC144=0,MAX(0,$MQ144-IF($OD144&gt;0,1,0)),MAX(0,$OL144))</f>
        <v/>
      </c>
      <c r="ON144" s="152">
        <f>IF($MC144=0,0,(IF(COUNTIF($MH144:$MK144,"Salto")&gt;0,1,0)+IF(COUNTIF($MH144:$MK144,"Queima")&gt;0,1,0)+IF(COUNTIF($MH144:$MK144,"Estilhaço")&gt;0,1,0))*FLOOR($OM144/2,1))</f>
        <v/>
      </c>
      <c r="OO144" s="152">
        <f>MAX(0,2-SUMPRODUCT($NV144:$OA144,$I$2:$N$2)+MIN(2,$OB144*1+$OC144*1,SUMPRODUCT($NV144:$OA144,$I$2:$N$2)))</f>
        <v/>
      </c>
      <c r="OP144" s="152">
        <f>MAX(0,4-SUMPRODUCT($NV144:$OA144,$I$3:$N$3)+MIN(4,$OB144*1+$OC144*2,SUMPRODUCT($NV144:$OA144,$I$3:$N$3)))</f>
        <v/>
      </c>
      <c r="OQ144" s="152">
        <f>MAX(0,6-SUMPRODUCT($NV144:$OA144,$I$4:$N$4)+MIN(6,$OB144*2+$OC144*3,SUMPRODUCT($NV144:$OA144,$I$4:$N$4)))</f>
        <v/>
      </c>
      <c r="OR144" s="152">
        <f>MAX(0,9-SUMPRODUCT($NV144:$OA144,$I$5:$N$5)+MIN(8,$OB144*2+$OC144*4,SUMPRODUCT($NV144:$OA144,$I$5:$N$5)))</f>
        <v/>
      </c>
      <c r="OS144" s="152">
        <f>MAX(0,11-SUMPRODUCT($NV144:$OA144,$I$6:$N$6)+MIN(10,$OB144*3+$OC144*5,SUMPRODUCT($NV144:$OA144,$I$6:$N$6)))</f>
        <v/>
      </c>
      <c r="OT144" s="152">
        <f>MAX(0,13-SUMPRODUCT($NV144:$OA144,$I$7:$N$7)+MIN(12,$OB144*3+$OC144*6,SUMPRODUCT($NV144:$OA144,$I$7:$N$7)))</f>
        <v/>
      </c>
      <c r="OU144" s="152">
        <f>MAX(0,16-SUMPRODUCT($NV144:$OA144,$I$8:$N$8)+MIN(14,$OB144*4+$OC144*7,SUMPRODUCT($NV144:$OA144,$I$8:$N$8)))</f>
        <v/>
      </c>
      <c r="OV144" s="152">
        <f>IF($NP144=2,3*$OO144&amp;" de vida temp.",IF($NP144=3,"sem dano",IF($OO144=0,IF($NP144=1,"sem cura","sem dano"),IF($NP144=1,"cura ","")&amp;$OO144&amp;"d8")))</f>
        <v/>
      </c>
      <c r="OW144" s="152">
        <f>IF($NP144=2,3*$OP144&amp;" de vida temp.",IF($NP144=3,"sem dano",IF($OP144=0,IF($NP144=1,"sem cura","sem dano"),IF($NP144=1,"cura ","")&amp;$OP144&amp;"d8")))</f>
        <v/>
      </c>
      <c r="OX144" s="152">
        <f>IF($NP144=2,3*$OQ144&amp;" de vida temp.",IF($NP144=3,"sem dano",IF($OQ144=0,IF($NP144=1,"sem cura","sem dano"),IF($NP144=1,"cura ","")&amp;$OQ144&amp;"d8")))</f>
        <v/>
      </c>
      <c r="OY144" s="152">
        <f>IF($NP144=2,3*$OR144&amp;" de vida temp.",IF($NP144=3,"sem dano",IF($OR144=0,IF($NP144=1,"sem cura","sem dano"),IF($NP144=1,"cura ","")&amp;$OR144&amp;"d8")))</f>
        <v/>
      </c>
      <c r="OZ144" s="152">
        <f>IF($NP144=2,3*$OS144&amp;" de vida temp.",IF($NP144=3,"sem dano",IF($OS144=0,IF($NP144=1,"sem cura","sem dano"),IF($NP144=1,"cura ","")&amp;$OS144&amp;"d8")))</f>
        <v/>
      </c>
      <c r="PA144" s="152">
        <f>IF($NP144=2,3*$OT144&amp;" de vida temp.",IF($NP144=3,"sem dano",IF($OT144=0,IF($NP144=1,"sem cura","sem dano"),IF($NP144=1,"cura ","")&amp;$OT144&amp;"d8")))</f>
        <v/>
      </c>
      <c r="PB144" s="152">
        <f>IF($NP144=2,3*$OU144&amp;" de vida temp.",IF($NP144=3,"sem dano",IF($OU144=0,IF($NP144=1,"sem cura","sem dano"),IF($NP144=1,"cura ","")&amp;$OU144&amp;"d8")))</f>
        <v/>
      </c>
      <c r="PC144" s="152">
        <f>IF($MN144=0,"",TEXTJOIN(" · ",TRUE,IF($MA144&gt;$MO144,"Este lugar abre no nível "&amp;$MA144,""),IF($MC144&gt;$MP144,"Classe "&amp;$MC144&amp;": o nível "&amp;$MO144&amp;" libera até a "&amp;$MP144,""),IF($NH144=1,"A Forma "&amp;$ME144&amp;" pede "&amp;INDEX($W$2:$W$11,$MT144)&amp;" aberta",""),IF(AND($MC144=0,$MT144&gt;0,IF($MT144=0,0,INDEX($AF$2:$AF$11,$MT144))=0),$ME144&amp;" não existe na Classe 0",""),IF($NI144=1,"Família Fechada: "&amp;$MH144,""),IF($NJ144=1,"Família Fechada: "&amp;$MI144,""),IF($NK144=1,"Família Fechada: "&amp;$MJ144,""),IF($NL144=1,"Família Fechada: "&amp;$MK144,""),IF(AND($MC144&gt;0,$OD144&gt;INDEX($O$2:$O$8,MAX(1,$MC144))),$OD144&amp;" Melhorias: a Classe "&amp;$MC144&amp;" aceita "&amp;INDEX($O$2:$O$8,MAX(1,$MC144)),""),IF(AND($MC144=0,$OD144&gt;1),"A básica aceita uma Melhoria",""),IF(AND($MC144=0,COUNTIF($MY144:$NB144,"&gt;1")&gt;0),"A básica só aceita Melhoria Leve",""),IF(AND($MC144&gt;0,$OE144&gt;2),$OE144&amp;" Restrições"&amp;IF($NO144=1,", contando a que a Forma "&amp;$ME144&amp;" já traz","")&amp;": o limite é 2",""),IF(AND($MC144=0,COUNTIF($ML144:$MM144,"?*")&gt;1),"A básica aceita uma Restrição Leve",""),IF(AND($MC144=0,COUNTIF($NR144:$NS144,2)&gt;0),"A básica só aceita Restrição Leve",""),IF(AND($MC144&gt;0,$OL144&lt;0),"Orçamento estourado: faltam "&amp;(-$OL144)&amp;IF($OL144&lt;-1," pontos"," ponto"),""),IF(IFERROR(VLOOKUP($ML144,$BB$2:$BF$24,4,FALSE),0)+IFERROR(VLOOKUP($MM144,$BB$2:$BF$24,4,FALSE),0)&gt;1,$NT144&amp;" e "&amp;$NU144&amp;" são as duas de frequência",""),IF(AND((COUNTIF($MH144:$MK144,"Rápido")+COUNTIF($NT144:$NU144,"Rápido"))&gt;0,(COUNTIF($MH144:$MK144,"Atrasar")+COUNTIF($NT144:$NU144,"Atrasar"))&gt;0),"Rápido não entra com Atrasar",""),IF(AND((COUNTIF($MH144:$MK144,"Reação")+COUNTIF($NT144:$NU144,"Reação"))&gt;0,(COUNTIF($MH144:$MK144,"Rápido")+COUNTIF($NT144:$NU144,"Rápido"))&gt;0),"Reação não entra com Rápido",""),IF(AND((COUNTIF($MH144:$MK144,"Reação")+COUNTIF($NT144:$NU144,"Reação"))&gt;0,(COUNTIF($MH144:$MK144,"Armado")+COUNTIF($NT144:$NU144,"Armado"))&gt;0),"Reação não entra com Armado",""),IF(AND((COUNTIF($MH144:$MK144,"Reação")+COUNTIF($NT144:$NU144,"Reação"))&gt;0,(COUNTIF($MH144:$MK144,"Atrasar")+COUNTIF($NT144:$NU144,"Atrasar"))&gt;0),"Reação não entra com Atrasar",""),IF(AND((COUNTIF($MH144:$MK144,"Reação")+COUNTIF($NT144:$NU144,"Reação"))&gt;0,(COUNTIF($MH144:$MK144,"Parado")+COUNTIF($NT144:$NU144,"Parado"))&gt;0),"Reação não entra com Parado",""),IF(AND((COUNTIF($MH144:$MK144,"Atrasar")+COUNTIF($NT144:$NU144,"Atrasar"))&gt;0,(COUNTIF($MH144:$MK144,"Parado")+COUNTIF($NT144:$NU144,"Parado"))&gt;0),"Atrasar não entra com Parado",""),IF(AND((COUNTIF($MH144:$MK144,"Armado")+COUNTIF($NT144:$NU144,"Armado"))&gt;0,(COUNTIF($MH144:$MK144,"Carregar")+COUNTIF($NT144:$NU144,"Carregar"))&gt;0),"Armado não entra com Carregar",""),IF(AND(COUNTIF($NT144:$NU144,"Corpo a Corpo")&gt;0,$NO144=0,OR($ME144="Cone",$ME144="Linha")),"Corpo a Corpo não entra em "&amp;$ME144,""),IF(AND(COUNTIF($NT144:$NU144,"Corpo a Corpo")&gt;0,$NO144=1),"A Forma "&amp;$ME144&amp;" já traz o Corpo a Corpo",""),IF(AND(COUNTIF($NT144:$NU144,"Tudo ou Nada")&gt;0,$NQ144=0),"Tudo ou Nada só entra em habilidade de Teste de Resistência",""),IF(AND(COUNTIF($MH144:$MK144,"Inescapável")&gt;0,OR($OD144&gt;1,$OE144&gt;0)),"Inescapável não aceita outra peça",""),IF(AND($MC144&gt;0,$OM144*IF(COUNTIF($MH144:$MK144,"Remate")&gt;0,1.25,1)+$ON144&gt;4*$MC144),($OM144*IF(COUNTIF($MH144:$MK144,"Remate")&gt;0,1.25,1)+$ON144)&amp;" dados somando repetições"&amp;IF(COUNTIF($MH144:$MK144,"Remate")&gt;0," e o Remate","")&amp;": o teto da Classe "&amp;$MC144&amp;" é "&amp;4*$MC144,"")))</f>
        <v/>
      </c>
      <c r="PD144" s="152">
        <f>IF($PC144="",0,(LEN($PC144)-LEN(SUBSTITUTE($PC144," · ","")))/3+1)</f>
        <v/>
      </c>
      <c r="PE144" s="152">
        <f>IF($MN144=0,"",TEXTJOIN(" · ",TRUE,IF($OG144&gt;2*$MC144,"A devolução parou no teto de "&amp;2*$MC144,""),IF($OJ144&gt;0,"Devolução perdida: "&amp;$OJ144&amp;IF($OJ144&gt;1," pontos"," ponto")&amp;" sem peça para pagar",""),IF(AND($NM144&gt;0,AND($MC144&gt;0,$NP144=0),$OM144=0),"Controle sem dano: uma rodada a mais e CD +2",""),IF(AND($NM144&gt;0,AND($MC144&gt;0,$NP144=0),$OM144&gt;0,$OM144&lt;=$MC144),"Controle com saldo até a Classe: uma rodada a mais",""),IF(AND($MC144&gt;0,$NN144&lt;&gt;""),"Efeito de "&amp;$NN144&amp;" pela Classe "&amp;MAX(1,$MC144-1),"")))</f>
        <v/>
      </c>
      <c r="PF144" s="152">
        <f>IF($PE144="",0,(LEN($PE144)-LEN(SUBSTITUTE($PE144," · ","")))/3+1)</f>
        <v/>
      </c>
      <c r="PG144" s="152">
        <f>IF($MN144=0,IF($OD144+COUNTIF($ML144:$MM144,"?*")&gt;0,"Dê um nome",""),IF($PD144&gt;0,"⚠ "&amp;$PD144&amp;IF($PD144&gt;1," erros"," erro"),IF($PF144&gt;0,"! "&amp;$PF144&amp;IF($PF144&gt;1," avisos"," aviso"),"Na regra")))</f>
        <v/>
      </c>
      <c r="PH144" s="152">
        <f>IF($MN144=0,"",IF($PD144+$PF144=0,"Dentro das regras que a ficha confere",$PC144&amp;IF(AND($PD144&gt;0,$PF144&gt;0)," · ","")&amp;$PE144))</f>
        <v/>
      </c>
      <c r="PI144" s="152">
        <f>IF($MA144&gt;$MO144,$MB144&amp;" · ABRE NO NÍVEL "&amp;$MA144,$MB144)</f>
        <v/>
      </c>
      <c r="PJ144" s="152">
        <f>IF($MN144=0,"",IF($MC144=0,"Sem PE",3*$MC144&amp;" PE"))</f>
        <v/>
      </c>
      <c r="PK144" s="152">
        <f>IF($MN144=0,"",IF($MC144=0,"A atuação básica dela",IF(COUNTIF($NT144:$NU144,"Atrasar")&gt;0,"Sua Ação Completa",IF(COUNTIF($MH144:$MK144,"Rápido")&gt;0,"Sua Bônus",IF(COUNTIF($MH144:$MK144,"Reação")&gt;0,"Sua Reação","Sua Padrão")))&amp;" + a básica dela"&amp;IF(COUNTIF($MH144:$MK144,"Reação")&gt;0," e a coletiva","")&amp;IF(COUNTIF($NT144:$NU144,"Carregar")&gt;0," · em dois turnos","")))</f>
        <v/>
      </c>
      <c r="PL144" s="152">
        <f>IF($MG144&lt;&gt;"",$MG144,IF($MT144=0,"",INDEX($AA$2:$AA$11,$MT144)))</f>
        <v/>
      </c>
      <c r="PM144" s="152">
        <f>IF(OR($MN144=0,$MT144=0),"",IF(COUNTIF($MH144:$MK144,"Inescapável")&gt;0,"Automático",IF($PL144="Ataque",IF($MR144="","Ataque","Ataque "&amp;IF(($MR144+2*IF(COUNTIF($MH144:$MK144,"Precisão")&gt;0,1,0))&gt;=0,"+","−")&amp;ABS(($MR144+2*IF(COUNTIF($MH144:$MK144,"Precisão")&gt;0,1,0)))),IF(LEFT($PL144,2)="TR",$PL144&amp;IF($MS144="",""," · CD "&amp;$MS144)&amp;IF(COUNTIF($MH144:$MK144,"Certeiro")&gt;0," · metade",""),"Sem rolagem"))))</f>
        <v/>
      </c>
      <c r="PN144" s="152">
        <f>IF(OR($MN144=0,$MT144=0),"",IF($MC144=0,IF(OR($NP144&gt;=1,$OM144=0),"Sem dano",$OM144&amp;"d6"&amp;IF($MF144="",""," "&amp;$MF144)),IF(OR($NP144&gt;=1,$OM144=0),UPPER(LEFT(INDEX($OV144:$PB144,1,MAX(1,$MC144)),1))&amp;MID(INDEX($OV144:$PB144,1,MAX(1,$MC144)),2,99),UPPER(LEFT(INDEX($OV144:$PB144,1,MAX(1,$MC144)),1))&amp;MID(INDEX($OV144:$PB144,1,MAX(1,$MC144)),2,99)&amp;IF($MF144="",""," "&amp;$MF144)&amp;IF($ON144&gt;0," · +"&amp;$ON144&amp;"d8",""))))</f>
        <v/>
      </c>
      <c r="PO144" s="152">
        <f>COUNTIF($MH144:$MK144,"Longe")+3*COUNTIF($MH144:$MK144,"Muito Longe")</f>
        <v/>
      </c>
      <c r="PP144" s="152">
        <f>COUNTIF($MH144:$MK144,"Maior")+3*COUNTIF($MH144:$MK144,"Muito Maior")</f>
        <v/>
      </c>
      <c r="PQ144" s="152">
        <f>IF($MT144=0,0,CHOOSE(1+INDEX($AC$2:$AC$11,$MT144),0,$PO144,$PP144,$PO144+$PP144))</f>
        <v/>
      </c>
      <c r="PR144" s="152">
        <f>IF($MT144=0,0,CHOOSE(1+INDEX($AD$2:$AD$11,$MT144),0,$PO144,$PP144,$PO144+$PP144))</f>
        <v/>
      </c>
      <c r="PS144" s="152">
        <f>IF(OR($MN144=0,$MT144=0),"",INDEX($AI$2:$AN$41,($MT144-1)*4+IF($MC144=0,1,IF($MC144&lt;=5,2,IF($MC144=6,3,4))),1+MIN(5,$PQ144))&amp;INDEX($AO$2:$AT$41,($MT144-1)*4+IF($MC144=0,1,IF($MC144&lt;=5,2,IF($MC144=6,3,4))),1+MIN(5,$PR144))&amp;IF(INDEX($AE$2:$AE$11,$MT144)=1,IF(COUNTIF($MH144:$MK144,"Mais Um")&gt;0," · +"&amp;COUNTIF($MH144:$MK144,"Mais Um")&amp;IF(COUNTIF($MH144:$MK144,"Mais Um")&gt;1," alvos"," alvo"),"")&amp;IF(COUNTIF($MH144:$MK144,"Rajada")&gt;0,IF($MC144=0," · 1 tiro"," · "&amp;(MAX(1,$MC144-1)+1)&amp;" tiros"),""),""))</f>
        <v/>
      </c>
      <c r="PT144" s="152">
        <f>IF($MN144=0,"",IF($MC144=0,$MQ144&amp;"d6"&amp;IF($OD144&gt;0," − 1 = "&amp;$OM144&amp;"d6"," da básica do nível "&amp;$MO144),$OK144&amp;" − "&amp;$OF144&amp;" + "&amp;$OI144&amp;" = "&amp;$OL144&amp;" · teto "&amp;4*$MC144&amp;"d8"&amp;IF($NO144=1," · a Forma devolve "&amp;$MC144,"")&amp;IF($OJ144&gt;0," · perde "&amp;$OJ144,"")))</f>
        <v/>
      </c>
      <c r="PU144" s="152">
        <f>IF($MN144=0,"",IF($MC144=0,"A básica não amplia: os dados dela sobem com o nível",IF($MC144&gt;=$MP144,"Já está na maior Classe que o nível liberou",TEXTJOIN(" · ",TRUE,IF(AND(2&gt;$MC144,2&lt;=$MP144),"2 → "&amp;$OW144&amp;", 6 PE",""),IF(AND(3&gt;$MC144,3&lt;=$MP144),"3 → "&amp;$OX144&amp;", 9 PE",""),IF(AND(4&gt;$MC144,4&lt;=$MP144),"4 → "&amp;$OY144&amp;", 12 PE",""),IF(AND(5&gt;$MC144,5&lt;=$MP144),"5 → "&amp;$OZ144&amp;", 15 PE",""),IF(AND(6&gt;$MC144,6&lt;=$MP144),"6 → "&amp;$PA144&amp;", 18 PE",""),IF(AND(7&gt;$MC144,7&lt;=$MP144),"7 → "&amp;$PB144&amp;", 21 PE","")))))</f>
        <v/>
      </c>
      <c r="PV144" s="152">
        <f>IF(OR($MN144=0,$MY144=0),"",IF($MC144=0,"−1 dado","−"&amp;INDEX($I$2:$N$8,MAX(1,$MC144),MAX(1,$ND144))&amp;" · "&amp;CHOOSE(MAX(1,$ND144),"Leve","Média","Pesada","Leve · Livre","Média · Livre","Pesada · Livre")))</f>
        <v/>
      </c>
      <c r="PW144" s="152">
        <f>IF(OR($MN144=0,$MZ144=0),"",IF($MC144=0,"−1 dado","−"&amp;INDEX($I$2:$N$8,MAX(1,$MC144),MAX(1,$NE144))&amp;" · "&amp;CHOOSE(MAX(1,$NE144),"Leve","Média","Pesada","Leve · Livre","Média · Livre","Pesada · Livre")))</f>
        <v/>
      </c>
      <c r="PX144" s="152">
        <f>IF(OR($MN144=0,$NA144=0),"",IF($MC144=0,"−1 dado","−"&amp;INDEX($I$2:$N$8,MAX(1,$MC144),MAX(1,$NF144))&amp;" · "&amp;CHOOSE(MAX(1,$NF144),"Leve","Média","Pesada","Leve · Livre","Média · Livre","Pesada · Livre")))</f>
        <v/>
      </c>
      <c r="PY144" s="152">
        <f>IF(OR($MN144=0,$NB144=0),"",IF($MC144=0,"−1 dado","−"&amp;INDEX($I$2:$N$8,MAX(1,$MC144),MAX(1,$NG144))&amp;" · "&amp;CHOOSE(MAX(1,$NG144),"Leve","Média","Pesada","Leve · Livre","Média · Livre","Pesada · Livre")))</f>
        <v/>
      </c>
      <c r="PZ144" s="152">
        <f>IF(OR($MN144=0,$ML144=""),"",IF($MC144=0,"não devolve","+"&amp;IF($NR144=1,CEILING($MC144/2,1),$MC144)))</f>
        <v/>
      </c>
      <c r="QA144" s="152">
        <f>IF(OR($MN144=0,$MM144=""),"",IF($MC144=0,"não devolve","+"&amp;IF($NS144=1,CEILING($MC144/2,1),$MC144)))</f>
        <v/>
      </c>
    </row>
    <row r="145">
      <c r="LX145" s="150" t="inlineStr">
        <is>
          <t>Ficha 12 · Básica 1</t>
        </is>
      </c>
      <c r="LY145" s="152" t="n">
        <v>12</v>
      </c>
      <c r="LZ145" s="152" t="n">
        <v>0</v>
      </c>
      <c r="MA145" s="152" t="n">
        <v>1</v>
      </c>
      <c r="MB145" s="150" t="inlineStr">
        <is>
          <t>BÁSICA 1</t>
        </is>
      </c>
      <c r="MC145" s="152" t="n">
        <v>0</v>
      </c>
      <c r="MD145" s="152">
        <f>'INVOCAÇÕES'!$AC$1048&amp;""</f>
        <v/>
      </c>
      <c r="ME145" s="152">
        <f>'INVOCAÇÕES'!$AB$1053&amp;""</f>
        <v/>
      </c>
      <c r="MF145" s="152">
        <f>'INVOCAÇÕES'!$AB$1054&amp;""</f>
        <v/>
      </c>
      <c r="MG145" s="152">
        <f>'INVOCAÇÕES'!$AD$1054&amp;""</f>
        <v/>
      </c>
      <c r="MH145" s="152">
        <f>'INVOCAÇÕES'!$AC$1057&amp;""</f>
        <v/>
      </c>
      <c r="MI145" s="152">
        <f>'INVOCAÇÕES'!$AC$1058&amp;""</f>
        <v/>
      </c>
      <c r="MJ145" s="152">
        <f>'INVOCAÇÕES'!$AC$1059&amp;""</f>
        <v/>
      </c>
      <c r="MK145" s="152">
        <f>'INVOCAÇÕES'!$AC$1060&amp;""</f>
        <v/>
      </c>
      <c r="ML145" s="152">
        <f>'INVOCAÇÕES'!$AC$1061&amp;""</f>
        <v/>
      </c>
      <c r="MM145" s="152">
        <f>'INVOCAÇÕES'!$AC$1062&amp;""</f>
        <v/>
      </c>
      <c r="MN145" s="152">
        <f>IF($MD145&lt;&gt;"",1,0)</f>
        <v/>
      </c>
      <c r="MO145" s="152">
        <f>INDEX($FG$2:$FG$13,$LY145)</f>
        <v/>
      </c>
      <c r="MP145" s="152">
        <f>INDEX($FH$2:$FH$13,$LY145)</f>
        <v/>
      </c>
      <c r="MQ145" s="152">
        <f>INDEX($FI$2:$FI$13,$LY145)</f>
        <v/>
      </c>
      <c r="MR145" s="152">
        <f>INDEX($FT$2:$FT$13,$LY145)</f>
        <v/>
      </c>
      <c r="MS145" s="152">
        <f>INDEX($FU$2:$FU$13,$LY145)</f>
        <v/>
      </c>
      <c r="MT145" s="152">
        <f>IFERROR(MATCH($ME145,$V$2:$V$11,0),0)</f>
        <v/>
      </c>
      <c r="MU145" s="152">
        <f>IFERROR(VLOOKUP($MH145,$AV$2:$AZ$84,2,FALSE),"")</f>
        <v/>
      </c>
      <c r="MV145" s="152">
        <f>IFERROR(VLOOKUP($MI145,$AV$2:$AZ$84,2,FALSE),"")</f>
        <v/>
      </c>
      <c r="MW145" s="152">
        <f>IFERROR(VLOOKUP($MJ145,$AV$2:$AZ$84,2,FALSE),"")</f>
        <v/>
      </c>
      <c r="MX145" s="152">
        <f>IFERROR(VLOOKUP($MK145,$AV$2:$AZ$84,2,FALSE),"")</f>
        <v/>
      </c>
      <c r="MY145" s="152">
        <f>IFERROR(VLOOKUP($MH145,$AV$2:$AZ$84,3,FALSE),0)</f>
        <v/>
      </c>
      <c r="MZ145" s="152">
        <f>IFERROR(VLOOKUP($MI145,$AV$2:$AZ$84,3,FALSE),0)</f>
        <v/>
      </c>
      <c r="NA145" s="152">
        <f>IFERROR(VLOOKUP($MJ145,$AV$2:$AZ$84,3,FALSE),0)</f>
        <v/>
      </c>
      <c r="NB145" s="152">
        <f>IFERROR(VLOOKUP($MK145,$AV$2:$AZ$84,3,FALSE),0)</f>
        <v/>
      </c>
      <c r="NC145" s="152">
        <f>IF($MC145=0,0,IF($MT145=0,0,INDEX($X$2:$X$11,$MT145)))</f>
        <v/>
      </c>
      <c r="ND145" s="152">
        <f>IF(OR($MY145=0,$MC145=0),0,$MY145+3*IF(AND($MU145&lt;&gt;"",OR($MU145=INDEX($ED$2:$ED$13,$LY145),$MU145=INDEX($EE$2:$EE$13,$LY145))),1,0))</f>
        <v/>
      </c>
      <c r="NE145" s="152">
        <f>IF(OR($MZ145=0,$MC145=0),0,$MZ145+3*IF(AND($MV145&lt;&gt;"",OR($MV145=INDEX($ED$2:$ED$13,$LY145),$MV145=INDEX($EE$2:$EE$13,$LY145))),1,0))</f>
        <v/>
      </c>
      <c r="NF145" s="152">
        <f>IF(OR($NA145=0,$MC145=0),0,$NA145+3*IF(AND($MW145&lt;&gt;"",OR($MW145=INDEX($ED$2:$ED$13,$LY145),$MW145=INDEX($EE$2:$EE$13,$LY145))),1,0))</f>
        <v/>
      </c>
      <c r="NG145" s="152">
        <f>IF(OR($NB145=0,$MC145=0),0,$NB145+3*IF(AND($MX145&lt;&gt;"",OR($MX145=INDEX($ED$2:$ED$13,$LY145),$MX145=INDEX($EE$2:$EE$13,$LY145))),1,0))</f>
        <v/>
      </c>
      <c r="NH145" s="152">
        <f>IF($MT145=0,0,IF(INDEX($W$2:$W$11,$MT145)="",0,IF(COUNTIF(INDEX($ED$2:$EH$13,$LY145,0),INDEX($W$2:$W$11,$MT145))=0,1,0)))</f>
        <v/>
      </c>
      <c r="NI145" s="152">
        <f>IF(OR($MY145=0,$MU145=""),0,IF(COUNTIF(INDEX($ED$2:$EH$13,$LY145,0),$MU145)=0,1,0))</f>
        <v/>
      </c>
      <c r="NJ145" s="152">
        <f>IF(OR($MZ145=0,$MV145=""),0,IF(COUNTIF(INDEX($ED$2:$EH$13,$LY145,0),$MV145)=0,1,0))</f>
        <v/>
      </c>
      <c r="NK145" s="152">
        <f>IF(OR($NA145=0,$MW145=""),0,IF(COUNTIF(INDEX($ED$2:$EH$13,$LY145,0),$MW145)=0,1,0))</f>
        <v/>
      </c>
      <c r="NL145" s="152">
        <f>IF(OR($NB145=0,$MX145=""),0,IF(COUNTIF(INDEX($ED$2:$EH$13,$LY145,0),$MX145)=0,1,0))</f>
        <v/>
      </c>
      <c r="NM145" s="152">
        <f>IFERROR(VLOOKUP($MH145,$AV$2:$AZ$84,4,FALSE),0)+IFERROR(VLOOKUP($MI145,$AV$2:$AZ$84,4,FALSE),0)+IFERROR(VLOOKUP($MJ145,$AV$2:$AZ$84,4,FALSE),0)+IFERROR(VLOOKUP($MK145,$AV$2:$AZ$84,4,FALSE),0)</f>
        <v/>
      </c>
      <c r="NN145" s="152">
        <f>TEXTJOIN(", ",TRUE,IF(IFERROR(VLOOKUP($MH145,$AV$2:$AZ$84,5,FALSE),0)=1,$MH145,""),IF(IFERROR(VLOOKUP($MI145,$AV$2:$AZ$84,5,FALSE),0)=1,$MI145,""),IF(IFERROR(VLOOKUP($MJ145,$AV$2:$AZ$84,5,FALSE),0)=1,$MJ145,""),IF(IFERROR(VLOOKUP($MK145,$AV$2:$AZ$84,5,FALSE),0)=1,$MK145,""))</f>
        <v/>
      </c>
      <c r="NO145" s="152">
        <f>IF($MT145=0,0,INDEX($Y$2:$Y$11,$MT145))</f>
        <v/>
      </c>
      <c r="NP145" s="152">
        <f>IF($MT145=0,0,INDEX($Z$2:$Z$11,$MT145))</f>
        <v/>
      </c>
      <c r="NQ145" s="152">
        <f>IF($MT145=0,0,INDEX($AB$2:$AB$11,$MT145))</f>
        <v/>
      </c>
      <c r="NR145" s="152">
        <f>IFERROR(VLOOKUP($ML145,$BB$2:$BF$24,3,FALSE),0)</f>
        <v/>
      </c>
      <c r="NS145" s="152">
        <f>IFERROR(VLOOKUP($MM145,$BB$2:$BF$24,3,FALSE),0)</f>
        <v/>
      </c>
      <c r="NT145" s="152">
        <f>IFERROR(VLOOKUP($ML145,$BB$2:$BF$24,2,FALSE),"")</f>
        <v/>
      </c>
      <c r="NU145" s="152">
        <f>IFERROR(VLOOKUP($MM145,$BB$2:$BF$24,2,FALSE),"")</f>
        <v/>
      </c>
      <c r="NV145" s="152">
        <f>COUNTIF($NC145:$NG145,1)</f>
        <v/>
      </c>
      <c r="NW145" s="152">
        <f>COUNTIF($NC145:$NG145,2)</f>
        <v/>
      </c>
      <c r="NX145" s="152">
        <f>COUNTIF($NC145:$NG145,3)</f>
        <v/>
      </c>
      <c r="NY145" s="152">
        <f>COUNTIF($NC145:$NG145,4)</f>
        <v/>
      </c>
      <c r="NZ145" s="152">
        <f>COUNTIF($NC145:$NG145,5)</f>
        <v/>
      </c>
      <c r="OA145" s="152">
        <f>COUNTIF($NC145:$NG145,6)</f>
        <v/>
      </c>
      <c r="OB145" s="152">
        <f>COUNTIF($NR145:$NS145,1)</f>
        <v/>
      </c>
      <c r="OC145" s="152">
        <f>COUNTIF($NR145:$NS145,2)+$NO145</f>
        <v/>
      </c>
      <c r="OD145" s="152">
        <f>COUNTIF($MH145:$MK145,"?*")</f>
        <v/>
      </c>
      <c r="OE145" s="152">
        <f>COUNTIF($ML145:$MM145,"?*")+$NO145</f>
        <v/>
      </c>
      <c r="OF145" s="152">
        <f>IF($MC145=0,0,SUMPRODUCT($NV145:$OA145,INDEX($I$2:$N$8,MAX(1,$MC145),0)))</f>
        <v/>
      </c>
      <c r="OG145" s="152">
        <f>IF($MC145=0,0,$OB145*CEILING($MC145/2,1)+$OC145*$MC145)</f>
        <v/>
      </c>
      <c r="OH145" s="152">
        <f>MIN(2*$MC145,$OG145)</f>
        <v/>
      </c>
      <c r="OI145" s="152">
        <f>MIN($OH145,$OF145)</f>
        <v/>
      </c>
      <c r="OJ145" s="152">
        <f>$OH145-$OI145</f>
        <v/>
      </c>
      <c r="OK145" s="152">
        <f>IF($MC145=0,0,INDEX($P$2:$P$8,MAX(1,$MC145)))</f>
        <v/>
      </c>
      <c r="OL145" s="152">
        <f>$OK145-$OF145+$OI145</f>
        <v/>
      </c>
      <c r="OM145" s="152">
        <f>IF($MC145=0,MAX(0,$MQ145-IF($OD145&gt;0,1,0)),MAX(0,$OL145))</f>
        <v/>
      </c>
      <c r="ON145" s="152">
        <f>IF($MC145=0,0,(IF(COUNTIF($MH145:$MK145,"Salto")&gt;0,1,0)+IF(COUNTIF($MH145:$MK145,"Queima")&gt;0,1,0)+IF(COUNTIF($MH145:$MK145,"Estilhaço")&gt;0,1,0))*FLOOR($OM145/2,1))</f>
        <v/>
      </c>
      <c r="OO145" s="152">
        <f>MAX(0,2-SUMPRODUCT($NV145:$OA145,$I$2:$N$2)+MIN(2,$OB145*1+$OC145*1,SUMPRODUCT($NV145:$OA145,$I$2:$N$2)))</f>
        <v/>
      </c>
      <c r="OP145" s="152">
        <f>MAX(0,4-SUMPRODUCT($NV145:$OA145,$I$3:$N$3)+MIN(4,$OB145*1+$OC145*2,SUMPRODUCT($NV145:$OA145,$I$3:$N$3)))</f>
        <v/>
      </c>
      <c r="OQ145" s="152">
        <f>MAX(0,6-SUMPRODUCT($NV145:$OA145,$I$4:$N$4)+MIN(6,$OB145*2+$OC145*3,SUMPRODUCT($NV145:$OA145,$I$4:$N$4)))</f>
        <v/>
      </c>
      <c r="OR145" s="152">
        <f>MAX(0,9-SUMPRODUCT($NV145:$OA145,$I$5:$N$5)+MIN(8,$OB145*2+$OC145*4,SUMPRODUCT($NV145:$OA145,$I$5:$N$5)))</f>
        <v/>
      </c>
      <c r="OS145" s="152">
        <f>MAX(0,11-SUMPRODUCT($NV145:$OA145,$I$6:$N$6)+MIN(10,$OB145*3+$OC145*5,SUMPRODUCT($NV145:$OA145,$I$6:$N$6)))</f>
        <v/>
      </c>
      <c r="OT145" s="152">
        <f>MAX(0,13-SUMPRODUCT($NV145:$OA145,$I$7:$N$7)+MIN(12,$OB145*3+$OC145*6,SUMPRODUCT($NV145:$OA145,$I$7:$N$7)))</f>
        <v/>
      </c>
      <c r="OU145" s="152">
        <f>MAX(0,16-SUMPRODUCT($NV145:$OA145,$I$8:$N$8)+MIN(14,$OB145*4+$OC145*7,SUMPRODUCT($NV145:$OA145,$I$8:$N$8)))</f>
        <v/>
      </c>
      <c r="OV145" s="152">
        <f>IF($NP145=2,3*$OO145&amp;" de vida temp.",IF($NP145=3,"sem dano",IF($OO145=0,IF($NP145=1,"sem cura","sem dano"),IF($NP145=1,"cura ","")&amp;$OO145&amp;"d8")))</f>
        <v/>
      </c>
      <c r="OW145" s="152">
        <f>IF($NP145=2,3*$OP145&amp;" de vida temp.",IF($NP145=3,"sem dano",IF($OP145=0,IF($NP145=1,"sem cura","sem dano"),IF($NP145=1,"cura ","")&amp;$OP145&amp;"d8")))</f>
        <v/>
      </c>
      <c r="OX145" s="152">
        <f>IF($NP145=2,3*$OQ145&amp;" de vida temp.",IF($NP145=3,"sem dano",IF($OQ145=0,IF($NP145=1,"sem cura","sem dano"),IF($NP145=1,"cura ","")&amp;$OQ145&amp;"d8")))</f>
        <v/>
      </c>
      <c r="OY145" s="152">
        <f>IF($NP145=2,3*$OR145&amp;" de vida temp.",IF($NP145=3,"sem dano",IF($OR145=0,IF($NP145=1,"sem cura","sem dano"),IF($NP145=1,"cura ","")&amp;$OR145&amp;"d8")))</f>
        <v/>
      </c>
      <c r="OZ145" s="152">
        <f>IF($NP145=2,3*$OS145&amp;" de vida temp.",IF($NP145=3,"sem dano",IF($OS145=0,IF($NP145=1,"sem cura","sem dano"),IF($NP145=1,"cura ","")&amp;$OS145&amp;"d8")))</f>
        <v/>
      </c>
      <c r="PA145" s="152">
        <f>IF($NP145=2,3*$OT145&amp;" de vida temp.",IF($NP145=3,"sem dano",IF($OT145=0,IF($NP145=1,"sem cura","sem dano"),IF($NP145=1,"cura ","")&amp;$OT145&amp;"d8")))</f>
        <v/>
      </c>
      <c r="PB145" s="152">
        <f>IF($NP145=2,3*$OU145&amp;" de vida temp.",IF($NP145=3,"sem dano",IF($OU145=0,IF($NP145=1,"sem cura","sem dano"),IF($NP145=1,"cura ","")&amp;$OU145&amp;"d8")))</f>
        <v/>
      </c>
      <c r="PC145" s="152">
        <f>IF($MN145=0,"",TEXTJOIN(" · ",TRUE,IF($MA145&gt;$MO145,"Este lugar abre no nível "&amp;$MA145,""),IF($MC145&gt;$MP145,"Classe "&amp;$MC145&amp;": o nível "&amp;$MO145&amp;" libera até a "&amp;$MP145,""),IF($NH145=1,"A Forma "&amp;$ME145&amp;" pede "&amp;INDEX($W$2:$W$11,$MT145)&amp;" aberta",""),IF(AND($MC145=0,$MT145&gt;0,IF($MT145=0,0,INDEX($AF$2:$AF$11,$MT145))=0),$ME145&amp;" não existe na Classe 0",""),IF($NI145=1,"Família Fechada: "&amp;$MH145,""),IF($NJ145=1,"Família Fechada: "&amp;$MI145,""),IF($NK145=1,"Família Fechada: "&amp;$MJ145,""),IF($NL145=1,"Família Fechada: "&amp;$MK145,""),IF(AND($MC145&gt;0,$OD145&gt;INDEX($O$2:$O$8,MAX(1,$MC145))),$OD145&amp;" Melhorias: a Classe "&amp;$MC145&amp;" aceita "&amp;INDEX($O$2:$O$8,MAX(1,$MC145)),""),IF(AND($MC145=0,$OD145&gt;1),"A básica aceita uma Melhoria",""),IF(AND($MC145=0,COUNTIF($MY145:$NB145,"&gt;1")&gt;0),"A básica só aceita Melhoria Leve",""),IF(AND($MC145&gt;0,$OE145&gt;2),$OE145&amp;" Restrições"&amp;IF($NO145=1,", contando a que a Forma "&amp;$ME145&amp;" já traz","")&amp;": o limite é 2",""),IF(AND($MC145=0,COUNTIF($ML145:$MM145,"?*")&gt;1),"A básica aceita uma Restrição Leve",""),IF(AND($MC145=0,COUNTIF($NR145:$NS145,2)&gt;0),"A básica só aceita Restrição Leve",""),IF(AND($MC145&gt;0,$OL145&lt;0),"Orçamento estourado: faltam "&amp;(-$OL145)&amp;IF($OL145&lt;-1," pontos"," ponto"),""),IF(IFERROR(VLOOKUP($ML145,$BB$2:$BF$24,4,FALSE),0)+IFERROR(VLOOKUP($MM145,$BB$2:$BF$24,4,FALSE),0)&gt;1,$NT145&amp;" e "&amp;$NU145&amp;" são as duas de frequência",""),IF(AND((COUNTIF($MH145:$MK145,"Rápido")+COUNTIF($NT145:$NU145,"Rápido"))&gt;0,(COUNTIF($MH145:$MK145,"Atrasar")+COUNTIF($NT145:$NU145,"Atrasar"))&gt;0),"Rápido não entra com Atrasar",""),IF(AND((COUNTIF($MH145:$MK145,"Reação")+COUNTIF($NT145:$NU145,"Reação"))&gt;0,(COUNTIF($MH145:$MK145,"Rápido")+COUNTIF($NT145:$NU145,"Rápido"))&gt;0),"Reação não entra com Rápido",""),IF(AND((COUNTIF($MH145:$MK145,"Reação")+COUNTIF($NT145:$NU145,"Reação"))&gt;0,(COUNTIF($MH145:$MK145,"Armado")+COUNTIF($NT145:$NU145,"Armado"))&gt;0),"Reação não entra com Armado",""),IF(AND((COUNTIF($MH145:$MK145,"Reação")+COUNTIF($NT145:$NU145,"Reação"))&gt;0,(COUNTIF($MH145:$MK145,"Atrasar")+COUNTIF($NT145:$NU145,"Atrasar"))&gt;0),"Reação não entra com Atrasar",""),IF(AND((COUNTIF($MH145:$MK145,"Reação")+COUNTIF($NT145:$NU145,"Reação"))&gt;0,(COUNTIF($MH145:$MK145,"Parado")+COUNTIF($NT145:$NU145,"Parado"))&gt;0),"Reação não entra com Parado",""),IF(AND((COUNTIF($MH145:$MK145,"Atrasar")+COUNTIF($NT145:$NU145,"Atrasar"))&gt;0,(COUNTIF($MH145:$MK145,"Parado")+COUNTIF($NT145:$NU145,"Parado"))&gt;0),"Atrasar não entra com Parado",""),IF(AND((COUNTIF($MH145:$MK145,"Armado")+COUNTIF($NT145:$NU145,"Armado"))&gt;0,(COUNTIF($MH145:$MK145,"Carregar")+COUNTIF($NT145:$NU145,"Carregar"))&gt;0),"Armado não entra com Carregar",""),IF(AND(COUNTIF($NT145:$NU145,"Corpo a Corpo")&gt;0,$NO145=0,OR($ME145="Cone",$ME145="Linha")),"Corpo a Corpo não entra em "&amp;$ME145,""),IF(AND(COUNTIF($NT145:$NU145,"Corpo a Corpo")&gt;0,$NO145=1),"A Forma "&amp;$ME145&amp;" já traz o Corpo a Corpo",""),IF(AND(COUNTIF($NT145:$NU145,"Tudo ou Nada")&gt;0,$NQ145=0),"Tudo ou Nada só entra em habilidade de Teste de Resistência",""),IF(AND(COUNTIF($MH145:$MK145,"Inescapável")&gt;0,OR($OD145&gt;1,$OE145&gt;0)),"Inescapável não aceita outra peça",""),IF(AND($MC145&gt;0,$OM145*IF(COUNTIF($MH145:$MK145,"Remate")&gt;0,1.25,1)+$ON145&gt;4*$MC145),($OM145*IF(COUNTIF($MH145:$MK145,"Remate")&gt;0,1.25,1)+$ON145)&amp;" dados somando repetições"&amp;IF(COUNTIF($MH145:$MK145,"Remate")&gt;0," e o Remate","")&amp;": o teto da Classe "&amp;$MC145&amp;" é "&amp;4*$MC145,"")))</f>
        <v/>
      </c>
      <c r="PD145" s="152">
        <f>IF($PC145="",0,(LEN($PC145)-LEN(SUBSTITUTE($PC145," · ","")))/3+1)</f>
        <v/>
      </c>
      <c r="PE145" s="152">
        <f>IF($MN145=0,"",TEXTJOIN(" · ",TRUE,IF($OG145&gt;2*$MC145,"A devolução parou no teto de "&amp;2*$MC145,""),IF($OJ145&gt;0,"Devolução perdida: "&amp;$OJ145&amp;IF($OJ145&gt;1," pontos"," ponto")&amp;" sem peça para pagar",""),IF(AND($NM145&gt;0,AND($MC145&gt;0,$NP145=0),$OM145=0),"Controle sem dano: uma rodada a mais e CD +2",""),IF(AND($NM145&gt;0,AND($MC145&gt;0,$NP145=0),$OM145&gt;0,$OM145&lt;=$MC145),"Controle com saldo até a Classe: uma rodada a mais",""),IF(AND($MC145&gt;0,$NN145&lt;&gt;""),"Efeito de "&amp;$NN145&amp;" pela Classe "&amp;MAX(1,$MC145-1),"")))</f>
        <v/>
      </c>
      <c r="PF145" s="152">
        <f>IF($PE145="",0,(LEN($PE145)-LEN(SUBSTITUTE($PE145," · ","")))/3+1)</f>
        <v/>
      </c>
      <c r="PG145" s="152">
        <f>IF($MN145=0,IF($OD145+COUNTIF($ML145:$MM145,"?*")&gt;0,"Dê um nome",""),IF($PD145&gt;0,"⚠ "&amp;$PD145&amp;IF($PD145&gt;1," erros"," erro"),IF($PF145&gt;0,"! "&amp;$PF145&amp;IF($PF145&gt;1," avisos"," aviso"),"Na regra")))</f>
        <v/>
      </c>
      <c r="PH145" s="152">
        <f>IF($MN145=0,"",IF($PD145+$PF145=0,"Dentro das regras que a ficha confere",$PC145&amp;IF(AND($PD145&gt;0,$PF145&gt;0)," · ","")&amp;$PE145))</f>
        <v/>
      </c>
      <c r="PI145" s="152">
        <f>IF($MA145&gt;$MO145,$MB145&amp;" · ABRE NO NÍVEL "&amp;$MA145,$MB145)</f>
        <v/>
      </c>
      <c r="PJ145" s="152">
        <f>IF($MN145=0,"",IF($MC145=0,"Sem PE",3*$MC145&amp;" PE"))</f>
        <v/>
      </c>
      <c r="PK145" s="152">
        <f>IF($MN145=0,"",IF($MC145=0,"A atuação básica dela",IF(COUNTIF($NT145:$NU145,"Atrasar")&gt;0,"Sua Ação Completa",IF(COUNTIF($MH145:$MK145,"Rápido")&gt;0,"Sua Bônus",IF(COUNTIF($MH145:$MK145,"Reação")&gt;0,"Sua Reação","Sua Padrão")))&amp;" + a básica dela"&amp;IF(COUNTIF($MH145:$MK145,"Reação")&gt;0," e a coletiva","")&amp;IF(COUNTIF($NT145:$NU145,"Carregar")&gt;0," · em dois turnos","")))</f>
        <v/>
      </c>
      <c r="PL145" s="152">
        <f>IF($MG145&lt;&gt;"",$MG145,IF($MT145=0,"",INDEX($AA$2:$AA$11,$MT145)))</f>
        <v/>
      </c>
      <c r="PM145" s="152">
        <f>IF(OR($MN145=0,$MT145=0),"",IF(COUNTIF($MH145:$MK145,"Inescapável")&gt;0,"Automático",IF($PL145="Ataque",IF($MR145="","Ataque","Ataque "&amp;IF(($MR145+2*IF(COUNTIF($MH145:$MK145,"Precisão")&gt;0,1,0))&gt;=0,"+","−")&amp;ABS(($MR145+2*IF(COUNTIF($MH145:$MK145,"Precisão")&gt;0,1,0)))),IF(LEFT($PL145,2)="TR",$PL145&amp;IF($MS145="",""," · CD "&amp;$MS145)&amp;IF(COUNTIF($MH145:$MK145,"Certeiro")&gt;0," · metade",""),"Sem rolagem"))))</f>
        <v/>
      </c>
      <c r="PN145" s="152">
        <f>IF(OR($MN145=0,$MT145=0),"",IF($MC145=0,IF(OR($NP145&gt;=1,$OM145=0),"Sem dano",$OM145&amp;"d6"&amp;IF($MF145="",""," "&amp;$MF145)),IF(OR($NP145&gt;=1,$OM145=0),UPPER(LEFT(INDEX($OV145:$PB145,1,MAX(1,$MC145)),1))&amp;MID(INDEX($OV145:$PB145,1,MAX(1,$MC145)),2,99),UPPER(LEFT(INDEX($OV145:$PB145,1,MAX(1,$MC145)),1))&amp;MID(INDEX($OV145:$PB145,1,MAX(1,$MC145)),2,99)&amp;IF($MF145="",""," "&amp;$MF145)&amp;IF($ON145&gt;0," · +"&amp;$ON145&amp;"d8",""))))</f>
        <v/>
      </c>
      <c r="PO145" s="152">
        <f>COUNTIF($MH145:$MK145,"Longe")+3*COUNTIF($MH145:$MK145,"Muito Longe")</f>
        <v/>
      </c>
      <c r="PP145" s="152">
        <f>COUNTIF($MH145:$MK145,"Maior")+3*COUNTIF($MH145:$MK145,"Muito Maior")</f>
        <v/>
      </c>
      <c r="PQ145" s="152">
        <f>IF($MT145=0,0,CHOOSE(1+INDEX($AC$2:$AC$11,$MT145),0,$PO145,$PP145,$PO145+$PP145))</f>
        <v/>
      </c>
      <c r="PR145" s="152">
        <f>IF($MT145=0,0,CHOOSE(1+INDEX($AD$2:$AD$11,$MT145),0,$PO145,$PP145,$PO145+$PP145))</f>
        <v/>
      </c>
      <c r="PS145" s="152">
        <f>IF(OR($MN145=0,$MT145=0),"",INDEX($AI$2:$AN$41,($MT145-1)*4+IF($MC145=0,1,IF($MC145&lt;=5,2,IF($MC145=6,3,4))),1+MIN(5,$PQ145))&amp;INDEX($AO$2:$AT$41,($MT145-1)*4+IF($MC145=0,1,IF($MC145&lt;=5,2,IF($MC145=6,3,4))),1+MIN(5,$PR145))&amp;IF(INDEX($AE$2:$AE$11,$MT145)=1,IF(COUNTIF($MH145:$MK145,"Mais Um")&gt;0," · +"&amp;COUNTIF($MH145:$MK145,"Mais Um")&amp;IF(COUNTIF($MH145:$MK145,"Mais Um")&gt;1," alvos"," alvo"),"")&amp;IF(COUNTIF($MH145:$MK145,"Rajada")&gt;0,IF($MC145=0," · 1 tiro"," · "&amp;(MAX(1,$MC145-1)+1)&amp;" tiros"),""),""))</f>
        <v/>
      </c>
      <c r="PT145" s="152">
        <f>IF($MN145=0,"",IF($MC145=0,$MQ145&amp;"d6"&amp;IF($OD145&gt;0," − 1 = "&amp;$OM145&amp;"d6"," da básica do nível "&amp;$MO145),$OK145&amp;" − "&amp;$OF145&amp;" + "&amp;$OI145&amp;" = "&amp;$OL145&amp;" · teto "&amp;4*$MC145&amp;"d8"&amp;IF($NO145=1," · a Forma devolve "&amp;$MC145,"")&amp;IF($OJ145&gt;0," · perde "&amp;$OJ145,"")))</f>
        <v/>
      </c>
      <c r="PU145" s="152">
        <f>IF($MN145=0,"",IF($MC145=0,"A básica não amplia: os dados dela sobem com o nível",IF($MC145&gt;=$MP145,"Já está na maior Classe que o nível liberou",TEXTJOIN(" · ",TRUE,IF(AND(2&gt;$MC145,2&lt;=$MP145),"2 → "&amp;$OW145&amp;", 6 PE",""),IF(AND(3&gt;$MC145,3&lt;=$MP145),"3 → "&amp;$OX145&amp;", 9 PE",""),IF(AND(4&gt;$MC145,4&lt;=$MP145),"4 → "&amp;$OY145&amp;", 12 PE",""),IF(AND(5&gt;$MC145,5&lt;=$MP145),"5 → "&amp;$OZ145&amp;", 15 PE",""),IF(AND(6&gt;$MC145,6&lt;=$MP145),"6 → "&amp;$PA145&amp;", 18 PE",""),IF(AND(7&gt;$MC145,7&lt;=$MP145),"7 → "&amp;$PB145&amp;", 21 PE","")))))</f>
        <v/>
      </c>
      <c r="PV145" s="152">
        <f>IF(OR($MN145=0,$MY145=0),"",IF($MC145=0,"−1 dado","−"&amp;INDEX($I$2:$N$8,MAX(1,$MC145),MAX(1,$ND145))&amp;" · "&amp;CHOOSE(MAX(1,$ND145),"Leve","Média","Pesada","Leve · Livre","Média · Livre","Pesada · Livre")))</f>
        <v/>
      </c>
      <c r="PW145" s="152">
        <f>IF(OR($MN145=0,$MZ145=0),"",IF($MC145=0,"−1 dado","−"&amp;INDEX($I$2:$N$8,MAX(1,$MC145),MAX(1,$NE145))&amp;" · "&amp;CHOOSE(MAX(1,$NE145),"Leve","Média","Pesada","Leve · Livre","Média · Livre","Pesada · Livre")))</f>
        <v/>
      </c>
      <c r="PX145" s="152">
        <f>IF(OR($MN145=0,$NA145=0),"",IF($MC145=0,"−1 dado","−"&amp;INDEX($I$2:$N$8,MAX(1,$MC145),MAX(1,$NF145))&amp;" · "&amp;CHOOSE(MAX(1,$NF145),"Leve","Média","Pesada","Leve · Livre","Média · Livre","Pesada · Livre")))</f>
        <v/>
      </c>
      <c r="PY145" s="152">
        <f>IF(OR($MN145=0,$NB145=0),"",IF($MC145=0,"−1 dado","−"&amp;INDEX($I$2:$N$8,MAX(1,$MC145),MAX(1,$NG145))&amp;" · "&amp;CHOOSE(MAX(1,$NG145),"Leve","Média","Pesada","Leve · Livre","Média · Livre","Pesada · Livre")))</f>
        <v/>
      </c>
      <c r="PZ145" s="152">
        <f>IF(OR($MN145=0,$ML145=""),"",IF($MC145=0,"não devolve","+"&amp;IF($NR145=1,CEILING($MC145/2,1),$MC145)))</f>
        <v/>
      </c>
      <c r="QA145" s="152">
        <f>IF(OR($MN145=0,$MM145=""),"",IF($MC145=0,"não devolve","+"&amp;IF($NS145=1,CEILING($MC145/2,1),$MC145)))</f>
        <v/>
      </c>
    </row>
    <row r="146">
      <c r="LX146" s="150" t="inlineStr">
        <is>
          <t>Ficha 12 · Especial 1</t>
        </is>
      </c>
      <c r="LY146" s="152" t="n">
        <v>12</v>
      </c>
      <c r="LZ146" s="152" t="n">
        <v>1</v>
      </c>
      <c r="MA146" s="152" t="n">
        <v>1</v>
      </c>
      <c r="MB146" s="150" t="inlineStr">
        <is>
          <t>ESPECIAL 1</t>
        </is>
      </c>
      <c r="MC146" s="152">
        <f>MAX(1,MIN(7,N('INVOCAÇÕES'!$AH$1048)))</f>
        <v/>
      </c>
      <c r="MD146" s="152">
        <f>'INVOCAÇÕES'!$AI$1048&amp;""</f>
        <v/>
      </c>
      <c r="ME146" s="152">
        <f>'INVOCAÇÕES'!$AH$1053&amp;""</f>
        <v/>
      </c>
      <c r="MF146" s="152">
        <f>'INVOCAÇÕES'!$AH$1054&amp;""</f>
        <v/>
      </c>
      <c r="MG146" s="152">
        <f>'INVOCAÇÕES'!$AJ$1054&amp;""</f>
        <v/>
      </c>
      <c r="MH146" s="152">
        <f>'INVOCAÇÕES'!$AI$1057&amp;""</f>
        <v/>
      </c>
      <c r="MI146" s="152">
        <f>'INVOCAÇÕES'!$AI$1058&amp;""</f>
        <v/>
      </c>
      <c r="MJ146" s="152">
        <f>'INVOCAÇÕES'!$AI$1059&amp;""</f>
        <v/>
      </c>
      <c r="MK146" s="152">
        <f>'INVOCAÇÕES'!$AI$1060&amp;""</f>
        <v/>
      </c>
      <c r="ML146" s="152">
        <f>'INVOCAÇÕES'!$AI$1061&amp;""</f>
        <v/>
      </c>
      <c r="MM146" s="152">
        <f>'INVOCAÇÕES'!$AI$1062&amp;""</f>
        <v/>
      </c>
      <c r="MN146" s="152">
        <f>IF($MD146&lt;&gt;"",1,0)</f>
        <v/>
      </c>
      <c r="MO146" s="152">
        <f>INDEX($FG$2:$FG$13,$LY146)</f>
        <v/>
      </c>
      <c r="MP146" s="152">
        <f>INDEX($FH$2:$FH$13,$LY146)</f>
        <v/>
      </c>
      <c r="MQ146" s="152">
        <f>INDEX($FI$2:$FI$13,$LY146)</f>
        <v/>
      </c>
      <c r="MR146" s="152">
        <f>INDEX($FT$2:$FT$13,$LY146)</f>
        <v/>
      </c>
      <c r="MS146" s="152">
        <f>INDEX($FU$2:$FU$13,$LY146)</f>
        <v/>
      </c>
      <c r="MT146" s="152">
        <f>IFERROR(MATCH($ME146,$V$2:$V$11,0),0)</f>
        <v/>
      </c>
      <c r="MU146" s="152">
        <f>IFERROR(VLOOKUP($MH146,$AV$2:$AZ$84,2,FALSE),"")</f>
        <v/>
      </c>
      <c r="MV146" s="152">
        <f>IFERROR(VLOOKUP($MI146,$AV$2:$AZ$84,2,FALSE),"")</f>
        <v/>
      </c>
      <c r="MW146" s="152">
        <f>IFERROR(VLOOKUP($MJ146,$AV$2:$AZ$84,2,FALSE),"")</f>
        <v/>
      </c>
      <c r="MX146" s="152">
        <f>IFERROR(VLOOKUP($MK146,$AV$2:$AZ$84,2,FALSE),"")</f>
        <v/>
      </c>
      <c r="MY146" s="152">
        <f>IFERROR(VLOOKUP($MH146,$AV$2:$AZ$84,3,FALSE),0)</f>
        <v/>
      </c>
      <c r="MZ146" s="152">
        <f>IFERROR(VLOOKUP($MI146,$AV$2:$AZ$84,3,FALSE),0)</f>
        <v/>
      </c>
      <c r="NA146" s="152">
        <f>IFERROR(VLOOKUP($MJ146,$AV$2:$AZ$84,3,FALSE),0)</f>
        <v/>
      </c>
      <c r="NB146" s="152">
        <f>IFERROR(VLOOKUP($MK146,$AV$2:$AZ$84,3,FALSE),0)</f>
        <v/>
      </c>
      <c r="NC146" s="152">
        <f>IF($MC146=0,0,IF($MT146=0,0,INDEX($X$2:$X$11,$MT146)))</f>
        <v/>
      </c>
      <c r="ND146" s="152">
        <f>IF(OR($MY146=0,$MC146=0),0,$MY146+3*IF(AND($MU146&lt;&gt;"",OR($MU146=INDEX($ED$2:$ED$13,$LY146),$MU146=INDEX($EE$2:$EE$13,$LY146))),1,0))</f>
        <v/>
      </c>
      <c r="NE146" s="152">
        <f>IF(OR($MZ146=0,$MC146=0),0,$MZ146+3*IF(AND($MV146&lt;&gt;"",OR($MV146=INDEX($ED$2:$ED$13,$LY146),$MV146=INDEX($EE$2:$EE$13,$LY146))),1,0))</f>
        <v/>
      </c>
      <c r="NF146" s="152">
        <f>IF(OR($NA146=0,$MC146=0),0,$NA146+3*IF(AND($MW146&lt;&gt;"",OR($MW146=INDEX($ED$2:$ED$13,$LY146),$MW146=INDEX($EE$2:$EE$13,$LY146))),1,0))</f>
        <v/>
      </c>
      <c r="NG146" s="152">
        <f>IF(OR($NB146=0,$MC146=0),0,$NB146+3*IF(AND($MX146&lt;&gt;"",OR($MX146=INDEX($ED$2:$ED$13,$LY146),$MX146=INDEX($EE$2:$EE$13,$LY146))),1,0))</f>
        <v/>
      </c>
      <c r="NH146" s="152">
        <f>IF($MT146=0,0,IF(INDEX($W$2:$W$11,$MT146)="",0,IF(COUNTIF(INDEX($ED$2:$EH$13,$LY146,0),INDEX($W$2:$W$11,$MT146))=0,1,0)))</f>
        <v/>
      </c>
      <c r="NI146" s="152">
        <f>IF(OR($MY146=0,$MU146=""),0,IF(COUNTIF(INDEX($ED$2:$EH$13,$LY146,0),$MU146)=0,1,0))</f>
        <v/>
      </c>
      <c r="NJ146" s="152">
        <f>IF(OR($MZ146=0,$MV146=""),0,IF(COUNTIF(INDEX($ED$2:$EH$13,$LY146,0),$MV146)=0,1,0))</f>
        <v/>
      </c>
      <c r="NK146" s="152">
        <f>IF(OR($NA146=0,$MW146=""),0,IF(COUNTIF(INDEX($ED$2:$EH$13,$LY146,0),$MW146)=0,1,0))</f>
        <v/>
      </c>
      <c r="NL146" s="152">
        <f>IF(OR($NB146=0,$MX146=""),0,IF(COUNTIF(INDEX($ED$2:$EH$13,$LY146,0),$MX146)=0,1,0))</f>
        <v/>
      </c>
      <c r="NM146" s="152">
        <f>IFERROR(VLOOKUP($MH146,$AV$2:$AZ$84,4,FALSE),0)+IFERROR(VLOOKUP($MI146,$AV$2:$AZ$84,4,FALSE),0)+IFERROR(VLOOKUP($MJ146,$AV$2:$AZ$84,4,FALSE),0)+IFERROR(VLOOKUP($MK146,$AV$2:$AZ$84,4,FALSE),0)</f>
        <v/>
      </c>
      <c r="NN146" s="152">
        <f>TEXTJOIN(", ",TRUE,IF(IFERROR(VLOOKUP($MH146,$AV$2:$AZ$84,5,FALSE),0)=1,$MH146,""),IF(IFERROR(VLOOKUP($MI146,$AV$2:$AZ$84,5,FALSE),0)=1,$MI146,""),IF(IFERROR(VLOOKUP($MJ146,$AV$2:$AZ$84,5,FALSE),0)=1,$MJ146,""),IF(IFERROR(VLOOKUP($MK146,$AV$2:$AZ$84,5,FALSE),0)=1,$MK146,""))</f>
        <v/>
      </c>
      <c r="NO146" s="152">
        <f>IF($MT146=0,0,INDEX($Y$2:$Y$11,$MT146))</f>
        <v/>
      </c>
      <c r="NP146" s="152">
        <f>IF($MT146=0,0,INDEX($Z$2:$Z$11,$MT146))</f>
        <v/>
      </c>
      <c r="NQ146" s="152">
        <f>IF($MT146=0,0,INDEX($AB$2:$AB$11,$MT146))</f>
        <v/>
      </c>
      <c r="NR146" s="152">
        <f>IFERROR(VLOOKUP($ML146,$BB$2:$BF$24,3,FALSE),0)</f>
        <v/>
      </c>
      <c r="NS146" s="152">
        <f>IFERROR(VLOOKUP($MM146,$BB$2:$BF$24,3,FALSE),0)</f>
        <v/>
      </c>
      <c r="NT146" s="152">
        <f>IFERROR(VLOOKUP($ML146,$BB$2:$BF$24,2,FALSE),"")</f>
        <v/>
      </c>
      <c r="NU146" s="152">
        <f>IFERROR(VLOOKUP($MM146,$BB$2:$BF$24,2,FALSE),"")</f>
        <v/>
      </c>
      <c r="NV146" s="152">
        <f>COUNTIF($NC146:$NG146,1)</f>
        <v/>
      </c>
      <c r="NW146" s="152">
        <f>COUNTIF($NC146:$NG146,2)</f>
        <v/>
      </c>
      <c r="NX146" s="152">
        <f>COUNTIF($NC146:$NG146,3)</f>
        <v/>
      </c>
      <c r="NY146" s="152">
        <f>COUNTIF($NC146:$NG146,4)</f>
        <v/>
      </c>
      <c r="NZ146" s="152">
        <f>COUNTIF($NC146:$NG146,5)</f>
        <v/>
      </c>
      <c r="OA146" s="152">
        <f>COUNTIF($NC146:$NG146,6)</f>
        <v/>
      </c>
      <c r="OB146" s="152">
        <f>COUNTIF($NR146:$NS146,1)</f>
        <v/>
      </c>
      <c r="OC146" s="152">
        <f>COUNTIF($NR146:$NS146,2)+$NO146</f>
        <v/>
      </c>
      <c r="OD146" s="152">
        <f>COUNTIF($MH146:$MK146,"?*")</f>
        <v/>
      </c>
      <c r="OE146" s="152">
        <f>COUNTIF($ML146:$MM146,"?*")+$NO146</f>
        <v/>
      </c>
      <c r="OF146" s="152">
        <f>IF($MC146=0,0,SUMPRODUCT($NV146:$OA146,INDEX($I$2:$N$8,MAX(1,$MC146),0)))</f>
        <v/>
      </c>
      <c r="OG146" s="152">
        <f>IF($MC146=0,0,$OB146*CEILING($MC146/2,1)+$OC146*$MC146)</f>
        <v/>
      </c>
      <c r="OH146" s="152">
        <f>MIN(2*$MC146,$OG146)</f>
        <v/>
      </c>
      <c r="OI146" s="152">
        <f>MIN($OH146,$OF146)</f>
        <v/>
      </c>
      <c r="OJ146" s="152">
        <f>$OH146-$OI146</f>
        <v/>
      </c>
      <c r="OK146" s="152">
        <f>IF($MC146=0,0,INDEX($P$2:$P$8,MAX(1,$MC146)))</f>
        <v/>
      </c>
      <c r="OL146" s="152">
        <f>$OK146-$OF146+$OI146</f>
        <v/>
      </c>
      <c r="OM146" s="152">
        <f>IF($MC146=0,MAX(0,$MQ146-IF($OD146&gt;0,1,0)),MAX(0,$OL146))</f>
        <v/>
      </c>
      <c r="ON146" s="152">
        <f>IF($MC146=0,0,(IF(COUNTIF($MH146:$MK146,"Salto")&gt;0,1,0)+IF(COUNTIF($MH146:$MK146,"Queima")&gt;0,1,0)+IF(COUNTIF($MH146:$MK146,"Estilhaço")&gt;0,1,0))*FLOOR($OM146/2,1))</f>
        <v/>
      </c>
      <c r="OO146" s="152">
        <f>MAX(0,2-SUMPRODUCT($NV146:$OA146,$I$2:$N$2)+MIN(2,$OB146*1+$OC146*1,SUMPRODUCT($NV146:$OA146,$I$2:$N$2)))</f>
        <v/>
      </c>
      <c r="OP146" s="152">
        <f>MAX(0,4-SUMPRODUCT($NV146:$OA146,$I$3:$N$3)+MIN(4,$OB146*1+$OC146*2,SUMPRODUCT($NV146:$OA146,$I$3:$N$3)))</f>
        <v/>
      </c>
      <c r="OQ146" s="152">
        <f>MAX(0,6-SUMPRODUCT($NV146:$OA146,$I$4:$N$4)+MIN(6,$OB146*2+$OC146*3,SUMPRODUCT($NV146:$OA146,$I$4:$N$4)))</f>
        <v/>
      </c>
      <c r="OR146" s="152">
        <f>MAX(0,9-SUMPRODUCT($NV146:$OA146,$I$5:$N$5)+MIN(8,$OB146*2+$OC146*4,SUMPRODUCT($NV146:$OA146,$I$5:$N$5)))</f>
        <v/>
      </c>
      <c r="OS146" s="152">
        <f>MAX(0,11-SUMPRODUCT($NV146:$OA146,$I$6:$N$6)+MIN(10,$OB146*3+$OC146*5,SUMPRODUCT($NV146:$OA146,$I$6:$N$6)))</f>
        <v/>
      </c>
      <c r="OT146" s="152">
        <f>MAX(0,13-SUMPRODUCT($NV146:$OA146,$I$7:$N$7)+MIN(12,$OB146*3+$OC146*6,SUMPRODUCT($NV146:$OA146,$I$7:$N$7)))</f>
        <v/>
      </c>
      <c r="OU146" s="152">
        <f>MAX(0,16-SUMPRODUCT($NV146:$OA146,$I$8:$N$8)+MIN(14,$OB146*4+$OC146*7,SUMPRODUCT($NV146:$OA146,$I$8:$N$8)))</f>
        <v/>
      </c>
      <c r="OV146" s="152">
        <f>IF($NP146=2,3*$OO146&amp;" de vida temp.",IF($NP146=3,"sem dano",IF($OO146=0,IF($NP146=1,"sem cura","sem dano"),IF($NP146=1,"cura ","")&amp;$OO146&amp;"d8")))</f>
        <v/>
      </c>
      <c r="OW146" s="152">
        <f>IF($NP146=2,3*$OP146&amp;" de vida temp.",IF($NP146=3,"sem dano",IF($OP146=0,IF($NP146=1,"sem cura","sem dano"),IF($NP146=1,"cura ","")&amp;$OP146&amp;"d8")))</f>
        <v/>
      </c>
      <c r="OX146" s="152">
        <f>IF($NP146=2,3*$OQ146&amp;" de vida temp.",IF($NP146=3,"sem dano",IF($OQ146=0,IF($NP146=1,"sem cura","sem dano"),IF($NP146=1,"cura ","")&amp;$OQ146&amp;"d8")))</f>
        <v/>
      </c>
      <c r="OY146" s="152">
        <f>IF($NP146=2,3*$OR146&amp;" de vida temp.",IF($NP146=3,"sem dano",IF($OR146=0,IF($NP146=1,"sem cura","sem dano"),IF($NP146=1,"cura ","")&amp;$OR146&amp;"d8")))</f>
        <v/>
      </c>
      <c r="OZ146" s="152">
        <f>IF($NP146=2,3*$OS146&amp;" de vida temp.",IF($NP146=3,"sem dano",IF($OS146=0,IF($NP146=1,"sem cura","sem dano"),IF($NP146=1,"cura ","")&amp;$OS146&amp;"d8")))</f>
        <v/>
      </c>
      <c r="PA146" s="152">
        <f>IF($NP146=2,3*$OT146&amp;" de vida temp.",IF($NP146=3,"sem dano",IF($OT146=0,IF($NP146=1,"sem cura","sem dano"),IF($NP146=1,"cura ","")&amp;$OT146&amp;"d8")))</f>
        <v/>
      </c>
      <c r="PB146" s="152">
        <f>IF($NP146=2,3*$OU146&amp;" de vida temp.",IF($NP146=3,"sem dano",IF($OU146=0,IF($NP146=1,"sem cura","sem dano"),IF($NP146=1,"cura ","")&amp;$OU146&amp;"d8")))</f>
        <v/>
      </c>
      <c r="PC146" s="152">
        <f>IF($MN146=0,"",TEXTJOIN(" · ",TRUE,IF($MA146&gt;$MO146,"Este lugar abre no nível "&amp;$MA146,""),IF($MC146&gt;$MP146,"Classe "&amp;$MC146&amp;": o nível "&amp;$MO146&amp;" libera até a "&amp;$MP146,""),IF($NH146=1,"A Forma "&amp;$ME146&amp;" pede "&amp;INDEX($W$2:$W$11,$MT146)&amp;" aberta",""),IF(AND($MC146=0,$MT146&gt;0,IF($MT146=0,0,INDEX($AF$2:$AF$11,$MT146))=0),$ME146&amp;" não existe na Classe 0",""),IF($NI146=1,"Família Fechada: "&amp;$MH146,""),IF($NJ146=1,"Família Fechada: "&amp;$MI146,""),IF($NK146=1,"Família Fechada: "&amp;$MJ146,""),IF($NL146=1,"Família Fechada: "&amp;$MK146,""),IF(AND($MC146&gt;0,$OD146&gt;INDEX($O$2:$O$8,MAX(1,$MC146))),$OD146&amp;" Melhorias: a Classe "&amp;$MC146&amp;" aceita "&amp;INDEX($O$2:$O$8,MAX(1,$MC146)),""),IF(AND($MC146=0,$OD146&gt;1),"A básica aceita uma Melhoria",""),IF(AND($MC146=0,COUNTIF($MY146:$NB146,"&gt;1")&gt;0),"A básica só aceita Melhoria Leve",""),IF(AND($MC146&gt;0,$OE146&gt;2),$OE146&amp;" Restrições"&amp;IF($NO146=1,", contando a que a Forma "&amp;$ME146&amp;" já traz","")&amp;": o limite é 2",""),IF(AND($MC146=0,COUNTIF($ML146:$MM146,"?*")&gt;1),"A básica aceita uma Restrição Leve",""),IF(AND($MC146=0,COUNTIF($NR146:$NS146,2)&gt;0),"A básica só aceita Restrição Leve",""),IF(AND($MC146&gt;0,$OL146&lt;0),"Orçamento estourado: faltam "&amp;(-$OL146)&amp;IF($OL146&lt;-1," pontos"," ponto"),""),IF(IFERROR(VLOOKUP($ML146,$BB$2:$BF$24,4,FALSE),0)+IFERROR(VLOOKUP($MM146,$BB$2:$BF$24,4,FALSE),0)&gt;1,$NT146&amp;" e "&amp;$NU146&amp;" são as duas de frequência",""),IF(AND((COUNTIF($MH146:$MK146,"Rápido")+COUNTIF($NT146:$NU146,"Rápido"))&gt;0,(COUNTIF($MH146:$MK146,"Atrasar")+COUNTIF($NT146:$NU146,"Atrasar"))&gt;0),"Rápido não entra com Atrasar",""),IF(AND((COUNTIF($MH146:$MK146,"Reação")+COUNTIF($NT146:$NU146,"Reação"))&gt;0,(COUNTIF($MH146:$MK146,"Rápido")+COUNTIF($NT146:$NU146,"Rápido"))&gt;0),"Reação não entra com Rápido",""),IF(AND((COUNTIF($MH146:$MK146,"Reação")+COUNTIF($NT146:$NU146,"Reação"))&gt;0,(COUNTIF($MH146:$MK146,"Armado")+COUNTIF($NT146:$NU146,"Armado"))&gt;0),"Reação não entra com Armado",""),IF(AND((COUNTIF($MH146:$MK146,"Reação")+COUNTIF($NT146:$NU146,"Reação"))&gt;0,(COUNTIF($MH146:$MK146,"Atrasar")+COUNTIF($NT146:$NU146,"Atrasar"))&gt;0),"Reação não entra com Atrasar",""),IF(AND((COUNTIF($MH146:$MK146,"Reação")+COUNTIF($NT146:$NU146,"Reação"))&gt;0,(COUNTIF($MH146:$MK146,"Parado")+COUNTIF($NT146:$NU146,"Parado"))&gt;0),"Reação não entra com Parado",""),IF(AND((COUNTIF($MH146:$MK146,"Atrasar")+COUNTIF($NT146:$NU146,"Atrasar"))&gt;0,(COUNTIF($MH146:$MK146,"Parado")+COUNTIF($NT146:$NU146,"Parado"))&gt;0),"Atrasar não entra com Parado",""),IF(AND((COUNTIF($MH146:$MK146,"Armado")+COUNTIF($NT146:$NU146,"Armado"))&gt;0,(COUNTIF($MH146:$MK146,"Carregar")+COUNTIF($NT146:$NU146,"Carregar"))&gt;0),"Armado não entra com Carregar",""),IF(AND(COUNTIF($NT146:$NU146,"Corpo a Corpo")&gt;0,$NO146=0,OR($ME146="Cone",$ME146="Linha")),"Corpo a Corpo não entra em "&amp;$ME146,""),IF(AND(COUNTIF($NT146:$NU146,"Corpo a Corpo")&gt;0,$NO146=1),"A Forma "&amp;$ME146&amp;" já traz o Corpo a Corpo",""),IF(AND(COUNTIF($NT146:$NU146,"Tudo ou Nada")&gt;0,$NQ146=0),"Tudo ou Nada só entra em habilidade de Teste de Resistência",""),IF(AND(COUNTIF($MH146:$MK146,"Inescapável")&gt;0,OR($OD146&gt;1,$OE146&gt;0)),"Inescapável não aceita outra peça",""),IF(AND($MC146&gt;0,$OM146*IF(COUNTIF($MH146:$MK146,"Remate")&gt;0,1.25,1)+$ON146&gt;4*$MC146),($OM146*IF(COUNTIF($MH146:$MK146,"Remate")&gt;0,1.25,1)+$ON146)&amp;" dados somando repetições"&amp;IF(COUNTIF($MH146:$MK146,"Remate")&gt;0," e o Remate","")&amp;": o teto da Classe "&amp;$MC146&amp;" é "&amp;4*$MC146,"")))</f>
        <v/>
      </c>
      <c r="PD146" s="152">
        <f>IF($PC146="",0,(LEN($PC146)-LEN(SUBSTITUTE($PC146," · ","")))/3+1)</f>
        <v/>
      </c>
      <c r="PE146" s="152">
        <f>IF($MN146=0,"",TEXTJOIN(" · ",TRUE,IF($OG146&gt;2*$MC146,"A devolução parou no teto de "&amp;2*$MC146,""),IF($OJ146&gt;0,"Devolução perdida: "&amp;$OJ146&amp;IF($OJ146&gt;1," pontos"," ponto")&amp;" sem peça para pagar",""),IF(AND($NM146&gt;0,AND($MC146&gt;0,$NP146=0),$OM146=0),"Controle sem dano: uma rodada a mais e CD +2",""),IF(AND($NM146&gt;0,AND($MC146&gt;0,$NP146=0),$OM146&gt;0,$OM146&lt;=$MC146),"Controle com saldo até a Classe: uma rodada a mais",""),IF(AND($MC146&gt;0,$NN146&lt;&gt;""),"Efeito de "&amp;$NN146&amp;" pela Classe "&amp;MAX(1,$MC146-1),"")))</f>
        <v/>
      </c>
      <c r="PF146" s="152">
        <f>IF($PE146="",0,(LEN($PE146)-LEN(SUBSTITUTE($PE146," · ","")))/3+1)</f>
        <v/>
      </c>
      <c r="PG146" s="152">
        <f>IF($MN146=0,IF($OD146+COUNTIF($ML146:$MM146,"?*")&gt;0,"Dê um nome",""),IF($PD146&gt;0,"⚠ "&amp;$PD146&amp;IF($PD146&gt;1," erros"," erro"),IF($PF146&gt;0,"! "&amp;$PF146&amp;IF($PF146&gt;1," avisos"," aviso"),"Na regra")))</f>
        <v/>
      </c>
      <c r="PH146" s="152">
        <f>IF($MN146=0,"",IF($PD146+$PF146=0,"Dentro das regras que a ficha confere",$PC146&amp;IF(AND($PD146&gt;0,$PF146&gt;0)," · ","")&amp;$PE146))</f>
        <v/>
      </c>
      <c r="PI146" s="152">
        <f>IF($MA146&gt;$MO146,$MB146&amp;" · ABRE NO NÍVEL "&amp;$MA146,$MB146)</f>
        <v/>
      </c>
      <c r="PJ146" s="152">
        <f>IF($MN146=0,"",IF($MC146=0,"Sem PE",3*$MC146&amp;" PE"))</f>
        <v/>
      </c>
      <c r="PK146" s="152">
        <f>IF($MN146=0,"",IF($MC146=0,"A atuação básica dela",IF(COUNTIF($NT146:$NU146,"Atrasar")&gt;0,"Sua Ação Completa",IF(COUNTIF($MH146:$MK146,"Rápido")&gt;0,"Sua Bônus",IF(COUNTIF($MH146:$MK146,"Reação")&gt;0,"Sua Reação","Sua Padrão")))&amp;" + a básica dela"&amp;IF(COUNTIF($MH146:$MK146,"Reação")&gt;0," e a coletiva","")&amp;IF(COUNTIF($NT146:$NU146,"Carregar")&gt;0," · em dois turnos","")))</f>
        <v/>
      </c>
      <c r="PL146" s="152">
        <f>IF($MG146&lt;&gt;"",$MG146,IF($MT146=0,"",INDEX($AA$2:$AA$11,$MT146)))</f>
        <v/>
      </c>
      <c r="PM146" s="152">
        <f>IF(OR($MN146=0,$MT146=0),"",IF(COUNTIF($MH146:$MK146,"Inescapável")&gt;0,"Automático",IF($PL146="Ataque",IF($MR146="","Ataque","Ataque "&amp;IF(($MR146+2*IF(COUNTIF($MH146:$MK146,"Precisão")&gt;0,1,0))&gt;=0,"+","−")&amp;ABS(($MR146+2*IF(COUNTIF($MH146:$MK146,"Precisão")&gt;0,1,0)))),IF(LEFT($PL146,2)="TR",$PL146&amp;IF($MS146="",""," · CD "&amp;$MS146)&amp;IF(COUNTIF($MH146:$MK146,"Certeiro")&gt;0," · metade",""),"Sem rolagem"))))</f>
        <v/>
      </c>
      <c r="PN146" s="152">
        <f>IF(OR($MN146=0,$MT146=0),"",IF($MC146=0,IF(OR($NP146&gt;=1,$OM146=0),"Sem dano",$OM146&amp;"d6"&amp;IF($MF146="",""," "&amp;$MF146)),IF(OR($NP146&gt;=1,$OM146=0),UPPER(LEFT(INDEX($OV146:$PB146,1,MAX(1,$MC146)),1))&amp;MID(INDEX($OV146:$PB146,1,MAX(1,$MC146)),2,99),UPPER(LEFT(INDEX($OV146:$PB146,1,MAX(1,$MC146)),1))&amp;MID(INDEX($OV146:$PB146,1,MAX(1,$MC146)),2,99)&amp;IF($MF146="",""," "&amp;$MF146)&amp;IF($ON146&gt;0," · +"&amp;$ON146&amp;"d8",""))))</f>
        <v/>
      </c>
      <c r="PO146" s="152">
        <f>COUNTIF($MH146:$MK146,"Longe")+3*COUNTIF($MH146:$MK146,"Muito Longe")</f>
        <v/>
      </c>
      <c r="PP146" s="152">
        <f>COUNTIF($MH146:$MK146,"Maior")+3*COUNTIF($MH146:$MK146,"Muito Maior")</f>
        <v/>
      </c>
      <c r="PQ146" s="152">
        <f>IF($MT146=0,0,CHOOSE(1+INDEX($AC$2:$AC$11,$MT146),0,$PO146,$PP146,$PO146+$PP146))</f>
        <v/>
      </c>
      <c r="PR146" s="152">
        <f>IF($MT146=0,0,CHOOSE(1+INDEX($AD$2:$AD$11,$MT146),0,$PO146,$PP146,$PO146+$PP146))</f>
        <v/>
      </c>
      <c r="PS146" s="152">
        <f>IF(OR($MN146=0,$MT146=0),"",INDEX($AI$2:$AN$41,($MT146-1)*4+IF($MC146=0,1,IF($MC146&lt;=5,2,IF($MC146=6,3,4))),1+MIN(5,$PQ146))&amp;INDEX($AO$2:$AT$41,($MT146-1)*4+IF($MC146=0,1,IF($MC146&lt;=5,2,IF($MC146=6,3,4))),1+MIN(5,$PR146))&amp;IF(INDEX($AE$2:$AE$11,$MT146)=1,IF(COUNTIF($MH146:$MK146,"Mais Um")&gt;0," · +"&amp;COUNTIF($MH146:$MK146,"Mais Um")&amp;IF(COUNTIF($MH146:$MK146,"Mais Um")&gt;1," alvos"," alvo"),"")&amp;IF(COUNTIF($MH146:$MK146,"Rajada")&gt;0,IF($MC146=0," · 1 tiro"," · "&amp;(MAX(1,$MC146-1)+1)&amp;" tiros"),""),""))</f>
        <v/>
      </c>
      <c r="PT146" s="152">
        <f>IF($MN146=0,"",IF($MC146=0,$MQ146&amp;"d6"&amp;IF($OD146&gt;0," − 1 = "&amp;$OM146&amp;"d6"," da básica do nível "&amp;$MO146),$OK146&amp;" − "&amp;$OF146&amp;" + "&amp;$OI146&amp;" = "&amp;$OL146&amp;" · teto "&amp;4*$MC146&amp;"d8"&amp;IF($NO146=1," · a Forma devolve "&amp;$MC146,"")&amp;IF($OJ146&gt;0," · perde "&amp;$OJ146,"")))</f>
        <v/>
      </c>
      <c r="PU146" s="152">
        <f>IF($MN146=0,"",IF($MC146=0,"A básica não amplia: os dados dela sobem com o nível",IF($MC146&gt;=$MP146,"Já está na maior Classe que o nível liberou",TEXTJOIN(" · ",TRUE,IF(AND(2&gt;$MC146,2&lt;=$MP146),"2 → "&amp;$OW146&amp;", 6 PE",""),IF(AND(3&gt;$MC146,3&lt;=$MP146),"3 → "&amp;$OX146&amp;", 9 PE",""),IF(AND(4&gt;$MC146,4&lt;=$MP146),"4 → "&amp;$OY146&amp;", 12 PE",""),IF(AND(5&gt;$MC146,5&lt;=$MP146),"5 → "&amp;$OZ146&amp;", 15 PE",""),IF(AND(6&gt;$MC146,6&lt;=$MP146),"6 → "&amp;$PA146&amp;", 18 PE",""),IF(AND(7&gt;$MC146,7&lt;=$MP146),"7 → "&amp;$PB146&amp;", 21 PE","")))))</f>
        <v/>
      </c>
      <c r="PV146" s="152">
        <f>IF(OR($MN146=0,$MY146=0),"",IF($MC146=0,"−1 dado","−"&amp;INDEX($I$2:$N$8,MAX(1,$MC146),MAX(1,$ND146))&amp;" · "&amp;CHOOSE(MAX(1,$ND146),"Leve","Média","Pesada","Leve · Livre","Média · Livre","Pesada · Livre")))</f>
        <v/>
      </c>
      <c r="PW146" s="152">
        <f>IF(OR($MN146=0,$MZ146=0),"",IF($MC146=0,"−1 dado","−"&amp;INDEX($I$2:$N$8,MAX(1,$MC146),MAX(1,$NE146))&amp;" · "&amp;CHOOSE(MAX(1,$NE146),"Leve","Média","Pesada","Leve · Livre","Média · Livre","Pesada · Livre")))</f>
        <v/>
      </c>
      <c r="PX146" s="152">
        <f>IF(OR($MN146=0,$NA146=0),"",IF($MC146=0,"−1 dado","−"&amp;INDEX($I$2:$N$8,MAX(1,$MC146),MAX(1,$NF146))&amp;" · "&amp;CHOOSE(MAX(1,$NF146),"Leve","Média","Pesada","Leve · Livre","Média · Livre","Pesada · Livre")))</f>
        <v/>
      </c>
      <c r="PY146" s="152">
        <f>IF(OR($MN146=0,$NB146=0),"",IF($MC146=0,"−1 dado","−"&amp;INDEX($I$2:$N$8,MAX(1,$MC146),MAX(1,$NG146))&amp;" · "&amp;CHOOSE(MAX(1,$NG146),"Leve","Média","Pesada","Leve · Livre","Média · Livre","Pesada · Livre")))</f>
        <v/>
      </c>
      <c r="PZ146" s="152">
        <f>IF(OR($MN146=0,$ML146=""),"",IF($MC146=0,"não devolve","+"&amp;IF($NR146=1,CEILING($MC146/2,1),$MC146)))</f>
        <v/>
      </c>
      <c r="QA146" s="152">
        <f>IF(OR($MN146=0,$MM146=""),"",IF($MC146=0,"não devolve","+"&amp;IF($NS146=1,CEILING($MC146/2,1),$MC146)))</f>
        <v/>
      </c>
    </row>
    <row r="147">
      <c r="LX147" s="150" t="inlineStr">
        <is>
          <t>Ficha 12 · Especial 2</t>
        </is>
      </c>
      <c r="LY147" s="152" t="n">
        <v>12</v>
      </c>
      <c r="LZ147" s="152" t="n">
        <v>1</v>
      </c>
      <c r="MA147" s="152" t="n">
        <v>4</v>
      </c>
      <c r="MB147" s="150" t="inlineStr">
        <is>
          <t>ESPECIAL 2</t>
        </is>
      </c>
      <c r="MC147" s="152">
        <f>MAX(1,MIN(7,N('INVOCAÇÕES'!$AN$1048)))</f>
        <v/>
      </c>
      <c r="MD147" s="152">
        <f>'INVOCAÇÕES'!$AO$1048&amp;""</f>
        <v/>
      </c>
      <c r="ME147" s="152">
        <f>'INVOCAÇÕES'!$AN$1053&amp;""</f>
        <v/>
      </c>
      <c r="MF147" s="152">
        <f>'INVOCAÇÕES'!$AN$1054&amp;""</f>
        <v/>
      </c>
      <c r="MG147" s="152">
        <f>'INVOCAÇÕES'!$AP$1054&amp;""</f>
        <v/>
      </c>
      <c r="MH147" s="152">
        <f>'INVOCAÇÕES'!$AO$1057&amp;""</f>
        <v/>
      </c>
      <c r="MI147" s="152">
        <f>'INVOCAÇÕES'!$AO$1058&amp;""</f>
        <v/>
      </c>
      <c r="MJ147" s="152">
        <f>'INVOCAÇÕES'!$AO$1059&amp;""</f>
        <v/>
      </c>
      <c r="MK147" s="152">
        <f>'INVOCAÇÕES'!$AO$1060&amp;""</f>
        <v/>
      </c>
      <c r="ML147" s="152">
        <f>'INVOCAÇÕES'!$AO$1061&amp;""</f>
        <v/>
      </c>
      <c r="MM147" s="152">
        <f>'INVOCAÇÕES'!$AO$1062&amp;""</f>
        <v/>
      </c>
      <c r="MN147" s="152">
        <f>IF($MD147&lt;&gt;"",1,0)</f>
        <v/>
      </c>
      <c r="MO147" s="152">
        <f>INDEX($FG$2:$FG$13,$LY147)</f>
        <v/>
      </c>
      <c r="MP147" s="152">
        <f>INDEX($FH$2:$FH$13,$LY147)</f>
        <v/>
      </c>
      <c r="MQ147" s="152">
        <f>INDEX($FI$2:$FI$13,$LY147)</f>
        <v/>
      </c>
      <c r="MR147" s="152">
        <f>INDEX($FT$2:$FT$13,$LY147)</f>
        <v/>
      </c>
      <c r="MS147" s="152">
        <f>INDEX($FU$2:$FU$13,$LY147)</f>
        <v/>
      </c>
      <c r="MT147" s="152">
        <f>IFERROR(MATCH($ME147,$V$2:$V$11,0),0)</f>
        <v/>
      </c>
      <c r="MU147" s="152">
        <f>IFERROR(VLOOKUP($MH147,$AV$2:$AZ$84,2,FALSE),"")</f>
        <v/>
      </c>
      <c r="MV147" s="152">
        <f>IFERROR(VLOOKUP($MI147,$AV$2:$AZ$84,2,FALSE),"")</f>
        <v/>
      </c>
      <c r="MW147" s="152">
        <f>IFERROR(VLOOKUP($MJ147,$AV$2:$AZ$84,2,FALSE),"")</f>
        <v/>
      </c>
      <c r="MX147" s="152">
        <f>IFERROR(VLOOKUP($MK147,$AV$2:$AZ$84,2,FALSE),"")</f>
        <v/>
      </c>
      <c r="MY147" s="152">
        <f>IFERROR(VLOOKUP($MH147,$AV$2:$AZ$84,3,FALSE),0)</f>
        <v/>
      </c>
      <c r="MZ147" s="152">
        <f>IFERROR(VLOOKUP($MI147,$AV$2:$AZ$84,3,FALSE),0)</f>
        <v/>
      </c>
      <c r="NA147" s="152">
        <f>IFERROR(VLOOKUP($MJ147,$AV$2:$AZ$84,3,FALSE),0)</f>
        <v/>
      </c>
      <c r="NB147" s="152">
        <f>IFERROR(VLOOKUP($MK147,$AV$2:$AZ$84,3,FALSE),0)</f>
        <v/>
      </c>
      <c r="NC147" s="152">
        <f>IF($MC147=0,0,IF($MT147=0,0,INDEX($X$2:$X$11,$MT147)))</f>
        <v/>
      </c>
      <c r="ND147" s="152">
        <f>IF(OR($MY147=0,$MC147=0),0,$MY147+3*IF(AND($MU147&lt;&gt;"",OR($MU147=INDEX($ED$2:$ED$13,$LY147),$MU147=INDEX($EE$2:$EE$13,$LY147))),1,0))</f>
        <v/>
      </c>
      <c r="NE147" s="152">
        <f>IF(OR($MZ147=0,$MC147=0),0,$MZ147+3*IF(AND($MV147&lt;&gt;"",OR($MV147=INDEX($ED$2:$ED$13,$LY147),$MV147=INDEX($EE$2:$EE$13,$LY147))),1,0))</f>
        <v/>
      </c>
      <c r="NF147" s="152">
        <f>IF(OR($NA147=0,$MC147=0),0,$NA147+3*IF(AND($MW147&lt;&gt;"",OR($MW147=INDEX($ED$2:$ED$13,$LY147),$MW147=INDEX($EE$2:$EE$13,$LY147))),1,0))</f>
        <v/>
      </c>
      <c r="NG147" s="152">
        <f>IF(OR($NB147=0,$MC147=0),0,$NB147+3*IF(AND($MX147&lt;&gt;"",OR($MX147=INDEX($ED$2:$ED$13,$LY147),$MX147=INDEX($EE$2:$EE$13,$LY147))),1,0))</f>
        <v/>
      </c>
      <c r="NH147" s="152">
        <f>IF($MT147=0,0,IF(INDEX($W$2:$W$11,$MT147)="",0,IF(COUNTIF(INDEX($ED$2:$EH$13,$LY147,0),INDEX($W$2:$W$11,$MT147))=0,1,0)))</f>
        <v/>
      </c>
      <c r="NI147" s="152">
        <f>IF(OR($MY147=0,$MU147=""),0,IF(COUNTIF(INDEX($ED$2:$EH$13,$LY147,0),$MU147)=0,1,0))</f>
        <v/>
      </c>
      <c r="NJ147" s="152">
        <f>IF(OR($MZ147=0,$MV147=""),0,IF(COUNTIF(INDEX($ED$2:$EH$13,$LY147,0),$MV147)=0,1,0))</f>
        <v/>
      </c>
      <c r="NK147" s="152">
        <f>IF(OR($NA147=0,$MW147=""),0,IF(COUNTIF(INDEX($ED$2:$EH$13,$LY147,0),$MW147)=0,1,0))</f>
        <v/>
      </c>
      <c r="NL147" s="152">
        <f>IF(OR($NB147=0,$MX147=""),0,IF(COUNTIF(INDEX($ED$2:$EH$13,$LY147,0),$MX147)=0,1,0))</f>
        <v/>
      </c>
      <c r="NM147" s="152">
        <f>IFERROR(VLOOKUP($MH147,$AV$2:$AZ$84,4,FALSE),0)+IFERROR(VLOOKUP($MI147,$AV$2:$AZ$84,4,FALSE),0)+IFERROR(VLOOKUP($MJ147,$AV$2:$AZ$84,4,FALSE),0)+IFERROR(VLOOKUP($MK147,$AV$2:$AZ$84,4,FALSE),0)</f>
        <v/>
      </c>
      <c r="NN147" s="152">
        <f>TEXTJOIN(", ",TRUE,IF(IFERROR(VLOOKUP($MH147,$AV$2:$AZ$84,5,FALSE),0)=1,$MH147,""),IF(IFERROR(VLOOKUP($MI147,$AV$2:$AZ$84,5,FALSE),0)=1,$MI147,""),IF(IFERROR(VLOOKUP($MJ147,$AV$2:$AZ$84,5,FALSE),0)=1,$MJ147,""),IF(IFERROR(VLOOKUP($MK147,$AV$2:$AZ$84,5,FALSE),0)=1,$MK147,""))</f>
        <v/>
      </c>
      <c r="NO147" s="152">
        <f>IF($MT147=0,0,INDEX($Y$2:$Y$11,$MT147))</f>
        <v/>
      </c>
      <c r="NP147" s="152">
        <f>IF($MT147=0,0,INDEX($Z$2:$Z$11,$MT147))</f>
        <v/>
      </c>
      <c r="NQ147" s="152">
        <f>IF($MT147=0,0,INDEX($AB$2:$AB$11,$MT147))</f>
        <v/>
      </c>
      <c r="NR147" s="152">
        <f>IFERROR(VLOOKUP($ML147,$BB$2:$BF$24,3,FALSE),0)</f>
        <v/>
      </c>
      <c r="NS147" s="152">
        <f>IFERROR(VLOOKUP($MM147,$BB$2:$BF$24,3,FALSE),0)</f>
        <v/>
      </c>
      <c r="NT147" s="152">
        <f>IFERROR(VLOOKUP($ML147,$BB$2:$BF$24,2,FALSE),"")</f>
        <v/>
      </c>
      <c r="NU147" s="152">
        <f>IFERROR(VLOOKUP($MM147,$BB$2:$BF$24,2,FALSE),"")</f>
        <v/>
      </c>
      <c r="NV147" s="152">
        <f>COUNTIF($NC147:$NG147,1)</f>
        <v/>
      </c>
      <c r="NW147" s="152">
        <f>COUNTIF($NC147:$NG147,2)</f>
        <v/>
      </c>
      <c r="NX147" s="152">
        <f>COUNTIF($NC147:$NG147,3)</f>
        <v/>
      </c>
      <c r="NY147" s="152">
        <f>COUNTIF($NC147:$NG147,4)</f>
        <v/>
      </c>
      <c r="NZ147" s="152">
        <f>COUNTIF($NC147:$NG147,5)</f>
        <v/>
      </c>
      <c r="OA147" s="152">
        <f>COUNTIF($NC147:$NG147,6)</f>
        <v/>
      </c>
      <c r="OB147" s="152">
        <f>COUNTIF($NR147:$NS147,1)</f>
        <v/>
      </c>
      <c r="OC147" s="152">
        <f>COUNTIF($NR147:$NS147,2)+$NO147</f>
        <v/>
      </c>
      <c r="OD147" s="152">
        <f>COUNTIF($MH147:$MK147,"?*")</f>
        <v/>
      </c>
      <c r="OE147" s="152">
        <f>COUNTIF($ML147:$MM147,"?*")+$NO147</f>
        <v/>
      </c>
      <c r="OF147" s="152">
        <f>IF($MC147=0,0,SUMPRODUCT($NV147:$OA147,INDEX($I$2:$N$8,MAX(1,$MC147),0)))</f>
        <v/>
      </c>
      <c r="OG147" s="152">
        <f>IF($MC147=0,0,$OB147*CEILING($MC147/2,1)+$OC147*$MC147)</f>
        <v/>
      </c>
      <c r="OH147" s="152">
        <f>MIN(2*$MC147,$OG147)</f>
        <v/>
      </c>
      <c r="OI147" s="152">
        <f>MIN($OH147,$OF147)</f>
        <v/>
      </c>
      <c r="OJ147" s="152">
        <f>$OH147-$OI147</f>
        <v/>
      </c>
      <c r="OK147" s="152">
        <f>IF($MC147=0,0,INDEX($P$2:$P$8,MAX(1,$MC147)))</f>
        <v/>
      </c>
      <c r="OL147" s="152">
        <f>$OK147-$OF147+$OI147</f>
        <v/>
      </c>
      <c r="OM147" s="152">
        <f>IF($MC147=0,MAX(0,$MQ147-IF($OD147&gt;0,1,0)),MAX(0,$OL147))</f>
        <v/>
      </c>
      <c r="ON147" s="152">
        <f>IF($MC147=0,0,(IF(COUNTIF($MH147:$MK147,"Salto")&gt;0,1,0)+IF(COUNTIF($MH147:$MK147,"Queima")&gt;0,1,0)+IF(COUNTIF($MH147:$MK147,"Estilhaço")&gt;0,1,0))*FLOOR($OM147/2,1))</f>
        <v/>
      </c>
      <c r="OO147" s="152">
        <f>MAX(0,2-SUMPRODUCT($NV147:$OA147,$I$2:$N$2)+MIN(2,$OB147*1+$OC147*1,SUMPRODUCT($NV147:$OA147,$I$2:$N$2)))</f>
        <v/>
      </c>
      <c r="OP147" s="152">
        <f>MAX(0,4-SUMPRODUCT($NV147:$OA147,$I$3:$N$3)+MIN(4,$OB147*1+$OC147*2,SUMPRODUCT($NV147:$OA147,$I$3:$N$3)))</f>
        <v/>
      </c>
      <c r="OQ147" s="152">
        <f>MAX(0,6-SUMPRODUCT($NV147:$OA147,$I$4:$N$4)+MIN(6,$OB147*2+$OC147*3,SUMPRODUCT($NV147:$OA147,$I$4:$N$4)))</f>
        <v/>
      </c>
      <c r="OR147" s="152">
        <f>MAX(0,9-SUMPRODUCT($NV147:$OA147,$I$5:$N$5)+MIN(8,$OB147*2+$OC147*4,SUMPRODUCT($NV147:$OA147,$I$5:$N$5)))</f>
        <v/>
      </c>
      <c r="OS147" s="152">
        <f>MAX(0,11-SUMPRODUCT($NV147:$OA147,$I$6:$N$6)+MIN(10,$OB147*3+$OC147*5,SUMPRODUCT($NV147:$OA147,$I$6:$N$6)))</f>
        <v/>
      </c>
      <c r="OT147" s="152">
        <f>MAX(0,13-SUMPRODUCT($NV147:$OA147,$I$7:$N$7)+MIN(12,$OB147*3+$OC147*6,SUMPRODUCT($NV147:$OA147,$I$7:$N$7)))</f>
        <v/>
      </c>
      <c r="OU147" s="152">
        <f>MAX(0,16-SUMPRODUCT($NV147:$OA147,$I$8:$N$8)+MIN(14,$OB147*4+$OC147*7,SUMPRODUCT($NV147:$OA147,$I$8:$N$8)))</f>
        <v/>
      </c>
      <c r="OV147" s="152">
        <f>IF($NP147=2,3*$OO147&amp;" de vida temp.",IF($NP147=3,"sem dano",IF($OO147=0,IF($NP147=1,"sem cura","sem dano"),IF($NP147=1,"cura ","")&amp;$OO147&amp;"d8")))</f>
        <v/>
      </c>
      <c r="OW147" s="152">
        <f>IF($NP147=2,3*$OP147&amp;" de vida temp.",IF($NP147=3,"sem dano",IF($OP147=0,IF($NP147=1,"sem cura","sem dano"),IF($NP147=1,"cura ","")&amp;$OP147&amp;"d8")))</f>
        <v/>
      </c>
      <c r="OX147" s="152">
        <f>IF($NP147=2,3*$OQ147&amp;" de vida temp.",IF($NP147=3,"sem dano",IF($OQ147=0,IF($NP147=1,"sem cura","sem dano"),IF($NP147=1,"cura ","")&amp;$OQ147&amp;"d8")))</f>
        <v/>
      </c>
      <c r="OY147" s="152">
        <f>IF($NP147=2,3*$OR147&amp;" de vida temp.",IF($NP147=3,"sem dano",IF($OR147=0,IF($NP147=1,"sem cura","sem dano"),IF($NP147=1,"cura ","")&amp;$OR147&amp;"d8")))</f>
        <v/>
      </c>
      <c r="OZ147" s="152">
        <f>IF($NP147=2,3*$OS147&amp;" de vida temp.",IF($NP147=3,"sem dano",IF($OS147=0,IF($NP147=1,"sem cura","sem dano"),IF($NP147=1,"cura ","")&amp;$OS147&amp;"d8")))</f>
        <v/>
      </c>
      <c r="PA147" s="152">
        <f>IF($NP147=2,3*$OT147&amp;" de vida temp.",IF($NP147=3,"sem dano",IF($OT147=0,IF($NP147=1,"sem cura","sem dano"),IF($NP147=1,"cura ","")&amp;$OT147&amp;"d8")))</f>
        <v/>
      </c>
      <c r="PB147" s="152">
        <f>IF($NP147=2,3*$OU147&amp;" de vida temp.",IF($NP147=3,"sem dano",IF($OU147=0,IF($NP147=1,"sem cura","sem dano"),IF($NP147=1,"cura ","")&amp;$OU147&amp;"d8")))</f>
        <v/>
      </c>
      <c r="PC147" s="152">
        <f>IF($MN147=0,"",TEXTJOIN(" · ",TRUE,IF($MA147&gt;$MO147,"Este lugar abre no nível "&amp;$MA147,""),IF($MC147&gt;$MP147,"Classe "&amp;$MC147&amp;": o nível "&amp;$MO147&amp;" libera até a "&amp;$MP147,""),IF($NH147=1,"A Forma "&amp;$ME147&amp;" pede "&amp;INDEX($W$2:$W$11,$MT147)&amp;" aberta",""),IF(AND($MC147=0,$MT147&gt;0,IF($MT147=0,0,INDEX($AF$2:$AF$11,$MT147))=0),$ME147&amp;" não existe na Classe 0",""),IF($NI147=1,"Família Fechada: "&amp;$MH147,""),IF($NJ147=1,"Família Fechada: "&amp;$MI147,""),IF($NK147=1,"Família Fechada: "&amp;$MJ147,""),IF($NL147=1,"Família Fechada: "&amp;$MK147,""),IF(AND($MC147&gt;0,$OD147&gt;INDEX($O$2:$O$8,MAX(1,$MC147))),$OD147&amp;" Melhorias: a Classe "&amp;$MC147&amp;" aceita "&amp;INDEX($O$2:$O$8,MAX(1,$MC147)),""),IF(AND($MC147=0,$OD147&gt;1),"A básica aceita uma Melhoria",""),IF(AND($MC147=0,COUNTIF($MY147:$NB147,"&gt;1")&gt;0),"A básica só aceita Melhoria Leve",""),IF(AND($MC147&gt;0,$OE147&gt;2),$OE147&amp;" Restrições"&amp;IF($NO147=1,", contando a que a Forma "&amp;$ME147&amp;" já traz","")&amp;": o limite é 2",""),IF(AND($MC147=0,COUNTIF($ML147:$MM147,"?*")&gt;1),"A básica aceita uma Restrição Leve",""),IF(AND($MC147=0,COUNTIF($NR147:$NS147,2)&gt;0),"A básica só aceita Restrição Leve",""),IF(AND($MC147&gt;0,$OL147&lt;0),"Orçamento estourado: faltam "&amp;(-$OL147)&amp;IF($OL147&lt;-1," pontos"," ponto"),""),IF(IFERROR(VLOOKUP($ML147,$BB$2:$BF$24,4,FALSE),0)+IFERROR(VLOOKUP($MM147,$BB$2:$BF$24,4,FALSE),0)&gt;1,$NT147&amp;" e "&amp;$NU147&amp;" são as duas de frequência",""),IF(AND((COUNTIF($MH147:$MK147,"Rápido")+COUNTIF($NT147:$NU147,"Rápido"))&gt;0,(COUNTIF($MH147:$MK147,"Atrasar")+COUNTIF($NT147:$NU147,"Atrasar"))&gt;0),"Rápido não entra com Atrasar",""),IF(AND((COUNTIF($MH147:$MK147,"Reação")+COUNTIF($NT147:$NU147,"Reação"))&gt;0,(COUNTIF($MH147:$MK147,"Rápido")+COUNTIF($NT147:$NU147,"Rápido"))&gt;0),"Reação não entra com Rápido",""),IF(AND((COUNTIF($MH147:$MK147,"Reação")+COUNTIF($NT147:$NU147,"Reação"))&gt;0,(COUNTIF($MH147:$MK147,"Armado")+COUNTIF($NT147:$NU147,"Armado"))&gt;0),"Reação não entra com Armado",""),IF(AND((COUNTIF($MH147:$MK147,"Reação")+COUNTIF($NT147:$NU147,"Reação"))&gt;0,(COUNTIF($MH147:$MK147,"Atrasar")+COUNTIF($NT147:$NU147,"Atrasar"))&gt;0),"Reação não entra com Atrasar",""),IF(AND((COUNTIF($MH147:$MK147,"Reação")+COUNTIF($NT147:$NU147,"Reação"))&gt;0,(COUNTIF($MH147:$MK147,"Parado")+COUNTIF($NT147:$NU147,"Parado"))&gt;0),"Reação não entra com Parado",""),IF(AND((COUNTIF($MH147:$MK147,"Atrasar")+COUNTIF($NT147:$NU147,"Atrasar"))&gt;0,(COUNTIF($MH147:$MK147,"Parado")+COUNTIF($NT147:$NU147,"Parado"))&gt;0),"Atrasar não entra com Parado",""),IF(AND((COUNTIF($MH147:$MK147,"Armado")+COUNTIF($NT147:$NU147,"Armado"))&gt;0,(COUNTIF($MH147:$MK147,"Carregar")+COUNTIF($NT147:$NU147,"Carregar"))&gt;0),"Armado não entra com Carregar",""),IF(AND(COUNTIF($NT147:$NU147,"Corpo a Corpo")&gt;0,$NO147=0,OR($ME147="Cone",$ME147="Linha")),"Corpo a Corpo não entra em "&amp;$ME147,""),IF(AND(COUNTIF($NT147:$NU147,"Corpo a Corpo")&gt;0,$NO147=1),"A Forma "&amp;$ME147&amp;" já traz o Corpo a Corpo",""),IF(AND(COUNTIF($NT147:$NU147,"Tudo ou Nada")&gt;0,$NQ147=0),"Tudo ou Nada só entra em habilidade de Teste de Resistência",""),IF(AND(COUNTIF($MH147:$MK147,"Inescapável")&gt;0,OR($OD147&gt;1,$OE147&gt;0)),"Inescapável não aceita outra peça",""),IF(AND($MC147&gt;0,$OM147*IF(COUNTIF($MH147:$MK147,"Remate")&gt;0,1.25,1)+$ON147&gt;4*$MC147),($OM147*IF(COUNTIF($MH147:$MK147,"Remate")&gt;0,1.25,1)+$ON147)&amp;" dados somando repetições"&amp;IF(COUNTIF($MH147:$MK147,"Remate")&gt;0," e o Remate","")&amp;": o teto da Classe "&amp;$MC147&amp;" é "&amp;4*$MC147,"")))</f>
        <v/>
      </c>
      <c r="PD147" s="152">
        <f>IF($PC147="",0,(LEN($PC147)-LEN(SUBSTITUTE($PC147," · ","")))/3+1)</f>
        <v/>
      </c>
      <c r="PE147" s="152">
        <f>IF($MN147=0,"",TEXTJOIN(" · ",TRUE,IF($OG147&gt;2*$MC147,"A devolução parou no teto de "&amp;2*$MC147,""),IF($OJ147&gt;0,"Devolução perdida: "&amp;$OJ147&amp;IF($OJ147&gt;1," pontos"," ponto")&amp;" sem peça para pagar",""),IF(AND($NM147&gt;0,AND($MC147&gt;0,$NP147=0),$OM147=0),"Controle sem dano: uma rodada a mais e CD +2",""),IF(AND($NM147&gt;0,AND($MC147&gt;0,$NP147=0),$OM147&gt;0,$OM147&lt;=$MC147),"Controle com saldo até a Classe: uma rodada a mais",""),IF(AND($MC147&gt;0,$NN147&lt;&gt;""),"Efeito de "&amp;$NN147&amp;" pela Classe "&amp;MAX(1,$MC147-1),"")))</f>
        <v/>
      </c>
      <c r="PF147" s="152">
        <f>IF($PE147="",0,(LEN($PE147)-LEN(SUBSTITUTE($PE147," · ","")))/3+1)</f>
        <v/>
      </c>
      <c r="PG147" s="152">
        <f>IF($MN147=0,IF($OD147+COUNTIF($ML147:$MM147,"?*")&gt;0,"Dê um nome",""),IF($PD147&gt;0,"⚠ "&amp;$PD147&amp;IF($PD147&gt;1," erros"," erro"),IF($PF147&gt;0,"! "&amp;$PF147&amp;IF($PF147&gt;1," avisos"," aviso"),"Na regra")))</f>
        <v/>
      </c>
      <c r="PH147" s="152">
        <f>IF($MN147=0,"",IF($PD147+$PF147=0,"Dentro das regras que a ficha confere",$PC147&amp;IF(AND($PD147&gt;0,$PF147&gt;0)," · ","")&amp;$PE147))</f>
        <v/>
      </c>
      <c r="PI147" s="152">
        <f>IF($MA147&gt;$MO147,$MB147&amp;" · ABRE NO NÍVEL "&amp;$MA147,$MB147)</f>
        <v/>
      </c>
      <c r="PJ147" s="152">
        <f>IF($MN147=0,"",IF($MC147=0,"Sem PE",3*$MC147&amp;" PE"))</f>
        <v/>
      </c>
      <c r="PK147" s="152">
        <f>IF($MN147=0,"",IF($MC147=0,"A atuação básica dela",IF(COUNTIF($NT147:$NU147,"Atrasar")&gt;0,"Sua Ação Completa",IF(COUNTIF($MH147:$MK147,"Rápido")&gt;0,"Sua Bônus",IF(COUNTIF($MH147:$MK147,"Reação")&gt;0,"Sua Reação","Sua Padrão")))&amp;" + a básica dela"&amp;IF(COUNTIF($MH147:$MK147,"Reação")&gt;0," e a coletiva","")&amp;IF(COUNTIF($NT147:$NU147,"Carregar")&gt;0," · em dois turnos","")))</f>
        <v/>
      </c>
      <c r="PL147" s="152">
        <f>IF($MG147&lt;&gt;"",$MG147,IF($MT147=0,"",INDEX($AA$2:$AA$11,$MT147)))</f>
        <v/>
      </c>
      <c r="PM147" s="152">
        <f>IF(OR($MN147=0,$MT147=0),"",IF(COUNTIF($MH147:$MK147,"Inescapável")&gt;0,"Automático",IF($PL147="Ataque",IF($MR147="","Ataque","Ataque "&amp;IF(($MR147+2*IF(COUNTIF($MH147:$MK147,"Precisão")&gt;0,1,0))&gt;=0,"+","−")&amp;ABS(($MR147+2*IF(COUNTIF($MH147:$MK147,"Precisão")&gt;0,1,0)))),IF(LEFT($PL147,2)="TR",$PL147&amp;IF($MS147="",""," · CD "&amp;$MS147)&amp;IF(COUNTIF($MH147:$MK147,"Certeiro")&gt;0," · metade",""),"Sem rolagem"))))</f>
        <v/>
      </c>
      <c r="PN147" s="152">
        <f>IF(OR($MN147=0,$MT147=0),"",IF($MC147=0,IF(OR($NP147&gt;=1,$OM147=0),"Sem dano",$OM147&amp;"d6"&amp;IF($MF147="",""," "&amp;$MF147)),IF(OR($NP147&gt;=1,$OM147=0),UPPER(LEFT(INDEX($OV147:$PB147,1,MAX(1,$MC147)),1))&amp;MID(INDEX($OV147:$PB147,1,MAX(1,$MC147)),2,99),UPPER(LEFT(INDEX($OV147:$PB147,1,MAX(1,$MC147)),1))&amp;MID(INDEX($OV147:$PB147,1,MAX(1,$MC147)),2,99)&amp;IF($MF147="",""," "&amp;$MF147)&amp;IF($ON147&gt;0," · +"&amp;$ON147&amp;"d8",""))))</f>
        <v/>
      </c>
      <c r="PO147" s="152">
        <f>COUNTIF($MH147:$MK147,"Longe")+3*COUNTIF($MH147:$MK147,"Muito Longe")</f>
        <v/>
      </c>
      <c r="PP147" s="152">
        <f>COUNTIF($MH147:$MK147,"Maior")+3*COUNTIF($MH147:$MK147,"Muito Maior")</f>
        <v/>
      </c>
      <c r="PQ147" s="152">
        <f>IF($MT147=0,0,CHOOSE(1+INDEX($AC$2:$AC$11,$MT147),0,$PO147,$PP147,$PO147+$PP147))</f>
        <v/>
      </c>
      <c r="PR147" s="152">
        <f>IF($MT147=0,0,CHOOSE(1+INDEX($AD$2:$AD$11,$MT147),0,$PO147,$PP147,$PO147+$PP147))</f>
        <v/>
      </c>
      <c r="PS147" s="152">
        <f>IF(OR($MN147=0,$MT147=0),"",INDEX($AI$2:$AN$41,($MT147-1)*4+IF($MC147=0,1,IF($MC147&lt;=5,2,IF($MC147=6,3,4))),1+MIN(5,$PQ147))&amp;INDEX($AO$2:$AT$41,($MT147-1)*4+IF($MC147=0,1,IF($MC147&lt;=5,2,IF($MC147=6,3,4))),1+MIN(5,$PR147))&amp;IF(INDEX($AE$2:$AE$11,$MT147)=1,IF(COUNTIF($MH147:$MK147,"Mais Um")&gt;0," · +"&amp;COUNTIF($MH147:$MK147,"Mais Um")&amp;IF(COUNTIF($MH147:$MK147,"Mais Um")&gt;1," alvos"," alvo"),"")&amp;IF(COUNTIF($MH147:$MK147,"Rajada")&gt;0,IF($MC147=0," · 1 tiro"," · "&amp;(MAX(1,$MC147-1)+1)&amp;" tiros"),""),""))</f>
        <v/>
      </c>
      <c r="PT147" s="152">
        <f>IF($MN147=0,"",IF($MC147=0,$MQ147&amp;"d6"&amp;IF($OD147&gt;0," − 1 = "&amp;$OM147&amp;"d6"," da básica do nível "&amp;$MO147),$OK147&amp;" − "&amp;$OF147&amp;" + "&amp;$OI147&amp;" = "&amp;$OL147&amp;" · teto "&amp;4*$MC147&amp;"d8"&amp;IF($NO147=1," · a Forma devolve "&amp;$MC147,"")&amp;IF($OJ147&gt;0," · perde "&amp;$OJ147,"")))</f>
        <v/>
      </c>
      <c r="PU147" s="152">
        <f>IF($MN147=0,"",IF($MC147=0,"A básica não amplia: os dados dela sobem com o nível",IF($MC147&gt;=$MP147,"Já está na maior Classe que o nível liberou",TEXTJOIN(" · ",TRUE,IF(AND(2&gt;$MC147,2&lt;=$MP147),"2 → "&amp;$OW147&amp;", 6 PE",""),IF(AND(3&gt;$MC147,3&lt;=$MP147),"3 → "&amp;$OX147&amp;", 9 PE",""),IF(AND(4&gt;$MC147,4&lt;=$MP147),"4 → "&amp;$OY147&amp;", 12 PE",""),IF(AND(5&gt;$MC147,5&lt;=$MP147),"5 → "&amp;$OZ147&amp;", 15 PE",""),IF(AND(6&gt;$MC147,6&lt;=$MP147),"6 → "&amp;$PA147&amp;", 18 PE",""),IF(AND(7&gt;$MC147,7&lt;=$MP147),"7 → "&amp;$PB147&amp;", 21 PE","")))))</f>
        <v/>
      </c>
      <c r="PV147" s="152">
        <f>IF(OR($MN147=0,$MY147=0),"",IF($MC147=0,"−1 dado","−"&amp;INDEX($I$2:$N$8,MAX(1,$MC147),MAX(1,$ND147))&amp;" · "&amp;CHOOSE(MAX(1,$ND147),"Leve","Média","Pesada","Leve · Livre","Média · Livre","Pesada · Livre")))</f>
        <v/>
      </c>
      <c r="PW147" s="152">
        <f>IF(OR($MN147=0,$MZ147=0),"",IF($MC147=0,"−1 dado","−"&amp;INDEX($I$2:$N$8,MAX(1,$MC147),MAX(1,$NE147))&amp;" · "&amp;CHOOSE(MAX(1,$NE147),"Leve","Média","Pesada","Leve · Livre","Média · Livre","Pesada · Livre")))</f>
        <v/>
      </c>
      <c r="PX147" s="152">
        <f>IF(OR($MN147=0,$NA147=0),"",IF($MC147=0,"−1 dado","−"&amp;INDEX($I$2:$N$8,MAX(1,$MC147),MAX(1,$NF147))&amp;" · "&amp;CHOOSE(MAX(1,$NF147),"Leve","Média","Pesada","Leve · Livre","Média · Livre","Pesada · Livre")))</f>
        <v/>
      </c>
      <c r="PY147" s="152">
        <f>IF(OR($MN147=0,$NB147=0),"",IF($MC147=0,"−1 dado","−"&amp;INDEX($I$2:$N$8,MAX(1,$MC147),MAX(1,$NG147))&amp;" · "&amp;CHOOSE(MAX(1,$NG147),"Leve","Média","Pesada","Leve · Livre","Média · Livre","Pesada · Livre")))</f>
        <v/>
      </c>
      <c r="PZ147" s="152">
        <f>IF(OR($MN147=0,$ML147=""),"",IF($MC147=0,"não devolve","+"&amp;IF($NR147=1,CEILING($MC147/2,1),$MC147)))</f>
        <v/>
      </c>
      <c r="QA147" s="152">
        <f>IF(OR($MN147=0,$MM147=""),"",IF($MC147=0,"não devolve","+"&amp;IF($NS147=1,CEILING($MC147/2,1),$MC147)))</f>
        <v/>
      </c>
    </row>
    <row r="148">
      <c r="LX148" s="150" t="inlineStr">
        <is>
          <t>Ficha 12 · Básica 2</t>
        </is>
      </c>
      <c r="LY148" s="152" t="n">
        <v>12</v>
      </c>
      <c r="LZ148" s="152" t="n">
        <v>0</v>
      </c>
      <c r="MA148" s="152" t="n">
        <v>11</v>
      </c>
      <c r="MB148" s="150" t="inlineStr">
        <is>
          <t>BÁSICA 2</t>
        </is>
      </c>
      <c r="MC148" s="152" t="n">
        <v>0</v>
      </c>
      <c r="MD148" s="152">
        <f>'INVOCAÇÕES'!$AC$1082&amp;""</f>
        <v/>
      </c>
      <c r="ME148" s="152">
        <f>'INVOCAÇÕES'!$AB$1087&amp;""</f>
        <v/>
      </c>
      <c r="MF148" s="152">
        <f>'INVOCAÇÕES'!$AB$1088&amp;""</f>
        <v/>
      </c>
      <c r="MG148" s="152">
        <f>'INVOCAÇÕES'!$AD$1088&amp;""</f>
        <v/>
      </c>
      <c r="MH148" s="152">
        <f>'INVOCAÇÕES'!$AC$1091&amp;""</f>
        <v/>
      </c>
      <c r="MI148" s="152">
        <f>'INVOCAÇÕES'!$AC$1092&amp;""</f>
        <v/>
      </c>
      <c r="MJ148" s="152">
        <f>'INVOCAÇÕES'!$AC$1093&amp;""</f>
        <v/>
      </c>
      <c r="MK148" s="152">
        <f>'INVOCAÇÕES'!$AC$1094&amp;""</f>
        <v/>
      </c>
      <c r="ML148" s="152">
        <f>'INVOCAÇÕES'!$AC$1095&amp;""</f>
        <v/>
      </c>
      <c r="MM148" s="152">
        <f>'INVOCAÇÕES'!$AC$1096&amp;""</f>
        <v/>
      </c>
      <c r="MN148" s="152">
        <f>IF($MD148&lt;&gt;"",1,0)</f>
        <v/>
      </c>
      <c r="MO148" s="152">
        <f>INDEX($FG$2:$FG$13,$LY148)</f>
        <v/>
      </c>
      <c r="MP148" s="152">
        <f>INDEX($FH$2:$FH$13,$LY148)</f>
        <v/>
      </c>
      <c r="MQ148" s="152">
        <f>INDEX($FI$2:$FI$13,$LY148)</f>
        <v/>
      </c>
      <c r="MR148" s="152">
        <f>INDEX($FT$2:$FT$13,$LY148)</f>
        <v/>
      </c>
      <c r="MS148" s="152">
        <f>INDEX($FU$2:$FU$13,$LY148)</f>
        <v/>
      </c>
      <c r="MT148" s="152">
        <f>IFERROR(MATCH($ME148,$V$2:$V$11,0),0)</f>
        <v/>
      </c>
      <c r="MU148" s="152">
        <f>IFERROR(VLOOKUP($MH148,$AV$2:$AZ$84,2,FALSE),"")</f>
        <v/>
      </c>
      <c r="MV148" s="152">
        <f>IFERROR(VLOOKUP($MI148,$AV$2:$AZ$84,2,FALSE),"")</f>
        <v/>
      </c>
      <c r="MW148" s="152">
        <f>IFERROR(VLOOKUP($MJ148,$AV$2:$AZ$84,2,FALSE),"")</f>
        <v/>
      </c>
      <c r="MX148" s="152">
        <f>IFERROR(VLOOKUP($MK148,$AV$2:$AZ$84,2,FALSE),"")</f>
        <v/>
      </c>
      <c r="MY148" s="152">
        <f>IFERROR(VLOOKUP($MH148,$AV$2:$AZ$84,3,FALSE),0)</f>
        <v/>
      </c>
      <c r="MZ148" s="152">
        <f>IFERROR(VLOOKUP($MI148,$AV$2:$AZ$84,3,FALSE),0)</f>
        <v/>
      </c>
      <c r="NA148" s="152">
        <f>IFERROR(VLOOKUP($MJ148,$AV$2:$AZ$84,3,FALSE),0)</f>
        <v/>
      </c>
      <c r="NB148" s="152">
        <f>IFERROR(VLOOKUP($MK148,$AV$2:$AZ$84,3,FALSE),0)</f>
        <v/>
      </c>
      <c r="NC148" s="152">
        <f>IF($MC148=0,0,IF($MT148=0,0,INDEX($X$2:$X$11,$MT148)))</f>
        <v/>
      </c>
      <c r="ND148" s="152">
        <f>IF(OR($MY148=0,$MC148=0),0,$MY148+3*IF(AND($MU148&lt;&gt;"",OR($MU148=INDEX($ED$2:$ED$13,$LY148),$MU148=INDEX($EE$2:$EE$13,$LY148))),1,0))</f>
        <v/>
      </c>
      <c r="NE148" s="152">
        <f>IF(OR($MZ148=0,$MC148=0),0,$MZ148+3*IF(AND($MV148&lt;&gt;"",OR($MV148=INDEX($ED$2:$ED$13,$LY148),$MV148=INDEX($EE$2:$EE$13,$LY148))),1,0))</f>
        <v/>
      </c>
      <c r="NF148" s="152">
        <f>IF(OR($NA148=0,$MC148=0),0,$NA148+3*IF(AND($MW148&lt;&gt;"",OR($MW148=INDEX($ED$2:$ED$13,$LY148),$MW148=INDEX($EE$2:$EE$13,$LY148))),1,0))</f>
        <v/>
      </c>
      <c r="NG148" s="152">
        <f>IF(OR($NB148=0,$MC148=0),0,$NB148+3*IF(AND($MX148&lt;&gt;"",OR($MX148=INDEX($ED$2:$ED$13,$LY148),$MX148=INDEX($EE$2:$EE$13,$LY148))),1,0))</f>
        <v/>
      </c>
      <c r="NH148" s="152">
        <f>IF($MT148=0,0,IF(INDEX($W$2:$W$11,$MT148)="",0,IF(COUNTIF(INDEX($ED$2:$EH$13,$LY148,0),INDEX($W$2:$W$11,$MT148))=0,1,0)))</f>
        <v/>
      </c>
      <c r="NI148" s="152">
        <f>IF(OR($MY148=0,$MU148=""),0,IF(COUNTIF(INDEX($ED$2:$EH$13,$LY148,0),$MU148)=0,1,0))</f>
        <v/>
      </c>
      <c r="NJ148" s="152">
        <f>IF(OR($MZ148=0,$MV148=""),0,IF(COUNTIF(INDEX($ED$2:$EH$13,$LY148,0),$MV148)=0,1,0))</f>
        <v/>
      </c>
      <c r="NK148" s="152">
        <f>IF(OR($NA148=0,$MW148=""),0,IF(COUNTIF(INDEX($ED$2:$EH$13,$LY148,0),$MW148)=0,1,0))</f>
        <v/>
      </c>
      <c r="NL148" s="152">
        <f>IF(OR($NB148=0,$MX148=""),0,IF(COUNTIF(INDEX($ED$2:$EH$13,$LY148,0),$MX148)=0,1,0))</f>
        <v/>
      </c>
      <c r="NM148" s="152">
        <f>IFERROR(VLOOKUP($MH148,$AV$2:$AZ$84,4,FALSE),0)+IFERROR(VLOOKUP($MI148,$AV$2:$AZ$84,4,FALSE),0)+IFERROR(VLOOKUP($MJ148,$AV$2:$AZ$84,4,FALSE),0)+IFERROR(VLOOKUP($MK148,$AV$2:$AZ$84,4,FALSE),0)</f>
        <v/>
      </c>
      <c r="NN148" s="152">
        <f>TEXTJOIN(", ",TRUE,IF(IFERROR(VLOOKUP($MH148,$AV$2:$AZ$84,5,FALSE),0)=1,$MH148,""),IF(IFERROR(VLOOKUP($MI148,$AV$2:$AZ$84,5,FALSE),0)=1,$MI148,""),IF(IFERROR(VLOOKUP($MJ148,$AV$2:$AZ$84,5,FALSE),0)=1,$MJ148,""),IF(IFERROR(VLOOKUP($MK148,$AV$2:$AZ$84,5,FALSE),0)=1,$MK148,""))</f>
        <v/>
      </c>
      <c r="NO148" s="152">
        <f>IF($MT148=0,0,INDEX($Y$2:$Y$11,$MT148))</f>
        <v/>
      </c>
      <c r="NP148" s="152">
        <f>IF($MT148=0,0,INDEX($Z$2:$Z$11,$MT148))</f>
        <v/>
      </c>
      <c r="NQ148" s="152">
        <f>IF($MT148=0,0,INDEX($AB$2:$AB$11,$MT148))</f>
        <v/>
      </c>
      <c r="NR148" s="152">
        <f>IFERROR(VLOOKUP($ML148,$BB$2:$BF$24,3,FALSE),0)</f>
        <v/>
      </c>
      <c r="NS148" s="152">
        <f>IFERROR(VLOOKUP($MM148,$BB$2:$BF$24,3,FALSE),0)</f>
        <v/>
      </c>
      <c r="NT148" s="152">
        <f>IFERROR(VLOOKUP($ML148,$BB$2:$BF$24,2,FALSE),"")</f>
        <v/>
      </c>
      <c r="NU148" s="152">
        <f>IFERROR(VLOOKUP($MM148,$BB$2:$BF$24,2,FALSE),"")</f>
        <v/>
      </c>
      <c r="NV148" s="152">
        <f>COUNTIF($NC148:$NG148,1)</f>
        <v/>
      </c>
      <c r="NW148" s="152">
        <f>COUNTIF($NC148:$NG148,2)</f>
        <v/>
      </c>
      <c r="NX148" s="152">
        <f>COUNTIF($NC148:$NG148,3)</f>
        <v/>
      </c>
      <c r="NY148" s="152">
        <f>COUNTIF($NC148:$NG148,4)</f>
        <v/>
      </c>
      <c r="NZ148" s="152">
        <f>COUNTIF($NC148:$NG148,5)</f>
        <v/>
      </c>
      <c r="OA148" s="152">
        <f>COUNTIF($NC148:$NG148,6)</f>
        <v/>
      </c>
      <c r="OB148" s="152">
        <f>COUNTIF($NR148:$NS148,1)</f>
        <v/>
      </c>
      <c r="OC148" s="152">
        <f>COUNTIF($NR148:$NS148,2)+$NO148</f>
        <v/>
      </c>
      <c r="OD148" s="152">
        <f>COUNTIF($MH148:$MK148,"?*")</f>
        <v/>
      </c>
      <c r="OE148" s="152">
        <f>COUNTIF($ML148:$MM148,"?*")+$NO148</f>
        <v/>
      </c>
      <c r="OF148" s="152">
        <f>IF($MC148=0,0,SUMPRODUCT($NV148:$OA148,INDEX($I$2:$N$8,MAX(1,$MC148),0)))</f>
        <v/>
      </c>
      <c r="OG148" s="152">
        <f>IF($MC148=0,0,$OB148*CEILING($MC148/2,1)+$OC148*$MC148)</f>
        <v/>
      </c>
      <c r="OH148" s="152">
        <f>MIN(2*$MC148,$OG148)</f>
        <v/>
      </c>
      <c r="OI148" s="152">
        <f>MIN($OH148,$OF148)</f>
        <v/>
      </c>
      <c r="OJ148" s="152">
        <f>$OH148-$OI148</f>
        <v/>
      </c>
      <c r="OK148" s="152">
        <f>IF($MC148=0,0,INDEX($P$2:$P$8,MAX(1,$MC148)))</f>
        <v/>
      </c>
      <c r="OL148" s="152">
        <f>$OK148-$OF148+$OI148</f>
        <v/>
      </c>
      <c r="OM148" s="152">
        <f>IF($MC148=0,MAX(0,$MQ148-IF($OD148&gt;0,1,0)),MAX(0,$OL148))</f>
        <v/>
      </c>
      <c r="ON148" s="152">
        <f>IF($MC148=0,0,(IF(COUNTIF($MH148:$MK148,"Salto")&gt;0,1,0)+IF(COUNTIF($MH148:$MK148,"Queima")&gt;0,1,0)+IF(COUNTIF($MH148:$MK148,"Estilhaço")&gt;0,1,0))*FLOOR($OM148/2,1))</f>
        <v/>
      </c>
      <c r="OO148" s="152">
        <f>MAX(0,2-SUMPRODUCT($NV148:$OA148,$I$2:$N$2)+MIN(2,$OB148*1+$OC148*1,SUMPRODUCT($NV148:$OA148,$I$2:$N$2)))</f>
        <v/>
      </c>
      <c r="OP148" s="152">
        <f>MAX(0,4-SUMPRODUCT($NV148:$OA148,$I$3:$N$3)+MIN(4,$OB148*1+$OC148*2,SUMPRODUCT($NV148:$OA148,$I$3:$N$3)))</f>
        <v/>
      </c>
      <c r="OQ148" s="152">
        <f>MAX(0,6-SUMPRODUCT($NV148:$OA148,$I$4:$N$4)+MIN(6,$OB148*2+$OC148*3,SUMPRODUCT($NV148:$OA148,$I$4:$N$4)))</f>
        <v/>
      </c>
      <c r="OR148" s="152">
        <f>MAX(0,9-SUMPRODUCT($NV148:$OA148,$I$5:$N$5)+MIN(8,$OB148*2+$OC148*4,SUMPRODUCT($NV148:$OA148,$I$5:$N$5)))</f>
        <v/>
      </c>
      <c r="OS148" s="152">
        <f>MAX(0,11-SUMPRODUCT($NV148:$OA148,$I$6:$N$6)+MIN(10,$OB148*3+$OC148*5,SUMPRODUCT($NV148:$OA148,$I$6:$N$6)))</f>
        <v/>
      </c>
      <c r="OT148" s="152">
        <f>MAX(0,13-SUMPRODUCT($NV148:$OA148,$I$7:$N$7)+MIN(12,$OB148*3+$OC148*6,SUMPRODUCT($NV148:$OA148,$I$7:$N$7)))</f>
        <v/>
      </c>
      <c r="OU148" s="152">
        <f>MAX(0,16-SUMPRODUCT($NV148:$OA148,$I$8:$N$8)+MIN(14,$OB148*4+$OC148*7,SUMPRODUCT($NV148:$OA148,$I$8:$N$8)))</f>
        <v/>
      </c>
      <c r="OV148" s="152">
        <f>IF($NP148=2,3*$OO148&amp;" de vida temp.",IF($NP148=3,"sem dano",IF($OO148=0,IF($NP148=1,"sem cura","sem dano"),IF($NP148=1,"cura ","")&amp;$OO148&amp;"d8")))</f>
        <v/>
      </c>
      <c r="OW148" s="152">
        <f>IF($NP148=2,3*$OP148&amp;" de vida temp.",IF($NP148=3,"sem dano",IF($OP148=0,IF($NP148=1,"sem cura","sem dano"),IF($NP148=1,"cura ","")&amp;$OP148&amp;"d8")))</f>
        <v/>
      </c>
      <c r="OX148" s="152">
        <f>IF($NP148=2,3*$OQ148&amp;" de vida temp.",IF($NP148=3,"sem dano",IF($OQ148=0,IF($NP148=1,"sem cura","sem dano"),IF($NP148=1,"cura ","")&amp;$OQ148&amp;"d8")))</f>
        <v/>
      </c>
      <c r="OY148" s="152">
        <f>IF($NP148=2,3*$OR148&amp;" de vida temp.",IF($NP148=3,"sem dano",IF($OR148=0,IF($NP148=1,"sem cura","sem dano"),IF($NP148=1,"cura ","")&amp;$OR148&amp;"d8")))</f>
        <v/>
      </c>
      <c r="OZ148" s="152">
        <f>IF($NP148=2,3*$OS148&amp;" de vida temp.",IF($NP148=3,"sem dano",IF($OS148=0,IF($NP148=1,"sem cura","sem dano"),IF($NP148=1,"cura ","")&amp;$OS148&amp;"d8")))</f>
        <v/>
      </c>
      <c r="PA148" s="152">
        <f>IF($NP148=2,3*$OT148&amp;" de vida temp.",IF($NP148=3,"sem dano",IF($OT148=0,IF($NP148=1,"sem cura","sem dano"),IF($NP148=1,"cura ","")&amp;$OT148&amp;"d8")))</f>
        <v/>
      </c>
      <c r="PB148" s="152">
        <f>IF($NP148=2,3*$OU148&amp;" de vida temp.",IF($NP148=3,"sem dano",IF($OU148=0,IF($NP148=1,"sem cura","sem dano"),IF($NP148=1,"cura ","")&amp;$OU148&amp;"d8")))</f>
        <v/>
      </c>
      <c r="PC148" s="152">
        <f>IF($MN148=0,"",TEXTJOIN(" · ",TRUE,IF($MA148&gt;$MO148,"Este lugar abre no nível "&amp;$MA148,""),IF($MC148&gt;$MP148,"Classe "&amp;$MC148&amp;": o nível "&amp;$MO148&amp;" libera até a "&amp;$MP148,""),IF($NH148=1,"A Forma "&amp;$ME148&amp;" pede "&amp;INDEX($W$2:$W$11,$MT148)&amp;" aberta",""),IF(AND($MC148=0,$MT148&gt;0,IF($MT148=0,0,INDEX($AF$2:$AF$11,$MT148))=0),$ME148&amp;" não existe na Classe 0",""),IF($NI148=1,"Família Fechada: "&amp;$MH148,""),IF($NJ148=1,"Família Fechada: "&amp;$MI148,""),IF($NK148=1,"Família Fechada: "&amp;$MJ148,""),IF($NL148=1,"Família Fechada: "&amp;$MK148,""),IF(AND($MC148&gt;0,$OD148&gt;INDEX($O$2:$O$8,MAX(1,$MC148))),$OD148&amp;" Melhorias: a Classe "&amp;$MC148&amp;" aceita "&amp;INDEX($O$2:$O$8,MAX(1,$MC148)),""),IF(AND($MC148=0,$OD148&gt;1),"A básica aceita uma Melhoria",""),IF(AND($MC148=0,COUNTIF($MY148:$NB148,"&gt;1")&gt;0),"A básica só aceita Melhoria Leve",""),IF(AND($MC148&gt;0,$OE148&gt;2),$OE148&amp;" Restrições"&amp;IF($NO148=1,", contando a que a Forma "&amp;$ME148&amp;" já traz","")&amp;": o limite é 2",""),IF(AND($MC148=0,COUNTIF($ML148:$MM148,"?*")&gt;1),"A básica aceita uma Restrição Leve",""),IF(AND($MC148=0,COUNTIF($NR148:$NS148,2)&gt;0),"A básica só aceita Restrição Leve",""),IF(AND($MC148&gt;0,$OL148&lt;0),"Orçamento estourado: faltam "&amp;(-$OL148)&amp;IF($OL148&lt;-1," pontos"," ponto"),""),IF(IFERROR(VLOOKUP($ML148,$BB$2:$BF$24,4,FALSE),0)+IFERROR(VLOOKUP($MM148,$BB$2:$BF$24,4,FALSE),0)&gt;1,$NT148&amp;" e "&amp;$NU148&amp;" são as duas de frequência",""),IF(AND((COUNTIF($MH148:$MK148,"Rápido")+COUNTIF($NT148:$NU148,"Rápido"))&gt;0,(COUNTIF($MH148:$MK148,"Atrasar")+COUNTIF($NT148:$NU148,"Atrasar"))&gt;0),"Rápido não entra com Atrasar",""),IF(AND((COUNTIF($MH148:$MK148,"Reação")+COUNTIF($NT148:$NU148,"Reação"))&gt;0,(COUNTIF($MH148:$MK148,"Rápido")+COUNTIF($NT148:$NU148,"Rápido"))&gt;0),"Reação não entra com Rápido",""),IF(AND((COUNTIF($MH148:$MK148,"Reação")+COUNTIF($NT148:$NU148,"Reação"))&gt;0,(COUNTIF($MH148:$MK148,"Armado")+COUNTIF($NT148:$NU148,"Armado"))&gt;0),"Reação não entra com Armado",""),IF(AND((COUNTIF($MH148:$MK148,"Reação")+COUNTIF($NT148:$NU148,"Reação"))&gt;0,(COUNTIF($MH148:$MK148,"Atrasar")+COUNTIF($NT148:$NU148,"Atrasar"))&gt;0),"Reação não entra com Atrasar",""),IF(AND((COUNTIF($MH148:$MK148,"Reação")+COUNTIF($NT148:$NU148,"Reação"))&gt;0,(COUNTIF($MH148:$MK148,"Parado")+COUNTIF($NT148:$NU148,"Parado"))&gt;0),"Reação não entra com Parado",""),IF(AND((COUNTIF($MH148:$MK148,"Atrasar")+COUNTIF($NT148:$NU148,"Atrasar"))&gt;0,(COUNTIF($MH148:$MK148,"Parado")+COUNTIF($NT148:$NU148,"Parado"))&gt;0),"Atrasar não entra com Parado",""),IF(AND((COUNTIF($MH148:$MK148,"Armado")+COUNTIF($NT148:$NU148,"Armado"))&gt;0,(COUNTIF($MH148:$MK148,"Carregar")+COUNTIF($NT148:$NU148,"Carregar"))&gt;0),"Armado não entra com Carregar",""),IF(AND(COUNTIF($NT148:$NU148,"Corpo a Corpo")&gt;0,$NO148=0,OR($ME148="Cone",$ME148="Linha")),"Corpo a Corpo não entra em "&amp;$ME148,""),IF(AND(COUNTIF($NT148:$NU148,"Corpo a Corpo")&gt;0,$NO148=1),"A Forma "&amp;$ME148&amp;" já traz o Corpo a Corpo",""),IF(AND(COUNTIF($NT148:$NU148,"Tudo ou Nada")&gt;0,$NQ148=0),"Tudo ou Nada só entra em habilidade de Teste de Resistência",""),IF(AND(COUNTIF($MH148:$MK148,"Inescapável")&gt;0,OR($OD148&gt;1,$OE148&gt;0)),"Inescapável não aceita outra peça",""),IF(AND($MC148&gt;0,$OM148*IF(COUNTIF($MH148:$MK148,"Remate")&gt;0,1.25,1)+$ON148&gt;4*$MC148),($OM148*IF(COUNTIF($MH148:$MK148,"Remate")&gt;0,1.25,1)+$ON148)&amp;" dados somando repetições"&amp;IF(COUNTIF($MH148:$MK148,"Remate")&gt;0," e o Remate","")&amp;": o teto da Classe "&amp;$MC148&amp;" é "&amp;4*$MC148,"")))</f>
        <v/>
      </c>
      <c r="PD148" s="152">
        <f>IF($PC148="",0,(LEN($PC148)-LEN(SUBSTITUTE($PC148," · ","")))/3+1)</f>
        <v/>
      </c>
      <c r="PE148" s="152">
        <f>IF($MN148=0,"",TEXTJOIN(" · ",TRUE,IF($OG148&gt;2*$MC148,"A devolução parou no teto de "&amp;2*$MC148,""),IF($OJ148&gt;0,"Devolução perdida: "&amp;$OJ148&amp;IF($OJ148&gt;1," pontos"," ponto")&amp;" sem peça para pagar",""),IF(AND($NM148&gt;0,AND($MC148&gt;0,$NP148=0),$OM148=0),"Controle sem dano: uma rodada a mais e CD +2",""),IF(AND($NM148&gt;0,AND($MC148&gt;0,$NP148=0),$OM148&gt;0,$OM148&lt;=$MC148),"Controle com saldo até a Classe: uma rodada a mais",""),IF(AND($MC148&gt;0,$NN148&lt;&gt;""),"Efeito de "&amp;$NN148&amp;" pela Classe "&amp;MAX(1,$MC148-1),"")))</f>
        <v/>
      </c>
      <c r="PF148" s="152">
        <f>IF($PE148="",0,(LEN($PE148)-LEN(SUBSTITUTE($PE148," · ","")))/3+1)</f>
        <v/>
      </c>
      <c r="PG148" s="152">
        <f>IF($MN148=0,IF($OD148+COUNTIF($ML148:$MM148,"?*")&gt;0,"Dê um nome",""),IF($PD148&gt;0,"⚠ "&amp;$PD148&amp;IF($PD148&gt;1," erros"," erro"),IF($PF148&gt;0,"! "&amp;$PF148&amp;IF($PF148&gt;1," avisos"," aviso"),"Na regra")))</f>
        <v/>
      </c>
      <c r="PH148" s="152">
        <f>IF($MN148=0,"",IF($PD148+$PF148=0,"Dentro das regras que a ficha confere",$PC148&amp;IF(AND($PD148&gt;0,$PF148&gt;0)," · ","")&amp;$PE148))</f>
        <v/>
      </c>
      <c r="PI148" s="152">
        <f>IF($MA148&gt;$MO148,$MB148&amp;" · ABRE NO NÍVEL "&amp;$MA148,$MB148)</f>
        <v/>
      </c>
      <c r="PJ148" s="152">
        <f>IF($MN148=0,"",IF($MC148=0,"Sem PE",3*$MC148&amp;" PE"))</f>
        <v/>
      </c>
      <c r="PK148" s="152">
        <f>IF($MN148=0,"",IF($MC148=0,"A atuação básica dela",IF(COUNTIF($NT148:$NU148,"Atrasar")&gt;0,"Sua Ação Completa",IF(COUNTIF($MH148:$MK148,"Rápido")&gt;0,"Sua Bônus",IF(COUNTIF($MH148:$MK148,"Reação")&gt;0,"Sua Reação","Sua Padrão")))&amp;" + a básica dela"&amp;IF(COUNTIF($MH148:$MK148,"Reação")&gt;0," e a coletiva","")&amp;IF(COUNTIF($NT148:$NU148,"Carregar")&gt;0," · em dois turnos","")))</f>
        <v/>
      </c>
      <c r="PL148" s="152">
        <f>IF($MG148&lt;&gt;"",$MG148,IF($MT148=0,"",INDEX($AA$2:$AA$11,$MT148)))</f>
        <v/>
      </c>
      <c r="PM148" s="152">
        <f>IF(OR($MN148=0,$MT148=0),"",IF(COUNTIF($MH148:$MK148,"Inescapável")&gt;0,"Automático",IF($PL148="Ataque",IF($MR148="","Ataque","Ataque "&amp;IF(($MR148+2*IF(COUNTIF($MH148:$MK148,"Precisão")&gt;0,1,0))&gt;=0,"+","−")&amp;ABS(($MR148+2*IF(COUNTIF($MH148:$MK148,"Precisão")&gt;0,1,0)))),IF(LEFT($PL148,2)="TR",$PL148&amp;IF($MS148="",""," · CD "&amp;$MS148)&amp;IF(COUNTIF($MH148:$MK148,"Certeiro")&gt;0," · metade",""),"Sem rolagem"))))</f>
        <v/>
      </c>
      <c r="PN148" s="152">
        <f>IF(OR($MN148=0,$MT148=0),"",IF($MC148=0,IF(OR($NP148&gt;=1,$OM148=0),"Sem dano",$OM148&amp;"d6"&amp;IF($MF148="",""," "&amp;$MF148)),IF(OR($NP148&gt;=1,$OM148=0),UPPER(LEFT(INDEX($OV148:$PB148,1,MAX(1,$MC148)),1))&amp;MID(INDEX($OV148:$PB148,1,MAX(1,$MC148)),2,99),UPPER(LEFT(INDEX($OV148:$PB148,1,MAX(1,$MC148)),1))&amp;MID(INDEX($OV148:$PB148,1,MAX(1,$MC148)),2,99)&amp;IF($MF148="",""," "&amp;$MF148)&amp;IF($ON148&gt;0," · +"&amp;$ON148&amp;"d8",""))))</f>
        <v/>
      </c>
      <c r="PO148" s="152">
        <f>COUNTIF($MH148:$MK148,"Longe")+3*COUNTIF($MH148:$MK148,"Muito Longe")</f>
        <v/>
      </c>
      <c r="PP148" s="152">
        <f>COUNTIF($MH148:$MK148,"Maior")+3*COUNTIF($MH148:$MK148,"Muito Maior")</f>
        <v/>
      </c>
      <c r="PQ148" s="152">
        <f>IF($MT148=0,0,CHOOSE(1+INDEX($AC$2:$AC$11,$MT148),0,$PO148,$PP148,$PO148+$PP148))</f>
        <v/>
      </c>
      <c r="PR148" s="152">
        <f>IF($MT148=0,0,CHOOSE(1+INDEX($AD$2:$AD$11,$MT148),0,$PO148,$PP148,$PO148+$PP148))</f>
        <v/>
      </c>
      <c r="PS148" s="152">
        <f>IF(OR($MN148=0,$MT148=0),"",INDEX($AI$2:$AN$41,($MT148-1)*4+IF($MC148=0,1,IF($MC148&lt;=5,2,IF($MC148=6,3,4))),1+MIN(5,$PQ148))&amp;INDEX($AO$2:$AT$41,($MT148-1)*4+IF($MC148=0,1,IF($MC148&lt;=5,2,IF($MC148=6,3,4))),1+MIN(5,$PR148))&amp;IF(INDEX($AE$2:$AE$11,$MT148)=1,IF(COUNTIF($MH148:$MK148,"Mais Um")&gt;0," · +"&amp;COUNTIF($MH148:$MK148,"Mais Um")&amp;IF(COUNTIF($MH148:$MK148,"Mais Um")&gt;1," alvos"," alvo"),"")&amp;IF(COUNTIF($MH148:$MK148,"Rajada")&gt;0,IF($MC148=0," · 1 tiro"," · "&amp;(MAX(1,$MC148-1)+1)&amp;" tiros"),""),""))</f>
        <v/>
      </c>
      <c r="PT148" s="152">
        <f>IF($MN148=0,"",IF($MC148=0,$MQ148&amp;"d6"&amp;IF($OD148&gt;0," − 1 = "&amp;$OM148&amp;"d6"," da básica do nível "&amp;$MO148),$OK148&amp;" − "&amp;$OF148&amp;" + "&amp;$OI148&amp;" = "&amp;$OL148&amp;" · teto "&amp;4*$MC148&amp;"d8"&amp;IF($NO148=1," · a Forma devolve "&amp;$MC148,"")&amp;IF($OJ148&gt;0," · perde "&amp;$OJ148,"")))</f>
        <v/>
      </c>
      <c r="PU148" s="152">
        <f>IF($MN148=0,"",IF($MC148=0,"A básica não amplia: os dados dela sobem com o nível",IF($MC148&gt;=$MP148,"Já está na maior Classe que o nível liberou",TEXTJOIN(" · ",TRUE,IF(AND(2&gt;$MC148,2&lt;=$MP148),"2 → "&amp;$OW148&amp;", 6 PE",""),IF(AND(3&gt;$MC148,3&lt;=$MP148),"3 → "&amp;$OX148&amp;", 9 PE",""),IF(AND(4&gt;$MC148,4&lt;=$MP148),"4 → "&amp;$OY148&amp;", 12 PE",""),IF(AND(5&gt;$MC148,5&lt;=$MP148),"5 → "&amp;$OZ148&amp;", 15 PE",""),IF(AND(6&gt;$MC148,6&lt;=$MP148),"6 → "&amp;$PA148&amp;", 18 PE",""),IF(AND(7&gt;$MC148,7&lt;=$MP148),"7 → "&amp;$PB148&amp;", 21 PE","")))))</f>
        <v/>
      </c>
      <c r="PV148" s="152">
        <f>IF(OR($MN148=0,$MY148=0),"",IF($MC148=0,"−1 dado","−"&amp;INDEX($I$2:$N$8,MAX(1,$MC148),MAX(1,$ND148))&amp;" · "&amp;CHOOSE(MAX(1,$ND148),"Leve","Média","Pesada","Leve · Livre","Média · Livre","Pesada · Livre")))</f>
        <v/>
      </c>
      <c r="PW148" s="152">
        <f>IF(OR($MN148=0,$MZ148=0),"",IF($MC148=0,"−1 dado","−"&amp;INDEX($I$2:$N$8,MAX(1,$MC148),MAX(1,$NE148))&amp;" · "&amp;CHOOSE(MAX(1,$NE148),"Leve","Média","Pesada","Leve · Livre","Média · Livre","Pesada · Livre")))</f>
        <v/>
      </c>
      <c r="PX148" s="152">
        <f>IF(OR($MN148=0,$NA148=0),"",IF($MC148=0,"−1 dado","−"&amp;INDEX($I$2:$N$8,MAX(1,$MC148),MAX(1,$NF148))&amp;" · "&amp;CHOOSE(MAX(1,$NF148),"Leve","Média","Pesada","Leve · Livre","Média · Livre","Pesada · Livre")))</f>
        <v/>
      </c>
      <c r="PY148" s="152">
        <f>IF(OR($MN148=0,$NB148=0),"",IF($MC148=0,"−1 dado","−"&amp;INDEX($I$2:$N$8,MAX(1,$MC148),MAX(1,$NG148))&amp;" · "&amp;CHOOSE(MAX(1,$NG148),"Leve","Média","Pesada","Leve · Livre","Média · Livre","Pesada · Livre")))</f>
        <v/>
      </c>
      <c r="PZ148" s="152">
        <f>IF(OR($MN148=0,$ML148=""),"",IF($MC148=0,"não devolve","+"&amp;IF($NR148=1,CEILING($MC148/2,1),$MC148)))</f>
        <v/>
      </c>
      <c r="QA148" s="152">
        <f>IF(OR($MN148=0,$MM148=""),"",IF($MC148=0,"não devolve","+"&amp;IF($NS148=1,CEILING($MC148/2,1),$MC148)))</f>
        <v/>
      </c>
    </row>
    <row r="149">
      <c r="LX149" s="150" t="inlineStr">
        <is>
          <t>Ficha 12 · Especial 3</t>
        </is>
      </c>
      <c r="LY149" s="152" t="n">
        <v>12</v>
      </c>
      <c r="LZ149" s="152" t="n">
        <v>1</v>
      </c>
      <c r="MA149" s="152" t="n">
        <v>8</v>
      </c>
      <c r="MB149" s="150" t="inlineStr">
        <is>
          <t>ESPECIAL 3</t>
        </is>
      </c>
      <c r="MC149" s="152">
        <f>MAX(1,MIN(7,N('INVOCAÇÕES'!$AH$1082)))</f>
        <v/>
      </c>
      <c r="MD149" s="152">
        <f>'INVOCAÇÕES'!$AI$1082&amp;""</f>
        <v/>
      </c>
      <c r="ME149" s="152">
        <f>'INVOCAÇÕES'!$AH$1087&amp;""</f>
        <v/>
      </c>
      <c r="MF149" s="152">
        <f>'INVOCAÇÕES'!$AH$1088&amp;""</f>
        <v/>
      </c>
      <c r="MG149" s="152">
        <f>'INVOCAÇÕES'!$AJ$1088&amp;""</f>
        <v/>
      </c>
      <c r="MH149" s="152">
        <f>'INVOCAÇÕES'!$AI$1091&amp;""</f>
        <v/>
      </c>
      <c r="MI149" s="152">
        <f>'INVOCAÇÕES'!$AI$1092&amp;""</f>
        <v/>
      </c>
      <c r="MJ149" s="152">
        <f>'INVOCAÇÕES'!$AI$1093&amp;""</f>
        <v/>
      </c>
      <c r="MK149" s="152">
        <f>'INVOCAÇÕES'!$AI$1094&amp;""</f>
        <v/>
      </c>
      <c r="ML149" s="152">
        <f>'INVOCAÇÕES'!$AI$1095&amp;""</f>
        <v/>
      </c>
      <c r="MM149" s="152">
        <f>'INVOCAÇÕES'!$AI$1096&amp;""</f>
        <v/>
      </c>
      <c r="MN149" s="152">
        <f>IF($MD149&lt;&gt;"",1,0)</f>
        <v/>
      </c>
      <c r="MO149" s="152">
        <f>INDEX($FG$2:$FG$13,$LY149)</f>
        <v/>
      </c>
      <c r="MP149" s="152">
        <f>INDEX($FH$2:$FH$13,$LY149)</f>
        <v/>
      </c>
      <c r="MQ149" s="152">
        <f>INDEX($FI$2:$FI$13,$LY149)</f>
        <v/>
      </c>
      <c r="MR149" s="152">
        <f>INDEX($FT$2:$FT$13,$LY149)</f>
        <v/>
      </c>
      <c r="MS149" s="152">
        <f>INDEX($FU$2:$FU$13,$LY149)</f>
        <v/>
      </c>
      <c r="MT149" s="152">
        <f>IFERROR(MATCH($ME149,$V$2:$V$11,0),0)</f>
        <v/>
      </c>
      <c r="MU149" s="152">
        <f>IFERROR(VLOOKUP($MH149,$AV$2:$AZ$84,2,FALSE),"")</f>
        <v/>
      </c>
      <c r="MV149" s="152">
        <f>IFERROR(VLOOKUP($MI149,$AV$2:$AZ$84,2,FALSE),"")</f>
        <v/>
      </c>
      <c r="MW149" s="152">
        <f>IFERROR(VLOOKUP($MJ149,$AV$2:$AZ$84,2,FALSE),"")</f>
        <v/>
      </c>
      <c r="MX149" s="152">
        <f>IFERROR(VLOOKUP($MK149,$AV$2:$AZ$84,2,FALSE),"")</f>
        <v/>
      </c>
      <c r="MY149" s="152">
        <f>IFERROR(VLOOKUP($MH149,$AV$2:$AZ$84,3,FALSE),0)</f>
        <v/>
      </c>
      <c r="MZ149" s="152">
        <f>IFERROR(VLOOKUP($MI149,$AV$2:$AZ$84,3,FALSE),0)</f>
        <v/>
      </c>
      <c r="NA149" s="152">
        <f>IFERROR(VLOOKUP($MJ149,$AV$2:$AZ$84,3,FALSE),0)</f>
        <v/>
      </c>
      <c r="NB149" s="152">
        <f>IFERROR(VLOOKUP($MK149,$AV$2:$AZ$84,3,FALSE),0)</f>
        <v/>
      </c>
      <c r="NC149" s="152">
        <f>IF($MC149=0,0,IF($MT149=0,0,INDEX($X$2:$X$11,$MT149)))</f>
        <v/>
      </c>
      <c r="ND149" s="152">
        <f>IF(OR($MY149=0,$MC149=0),0,$MY149+3*IF(AND($MU149&lt;&gt;"",OR($MU149=INDEX($ED$2:$ED$13,$LY149),$MU149=INDEX($EE$2:$EE$13,$LY149))),1,0))</f>
        <v/>
      </c>
      <c r="NE149" s="152">
        <f>IF(OR($MZ149=0,$MC149=0),0,$MZ149+3*IF(AND($MV149&lt;&gt;"",OR($MV149=INDEX($ED$2:$ED$13,$LY149),$MV149=INDEX($EE$2:$EE$13,$LY149))),1,0))</f>
        <v/>
      </c>
      <c r="NF149" s="152">
        <f>IF(OR($NA149=0,$MC149=0),0,$NA149+3*IF(AND($MW149&lt;&gt;"",OR($MW149=INDEX($ED$2:$ED$13,$LY149),$MW149=INDEX($EE$2:$EE$13,$LY149))),1,0))</f>
        <v/>
      </c>
      <c r="NG149" s="152">
        <f>IF(OR($NB149=0,$MC149=0),0,$NB149+3*IF(AND($MX149&lt;&gt;"",OR($MX149=INDEX($ED$2:$ED$13,$LY149),$MX149=INDEX($EE$2:$EE$13,$LY149))),1,0))</f>
        <v/>
      </c>
      <c r="NH149" s="152">
        <f>IF($MT149=0,0,IF(INDEX($W$2:$W$11,$MT149)="",0,IF(COUNTIF(INDEX($ED$2:$EH$13,$LY149,0),INDEX($W$2:$W$11,$MT149))=0,1,0)))</f>
        <v/>
      </c>
      <c r="NI149" s="152">
        <f>IF(OR($MY149=0,$MU149=""),0,IF(COUNTIF(INDEX($ED$2:$EH$13,$LY149,0),$MU149)=0,1,0))</f>
        <v/>
      </c>
      <c r="NJ149" s="152">
        <f>IF(OR($MZ149=0,$MV149=""),0,IF(COUNTIF(INDEX($ED$2:$EH$13,$LY149,0),$MV149)=0,1,0))</f>
        <v/>
      </c>
      <c r="NK149" s="152">
        <f>IF(OR($NA149=0,$MW149=""),0,IF(COUNTIF(INDEX($ED$2:$EH$13,$LY149,0),$MW149)=0,1,0))</f>
        <v/>
      </c>
      <c r="NL149" s="152">
        <f>IF(OR($NB149=0,$MX149=""),0,IF(COUNTIF(INDEX($ED$2:$EH$13,$LY149,0),$MX149)=0,1,0))</f>
        <v/>
      </c>
      <c r="NM149" s="152">
        <f>IFERROR(VLOOKUP($MH149,$AV$2:$AZ$84,4,FALSE),0)+IFERROR(VLOOKUP($MI149,$AV$2:$AZ$84,4,FALSE),0)+IFERROR(VLOOKUP($MJ149,$AV$2:$AZ$84,4,FALSE),0)+IFERROR(VLOOKUP($MK149,$AV$2:$AZ$84,4,FALSE),0)</f>
        <v/>
      </c>
      <c r="NN149" s="152">
        <f>TEXTJOIN(", ",TRUE,IF(IFERROR(VLOOKUP($MH149,$AV$2:$AZ$84,5,FALSE),0)=1,$MH149,""),IF(IFERROR(VLOOKUP($MI149,$AV$2:$AZ$84,5,FALSE),0)=1,$MI149,""),IF(IFERROR(VLOOKUP($MJ149,$AV$2:$AZ$84,5,FALSE),0)=1,$MJ149,""),IF(IFERROR(VLOOKUP($MK149,$AV$2:$AZ$84,5,FALSE),0)=1,$MK149,""))</f>
        <v/>
      </c>
      <c r="NO149" s="152">
        <f>IF($MT149=0,0,INDEX($Y$2:$Y$11,$MT149))</f>
        <v/>
      </c>
      <c r="NP149" s="152">
        <f>IF($MT149=0,0,INDEX($Z$2:$Z$11,$MT149))</f>
        <v/>
      </c>
      <c r="NQ149" s="152">
        <f>IF($MT149=0,0,INDEX($AB$2:$AB$11,$MT149))</f>
        <v/>
      </c>
      <c r="NR149" s="152">
        <f>IFERROR(VLOOKUP($ML149,$BB$2:$BF$24,3,FALSE),0)</f>
        <v/>
      </c>
      <c r="NS149" s="152">
        <f>IFERROR(VLOOKUP($MM149,$BB$2:$BF$24,3,FALSE),0)</f>
        <v/>
      </c>
      <c r="NT149" s="152">
        <f>IFERROR(VLOOKUP($ML149,$BB$2:$BF$24,2,FALSE),"")</f>
        <v/>
      </c>
      <c r="NU149" s="152">
        <f>IFERROR(VLOOKUP($MM149,$BB$2:$BF$24,2,FALSE),"")</f>
        <v/>
      </c>
      <c r="NV149" s="152">
        <f>COUNTIF($NC149:$NG149,1)</f>
        <v/>
      </c>
      <c r="NW149" s="152">
        <f>COUNTIF($NC149:$NG149,2)</f>
        <v/>
      </c>
      <c r="NX149" s="152">
        <f>COUNTIF($NC149:$NG149,3)</f>
        <v/>
      </c>
      <c r="NY149" s="152">
        <f>COUNTIF($NC149:$NG149,4)</f>
        <v/>
      </c>
      <c r="NZ149" s="152">
        <f>COUNTIF($NC149:$NG149,5)</f>
        <v/>
      </c>
      <c r="OA149" s="152">
        <f>COUNTIF($NC149:$NG149,6)</f>
        <v/>
      </c>
      <c r="OB149" s="152">
        <f>COUNTIF($NR149:$NS149,1)</f>
        <v/>
      </c>
      <c r="OC149" s="152">
        <f>COUNTIF($NR149:$NS149,2)+$NO149</f>
        <v/>
      </c>
      <c r="OD149" s="152">
        <f>COUNTIF($MH149:$MK149,"?*")</f>
        <v/>
      </c>
      <c r="OE149" s="152">
        <f>COUNTIF($ML149:$MM149,"?*")+$NO149</f>
        <v/>
      </c>
      <c r="OF149" s="152">
        <f>IF($MC149=0,0,SUMPRODUCT($NV149:$OA149,INDEX($I$2:$N$8,MAX(1,$MC149),0)))</f>
        <v/>
      </c>
      <c r="OG149" s="152">
        <f>IF($MC149=0,0,$OB149*CEILING($MC149/2,1)+$OC149*$MC149)</f>
        <v/>
      </c>
      <c r="OH149" s="152">
        <f>MIN(2*$MC149,$OG149)</f>
        <v/>
      </c>
      <c r="OI149" s="152">
        <f>MIN($OH149,$OF149)</f>
        <v/>
      </c>
      <c r="OJ149" s="152">
        <f>$OH149-$OI149</f>
        <v/>
      </c>
      <c r="OK149" s="152">
        <f>IF($MC149=0,0,INDEX($P$2:$P$8,MAX(1,$MC149)))</f>
        <v/>
      </c>
      <c r="OL149" s="152">
        <f>$OK149-$OF149+$OI149</f>
        <v/>
      </c>
      <c r="OM149" s="152">
        <f>IF($MC149=0,MAX(0,$MQ149-IF($OD149&gt;0,1,0)),MAX(0,$OL149))</f>
        <v/>
      </c>
      <c r="ON149" s="152">
        <f>IF($MC149=0,0,(IF(COUNTIF($MH149:$MK149,"Salto")&gt;0,1,0)+IF(COUNTIF($MH149:$MK149,"Queima")&gt;0,1,0)+IF(COUNTIF($MH149:$MK149,"Estilhaço")&gt;0,1,0))*FLOOR($OM149/2,1))</f>
        <v/>
      </c>
      <c r="OO149" s="152">
        <f>MAX(0,2-SUMPRODUCT($NV149:$OA149,$I$2:$N$2)+MIN(2,$OB149*1+$OC149*1,SUMPRODUCT($NV149:$OA149,$I$2:$N$2)))</f>
        <v/>
      </c>
      <c r="OP149" s="152">
        <f>MAX(0,4-SUMPRODUCT($NV149:$OA149,$I$3:$N$3)+MIN(4,$OB149*1+$OC149*2,SUMPRODUCT($NV149:$OA149,$I$3:$N$3)))</f>
        <v/>
      </c>
      <c r="OQ149" s="152">
        <f>MAX(0,6-SUMPRODUCT($NV149:$OA149,$I$4:$N$4)+MIN(6,$OB149*2+$OC149*3,SUMPRODUCT($NV149:$OA149,$I$4:$N$4)))</f>
        <v/>
      </c>
      <c r="OR149" s="152">
        <f>MAX(0,9-SUMPRODUCT($NV149:$OA149,$I$5:$N$5)+MIN(8,$OB149*2+$OC149*4,SUMPRODUCT($NV149:$OA149,$I$5:$N$5)))</f>
        <v/>
      </c>
      <c r="OS149" s="152">
        <f>MAX(0,11-SUMPRODUCT($NV149:$OA149,$I$6:$N$6)+MIN(10,$OB149*3+$OC149*5,SUMPRODUCT($NV149:$OA149,$I$6:$N$6)))</f>
        <v/>
      </c>
      <c r="OT149" s="152">
        <f>MAX(0,13-SUMPRODUCT($NV149:$OA149,$I$7:$N$7)+MIN(12,$OB149*3+$OC149*6,SUMPRODUCT($NV149:$OA149,$I$7:$N$7)))</f>
        <v/>
      </c>
      <c r="OU149" s="152">
        <f>MAX(0,16-SUMPRODUCT($NV149:$OA149,$I$8:$N$8)+MIN(14,$OB149*4+$OC149*7,SUMPRODUCT($NV149:$OA149,$I$8:$N$8)))</f>
        <v/>
      </c>
      <c r="OV149" s="152">
        <f>IF($NP149=2,3*$OO149&amp;" de vida temp.",IF($NP149=3,"sem dano",IF($OO149=0,IF($NP149=1,"sem cura","sem dano"),IF($NP149=1,"cura ","")&amp;$OO149&amp;"d8")))</f>
        <v/>
      </c>
      <c r="OW149" s="152">
        <f>IF($NP149=2,3*$OP149&amp;" de vida temp.",IF($NP149=3,"sem dano",IF($OP149=0,IF($NP149=1,"sem cura","sem dano"),IF($NP149=1,"cura ","")&amp;$OP149&amp;"d8")))</f>
        <v/>
      </c>
      <c r="OX149" s="152">
        <f>IF($NP149=2,3*$OQ149&amp;" de vida temp.",IF($NP149=3,"sem dano",IF($OQ149=0,IF($NP149=1,"sem cura","sem dano"),IF($NP149=1,"cura ","")&amp;$OQ149&amp;"d8")))</f>
        <v/>
      </c>
      <c r="OY149" s="152">
        <f>IF($NP149=2,3*$OR149&amp;" de vida temp.",IF($NP149=3,"sem dano",IF($OR149=0,IF($NP149=1,"sem cura","sem dano"),IF($NP149=1,"cura ","")&amp;$OR149&amp;"d8")))</f>
        <v/>
      </c>
      <c r="OZ149" s="152">
        <f>IF($NP149=2,3*$OS149&amp;" de vida temp.",IF($NP149=3,"sem dano",IF($OS149=0,IF($NP149=1,"sem cura","sem dano"),IF($NP149=1,"cura ","")&amp;$OS149&amp;"d8")))</f>
        <v/>
      </c>
      <c r="PA149" s="152">
        <f>IF($NP149=2,3*$OT149&amp;" de vida temp.",IF($NP149=3,"sem dano",IF($OT149=0,IF($NP149=1,"sem cura","sem dano"),IF($NP149=1,"cura ","")&amp;$OT149&amp;"d8")))</f>
        <v/>
      </c>
      <c r="PB149" s="152">
        <f>IF($NP149=2,3*$OU149&amp;" de vida temp.",IF($NP149=3,"sem dano",IF($OU149=0,IF($NP149=1,"sem cura","sem dano"),IF($NP149=1,"cura ","")&amp;$OU149&amp;"d8")))</f>
        <v/>
      </c>
      <c r="PC149" s="152">
        <f>IF($MN149=0,"",TEXTJOIN(" · ",TRUE,IF($MA149&gt;$MO149,"Este lugar abre no nível "&amp;$MA149,""),IF($MC149&gt;$MP149,"Classe "&amp;$MC149&amp;": o nível "&amp;$MO149&amp;" libera até a "&amp;$MP149,""),IF($NH149=1,"A Forma "&amp;$ME149&amp;" pede "&amp;INDEX($W$2:$W$11,$MT149)&amp;" aberta",""),IF(AND($MC149=0,$MT149&gt;0,IF($MT149=0,0,INDEX($AF$2:$AF$11,$MT149))=0),$ME149&amp;" não existe na Classe 0",""),IF($NI149=1,"Família Fechada: "&amp;$MH149,""),IF($NJ149=1,"Família Fechada: "&amp;$MI149,""),IF($NK149=1,"Família Fechada: "&amp;$MJ149,""),IF($NL149=1,"Família Fechada: "&amp;$MK149,""),IF(AND($MC149&gt;0,$OD149&gt;INDEX($O$2:$O$8,MAX(1,$MC149))),$OD149&amp;" Melhorias: a Classe "&amp;$MC149&amp;" aceita "&amp;INDEX($O$2:$O$8,MAX(1,$MC149)),""),IF(AND($MC149=0,$OD149&gt;1),"A básica aceita uma Melhoria",""),IF(AND($MC149=0,COUNTIF($MY149:$NB149,"&gt;1")&gt;0),"A básica só aceita Melhoria Leve",""),IF(AND($MC149&gt;0,$OE149&gt;2),$OE149&amp;" Restrições"&amp;IF($NO149=1,", contando a que a Forma "&amp;$ME149&amp;" já traz","")&amp;": o limite é 2",""),IF(AND($MC149=0,COUNTIF($ML149:$MM149,"?*")&gt;1),"A básica aceita uma Restrição Leve",""),IF(AND($MC149=0,COUNTIF($NR149:$NS149,2)&gt;0),"A básica só aceita Restrição Leve",""),IF(AND($MC149&gt;0,$OL149&lt;0),"Orçamento estourado: faltam "&amp;(-$OL149)&amp;IF($OL149&lt;-1," pontos"," ponto"),""),IF(IFERROR(VLOOKUP($ML149,$BB$2:$BF$24,4,FALSE),0)+IFERROR(VLOOKUP($MM149,$BB$2:$BF$24,4,FALSE),0)&gt;1,$NT149&amp;" e "&amp;$NU149&amp;" são as duas de frequência",""),IF(AND((COUNTIF($MH149:$MK149,"Rápido")+COUNTIF($NT149:$NU149,"Rápido"))&gt;0,(COUNTIF($MH149:$MK149,"Atrasar")+COUNTIF($NT149:$NU149,"Atrasar"))&gt;0),"Rápido não entra com Atrasar",""),IF(AND((COUNTIF($MH149:$MK149,"Reação")+COUNTIF($NT149:$NU149,"Reação"))&gt;0,(COUNTIF($MH149:$MK149,"Rápido")+COUNTIF($NT149:$NU149,"Rápido"))&gt;0),"Reação não entra com Rápido",""),IF(AND((COUNTIF($MH149:$MK149,"Reação")+COUNTIF($NT149:$NU149,"Reação"))&gt;0,(COUNTIF($MH149:$MK149,"Armado")+COUNTIF($NT149:$NU149,"Armado"))&gt;0),"Reação não entra com Armado",""),IF(AND((COUNTIF($MH149:$MK149,"Reação")+COUNTIF($NT149:$NU149,"Reação"))&gt;0,(COUNTIF($MH149:$MK149,"Atrasar")+COUNTIF($NT149:$NU149,"Atrasar"))&gt;0),"Reação não entra com Atrasar",""),IF(AND((COUNTIF($MH149:$MK149,"Reação")+COUNTIF($NT149:$NU149,"Reação"))&gt;0,(COUNTIF($MH149:$MK149,"Parado")+COUNTIF($NT149:$NU149,"Parado"))&gt;0),"Reação não entra com Parado",""),IF(AND((COUNTIF($MH149:$MK149,"Atrasar")+COUNTIF($NT149:$NU149,"Atrasar"))&gt;0,(COUNTIF($MH149:$MK149,"Parado")+COUNTIF($NT149:$NU149,"Parado"))&gt;0),"Atrasar não entra com Parado",""),IF(AND((COUNTIF($MH149:$MK149,"Armado")+COUNTIF($NT149:$NU149,"Armado"))&gt;0,(COUNTIF($MH149:$MK149,"Carregar")+COUNTIF($NT149:$NU149,"Carregar"))&gt;0),"Armado não entra com Carregar",""),IF(AND(COUNTIF($NT149:$NU149,"Corpo a Corpo")&gt;0,$NO149=0,OR($ME149="Cone",$ME149="Linha")),"Corpo a Corpo não entra em "&amp;$ME149,""),IF(AND(COUNTIF($NT149:$NU149,"Corpo a Corpo")&gt;0,$NO149=1),"A Forma "&amp;$ME149&amp;" já traz o Corpo a Corpo",""),IF(AND(COUNTIF($NT149:$NU149,"Tudo ou Nada")&gt;0,$NQ149=0),"Tudo ou Nada só entra em habilidade de Teste de Resistência",""),IF(AND(COUNTIF($MH149:$MK149,"Inescapável")&gt;0,OR($OD149&gt;1,$OE149&gt;0)),"Inescapável não aceita outra peça",""),IF(AND($MC149&gt;0,$OM149*IF(COUNTIF($MH149:$MK149,"Remate")&gt;0,1.25,1)+$ON149&gt;4*$MC149),($OM149*IF(COUNTIF($MH149:$MK149,"Remate")&gt;0,1.25,1)+$ON149)&amp;" dados somando repetições"&amp;IF(COUNTIF($MH149:$MK149,"Remate")&gt;0," e o Remate","")&amp;": o teto da Classe "&amp;$MC149&amp;" é "&amp;4*$MC149,"")))</f>
        <v/>
      </c>
      <c r="PD149" s="152">
        <f>IF($PC149="",0,(LEN($PC149)-LEN(SUBSTITUTE($PC149," · ","")))/3+1)</f>
        <v/>
      </c>
      <c r="PE149" s="152">
        <f>IF($MN149=0,"",TEXTJOIN(" · ",TRUE,IF($OG149&gt;2*$MC149,"A devolução parou no teto de "&amp;2*$MC149,""),IF($OJ149&gt;0,"Devolução perdida: "&amp;$OJ149&amp;IF($OJ149&gt;1," pontos"," ponto")&amp;" sem peça para pagar",""),IF(AND($NM149&gt;0,AND($MC149&gt;0,$NP149=0),$OM149=0),"Controle sem dano: uma rodada a mais e CD +2",""),IF(AND($NM149&gt;0,AND($MC149&gt;0,$NP149=0),$OM149&gt;0,$OM149&lt;=$MC149),"Controle com saldo até a Classe: uma rodada a mais",""),IF(AND($MC149&gt;0,$NN149&lt;&gt;""),"Efeito de "&amp;$NN149&amp;" pela Classe "&amp;MAX(1,$MC149-1),"")))</f>
        <v/>
      </c>
      <c r="PF149" s="152">
        <f>IF($PE149="",0,(LEN($PE149)-LEN(SUBSTITUTE($PE149," · ","")))/3+1)</f>
        <v/>
      </c>
      <c r="PG149" s="152">
        <f>IF($MN149=0,IF($OD149+COUNTIF($ML149:$MM149,"?*")&gt;0,"Dê um nome",""),IF($PD149&gt;0,"⚠ "&amp;$PD149&amp;IF($PD149&gt;1," erros"," erro"),IF($PF149&gt;0,"! "&amp;$PF149&amp;IF($PF149&gt;1," avisos"," aviso"),"Na regra")))</f>
        <v/>
      </c>
      <c r="PH149" s="152">
        <f>IF($MN149=0,"",IF($PD149+$PF149=0,"Dentro das regras que a ficha confere",$PC149&amp;IF(AND($PD149&gt;0,$PF149&gt;0)," · ","")&amp;$PE149))</f>
        <v/>
      </c>
      <c r="PI149" s="152">
        <f>IF($MA149&gt;$MO149,$MB149&amp;" · ABRE NO NÍVEL "&amp;$MA149,$MB149)</f>
        <v/>
      </c>
      <c r="PJ149" s="152">
        <f>IF($MN149=0,"",IF($MC149=0,"Sem PE",3*$MC149&amp;" PE"))</f>
        <v/>
      </c>
      <c r="PK149" s="152">
        <f>IF($MN149=0,"",IF($MC149=0,"A atuação básica dela",IF(COUNTIF($NT149:$NU149,"Atrasar")&gt;0,"Sua Ação Completa",IF(COUNTIF($MH149:$MK149,"Rápido")&gt;0,"Sua Bônus",IF(COUNTIF($MH149:$MK149,"Reação")&gt;0,"Sua Reação","Sua Padrão")))&amp;" + a básica dela"&amp;IF(COUNTIF($MH149:$MK149,"Reação")&gt;0," e a coletiva","")&amp;IF(COUNTIF($NT149:$NU149,"Carregar")&gt;0," · em dois turnos","")))</f>
        <v/>
      </c>
      <c r="PL149" s="152">
        <f>IF($MG149&lt;&gt;"",$MG149,IF($MT149=0,"",INDEX($AA$2:$AA$11,$MT149)))</f>
        <v/>
      </c>
      <c r="PM149" s="152">
        <f>IF(OR($MN149=0,$MT149=0),"",IF(COUNTIF($MH149:$MK149,"Inescapável")&gt;0,"Automático",IF($PL149="Ataque",IF($MR149="","Ataque","Ataque "&amp;IF(($MR149+2*IF(COUNTIF($MH149:$MK149,"Precisão")&gt;0,1,0))&gt;=0,"+","−")&amp;ABS(($MR149+2*IF(COUNTIF($MH149:$MK149,"Precisão")&gt;0,1,0)))),IF(LEFT($PL149,2)="TR",$PL149&amp;IF($MS149="",""," · CD "&amp;$MS149)&amp;IF(COUNTIF($MH149:$MK149,"Certeiro")&gt;0," · metade",""),"Sem rolagem"))))</f>
        <v/>
      </c>
      <c r="PN149" s="152">
        <f>IF(OR($MN149=0,$MT149=0),"",IF($MC149=0,IF(OR($NP149&gt;=1,$OM149=0),"Sem dano",$OM149&amp;"d6"&amp;IF($MF149="",""," "&amp;$MF149)),IF(OR($NP149&gt;=1,$OM149=0),UPPER(LEFT(INDEX($OV149:$PB149,1,MAX(1,$MC149)),1))&amp;MID(INDEX($OV149:$PB149,1,MAX(1,$MC149)),2,99),UPPER(LEFT(INDEX($OV149:$PB149,1,MAX(1,$MC149)),1))&amp;MID(INDEX($OV149:$PB149,1,MAX(1,$MC149)),2,99)&amp;IF($MF149="",""," "&amp;$MF149)&amp;IF($ON149&gt;0," · +"&amp;$ON149&amp;"d8",""))))</f>
        <v/>
      </c>
      <c r="PO149" s="152">
        <f>COUNTIF($MH149:$MK149,"Longe")+3*COUNTIF($MH149:$MK149,"Muito Longe")</f>
        <v/>
      </c>
      <c r="PP149" s="152">
        <f>COUNTIF($MH149:$MK149,"Maior")+3*COUNTIF($MH149:$MK149,"Muito Maior")</f>
        <v/>
      </c>
      <c r="PQ149" s="152">
        <f>IF($MT149=0,0,CHOOSE(1+INDEX($AC$2:$AC$11,$MT149),0,$PO149,$PP149,$PO149+$PP149))</f>
        <v/>
      </c>
      <c r="PR149" s="152">
        <f>IF($MT149=0,0,CHOOSE(1+INDEX($AD$2:$AD$11,$MT149),0,$PO149,$PP149,$PO149+$PP149))</f>
        <v/>
      </c>
      <c r="PS149" s="152">
        <f>IF(OR($MN149=0,$MT149=0),"",INDEX($AI$2:$AN$41,($MT149-1)*4+IF($MC149=0,1,IF($MC149&lt;=5,2,IF($MC149=6,3,4))),1+MIN(5,$PQ149))&amp;INDEX($AO$2:$AT$41,($MT149-1)*4+IF($MC149=0,1,IF($MC149&lt;=5,2,IF($MC149=6,3,4))),1+MIN(5,$PR149))&amp;IF(INDEX($AE$2:$AE$11,$MT149)=1,IF(COUNTIF($MH149:$MK149,"Mais Um")&gt;0," · +"&amp;COUNTIF($MH149:$MK149,"Mais Um")&amp;IF(COUNTIF($MH149:$MK149,"Mais Um")&gt;1," alvos"," alvo"),"")&amp;IF(COUNTIF($MH149:$MK149,"Rajada")&gt;0,IF($MC149=0," · 1 tiro"," · "&amp;(MAX(1,$MC149-1)+1)&amp;" tiros"),""),""))</f>
        <v/>
      </c>
      <c r="PT149" s="152">
        <f>IF($MN149=0,"",IF($MC149=0,$MQ149&amp;"d6"&amp;IF($OD149&gt;0," − 1 = "&amp;$OM149&amp;"d6"," da básica do nível "&amp;$MO149),$OK149&amp;" − "&amp;$OF149&amp;" + "&amp;$OI149&amp;" = "&amp;$OL149&amp;" · teto "&amp;4*$MC149&amp;"d8"&amp;IF($NO149=1," · a Forma devolve "&amp;$MC149,"")&amp;IF($OJ149&gt;0," · perde "&amp;$OJ149,"")))</f>
        <v/>
      </c>
      <c r="PU149" s="152">
        <f>IF($MN149=0,"",IF($MC149=0,"A básica não amplia: os dados dela sobem com o nível",IF($MC149&gt;=$MP149,"Já está na maior Classe que o nível liberou",TEXTJOIN(" · ",TRUE,IF(AND(2&gt;$MC149,2&lt;=$MP149),"2 → "&amp;$OW149&amp;", 6 PE",""),IF(AND(3&gt;$MC149,3&lt;=$MP149),"3 → "&amp;$OX149&amp;", 9 PE",""),IF(AND(4&gt;$MC149,4&lt;=$MP149),"4 → "&amp;$OY149&amp;", 12 PE",""),IF(AND(5&gt;$MC149,5&lt;=$MP149),"5 → "&amp;$OZ149&amp;", 15 PE",""),IF(AND(6&gt;$MC149,6&lt;=$MP149),"6 → "&amp;$PA149&amp;", 18 PE",""),IF(AND(7&gt;$MC149,7&lt;=$MP149),"7 → "&amp;$PB149&amp;", 21 PE","")))))</f>
        <v/>
      </c>
      <c r="PV149" s="152">
        <f>IF(OR($MN149=0,$MY149=0),"",IF($MC149=0,"−1 dado","−"&amp;INDEX($I$2:$N$8,MAX(1,$MC149),MAX(1,$ND149))&amp;" · "&amp;CHOOSE(MAX(1,$ND149),"Leve","Média","Pesada","Leve · Livre","Média · Livre","Pesada · Livre")))</f>
        <v/>
      </c>
      <c r="PW149" s="152">
        <f>IF(OR($MN149=0,$MZ149=0),"",IF($MC149=0,"−1 dado","−"&amp;INDEX($I$2:$N$8,MAX(1,$MC149),MAX(1,$NE149))&amp;" · "&amp;CHOOSE(MAX(1,$NE149),"Leve","Média","Pesada","Leve · Livre","Média · Livre","Pesada · Livre")))</f>
        <v/>
      </c>
      <c r="PX149" s="152">
        <f>IF(OR($MN149=0,$NA149=0),"",IF($MC149=0,"−1 dado","−"&amp;INDEX($I$2:$N$8,MAX(1,$MC149),MAX(1,$NF149))&amp;" · "&amp;CHOOSE(MAX(1,$NF149),"Leve","Média","Pesada","Leve · Livre","Média · Livre","Pesada · Livre")))</f>
        <v/>
      </c>
      <c r="PY149" s="152">
        <f>IF(OR($MN149=0,$NB149=0),"",IF($MC149=0,"−1 dado","−"&amp;INDEX($I$2:$N$8,MAX(1,$MC149),MAX(1,$NG149))&amp;" · "&amp;CHOOSE(MAX(1,$NG149),"Leve","Média","Pesada","Leve · Livre","Média · Livre","Pesada · Livre")))</f>
        <v/>
      </c>
      <c r="PZ149" s="152">
        <f>IF(OR($MN149=0,$ML149=""),"",IF($MC149=0,"não devolve","+"&amp;IF($NR149=1,CEILING($MC149/2,1),$MC149)))</f>
        <v/>
      </c>
      <c r="QA149" s="152">
        <f>IF(OR($MN149=0,$MM149=""),"",IF($MC149=0,"não devolve","+"&amp;IF($NS149=1,CEILING($MC149/2,1),$MC149)))</f>
        <v/>
      </c>
    </row>
    <row r="150">
      <c r="LX150" s="150" t="inlineStr">
        <is>
          <t>Ficha 12 · Especial 4</t>
        </is>
      </c>
      <c r="LY150" s="152" t="n">
        <v>12</v>
      </c>
      <c r="LZ150" s="152" t="n">
        <v>1</v>
      </c>
      <c r="MA150" s="152" t="n">
        <v>12</v>
      </c>
      <c r="MB150" s="150" t="inlineStr">
        <is>
          <t>ESPECIAL 4</t>
        </is>
      </c>
      <c r="MC150" s="152">
        <f>MAX(1,MIN(7,N('INVOCAÇÕES'!$AN$1082)))</f>
        <v/>
      </c>
      <c r="MD150" s="152">
        <f>'INVOCAÇÕES'!$AO$1082&amp;""</f>
        <v/>
      </c>
      <c r="ME150" s="152">
        <f>'INVOCAÇÕES'!$AN$1087&amp;""</f>
        <v/>
      </c>
      <c r="MF150" s="152">
        <f>'INVOCAÇÕES'!$AN$1088&amp;""</f>
        <v/>
      </c>
      <c r="MG150" s="152">
        <f>'INVOCAÇÕES'!$AP$1088&amp;""</f>
        <v/>
      </c>
      <c r="MH150" s="152">
        <f>'INVOCAÇÕES'!$AO$1091&amp;""</f>
        <v/>
      </c>
      <c r="MI150" s="152">
        <f>'INVOCAÇÕES'!$AO$1092&amp;""</f>
        <v/>
      </c>
      <c r="MJ150" s="152">
        <f>'INVOCAÇÕES'!$AO$1093&amp;""</f>
        <v/>
      </c>
      <c r="MK150" s="152">
        <f>'INVOCAÇÕES'!$AO$1094&amp;""</f>
        <v/>
      </c>
      <c r="ML150" s="152">
        <f>'INVOCAÇÕES'!$AO$1095&amp;""</f>
        <v/>
      </c>
      <c r="MM150" s="152">
        <f>'INVOCAÇÕES'!$AO$1096&amp;""</f>
        <v/>
      </c>
      <c r="MN150" s="152">
        <f>IF($MD150&lt;&gt;"",1,0)</f>
        <v/>
      </c>
      <c r="MO150" s="152">
        <f>INDEX($FG$2:$FG$13,$LY150)</f>
        <v/>
      </c>
      <c r="MP150" s="152">
        <f>INDEX($FH$2:$FH$13,$LY150)</f>
        <v/>
      </c>
      <c r="MQ150" s="152">
        <f>INDEX($FI$2:$FI$13,$LY150)</f>
        <v/>
      </c>
      <c r="MR150" s="152">
        <f>INDEX($FT$2:$FT$13,$LY150)</f>
        <v/>
      </c>
      <c r="MS150" s="152">
        <f>INDEX($FU$2:$FU$13,$LY150)</f>
        <v/>
      </c>
      <c r="MT150" s="152">
        <f>IFERROR(MATCH($ME150,$V$2:$V$11,0),0)</f>
        <v/>
      </c>
      <c r="MU150" s="152">
        <f>IFERROR(VLOOKUP($MH150,$AV$2:$AZ$84,2,FALSE),"")</f>
        <v/>
      </c>
      <c r="MV150" s="152">
        <f>IFERROR(VLOOKUP($MI150,$AV$2:$AZ$84,2,FALSE),"")</f>
        <v/>
      </c>
      <c r="MW150" s="152">
        <f>IFERROR(VLOOKUP($MJ150,$AV$2:$AZ$84,2,FALSE),"")</f>
        <v/>
      </c>
      <c r="MX150" s="152">
        <f>IFERROR(VLOOKUP($MK150,$AV$2:$AZ$84,2,FALSE),"")</f>
        <v/>
      </c>
      <c r="MY150" s="152">
        <f>IFERROR(VLOOKUP($MH150,$AV$2:$AZ$84,3,FALSE),0)</f>
        <v/>
      </c>
      <c r="MZ150" s="152">
        <f>IFERROR(VLOOKUP($MI150,$AV$2:$AZ$84,3,FALSE),0)</f>
        <v/>
      </c>
      <c r="NA150" s="152">
        <f>IFERROR(VLOOKUP($MJ150,$AV$2:$AZ$84,3,FALSE),0)</f>
        <v/>
      </c>
      <c r="NB150" s="152">
        <f>IFERROR(VLOOKUP($MK150,$AV$2:$AZ$84,3,FALSE),0)</f>
        <v/>
      </c>
      <c r="NC150" s="152">
        <f>IF($MC150=0,0,IF($MT150=0,0,INDEX($X$2:$X$11,$MT150)))</f>
        <v/>
      </c>
      <c r="ND150" s="152">
        <f>IF(OR($MY150=0,$MC150=0),0,$MY150+3*IF(AND($MU150&lt;&gt;"",OR($MU150=INDEX($ED$2:$ED$13,$LY150),$MU150=INDEX($EE$2:$EE$13,$LY150))),1,0))</f>
        <v/>
      </c>
      <c r="NE150" s="152">
        <f>IF(OR($MZ150=0,$MC150=0),0,$MZ150+3*IF(AND($MV150&lt;&gt;"",OR($MV150=INDEX($ED$2:$ED$13,$LY150),$MV150=INDEX($EE$2:$EE$13,$LY150))),1,0))</f>
        <v/>
      </c>
      <c r="NF150" s="152">
        <f>IF(OR($NA150=0,$MC150=0),0,$NA150+3*IF(AND($MW150&lt;&gt;"",OR($MW150=INDEX($ED$2:$ED$13,$LY150),$MW150=INDEX($EE$2:$EE$13,$LY150))),1,0))</f>
        <v/>
      </c>
      <c r="NG150" s="152">
        <f>IF(OR($NB150=0,$MC150=0),0,$NB150+3*IF(AND($MX150&lt;&gt;"",OR($MX150=INDEX($ED$2:$ED$13,$LY150),$MX150=INDEX($EE$2:$EE$13,$LY150))),1,0))</f>
        <v/>
      </c>
      <c r="NH150" s="152">
        <f>IF($MT150=0,0,IF(INDEX($W$2:$W$11,$MT150)="",0,IF(COUNTIF(INDEX($ED$2:$EH$13,$LY150,0),INDEX($W$2:$W$11,$MT150))=0,1,0)))</f>
        <v/>
      </c>
      <c r="NI150" s="152">
        <f>IF(OR($MY150=0,$MU150=""),0,IF(COUNTIF(INDEX($ED$2:$EH$13,$LY150,0),$MU150)=0,1,0))</f>
        <v/>
      </c>
      <c r="NJ150" s="152">
        <f>IF(OR($MZ150=0,$MV150=""),0,IF(COUNTIF(INDEX($ED$2:$EH$13,$LY150,0),$MV150)=0,1,0))</f>
        <v/>
      </c>
      <c r="NK150" s="152">
        <f>IF(OR($NA150=0,$MW150=""),0,IF(COUNTIF(INDEX($ED$2:$EH$13,$LY150,0),$MW150)=0,1,0))</f>
        <v/>
      </c>
      <c r="NL150" s="152">
        <f>IF(OR($NB150=0,$MX150=""),0,IF(COUNTIF(INDEX($ED$2:$EH$13,$LY150,0),$MX150)=0,1,0))</f>
        <v/>
      </c>
      <c r="NM150" s="152">
        <f>IFERROR(VLOOKUP($MH150,$AV$2:$AZ$84,4,FALSE),0)+IFERROR(VLOOKUP($MI150,$AV$2:$AZ$84,4,FALSE),0)+IFERROR(VLOOKUP($MJ150,$AV$2:$AZ$84,4,FALSE),0)+IFERROR(VLOOKUP($MK150,$AV$2:$AZ$84,4,FALSE),0)</f>
        <v/>
      </c>
      <c r="NN150" s="152">
        <f>TEXTJOIN(", ",TRUE,IF(IFERROR(VLOOKUP($MH150,$AV$2:$AZ$84,5,FALSE),0)=1,$MH150,""),IF(IFERROR(VLOOKUP($MI150,$AV$2:$AZ$84,5,FALSE),0)=1,$MI150,""),IF(IFERROR(VLOOKUP($MJ150,$AV$2:$AZ$84,5,FALSE),0)=1,$MJ150,""),IF(IFERROR(VLOOKUP($MK150,$AV$2:$AZ$84,5,FALSE),0)=1,$MK150,""))</f>
        <v/>
      </c>
      <c r="NO150" s="152">
        <f>IF($MT150=0,0,INDEX($Y$2:$Y$11,$MT150))</f>
        <v/>
      </c>
      <c r="NP150" s="152">
        <f>IF($MT150=0,0,INDEX($Z$2:$Z$11,$MT150))</f>
        <v/>
      </c>
      <c r="NQ150" s="152">
        <f>IF($MT150=0,0,INDEX($AB$2:$AB$11,$MT150))</f>
        <v/>
      </c>
      <c r="NR150" s="152">
        <f>IFERROR(VLOOKUP($ML150,$BB$2:$BF$24,3,FALSE),0)</f>
        <v/>
      </c>
      <c r="NS150" s="152">
        <f>IFERROR(VLOOKUP($MM150,$BB$2:$BF$24,3,FALSE),0)</f>
        <v/>
      </c>
      <c r="NT150" s="152">
        <f>IFERROR(VLOOKUP($ML150,$BB$2:$BF$24,2,FALSE),"")</f>
        <v/>
      </c>
      <c r="NU150" s="152">
        <f>IFERROR(VLOOKUP($MM150,$BB$2:$BF$24,2,FALSE),"")</f>
        <v/>
      </c>
      <c r="NV150" s="152">
        <f>COUNTIF($NC150:$NG150,1)</f>
        <v/>
      </c>
      <c r="NW150" s="152">
        <f>COUNTIF($NC150:$NG150,2)</f>
        <v/>
      </c>
      <c r="NX150" s="152">
        <f>COUNTIF($NC150:$NG150,3)</f>
        <v/>
      </c>
      <c r="NY150" s="152">
        <f>COUNTIF($NC150:$NG150,4)</f>
        <v/>
      </c>
      <c r="NZ150" s="152">
        <f>COUNTIF($NC150:$NG150,5)</f>
        <v/>
      </c>
      <c r="OA150" s="152">
        <f>COUNTIF($NC150:$NG150,6)</f>
        <v/>
      </c>
      <c r="OB150" s="152">
        <f>COUNTIF($NR150:$NS150,1)</f>
        <v/>
      </c>
      <c r="OC150" s="152">
        <f>COUNTIF($NR150:$NS150,2)+$NO150</f>
        <v/>
      </c>
      <c r="OD150" s="152">
        <f>COUNTIF($MH150:$MK150,"?*")</f>
        <v/>
      </c>
      <c r="OE150" s="152">
        <f>COUNTIF($ML150:$MM150,"?*")+$NO150</f>
        <v/>
      </c>
      <c r="OF150" s="152">
        <f>IF($MC150=0,0,SUMPRODUCT($NV150:$OA150,INDEX($I$2:$N$8,MAX(1,$MC150),0)))</f>
        <v/>
      </c>
      <c r="OG150" s="152">
        <f>IF($MC150=0,0,$OB150*CEILING($MC150/2,1)+$OC150*$MC150)</f>
        <v/>
      </c>
      <c r="OH150" s="152">
        <f>MIN(2*$MC150,$OG150)</f>
        <v/>
      </c>
      <c r="OI150" s="152">
        <f>MIN($OH150,$OF150)</f>
        <v/>
      </c>
      <c r="OJ150" s="152">
        <f>$OH150-$OI150</f>
        <v/>
      </c>
      <c r="OK150" s="152">
        <f>IF($MC150=0,0,INDEX($P$2:$P$8,MAX(1,$MC150)))</f>
        <v/>
      </c>
      <c r="OL150" s="152">
        <f>$OK150-$OF150+$OI150</f>
        <v/>
      </c>
      <c r="OM150" s="152">
        <f>IF($MC150=0,MAX(0,$MQ150-IF($OD150&gt;0,1,0)),MAX(0,$OL150))</f>
        <v/>
      </c>
      <c r="ON150" s="152">
        <f>IF($MC150=0,0,(IF(COUNTIF($MH150:$MK150,"Salto")&gt;0,1,0)+IF(COUNTIF($MH150:$MK150,"Queima")&gt;0,1,0)+IF(COUNTIF($MH150:$MK150,"Estilhaço")&gt;0,1,0))*FLOOR($OM150/2,1))</f>
        <v/>
      </c>
      <c r="OO150" s="152">
        <f>MAX(0,2-SUMPRODUCT($NV150:$OA150,$I$2:$N$2)+MIN(2,$OB150*1+$OC150*1,SUMPRODUCT($NV150:$OA150,$I$2:$N$2)))</f>
        <v/>
      </c>
      <c r="OP150" s="152">
        <f>MAX(0,4-SUMPRODUCT($NV150:$OA150,$I$3:$N$3)+MIN(4,$OB150*1+$OC150*2,SUMPRODUCT($NV150:$OA150,$I$3:$N$3)))</f>
        <v/>
      </c>
      <c r="OQ150" s="152">
        <f>MAX(0,6-SUMPRODUCT($NV150:$OA150,$I$4:$N$4)+MIN(6,$OB150*2+$OC150*3,SUMPRODUCT($NV150:$OA150,$I$4:$N$4)))</f>
        <v/>
      </c>
      <c r="OR150" s="152">
        <f>MAX(0,9-SUMPRODUCT($NV150:$OA150,$I$5:$N$5)+MIN(8,$OB150*2+$OC150*4,SUMPRODUCT($NV150:$OA150,$I$5:$N$5)))</f>
        <v/>
      </c>
      <c r="OS150" s="152">
        <f>MAX(0,11-SUMPRODUCT($NV150:$OA150,$I$6:$N$6)+MIN(10,$OB150*3+$OC150*5,SUMPRODUCT($NV150:$OA150,$I$6:$N$6)))</f>
        <v/>
      </c>
      <c r="OT150" s="152">
        <f>MAX(0,13-SUMPRODUCT($NV150:$OA150,$I$7:$N$7)+MIN(12,$OB150*3+$OC150*6,SUMPRODUCT($NV150:$OA150,$I$7:$N$7)))</f>
        <v/>
      </c>
      <c r="OU150" s="152">
        <f>MAX(0,16-SUMPRODUCT($NV150:$OA150,$I$8:$N$8)+MIN(14,$OB150*4+$OC150*7,SUMPRODUCT($NV150:$OA150,$I$8:$N$8)))</f>
        <v/>
      </c>
      <c r="OV150" s="152">
        <f>IF($NP150=2,3*$OO150&amp;" de vida temp.",IF($NP150=3,"sem dano",IF($OO150=0,IF($NP150=1,"sem cura","sem dano"),IF($NP150=1,"cura ","")&amp;$OO150&amp;"d8")))</f>
        <v/>
      </c>
      <c r="OW150" s="152">
        <f>IF($NP150=2,3*$OP150&amp;" de vida temp.",IF($NP150=3,"sem dano",IF($OP150=0,IF($NP150=1,"sem cura","sem dano"),IF($NP150=1,"cura ","")&amp;$OP150&amp;"d8")))</f>
        <v/>
      </c>
      <c r="OX150" s="152">
        <f>IF($NP150=2,3*$OQ150&amp;" de vida temp.",IF($NP150=3,"sem dano",IF($OQ150=0,IF($NP150=1,"sem cura","sem dano"),IF($NP150=1,"cura ","")&amp;$OQ150&amp;"d8")))</f>
        <v/>
      </c>
      <c r="OY150" s="152">
        <f>IF($NP150=2,3*$OR150&amp;" de vida temp.",IF($NP150=3,"sem dano",IF($OR150=0,IF($NP150=1,"sem cura","sem dano"),IF($NP150=1,"cura ","")&amp;$OR150&amp;"d8")))</f>
        <v/>
      </c>
      <c r="OZ150" s="152">
        <f>IF($NP150=2,3*$OS150&amp;" de vida temp.",IF($NP150=3,"sem dano",IF($OS150=0,IF($NP150=1,"sem cura","sem dano"),IF($NP150=1,"cura ","")&amp;$OS150&amp;"d8")))</f>
        <v/>
      </c>
      <c r="PA150" s="152">
        <f>IF($NP150=2,3*$OT150&amp;" de vida temp.",IF($NP150=3,"sem dano",IF($OT150=0,IF($NP150=1,"sem cura","sem dano"),IF($NP150=1,"cura ","")&amp;$OT150&amp;"d8")))</f>
        <v/>
      </c>
      <c r="PB150" s="152">
        <f>IF($NP150=2,3*$OU150&amp;" de vida temp.",IF($NP150=3,"sem dano",IF($OU150=0,IF($NP150=1,"sem cura","sem dano"),IF($NP150=1,"cura ","")&amp;$OU150&amp;"d8")))</f>
        <v/>
      </c>
      <c r="PC150" s="152">
        <f>IF($MN150=0,"",TEXTJOIN(" · ",TRUE,IF($MA150&gt;$MO150,"Este lugar abre no nível "&amp;$MA150,""),IF($MC150&gt;$MP150,"Classe "&amp;$MC150&amp;": o nível "&amp;$MO150&amp;" libera até a "&amp;$MP150,""),IF($NH150=1,"A Forma "&amp;$ME150&amp;" pede "&amp;INDEX($W$2:$W$11,$MT150)&amp;" aberta",""),IF(AND($MC150=0,$MT150&gt;0,IF($MT150=0,0,INDEX($AF$2:$AF$11,$MT150))=0),$ME150&amp;" não existe na Classe 0",""),IF($NI150=1,"Família Fechada: "&amp;$MH150,""),IF($NJ150=1,"Família Fechada: "&amp;$MI150,""),IF($NK150=1,"Família Fechada: "&amp;$MJ150,""),IF($NL150=1,"Família Fechada: "&amp;$MK150,""),IF(AND($MC150&gt;0,$OD150&gt;INDEX($O$2:$O$8,MAX(1,$MC150))),$OD150&amp;" Melhorias: a Classe "&amp;$MC150&amp;" aceita "&amp;INDEX($O$2:$O$8,MAX(1,$MC150)),""),IF(AND($MC150=0,$OD150&gt;1),"A básica aceita uma Melhoria",""),IF(AND($MC150=0,COUNTIF($MY150:$NB150,"&gt;1")&gt;0),"A básica só aceita Melhoria Leve",""),IF(AND($MC150&gt;0,$OE150&gt;2),$OE150&amp;" Restrições"&amp;IF($NO150=1,", contando a que a Forma "&amp;$ME150&amp;" já traz","")&amp;": o limite é 2",""),IF(AND($MC150=0,COUNTIF($ML150:$MM150,"?*")&gt;1),"A básica aceita uma Restrição Leve",""),IF(AND($MC150=0,COUNTIF($NR150:$NS150,2)&gt;0),"A básica só aceita Restrição Leve",""),IF(AND($MC150&gt;0,$OL150&lt;0),"Orçamento estourado: faltam "&amp;(-$OL150)&amp;IF($OL150&lt;-1," pontos"," ponto"),""),IF(IFERROR(VLOOKUP($ML150,$BB$2:$BF$24,4,FALSE),0)+IFERROR(VLOOKUP($MM150,$BB$2:$BF$24,4,FALSE),0)&gt;1,$NT150&amp;" e "&amp;$NU150&amp;" são as duas de frequência",""),IF(AND((COUNTIF($MH150:$MK150,"Rápido")+COUNTIF($NT150:$NU150,"Rápido"))&gt;0,(COUNTIF($MH150:$MK150,"Atrasar")+COUNTIF($NT150:$NU150,"Atrasar"))&gt;0),"Rápido não entra com Atrasar",""),IF(AND((COUNTIF($MH150:$MK150,"Reação")+COUNTIF($NT150:$NU150,"Reação"))&gt;0,(COUNTIF($MH150:$MK150,"Rápido")+COUNTIF($NT150:$NU150,"Rápido"))&gt;0),"Reação não entra com Rápido",""),IF(AND((COUNTIF($MH150:$MK150,"Reação")+COUNTIF($NT150:$NU150,"Reação"))&gt;0,(COUNTIF($MH150:$MK150,"Armado")+COUNTIF($NT150:$NU150,"Armado"))&gt;0),"Reação não entra com Armado",""),IF(AND((COUNTIF($MH150:$MK150,"Reação")+COUNTIF($NT150:$NU150,"Reação"))&gt;0,(COUNTIF($MH150:$MK150,"Atrasar")+COUNTIF($NT150:$NU150,"Atrasar"))&gt;0),"Reação não entra com Atrasar",""),IF(AND((COUNTIF($MH150:$MK150,"Reação")+COUNTIF($NT150:$NU150,"Reação"))&gt;0,(COUNTIF($MH150:$MK150,"Parado")+COUNTIF($NT150:$NU150,"Parado"))&gt;0),"Reação não entra com Parado",""),IF(AND((COUNTIF($MH150:$MK150,"Atrasar")+COUNTIF($NT150:$NU150,"Atrasar"))&gt;0,(COUNTIF($MH150:$MK150,"Parado")+COUNTIF($NT150:$NU150,"Parado"))&gt;0),"Atrasar não entra com Parado",""),IF(AND((COUNTIF($MH150:$MK150,"Armado")+COUNTIF($NT150:$NU150,"Armado"))&gt;0,(COUNTIF($MH150:$MK150,"Carregar")+COUNTIF($NT150:$NU150,"Carregar"))&gt;0),"Armado não entra com Carregar",""),IF(AND(COUNTIF($NT150:$NU150,"Corpo a Corpo")&gt;0,$NO150=0,OR($ME150="Cone",$ME150="Linha")),"Corpo a Corpo não entra em "&amp;$ME150,""),IF(AND(COUNTIF($NT150:$NU150,"Corpo a Corpo")&gt;0,$NO150=1),"A Forma "&amp;$ME150&amp;" já traz o Corpo a Corpo",""),IF(AND(COUNTIF($NT150:$NU150,"Tudo ou Nada")&gt;0,$NQ150=0),"Tudo ou Nada só entra em habilidade de Teste de Resistência",""),IF(AND(COUNTIF($MH150:$MK150,"Inescapável")&gt;0,OR($OD150&gt;1,$OE150&gt;0)),"Inescapável não aceita outra peça",""),IF(AND($MC150&gt;0,$OM150*IF(COUNTIF($MH150:$MK150,"Remate")&gt;0,1.25,1)+$ON150&gt;4*$MC150),($OM150*IF(COUNTIF($MH150:$MK150,"Remate")&gt;0,1.25,1)+$ON150)&amp;" dados somando repetições"&amp;IF(COUNTIF($MH150:$MK150,"Remate")&gt;0," e o Remate","")&amp;": o teto da Classe "&amp;$MC150&amp;" é "&amp;4*$MC150,"")))</f>
        <v/>
      </c>
      <c r="PD150" s="152">
        <f>IF($PC150="",0,(LEN($PC150)-LEN(SUBSTITUTE($PC150," · ","")))/3+1)</f>
        <v/>
      </c>
      <c r="PE150" s="152">
        <f>IF($MN150=0,"",TEXTJOIN(" · ",TRUE,IF($OG150&gt;2*$MC150,"A devolução parou no teto de "&amp;2*$MC150,""),IF($OJ150&gt;0,"Devolução perdida: "&amp;$OJ150&amp;IF($OJ150&gt;1," pontos"," ponto")&amp;" sem peça para pagar",""),IF(AND($NM150&gt;0,AND($MC150&gt;0,$NP150=0),$OM150=0),"Controle sem dano: uma rodada a mais e CD +2",""),IF(AND($NM150&gt;0,AND($MC150&gt;0,$NP150=0),$OM150&gt;0,$OM150&lt;=$MC150),"Controle com saldo até a Classe: uma rodada a mais",""),IF(AND($MC150&gt;0,$NN150&lt;&gt;""),"Efeito de "&amp;$NN150&amp;" pela Classe "&amp;MAX(1,$MC150-1),"")))</f>
        <v/>
      </c>
      <c r="PF150" s="152">
        <f>IF($PE150="",0,(LEN($PE150)-LEN(SUBSTITUTE($PE150," · ","")))/3+1)</f>
        <v/>
      </c>
      <c r="PG150" s="152">
        <f>IF($MN150=0,IF($OD150+COUNTIF($ML150:$MM150,"?*")&gt;0,"Dê um nome",""),IF($PD150&gt;0,"⚠ "&amp;$PD150&amp;IF($PD150&gt;1," erros"," erro"),IF($PF150&gt;0,"! "&amp;$PF150&amp;IF($PF150&gt;1," avisos"," aviso"),"Na regra")))</f>
        <v/>
      </c>
      <c r="PH150" s="152">
        <f>IF($MN150=0,"",IF($PD150+$PF150=0,"Dentro das regras que a ficha confere",$PC150&amp;IF(AND($PD150&gt;0,$PF150&gt;0)," · ","")&amp;$PE150))</f>
        <v/>
      </c>
      <c r="PI150" s="152">
        <f>IF($MA150&gt;$MO150,$MB150&amp;" · ABRE NO NÍVEL "&amp;$MA150,$MB150)</f>
        <v/>
      </c>
      <c r="PJ150" s="152">
        <f>IF($MN150=0,"",IF($MC150=0,"Sem PE",3*$MC150&amp;" PE"))</f>
        <v/>
      </c>
      <c r="PK150" s="152">
        <f>IF($MN150=0,"",IF($MC150=0,"A atuação básica dela",IF(COUNTIF($NT150:$NU150,"Atrasar")&gt;0,"Sua Ação Completa",IF(COUNTIF($MH150:$MK150,"Rápido")&gt;0,"Sua Bônus",IF(COUNTIF($MH150:$MK150,"Reação")&gt;0,"Sua Reação","Sua Padrão")))&amp;" + a básica dela"&amp;IF(COUNTIF($MH150:$MK150,"Reação")&gt;0," e a coletiva","")&amp;IF(COUNTIF($NT150:$NU150,"Carregar")&gt;0," · em dois turnos","")))</f>
        <v/>
      </c>
      <c r="PL150" s="152">
        <f>IF($MG150&lt;&gt;"",$MG150,IF($MT150=0,"",INDEX($AA$2:$AA$11,$MT150)))</f>
        <v/>
      </c>
      <c r="PM150" s="152">
        <f>IF(OR($MN150=0,$MT150=0),"",IF(COUNTIF($MH150:$MK150,"Inescapável")&gt;0,"Automático",IF($PL150="Ataque",IF($MR150="","Ataque","Ataque "&amp;IF(($MR150+2*IF(COUNTIF($MH150:$MK150,"Precisão")&gt;0,1,0))&gt;=0,"+","−")&amp;ABS(($MR150+2*IF(COUNTIF($MH150:$MK150,"Precisão")&gt;0,1,0)))),IF(LEFT($PL150,2)="TR",$PL150&amp;IF($MS150="",""," · CD "&amp;$MS150)&amp;IF(COUNTIF($MH150:$MK150,"Certeiro")&gt;0," · metade",""),"Sem rolagem"))))</f>
        <v/>
      </c>
      <c r="PN150" s="152">
        <f>IF(OR($MN150=0,$MT150=0),"",IF($MC150=0,IF(OR($NP150&gt;=1,$OM150=0),"Sem dano",$OM150&amp;"d6"&amp;IF($MF150="",""," "&amp;$MF150)),IF(OR($NP150&gt;=1,$OM150=0),UPPER(LEFT(INDEX($OV150:$PB150,1,MAX(1,$MC150)),1))&amp;MID(INDEX($OV150:$PB150,1,MAX(1,$MC150)),2,99),UPPER(LEFT(INDEX($OV150:$PB150,1,MAX(1,$MC150)),1))&amp;MID(INDEX($OV150:$PB150,1,MAX(1,$MC150)),2,99)&amp;IF($MF150="",""," "&amp;$MF150)&amp;IF($ON150&gt;0," · +"&amp;$ON150&amp;"d8",""))))</f>
        <v/>
      </c>
      <c r="PO150" s="152">
        <f>COUNTIF($MH150:$MK150,"Longe")+3*COUNTIF($MH150:$MK150,"Muito Longe")</f>
        <v/>
      </c>
      <c r="PP150" s="152">
        <f>COUNTIF($MH150:$MK150,"Maior")+3*COUNTIF($MH150:$MK150,"Muito Maior")</f>
        <v/>
      </c>
      <c r="PQ150" s="152">
        <f>IF($MT150=0,0,CHOOSE(1+INDEX($AC$2:$AC$11,$MT150),0,$PO150,$PP150,$PO150+$PP150))</f>
        <v/>
      </c>
      <c r="PR150" s="152">
        <f>IF($MT150=0,0,CHOOSE(1+INDEX($AD$2:$AD$11,$MT150),0,$PO150,$PP150,$PO150+$PP150))</f>
        <v/>
      </c>
      <c r="PS150" s="152">
        <f>IF(OR($MN150=0,$MT150=0),"",INDEX($AI$2:$AN$41,($MT150-1)*4+IF($MC150=0,1,IF($MC150&lt;=5,2,IF($MC150=6,3,4))),1+MIN(5,$PQ150))&amp;INDEX($AO$2:$AT$41,($MT150-1)*4+IF($MC150=0,1,IF($MC150&lt;=5,2,IF($MC150=6,3,4))),1+MIN(5,$PR150))&amp;IF(INDEX($AE$2:$AE$11,$MT150)=1,IF(COUNTIF($MH150:$MK150,"Mais Um")&gt;0," · +"&amp;COUNTIF($MH150:$MK150,"Mais Um")&amp;IF(COUNTIF($MH150:$MK150,"Mais Um")&gt;1," alvos"," alvo"),"")&amp;IF(COUNTIF($MH150:$MK150,"Rajada")&gt;0,IF($MC150=0," · 1 tiro"," · "&amp;(MAX(1,$MC150-1)+1)&amp;" tiros"),""),""))</f>
        <v/>
      </c>
      <c r="PT150" s="152">
        <f>IF($MN150=0,"",IF($MC150=0,$MQ150&amp;"d6"&amp;IF($OD150&gt;0," − 1 = "&amp;$OM150&amp;"d6"," da básica do nível "&amp;$MO150),$OK150&amp;" − "&amp;$OF150&amp;" + "&amp;$OI150&amp;" = "&amp;$OL150&amp;" · teto "&amp;4*$MC150&amp;"d8"&amp;IF($NO150=1," · a Forma devolve "&amp;$MC150,"")&amp;IF($OJ150&gt;0," · perde "&amp;$OJ150,"")))</f>
        <v/>
      </c>
      <c r="PU150" s="152">
        <f>IF($MN150=0,"",IF($MC150=0,"A básica não amplia: os dados dela sobem com o nível",IF($MC150&gt;=$MP150,"Já está na maior Classe que o nível liberou",TEXTJOIN(" · ",TRUE,IF(AND(2&gt;$MC150,2&lt;=$MP150),"2 → "&amp;$OW150&amp;", 6 PE",""),IF(AND(3&gt;$MC150,3&lt;=$MP150),"3 → "&amp;$OX150&amp;", 9 PE",""),IF(AND(4&gt;$MC150,4&lt;=$MP150),"4 → "&amp;$OY150&amp;", 12 PE",""),IF(AND(5&gt;$MC150,5&lt;=$MP150),"5 → "&amp;$OZ150&amp;", 15 PE",""),IF(AND(6&gt;$MC150,6&lt;=$MP150),"6 → "&amp;$PA150&amp;", 18 PE",""),IF(AND(7&gt;$MC150,7&lt;=$MP150),"7 → "&amp;$PB150&amp;", 21 PE","")))))</f>
        <v/>
      </c>
      <c r="PV150" s="152">
        <f>IF(OR($MN150=0,$MY150=0),"",IF($MC150=0,"−1 dado","−"&amp;INDEX($I$2:$N$8,MAX(1,$MC150),MAX(1,$ND150))&amp;" · "&amp;CHOOSE(MAX(1,$ND150),"Leve","Média","Pesada","Leve · Livre","Média · Livre","Pesada · Livre")))</f>
        <v/>
      </c>
      <c r="PW150" s="152">
        <f>IF(OR($MN150=0,$MZ150=0),"",IF($MC150=0,"−1 dado","−"&amp;INDEX($I$2:$N$8,MAX(1,$MC150),MAX(1,$NE150))&amp;" · "&amp;CHOOSE(MAX(1,$NE150),"Leve","Média","Pesada","Leve · Livre","Média · Livre","Pesada · Livre")))</f>
        <v/>
      </c>
      <c r="PX150" s="152">
        <f>IF(OR($MN150=0,$NA150=0),"",IF($MC150=0,"−1 dado","−"&amp;INDEX($I$2:$N$8,MAX(1,$MC150),MAX(1,$NF150))&amp;" · "&amp;CHOOSE(MAX(1,$NF150),"Leve","Média","Pesada","Leve · Livre","Média · Livre","Pesada · Livre")))</f>
        <v/>
      </c>
      <c r="PY150" s="152">
        <f>IF(OR($MN150=0,$NB150=0),"",IF($MC150=0,"−1 dado","−"&amp;INDEX($I$2:$N$8,MAX(1,$MC150),MAX(1,$NG150))&amp;" · "&amp;CHOOSE(MAX(1,$NG150),"Leve","Média","Pesada","Leve · Livre","Média · Livre","Pesada · Livre")))</f>
        <v/>
      </c>
      <c r="PZ150" s="152">
        <f>IF(OR($MN150=0,$ML150=""),"",IF($MC150=0,"não devolve","+"&amp;IF($NR150=1,CEILING($MC150/2,1),$MC150)))</f>
        <v/>
      </c>
      <c r="QA150" s="152">
        <f>IF(OR($MN150=0,$MM150=""),"",IF($MC150=0,"não devolve","+"&amp;IF($NS150=1,CEILING($MC150/2,1),$MC150)))</f>
        <v/>
      </c>
    </row>
    <row r="151">
      <c r="LX151" s="150" t="inlineStr">
        <is>
          <t>Ficha 12 · Especial 5</t>
        </is>
      </c>
      <c r="LY151" s="152" t="n">
        <v>12</v>
      </c>
      <c r="LZ151" s="152" t="n">
        <v>1</v>
      </c>
      <c r="MA151" s="152" t="n">
        <v>16</v>
      </c>
      <c r="MB151" s="150" t="inlineStr">
        <is>
          <t>ESPECIAL 5</t>
        </is>
      </c>
      <c r="MC151" s="152">
        <f>MAX(1,MIN(7,N('INVOCAÇÕES'!$AB$1104)))</f>
        <v/>
      </c>
      <c r="MD151" s="152">
        <f>'INVOCAÇÕES'!$AC$1104&amp;""</f>
        <v/>
      </c>
      <c r="ME151" s="152">
        <f>'INVOCAÇÕES'!$AB$1109&amp;""</f>
        <v/>
      </c>
      <c r="MF151" s="152">
        <f>'INVOCAÇÕES'!$AB$1110&amp;""</f>
        <v/>
      </c>
      <c r="MG151" s="152">
        <f>'INVOCAÇÕES'!$AD$1110&amp;""</f>
        <v/>
      </c>
      <c r="MH151" s="152">
        <f>'INVOCAÇÕES'!$AC$1113&amp;""</f>
        <v/>
      </c>
      <c r="MI151" s="152">
        <f>'INVOCAÇÕES'!$AC$1114&amp;""</f>
        <v/>
      </c>
      <c r="MJ151" s="152">
        <f>'INVOCAÇÕES'!$AC$1115&amp;""</f>
        <v/>
      </c>
      <c r="MK151" s="152">
        <f>'INVOCAÇÕES'!$AC$1116&amp;""</f>
        <v/>
      </c>
      <c r="ML151" s="152">
        <f>'INVOCAÇÕES'!$AC$1117&amp;""</f>
        <v/>
      </c>
      <c r="MM151" s="152">
        <f>'INVOCAÇÕES'!$AC$1118&amp;""</f>
        <v/>
      </c>
      <c r="MN151" s="152">
        <f>IF($MD151&lt;&gt;"",1,0)</f>
        <v/>
      </c>
      <c r="MO151" s="152">
        <f>INDEX($FG$2:$FG$13,$LY151)</f>
        <v/>
      </c>
      <c r="MP151" s="152">
        <f>INDEX($FH$2:$FH$13,$LY151)</f>
        <v/>
      </c>
      <c r="MQ151" s="152">
        <f>INDEX($FI$2:$FI$13,$LY151)</f>
        <v/>
      </c>
      <c r="MR151" s="152">
        <f>INDEX($FT$2:$FT$13,$LY151)</f>
        <v/>
      </c>
      <c r="MS151" s="152">
        <f>INDEX($FU$2:$FU$13,$LY151)</f>
        <v/>
      </c>
      <c r="MT151" s="152">
        <f>IFERROR(MATCH($ME151,$V$2:$V$11,0),0)</f>
        <v/>
      </c>
      <c r="MU151" s="152">
        <f>IFERROR(VLOOKUP($MH151,$AV$2:$AZ$84,2,FALSE),"")</f>
        <v/>
      </c>
      <c r="MV151" s="152">
        <f>IFERROR(VLOOKUP($MI151,$AV$2:$AZ$84,2,FALSE),"")</f>
        <v/>
      </c>
      <c r="MW151" s="152">
        <f>IFERROR(VLOOKUP($MJ151,$AV$2:$AZ$84,2,FALSE),"")</f>
        <v/>
      </c>
      <c r="MX151" s="152">
        <f>IFERROR(VLOOKUP($MK151,$AV$2:$AZ$84,2,FALSE),"")</f>
        <v/>
      </c>
      <c r="MY151" s="152">
        <f>IFERROR(VLOOKUP($MH151,$AV$2:$AZ$84,3,FALSE),0)</f>
        <v/>
      </c>
      <c r="MZ151" s="152">
        <f>IFERROR(VLOOKUP($MI151,$AV$2:$AZ$84,3,FALSE),0)</f>
        <v/>
      </c>
      <c r="NA151" s="152">
        <f>IFERROR(VLOOKUP($MJ151,$AV$2:$AZ$84,3,FALSE),0)</f>
        <v/>
      </c>
      <c r="NB151" s="152">
        <f>IFERROR(VLOOKUP($MK151,$AV$2:$AZ$84,3,FALSE),0)</f>
        <v/>
      </c>
      <c r="NC151" s="152">
        <f>IF($MC151=0,0,IF($MT151=0,0,INDEX($X$2:$X$11,$MT151)))</f>
        <v/>
      </c>
      <c r="ND151" s="152">
        <f>IF(OR($MY151=0,$MC151=0),0,$MY151+3*IF(AND($MU151&lt;&gt;"",OR($MU151=INDEX($ED$2:$ED$13,$LY151),$MU151=INDEX($EE$2:$EE$13,$LY151))),1,0))</f>
        <v/>
      </c>
      <c r="NE151" s="152">
        <f>IF(OR($MZ151=0,$MC151=0),0,$MZ151+3*IF(AND($MV151&lt;&gt;"",OR($MV151=INDEX($ED$2:$ED$13,$LY151),$MV151=INDEX($EE$2:$EE$13,$LY151))),1,0))</f>
        <v/>
      </c>
      <c r="NF151" s="152">
        <f>IF(OR($NA151=0,$MC151=0),0,$NA151+3*IF(AND($MW151&lt;&gt;"",OR($MW151=INDEX($ED$2:$ED$13,$LY151),$MW151=INDEX($EE$2:$EE$13,$LY151))),1,0))</f>
        <v/>
      </c>
      <c r="NG151" s="152">
        <f>IF(OR($NB151=0,$MC151=0),0,$NB151+3*IF(AND($MX151&lt;&gt;"",OR($MX151=INDEX($ED$2:$ED$13,$LY151),$MX151=INDEX($EE$2:$EE$13,$LY151))),1,0))</f>
        <v/>
      </c>
      <c r="NH151" s="152">
        <f>IF($MT151=0,0,IF(INDEX($W$2:$W$11,$MT151)="",0,IF(COUNTIF(INDEX($ED$2:$EH$13,$LY151,0),INDEX($W$2:$W$11,$MT151))=0,1,0)))</f>
        <v/>
      </c>
      <c r="NI151" s="152">
        <f>IF(OR($MY151=0,$MU151=""),0,IF(COUNTIF(INDEX($ED$2:$EH$13,$LY151,0),$MU151)=0,1,0))</f>
        <v/>
      </c>
      <c r="NJ151" s="152">
        <f>IF(OR($MZ151=0,$MV151=""),0,IF(COUNTIF(INDEX($ED$2:$EH$13,$LY151,0),$MV151)=0,1,0))</f>
        <v/>
      </c>
      <c r="NK151" s="152">
        <f>IF(OR($NA151=0,$MW151=""),0,IF(COUNTIF(INDEX($ED$2:$EH$13,$LY151,0),$MW151)=0,1,0))</f>
        <v/>
      </c>
      <c r="NL151" s="152">
        <f>IF(OR($NB151=0,$MX151=""),0,IF(COUNTIF(INDEX($ED$2:$EH$13,$LY151,0),$MX151)=0,1,0))</f>
        <v/>
      </c>
      <c r="NM151" s="152">
        <f>IFERROR(VLOOKUP($MH151,$AV$2:$AZ$84,4,FALSE),0)+IFERROR(VLOOKUP($MI151,$AV$2:$AZ$84,4,FALSE),0)+IFERROR(VLOOKUP($MJ151,$AV$2:$AZ$84,4,FALSE),0)+IFERROR(VLOOKUP($MK151,$AV$2:$AZ$84,4,FALSE),0)</f>
        <v/>
      </c>
      <c r="NN151" s="152">
        <f>TEXTJOIN(", ",TRUE,IF(IFERROR(VLOOKUP($MH151,$AV$2:$AZ$84,5,FALSE),0)=1,$MH151,""),IF(IFERROR(VLOOKUP($MI151,$AV$2:$AZ$84,5,FALSE),0)=1,$MI151,""),IF(IFERROR(VLOOKUP($MJ151,$AV$2:$AZ$84,5,FALSE),0)=1,$MJ151,""),IF(IFERROR(VLOOKUP($MK151,$AV$2:$AZ$84,5,FALSE),0)=1,$MK151,""))</f>
        <v/>
      </c>
      <c r="NO151" s="152">
        <f>IF($MT151=0,0,INDEX($Y$2:$Y$11,$MT151))</f>
        <v/>
      </c>
      <c r="NP151" s="152">
        <f>IF($MT151=0,0,INDEX($Z$2:$Z$11,$MT151))</f>
        <v/>
      </c>
      <c r="NQ151" s="152">
        <f>IF($MT151=0,0,INDEX($AB$2:$AB$11,$MT151))</f>
        <v/>
      </c>
      <c r="NR151" s="152">
        <f>IFERROR(VLOOKUP($ML151,$BB$2:$BF$24,3,FALSE),0)</f>
        <v/>
      </c>
      <c r="NS151" s="152">
        <f>IFERROR(VLOOKUP($MM151,$BB$2:$BF$24,3,FALSE),0)</f>
        <v/>
      </c>
      <c r="NT151" s="152">
        <f>IFERROR(VLOOKUP($ML151,$BB$2:$BF$24,2,FALSE),"")</f>
        <v/>
      </c>
      <c r="NU151" s="152">
        <f>IFERROR(VLOOKUP($MM151,$BB$2:$BF$24,2,FALSE),"")</f>
        <v/>
      </c>
      <c r="NV151" s="152">
        <f>COUNTIF($NC151:$NG151,1)</f>
        <v/>
      </c>
      <c r="NW151" s="152">
        <f>COUNTIF($NC151:$NG151,2)</f>
        <v/>
      </c>
      <c r="NX151" s="152">
        <f>COUNTIF($NC151:$NG151,3)</f>
        <v/>
      </c>
      <c r="NY151" s="152">
        <f>COUNTIF($NC151:$NG151,4)</f>
        <v/>
      </c>
      <c r="NZ151" s="152">
        <f>COUNTIF($NC151:$NG151,5)</f>
        <v/>
      </c>
      <c r="OA151" s="152">
        <f>COUNTIF($NC151:$NG151,6)</f>
        <v/>
      </c>
      <c r="OB151" s="152">
        <f>COUNTIF($NR151:$NS151,1)</f>
        <v/>
      </c>
      <c r="OC151" s="152">
        <f>COUNTIF($NR151:$NS151,2)+$NO151</f>
        <v/>
      </c>
      <c r="OD151" s="152">
        <f>COUNTIF($MH151:$MK151,"?*")</f>
        <v/>
      </c>
      <c r="OE151" s="152">
        <f>COUNTIF($ML151:$MM151,"?*")+$NO151</f>
        <v/>
      </c>
      <c r="OF151" s="152">
        <f>IF($MC151=0,0,SUMPRODUCT($NV151:$OA151,INDEX($I$2:$N$8,MAX(1,$MC151),0)))</f>
        <v/>
      </c>
      <c r="OG151" s="152">
        <f>IF($MC151=0,0,$OB151*CEILING($MC151/2,1)+$OC151*$MC151)</f>
        <v/>
      </c>
      <c r="OH151" s="152">
        <f>MIN(2*$MC151,$OG151)</f>
        <v/>
      </c>
      <c r="OI151" s="152">
        <f>MIN($OH151,$OF151)</f>
        <v/>
      </c>
      <c r="OJ151" s="152">
        <f>$OH151-$OI151</f>
        <v/>
      </c>
      <c r="OK151" s="152">
        <f>IF($MC151=0,0,INDEX($P$2:$P$8,MAX(1,$MC151)))</f>
        <v/>
      </c>
      <c r="OL151" s="152">
        <f>$OK151-$OF151+$OI151</f>
        <v/>
      </c>
      <c r="OM151" s="152">
        <f>IF($MC151=0,MAX(0,$MQ151-IF($OD151&gt;0,1,0)),MAX(0,$OL151))</f>
        <v/>
      </c>
      <c r="ON151" s="152">
        <f>IF($MC151=0,0,(IF(COUNTIF($MH151:$MK151,"Salto")&gt;0,1,0)+IF(COUNTIF($MH151:$MK151,"Queima")&gt;0,1,0)+IF(COUNTIF($MH151:$MK151,"Estilhaço")&gt;0,1,0))*FLOOR($OM151/2,1))</f>
        <v/>
      </c>
      <c r="OO151" s="152">
        <f>MAX(0,2-SUMPRODUCT($NV151:$OA151,$I$2:$N$2)+MIN(2,$OB151*1+$OC151*1,SUMPRODUCT($NV151:$OA151,$I$2:$N$2)))</f>
        <v/>
      </c>
      <c r="OP151" s="152">
        <f>MAX(0,4-SUMPRODUCT($NV151:$OA151,$I$3:$N$3)+MIN(4,$OB151*1+$OC151*2,SUMPRODUCT($NV151:$OA151,$I$3:$N$3)))</f>
        <v/>
      </c>
      <c r="OQ151" s="152">
        <f>MAX(0,6-SUMPRODUCT($NV151:$OA151,$I$4:$N$4)+MIN(6,$OB151*2+$OC151*3,SUMPRODUCT($NV151:$OA151,$I$4:$N$4)))</f>
        <v/>
      </c>
      <c r="OR151" s="152">
        <f>MAX(0,9-SUMPRODUCT($NV151:$OA151,$I$5:$N$5)+MIN(8,$OB151*2+$OC151*4,SUMPRODUCT($NV151:$OA151,$I$5:$N$5)))</f>
        <v/>
      </c>
      <c r="OS151" s="152">
        <f>MAX(0,11-SUMPRODUCT($NV151:$OA151,$I$6:$N$6)+MIN(10,$OB151*3+$OC151*5,SUMPRODUCT($NV151:$OA151,$I$6:$N$6)))</f>
        <v/>
      </c>
      <c r="OT151" s="152">
        <f>MAX(0,13-SUMPRODUCT($NV151:$OA151,$I$7:$N$7)+MIN(12,$OB151*3+$OC151*6,SUMPRODUCT($NV151:$OA151,$I$7:$N$7)))</f>
        <v/>
      </c>
      <c r="OU151" s="152">
        <f>MAX(0,16-SUMPRODUCT($NV151:$OA151,$I$8:$N$8)+MIN(14,$OB151*4+$OC151*7,SUMPRODUCT($NV151:$OA151,$I$8:$N$8)))</f>
        <v/>
      </c>
      <c r="OV151" s="152">
        <f>IF($NP151=2,3*$OO151&amp;" de vida temp.",IF($NP151=3,"sem dano",IF($OO151=0,IF($NP151=1,"sem cura","sem dano"),IF($NP151=1,"cura ","")&amp;$OO151&amp;"d8")))</f>
        <v/>
      </c>
      <c r="OW151" s="152">
        <f>IF($NP151=2,3*$OP151&amp;" de vida temp.",IF($NP151=3,"sem dano",IF($OP151=0,IF($NP151=1,"sem cura","sem dano"),IF($NP151=1,"cura ","")&amp;$OP151&amp;"d8")))</f>
        <v/>
      </c>
      <c r="OX151" s="152">
        <f>IF($NP151=2,3*$OQ151&amp;" de vida temp.",IF($NP151=3,"sem dano",IF($OQ151=0,IF($NP151=1,"sem cura","sem dano"),IF($NP151=1,"cura ","")&amp;$OQ151&amp;"d8")))</f>
        <v/>
      </c>
      <c r="OY151" s="152">
        <f>IF($NP151=2,3*$OR151&amp;" de vida temp.",IF($NP151=3,"sem dano",IF($OR151=0,IF($NP151=1,"sem cura","sem dano"),IF($NP151=1,"cura ","")&amp;$OR151&amp;"d8")))</f>
        <v/>
      </c>
      <c r="OZ151" s="152">
        <f>IF($NP151=2,3*$OS151&amp;" de vida temp.",IF($NP151=3,"sem dano",IF($OS151=0,IF($NP151=1,"sem cura","sem dano"),IF($NP151=1,"cura ","")&amp;$OS151&amp;"d8")))</f>
        <v/>
      </c>
      <c r="PA151" s="152">
        <f>IF($NP151=2,3*$OT151&amp;" de vida temp.",IF($NP151=3,"sem dano",IF($OT151=0,IF($NP151=1,"sem cura","sem dano"),IF($NP151=1,"cura ","")&amp;$OT151&amp;"d8")))</f>
        <v/>
      </c>
      <c r="PB151" s="152">
        <f>IF($NP151=2,3*$OU151&amp;" de vida temp.",IF($NP151=3,"sem dano",IF($OU151=0,IF($NP151=1,"sem cura","sem dano"),IF($NP151=1,"cura ","")&amp;$OU151&amp;"d8")))</f>
        <v/>
      </c>
      <c r="PC151" s="152">
        <f>IF($MN151=0,"",TEXTJOIN(" · ",TRUE,IF($MA151&gt;$MO151,"Este lugar abre no nível "&amp;$MA151,""),IF($MC151&gt;$MP151,"Classe "&amp;$MC151&amp;": o nível "&amp;$MO151&amp;" libera até a "&amp;$MP151,""),IF($NH151=1,"A Forma "&amp;$ME151&amp;" pede "&amp;INDEX($W$2:$W$11,$MT151)&amp;" aberta",""),IF(AND($MC151=0,$MT151&gt;0,IF($MT151=0,0,INDEX($AF$2:$AF$11,$MT151))=0),$ME151&amp;" não existe na Classe 0",""),IF($NI151=1,"Família Fechada: "&amp;$MH151,""),IF($NJ151=1,"Família Fechada: "&amp;$MI151,""),IF($NK151=1,"Família Fechada: "&amp;$MJ151,""),IF($NL151=1,"Família Fechada: "&amp;$MK151,""),IF(AND($MC151&gt;0,$OD151&gt;INDEX($O$2:$O$8,MAX(1,$MC151))),$OD151&amp;" Melhorias: a Classe "&amp;$MC151&amp;" aceita "&amp;INDEX($O$2:$O$8,MAX(1,$MC151)),""),IF(AND($MC151=0,$OD151&gt;1),"A básica aceita uma Melhoria",""),IF(AND($MC151=0,COUNTIF($MY151:$NB151,"&gt;1")&gt;0),"A básica só aceita Melhoria Leve",""),IF(AND($MC151&gt;0,$OE151&gt;2),$OE151&amp;" Restrições"&amp;IF($NO151=1,", contando a que a Forma "&amp;$ME151&amp;" já traz","")&amp;": o limite é 2",""),IF(AND($MC151=0,COUNTIF($ML151:$MM151,"?*")&gt;1),"A básica aceita uma Restrição Leve",""),IF(AND($MC151=0,COUNTIF($NR151:$NS151,2)&gt;0),"A básica só aceita Restrição Leve",""),IF(AND($MC151&gt;0,$OL151&lt;0),"Orçamento estourado: faltam "&amp;(-$OL151)&amp;IF($OL151&lt;-1," pontos"," ponto"),""),IF(IFERROR(VLOOKUP($ML151,$BB$2:$BF$24,4,FALSE),0)+IFERROR(VLOOKUP($MM151,$BB$2:$BF$24,4,FALSE),0)&gt;1,$NT151&amp;" e "&amp;$NU151&amp;" são as duas de frequência",""),IF(AND((COUNTIF($MH151:$MK151,"Rápido")+COUNTIF($NT151:$NU151,"Rápido"))&gt;0,(COUNTIF($MH151:$MK151,"Atrasar")+COUNTIF($NT151:$NU151,"Atrasar"))&gt;0),"Rápido não entra com Atrasar",""),IF(AND((COUNTIF($MH151:$MK151,"Reação")+COUNTIF($NT151:$NU151,"Reação"))&gt;0,(COUNTIF($MH151:$MK151,"Rápido")+COUNTIF($NT151:$NU151,"Rápido"))&gt;0),"Reação não entra com Rápido",""),IF(AND((COUNTIF($MH151:$MK151,"Reação")+COUNTIF($NT151:$NU151,"Reação"))&gt;0,(COUNTIF($MH151:$MK151,"Armado")+COUNTIF($NT151:$NU151,"Armado"))&gt;0),"Reação não entra com Armado",""),IF(AND((COUNTIF($MH151:$MK151,"Reação")+COUNTIF($NT151:$NU151,"Reação"))&gt;0,(COUNTIF($MH151:$MK151,"Atrasar")+COUNTIF($NT151:$NU151,"Atrasar"))&gt;0),"Reação não entra com Atrasar",""),IF(AND((COUNTIF($MH151:$MK151,"Reação")+COUNTIF($NT151:$NU151,"Reação"))&gt;0,(COUNTIF($MH151:$MK151,"Parado")+COUNTIF($NT151:$NU151,"Parado"))&gt;0),"Reação não entra com Parado",""),IF(AND((COUNTIF($MH151:$MK151,"Atrasar")+COUNTIF($NT151:$NU151,"Atrasar"))&gt;0,(COUNTIF($MH151:$MK151,"Parado")+COUNTIF($NT151:$NU151,"Parado"))&gt;0),"Atrasar não entra com Parado",""),IF(AND((COUNTIF($MH151:$MK151,"Armado")+COUNTIF($NT151:$NU151,"Armado"))&gt;0,(COUNTIF($MH151:$MK151,"Carregar")+COUNTIF($NT151:$NU151,"Carregar"))&gt;0),"Armado não entra com Carregar",""),IF(AND(COUNTIF($NT151:$NU151,"Corpo a Corpo")&gt;0,$NO151=0,OR($ME151="Cone",$ME151="Linha")),"Corpo a Corpo não entra em "&amp;$ME151,""),IF(AND(COUNTIF($NT151:$NU151,"Corpo a Corpo")&gt;0,$NO151=1),"A Forma "&amp;$ME151&amp;" já traz o Corpo a Corpo",""),IF(AND(COUNTIF($NT151:$NU151,"Tudo ou Nada")&gt;0,$NQ151=0),"Tudo ou Nada só entra em habilidade de Teste de Resistência",""),IF(AND(COUNTIF($MH151:$MK151,"Inescapável")&gt;0,OR($OD151&gt;1,$OE151&gt;0)),"Inescapável não aceita outra peça",""),IF(AND($MC151&gt;0,$OM151*IF(COUNTIF($MH151:$MK151,"Remate")&gt;0,1.25,1)+$ON151&gt;4*$MC151),($OM151*IF(COUNTIF($MH151:$MK151,"Remate")&gt;0,1.25,1)+$ON151)&amp;" dados somando repetições"&amp;IF(COUNTIF($MH151:$MK151,"Remate")&gt;0," e o Remate","")&amp;": o teto da Classe "&amp;$MC151&amp;" é "&amp;4*$MC151,"")))</f>
        <v/>
      </c>
      <c r="PD151" s="152">
        <f>IF($PC151="",0,(LEN($PC151)-LEN(SUBSTITUTE($PC151," · ","")))/3+1)</f>
        <v/>
      </c>
      <c r="PE151" s="152">
        <f>IF($MN151=0,"",TEXTJOIN(" · ",TRUE,IF($OG151&gt;2*$MC151,"A devolução parou no teto de "&amp;2*$MC151,""),IF($OJ151&gt;0,"Devolução perdida: "&amp;$OJ151&amp;IF($OJ151&gt;1," pontos"," ponto")&amp;" sem peça para pagar",""),IF(AND($NM151&gt;0,AND($MC151&gt;0,$NP151=0),$OM151=0),"Controle sem dano: uma rodada a mais e CD +2",""),IF(AND($NM151&gt;0,AND($MC151&gt;0,$NP151=0),$OM151&gt;0,$OM151&lt;=$MC151),"Controle com saldo até a Classe: uma rodada a mais",""),IF(AND($MC151&gt;0,$NN151&lt;&gt;""),"Efeito de "&amp;$NN151&amp;" pela Classe "&amp;MAX(1,$MC151-1),"")))</f>
        <v/>
      </c>
      <c r="PF151" s="152">
        <f>IF($PE151="",0,(LEN($PE151)-LEN(SUBSTITUTE($PE151," · ","")))/3+1)</f>
        <v/>
      </c>
      <c r="PG151" s="152">
        <f>IF($MN151=0,IF($OD151+COUNTIF($ML151:$MM151,"?*")&gt;0,"Dê um nome",""),IF($PD151&gt;0,"⚠ "&amp;$PD151&amp;IF($PD151&gt;1," erros"," erro"),IF($PF151&gt;0,"! "&amp;$PF151&amp;IF($PF151&gt;1," avisos"," aviso"),"Na regra")))</f>
        <v/>
      </c>
      <c r="PH151" s="152">
        <f>IF($MN151=0,"",IF($PD151+$PF151=0,"Dentro das regras que a ficha confere",$PC151&amp;IF(AND($PD151&gt;0,$PF151&gt;0)," · ","")&amp;$PE151))</f>
        <v/>
      </c>
      <c r="PI151" s="152">
        <f>IF($MA151&gt;$MO151,$MB151&amp;" · ABRE NO NÍVEL "&amp;$MA151,$MB151)</f>
        <v/>
      </c>
      <c r="PJ151" s="152">
        <f>IF($MN151=0,"",IF($MC151=0,"Sem PE",3*$MC151&amp;" PE"))</f>
        <v/>
      </c>
      <c r="PK151" s="152">
        <f>IF($MN151=0,"",IF($MC151=0,"A atuação básica dela",IF(COUNTIF($NT151:$NU151,"Atrasar")&gt;0,"Sua Ação Completa",IF(COUNTIF($MH151:$MK151,"Rápido")&gt;0,"Sua Bônus",IF(COUNTIF($MH151:$MK151,"Reação")&gt;0,"Sua Reação","Sua Padrão")))&amp;" + a básica dela"&amp;IF(COUNTIF($MH151:$MK151,"Reação")&gt;0," e a coletiva","")&amp;IF(COUNTIF($NT151:$NU151,"Carregar")&gt;0," · em dois turnos","")))</f>
        <v/>
      </c>
      <c r="PL151" s="152">
        <f>IF($MG151&lt;&gt;"",$MG151,IF($MT151=0,"",INDEX($AA$2:$AA$11,$MT151)))</f>
        <v/>
      </c>
      <c r="PM151" s="152">
        <f>IF(OR($MN151=0,$MT151=0),"",IF(COUNTIF($MH151:$MK151,"Inescapável")&gt;0,"Automático",IF($PL151="Ataque",IF($MR151="","Ataque","Ataque "&amp;IF(($MR151+2*IF(COUNTIF($MH151:$MK151,"Precisão")&gt;0,1,0))&gt;=0,"+","−")&amp;ABS(($MR151+2*IF(COUNTIF($MH151:$MK151,"Precisão")&gt;0,1,0)))),IF(LEFT($PL151,2)="TR",$PL151&amp;IF($MS151="",""," · CD "&amp;$MS151)&amp;IF(COUNTIF($MH151:$MK151,"Certeiro")&gt;0," · metade",""),"Sem rolagem"))))</f>
        <v/>
      </c>
      <c r="PN151" s="152">
        <f>IF(OR($MN151=0,$MT151=0),"",IF($MC151=0,IF(OR($NP151&gt;=1,$OM151=0),"Sem dano",$OM151&amp;"d6"&amp;IF($MF151="",""," "&amp;$MF151)),IF(OR($NP151&gt;=1,$OM151=0),UPPER(LEFT(INDEX($OV151:$PB151,1,MAX(1,$MC151)),1))&amp;MID(INDEX($OV151:$PB151,1,MAX(1,$MC151)),2,99),UPPER(LEFT(INDEX($OV151:$PB151,1,MAX(1,$MC151)),1))&amp;MID(INDEX($OV151:$PB151,1,MAX(1,$MC151)),2,99)&amp;IF($MF151="",""," "&amp;$MF151)&amp;IF($ON151&gt;0," · +"&amp;$ON151&amp;"d8",""))))</f>
        <v/>
      </c>
      <c r="PO151" s="152">
        <f>COUNTIF($MH151:$MK151,"Longe")+3*COUNTIF($MH151:$MK151,"Muito Longe")</f>
        <v/>
      </c>
      <c r="PP151" s="152">
        <f>COUNTIF($MH151:$MK151,"Maior")+3*COUNTIF($MH151:$MK151,"Muito Maior")</f>
        <v/>
      </c>
      <c r="PQ151" s="152">
        <f>IF($MT151=0,0,CHOOSE(1+INDEX($AC$2:$AC$11,$MT151),0,$PO151,$PP151,$PO151+$PP151))</f>
        <v/>
      </c>
      <c r="PR151" s="152">
        <f>IF($MT151=0,0,CHOOSE(1+INDEX($AD$2:$AD$11,$MT151),0,$PO151,$PP151,$PO151+$PP151))</f>
        <v/>
      </c>
      <c r="PS151" s="152">
        <f>IF(OR($MN151=0,$MT151=0),"",INDEX($AI$2:$AN$41,($MT151-1)*4+IF($MC151=0,1,IF($MC151&lt;=5,2,IF($MC151=6,3,4))),1+MIN(5,$PQ151))&amp;INDEX($AO$2:$AT$41,($MT151-1)*4+IF($MC151=0,1,IF($MC151&lt;=5,2,IF($MC151=6,3,4))),1+MIN(5,$PR151))&amp;IF(INDEX($AE$2:$AE$11,$MT151)=1,IF(COUNTIF($MH151:$MK151,"Mais Um")&gt;0," · +"&amp;COUNTIF($MH151:$MK151,"Mais Um")&amp;IF(COUNTIF($MH151:$MK151,"Mais Um")&gt;1," alvos"," alvo"),"")&amp;IF(COUNTIF($MH151:$MK151,"Rajada")&gt;0,IF($MC151=0," · 1 tiro"," · "&amp;(MAX(1,$MC151-1)+1)&amp;" tiros"),""),""))</f>
        <v/>
      </c>
      <c r="PT151" s="152">
        <f>IF($MN151=0,"",IF($MC151=0,$MQ151&amp;"d6"&amp;IF($OD151&gt;0," − 1 = "&amp;$OM151&amp;"d6"," da básica do nível "&amp;$MO151),$OK151&amp;" − "&amp;$OF151&amp;" + "&amp;$OI151&amp;" = "&amp;$OL151&amp;" · teto "&amp;4*$MC151&amp;"d8"&amp;IF($NO151=1," · a Forma devolve "&amp;$MC151,"")&amp;IF($OJ151&gt;0," · perde "&amp;$OJ151,"")))</f>
        <v/>
      </c>
      <c r="PU151" s="152">
        <f>IF($MN151=0,"",IF($MC151=0,"A básica não amplia: os dados dela sobem com o nível",IF($MC151&gt;=$MP151,"Já está na maior Classe que o nível liberou",TEXTJOIN(" · ",TRUE,IF(AND(2&gt;$MC151,2&lt;=$MP151),"2 → "&amp;$OW151&amp;", 6 PE",""),IF(AND(3&gt;$MC151,3&lt;=$MP151),"3 → "&amp;$OX151&amp;", 9 PE",""),IF(AND(4&gt;$MC151,4&lt;=$MP151),"4 → "&amp;$OY151&amp;", 12 PE",""),IF(AND(5&gt;$MC151,5&lt;=$MP151),"5 → "&amp;$OZ151&amp;", 15 PE",""),IF(AND(6&gt;$MC151,6&lt;=$MP151),"6 → "&amp;$PA151&amp;", 18 PE",""),IF(AND(7&gt;$MC151,7&lt;=$MP151),"7 → "&amp;$PB151&amp;", 21 PE","")))))</f>
        <v/>
      </c>
      <c r="PV151" s="152">
        <f>IF(OR($MN151=0,$MY151=0),"",IF($MC151=0,"−1 dado","−"&amp;INDEX($I$2:$N$8,MAX(1,$MC151),MAX(1,$ND151))&amp;" · "&amp;CHOOSE(MAX(1,$ND151),"Leve","Média","Pesada","Leve · Livre","Média · Livre","Pesada · Livre")))</f>
        <v/>
      </c>
      <c r="PW151" s="152">
        <f>IF(OR($MN151=0,$MZ151=0),"",IF($MC151=0,"−1 dado","−"&amp;INDEX($I$2:$N$8,MAX(1,$MC151),MAX(1,$NE151))&amp;" · "&amp;CHOOSE(MAX(1,$NE151),"Leve","Média","Pesada","Leve · Livre","Média · Livre","Pesada · Livre")))</f>
        <v/>
      </c>
      <c r="PX151" s="152">
        <f>IF(OR($MN151=0,$NA151=0),"",IF($MC151=0,"−1 dado","−"&amp;INDEX($I$2:$N$8,MAX(1,$MC151),MAX(1,$NF151))&amp;" · "&amp;CHOOSE(MAX(1,$NF151),"Leve","Média","Pesada","Leve · Livre","Média · Livre","Pesada · Livre")))</f>
        <v/>
      </c>
      <c r="PY151" s="152">
        <f>IF(OR($MN151=0,$NB151=0),"",IF($MC151=0,"−1 dado","−"&amp;INDEX($I$2:$N$8,MAX(1,$MC151),MAX(1,$NG151))&amp;" · "&amp;CHOOSE(MAX(1,$NG151),"Leve","Média","Pesada","Leve · Livre","Média · Livre","Pesada · Livre")))</f>
        <v/>
      </c>
      <c r="PZ151" s="152">
        <f>IF(OR($MN151=0,$ML151=""),"",IF($MC151=0,"não devolve","+"&amp;IF($NR151=1,CEILING($MC151/2,1),$MC151)))</f>
        <v/>
      </c>
      <c r="QA151" s="152">
        <f>IF(OR($MN151=0,$MM151=""),"",IF($MC151=0,"não devolve","+"&amp;IF($NS151=1,CEILING($MC151/2,1),$MC151)))</f>
        <v/>
      </c>
    </row>
    <row r="152">
      <c r="LX152" s="150" t="inlineStr">
        <is>
          <t>Ficha 12 · Especial 6</t>
        </is>
      </c>
      <c r="LY152" s="152" t="n">
        <v>12</v>
      </c>
      <c r="LZ152" s="152" t="n">
        <v>1</v>
      </c>
      <c r="MA152" s="152" t="n">
        <v>20</v>
      </c>
      <c r="MB152" s="150" t="inlineStr">
        <is>
          <t>ESPECIAL 6</t>
        </is>
      </c>
      <c r="MC152" s="152">
        <f>MAX(1,MIN(7,N('INVOCAÇÕES'!$AH$1104)))</f>
        <v/>
      </c>
      <c r="MD152" s="152">
        <f>'INVOCAÇÕES'!$AI$1104&amp;""</f>
        <v/>
      </c>
      <c r="ME152" s="152">
        <f>'INVOCAÇÕES'!$AH$1109&amp;""</f>
        <v/>
      </c>
      <c r="MF152" s="152">
        <f>'INVOCAÇÕES'!$AH$1110&amp;""</f>
        <v/>
      </c>
      <c r="MG152" s="152">
        <f>'INVOCAÇÕES'!$AJ$1110&amp;""</f>
        <v/>
      </c>
      <c r="MH152" s="152">
        <f>'INVOCAÇÕES'!$AI$1113&amp;""</f>
        <v/>
      </c>
      <c r="MI152" s="152">
        <f>'INVOCAÇÕES'!$AI$1114&amp;""</f>
        <v/>
      </c>
      <c r="MJ152" s="152">
        <f>'INVOCAÇÕES'!$AI$1115&amp;""</f>
        <v/>
      </c>
      <c r="MK152" s="152">
        <f>'INVOCAÇÕES'!$AI$1116&amp;""</f>
        <v/>
      </c>
      <c r="ML152" s="152">
        <f>'INVOCAÇÕES'!$AI$1117&amp;""</f>
        <v/>
      </c>
      <c r="MM152" s="152">
        <f>'INVOCAÇÕES'!$AI$1118&amp;""</f>
        <v/>
      </c>
      <c r="MN152" s="152">
        <f>IF($MD152&lt;&gt;"",1,0)</f>
        <v/>
      </c>
      <c r="MO152" s="152">
        <f>INDEX($FG$2:$FG$13,$LY152)</f>
        <v/>
      </c>
      <c r="MP152" s="152">
        <f>INDEX($FH$2:$FH$13,$LY152)</f>
        <v/>
      </c>
      <c r="MQ152" s="152">
        <f>INDEX($FI$2:$FI$13,$LY152)</f>
        <v/>
      </c>
      <c r="MR152" s="152">
        <f>INDEX($FT$2:$FT$13,$LY152)</f>
        <v/>
      </c>
      <c r="MS152" s="152">
        <f>INDEX($FU$2:$FU$13,$LY152)</f>
        <v/>
      </c>
      <c r="MT152" s="152">
        <f>IFERROR(MATCH($ME152,$V$2:$V$11,0),0)</f>
        <v/>
      </c>
      <c r="MU152" s="152">
        <f>IFERROR(VLOOKUP($MH152,$AV$2:$AZ$84,2,FALSE),"")</f>
        <v/>
      </c>
      <c r="MV152" s="152">
        <f>IFERROR(VLOOKUP($MI152,$AV$2:$AZ$84,2,FALSE),"")</f>
        <v/>
      </c>
      <c r="MW152" s="152">
        <f>IFERROR(VLOOKUP($MJ152,$AV$2:$AZ$84,2,FALSE),"")</f>
        <v/>
      </c>
      <c r="MX152" s="152">
        <f>IFERROR(VLOOKUP($MK152,$AV$2:$AZ$84,2,FALSE),"")</f>
        <v/>
      </c>
      <c r="MY152" s="152">
        <f>IFERROR(VLOOKUP($MH152,$AV$2:$AZ$84,3,FALSE),0)</f>
        <v/>
      </c>
      <c r="MZ152" s="152">
        <f>IFERROR(VLOOKUP($MI152,$AV$2:$AZ$84,3,FALSE),0)</f>
        <v/>
      </c>
      <c r="NA152" s="152">
        <f>IFERROR(VLOOKUP($MJ152,$AV$2:$AZ$84,3,FALSE),0)</f>
        <v/>
      </c>
      <c r="NB152" s="152">
        <f>IFERROR(VLOOKUP($MK152,$AV$2:$AZ$84,3,FALSE),0)</f>
        <v/>
      </c>
      <c r="NC152" s="152">
        <f>IF($MC152=0,0,IF($MT152=0,0,INDEX($X$2:$X$11,$MT152)))</f>
        <v/>
      </c>
      <c r="ND152" s="152">
        <f>IF(OR($MY152=0,$MC152=0),0,$MY152+3*IF(AND($MU152&lt;&gt;"",OR($MU152=INDEX($ED$2:$ED$13,$LY152),$MU152=INDEX($EE$2:$EE$13,$LY152))),1,0))</f>
        <v/>
      </c>
      <c r="NE152" s="152">
        <f>IF(OR($MZ152=0,$MC152=0),0,$MZ152+3*IF(AND($MV152&lt;&gt;"",OR($MV152=INDEX($ED$2:$ED$13,$LY152),$MV152=INDEX($EE$2:$EE$13,$LY152))),1,0))</f>
        <v/>
      </c>
      <c r="NF152" s="152">
        <f>IF(OR($NA152=0,$MC152=0),0,$NA152+3*IF(AND($MW152&lt;&gt;"",OR($MW152=INDEX($ED$2:$ED$13,$LY152),$MW152=INDEX($EE$2:$EE$13,$LY152))),1,0))</f>
        <v/>
      </c>
      <c r="NG152" s="152">
        <f>IF(OR($NB152=0,$MC152=0),0,$NB152+3*IF(AND($MX152&lt;&gt;"",OR($MX152=INDEX($ED$2:$ED$13,$LY152),$MX152=INDEX($EE$2:$EE$13,$LY152))),1,0))</f>
        <v/>
      </c>
      <c r="NH152" s="152">
        <f>IF($MT152=0,0,IF(INDEX($W$2:$W$11,$MT152)="",0,IF(COUNTIF(INDEX($ED$2:$EH$13,$LY152,0),INDEX($W$2:$W$11,$MT152))=0,1,0)))</f>
        <v/>
      </c>
      <c r="NI152" s="152">
        <f>IF(OR($MY152=0,$MU152=""),0,IF(COUNTIF(INDEX($ED$2:$EH$13,$LY152,0),$MU152)=0,1,0))</f>
        <v/>
      </c>
      <c r="NJ152" s="152">
        <f>IF(OR($MZ152=0,$MV152=""),0,IF(COUNTIF(INDEX($ED$2:$EH$13,$LY152,0),$MV152)=0,1,0))</f>
        <v/>
      </c>
      <c r="NK152" s="152">
        <f>IF(OR($NA152=0,$MW152=""),0,IF(COUNTIF(INDEX($ED$2:$EH$13,$LY152,0),$MW152)=0,1,0))</f>
        <v/>
      </c>
      <c r="NL152" s="152">
        <f>IF(OR($NB152=0,$MX152=""),0,IF(COUNTIF(INDEX($ED$2:$EH$13,$LY152,0),$MX152)=0,1,0))</f>
        <v/>
      </c>
      <c r="NM152" s="152">
        <f>IFERROR(VLOOKUP($MH152,$AV$2:$AZ$84,4,FALSE),0)+IFERROR(VLOOKUP($MI152,$AV$2:$AZ$84,4,FALSE),0)+IFERROR(VLOOKUP($MJ152,$AV$2:$AZ$84,4,FALSE),0)+IFERROR(VLOOKUP($MK152,$AV$2:$AZ$84,4,FALSE),0)</f>
        <v/>
      </c>
      <c r="NN152" s="152">
        <f>TEXTJOIN(", ",TRUE,IF(IFERROR(VLOOKUP($MH152,$AV$2:$AZ$84,5,FALSE),0)=1,$MH152,""),IF(IFERROR(VLOOKUP($MI152,$AV$2:$AZ$84,5,FALSE),0)=1,$MI152,""),IF(IFERROR(VLOOKUP($MJ152,$AV$2:$AZ$84,5,FALSE),0)=1,$MJ152,""),IF(IFERROR(VLOOKUP($MK152,$AV$2:$AZ$84,5,FALSE),0)=1,$MK152,""))</f>
        <v/>
      </c>
      <c r="NO152" s="152">
        <f>IF($MT152=0,0,INDEX($Y$2:$Y$11,$MT152))</f>
        <v/>
      </c>
      <c r="NP152" s="152">
        <f>IF($MT152=0,0,INDEX($Z$2:$Z$11,$MT152))</f>
        <v/>
      </c>
      <c r="NQ152" s="152">
        <f>IF($MT152=0,0,INDEX($AB$2:$AB$11,$MT152))</f>
        <v/>
      </c>
      <c r="NR152" s="152">
        <f>IFERROR(VLOOKUP($ML152,$BB$2:$BF$24,3,FALSE),0)</f>
        <v/>
      </c>
      <c r="NS152" s="152">
        <f>IFERROR(VLOOKUP($MM152,$BB$2:$BF$24,3,FALSE),0)</f>
        <v/>
      </c>
      <c r="NT152" s="152">
        <f>IFERROR(VLOOKUP($ML152,$BB$2:$BF$24,2,FALSE),"")</f>
        <v/>
      </c>
      <c r="NU152" s="152">
        <f>IFERROR(VLOOKUP($MM152,$BB$2:$BF$24,2,FALSE),"")</f>
        <v/>
      </c>
      <c r="NV152" s="152">
        <f>COUNTIF($NC152:$NG152,1)</f>
        <v/>
      </c>
      <c r="NW152" s="152">
        <f>COUNTIF($NC152:$NG152,2)</f>
        <v/>
      </c>
      <c r="NX152" s="152">
        <f>COUNTIF($NC152:$NG152,3)</f>
        <v/>
      </c>
      <c r="NY152" s="152">
        <f>COUNTIF($NC152:$NG152,4)</f>
        <v/>
      </c>
      <c r="NZ152" s="152">
        <f>COUNTIF($NC152:$NG152,5)</f>
        <v/>
      </c>
      <c r="OA152" s="152">
        <f>COUNTIF($NC152:$NG152,6)</f>
        <v/>
      </c>
      <c r="OB152" s="152">
        <f>COUNTIF($NR152:$NS152,1)</f>
        <v/>
      </c>
      <c r="OC152" s="152">
        <f>COUNTIF($NR152:$NS152,2)+$NO152</f>
        <v/>
      </c>
      <c r="OD152" s="152">
        <f>COUNTIF($MH152:$MK152,"?*")</f>
        <v/>
      </c>
      <c r="OE152" s="152">
        <f>COUNTIF($ML152:$MM152,"?*")+$NO152</f>
        <v/>
      </c>
      <c r="OF152" s="152">
        <f>IF($MC152=0,0,SUMPRODUCT($NV152:$OA152,INDEX($I$2:$N$8,MAX(1,$MC152),0)))</f>
        <v/>
      </c>
      <c r="OG152" s="152">
        <f>IF($MC152=0,0,$OB152*CEILING($MC152/2,1)+$OC152*$MC152)</f>
        <v/>
      </c>
      <c r="OH152" s="152">
        <f>MIN(2*$MC152,$OG152)</f>
        <v/>
      </c>
      <c r="OI152" s="152">
        <f>MIN($OH152,$OF152)</f>
        <v/>
      </c>
      <c r="OJ152" s="152">
        <f>$OH152-$OI152</f>
        <v/>
      </c>
      <c r="OK152" s="152">
        <f>IF($MC152=0,0,INDEX($P$2:$P$8,MAX(1,$MC152)))</f>
        <v/>
      </c>
      <c r="OL152" s="152">
        <f>$OK152-$OF152+$OI152</f>
        <v/>
      </c>
      <c r="OM152" s="152">
        <f>IF($MC152=0,MAX(0,$MQ152-IF($OD152&gt;0,1,0)),MAX(0,$OL152))</f>
        <v/>
      </c>
      <c r="ON152" s="152">
        <f>IF($MC152=0,0,(IF(COUNTIF($MH152:$MK152,"Salto")&gt;0,1,0)+IF(COUNTIF($MH152:$MK152,"Queima")&gt;0,1,0)+IF(COUNTIF($MH152:$MK152,"Estilhaço")&gt;0,1,0))*FLOOR($OM152/2,1))</f>
        <v/>
      </c>
      <c r="OO152" s="152">
        <f>MAX(0,2-SUMPRODUCT($NV152:$OA152,$I$2:$N$2)+MIN(2,$OB152*1+$OC152*1,SUMPRODUCT($NV152:$OA152,$I$2:$N$2)))</f>
        <v/>
      </c>
      <c r="OP152" s="152">
        <f>MAX(0,4-SUMPRODUCT($NV152:$OA152,$I$3:$N$3)+MIN(4,$OB152*1+$OC152*2,SUMPRODUCT($NV152:$OA152,$I$3:$N$3)))</f>
        <v/>
      </c>
      <c r="OQ152" s="152">
        <f>MAX(0,6-SUMPRODUCT($NV152:$OA152,$I$4:$N$4)+MIN(6,$OB152*2+$OC152*3,SUMPRODUCT($NV152:$OA152,$I$4:$N$4)))</f>
        <v/>
      </c>
      <c r="OR152" s="152">
        <f>MAX(0,9-SUMPRODUCT($NV152:$OA152,$I$5:$N$5)+MIN(8,$OB152*2+$OC152*4,SUMPRODUCT($NV152:$OA152,$I$5:$N$5)))</f>
        <v/>
      </c>
      <c r="OS152" s="152">
        <f>MAX(0,11-SUMPRODUCT($NV152:$OA152,$I$6:$N$6)+MIN(10,$OB152*3+$OC152*5,SUMPRODUCT($NV152:$OA152,$I$6:$N$6)))</f>
        <v/>
      </c>
      <c r="OT152" s="152">
        <f>MAX(0,13-SUMPRODUCT($NV152:$OA152,$I$7:$N$7)+MIN(12,$OB152*3+$OC152*6,SUMPRODUCT($NV152:$OA152,$I$7:$N$7)))</f>
        <v/>
      </c>
      <c r="OU152" s="152">
        <f>MAX(0,16-SUMPRODUCT($NV152:$OA152,$I$8:$N$8)+MIN(14,$OB152*4+$OC152*7,SUMPRODUCT($NV152:$OA152,$I$8:$N$8)))</f>
        <v/>
      </c>
      <c r="OV152" s="152">
        <f>IF($NP152=2,3*$OO152&amp;" de vida temp.",IF($NP152=3,"sem dano",IF($OO152=0,IF($NP152=1,"sem cura","sem dano"),IF($NP152=1,"cura ","")&amp;$OO152&amp;"d8")))</f>
        <v/>
      </c>
      <c r="OW152" s="152">
        <f>IF($NP152=2,3*$OP152&amp;" de vida temp.",IF($NP152=3,"sem dano",IF($OP152=0,IF($NP152=1,"sem cura","sem dano"),IF($NP152=1,"cura ","")&amp;$OP152&amp;"d8")))</f>
        <v/>
      </c>
      <c r="OX152" s="152">
        <f>IF($NP152=2,3*$OQ152&amp;" de vida temp.",IF($NP152=3,"sem dano",IF($OQ152=0,IF($NP152=1,"sem cura","sem dano"),IF($NP152=1,"cura ","")&amp;$OQ152&amp;"d8")))</f>
        <v/>
      </c>
      <c r="OY152" s="152">
        <f>IF($NP152=2,3*$OR152&amp;" de vida temp.",IF($NP152=3,"sem dano",IF($OR152=0,IF($NP152=1,"sem cura","sem dano"),IF($NP152=1,"cura ","")&amp;$OR152&amp;"d8")))</f>
        <v/>
      </c>
      <c r="OZ152" s="152">
        <f>IF($NP152=2,3*$OS152&amp;" de vida temp.",IF($NP152=3,"sem dano",IF($OS152=0,IF($NP152=1,"sem cura","sem dano"),IF($NP152=1,"cura ","")&amp;$OS152&amp;"d8")))</f>
        <v/>
      </c>
      <c r="PA152" s="152">
        <f>IF($NP152=2,3*$OT152&amp;" de vida temp.",IF($NP152=3,"sem dano",IF($OT152=0,IF($NP152=1,"sem cura","sem dano"),IF($NP152=1,"cura ","")&amp;$OT152&amp;"d8")))</f>
        <v/>
      </c>
      <c r="PB152" s="152">
        <f>IF($NP152=2,3*$OU152&amp;" de vida temp.",IF($NP152=3,"sem dano",IF($OU152=0,IF($NP152=1,"sem cura","sem dano"),IF($NP152=1,"cura ","")&amp;$OU152&amp;"d8")))</f>
        <v/>
      </c>
      <c r="PC152" s="152">
        <f>IF($MN152=0,"",TEXTJOIN(" · ",TRUE,IF($MA152&gt;$MO152,"Este lugar abre no nível "&amp;$MA152,""),IF($MC152&gt;$MP152,"Classe "&amp;$MC152&amp;": o nível "&amp;$MO152&amp;" libera até a "&amp;$MP152,""),IF($NH152=1,"A Forma "&amp;$ME152&amp;" pede "&amp;INDEX($W$2:$W$11,$MT152)&amp;" aberta",""),IF(AND($MC152=0,$MT152&gt;0,IF($MT152=0,0,INDEX($AF$2:$AF$11,$MT152))=0),$ME152&amp;" não existe na Classe 0",""),IF($NI152=1,"Família Fechada: "&amp;$MH152,""),IF($NJ152=1,"Família Fechada: "&amp;$MI152,""),IF($NK152=1,"Família Fechada: "&amp;$MJ152,""),IF($NL152=1,"Família Fechada: "&amp;$MK152,""),IF(AND($MC152&gt;0,$OD152&gt;INDEX($O$2:$O$8,MAX(1,$MC152))),$OD152&amp;" Melhorias: a Classe "&amp;$MC152&amp;" aceita "&amp;INDEX($O$2:$O$8,MAX(1,$MC152)),""),IF(AND($MC152=0,$OD152&gt;1),"A básica aceita uma Melhoria",""),IF(AND($MC152=0,COUNTIF($MY152:$NB152,"&gt;1")&gt;0),"A básica só aceita Melhoria Leve",""),IF(AND($MC152&gt;0,$OE152&gt;2),$OE152&amp;" Restrições"&amp;IF($NO152=1,", contando a que a Forma "&amp;$ME152&amp;" já traz","")&amp;": o limite é 2",""),IF(AND($MC152=0,COUNTIF($ML152:$MM152,"?*")&gt;1),"A básica aceita uma Restrição Leve",""),IF(AND($MC152=0,COUNTIF($NR152:$NS152,2)&gt;0),"A básica só aceita Restrição Leve",""),IF(AND($MC152&gt;0,$OL152&lt;0),"Orçamento estourado: faltam "&amp;(-$OL152)&amp;IF($OL152&lt;-1," pontos"," ponto"),""),IF(IFERROR(VLOOKUP($ML152,$BB$2:$BF$24,4,FALSE),0)+IFERROR(VLOOKUP($MM152,$BB$2:$BF$24,4,FALSE),0)&gt;1,$NT152&amp;" e "&amp;$NU152&amp;" são as duas de frequência",""),IF(AND((COUNTIF($MH152:$MK152,"Rápido")+COUNTIF($NT152:$NU152,"Rápido"))&gt;0,(COUNTIF($MH152:$MK152,"Atrasar")+COUNTIF($NT152:$NU152,"Atrasar"))&gt;0),"Rápido não entra com Atrasar",""),IF(AND((COUNTIF($MH152:$MK152,"Reação")+COUNTIF($NT152:$NU152,"Reação"))&gt;0,(COUNTIF($MH152:$MK152,"Rápido")+COUNTIF($NT152:$NU152,"Rápido"))&gt;0),"Reação não entra com Rápido",""),IF(AND((COUNTIF($MH152:$MK152,"Reação")+COUNTIF($NT152:$NU152,"Reação"))&gt;0,(COUNTIF($MH152:$MK152,"Armado")+COUNTIF($NT152:$NU152,"Armado"))&gt;0),"Reação não entra com Armado",""),IF(AND((COUNTIF($MH152:$MK152,"Reação")+COUNTIF($NT152:$NU152,"Reação"))&gt;0,(COUNTIF($MH152:$MK152,"Atrasar")+COUNTIF($NT152:$NU152,"Atrasar"))&gt;0),"Reação não entra com Atrasar",""),IF(AND((COUNTIF($MH152:$MK152,"Reação")+COUNTIF($NT152:$NU152,"Reação"))&gt;0,(COUNTIF($MH152:$MK152,"Parado")+COUNTIF($NT152:$NU152,"Parado"))&gt;0),"Reação não entra com Parado",""),IF(AND((COUNTIF($MH152:$MK152,"Atrasar")+COUNTIF($NT152:$NU152,"Atrasar"))&gt;0,(COUNTIF($MH152:$MK152,"Parado")+COUNTIF($NT152:$NU152,"Parado"))&gt;0),"Atrasar não entra com Parado",""),IF(AND((COUNTIF($MH152:$MK152,"Armado")+COUNTIF($NT152:$NU152,"Armado"))&gt;0,(COUNTIF($MH152:$MK152,"Carregar")+COUNTIF($NT152:$NU152,"Carregar"))&gt;0),"Armado não entra com Carregar",""),IF(AND(COUNTIF($NT152:$NU152,"Corpo a Corpo")&gt;0,$NO152=0,OR($ME152="Cone",$ME152="Linha")),"Corpo a Corpo não entra em "&amp;$ME152,""),IF(AND(COUNTIF($NT152:$NU152,"Corpo a Corpo")&gt;0,$NO152=1),"A Forma "&amp;$ME152&amp;" já traz o Corpo a Corpo",""),IF(AND(COUNTIF($NT152:$NU152,"Tudo ou Nada")&gt;0,$NQ152=0),"Tudo ou Nada só entra em habilidade de Teste de Resistência",""),IF(AND(COUNTIF($MH152:$MK152,"Inescapável")&gt;0,OR($OD152&gt;1,$OE152&gt;0)),"Inescapável não aceita outra peça",""),IF(AND($MC152&gt;0,$OM152*IF(COUNTIF($MH152:$MK152,"Remate")&gt;0,1.25,1)+$ON152&gt;4*$MC152),($OM152*IF(COUNTIF($MH152:$MK152,"Remate")&gt;0,1.25,1)+$ON152)&amp;" dados somando repetições"&amp;IF(COUNTIF($MH152:$MK152,"Remate")&gt;0," e o Remate","")&amp;": o teto da Classe "&amp;$MC152&amp;" é "&amp;4*$MC152,"")))</f>
        <v/>
      </c>
      <c r="PD152" s="152">
        <f>IF($PC152="",0,(LEN($PC152)-LEN(SUBSTITUTE($PC152," · ","")))/3+1)</f>
        <v/>
      </c>
      <c r="PE152" s="152">
        <f>IF($MN152=0,"",TEXTJOIN(" · ",TRUE,IF($OG152&gt;2*$MC152,"A devolução parou no teto de "&amp;2*$MC152,""),IF($OJ152&gt;0,"Devolução perdida: "&amp;$OJ152&amp;IF($OJ152&gt;1," pontos"," ponto")&amp;" sem peça para pagar",""),IF(AND($NM152&gt;0,AND($MC152&gt;0,$NP152=0),$OM152=0),"Controle sem dano: uma rodada a mais e CD +2",""),IF(AND($NM152&gt;0,AND($MC152&gt;0,$NP152=0),$OM152&gt;0,$OM152&lt;=$MC152),"Controle com saldo até a Classe: uma rodada a mais",""),IF(AND($MC152&gt;0,$NN152&lt;&gt;""),"Efeito de "&amp;$NN152&amp;" pela Classe "&amp;MAX(1,$MC152-1),"")))</f>
        <v/>
      </c>
      <c r="PF152" s="152">
        <f>IF($PE152="",0,(LEN($PE152)-LEN(SUBSTITUTE($PE152," · ","")))/3+1)</f>
        <v/>
      </c>
      <c r="PG152" s="152">
        <f>IF($MN152=0,IF($OD152+COUNTIF($ML152:$MM152,"?*")&gt;0,"Dê um nome",""),IF($PD152&gt;0,"⚠ "&amp;$PD152&amp;IF($PD152&gt;1," erros"," erro"),IF($PF152&gt;0,"! "&amp;$PF152&amp;IF($PF152&gt;1," avisos"," aviso"),"Na regra")))</f>
        <v/>
      </c>
      <c r="PH152" s="152">
        <f>IF($MN152=0,"",IF($PD152+$PF152=0,"Dentro das regras que a ficha confere",$PC152&amp;IF(AND($PD152&gt;0,$PF152&gt;0)," · ","")&amp;$PE152))</f>
        <v/>
      </c>
      <c r="PI152" s="152">
        <f>IF($MA152&gt;$MO152,$MB152&amp;" · ABRE NO NÍVEL "&amp;$MA152,$MB152)</f>
        <v/>
      </c>
      <c r="PJ152" s="152">
        <f>IF($MN152=0,"",IF($MC152=0,"Sem PE",3*$MC152&amp;" PE"))</f>
        <v/>
      </c>
      <c r="PK152" s="152">
        <f>IF($MN152=0,"",IF($MC152=0,"A atuação básica dela",IF(COUNTIF($NT152:$NU152,"Atrasar")&gt;0,"Sua Ação Completa",IF(COUNTIF($MH152:$MK152,"Rápido")&gt;0,"Sua Bônus",IF(COUNTIF($MH152:$MK152,"Reação")&gt;0,"Sua Reação","Sua Padrão")))&amp;" + a básica dela"&amp;IF(COUNTIF($MH152:$MK152,"Reação")&gt;0," e a coletiva","")&amp;IF(COUNTIF($NT152:$NU152,"Carregar")&gt;0," · em dois turnos","")))</f>
        <v/>
      </c>
      <c r="PL152" s="152">
        <f>IF($MG152&lt;&gt;"",$MG152,IF($MT152=0,"",INDEX($AA$2:$AA$11,$MT152)))</f>
        <v/>
      </c>
      <c r="PM152" s="152">
        <f>IF(OR($MN152=0,$MT152=0),"",IF(COUNTIF($MH152:$MK152,"Inescapável")&gt;0,"Automático",IF($PL152="Ataque",IF($MR152="","Ataque","Ataque "&amp;IF(($MR152+2*IF(COUNTIF($MH152:$MK152,"Precisão")&gt;0,1,0))&gt;=0,"+","−")&amp;ABS(($MR152+2*IF(COUNTIF($MH152:$MK152,"Precisão")&gt;0,1,0)))),IF(LEFT($PL152,2)="TR",$PL152&amp;IF($MS152="",""," · CD "&amp;$MS152)&amp;IF(COUNTIF($MH152:$MK152,"Certeiro")&gt;0," · metade",""),"Sem rolagem"))))</f>
        <v/>
      </c>
      <c r="PN152" s="152">
        <f>IF(OR($MN152=0,$MT152=0),"",IF($MC152=0,IF(OR($NP152&gt;=1,$OM152=0),"Sem dano",$OM152&amp;"d6"&amp;IF($MF152="",""," "&amp;$MF152)),IF(OR($NP152&gt;=1,$OM152=0),UPPER(LEFT(INDEX($OV152:$PB152,1,MAX(1,$MC152)),1))&amp;MID(INDEX($OV152:$PB152,1,MAX(1,$MC152)),2,99),UPPER(LEFT(INDEX($OV152:$PB152,1,MAX(1,$MC152)),1))&amp;MID(INDEX($OV152:$PB152,1,MAX(1,$MC152)),2,99)&amp;IF($MF152="",""," "&amp;$MF152)&amp;IF($ON152&gt;0," · +"&amp;$ON152&amp;"d8",""))))</f>
        <v/>
      </c>
      <c r="PO152" s="152">
        <f>COUNTIF($MH152:$MK152,"Longe")+3*COUNTIF($MH152:$MK152,"Muito Longe")</f>
        <v/>
      </c>
      <c r="PP152" s="152">
        <f>COUNTIF($MH152:$MK152,"Maior")+3*COUNTIF($MH152:$MK152,"Muito Maior")</f>
        <v/>
      </c>
      <c r="PQ152" s="152">
        <f>IF($MT152=0,0,CHOOSE(1+INDEX($AC$2:$AC$11,$MT152),0,$PO152,$PP152,$PO152+$PP152))</f>
        <v/>
      </c>
      <c r="PR152" s="152">
        <f>IF($MT152=0,0,CHOOSE(1+INDEX($AD$2:$AD$11,$MT152),0,$PO152,$PP152,$PO152+$PP152))</f>
        <v/>
      </c>
      <c r="PS152" s="152">
        <f>IF(OR($MN152=0,$MT152=0),"",INDEX($AI$2:$AN$41,($MT152-1)*4+IF($MC152=0,1,IF($MC152&lt;=5,2,IF($MC152=6,3,4))),1+MIN(5,$PQ152))&amp;INDEX($AO$2:$AT$41,($MT152-1)*4+IF($MC152=0,1,IF($MC152&lt;=5,2,IF($MC152=6,3,4))),1+MIN(5,$PR152))&amp;IF(INDEX($AE$2:$AE$11,$MT152)=1,IF(COUNTIF($MH152:$MK152,"Mais Um")&gt;0," · +"&amp;COUNTIF($MH152:$MK152,"Mais Um")&amp;IF(COUNTIF($MH152:$MK152,"Mais Um")&gt;1," alvos"," alvo"),"")&amp;IF(COUNTIF($MH152:$MK152,"Rajada")&gt;0,IF($MC152=0," · 1 tiro"," · "&amp;(MAX(1,$MC152-1)+1)&amp;" tiros"),""),""))</f>
        <v/>
      </c>
      <c r="PT152" s="152">
        <f>IF($MN152=0,"",IF($MC152=0,$MQ152&amp;"d6"&amp;IF($OD152&gt;0," − 1 = "&amp;$OM152&amp;"d6"," da básica do nível "&amp;$MO152),$OK152&amp;" − "&amp;$OF152&amp;" + "&amp;$OI152&amp;" = "&amp;$OL152&amp;" · teto "&amp;4*$MC152&amp;"d8"&amp;IF($NO152=1," · a Forma devolve "&amp;$MC152,"")&amp;IF($OJ152&gt;0," · perde "&amp;$OJ152,"")))</f>
        <v/>
      </c>
      <c r="PU152" s="152">
        <f>IF($MN152=0,"",IF($MC152=0,"A básica não amplia: os dados dela sobem com o nível",IF($MC152&gt;=$MP152,"Já está na maior Classe que o nível liberou",TEXTJOIN(" · ",TRUE,IF(AND(2&gt;$MC152,2&lt;=$MP152),"2 → "&amp;$OW152&amp;", 6 PE",""),IF(AND(3&gt;$MC152,3&lt;=$MP152),"3 → "&amp;$OX152&amp;", 9 PE",""),IF(AND(4&gt;$MC152,4&lt;=$MP152),"4 → "&amp;$OY152&amp;", 12 PE",""),IF(AND(5&gt;$MC152,5&lt;=$MP152),"5 → "&amp;$OZ152&amp;", 15 PE",""),IF(AND(6&gt;$MC152,6&lt;=$MP152),"6 → "&amp;$PA152&amp;", 18 PE",""),IF(AND(7&gt;$MC152,7&lt;=$MP152),"7 → "&amp;$PB152&amp;", 21 PE","")))))</f>
        <v/>
      </c>
      <c r="PV152" s="152">
        <f>IF(OR($MN152=0,$MY152=0),"",IF($MC152=0,"−1 dado","−"&amp;INDEX($I$2:$N$8,MAX(1,$MC152),MAX(1,$ND152))&amp;" · "&amp;CHOOSE(MAX(1,$ND152),"Leve","Média","Pesada","Leve · Livre","Média · Livre","Pesada · Livre")))</f>
        <v/>
      </c>
      <c r="PW152" s="152">
        <f>IF(OR($MN152=0,$MZ152=0),"",IF($MC152=0,"−1 dado","−"&amp;INDEX($I$2:$N$8,MAX(1,$MC152),MAX(1,$NE152))&amp;" · "&amp;CHOOSE(MAX(1,$NE152),"Leve","Média","Pesada","Leve · Livre","Média · Livre","Pesada · Livre")))</f>
        <v/>
      </c>
      <c r="PX152" s="152">
        <f>IF(OR($MN152=0,$NA152=0),"",IF($MC152=0,"−1 dado","−"&amp;INDEX($I$2:$N$8,MAX(1,$MC152),MAX(1,$NF152))&amp;" · "&amp;CHOOSE(MAX(1,$NF152),"Leve","Média","Pesada","Leve · Livre","Média · Livre","Pesada · Livre")))</f>
        <v/>
      </c>
      <c r="PY152" s="152">
        <f>IF(OR($MN152=0,$NB152=0),"",IF($MC152=0,"−1 dado","−"&amp;INDEX($I$2:$N$8,MAX(1,$MC152),MAX(1,$NG152))&amp;" · "&amp;CHOOSE(MAX(1,$NG152),"Leve","Média","Pesada","Leve · Livre","Média · Livre","Pesada · Livre")))</f>
        <v/>
      </c>
      <c r="PZ152" s="152">
        <f>IF(OR($MN152=0,$ML152=""),"",IF($MC152=0,"não devolve","+"&amp;IF($NR152=1,CEILING($MC152/2,1),$MC152)))</f>
        <v/>
      </c>
      <c r="QA152" s="152">
        <f>IF(OR($MN152=0,$MM152=""),"",IF($MC152=0,"não devolve","+"&amp;IF($NS152=1,CEILING($MC152/2,1),$MC152)))</f>
        <v/>
      </c>
    </row>
    <row r="153">
      <c r="LX153" s="150" t="inlineStr">
        <is>
          <t>Ficha 12 · Especial 7</t>
        </is>
      </c>
      <c r="LY153" s="152" t="n">
        <v>12</v>
      </c>
      <c r="LZ153" s="152" t="n">
        <v>1</v>
      </c>
      <c r="MA153" s="152" t="n">
        <v>24</v>
      </c>
      <c r="MB153" s="150" t="inlineStr">
        <is>
          <t>ESPECIAL 7</t>
        </is>
      </c>
      <c r="MC153" s="152">
        <f>MAX(1,MIN(7,N('INVOCAÇÕES'!$AN$1104)))</f>
        <v/>
      </c>
      <c r="MD153" s="152">
        <f>'INVOCAÇÕES'!$AO$1104&amp;""</f>
        <v/>
      </c>
      <c r="ME153" s="152">
        <f>'INVOCAÇÕES'!$AN$1109&amp;""</f>
        <v/>
      </c>
      <c r="MF153" s="152">
        <f>'INVOCAÇÕES'!$AN$1110&amp;""</f>
        <v/>
      </c>
      <c r="MG153" s="152">
        <f>'INVOCAÇÕES'!$AP$1110&amp;""</f>
        <v/>
      </c>
      <c r="MH153" s="152">
        <f>'INVOCAÇÕES'!$AO$1113&amp;""</f>
        <v/>
      </c>
      <c r="MI153" s="152">
        <f>'INVOCAÇÕES'!$AO$1114&amp;""</f>
        <v/>
      </c>
      <c r="MJ153" s="152">
        <f>'INVOCAÇÕES'!$AO$1115&amp;""</f>
        <v/>
      </c>
      <c r="MK153" s="152">
        <f>'INVOCAÇÕES'!$AO$1116&amp;""</f>
        <v/>
      </c>
      <c r="ML153" s="152">
        <f>'INVOCAÇÕES'!$AO$1117&amp;""</f>
        <v/>
      </c>
      <c r="MM153" s="152">
        <f>'INVOCAÇÕES'!$AO$1118&amp;""</f>
        <v/>
      </c>
      <c r="MN153" s="152">
        <f>IF($MD153&lt;&gt;"",1,0)</f>
        <v/>
      </c>
      <c r="MO153" s="152">
        <f>INDEX($FG$2:$FG$13,$LY153)</f>
        <v/>
      </c>
      <c r="MP153" s="152">
        <f>INDEX($FH$2:$FH$13,$LY153)</f>
        <v/>
      </c>
      <c r="MQ153" s="152">
        <f>INDEX($FI$2:$FI$13,$LY153)</f>
        <v/>
      </c>
      <c r="MR153" s="152">
        <f>INDEX($FT$2:$FT$13,$LY153)</f>
        <v/>
      </c>
      <c r="MS153" s="152">
        <f>INDEX($FU$2:$FU$13,$LY153)</f>
        <v/>
      </c>
      <c r="MT153" s="152">
        <f>IFERROR(MATCH($ME153,$V$2:$V$11,0),0)</f>
        <v/>
      </c>
      <c r="MU153" s="152">
        <f>IFERROR(VLOOKUP($MH153,$AV$2:$AZ$84,2,FALSE),"")</f>
        <v/>
      </c>
      <c r="MV153" s="152">
        <f>IFERROR(VLOOKUP($MI153,$AV$2:$AZ$84,2,FALSE),"")</f>
        <v/>
      </c>
      <c r="MW153" s="152">
        <f>IFERROR(VLOOKUP($MJ153,$AV$2:$AZ$84,2,FALSE),"")</f>
        <v/>
      </c>
      <c r="MX153" s="152">
        <f>IFERROR(VLOOKUP($MK153,$AV$2:$AZ$84,2,FALSE),"")</f>
        <v/>
      </c>
      <c r="MY153" s="152">
        <f>IFERROR(VLOOKUP($MH153,$AV$2:$AZ$84,3,FALSE),0)</f>
        <v/>
      </c>
      <c r="MZ153" s="152">
        <f>IFERROR(VLOOKUP($MI153,$AV$2:$AZ$84,3,FALSE),0)</f>
        <v/>
      </c>
      <c r="NA153" s="152">
        <f>IFERROR(VLOOKUP($MJ153,$AV$2:$AZ$84,3,FALSE),0)</f>
        <v/>
      </c>
      <c r="NB153" s="152">
        <f>IFERROR(VLOOKUP($MK153,$AV$2:$AZ$84,3,FALSE),0)</f>
        <v/>
      </c>
      <c r="NC153" s="152">
        <f>IF($MC153=0,0,IF($MT153=0,0,INDEX($X$2:$X$11,$MT153)))</f>
        <v/>
      </c>
      <c r="ND153" s="152">
        <f>IF(OR($MY153=0,$MC153=0),0,$MY153+3*IF(AND($MU153&lt;&gt;"",OR($MU153=INDEX($ED$2:$ED$13,$LY153),$MU153=INDEX($EE$2:$EE$13,$LY153))),1,0))</f>
        <v/>
      </c>
      <c r="NE153" s="152">
        <f>IF(OR($MZ153=0,$MC153=0),0,$MZ153+3*IF(AND($MV153&lt;&gt;"",OR($MV153=INDEX($ED$2:$ED$13,$LY153),$MV153=INDEX($EE$2:$EE$13,$LY153))),1,0))</f>
        <v/>
      </c>
      <c r="NF153" s="152">
        <f>IF(OR($NA153=0,$MC153=0),0,$NA153+3*IF(AND($MW153&lt;&gt;"",OR($MW153=INDEX($ED$2:$ED$13,$LY153),$MW153=INDEX($EE$2:$EE$13,$LY153))),1,0))</f>
        <v/>
      </c>
      <c r="NG153" s="152">
        <f>IF(OR($NB153=0,$MC153=0),0,$NB153+3*IF(AND($MX153&lt;&gt;"",OR($MX153=INDEX($ED$2:$ED$13,$LY153),$MX153=INDEX($EE$2:$EE$13,$LY153))),1,0))</f>
        <v/>
      </c>
      <c r="NH153" s="152">
        <f>IF($MT153=0,0,IF(INDEX($W$2:$W$11,$MT153)="",0,IF(COUNTIF(INDEX($ED$2:$EH$13,$LY153,0),INDEX($W$2:$W$11,$MT153))=0,1,0)))</f>
        <v/>
      </c>
      <c r="NI153" s="152">
        <f>IF(OR($MY153=0,$MU153=""),0,IF(COUNTIF(INDEX($ED$2:$EH$13,$LY153,0),$MU153)=0,1,0))</f>
        <v/>
      </c>
      <c r="NJ153" s="152">
        <f>IF(OR($MZ153=0,$MV153=""),0,IF(COUNTIF(INDEX($ED$2:$EH$13,$LY153,0),$MV153)=0,1,0))</f>
        <v/>
      </c>
      <c r="NK153" s="152">
        <f>IF(OR($NA153=0,$MW153=""),0,IF(COUNTIF(INDEX($ED$2:$EH$13,$LY153,0),$MW153)=0,1,0))</f>
        <v/>
      </c>
      <c r="NL153" s="152">
        <f>IF(OR($NB153=0,$MX153=""),0,IF(COUNTIF(INDEX($ED$2:$EH$13,$LY153,0),$MX153)=0,1,0))</f>
        <v/>
      </c>
      <c r="NM153" s="152">
        <f>IFERROR(VLOOKUP($MH153,$AV$2:$AZ$84,4,FALSE),0)+IFERROR(VLOOKUP($MI153,$AV$2:$AZ$84,4,FALSE),0)+IFERROR(VLOOKUP($MJ153,$AV$2:$AZ$84,4,FALSE),0)+IFERROR(VLOOKUP($MK153,$AV$2:$AZ$84,4,FALSE),0)</f>
        <v/>
      </c>
      <c r="NN153" s="152">
        <f>TEXTJOIN(", ",TRUE,IF(IFERROR(VLOOKUP($MH153,$AV$2:$AZ$84,5,FALSE),0)=1,$MH153,""),IF(IFERROR(VLOOKUP($MI153,$AV$2:$AZ$84,5,FALSE),0)=1,$MI153,""),IF(IFERROR(VLOOKUP($MJ153,$AV$2:$AZ$84,5,FALSE),0)=1,$MJ153,""),IF(IFERROR(VLOOKUP($MK153,$AV$2:$AZ$84,5,FALSE),0)=1,$MK153,""))</f>
        <v/>
      </c>
      <c r="NO153" s="152">
        <f>IF($MT153=0,0,INDEX($Y$2:$Y$11,$MT153))</f>
        <v/>
      </c>
      <c r="NP153" s="152">
        <f>IF($MT153=0,0,INDEX($Z$2:$Z$11,$MT153))</f>
        <v/>
      </c>
      <c r="NQ153" s="152">
        <f>IF($MT153=0,0,INDEX($AB$2:$AB$11,$MT153))</f>
        <v/>
      </c>
      <c r="NR153" s="152">
        <f>IFERROR(VLOOKUP($ML153,$BB$2:$BF$24,3,FALSE),0)</f>
        <v/>
      </c>
      <c r="NS153" s="152">
        <f>IFERROR(VLOOKUP($MM153,$BB$2:$BF$24,3,FALSE),0)</f>
        <v/>
      </c>
      <c r="NT153" s="152">
        <f>IFERROR(VLOOKUP($ML153,$BB$2:$BF$24,2,FALSE),"")</f>
        <v/>
      </c>
      <c r="NU153" s="152">
        <f>IFERROR(VLOOKUP($MM153,$BB$2:$BF$24,2,FALSE),"")</f>
        <v/>
      </c>
      <c r="NV153" s="152">
        <f>COUNTIF($NC153:$NG153,1)</f>
        <v/>
      </c>
      <c r="NW153" s="152">
        <f>COUNTIF($NC153:$NG153,2)</f>
        <v/>
      </c>
      <c r="NX153" s="152">
        <f>COUNTIF($NC153:$NG153,3)</f>
        <v/>
      </c>
      <c r="NY153" s="152">
        <f>COUNTIF($NC153:$NG153,4)</f>
        <v/>
      </c>
      <c r="NZ153" s="152">
        <f>COUNTIF($NC153:$NG153,5)</f>
        <v/>
      </c>
      <c r="OA153" s="152">
        <f>COUNTIF($NC153:$NG153,6)</f>
        <v/>
      </c>
      <c r="OB153" s="152">
        <f>COUNTIF($NR153:$NS153,1)</f>
        <v/>
      </c>
      <c r="OC153" s="152">
        <f>COUNTIF($NR153:$NS153,2)+$NO153</f>
        <v/>
      </c>
      <c r="OD153" s="152">
        <f>COUNTIF($MH153:$MK153,"?*")</f>
        <v/>
      </c>
      <c r="OE153" s="152">
        <f>COUNTIF($ML153:$MM153,"?*")+$NO153</f>
        <v/>
      </c>
      <c r="OF153" s="152">
        <f>IF($MC153=0,0,SUMPRODUCT($NV153:$OA153,INDEX($I$2:$N$8,MAX(1,$MC153),0)))</f>
        <v/>
      </c>
      <c r="OG153" s="152">
        <f>IF($MC153=0,0,$OB153*CEILING($MC153/2,1)+$OC153*$MC153)</f>
        <v/>
      </c>
      <c r="OH153" s="152">
        <f>MIN(2*$MC153,$OG153)</f>
        <v/>
      </c>
      <c r="OI153" s="152">
        <f>MIN($OH153,$OF153)</f>
        <v/>
      </c>
      <c r="OJ153" s="152">
        <f>$OH153-$OI153</f>
        <v/>
      </c>
      <c r="OK153" s="152">
        <f>IF($MC153=0,0,INDEX($P$2:$P$8,MAX(1,$MC153)))</f>
        <v/>
      </c>
      <c r="OL153" s="152">
        <f>$OK153-$OF153+$OI153</f>
        <v/>
      </c>
      <c r="OM153" s="152">
        <f>IF($MC153=0,MAX(0,$MQ153-IF($OD153&gt;0,1,0)),MAX(0,$OL153))</f>
        <v/>
      </c>
      <c r="ON153" s="152">
        <f>IF($MC153=0,0,(IF(COUNTIF($MH153:$MK153,"Salto")&gt;0,1,0)+IF(COUNTIF($MH153:$MK153,"Queima")&gt;0,1,0)+IF(COUNTIF($MH153:$MK153,"Estilhaço")&gt;0,1,0))*FLOOR($OM153/2,1))</f>
        <v/>
      </c>
      <c r="OO153" s="152">
        <f>MAX(0,2-SUMPRODUCT($NV153:$OA153,$I$2:$N$2)+MIN(2,$OB153*1+$OC153*1,SUMPRODUCT($NV153:$OA153,$I$2:$N$2)))</f>
        <v/>
      </c>
      <c r="OP153" s="152">
        <f>MAX(0,4-SUMPRODUCT($NV153:$OA153,$I$3:$N$3)+MIN(4,$OB153*1+$OC153*2,SUMPRODUCT($NV153:$OA153,$I$3:$N$3)))</f>
        <v/>
      </c>
      <c r="OQ153" s="152">
        <f>MAX(0,6-SUMPRODUCT($NV153:$OA153,$I$4:$N$4)+MIN(6,$OB153*2+$OC153*3,SUMPRODUCT($NV153:$OA153,$I$4:$N$4)))</f>
        <v/>
      </c>
      <c r="OR153" s="152">
        <f>MAX(0,9-SUMPRODUCT($NV153:$OA153,$I$5:$N$5)+MIN(8,$OB153*2+$OC153*4,SUMPRODUCT($NV153:$OA153,$I$5:$N$5)))</f>
        <v/>
      </c>
      <c r="OS153" s="152">
        <f>MAX(0,11-SUMPRODUCT($NV153:$OA153,$I$6:$N$6)+MIN(10,$OB153*3+$OC153*5,SUMPRODUCT($NV153:$OA153,$I$6:$N$6)))</f>
        <v/>
      </c>
      <c r="OT153" s="152">
        <f>MAX(0,13-SUMPRODUCT($NV153:$OA153,$I$7:$N$7)+MIN(12,$OB153*3+$OC153*6,SUMPRODUCT($NV153:$OA153,$I$7:$N$7)))</f>
        <v/>
      </c>
      <c r="OU153" s="152">
        <f>MAX(0,16-SUMPRODUCT($NV153:$OA153,$I$8:$N$8)+MIN(14,$OB153*4+$OC153*7,SUMPRODUCT($NV153:$OA153,$I$8:$N$8)))</f>
        <v/>
      </c>
      <c r="OV153" s="152">
        <f>IF($NP153=2,3*$OO153&amp;" de vida temp.",IF($NP153=3,"sem dano",IF($OO153=0,IF($NP153=1,"sem cura","sem dano"),IF($NP153=1,"cura ","")&amp;$OO153&amp;"d8")))</f>
        <v/>
      </c>
      <c r="OW153" s="152">
        <f>IF($NP153=2,3*$OP153&amp;" de vida temp.",IF($NP153=3,"sem dano",IF($OP153=0,IF($NP153=1,"sem cura","sem dano"),IF($NP153=1,"cura ","")&amp;$OP153&amp;"d8")))</f>
        <v/>
      </c>
      <c r="OX153" s="152">
        <f>IF($NP153=2,3*$OQ153&amp;" de vida temp.",IF($NP153=3,"sem dano",IF($OQ153=0,IF($NP153=1,"sem cura","sem dano"),IF($NP153=1,"cura ","")&amp;$OQ153&amp;"d8")))</f>
        <v/>
      </c>
      <c r="OY153" s="152">
        <f>IF($NP153=2,3*$OR153&amp;" de vida temp.",IF($NP153=3,"sem dano",IF($OR153=0,IF($NP153=1,"sem cura","sem dano"),IF($NP153=1,"cura ","")&amp;$OR153&amp;"d8")))</f>
        <v/>
      </c>
      <c r="OZ153" s="152">
        <f>IF($NP153=2,3*$OS153&amp;" de vida temp.",IF($NP153=3,"sem dano",IF($OS153=0,IF($NP153=1,"sem cura","sem dano"),IF($NP153=1,"cura ","")&amp;$OS153&amp;"d8")))</f>
        <v/>
      </c>
      <c r="PA153" s="152">
        <f>IF($NP153=2,3*$OT153&amp;" de vida temp.",IF($NP153=3,"sem dano",IF($OT153=0,IF($NP153=1,"sem cura","sem dano"),IF($NP153=1,"cura ","")&amp;$OT153&amp;"d8")))</f>
        <v/>
      </c>
      <c r="PB153" s="152">
        <f>IF($NP153=2,3*$OU153&amp;" de vida temp.",IF($NP153=3,"sem dano",IF($OU153=0,IF($NP153=1,"sem cura","sem dano"),IF($NP153=1,"cura ","")&amp;$OU153&amp;"d8")))</f>
        <v/>
      </c>
      <c r="PC153" s="152">
        <f>IF($MN153=0,"",TEXTJOIN(" · ",TRUE,IF($MA153&gt;$MO153,"Este lugar abre no nível "&amp;$MA153,""),IF($MC153&gt;$MP153,"Classe "&amp;$MC153&amp;": o nível "&amp;$MO153&amp;" libera até a "&amp;$MP153,""),IF($NH153=1,"A Forma "&amp;$ME153&amp;" pede "&amp;INDEX($W$2:$W$11,$MT153)&amp;" aberta",""),IF(AND($MC153=0,$MT153&gt;0,IF($MT153=0,0,INDEX($AF$2:$AF$11,$MT153))=0),$ME153&amp;" não existe na Classe 0",""),IF($NI153=1,"Família Fechada: "&amp;$MH153,""),IF($NJ153=1,"Família Fechada: "&amp;$MI153,""),IF($NK153=1,"Família Fechada: "&amp;$MJ153,""),IF($NL153=1,"Família Fechada: "&amp;$MK153,""),IF(AND($MC153&gt;0,$OD153&gt;INDEX($O$2:$O$8,MAX(1,$MC153))),$OD153&amp;" Melhorias: a Classe "&amp;$MC153&amp;" aceita "&amp;INDEX($O$2:$O$8,MAX(1,$MC153)),""),IF(AND($MC153=0,$OD153&gt;1),"A básica aceita uma Melhoria",""),IF(AND($MC153=0,COUNTIF($MY153:$NB153,"&gt;1")&gt;0),"A básica só aceita Melhoria Leve",""),IF(AND($MC153&gt;0,$OE153&gt;2),$OE153&amp;" Restrições"&amp;IF($NO153=1,", contando a que a Forma "&amp;$ME153&amp;" já traz","")&amp;": o limite é 2",""),IF(AND($MC153=0,COUNTIF($ML153:$MM153,"?*")&gt;1),"A básica aceita uma Restrição Leve",""),IF(AND($MC153=0,COUNTIF($NR153:$NS153,2)&gt;0),"A básica só aceita Restrição Leve",""),IF(AND($MC153&gt;0,$OL153&lt;0),"Orçamento estourado: faltam "&amp;(-$OL153)&amp;IF($OL153&lt;-1," pontos"," ponto"),""),IF(IFERROR(VLOOKUP($ML153,$BB$2:$BF$24,4,FALSE),0)+IFERROR(VLOOKUP($MM153,$BB$2:$BF$24,4,FALSE),0)&gt;1,$NT153&amp;" e "&amp;$NU153&amp;" são as duas de frequência",""),IF(AND((COUNTIF($MH153:$MK153,"Rápido")+COUNTIF($NT153:$NU153,"Rápido"))&gt;0,(COUNTIF($MH153:$MK153,"Atrasar")+COUNTIF($NT153:$NU153,"Atrasar"))&gt;0),"Rápido não entra com Atrasar",""),IF(AND((COUNTIF($MH153:$MK153,"Reação")+COUNTIF($NT153:$NU153,"Reação"))&gt;0,(COUNTIF($MH153:$MK153,"Rápido")+COUNTIF($NT153:$NU153,"Rápido"))&gt;0),"Reação não entra com Rápido",""),IF(AND((COUNTIF($MH153:$MK153,"Reação")+COUNTIF($NT153:$NU153,"Reação"))&gt;0,(COUNTIF($MH153:$MK153,"Armado")+COUNTIF($NT153:$NU153,"Armado"))&gt;0),"Reação não entra com Armado",""),IF(AND((COUNTIF($MH153:$MK153,"Reação")+COUNTIF($NT153:$NU153,"Reação"))&gt;0,(COUNTIF($MH153:$MK153,"Atrasar")+COUNTIF($NT153:$NU153,"Atrasar"))&gt;0),"Reação não entra com Atrasar",""),IF(AND((COUNTIF($MH153:$MK153,"Reação")+COUNTIF($NT153:$NU153,"Reação"))&gt;0,(COUNTIF($MH153:$MK153,"Parado")+COUNTIF($NT153:$NU153,"Parado"))&gt;0),"Reação não entra com Parado",""),IF(AND((COUNTIF($MH153:$MK153,"Atrasar")+COUNTIF($NT153:$NU153,"Atrasar"))&gt;0,(COUNTIF($MH153:$MK153,"Parado")+COUNTIF($NT153:$NU153,"Parado"))&gt;0),"Atrasar não entra com Parado",""),IF(AND((COUNTIF($MH153:$MK153,"Armado")+COUNTIF($NT153:$NU153,"Armado"))&gt;0,(COUNTIF($MH153:$MK153,"Carregar")+COUNTIF($NT153:$NU153,"Carregar"))&gt;0),"Armado não entra com Carregar",""),IF(AND(COUNTIF($NT153:$NU153,"Corpo a Corpo")&gt;0,$NO153=0,OR($ME153="Cone",$ME153="Linha")),"Corpo a Corpo não entra em "&amp;$ME153,""),IF(AND(COUNTIF($NT153:$NU153,"Corpo a Corpo")&gt;0,$NO153=1),"A Forma "&amp;$ME153&amp;" já traz o Corpo a Corpo",""),IF(AND(COUNTIF($NT153:$NU153,"Tudo ou Nada")&gt;0,$NQ153=0),"Tudo ou Nada só entra em habilidade de Teste de Resistência",""),IF(AND(COUNTIF($MH153:$MK153,"Inescapável")&gt;0,OR($OD153&gt;1,$OE153&gt;0)),"Inescapável não aceita outra peça",""),IF(AND($MC153&gt;0,$OM153*IF(COUNTIF($MH153:$MK153,"Remate")&gt;0,1.25,1)+$ON153&gt;4*$MC153),($OM153*IF(COUNTIF($MH153:$MK153,"Remate")&gt;0,1.25,1)+$ON153)&amp;" dados somando repetições"&amp;IF(COUNTIF($MH153:$MK153,"Remate")&gt;0," e o Remate","")&amp;": o teto da Classe "&amp;$MC153&amp;" é "&amp;4*$MC153,"")))</f>
        <v/>
      </c>
      <c r="PD153" s="152">
        <f>IF($PC153="",0,(LEN($PC153)-LEN(SUBSTITUTE($PC153," · ","")))/3+1)</f>
        <v/>
      </c>
      <c r="PE153" s="152">
        <f>IF($MN153=0,"",TEXTJOIN(" · ",TRUE,IF($OG153&gt;2*$MC153,"A devolução parou no teto de "&amp;2*$MC153,""),IF($OJ153&gt;0,"Devolução perdida: "&amp;$OJ153&amp;IF($OJ153&gt;1," pontos"," ponto")&amp;" sem peça para pagar",""),IF(AND($NM153&gt;0,AND($MC153&gt;0,$NP153=0),$OM153=0),"Controle sem dano: uma rodada a mais e CD +2",""),IF(AND($NM153&gt;0,AND($MC153&gt;0,$NP153=0),$OM153&gt;0,$OM153&lt;=$MC153),"Controle com saldo até a Classe: uma rodada a mais",""),IF(AND($MC153&gt;0,$NN153&lt;&gt;""),"Efeito de "&amp;$NN153&amp;" pela Classe "&amp;MAX(1,$MC153-1),"")))</f>
        <v/>
      </c>
      <c r="PF153" s="152">
        <f>IF($PE153="",0,(LEN($PE153)-LEN(SUBSTITUTE($PE153," · ","")))/3+1)</f>
        <v/>
      </c>
      <c r="PG153" s="152">
        <f>IF($MN153=0,IF($OD153+COUNTIF($ML153:$MM153,"?*")&gt;0,"Dê um nome",""),IF($PD153&gt;0,"⚠ "&amp;$PD153&amp;IF($PD153&gt;1," erros"," erro"),IF($PF153&gt;0,"! "&amp;$PF153&amp;IF($PF153&gt;1," avisos"," aviso"),"Na regra")))</f>
        <v/>
      </c>
      <c r="PH153" s="152">
        <f>IF($MN153=0,"",IF($PD153+$PF153=0,"Dentro das regras que a ficha confere",$PC153&amp;IF(AND($PD153&gt;0,$PF153&gt;0)," · ","")&amp;$PE153))</f>
        <v/>
      </c>
      <c r="PI153" s="152">
        <f>IF($MA153&gt;$MO153,$MB153&amp;" · ABRE NO NÍVEL "&amp;$MA153,$MB153)</f>
        <v/>
      </c>
      <c r="PJ153" s="152">
        <f>IF($MN153=0,"",IF($MC153=0,"Sem PE",3*$MC153&amp;" PE"))</f>
        <v/>
      </c>
      <c r="PK153" s="152">
        <f>IF($MN153=0,"",IF($MC153=0,"A atuação básica dela",IF(COUNTIF($NT153:$NU153,"Atrasar")&gt;0,"Sua Ação Completa",IF(COUNTIF($MH153:$MK153,"Rápido")&gt;0,"Sua Bônus",IF(COUNTIF($MH153:$MK153,"Reação")&gt;0,"Sua Reação","Sua Padrão")))&amp;" + a básica dela"&amp;IF(COUNTIF($MH153:$MK153,"Reação")&gt;0," e a coletiva","")&amp;IF(COUNTIF($NT153:$NU153,"Carregar")&gt;0," · em dois turnos","")))</f>
        <v/>
      </c>
      <c r="PL153" s="152">
        <f>IF($MG153&lt;&gt;"",$MG153,IF($MT153=0,"",INDEX($AA$2:$AA$11,$MT153)))</f>
        <v/>
      </c>
      <c r="PM153" s="152">
        <f>IF(OR($MN153=0,$MT153=0),"",IF(COUNTIF($MH153:$MK153,"Inescapável")&gt;0,"Automático",IF($PL153="Ataque",IF($MR153="","Ataque","Ataque "&amp;IF(($MR153+2*IF(COUNTIF($MH153:$MK153,"Precisão")&gt;0,1,0))&gt;=0,"+","−")&amp;ABS(($MR153+2*IF(COUNTIF($MH153:$MK153,"Precisão")&gt;0,1,0)))),IF(LEFT($PL153,2)="TR",$PL153&amp;IF($MS153="",""," · CD "&amp;$MS153)&amp;IF(COUNTIF($MH153:$MK153,"Certeiro")&gt;0," · metade",""),"Sem rolagem"))))</f>
        <v/>
      </c>
      <c r="PN153" s="152">
        <f>IF(OR($MN153=0,$MT153=0),"",IF($MC153=0,IF(OR($NP153&gt;=1,$OM153=0),"Sem dano",$OM153&amp;"d6"&amp;IF($MF153="",""," "&amp;$MF153)),IF(OR($NP153&gt;=1,$OM153=0),UPPER(LEFT(INDEX($OV153:$PB153,1,MAX(1,$MC153)),1))&amp;MID(INDEX($OV153:$PB153,1,MAX(1,$MC153)),2,99),UPPER(LEFT(INDEX($OV153:$PB153,1,MAX(1,$MC153)),1))&amp;MID(INDEX($OV153:$PB153,1,MAX(1,$MC153)),2,99)&amp;IF($MF153="",""," "&amp;$MF153)&amp;IF($ON153&gt;0," · +"&amp;$ON153&amp;"d8",""))))</f>
        <v/>
      </c>
      <c r="PO153" s="152">
        <f>COUNTIF($MH153:$MK153,"Longe")+3*COUNTIF($MH153:$MK153,"Muito Longe")</f>
        <v/>
      </c>
      <c r="PP153" s="152">
        <f>COUNTIF($MH153:$MK153,"Maior")+3*COUNTIF($MH153:$MK153,"Muito Maior")</f>
        <v/>
      </c>
      <c r="PQ153" s="152">
        <f>IF($MT153=0,0,CHOOSE(1+INDEX($AC$2:$AC$11,$MT153),0,$PO153,$PP153,$PO153+$PP153))</f>
        <v/>
      </c>
      <c r="PR153" s="152">
        <f>IF($MT153=0,0,CHOOSE(1+INDEX($AD$2:$AD$11,$MT153),0,$PO153,$PP153,$PO153+$PP153))</f>
        <v/>
      </c>
      <c r="PS153" s="152">
        <f>IF(OR($MN153=0,$MT153=0),"",INDEX($AI$2:$AN$41,($MT153-1)*4+IF($MC153=0,1,IF($MC153&lt;=5,2,IF($MC153=6,3,4))),1+MIN(5,$PQ153))&amp;INDEX($AO$2:$AT$41,($MT153-1)*4+IF($MC153=0,1,IF($MC153&lt;=5,2,IF($MC153=6,3,4))),1+MIN(5,$PR153))&amp;IF(INDEX($AE$2:$AE$11,$MT153)=1,IF(COUNTIF($MH153:$MK153,"Mais Um")&gt;0," · +"&amp;COUNTIF($MH153:$MK153,"Mais Um")&amp;IF(COUNTIF($MH153:$MK153,"Mais Um")&gt;1," alvos"," alvo"),"")&amp;IF(COUNTIF($MH153:$MK153,"Rajada")&gt;0,IF($MC153=0," · 1 tiro"," · "&amp;(MAX(1,$MC153-1)+1)&amp;" tiros"),""),""))</f>
        <v/>
      </c>
      <c r="PT153" s="152">
        <f>IF($MN153=0,"",IF($MC153=0,$MQ153&amp;"d6"&amp;IF($OD153&gt;0," − 1 = "&amp;$OM153&amp;"d6"," da básica do nível "&amp;$MO153),$OK153&amp;" − "&amp;$OF153&amp;" + "&amp;$OI153&amp;" = "&amp;$OL153&amp;" · teto "&amp;4*$MC153&amp;"d8"&amp;IF($NO153=1," · a Forma devolve "&amp;$MC153,"")&amp;IF($OJ153&gt;0," · perde "&amp;$OJ153,"")))</f>
        <v/>
      </c>
      <c r="PU153" s="152">
        <f>IF($MN153=0,"",IF($MC153=0,"A básica não amplia: os dados dela sobem com o nível",IF($MC153&gt;=$MP153,"Já está na maior Classe que o nível liberou",TEXTJOIN(" · ",TRUE,IF(AND(2&gt;$MC153,2&lt;=$MP153),"2 → "&amp;$OW153&amp;", 6 PE",""),IF(AND(3&gt;$MC153,3&lt;=$MP153),"3 → "&amp;$OX153&amp;", 9 PE",""),IF(AND(4&gt;$MC153,4&lt;=$MP153),"4 → "&amp;$OY153&amp;", 12 PE",""),IF(AND(5&gt;$MC153,5&lt;=$MP153),"5 → "&amp;$OZ153&amp;", 15 PE",""),IF(AND(6&gt;$MC153,6&lt;=$MP153),"6 → "&amp;$PA153&amp;", 18 PE",""),IF(AND(7&gt;$MC153,7&lt;=$MP153),"7 → "&amp;$PB153&amp;", 21 PE","")))))</f>
        <v/>
      </c>
      <c r="PV153" s="152">
        <f>IF(OR($MN153=0,$MY153=0),"",IF($MC153=0,"−1 dado","−"&amp;INDEX($I$2:$N$8,MAX(1,$MC153),MAX(1,$ND153))&amp;" · "&amp;CHOOSE(MAX(1,$ND153),"Leve","Média","Pesada","Leve · Livre","Média · Livre","Pesada · Livre")))</f>
        <v/>
      </c>
      <c r="PW153" s="152">
        <f>IF(OR($MN153=0,$MZ153=0),"",IF($MC153=0,"−1 dado","−"&amp;INDEX($I$2:$N$8,MAX(1,$MC153),MAX(1,$NE153))&amp;" · "&amp;CHOOSE(MAX(1,$NE153),"Leve","Média","Pesada","Leve · Livre","Média · Livre","Pesada · Livre")))</f>
        <v/>
      </c>
      <c r="PX153" s="152">
        <f>IF(OR($MN153=0,$NA153=0),"",IF($MC153=0,"−1 dado","−"&amp;INDEX($I$2:$N$8,MAX(1,$MC153),MAX(1,$NF153))&amp;" · "&amp;CHOOSE(MAX(1,$NF153),"Leve","Média","Pesada","Leve · Livre","Média · Livre","Pesada · Livre")))</f>
        <v/>
      </c>
      <c r="PY153" s="152">
        <f>IF(OR($MN153=0,$NB153=0),"",IF($MC153=0,"−1 dado","−"&amp;INDEX($I$2:$N$8,MAX(1,$MC153),MAX(1,$NG153))&amp;" · "&amp;CHOOSE(MAX(1,$NG153),"Leve","Média","Pesada","Leve · Livre","Média · Livre","Pesada · Livre")))</f>
        <v/>
      </c>
      <c r="PZ153" s="152">
        <f>IF(OR($MN153=0,$ML153=""),"",IF($MC153=0,"não devolve","+"&amp;IF($NR153=1,CEILING($MC153/2,1),$MC153)))</f>
        <v/>
      </c>
      <c r="QA153" s="152">
        <f>IF(OR($MN153=0,$MM153=""),"",IF($MC153=0,"não devolve","+"&amp;IF($NS153=1,CEILING($MC153/2,1),$MC153)))</f>
        <v/>
      </c>
    </row>
    <row r="154">
      <c r="LX154" s="150" t="inlineStr">
        <is>
          <t>Ficha 12 · Especial 8</t>
        </is>
      </c>
      <c r="LY154" s="152" t="n">
        <v>12</v>
      </c>
      <c r="LZ154" s="152" t="n">
        <v>1</v>
      </c>
      <c r="MA154" s="152" t="n">
        <v>28</v>
      </c>
      <c r="MB154" s="150" t="inlineStr">
        <is>
          <t>ESPECIAL 8</t>
        </is>
      </c>
      <c r="MC154" s="152">
        <f>MAX(1,MIN(7,N('INVOCAÇÕES'!$AB$1126)))</f>
        <v/>
      </c>
      <c r="MD154" s="152">
        <f>'INVOCAÇÕES'!$AC$1126&amp;""</f>
        <v/>
      </c>
      <c r="ME154" s="152">
        <f>'INVOCAÇÕES'!$AB$1131&amp;""</f>
        <v/>
      </c>
      <c r="MF154" s="152">
        <f>'INVOCAÇÕES'!$AB$1132&amp;""</f>
        <v/>
      </c>
      <c r="MG154" s="152">
        <f>'INVOCAÇÕES'!$AD$1132&amp;""</f>
        <v/>
      </c>
      <c r="MH154" s="152">
        <f>'INVOCAÇÕES'!$AC$1135&amp;""</f>
        <v/>
      </c>
      <c r="MI154" s="152">
        <f>'INVOCAÇÕES'!$AC$1136&amp;""</f>
        <v/>
      </c>
      <c r="MJ154" s="152">
        <f>'INVOCAÇÕES'!$AC$1137&amp;""</f>
        <v/>
      </c>
      <c r="MK154" s="152">
        <f>'INVOCAÇÕES'!$AC$1138&amp;""</f>
        <v/>
      </c>
      <c r="ML154" s="152">
        <f>'INVOCAÇÕES'!$AC$1139&amp;""</f>
        <v/>
      </c>
      <c r="MM154" s="152">
        <f>'INVOCAÇÕES'!$AC$1140&amp;""</f>
        <v/>
      </c>
      <c r="MN154" s="152">
        <f>IF($MD154&lt;&gt;"",1,0)</f>
        <v/>
      </c>
      <c r="MO154" s="152">
        <f>INDEX($FG$2:$FG$13,$LY154)</f>
        <v/>
      </c>
      <c r="MP154" s="152">
        <f>INDEX($FH$2:$FH$13,$LY154)</f>
        <v/>
      </c>
      <c r="MQ154" s="152">
        <f>INDEX($FI$2:$FI$13,$LY154)</f>
        <v/>
      </c>
      <c r="MR154" s="152">
        <f>INDEX($FT$2:$FT$13,$LY154)</f>
        <v/>
      </c>
      <c r="MS154" s="152">
        <f>INDEX($FU$2:$FU$13,$LY154)</f>
        <v/>
      </c>
      <c r="MT154" s="152">
        <f>IFERROR(MATCH($ME154,$V$2:$V$11,0),0)</f>
        <v/>
      </c>
      <c r="MU154" s="152">
        <f>IFERROR(VLOOKUP($MH154,$AV$2:$AZ$84,2,FALSE),"")</f>
        <v/>
      </c>
      <c r="MV154" s="152">
        <f>IFERROR(VLOOKUP($MI154,$AV$2:$AZ$84,2,FALSE),"")</f>
        <v/>
      </c>
      <c r="MW154" s="152">
        <f>IFERROR(VLOOKUP($MJ154,$AV$2:$AZ$84,2,FALSE),"")</f>
        <v/>
      </c>
      <c r="MX154" s="152">
        <f>IFERROR(VLOOKUP($MK154,$AV$2:$AZ$84,2,FALSE),"")</f>
        <v/>
      </c>
      <c r="MY154" s="152">
        <f>IFERROR(VLOOKUP($MH154,$AV$2:$AZ$84,3,FALSE),0)</f>
        <v/>
      </c>
      <c r="MZ154" s="152">
        <f>IFERROR(VLOOKUP($MI154,$AV$2:$AZ$84,3,FALSE),0)</f>
        <v/>
      </c>
      <c r="NA154" s="152">
        <f>IFERROR(VLOOKUP($MJ154,$AV$2:$AZ$84,3,FALSE),0)</f>
        <v/>
      </c>
      <c r="NB154" s="152">
        <f>IFERROR(VLOOKUP($MK154,$AV$2:$AZ$84,3,FALSE),0)</f>
        <v/>
      </c>
      <c r="NC154" s="152">
        <f>IF($MC154=0,0,IF($MT154=0,0,INDEX($X$2:$X$11,$MT154)))</f>
        <v/>
      </c>
      <c r="ND154" s="152">
        <f>IF(OR($MY154=0,$MC154=0),0,$MY154+3*IF(AND($MU154&lt;&gt;"",OR($MU154=INDEX($ED$2:$ED$13,$LY154),$MU154=INDEX($EE$2:$EE$13,$LY154))),1,0))</f>
        <v/>
      </c>
      <c r="NE154" s="152">
        <f>IF(OR($MZ154=0,$MC154=0),0,$MZ154+3*IF(AND($MV154&lt;&gt;"",OR($MV154=INDEX($ED$2:$ED$13,$LY154),$MV154=INDEX($EE$2:$EE$13,$LY154))),1,0))</f>
        <v/>
      </c>
      <c r="NF154" s="152">
        <f>IF(OR($NA154=0,$MC154=0),0,$NA154+3*IF(AND($MW154&lt;&gt;"",OR($MW154=INDEX($ED$2:$ED$13,$LY154),$MW154=INDEX($EE$2:$EE$13,$LY154))),1,0))</f>
        <v/>
      </c>
      <c r="NG154" s="152">
        <f>IF(OR($NB154=0,$MC154=0),0,$NB154+3*IF(AND($MX154&lt;&gt;"",OR($MX154=INDEX($ED$2:$ED$13,$LY154),$MX154=INDEX($EE$2:$EE$13,$LY154))),1,0))</f>
        <v/>
      </c>
      <c r="NH154" s="152">
        <f>IF($MT154=0,0,IF(INDEX($W$2:$W$11,$MT154)="",0,IF(COUNTIF(INDEX($ED$2:$EH$13,$LY154,0),INDEX($W$2:$W$11,$MT154))=0,1,0)))</f>
        <v/>
      </c>
      <c r="NI154" s="152">
        <f>IF(OR($MY154=0,$MU154=""),0,IF(COUNTIF(INDEX($ED$2:$EH$13,$LY154,0),$MU154)=0,1,0))</f>
        <v/>
      </c>
      <c r="NJ154" s="152">
        <f>IF(OR($MZ154=0,$MV154=""),0,IF(COUNTIF(INDEX($ED$2:$EH$13,$LY154,0),$MV154)=0,1,0))</f>
        <v/>
      </c>
      <c r="NK154" s="152">
        <f>IF(OR($NA154=0,$MW154=""),0,IF(COUNTIF(INDEX($ED$2:$EH$13,$LY154,0),$MW154)=0,1,0))</f>
        <v/>
      </c>
      <c r="NL154" s="152">
        <f>IF(OR($NB154=0,$MX154=""),0,IF(COUNTIF(INDEX($ED$2:$EH$13,$LY154,0),$MX154)=0,1,0))</f>
        <v/>
      </c>
      <c r="NM154" s="152">
        <f>IFERROR(VLOOKUP($MH154,$AV$2:$AZ$84,4,FALSE),0)+IFERROR(VLOOKUP($MI154,$AV$2:$AZ$84,4,FALSE),0)+IFERROR(VLOOKUP($MJ154,$AV$2:$AZ$84,4,FALSE),0)+IFERROR(VLOOKUP($MK154,$AV$2:$AZ$84,4,FALSE),0)</f>
        <v/>
      </c>
      <c r="NN154" s="152">
        <f>TEXTJOIN(", ",TRUE,IF(IFERROR(VLOOKUP($MH154,$AV$2:$AZ$84,5,FALSE),0)=1,$MH154,""),IF(IFERROR(VLOOKUP($MI154,$AV$2:$AZ$84,5,FALSE),0)=1,$MI154,""),IF(IFERROR(VLOOKUP($MJ154,$AV$2:$AZ$84,5,FALSE),0)=1,$MJ154,""),IF(IFERROR(VLOOKUP($MK154,$AV$2:$AZ$84,5,FALSE),0)=1,$MK154,""))</f>
        <v/>
      </c>
      <c r="NO154" s="152">
        <f>IF($MT154=0,0,INDEX($Y$2:$Y$11,$MT154))</f>
        <v/>
      </c>
      <c r="NP154" s="152">
        <f>IF($MT154=0,0,INDEX($Z$2:$Z$11,$MT154))</f>
        <v/>
      </c>
      <c r="NQ154" s="152">
        <f>IF($MT154=0,0,INDEX($AB$2:$AB$11,$MT154))</f>
        <v/>
      </c>
      <c r="NR154" s="152">
        <f>IFERROR(VLOOKUP($ML154,$BB$2:$BF$24,3,FALSE),0)</f>
        <v/>
      </c>
      <c r="NS154" s="152">
        <f>IFERROR(VLOOKUP($MM154,$BB$2:$BF$24,3,FALSE),0)</f>
        <v/>
      </c>
      <c r="NT154" s="152">
        <f>IFERROR(VLOOKUP($ML154,$BB$2:$BF$24,2,FALSE),"")</f>
        <v/>
      </c>
      <c r="NU154" s="152">
        <f>IFERROR(VLOOKUP($MM154,$BB$2:$BF$24,2,FALSE),"")</f>
        <v/>
      </c>
      <c r="NV154" s="152">
        <f>COUNTIF($NC154:$NG154,1)</f>
        <v/>
      </c>
      <c r="NW154" s="152">
        <f>COUNTIF($NC154:$NG154,2)</f>
        <v/>
      </c>
      <c r="NX154" s="152">
        <f>COUNTIF($NC154:$NG154,3)</f>
        <v/>
      </c>
      <c r="NY154" s="152">
        <f>COUNTIF($NC154:$NG154,4)</f>
        <v/>
      </c>
      <c r="NZ154" s="152">
        <f>COUNTIF($NC154:$NG154,5)</f>
        <v/>
      </c>
      <c r="OA154" s="152">
        <f>COUNTIF($NC154:$NG154,6)</f>
        <v/>
      </c>
      <c r="OB154" s="152">
        <f>COUNTIF($NR154:$NS154,1)</f>
        <v/>
      </c>
      <c r="OC154" s="152">
        <f>COUNTIF($NR154:$NS154,2)+$NO154</f>
        <v/>
      </c>
      <c r="OD154" s="152">
        <f>COUNTIF($MH154:$MK154,"?*")</f>
        <v/>
      </c>
      <c r="OE154" s="152">
        <f>COUNTIF($ML154:$MM154,"?*")+$NO154</f>
        <v/>
      </c>
      <c r="OF154" s="152">
        <f>IF($MC154=0,0,SUMPRODUCT($NV154:$OA154,INDEX($I$2:$N$8,MAX(1,$MC154),0)))</f>
        <v/>
      </c>
      <c r="OG154" s="152">
        <f>IF($MC154=0,0,$OB154*CEILING($MC154/2,1)+$OC154*$MC154)</f>
        <v/>
      </c>
      <c r="OH154" s="152">
        <f>MIN(2*$MC154,$OG154)</f>
        <v/>
      </c>
      <c r="OI154" s="152">
        <f>MIN($OH154,$OF154)</f>
        <v/>
      </c>
      <c r="OJ154" s="152">
        <f>$OH154-$OI154</f>
        <v/>
      </c>
      <c r="OK154" s="152">
        <f>IF($MC154=0,0,INDEX($P$2:$P$8,MAX(1,$MC154)))</f>
        <v/>
      </c>
      <c r="OL154" s="152">
        <f>$OK154-$OF154+$OI154</f>
        <v/>
      </c>
      <c r="OM154" s="152">
        <f>IF($MC154=0,MAX(0,$MQ154-IF($OD154&gt;0,1,0)),MAX(0,$OL154))</f>
        <v/>
      </c>
      <c r="ON154" s="152">
        <f>IF($MC154=0,0,(IF(COUNTIF($MH154:$MK154,"Salto")&gt;0,1,0)+IF(COUNTIF($MH154:$MK154,"Queima")&gt;0,1,0)+IF(COUNTIF($MH154:$MK154,"Estilhaço")&gt;0,1,0))*FLOOR($OM154/2,1))</f>
        <v/>
      </c>
      <c r="OO154" s="152">
        <f>MAX(0,2-SUMPRODUCT($NV154:$OA154,$I$2:$N$2)+MIN(2,$OB154*1+$OC154*1,SUMPRODUCT($NV154:$OA154,$I$2:$N$2)))</f>
        <v/>
      </c>
      <c r="OP154" s="152">
        <f>MAX(0,4-SUMPRODUCT($NV154:$OA154,$I$3:$N$3)+MIN(4,$OB154*1+$OC154*2,SUMPRODUCT($NV154:$OA154,$I$3:$N$3)))</f>
        <v/>
      </c>
      <c r="OQ154" s="152">
        <f>MAX(0,6-SUMPRODUCT($NV154:$OA154,$I$4:$N$4)+MIN(6,$OB154*2+$OC154*3,SUMPRODUCT($NV154:$OA154,$I$4:$N$4)))</f>
        <v/>
      </c>
      <c r="OR154" s="152">
        <f>MAX(0,9-SUMPRODUCT($NV154:$OA154,$I$5:$N$5)+MIN(8,$OB154*2+$OC154*4,SUMPRODUCT($NV154:$OA154,$I$5:$N$5)))</f>
        <v/>
      </c>
      <c r="OS154" s="152">
        <f>MAX(0,11-SUMPRODUCT($NV154:$OA154,$I$6:$N$6)+MIN(10,$OB154*3+$OC154*5,SUMPRODUCT($NV154:$OA154,$I$6:$N$6)))</f>
        <v/>
      </c>
      <c r="OT154" s="152">
        <f>MAX(0,13-SUMPRODUCT($NV154:$OA154,$I$7:$N$7)+MIN(12,$OB154*3+$OC154*6,SUMPRODUCT($NV154:$OA154,$I$7:$N$7)))</f>
        <v/>
      </c>
      <c r="OU154" s="152">
        <f>MAX(0,16-SUMPRODUCT($NV154:$OA154,$I$8:$N$8)+MIN(14,$OB154*4+$OC154*7,SUMPRODUCT($NV154:$OA154,$I$8:$N$8)))</f>
        <v/>
      </c>
      <c r="OV154" s="152">
        <f>IF($NP154=2,3*$OO154&amp;" de vida temp.",IF($NP154=3,"sem dano",IF($OO154=0,IF($NP154=1,"sem cura","sem dano"),IF($NP154=1,"cura ","")&amp;$OO154&amp;"d8")))</f>
        <v/>
      </c>
      <c r="OW154" s="152">
        <f>IF($NP154=2,3*$OP154&amp;" de vida temp.",IF($NP154=3,"sem dano",IF($OP154=0,IF($NP154=1,"sem cura","sem dano"),IF($NP154=1,"cura ","")&amp;$OP154&amp;"d8")))</f>
        <v/>
      </c>
      <c r="OX154" s="152">
        <f>IF($NP154=2,3*$OQ154&amp;" de vida temp.",IF($NP154=3,"sem dano",IF($OQ154=0,IF($NP154=1,"sem cura","sem dano"),IF($NP154=1,"cura ","")&amp;$OQ154&amp;"d8")))</f>
        <v/>
      </c>
      <c r="OY154" s="152">
        <f>IF($NP154=2,3*$OR154&amp;" de vida temp.",IF($NP154=3,"sem dano",IF($OR154=0,IF($NP154=1,"sem cura","sem dano"),IF($NP154=1,"cura ","")&amp;$OR154&amp;"d8")))</f>
        <v/>
      </c>
      <c r="OZ154" s="152">
        <f>IF($NP154=2,3*$OS154&amp;" de vida temp.",IF($NP154=3,"sem dano",IF($OS154=0,IF($NP154=1,"sem cura","sem dano"),IF($NP154=1,"cura ","")&amp;$OS154&amp;"d8")))</f>
        <v/>
      </c>
      <c r="PA154" s="152">
        <f>IF($NP154=2,3*$OT154&amp;" de vida temp.",IF($NP154=3,"sem dano",IF($OT154=0,IF($NP154=1,"sem cura","sem dano"),IF($NP154=1,"cura ","")&amp;$OT154&amp;"d8")))</f>
        <v/>
      </c>
      <c r="PB154" s="152">
        <f>IF($NP154=2,3*$OU154&amp;" de vida temp.",IF($NP154=3,"sem dano",IF($OU154=0,IF($NP154=1,"sem cura","sem dano"),IF($NP154=1,"cura ","")&amp;$OU154&amp;"d8")))</f>
        <v/>
      </c>
      <c r="PC154" s="152">
        <f>IF($MN154=0,"",TEXTJOIN(" · ",TRUE,IF($MA154&gt;$MO154,"Este lugar abre no nível "&amp;$MA154,""),IF($MC154&gt;$MP154,"Classe "&amp;$MC154&amp;": o nível "&amp;$MO154&amp;" libera até a "&amp;$MP154,""),IF($NH154=1,"A Forma "&amp;$ME154&amp;" pede "&amp;INDEX($W$2:$W$11,$MT154)&amp;" aberta",""),IF(AND($MC154=0,$MT154&gt;0,IF($MT154=0,0,INDEX($AF$2:$AF$11,$MT154))=0),$ME154&amp;" não existe na Classe 0",""),IF($NI154=1,"Família Fechada: "&amp;$MH154,""),IF($NJ154=1,"Família Fechada: "&amp;$MI154,""),IF($NK154=1,"Família Fechada: "&amp;$MJ154,""),IF($NL154=1,"Família Fechada: "&amp;$MK154,""),IF(AND($MC154&gt;0,$OD154&gt;INDEX($O$2:$O$8,MAX(1,$MC154))),$OD154&amp;" Melhorias: a Classe "&amp;$MC154&amp;" aceita "&amp;INDEX($O$2:$O$8,MAX(1,$MC154)),""),IF(AND($MC154=0,$OD154&gt;1),"A básica aceita uma Melhoria",""),IF(AND($MC154=0,COUNTIF($MY154:$NB154,"&gt;1")&gt;0),"A básica só aceita Melhoria Leve",""),IF(AND($MC154&gt;0,$OE154&gt;2),$OE154&amp;" Restrições"&amp;IF($NO154=1,", contando a que a Forma "&amp;$ME154&amp;" já traz","")&amp;": o limite é 2",""),IF(AND($MC154=0,COUNTIF($ML154:$MM154,"?*")&gt;1),"A básica aceita uma Restrição Leve",""),IF(AND($MC154=0,COUNTIF($NR154:$NS154,2)&gt;0),"A básica só aceita Restrição Leve",""),IF(AND($MC154&gt;0,$OL154&lt;0),"Orçamento estourado: faltam "&amp;(-$OL154)&amp;IF($OL154&lt;-1," pontos"," ponto"),""),IF(IFERROR(VLOOKUP($ML154,$BB$2:$BF$24,4,FALSE),0)+IFERROR(VLOOKUP($MM154,$BB$2:$BF$24,4,FALSE),0)&gt;1,$NT154&amp;" e "&amp;$NU154&amp;" são as duas de frequência",""),IF(AND((COUNTIF($MH154:$MK154,"Rápido")+COUNTIF($NT154:$NU154,"Rápido"))&gt;0,(COUNTIF($MH154:$MK154,"Atrasar")+COUNTIF($NT154:$NU154,"Atrasar"))&gt;0),"Rápido não entra com Atrasar",""),IF(AND((COUNTIF($MH154:$MK154,"Reação")+COUNTIF($NT154:$NU154,"Reação"))&gt;0,(COUNTIF($MH154:$MK154,"Rápido")+COUNTIF($NT154:$NU154,"Rápido"))&gt;0),"Reação não entra com Rápido",""),IF(AND((COUNTIF($MH154:$MK154,"Reação")+COUNTIF($NT154:$NU154,"Reação"))&gt;0,(COUNTIF($MH154:$MK154,"Armado")+COUNTIF($NT154:$NU154,"Armado"))&gt;0),"Reação não entra com Armado",""),IF(AND((COUNTIF($MH154:$MK154,"Reação")+COUNTIF($NT154:$NU154,"Reação"))&gt;0,(COUNTIF($MH154:$MK154,"Atrasar")+COUNTIF($NT154:$NU154,"Atrasar"))&gt;0),"Reação não entra com Atrasar",""),IF(AND((COUNTIF($MH154:$MK154,"Reação")+COUNTIF($NT154:$NU154,"Reação"))&gt;0,(COUNTIF($MH154:$MK154,"Parado")+COUNTIF($NT154:$NU154,"Parado"))&gt;0),"Reação não entra com Parado",""),IF(AND((COUNTIF($MH154:$MK154,"Atrasar")+COUNTIF($NT154:$NU154,"Atrasar"))&gt;0,(COUNTIF($MH154:$MK154,"Parado")+COUNTIF($NT154:$NU154,"Parado"))&gt;0),"Atrasar não entra com Parado",""),IF(AND((COUNTIF($MH154:$MK154,"Armado")+COUNTIF($NT154:$NU154,"Armado"))&gt;0,(COUNTIF($MH154:$MK154,"Carregar")+COUNTIF($NT154:$NU154,"Carregar"))&gt;0),"Armado não entra com Carregar",""),IF(AND(COUNTIF($NT154:$NU154,"Corpo a Corpo")&gt;0,$NO154=0,OR($ME154="Cone",$ME154="Linha")),"Corpo a Corpo não entra em "&amp;$ME154,""),IF(AND(COUNTIF($NT154:$NU154,"Corpo a Corpo")&gt;0,$NO154=1),"A Forma "&amp;$ME154&amp;" já traz o Corpo a Corpo",""),IF(AND(COUNTIF($NT154:$NU154,"Tudo ou Nada")&gt;0,$NQ154=0),"Tudo ou Nada só entra em habilidade de Teste de Resistência",""),IF(AND(COUNTIF($MH154:$MK154,"Inescapável")&gt;0,OR($OD154&gt;1,$OE154&gt;0)),"Inescapável não aceita outra peça",""),IF(AND($MC154&gt;0,$OM154*IF(COUNTIF($MH154:$MK154,"Remate")&gt;0,1.25,1)+$ON154&gt;4*$MC154),($OM154*IF(COUNTIF($MH154:$MK154,"Remate")&gt;0,1.25,1)+$ON154)&amp;" dados somando repetições"&amp;IF(COUNTIF($MH154:$MK154,"Remate")&gt;0," e o Remate","")&amp;": o teto da Classe "&amp;$MC154&amp;" é "&amp;4*$MC154,"")))</f>
        <v/>
      </c>
      <c r="PD154" s="152">
        <f>IF($PC154="",0,(LEN($PC154)-LEN(SUBSTITUTE($PC154," · ","")))/3+1)</f>
        <v/>
      </c>
      <c r="PE154" s="152">
        <f>IF($MN154=0,"",TEXTJOIN(" · ",TRUE,IF($OG154&gt;2*$MC154,"A devolução parou no teto de "&amp;2*$MC154,""),IF($OJ154&gt;0,"Devolução perdida: "&amp;$OJ154&amp;IF($OJ154&gt;1," pontos"," ponto")&amp;" sem peça para pagar",""),IF(AND($NM154&gt;0,AND($MC154&gt;0,$NP154=0),$OM154=0),"Controle sem dano: uma rodada a mais e CD +2",""),IF(AND($NM154&gt;0,AND($MC154&gt;0,$NP154=0),$OM154&gt;0,$OM154&lt;=$MC154),"Controle com saldo até a Classe: uma rodada a mais",""),IF(AND($MC154&gt;0,$NN154&lt;&gt;""),"Efeito de "&amp;$NN154&amp;" pela Classe "&amp;MAX(1,$MC154-1),"")))</f>
        <v/>
      </c>
      <c r="PF154" s="152">
        <f>IF($PE154="",0,(LEN($PE154)-LEN(SUBSTITUTE($PE154," · ","")))/3+1)</f>
        <v/>
      </c>
      <c r="PG154" s="152">
        <f>IF($MN154=0,IF($OD154+COUNTIF($ML154:$MM154,"?*")&gt;0,"Dê um nome",""),IF($PD154&gt;0,"⚠ "&amp;$PD154&amp;IF($PD154&gt;1," erros"," erro"),IF($PF154&gt;0,"! "&amp;$PF154&amp;IF($PF154&gt;1," avisos"," aviso"),"Na regra")))</f>
        <v/>
      </c>
      <c r="PH154" s="152">
        <f>IF($MN154=0,"",IF($PD154+$PF154=0,"Dentro das regras que a ficha confere",$PC154&amp;IF(AND($PD154&gt;0,$PF154&gt;0)," · ","")&amp;$PE154))</f>
        <v/>
      </c>
      <c r="PI154" s="152">
        <f>IF($MA154&gt;$MO154,$MB154&amp;" · ABRE NO NÍVEL "&amp;$MA154,$MB154)</f>
        <v/>
      </c>
      <c r="PJ154" s="152">
        <f>IF($MN154=0,"",IF($MC154=0,"Sem PE",3*$MC154&amp;" PE"))</f>
        <v/>
      </c>
      <c r="PK154" s="152">
        <f>IF($MN154=0,"",IF($MC154=0,"A atuação básica dela",IF(COUNTIF($NT154:$NU154,"Atrasar")&gt;0,"Sua Ação Completa",IF(COUNTIF($MH154:$MK154,"Rápido")&gt;0,"Sua Bônus",IF(COUNTIF($MH154:$MK154,"Reação")&gt;0,"Sua Reação","Sua Padrão")))&amp;" + a básica dela"&amp;IF(COUNTIF($MH154:$MK154,"Reação")&gt;0," e a coletiva","")&amp;IF(COUNTIF($NT154:$NU154,"Carregar")&gt;0," · em dois turnos","")))</f>
        <v/>
      </c>
      <c r="PL154" s="152">
        <f>IF($MG154&lt;&gt;"",$MG154,IF($MT154=0,"",INDEX($AA$2:$AA$11,$MT154)))</f>
        <v/>
      </c>
      <c r="PM154" s="152">
        <f>IF(OR($MN154=0,$MT154=0),"",IF(COUNTIF($MH154:$MK154,"Inescapável")&gt;0,"Automático",IF($PL154="Ataque",IF($MR154="","Ataque","Ataque "&amp;IF(($MR154+2*IF(COUNTIF($MH154:$MK154,"Precisão")&gt;0,1,0))&gt;=0,"+","−")&amp;ABS(($MR154+2*IF(COUNTIF($MH154:$MK154,"Precisão")&gt;0,1,0)))),IF(LEFT($PL154,2)="TR",$PL154&amp;IF($MS154="",""," · CD "&amp;$MS154)&amp;IF(COUNTIF($MH154:$MK154,"Certeiro")&gt;0," · metade",""),"Sem rolagem"))))</f>
        <v/>
      </c>
      <c r="PN154" s="152">
        <f>IF(OR($MN154=0,$MT154=0),"",IF($MC154=0,IF(OR($NP154&gt;=1,$OM154=0),"Sem dano",$OM154&amp;"d6"&amp;IF($MF154="",""," "&amp;$MF154)),IF(OR($NP154&gt;=1,$OM154=0),UPPER(LEFT(INDEX($OV154:$PB154,1,MAX(1,$MC154)),1))&amp;MID(INDEX($OV154:$PB154,1,MAX(1,$MC154)),2,99),UPPER(LEFT(INDEX($OV154:$PB154,1,MAX(1,$MC154)),1))&amp;MID(INDEX($OV154:$PB154,1,MAX(1,$MC154)),2,99)&amp;IF($MF154="",""," "&amp;$MF154)&amp;IF($ON154&gt;0," · +"&amp;$ON154&amp;"d8",""))))</f>
        <v/>
      </c>
      <c r="PO154" s="152">
        <f>COUNTIF($MH154:$MK154,"Longe")+3*COUNTIF($MH154:$MK154,"Muito Longe")</f>
        <v/>
      </c>
      <c r="PP154" s="152">
        <f>COUNTIF($MH154:$MK154,"Maior")+3*COUNTIF($MH154:$MK154,"Muito Maior")</f>
        <v/>
      </c>
      <c r="PQ154" s="152">
        <f>IF($MT154=0,0,CHOOSE(1+INDEX($AC$2:$AC$11,$MT154),0,$PO154,$PP154,$PO154+$PP154))</f>
        <v/>
      </c>
      <c r="PR154" s="152">
        <f>IF($MT154=0,0,CHOOSE(1+INDEX($AD$2:$AD$11,$MT154),0,$PO154,$PP154,$PO154+$PP154))</f>
        <v/>
      </c>
      <c r="PS154" s="152">
        <f>IF(OR($MN154=0,$MT154=0),"",INDEX($AI$2:$AN$41,($MT154-1)*4+IF($MC154=0,1,IF($MC154&lt;=5,2,IF($MC154=6,3,4))),1+MIN(5,$PQ154))&amp;INDEX($AO$2:$AT$41,($MT154-1)*4+IF($MC154=0,1,IF($MC154&lt;=5,2,IF($MC154=6,3,4))),1+MIN(5,$PR154))&amp;IF(INDEX($AE$2:$AE$11,$MT154)=1,IF(COUNTIF($MH154:$MK154,"Mais Um")&gt;0," · +"&amp;COUNTIF($MH154:$MK154,"Mais Um")&amp;IF(COUNTIF($MH154:$MK154,"Mais Um")&gt;1," alvos"," alvo"),"")&amp;IF(COUNTIF($MH154:$MK154,"Rajada")&gt;0,IF($MC154=0," · 1 tiro"," · "&amp;(MAX(1,$MC154-1)+1)&amp;" tiros"),""),""))</f>
        <v/>
      </c>
      <c r="PT154" s="152">
        <f>IF($MN154=0,"",IF($MC154=0,$MQ154&amp;"d6"&amp;IF($OD154&gt;0," − 1 = "&amp;$OM154&amp;"d6"," da básica do nível "&amp;$MO154),$OK154&amp;" − "&amp;$OF154&amp;" + "&amp;$OI154&amp;" = "&amp;$OL154&amp;" · teto "&amp;4*$MC154&amp;"d8"&amp;IF($NO154=1," · a Forma devolve "&amp;$MC154,"")&amp;IF($OJ154&gt;0," · perde "&amp;$OJ154,"")))</f>
        <v/>
      </c>
      <c r="PU154" s="152">
        <f>IF($MN154=0,"",IF($MC154=0,"A básica não amplia: os dados dela sobem com o nível",IF($MC154&gt;=$MP154,"Já está na maior Classe que o nível liberou",TEXTJOIN(" · ",TRUE,IF(AND(2&gt;$MC154,2&lt;=$MP154),"2 → "&amp;$OW154&amp;", 6 PE",""),IF(AND(3&gt;$MC154,3&lt;=$MP154),"3 → "&amp;$OX154&amp;", 9 PE",""),IF(AND(4&gt;$MC154,4&lt;=$MP154),"4 → "&amp;$OY154&amp;", 12 PE",""),IF(AND(5&gt;$MC154,5&lt;=$MP154),"5 → "&amp;$OZ154&amp;", 15 PE",""),IF(AND(6&gt;$MC154,6&lt;=$MP154),"6 → "&amp;$PA154&amp;", 18 PE",""),IF(AND(7&gt;$MC154,7&lt;=$MP154),"7 → "&amp;$PB154&amp;", 21 PE","")))))</f>
        <v/>
      </c>
      <c r="PV154" s="152">
        <f>IF(OR($MN154=0,$MY154=0),"",IF($MC154=0,"−1 dado","−"&amp;INDEX($I$2:$N$8,MAX(1,$MC154),MAX(1,$ND154))&amp;" · "&amp;CHOOSE(MAX(1,$ND154),"Leve","Média","Pesada","Leve · Livre","Média · Livre","Pesada · Livre")))</f>
        <v/>
      </c>
      <c r="PW154" s="152">
        <f>IF(OR($MN154=0,$MZ154=0),"",IF($MC154=0,"−1 dado","−"&amp;INDEX($I$2:$N$8,MAX(1,$MC154),MAX(1,$NE154))&amp;" · "&amp;CHOOSE(MAX(1,$NE154),"Leve","Média","Pesada","Leve · Livre","Média · Livre","Pesada · Livre")))</f>
        <v/>
      </c>
      <c r="PX154" s="152">
        <f>IF(OR($MN154=0,$NA154=0),"",IF($MC154=0,"−1 dado","−"&amp;INDEX($I$2:$N$8,MAX(1,$MC154),MAX(1,$NF154))&amp;" · "&amp;CHOOSE(MAX(1,$NF154),"Leve","Média","Pesada","Leve · Livre","Média · Livre","Pesada · Livre")))</f>
        <v/>
      </c>
      <c r="PY154" s="152">
        <f>IF(OR($MN154=0,$NB154=0),"",IF($MC154=0,"−1 dado","−"&amp;INDEX($I$2:$N$8,MAX(1,$MC154),MAX(1,$NG154))&amp;" · "&amp;CHOOSE(MAX(1,$NG154),"Leve","Média","Pesada","Leve · Livre","Média · Livre","Pesada · Livre")))</f>
        <v/>
      </c>
      <c r="PZ154" s="152">
        <f>IF(OR($MN154=0,$ML154=""),"",IF($MC154=0,"não devolve","+"&amp;IF($NR154=1,CEILING($MC154/2,1),$MC154)))</f>
        <v/>
      </c>
      <c r="QA154" s="152">
        <f>IF(OR($MN154=0,$MM154=""),"",IF($MC154=0,"não devolve","+"&amp;IF($NS154=1,CEILING($MC154/2,1),$MC154)))</f>
        <v/>
      </c>
    </row>
    <row r="155">
      <c r="LX155" s="150" t="inlineStr">
        <is>
          <t>Ficha 12 · Escolha da trilha 1</t>
        </is>
      </c>
      <c r="LY155" s="152" t="n">
        <v>12</v>
      </c>
      <c r="LZ155" s="152" t="n">
        <v>2</v>
      </c>
      <c r="MA155" s="152" t="n">
        <v>0</v>
      </c>
      <c r="MB155" s="150" t="inlineStr">
        <is>
          <t>ESCOLHA DA TRILHA 1</t>
        </is>
      </c>
      <c r="MC155" s="152">
        <f>MAX(0,MIN(7,N('INVOCAÇÕES'!$AB$1150)))</f>
        <v/>
      </c>
      <c r="MD155" s="152">
        <f>'INVOCAÇÕES'!$AC$1150&amp;""</f>
        <v/>
      </c>
      <c r="ME155" s="152">
        <f>'INVOCAÇÕES'!$AB$1155&amp;""</f>
        <v/>
      </c>
      <c r="MF155" s="152">
        <f>'INVOCAÇÕES'!$AB$1156&amp;""</f>
        <v/>
      </c>
      <c r="MG155" s="152">
        <f>'INVOCAÇÕES'!$AD$1156&amp;""</f>
        <v/>
      </c>
      <c r="MH155" s="152">
        <f>'INVOCAÇÕES'!$AC$1159&amp;""</f>
        <v/>
      </c>
      <c r="MI155" s="152">
        <f>'INVOCAÇÕES'!$AC$1160&amp;""</f>
        <v/>
      </c>
      <c r="MJ155" s="152">
        <f>'INVOCAÇÕES'!$AC$1161&amp;""</f>
        <v/>
      </c>
      <c r="MK155" s="152">
        <f>'INVOCAÇÕES'!$AC$1162&amp;""</f>
        <v/>
      </c>
      <c r="ML155" s="152">
        <f>'INVOCAÇÕES'!$AC$1163&amp;""</f>
        <v/>
      </c>
      <c r="MM155" s="152">
        <f>'INVOCAÇÕES'!$AC$1164&amp;""</f>
        <v/>
      </c>
      <c r="MN155" s="152">
        <f>IF($MD155&lt;&gt;"",1,0)</f>
        <v/>
      </c>
      <c r="MO155" s="152">
        <f>INDEX($FG$2:$FG$13,$LY155)</f>
        <v/>
      </c>
      <c r="MP155" s="152">
        <f>INDEX($FH$2:$FH$13,$LY155)</f>
        <v/>
      </c>
      <c r="MQ155" s="152">
        <f>INDEX($FI$2:$FI$13,$LY155)</f>
        <v/>
      </c>
      <c r="MR155" s="152">
        <f>INDEX($FT$2:$FT$13,$LY155)</f>
        <v/>
      </c>
      <c r="MS155" s="152">
        <f>INDEX($FU$2:$FU$13,$LY155)</f>
        <v/>
      </c>
      <c r="MT155" s="152">
        <f>IFERROR(MATCH($ME155,$V$2:$V$11,0),0)</f>
        <v/>
      </c>
      <c r="MU155" s="152">
        <f>IFERROR(VLOOKUP($MH155,$AV$2:$AZ$84,2,FALSE),"")</f>
        <v/>
      </c>
      <c r="MV155" s="152">
        <f>IFERROR(VLOOKUP($MI155,$AV$2:$AZ$84,2,FALSE),"")</f>
        <v/>
      </c>
      <c r="MW155" s="152">
        <f>IFERROR(VLOOKUP($MJ155,$AV$2:$AZ$84,2,FALSE),"")</f>
        <v/>
      </c>
      <c r="MX155" s="152">
        <f>IFERROR(VLOOKUP($MK155,$AV$2:$AZ$84,2,FALSE),"")</f>
        <v/>
      </c>
      <c r="MY155" s="152">
        <f>IFERROR(VLOOKUP($MH155,$AV$2:$AZ$84,3,FALSE),0)</f>
        <v/>
      </c>
      <c r="MZ155" s="152">
        <f>IFERROR(VLOOKUP($MI155,$AV$2:$AZ$84,3,FALSE),0)</f>
        <v/>
      </c>
      <c r="NA155" s="152">
        <f>IFERROR(VLOOKUP($MJ155,$AV$2:$AZ$84,3,FALSE),0)</f>
        <v/>
      </c>
      <c r="NB155" s="152">
        <f>IFERROR(VLOOKUP($MK155,$AV$2:$AZ$84,3,FALSE),0)</f>
        <v/>
      </c>
      <c r="NC155" s="152">
        <f>IF($MC155=0,0,IF($MT155=0,0,INDEX($X$2:$X$11,$MT155)))</f>
        <v/>
      </c>
      <c r="ND155" s="152">
        <f>IF(OR($MY155=0,$MC155=0),0,$MY155+3*IF(AND($MU155&lt;&gt;"",OR($MU155=INDEX($ED$2:$ED$13,$LY155),$MU155=INDEX($EE$2:$EE$13,$LY155))),1,0))</f>
        <v/>
      </c>
      <c r="NE155" s="152">
        <f>IF(OR($MZ155=0,$MC155=0),0,$MZ155+3*IF(AND($MV155&lt;&gt;"",OR($MV155=INDEX($ED$2:$ED$13,$LY155),$MV155=INDEX($EE$2:$EE$13,$LY155))),1,0))</f>
        <v/>
      </c>
      <c r="NF155" s="152">
        <f>IF(OR($NA155=0,$MC155=0),0,$NA155+3*IF(AND($MW155&lt;&gt;"",OR($MW155=INDEX($ED$2:$ED$13,$LY155),$MW155=INDEX($EE$2:$EE$13,$LY155))),1,0))</f>
        <v/>
      </c>
      <c r="NG155" s="152">
        <f>IF(OR($NB155=0,$MC155=0),0,$NB155+3*IF(AND($MX155&lt;&gt;"",OR($MX155=INDEX($ED$2:$ED$13,$LY155),$MX155=INDEX($EE$2:$EE$13,$LY155))),1,0))</f>
        <v/>
      </c>
      <c r="NH155" s="152">
        <f>IF($MT155=0,0,IF(INDEX($W$2:$W$11,$MT155)="",0,IF(COUNTIF(INDEX($ED$2:$EH$13,$LY155,0),INDEX($W$2:$W$11,$MT155))=0,1,0)))</f>
        <v/>
      </c>
      <c r="NI155" s="152">
        <f>IF(OR($MY155=0,$MU155=""),0,IF(COUNTIF(INDEX($ED$2:$EH$13,$LY155,0),$MU155)=0,1,0))</f>
        <v/>
      </c>
      <c r="NJ155" s="152">
        <f>IF(OR($MZ155=0,$MV155=""),0,IF(COUNTIF(INDEX($ED$2:$EH$13,$LY155,0),$MV155)=0,1,0))</f>
        <v/>
      </c>
      <c r="NK155" s="152">
        <f>IF(OR($NA155=0,$MW155=""),0,IF(COUNTIF(INDEX($ED$2:$EH$13,$LY155,0),$MW155)=0,1,0))</f>
        <v/>
      </c>
      <c r="NL155" s="152">
        <f>IF(OR($NB155=0,$MX155=""),0,IF(COUNTIF(INDEX($ED$2:$EH$13,$LY155,0),$MX155)=0,1,0))</f>
        <v/>
      </c>
      <c r="NM155" s="152">
        <f>IFERROR(VLOOKUP($MH155,$AV$2:$AZ$84,4,FALSE),0)+IFERROR(VLOOKUP($MI155,$AV$2:$AZ$84,4,FALSE),0)+IFERROR(VLOOKUP($MJ155,$AV$2:$AZ$84,4,FALSE),0)+IFERROR(VLOOKUP($MK155,$AV$2:$AZ$84,4,FALSE),0)</f>
        <v/>
      </c>
      <c r="NN155" s="152">
        <f>TEXTJOIN(", ",TRUE,IF(IFERROR(VLOOKUP($MH155,$AV$2:$AZ$84,5,FALSE),0)=1,$MH155,""),IF(IFERROR(VLOOKUP($MI155,$AV$2:$AZ$84,5,FALSE),0)=1,$MI155,""),IF(IFERROR(VLOOKUP($MJ155,$AV$2:$AZ$84,5,FALSE),0)=1,$MJ155,""),IF(IFERROR(VLOOKUP($MK155,$AV$2:$AZ$84,5,FALSE),0)=1,$MK155,""))</f>
        <v/>
      </c>
      <c r="NO155" s="152">
        <f>IF($MT155=0,0,INDEX($Y$2:$Y$11,$MT155))</f>
        <v/>
      </c>
      <c r="NP155" s="152">
        <f>IF($MT155=0,0,INDEX($Z$2:$Z$11,$MT155))</f>
        <v/>
      </c>
      <c r="NQ155" s="152">
        <f>IF($MT155=0,0,INDEX($AB$2:$AB$11,$MT155))</f>
        <v/>
      </c>
      <c r="NR155" s="152">
        <f>IFERROR(VLOOKUP($ML155,$BB$2:$BF$24,3,FALSE),0)</f>
        <v/>
      </c>
      <c r="NS155" s="152">
        <f>IFERROR(VLOOKUP($MM155,$BB$2:$BF$24,3,FALSE),0)</f>
        <v/>
      </c>
      <c r="NT155" s="152">
        <f>IFERROR(VLOOKUP($ML155,$BB$2:$BF$24,2,FALSE),"")</f>
        <v/>
      </c>
      <c r="NU155" s="152">
        <f>IFERROR(VLOOKUP($MM155,$BB$2:$BF$24,2,FALSE),"")</f>
        <v/>
      </c>
      <c r="NV155" s="152">
        <f>COUNTIF($NC155:$NG155,1)</f>
        <v/>
      </c>
      <c r="NW155" s="152">
        <f>COUNTIF($NC155:$NG155,2)</f>
        <v/>
      </c>
      <c r="NX155" s="152">
        <f>COUNTIF($NC155:$NG155,3)</f>
        <v/>
      </c>
      <c r="NY155" s="152">
        <f>COUNTIF($NC155:$NG155,4)</f>
        <v/>
      </c>
      <c r="NZ155" s="152">
        <f>COUNTIF($NC155:$NG155,5)</f>
        <v/>
      </c>
      <c r="OA155" s="152">
        <f>COUNTIF($NC155:$NG155,6)</f>
        <v/>
      </c>
      <c r="OB155" s="152">
        <f>COUNTIF($NR155:$NS155,1)</f>
        <v/>
      </c>
      <c r="OC155" s="152">
        <f>COUNTIF($NR155:$NS155,2)+$NO155</f>
        <v/>
      </c>
      <c r="OD155" s="152">
        <f>COUNTIF($MH155:$MK155,"?*")</f>
        <v/>
      </c>
      <c r="OE155" s="152">
        <f>COUNTIF($ML155:$MM155,"?*")+$NO155</f>
        <v/>
      </c>
      <c r="OF155" s="152">
        <f>IF($MC155=0,0,SUMPRODUCT($NV155:$OA155,INDEX($I$2:$N$8,MAX(1,$MC155),0)))</f>
        <v/>
      </c>
      <c r="OG155" s="152">
        <f>IF($MC155=0,0,$OB155*CEILING($MC155/2,1)+$OC155*$MC155)</f>
        <v/>
      </c>
      <c r="OH155" s="152">
        <f>MIN(2*$MC155,$OG155)</f>
        <v/>
      </c>
      <c r="OI155" s="152">
        <f>MIN($OH155,$OF155)</f>
        <v/>
      </c>
      <c r="OJ155" s="152">
        <f>$OH155-$OI155</f>
        <v/>
      </c>
      <c r="OK155" s="152">
        <f>IF($MC155=0,0,INDEX($P$2:$P$8,MAX(1,$MC155)))</f>
        <v/>
      </c>
      <c r="OL155" s="152">
        <f>$OK155-$OF155+$OI155</f>
        <v/>
      </c>
      <c r="OM155" s="152">
        <f>IF($MC155=0,MAX(0,$MQ155-IF($OD155&gt;0,1,0)),MAX(0,$OL155))</f>
        <v/>
      </c>
      <c r="ON155" s="152">
        <f>IF($MC155=0,0,(IF(COUNTIF($MH155:$MK155,"Salto")&gt;0,1,0)+IF(COUNTIF($MH155:$MK155,"Queima")&gt;0,1,0)+IF(COUNTIF($MH155:$MK155,"Estilhaço")&gt;0,1,0))*FLOOR($OM155/2,1))</f>
        <v/>
      </c>
      <c r="OO155" s="152">
        <f>MAX(0,2-SUMPRODUCT($NV155:$OA155,$I$2:$N$2)+MIN(2,$OB155*1+$OC155*1,SUMPRODUCT($NV155:$OA155,$I$2:$N$2)))</f>
        <v/>
      </c>
      <c r="OP155" s="152">
        <f>MAX(0,4-SUMPRODUCT($NV155:$OA155,$I$3:$N$3)+MIN(4,$OB155*1+$OC155*2,SUMPRODUCT($NV155:$OA155,$I$3:$N$3)))</f>
        <v/>
      </c>
      <c r="OQ155" s="152">
        <f>MAX(0,6-SUMPRODUCT($NV155:$OA155,$I$4:$N$4)+MIN(6,$OB155*2+$OC155*3,SUMPRODUCT($NV155:$OA155,$I$4:$N$4)))</f>
        <v/>
      </c>
      <c r="OR155" s="152">
        <f>MAX(0,9-SUMPRODUCT($NV155:$OA155,$I$5:$N$5)+MIN(8,$OB155*2+$OC155*4,SUMPRODUCT($NV155:$OA155,$I$5:$N$5)))</f>
        <v/>
      </c>
      <c r="OS155" s="152">
        <f>MAX(0,11-SUMPRODUCT($NV155:$OA155,$I$6:$N$6)+MIN(10,$OB155*3+$OC155*5,SUMPRODUCT($NV155:$OA155,$I$6:$N$6)))</f>
        <v/>
      </c>
      <c r="OT155" s="152">
        <f>MAX(0,13-SUMPRODUCT($NV155:$OA155,$I$7:$N$7)+MIN(12,$OB155*3+$OC155*6,SUMPRODUCT($NV155:$OA155,$I$7:$N$7)))</f>
        <v/>
      </c>
      <c r="OU155" s="152">
        <f>MAX(0,16-SUMPRODUCT($NV155:$OA155,$I$8:$N$8)+MIN(14,$OB155*4+$OC155*7,SUMPRODUCT($NV155:$OA155,$I$8:$N$8)))</f>
        <v/>
      </c>
      <c r="OV155" s="152">
        <f>IF($NP155=2,3*$OO155&amp;" de vida temp.",IF($NP155=3,"sem dano",IF($OO155=0,IF($NP155=1,"sem cura","sem dano"),IF($NP155=1,"cura ","")&amp;$OO155&amp;"d8")))</f>
        <v/>
      </c>
      <c r="OW155" s="152">
        <f>IF($NP155=2,3*$OP155&amp;" de vida temp.",IF($NP155=3,"sem dano",IF($OP155=0,IF($NP155=1,"sem cura","sem dano"),IF($NP155=1,"cura ","")&amp;$OP155&amp;"d8")))</f>
        <v/>
      </c>
      <c r="OX155" s="152">
        <f>IF($NP155=2,3*$OQ155&amp;" de vida temp.",IF($NP155=3,"sem dano",IF($OQ155=0,IF($NP155=1,"sem cura","sem dano"),IF($NP155=1,"cura ","")&amp;$OQ155&amp;"d8")))</f>
        <v/>
      </c>
      <c r="OY155" s="152">
        <f>IF($NP155=2,3*$OR155&amp;" de vida temp.",IF($NP155=3,"sem dano",IF($OR155=0,IF($NP155=1,"sem cura","sem dano"),IF($NP155=1,"cura ","")&amp;$OR155&amp;"d8")))</f>
        <v/>
      </c>
      <c r="OZ155" s="152">
        <f>IF($NP155=2,3*$OS155&amp;" de vida temp.",IF($NP155=3,"sem dano",IF($OS155=0,IF($NP155=1,"sem cura","sem dano"),IF($NP155=1,"cura ","")&amp;$OS155&amp;"d8")))</f>
        <v/>
      </c>
      <c r="PA155" s="152">
        <f>IF($NP155=2,3*$OT155&amp;" de vida temp.",IF($NP155=3,"sem dano",IF($OT155=0,IF($NP155=1,"sem cura","sem dano"),IF($NP155=1,"cura ","")&amp;$OT155&amp;"d8")))</f>
        <v/>
      </c>
      <c r="PB155" s="152">
        <f>IF($NP155=2,3*$OU155&amp;" de vida temp.",IF($NP155=3,"sem dano",IF($OU155=0,IF($NP155=1,"sem cura","sem dano"),IF($NP155=1,"cura ","")&amp;$OU155&amp;"d8")))</f>
        <v/>
      </c>
      <c r="PC155" s="152">
        <f>IF($MN155=0,"",TEXTJOIN(" · ",TRUE,IF($MA155&gt;$MO155,"Este lugar abre no nível "&amp;$MA155,""),IF($MC155&gt;$MP155,"Classe "&amp;$MC155&amp;": o nível "&amp;$MO155&amp;" libera até a "&amp;$MP155,""),IF($NH155=1,"A Forma "&amp;$ME155&amp;" pede "&amp;INDEX($W$2:$W$11,$MT155)&amp;" aberta",""),IF(AND($MC155=0,$MT155&gt;0,IF($MT155=0,0,INDEX($AF$2:$AF$11,$MT155))=0),$ME155&amp;" não existe na Classe 0",""),IF($NI155=1,"Família Fechada: "&amp;$MH155,""),IF($NJ155=1,"Família Fechada: "&amp;$MI155,""),IF($NK155=1,"Família Fechada: "&amp;$MJ155,""),IF($NL155=1,"Família Fechada: "&amp;$MK155,""),IF(AND($MC155&gt;0,$OD155&gt;INDEX($O$2:$O$8,MAX(1,$MC155))),$OD155&amp;" Melhorias: a Classe "&amp;$MC155&amp;" aceita "&amp;INDEX($O$2:$O$8,MAX(1,$MC155)),""),IF(AND($MC155=0,$OD155&gt;1),"A básica aceita uma Melhoria",""),IF(AND($MC155=0,COUNTIF($MY155:$NB155,"&gt;1")&gt;0),"A básica só aceita Melhoria Leve",""),IF(AND($MC155&gt;0,$OE155&gt;2),$OE155&amp;" Restrições"&amp;IF($NO155=1,", contando a que a Forma "&amp;$ME155&amp;" já traz","")&amp;": o limite é 2",""),IF(AND($MC155=0,COUNTIF($ML155:$MM155,"?*")&gt;1),"A básica aceita uma Restrição Leve",""),IF(AND($MC155=0,COUNTIF($NR155:$NS155,2)&gt;0),"A básica só aceita Restrição Leve",""),IF(AND($MC155&gt;0,$OL155&lt;0),"Orçamento estourado: faltam "&amp;(-$OL155)&amp;IF($OL155&lt;-1," pontos"," ponto"),""),IF(IFERROR(VLOOKUP($ML155,$BB$2:$BF$24,4,FALSE),0)+IFERROR(VLOOKUP($MM155,$BB$2:$BF$24,4,FALSE),0)&gt;1,$NT155&amp;" e "&amp;$NU155&amp;" são as duas de frequência",""),IF(AND((COUNTIF($MH155:$MK155,"Rápido")+COUNTIF($NT155:$NU155,"Rápido"))&gt;0,(COUNTIF($MH155:$MK155,"Atrasar")+COUNTIF($NT155:$NU155,"Atrasar"))&gt;0),"Rápido não entra com Atrasar",""),IF(AND((COUNTIF($MH155:$MK155,"Reação")+COUNTIF($NT155:$NU155,"Reação"))&gt;0,(COUNTIF($MH155:$MK155,"Rápido")+COUNTIF($NT155:$NU155,"Rápido"))&gt;0),"Reação não entra com Rápido",""),IF(AND((COUNTIF($MH155:$MK155,"Reação")+COUNTIF($NT155:$NU155,"Reação"))&gt;0,(COUNTIF($MH155:$MK155,"Armado")+COUNTIF($NT155:$NU155,"Armado"))&gt;0),"Reação não entra com Armado",""),IF(AND((COUNTIF($MH155:$MK155,"Reação")+COUNTIF($NT155:$NU155,"Reação"))&gt;0,(COUNTIF($MH155:$MK155,"Atrasar")+COUNTIF($NT155:$NU155,"Atrasar"))&gt;0),"Reação não entra com Atrasar",""),IF(AND((COUNTIF($MH155:$MK155,"Reação")+COUNTIF($NT155:$NU155,"Reação"))&gt;0,(COUNTIF($MH155:$MK155,"Parado")+COUNTIF($NT155:$NU155,"Parado"))&gt;0),"Reação não entra com Parado",""),IF(AND((COUNTIF($MH155:$MK155,"Atrasar")+COUNTIF($NT155:$NU155,"Atrasar"))&gt;0,(COUNTIF($MH155:$MK155,"Parado")+COUNTIF($NT155:$NU155,"Parado"))&gt;0),"Atrasar não entra com Parado",""),IF(AND((COUNTIF($MH155:$MK155,"Armado")+COUNTIF($NT155:$NU155,"Armado"))&gt;0,(COUNTIF($MH155:$MK155,"Carregar")+COUNTIF($NT155:$NU155,"Carregar"))&gt;0),"Armado não entra com Carregar",""),IF(AND(COUNTIF($NT155:$NU155,"Corpo a Corpo")&gt;0,$NO155=0,OR($ME155="Cone",$ME155="Linha")),"Corpo a Corpo não entra em "&amp;$ME155,""),IF(AND(COUNTIF($NT155:$NU155,"Corpo a Corpo")&gt;0,$NO155=1),"A Forma "&amp;$ME155&amp;" já traz o Corpo a Corpo",""),IF(AND(COUNTIF($NT155:$NU155,"Tudo ou Nada")&gt;0,$NQ155=0),"Tudo ou Nada só entra em habilidade de Teste de Resistência",""),IF(AND(COUNTIF($MH155:$MK155,"Inescapável")&gt;0,OR($OD155&gt;1,$OE155&gt;0)),"Inescapável não aceita outra peça",""),IF(AND($MC155&gt;0,$OM155*IF(COUNTIF($MH155:$MK155,"Remate")&gt;0,1.25,1)+$ON155&gt;4*$MC155),($OM155*IF(COUNTIF($MH155:$MK155,"Remate")&gt;0,1.25,1)+$ON155)&amp;" dados somando repetições"&amp;IF(COUNTIF($MH155:$MK155,"Remate")&gt;0," e o Remate","")&amp;": o teto da Classe "&amp;$MC155&amp;" é "&amp;4*$MC155,"")))</f>
        <v/>
      </c>
      <c r="PD155" s="152">
        <f>IF($PC155="",0,(LEN($PC155)-LEN(SUBSTITUTE($PC155," · ","")))/3+1)</f>
        <v/>
      </c>
      <c r="PE155" s="152">
        <f>IF($MN155=0,"",TEXTJOIN(" · ",TRUE,IF($OG155&gt;2*$MC155,"A devolução parou no teto de "&amp;2*$MC155,""),IF($OJ155&gt;0,"Devolução perdida: "&amp;$OJ155&amp;IF($OJ155&gt;1," pontos"," ponto")&amp;" sem peça para pagar",""),IF(AND($NM155&gt;0,AND($MC155&gt;0,$NP155=0),$OM155=0),"Controle sem dano: uma rodada a mais e CD +2",""),IF(AND($NM155&gt;0,AND($MC155&gt;0,$NP155=0),$OM155&gt;0,$OM155&lt;=$MC155),"Controle com saldo até a Classe: uma rodada a mais",""),IF(AND($MC155&gt;0,$NN155&lt;&gt;""),"Efeito de "&amp;$NN155&amp;" pela Classe "&amp;MAX(1,$MC155-1),"")))</f>
        <v/>
      </c>
      <c r="PF155" s="152">
        <f>IF($PE155="",0,(LEN($PE155)-LEN(SUBSTITUTE($PE155," · ","")))/3+1)</f>
        <v/>
      </c>
      <c r="PG155" s="152">
        <f>IF($MN155=0,IF($OD155+COUNTIF($ML155:$MM155,"?*")&gt;0,"Dê um nome",""),IF($PD155&gt;0,"⚠ "&amp;$PD155&amp;IF($PD155&gt;1," erros"," erro"),IF($PF155&gt;0,"! "&amp;$PF155&amp;IF($PF155&gt;1," avisos"," aviso"),"Na regra")))</f>
        <v/>
      </c>
      <c r="PH155" s="152">
        <f>IF($MN155=0,"",IF($PD155+$PF155=0,"Dentro das regras que a ficha confere",$PC155&amp;IF(AND($PD155&gt;0,$PF155&gt;0)," · ","")&amp;$PE155))</f>
        <v/>
      </c>
      <c r="PI155" s="152">
        <f>IF($MA155&gt;$MO155,$MB155&amp;" · ABRE NO NÍVEL "&amp;$MA155,$MB155)</f>
        <v/>
      </c>
      <c r="PJ155" s="152">
        <f>IF($MN155=0,"",IF($MC155=0,"Sem PE",3*$MC155&amp;" PE"))</f>
        <v/>
      </c>
      <c r="PK155" s="152">
        <f>IF($MN155=0,"",IF($MC155=0,"A atuação básica dela",IF(COUNTIF($NT155:$NU155,"Atrasar")&gt;0,"Sua Ação Completa",IF(COUNTIF($MH155:$MK155,"Rápido")&gt;0,"Sua Bônus",IF(COUNTIF($MH155:$MK155,"Reação")&gt;0,"Sua Reação","Sua Padrão")))&amp;" + a básica dela"&amp;IF(COUNTIF($MH155:$MK155,"Reação")&gt;0," e a coletiva","")&amp;IF(COUNTIF($NT155:$NU155,"Carregar")&gt;0," · em dois turnos","")))</f>
        <v/>
      </c>
      <c r="PL155" s="152">
        <f>IF($MG155&lt;&gt;"",$MG155,IF($MT155=0,"",INDEX($AA$2:$AA$11,$MT155)))</f>
        <v/>
      </c>
      <c r="PM155" s="152">
        <f>IF(OR($MN155=0,$MT155=0),"",IF(COUNTIF($MH155:$MK155,"Inescapável")&gt;0,"Automático",IF($PL155="Ataque",IF($MR155="","Ataque","Ataque "&amp;IF(($MR155+2*IF(COUNTIF($MH155:$MK155,"Precisão")&gt;0,1,0))&gt;=0,"+","−")&amp;ABS(($MR155+2*IF(COUNTIF($MH155:$MK155,"Precisão")&gt;0,1,0)))),IF(LEFT($PL155,2)="TR",$PL155&amp;IF($MS155="",""," · CD "&amp;$MS155)&amp;IF(COUNTIF($MH155:$MK155,"Certeiro")&gt;0," · metade",""),"Sem rolagem"))))</f>
        <v/>
      </c>
      <c r="PN155" s="152">
        <f>IF(OR($MN155=0,$MT155=0),"",IF($MC155=0,IF(OR($NP155&gt;=1,$OM155=0),"Sem dano",$OM155&amp;"d6"&amp;IF($MF155="",""," "&amp;$MF155)),IF(OR($NP155&gt;=1,$OM155=0),UPPER(LEFT(INDEX($OV155:$PB155,1,MAX(1,$MC155)),1))&amp;MID(INDEX($OV155:$PB155,1,MAX(1,$MC155)),2,99),UPPER(LEFT(INDEX($OV155:$PB155,1,MAX(1,$MC155)),1))&amp;MID(INDEX($OV155:$PB155,1,MAX(1,$MC155)),2,99)&amp;IF($MF155="",""," "&amp;$MF155)&amp;IF($ON155&gt;0," · +"&amp;$ON155&amp;"d8",""))))</f>
        <v/>
      </c>
      <c r="PO155" s="152">
        <f>COUNTIF($MH155:$MK155,"Longe")+3*COUNTIF($MH155:$MK155,"Muito Longe")</f>
        <v/>
      </c>
      <c r="PP155" s="152">
        <f>COUNTIF($MH155:$MK155,"Maior")+3*COUNTIF($MH155:$MK155,"Muito Maior")</f>
        <v/>
      </c>
      <c r="PQ155" s="152">
        <f>IF($MT155=0,0,CHOOSE(1+INDEX($AC$2:$AC$11,$MT155),0,$PO155,$PP155,$PO155+$PP155))</f>
        <v/>
      </c>
      <c r="PR155" s="152">
        <f>IF($MT155=0,0,CHOOSE(1+INDEX($AD$2:$AD$11,$MT155),0,$PO155,$PP155,$PO155+$PP155))</f>
        <v/>
      </c>
      <c r="PS155" s="152">
        <f>IF(OR($MN155=0,$MT155=0),"",INDEX($AI$2:$AN$41,($MT155-1)*4+IF($MC155=0,1,IF($MC155&lt;=5,2,IF($MC155=6,3,4))),1+MIN(5,$PQ155))&amp;INDEX($AO$2:$AT$41,($MT155-1)*4+IF($MC155=0,1,IF($MC155&lt;=5,2,IF($MC155=6,3,4))),1+MIN(5,$PR155))&amp;IF(INDEX($AE$2:$AE$11,$MT155)=1,IF(COUNTIF($MH155:$MK155,"Mais Um")&gt;0," · +"&amp;COUNTIF($MH155:$MK155,"Mais Um")&amp;IF(COUNTIF($MH155:$MK155,"Mais Um")&gt;1," alvos"," alvo"),"")&amp;IF(COUNTIF($MH155:$MK155,"Rajada")&gt;0,IF($MC155=0," · 1 tiro"," · "&amp;(MAX(1,$MC155-1)+1)&amp;" tiros"),""),""))</f>
        <v/>
      </c>
      <c r="PT155" s="152">
        <f>IF($MN155=0,"",IF($MC155=0,$MQ155&amp;"d6"&amp;IF($OD155&gt;0," − 1 = "&amp;$OM155&amp;"d6"," da básica do nível "&amp;$MO155),$OK155&amp;" − "&amp;$OF155&amp;" + "&amp;$OI155&amp;" = "&amp;$OL155&amp;" · teto "&amp;4*$MC155&amp;"d8"&amp;IF($NO155=1," · a Forma devolve "&amp;$MC155,"")&amp;IF($OJ155&gt;0," · perde "&amp;$OJ155,"")))</f>
        <v/>
      </c>
      <c r="PU155" s="152">
        <f>IF($MN155=0,"",IF($MC155=0,"A básica não amplia: os dados dela sobem com o nível",IF($MC155&gt;=$MP155,"Já está na maior Classe que o nível liberou",TEXTJOIN(" · ",TRUE,IF(AND(2&gt;$MC155,2&lt;=$MP155),"2 → "&amp;$OW155&amp;", 6 PE",""),IF(AND(3&gt;$MC155,3&lt;=$MP155),"3 → "&amp;$OX155&amp;", 9 PE",""),IF(AND(4&gt;$MC155,4&lt;=$MP155),"4 → "&amp;$OY155&amp;", 12 PE",""),IF(AND(5&gt;$MC155,5&lt;=$MP155),"5 → "&amp;$OZ155&amp;", 15 PE",""),IF(AND(6&gt;$MC155,6&lt;=$MP155),"6 → "&amp;$PA155&amp;", 18 PE",""),IF(AND(7&gt;$MC155,7&lt;=$MP155),"7 → "&amp;$PB155&amp;", 21 PE","")))))</f>
        <v/>
      </c>
      <c r="PV155" s="152">
        <f>IF(OR($MN155=0,$MY155=0),"",IF($MC155=0,"−1 dado","−"&amp;INDEX($I$2:$N$8,MAX(1,$MC155),MAX(1,$ND155))&amp;" · "&amp;CHOOSE(MAX(1,$ND155),"Leve","Média","Pesada","Leve · Livre","Média · Livre","Pesada · Livre")))</f>
        <v/>
      </c>
      <c r="PW155" s="152">
        <f>IF(OR($MN155=0,$MZ155=0),"",IF($MC155=0,"−1 dado","−"&amp;INDEX($I$2:$N$8,MAX(1,$MC155),MAX(1,$NE155))&amp;" · "&amp;CHOOSE(MAX(1,$NE155),"Leve","Média","Pesada","Leve · Livre","Média · Livre","Pesada · Livre")))</f>
        <v/>
      </c>
      <c r="PX155" s="152">
        <f>IF(OR($MN155=0,$NA155=0),"",IF($MC155=0,"−1 dado","−"&amp;INDEX($I$2:$N$8,MAX(1,$MC155),MAX(1,$NF155))&amp;" · "&amp;CHOOSE(MAX(1,$NF155),"Leve","Média","Pesada","Leve · Livre","Média · Livre","Pesada · Livre")))</f>
        <v/>
      </c>
      <c r="PY155" s="152">
        <f>IF(OR($MN155=0,$NB155=0),"",IF($MC155=0,"−1 dado","−"&amp;INDEX($I$2:$N$8,MAX(1,$MC155),MAX(1,$NG155))&amp;" · "&amp;CHOOSE(MAX(1,$NG155),"Leve","Média","Pesada","Leve · Livre","Média · Livre","Pesada · Livre")))</f>
        <v/>
      </c>
      <c r="PZ155" s="152">
        <f>IF(OR($MN155=0,$ML155=""),"",IF($MC155=0,"não devolve","+"&amp;IF($NR155=1,CEILING($MC155/2,1),$MC155)))</f>
        <v/>
      </c>
      <c r="QA155" s="152">
        <f>IF(OR($MN155=0,$MM155=""),"",IF($MC155=0,"não devolve","+"&amp;IF($NS155=1,CEILING($MC155/2,1),$MC155)))</f>
        <v/>
      </c>
    </row>
    <row r="156">
      <c r="LX156" s="150" t="inlineStr">
        <is>
          <t>Ficha 12 · Escolha da trilha 2</t>
        </is>
      </c>
      <c r="LY156" s="152" t="n">
        <v>12</v>
      </c>
      <c r="LZ156" s="152" t="n">
        <v>2</v>
      </c>
      <c r="MA156" s="152" t="n">
        <v>0</v>
      </c>
      <c r="MB156" s="150" t="inlineStr">
        <is>
          <t>ESCOLHA DA TRILHA 2</t>
        </is>
      </c>
      <c r="MC156" s="152">
        <f>MAX(0,MIN(7,N('INVOCAÇÕES'!$AH$1150)))</f>
        <v/>
      </c>
      <c r="MD156" s="152">
        <f>'INVOCAÇÕES'!$AI$1150&amp;""</f>
        <v/>
      </c>
      <c r="ME156" s="152">
        <f>'INVOCAÇÕES'!$AH$1155&amp;""</f>
        <v/>
      </c>
      <c r="MF156" s="152">
        <f>'INVOCAÇÕES'!$AH$1156&amp;""</f>
        <v/>
      </c>
      <c r="MG156" s="152">
        <f>'INVOCAÇÕES'!$AJ$1156&amp;""</f>
        <v/>
      </c>
      <c r="MH156" s="152">
        <f>'INVOCAÇÕES'!$AI$1159&amp;""</f>
        <v/>
      </c>
      <c r="MI156" s="152">
        <f>'INVOCAÇÕES'!$AI$1160&amp;""</f>
        <v/>
      </c>
      <c r="MJ156" s="152">
        <f>'INVOCAÇÕES'!$AI$1161&amp;""</f>
        <v/>
      </c>
      <c r="MK156" s="152">
        <f>'INVOCAÇÕES'!$AI$1162&amp;""</f>
        <v/>
      </c>
      <c r="ML156" s="152">
        <f>'INVOCAÇÕES'!$AI$1163&amp;""</f>
        <v/>
      </c>
      <c r="MM156" s="152">
        <f>'INVOCAÇÕES'!$AI$1164&amp;""</f>
        <v/>
      </c>
      <c r="MN156" s="152">
        <f>IF($MD156&lt;&gt;"",1,0)</f>
        <v/>
      </c>
      <c r="MO156" s="152">
        <f>INDEX($FG$2:$FG$13,$LY156)</f>
        <v/>
      </c>
      <c r="MP156" s="152">
        <f>INDEX($FH$2:$FH$13,$LY156)</f>
        <v/>
      </c>
      <c r="MQ156" s="152">
        <f>INDEX($FI$2:$FI$13,$LY156)</f>
        <v/>
      </c>
      <c r="MR156" s="152">
        <f>INDEX($FT$2:$FT$13,$LY156)</f>
        <v/>
      </c>
      <c r="MS156" s="152">
        <f>INDEX($FU$2:$FU$13,$LY156)</f>
        <v/>
      </c>
      <c r="MT156" s="152">
        <f>IFERROR(MATCH($ME156,$V$2:$V$11,0),0)</f>
        <v/>
      </c>
      <c r="MU156" s="152">
        <f>IFERROR(VLOOKUP($MH156,$AV$2:$AZ$84,2,FALSE),"")</f>
        <v/>
      </c>
      <c r="MV156" s="152">
        <f>IFERROR(VLOOKUP($MI156,$AV$2:$AZ$84,2,FALSE),"")</f>
        <v/>
      </c>
      <c r="MW156" s="152">
        <f>IFERROR(VLOOKUP($MJ156,$AV$2:$AZ$84,2,FALSE),"")</f>
        <v/>
      </c>
      <c r="MX156" s="152">
        <f>IFERROR(VLOOKUP($MK156,$AV$2:$AZ$84,2,FALSE),"")</f>
        <v/>
      </c>
      <c r="MY156" s="152">
        <f>IFERROR(VLOOKUP($MH156,$AV$2:$AZ$84,3,FALSE),0)</f>
        <v/>
      </c>
      <c r="MZ156" s="152">
        <f>IFERROR(VLOOKUP($MI156,$AV$2:$AZ$84,3,FALSE),0)</f>
        <v/>
      </c>
      <c r="NA156" s="152">
        <f>IFERROR(VLOOKUP($MJ156,$AV$2:$AZ$84,3,FALSE),0)</f>
        <v/>
      </c>
      <c r="NB156" s="152">
        <f>IFERROR(VLOOKUP($MK156,$AV$2:$AZ$84,3,FALSE),0)</f>
        <v/>
      </c>
      <c r="NC156" s="152">
        <f>IF($MC156=0,0,IF($MT156=0,0,INDEX($X$2:$X$11,$MT156)))</f>
        <v/>
      </c>
      <c r="ND156" s="152">
        <f>IF(OR($MY156=0,$MC156=0),0,$MY156+3*IF(AND($MU156&lt;&gt;"",OR($MU156=INDEX($ED$2:$ED$13,$LY156),$MU156=INDEX($EE$2:$EE$13,$LY156))),1,0))</f>
        <v/>
      </c>
      <c r="NE156" s="152">
        <f>IF(OR($MZ156=0,$MC156=0),0,$MZ156+3*IF(AND($MV156&lt;&gt;"",OR($MV156=INDEX($ED$2:$ED$13,$LY156),$MV156=INDEX($EE$2:$EE$13,$LY156))),1,0))</f>
        <v/>
      </c>
      <c r="NF156" s="152">
        <f>IF(OR($NA156=0,$MC156=0),0,$NA156+3*IF(AND($MW156&lt;&gt;"",OR($MW156=INDEX($ED$2:$ED$13,$LY156),$MW156=INDEX($EE$2:$EE$13,$LY156))),1,0))</f>
        <v/>
      </c>
      <c r="NG156" s="152">
        <f>IF(OR($NB156=0,$MC156=0),0,$NB156+3*IF(AND($MX156&lt;&gt;"",OR($MX156=INDEX($ED$2:$ED$13,$LY156),$MX156=INDEX($EE$2:$EE$13,$LY156))),1,0))</f>
        <v/>
      </c>
      <c r="NH156" s="152">
        <f>IF($MT156=0,0,IF(INDEX($W$2:$W$11,$MT156)="",0,IF(COUNTIF(INDEX($ED$2:$EH$13,$LY156,0),INDEX($W$2:$W$11,$MT156))=0,1,0)))</f>
        <v/>
      </c>
      <c r="NI156" s="152">
        <f>IF(OR($MY156=0,$MU156=""),0,IF(COUNTIF(INDEX($ED$2:$EH$13,$LY156,0),$MU156)=0,1,0))</f>
        <v/>
      </c>
      <c r="NJ156" s="152">
        <f>IF(OR($MZ156=0,$MV156=""),0,IF(COUNTIF(INDEX($ED$2:$EH$13,$LY156,0),$MV156)=0,1,0))</f>
        <v/>
      </c>
      <c r="NK156" s="152">
        <f>IF(OR($NA156=0,$MW156=""),0,IF(COUNTIF(INDEX($ED$2:$EH$13,$LY156,0),$MW156)=0,1,0))</f>
        <v/>
      </c>
      <c r="NL156" s="152">
        <f>IF(OR($NB156=0,$MX156=""),0,IF(COUNTIF(INDEX($ED$2:$EH$13,$LY156,0),$MX156)=0,1,0))</f>
        <v/>
      </c>
      <c r="NM156" s="152">
        <f>IFERROR(VLOOKUP($MH156,$AV$2:$AZ$84,4,FALSE),0)+IFERROR(VLOOKUP($MI156,$AV$2:$AZ$84,4,FALSE),0)+IFERROR(VLOOKUP($MJ156,$AV$2:$AZ$84,4,FALSE),0)+IFERROR(VLOOKUP($MK156,$AV$2:$AZ$84,4,FALSE),0)</f>
        <v/>
      </c>
      <c r="NN156" s="152">
        <f>TEXTJOIN(", ",TRUE,IF(IFERROR(VLOOKUP($MH156,$AV$2:$AZ$84,5,FALSE),0)=1,$MH156,""),IF(IFERROR(VLOOKUP($MI156,$AV$2:$AZ$84,5,FALSE),0)=1,$MI156,""),IF(IFERROR(VLOOKUP($MJ156,$AV$2:$AZ$84,5,FALSE),0)=1,$MJ156,""),IF(IFERROR(VLOOKUP($MK156,$AV$2:$AZ$84,5,FALSE),0)=1,$MK156,""))</f>
        <v/>
      </c>
      <c r="NO156" s="152">
        <f>IF($MT156=0,0,INDEX($Y$2:$Y$11,$MT156))</f>
        <v/>
      </c>
      <c r="NP156" s="152">
        <f>IF($MT156=0,0,INDEX($Z$2:$Z$11,$MT156))</f>
        <v/>
      </c>
      <c r="NQ156" s="152">
        <f>IF($MT156=0,0,INDEX($AB$2:$AB$11,$MT156))</f>
        <v/>
      </c>
      <c r="NR156" s="152">
        <f>IFERROR(VLOOKUP($ML156,$BB$2:$BF$24,3,FALSE),0)</f>
        <v/>
      </c>
      <c r="NS156" s="152">
        <f>IFERROR(VLOOKUP($MM156,$BB$2:$BF$24,3,FALSE),0)</f>
        <v/>
      </c>
      <c r="NT156" s="152">
        <f>IFERROR(VLOOKUP($ML156,$BB$2:$BF$24,2,FALSE),"")</f>
        <v/>
      </c>
      <c r="NU156" s="152">
        <f>IFERROR(VLOOKUP($MM156,$BB$2:$BF$24,2,FALSE),"")</f>
        <v/>
      </c>
      <c r="NV156" s="152">
        <f>COUNTIF($NC156:$NG156,1)</f>
        <v/>
      </c>
      <c r="NW156" s="152">
        <f>COUNTIF($NC156:$NG156,2)</f>
        <v/>
      </c>
      <c r="NX156" s="152">
        <f>COUNTIF($NC156:$NG156,3)</f>
        <v/>
      </c>
      <c r="NY156" s="152">
        <f>COUNTIF($NC156:$NG156,4)</f>
        <v/>
      </c>
      <c r="NZ156" s="152">
        <f>COUNTIF($NC156:$NG156,5)</f>
        <v/>
      </c>
      <c r="OA156" s="152">
        <f>COUNTIF($NC156:$NG156,6)</f>
        <v/>
      </c>
      <c r="OB156" s="152">
        <f>COUNTIF($NR156:$NS156,1)</f>
        <v/>
      </c>
      <c r="OC156" s="152">
        <f>COUNTIF($NR156:$NS156,2)+$NO156</f>
        <v/>
      </c>
      <c r="OD156" s="152">
        <f>COUNTIF($MH156:$MK156,"?*")</f>
        <v/>
      </c>
      <c r="OE156" s="152">
        <f>COUNTIF($ML156:$MM156,"?*")+$NO156</f>
        <v/>
      </c>
      <c r="OF156" s="152">
        <f>IF($MC156=0,0,SUMPRODUCT($NV156:$OA156,INDEX($I$2:$N$8,MAX(1,$MC156),0)))</f>
        <v/>
      </c>
      <c r="OG156" s="152">
        <f>IF($MC156=0,0,$OB156*CEILING($MC156/2,1)+$OC156*$MC156)</f>
        <v/>
      </c>
      <c r="OH156" s="152">
        <f>MIN(2*$MC156,$OG156)</f>
        <v/>
      </c>
      <c r="OI156" s="152">
        <f>MIN($OH156,$OF156)</f>
        <v/>
      </c>
      <c r="OJ156" s="152">
        <f>$OH156-$OI156</f>
        <v/>
      </c>
      <c r="OK156" s="152">
        <f>IF($MC156=0,0,INDEX($P$2:$P$8,MAX(1,$MC156)))</f>
        <v/>
      </c>
      <c r="OL156" s="152">
        <f>$OK156-$OF156+$OI156</f>
        <v/>
      </c>
      <c r="OM156" s="152">
        <f>IF($MC156=0,MAX(0,$MQ156-IF($OD156&gt;0,1,0)),MAX(0,$OL156))</f>
        <v/>
      </c>
      <c r="ON156" s="152">
        <f>IF($MC156=0,0,(IF(COUNTIF($MH156:$MK156,"Salto")&gt;0,1,0)+IF(COUNTIF($MH156:$MK156,"Queima")&gt;0,1,0)+IF(COUNTIF($MH156:$MK156,"Estilhaço")&gt;0,1,0))*FLOOR($OM156/2,1))</f>
        <v/>
      </c>
      <c r="OO156" s="152">
        <f>MAX(0,2-SUMPRODUCT($NV156:$OA156,$I$2:$N$2)+MIN(2,$OB156*1+$OC156*1,SUMPRODUCT($NV156:$OA156,$I$2:$N$2)))</f>
        <v/>
      </c>
      <c r="OP156" s="152">
        <f>MAX(0,4-SUMPRODUCT($NV156:$OA156,$I$3:$N$3)+MIN(4,$OB156*1+$OC156*2,SUMPRODUCT($NV156:$OA156,$I$3:$N$3)))</f>
        <v/>
      </c>
      <c r="OQ156" s="152">
        <f>MAX(0,6-SUMPRODUCT($NV156:$OA156,$I$4:$N$4)+MIN(6,$OB156*2+$OC156*3,SUMPRODUCT($NV156:$OA156,$I$4:$N$4)))</f>
        <v/>
      </c>
      <c r="OR156" s="152">
        <f>MAX(0,9-SUMPRODUCT($NV156:$OA156,$I$5:$N$5)+MIN(8,$OB156*2+$OC156*4,SUMPRODUCT($NV156:$OA156,$I$5:$N$5)))</f>
        <v/>
      </c>
      <c r="OS156" s="152">
        <f>MAX(0,11-SUMPRODUCT($NV156:$OA156,$I$6:$N$6)+MIN(10,$OB156*3+$OC156*5,SUMPRODUCT($NV156:$OA156,$I$6:$N$6)))</f>
        <v/>
      </c>
      <c r="OT156" s="152">
        <f>MAX(0,13-SUMPRODUCT($NV156:$OA156,$I$7:$N$7)+MIN(12,$OB156*3+$OC156*6,SUMPRODUCT($NV156:$OA156,$I$7:$N$7)))</f>
        <v/>
      </c>
      <c r="OU156" s="152">
        <f>MAX(0,16-SUMPRODUCT($NV156:$OA156,$I$8:$N$8)+MIN(14,$OB156*4+$OC156*7,SUMPRODUCT($NV156:$OA156,$I$8:$N$8)))</f>
        <v/>
      </c>
      <c r="OV156" s="152">
        <f>IF($NP156=2,3*$OO156&amp;" de vida temp.",IF($NP156=3,"sem dano",IF($OO156=0,IF($NP156=1,"sem cura","sem dano"),IF($NP156=1,"cura ","")&amp;$OO156&amp;"d8")))</f>
        <v/>
      </c>
      <c r="OW156" s="152">
        <f>IF($NP156=2,3*$OP156&amp;" de vida temp.",IF($NP156=3,"sem dano",IF($OP156=0,IF($NP156=1,"sem cura","sem dano"),IF($NP156=1,"cura ","")&amp;$OP156&amp;"d8")))</f>
        <v/>
      </c>
      <c r="OX156" s="152">
        <f>IF($NP156=2,3*$OQ156&amp;" de vida temp.",IF($NP156=3,"sem dano",IF($OQ156=0,IF($NP156=1,"sem cura","sem dano"),IF($NP156=1,"cura ","")&amp;$OQ156&amp;"d8")))</f>
        <v/>
      </c>
      <c r="OY156" s="152">
        <f>IF($NP156=2,3*$OR156&amp;" de vida temp.",IF($NP156=3,"sem dano",IF($OR156=0,IF($NP156=1,"sem cura","sem dano"),IF($NP156=1,"cura ","")&amp;$OR156&amp;"d8")))</f>
        <v/>
      </c>
      <c r="OZ156" s="152">
        <f>IF($NP156=2,3*$OS156&amp;" de vida temp.",IF($NP156=3,"sem dano",IF($OS156=0,IF($NP156=1,"sem cura","sem dano"),IF($NP156=1,"cura ","")&amp;$OS156&amp;"d8")))</f>
        <v/>
      </c>
      <c r="PA156" s="152">
        <f>IF($NP156=2,3*$OT156&amp;" de vida temp.",IF($NP156=3,"sem dano",IF($OT156=0,IF($NP156=1,"sem cura","sem dano"),IF($NP156=1,"cura ","")&amp;$OT156&amp;"d8")))</f>
        <v/>
      </c>
      <c r="PB156" s="152">
        <f>IF($NP156=2,3*$OU156&amp;" de vida temp.",IF($NP156=3,"sem dano",IF($OU156=0,IF($NP156=1,"sem cura","sem dano"),IF($NP156=1,"cura ","")&amp;$OU156&amp;"d8")))</f>
        <v/>
      </c>
      <c r="PC156" s="152">
        <f>IF($MN156=0,"",TEXTJOIN(" · ",TRUE,IF($MA156&gt;$MO156,"Este lugar abre no nível "&amp;$MA156,""),IF($MC156&gt;$MP156,"Classe "&amp;$MC156&amp;": o nível "&amp;$MO156&amp;" libera até a "&amp;$MP156,""),IF($NH156=1,"A Forma "&amp;$ME156&amp;" pede "&amp;INDEX($W$2:$W$11,$MT156)&amp;" aberta",""),IF(AND($MC156=0,$MT156&gt;0,IF($MT156=0,0,INDEX($AF$2:$AF$11,$MT156))=0),$ME156&amp;" não existe na Classe 0",""),IF($NI156=1,"Família Fechada: "&amp;$MH156,""),IF($NJ156=1,"Família Fechada: "&amp;$MI156,""),IF($NK156=1,"Família Fechada: "&amp;$MJ156,""),IF($NL156=1,"Família Fechada: "&amp;$MK156,""),IF(AND($MC156&gt;0,$OD156&gt;INDEX($O$2:$O$8,MAX(1,$MC156))),$OD156&amp;" Melhorias: a Classe "&amp;$MC156&amp;" aceita "&amp;INDEX($O$2:$O$8,MAX(1,$MC156)),""),IF(AND($MC156=0,$OD156&gt;1),"A básica aceita uma Melhoria",""),IF(AND($MC156=0,COUNTIF($MY156:$NB156,"&gt;1")&gt;0),"A básica só aceita Melhoria Leve",""),IF(AND($MC156&gt;0,$OE156&gt;2),$OE156&amp;" Restrições"&amp;IF($NO156=1,", contando a que a Forma "&amp;$ME156&amp;" já traz","")&amp;": o limite é 2",""),IF(AND($MC156=0,COUNTIF($ML156:$MM156,"?*")&gt;1),"A básica aceita uma Restrição Leve",""),IF(AND($MC156=0,COUNTIF($NR156:$NS156,2)&gt;0),"A básica só aceita Restrição Leve",""),IF(AND($MC156&gt;0,$OL156&lt;0),"Orçamento estourado: faltam "&amp;(-$OL156)&amp;IF($OL156&lt;-1," pontos"," ponto"),""),IF(IFERROR(VLOOKUP($ML156,$BB$2:$BF$24,4,FALSE),0)+IFERROR(VLOOKUP($MM156,$BB$2:$BF$24,4,FALSE),0)&gt;1,$NT156&amp;" e "&amp;$NU156&amp;" são as duas de frequência",""),IF(AND((COUNTIF($MH156:$MK156,"Rápido")+COUNTIF($NT156:$NU156,"Rápido"))&gt;0,(COUNTIF($MH156:$MK156,"Atrasar")+COUNTIF($NT156:$NU156,"Atrasar"))&gt;0),"Rápido não entra com Atrasar",""),IF(AND((COUNTIF($MH156:$MK156,"Reação")+COUNTIF($NT156:$NU156,"Reação"))&gt;0,(COUNTIF($MH156:$MK156,"Rápido")+COUNTIF($NT156:$NU156,"Rápido"))&gt;0),"Reação não entra com Rápido",""),IF(AND((COUNTIF($MH156:$MK156,"Reação")+COUNTIF($NT156:$NU156,"Reação"))&gt;0,(COUNTIF($MH156:$MK156,"Armado")+COUNTIF($NT156:$NU156,"Armado"))&gt;0),"Reação não entra com Armado",""),IF(AND((COUNTIF($MH156:$MK156,"Reação")+COUNTIF($NT156:$NU156,"Reação"))&gt;0,(COUNTIF($MH156:$MK156,"Atrasar")+COUNTIF($NT156:$NU156,"Atrasar"))&gt;0),"Reação não entra com Atrasar",""),IF(AND((COUNTIF($MH156:$MK156,"Reação")+COUNTIF($NT156:$NU156,"Reação"))&gt;0,(COUNTIF($MH156:$MK156,"Parado")+COUNTIF($NT156:$NU156,"Parado"))&gt;0),"Reação não entra com Parado",""),IF(AND((COUNTIF($MH156:$MK156,"Atrasar")+COUNTIF($NT156:$NU156,"Atrasar"))&gt;0,(COUNTIF($MH156:$MK156,"Parado")+COUNTIF($NT156:$NU156,"Parado"))&gt;0),"Atrasar não entra com Parado",""),IF(AND((COUNTIF($MH156:$MK156,"Armado")+COUNTIF($NT156:$NU156,"Armado"))&gt;0,(COUNTIF($MH156:$MK156,"Carregar")+COUNTIF($NT156:$NU156,"Carregar"))&gt;0),"Armado não entra com Carregar",""),IF(AND(COUNTIF($NT156:$NU156,"Corpo a Corpo")&gt;0,$NO156=0,OR($ME156="Cone",$ME156="Linha")),"Corpo a Corpo não entra em "&amp;$ME156,""),IF(AND(COUNTIF($NT156:$NU156,"Corpo a Corpo")&gt;0,$NO156=1),"A Forma "&amp;$ME156&amp;" já traz o Corpo a Corpo",""),IF(AND(COUNTIF($NT156:$NU156,"Tudo ou Nada")&gt;0,$NQ156=0),"Tudo ou Nada só entra em habilidade de Teste de Resistência",""),IF(AND(COUNTIF($MH156:$MK156,"Inescapável")&gt;0,OR($OD156&gt;1,$OE156&gt;0)),"Inescapável não aceita outra peça",""),IF(AND($MC156&gt;0,$OM156*IF(COUNTIF($MH156:$MK156,"Remate")&gt;0,1.25,1)+$ON156&gt;4*$MC156),($OM156*IF(COUNTIF($MH156:$MK156,"Remate")&gt;0,1.25,1)+$ON156)&amp;" dados somando repetições"&amp;IF(COUNTIF($MH156:$MK156,"Remate")&gt;0," e o Remate","")&amp;": o teto da Classe "&amp;$MC156&amp;" é "&amp;4*$MC156,"")))</f>
        <v/>
      </c>
      <c r="PD156" s="152">
        <f>IF($PC156="",0,(LEN($PC156)-LEN(SUBSTITUTE($PC156," · ","")))/3+1)</f>
        <v/>
      </c>
      <c r="PE156" s="152">
        <f>IF($MN156=0,"",TEXTJOIN(" · ",TRUE,IF($OG156&gt;2*$MC156,"A devolução parou no teto de "&amp;2*$MC156,""),IF($OJ156&gt;0,"Devolução perdida: "&amp;$OJ156&amp;IF($OJ156&gt;1," pontos"," ponto")&amp;" sem peça para pagar",""),IF(AND($NM156&gt;0,AND($MC156&gt;0,$NP156=0),$OM156=0),"Controle sem dano: uma rodada a mais e CD +2",""),IF(AND($NM156&gt;0,AND($MC156&gt;0,$NP156=0),$OM156&gt;0,$OM156&lt;=$MC156),"Controle com saldo até a Classe: uma rodada a mais",""),IF(AND($MC156&gt;0,$NN156&lt;&gt;""),"Efeito de "&amp;$NN156&amp;" pela Classe "&amp;MAX(1,$MC156-1),"")))</f>
        <v/>
      </c>
      <c r="PF156" s="152">
        <f>IF($PE156="",0,(LEN($PE156)-LEN(SUBSTITUTE($PE156," · ","")))/3+1)</f>
        <v/>
      </c>
      <c r="PG156" s="152">
        <f>IF($MN156=0,IF($OD156+COUNTIF($ML156:$MM156,"?*")&gt;0,"Dê um nome",""),IF($PD156&gt;0,"⚠ "&amp;$PD156&amp;IF($PD156&gt;1," erros"," erro"),IF($PF156&gt;0,"! "&amp;$PF156&amp;IF($PF156&gt;1," avisos"," aviso"),"Na regra")))</f>
        <v/>
      </c>
      <c r="PH156" s="152">
        <f>IF($MN156=0,"",IF($PD156+$PF156=0,"Dentro das regras que a ficha confere",$PC156&amp;IF(AND($PD156&gt;0,$PF156&gt;0)," · ","")&amp;$PE156))</f>
        <v/>
      </c>
      <c r="PI156" s="152">
        <f>IF($MA156&gt;$MO156,$MB156&amp;" · ABRE NO NÍVEL "&amp;$MA156,$MB156)</f>
        <v/>
      </c>
      <c r="PJ156" s="152">
        <f>IF($MN156=0,"",IF($MC156=0,"Sem PE",3*$MC156&amp;" PE"))</f>
        <v/>
      </c>
      <c r="PK156" s="152">
        <f>IF($MN156=0,"",IF($MC156=0,"A atuação básica dela",IF(COUNTIF($NT156:$NU156,"Atrasar")&gt;0,"Sua Ação Completa",IF(COUNTIF($MH156:$MK156,"Rápido")&gt;0,"Sua Bônus",IF(COUNTIF($MH156:$MK156,"Reação")&gt;0,"Sua Reação","Sua Padrão")))&amp;" + a básica dela"&amp;IF(COUNTIF($MH156:$MK156,"Reação")&gt;0," e a coletiva","")&amp;IF(COUNTIF($NT156:$NU156,"Carregar")&gt;0," · em dois turnos","")))</f>
        <v/>
      </c>
      <c r="PL156" s="152">
        <f>IF($MG156&lt;&gt;"",$MG156,IF($MT156=0,"",INDEX($AA$2:$AA$11,$MT156)))</f>
        <v/>
      </c>
      <c r="PM156" s="152">
        <f>IF(OR($MN156=0,$MT156=0),"",IF(COUNTIF($MH156:$MK156,"Inescapável")&gt;0,"Automático",IF($PL156="Ataque",IF($MR156="","Ataque","Ataque "&amp;IF(($MR156+2*IF(COUNTIF($MH156:$MK156,"Precisão")&gt;0,1,0))&gt;=0,"+","−")&amp;ABS(($MR156+2*IF(COUNTIF($MH156:$MK156,"Precisão")&gt;0,1,0)))),IF(LEFT($PL156,2)="TR",$PL156&amp;IF($MS156="",""," · CD "&amp;$MS156)&amp;IF(COUNTIF($MH156:$MK156,"Certeiro")&gt;0," · metade",""),"Sem rolagem"))))</f>
        <v/>
      </c>
      <c r="PN156" s="152">
        <f>IF(OR($MN156=0,$MT156=0),"",IF($MC156=0,IF(OR($NP156&gt;=1,$OM156=0),"Sem dano",$OM156&amp;"d6"&amp;IF($MF156="",""," "&amp;$MF156)),IF(OR($NP156&gt;=1,$OM156=0),UPPER(LEFT(INDEX($OV156:$PB156,1,MAX(1,$MC156)),1))&amp;MID(INDEX($OV156:$PB156,1,MAX(1,$MC156)),2,99),UPPER(LEFT(INDEX($OV156:$PB156,1,MAX(1,$MC156)),1))&amp;MID(INDEX($OV156:$PB156,1,MAX(1,$MC156)),2,99)&amp;IF($MF156="",""," "&amp;$MF156)&amp;IF($ON156&gt;0," · +"&amp;$ON156&amp;"d8",""))))</f>
        <v/>
      </c>
      <c r="PO156" s="152">
        <f>COUNTIF($MH156:$MK156,"Longe")+3*COUNTIF($MH156:$MK156,"Muito Longe")</f>
        <v/>
      </c>
      <c r="PP156" s="152">
        <f>COUNTIF($MH156:$MK156,"Maior")+3*COUNTIF($MH156:$MK156,"Muito Maior")</f>
        <v/>
      </c>
      <c r="PQ156" s="152">
        <f>IF($MT156=0,0,CHOOSE(1+INDEX($AC$2:$AC$11,$MT156),0,$PO156,$PP156,$PO156+$PP156))</f>
        <v/>
      </c>
      <c r="PR156" s="152">
        <f>IF($MT156=0,0,CHOOSE(1+INDEX($AD$2:$AD$11,$MT156),0,$PO156,$PP156,$PO156+$PP156))</f>
        <v/>
      </c>
      <c r="PS156" s="152">
        <f>IF(OR($MN156=0,$MT156=0),"",INDEX($AI$2:$AN$41,($MT156-1)*4+IF($MC156=0,1,IF($MC156&lt;=5,2,IF($MC156=6,3,4))),1+MIN(5,$PQ156))&amp;INDEX($AO$2:$AT$41,($MT156-1)*4+IF($MC156=0,1,IF($MC156&lt;=5,2,IF($MC156=6,3,4))),1+MIN(5,$PR156))&amp;IF(INDEX($AE$2:$AE$11,$MT156)=1,IF(COUNTIF($MH156:$MK156,"Mais Um")&gt;0," · +"&amp;COUNTIF($MH156:$MK156,"Mais Um")&amp;IF(COUNTIF($MH156:$MK156,"Mais Um")&gt;1," alvos"," alvo"),"")&amp;IF(COUNTIF($MH156:$MK156,"Rajada")&gt;0,IF($MC156=0," · 1 tiro"," · "&amp;(MAX(1,$MC156-1)+1)&amp;" tiros"),""),""))</f>
        <v/>
      </c>
      <c r="PT156" s="152">
        <f>IF($MN156=0,"",IF($MC156=0,$MQ156&amp;"d6"&amp;IF($OD156&gt;0," − 1 = "&amp;$OM156&amp;"d6"," da básica do nível "&amp;$MO156),$OK156&amp;" − "&amp;$OF156&amp;" + "&amp;$OI156&amp;" = "&amp;$OL156&amp;" · teto "&amp;4*$MC156&amp;"d8"&amp;IF($NO156=1," · a Forma devolve "&amp;$MC156,"")&amp;IF($OJ156&gt;0," · perde "&amp;$OJ156,"")))</f>
        <v/>
      </c>
      <c r="PU156" s="152">
        <f>IF($MN156=0,"",IF($MC156=0,"A básica não amplia: os dados dela sobem com o nível",IF($MC156&gt;=$MP156,"Já está na maior Classe que o nível liberou",TEXTJOIN(" · ",TRUE,IF(AND(2&gt;$MC156,2&lt;=$MP156),"2 → "&amp;$OW156&amp;", 6 PE",""),IF(AND(3&gt;$MC156,3&lt;=$MP156),"3 → "&amp;$OX156&amp;", 9 PE",""),IF(AND(4&gt;$MC156,4&lt;=$MP156),"4 → "&amp;$OY156&amp;", 12 PE",""),IF(AND(5&gt;$MC156,5&lt;=$MP156),"5 → "&amp;$OZ156&amp;", 15 PE",""),IF(AND(6&gt;$MC156,6&lt;=$MP156),"6 → "&amp;$PA156&amp;", 18 PE",""),IF(AND(7&gt;$MC156,7&lt;=$MP156),"7 → "&amp;$PB156&amp;", 21 PE","")))))</f>
        <v/>
      </c>
      <c r="PV156" s="152">
        <f>IF(OR($MN156=0,$MY156=0),"",IF($MC156=0,"−1 dado","−"&amp;INDEX($I$2:$N$8,MAX(1,$MC156),MAX(1,$ND156))&amp;" · "&amp;CHOOSE(MAX(1,$ND156),"Leve","Média","Pesada","Leve · Livre","Média · Livre","Pesada · Livre")))</f>
        <v/>
      </c>
      <c r="PW156" s="152">
        <f>IF(OR($MN156=0,$MZ156=0),"",IF($MC156=0,"−1 dado","−"&amp;INDEX($I$2:$N$8,MAX(1,$MC156),MAX(1,$NE156))&amp;" · "&amp;CHOOSE(MAX(1,$NE156),"Leve","Média","Pesada","Leve · Livre","Média · Livre","Pesada · Livre")))</f>
        <v/>
      </c>
      <c r="PX156" s="152">
        <f>IF(OR($MN156=0,$NA156=0),"",IF($MC156=0,"−1 dado","−"&amp;INDEX($I$2:$N$8,MAX(1,$MC156),MAX(1,$NF156))&amp;" · "&amp;CHOOSE(MAX(1,$NF156),"Leve","Média","Pesada","Leve · Livre","Média · Livre","Pesada · Livre")))</f>
        <v/>
      </c>
      <c r="PY156" s="152">
        <f>IF(OR($MN156=0,$NB156=0),"",IF($MC156=0,"−1 dado","−"&amp;INDEX($I$2:$N$8,MAX(1,$MC156),MAX(1,$NG156))&amp;" · "&amp;CHOOSE(MAX(1,$NG156),"Leve","Média","Pesada","Leve · Livre","Média · Livre","Pesada · Livre")))</f>
        <v/>
      </c>
      <c r="PZ156" s="152">
        <f>IF(OR($MN156=0,$ML156=""),"",IF($MC156=0,"não devolve","+"&amp;IF($NR156=1,CEILING($MC156/2,1),$MC156)))</f>
        <v/>
      </c>
      <c r="QA156" s="152">
        <f>IF(OR($MN156=0,$MM156=""),"",IF($MC156=0,"não devolve","+"&amp;IF($NS156=1,CEILING($MC156/2,1),$MC156)))</f>
        <v/>
      </c>
    </row>
    <row r="157">
      <c r="LX157" s="150" t="inlineStr">
        <is>
          <t>Ficha 12 · Escolha da trilha 3</t>
        </is>
      </c>
      <c r="LY157" s="152" t="n">
        <v>12</v>
      </c>
      <c r="LZ157" s="152" t="n">
        <v>2</v>
      </c>
      <c r="MA157" s="152" t="n">
        <v>0</v>
      </c>
      <c r="MB157" s="150" t="inlineStr">
        <is>
          <t>ESCOLHA DA TRILHA 3</t>
        </is>
      </c>
      <c r="MC157" s="152">
        <f>MAX(0,MIN(7,N('INVOCAÇÕES'!$AN$1150)))</f>
        <v/>
      </c>
      <c r="MD157" s="152">
        <f>'INVOCAÇÕES'!$AO$1150&amp;""</f>
        <v/>
      </c>
      <c r="ME157" s="152">
        <f>'INVOCAÇÕES'!$AN$1155&amp;""</f>
        <v/>
      </c>
      <c r="MF157" s="152">
        <f>'INVOCAÇÕES'!$AN$1156&amp;""</f>
        <v/>
      </c>
      <c r="MG157" s="152">
        <f>'INVOCAÇÕES'!$AP$1156&amp;""</f>
        <v/>
      </c>
      <c r="MH157" s="152">
        <f>'INVOCAÇÕES'!$AO$1159&amp;""</f>
        <v/>
      </c>
      <c r="MI157" s="152">
        <f>'INVOCAÇÕES'!$AO$1160&amp;""</f>
        <v/>
      </c>
      <c r="MJ157" s="152">
        <f>'INVOCAÇÕES'!$AO$1161&amp;""</f>
        <v/>
      </c>
      <c r="MK157" s="152">
        <f>'INVOCAÇÕES'!$AO$1162&amp;""</f>
        <v/>
      </c>
      <c r="ML157" s="152">
        <f>'INVOCAÇÕES'!$AO$1163&amp;""</f>
        <v/>
      </c>
      <c r="MM157" s="152">
        <f>'INVOCAÇÕES'!$AO$1164&amp;""</f>
        <v/>
      </c>
      <c r="MN157" s="152">
        <f>IF($MD157&lt;&gt;"",1,0)</f>
        <v/>
      </c>
      <c r="MO157" s="152">
        <f>INDEX($FG$2:$FG$13,$LY157)</f>
        <v/>
      </c>
      <c r="MP157" s="152">
        <f>INDEX($FH$2:$FH$13,$LY157)</f>
        <v/>
      </c>
      <c r="MQ157" s="152">
        <f>INDEX($FI$2:$FI$13,$LY157)</f>
        <v/>
      </c>
      <c r="MR157" s="152">
        <f>INDEX($FT$2:$FT$13,$LY157)</f>
        <v/>
      </c>
      <c r="MS157" s="152">
        <f>INDEX($FU$2:$FU$13,$LY157)</f>
        <v/>
      </c>
      <c r="MT157" s="152">
        <f>IFERROR(MATCH($ME157,$V$2:$V$11,0),0)</f>
        <v/>
      </c>
      <c r="MU157" s="152">
        <f>IFERROR(VLOOKUP($MH157,$AV$2:$AZ$84,2,FALSE),"")</f>
        <v/>
      </c>
      <c r="MV157" s="152">
        <f>IFERROR(VLOOKUP($MI157,$AV$2:$AZ$84,2,FALSE),"")</f>
        <v/>
      </c>
      <c r="MW157" s="152">
        <f>IFERROR(VLOOKUP($MJ157,$AV$2:$AZ$84,2,FALSE),"")</f>
        <v/>
      </c>
      <c r="MX157" s="152">
        <f>IFERROR(VLOOKUP($MK157,$AV$2:$AZ$84,2,FALSE),"")</f>
        <v/>
      </c>
      <c r="MY157" s="152">
        <f>IFERROR(VLOOKUP($MH157,$AV$2:$AZ$84,3,FALSE),0)</f>
        <v/>
      </c>
      <c r="MZ157" s="152">
        <f>IFERROR(VLOOKUP($MI157,$AV$2:$AZ$84,3,FALSE),0)</f>
        <v/>
      </c>
      <c r="NA157" s="152">
        <f>IFERROR(VLOOKUP($MJ157,$AV$2:$AZ$84,3,FALSE),0)</f>
        <v/>
      </c>
      <c r="NB157" s="152">
        <f>IFERROR(VLOOKUP($MK157,$AV$2:$AZ$84,3,FALSE),0)</f>
        <v/>
      </c>
      <c r="NC157" s="152">
        <f>IF($MC157=0,0,IF($MT157=0,0,INDEX($X$2:$X$11,$MT157)))</f>
        <v/>
      </c>
      <c r="ND157" s="152">
        <f>IF(OR($MY157=0,$MC157=0),0,$MY157+3*IF(AND($MU157&lt;&gt;"",OR($MU157=INDEX($ED$2:$ED$13,$LY157),$MU157=INDEX($EE$2:$EE$13,$LY157))),1,0))</f>
        <v/>
      </c>
      <c r="NE157" s="152">
        <f>IF(OR($MZ157=0,$MC157=0),0,$MZ157+3*IF(AND($MV157&lt;&gt;"",OR($MV157=INDEX($ED$2:$ED$13,$LY157),$MV157=INDEX($EE$2:$EE$13,$LY157))),1,0))</f>
        <v/>
      </c>
      <c r="NF157" s="152">
        <f>IF(OR($NA157=0,$MC157=0),0,$NA157+3*IF(AND($MW157&lt;&gt;"",OR($MW157=INDEX($ED$2:$ED$13,$LY157),$MW157=INDEX($EE$2:$EE$13,$LY157))),1,0))</f>
        <v/>
      </c>
      <c r="NG157" s="152">
        <f>IF(OR($NB157=0,$MC157=0),0,$NB157+3*IF(AND($MX157&lt;&gt;"",OR($MX157=INDEX($ED$2:$ED$13,$LY157),$MX157=INDEX($EE$2:$EE$13,$LY157))),1,0))</f>
        <v/>
      </c>
      <c r="NH157" s="152">
        <f>IF($MT157=0,0,IF(INDEX($W$2:$W$11,$MT157)="",0,IF(COUNTIF(INDEX($ED$2:$EH$13,$LY157,0),INDEX($W$2:$W$11,$MT157))=0,1,0)))</f>
        <v/>
      </c>
      <c r="NI157" s="152">
        <f>IF(OR($MY157=0,$MU157=""),0,IF(COUNTIF(INDEX($ED$2:$EH$13,$LY157,0),$MU157)=0,1,0))</f>
        <v/>
      </c>
      <c r="NJ157" s="152">
        <f>IF(OR($MZ157=0,$MV157=""),0,IF(COUNTIF(INDEX($ED$2:$EH$13,$LY157,0),$MV157)=0,1,0))</f>
        <v/>
      </c>
      <c r="NK157" s="152">
        <f>IF(OR($NA157=0,$MW157=""),0,IF(COUNTIF(INDEX($ED$2:$EH$13,$LY157,0),$MW157)=0,1,0))</f>
        <v/>
      </c>
      <c r="NL157" s="152">
        <f>IF(OR($NB157=0,$MX157=""),0,IF(COUNTIF(INDEX($ED$2:$EH$13,$LY157,0),$MX157)=0,1,0))</f>
        <v/>
      </c>
      <c r="NM157" s="152">
        <f>IFERROR(VLOOKUP($MH157,$AV$2:$AZ$84,4,FALSE),0)+IFERROR(VLOOKUP($MI157,$AV$2:$AZ$84,4,FALSE),0)+IFERROR(VLOOKUP($MJ157,$AV$2:$AZ$84,4,FALSE),0)+IFERROR(VLOOKUP($MK157,$AV$2:$AZ$84,4,FALSE),0)</f>
        <v/>
      </c>
      <c r="NN157" s="152">
        <f>TEXTJOIN(", ",TRUE,IF(IFERROR(VLOOKUP($MH157,$AV$2:$AZ$84,5,FALSE),0)=1,$MH157,""),IF(IFERROR(VLOOKUP($MI157,$AV$2:$AZ$84,5,FALSE),0)=1,$MI157,""),IF(IFERROR(VLOOKUP($MJ157,$AV$2:$AZ$84,5,FALSE),0)=1,$MJ157,""),IF(IFERROR(VLOOKUP($MK157,$AV$2:$AZ$84,5,FALSE),0)=1,$MK157,""))</f>
        <v/>
      </c>
      <c r="NO157" s="152">
        <f>IF($MT157=0,0,INDEX($Y$2:$Y$11,$MT157))</f>
        <v/>
      </c>
      <c r="NP157" s="152">
        <f>IF($MT157=0,0,INDEX($Z$2:$Z$11,$MT157))</f>
        <v/>
      </c>
      <c r="NQ157" s="152">
        <f>IF($MT157=0,0,INDEX($AB$2:$AB$11,$MT157))</f>
        <v/>
      </c>
      <c r="NR157" s="152">
        <f>IFERROR(VLOOKUP($ML157,$BB$2:$BF$24,3,FALSE),0)</f>
        <v/>
      </c>
      <c r="NS157" s="152">
        <f>IFERROR(VLOOKUP($MM157,$BB$2:$BF$24,3,FALSE),0)</f>
        <v/>
      </c>
      <c r="NT157" s="152">
        <f>IFERROR(VLOOKUP($ML157,$BB$2:$BF$24,2,FALSE),"")</f>
        <v/>
      </c>
      <c r="NU157" s="152">
        <f>IFERROR(VLOOKUP($MM157,$BB$2:$BF$24,2,FALSE),"")</f>
        <v/>
      </c>
      <c r="NV157" s="152">
        <f>COUNTIF($NC157:$NG157,1)</f>
        <v/>
      </c>
      <c r="NW157" s="152">
        <f>COUNTIF($NC157:$NG157,2)</f>
        <v/>
      </c>
      <c r="NX157" s="152">
        <f>COUNTIF($NC157:$NG157,3)</f>
        <v/>
      </c>
      <c r="NY157" s="152">
        <f>COUNTIF($NC157:$NG157,4)</f>
        <v/>
      </c>
      <c r="NZ157" s="152">
        <f>COUNTIF($NC157:$NG157,5)</f>
        <v/>
      </c>
      <c r="OA157" s="152">
        <f>COUNTIF($NC157:$NG157,6)</f>
        <v/>
      </c>
      <c r="OB157" s="152">
        <f>COUNTIF($NR157:$NS157,1)</f>
        <v/>
      </c>
      <c r="OC157" s="152">
        <f>COUNTIF($NR157:$NS157,2)+$NO157</f>
        <v/>
      </c>
      <c r="OD157" s="152">
        <f>COUNTIF($MH157:$MK157,"?*")</f>
        <v/>
      </c>
      <c r="OE157" s="152">
        <f>COUNTIF($ML157:$MM157,"?*")+$NO157</f>
        <v/>
      </c>
      <c r="OF157" s="152">
        <f>IF($MC157=0,0,SUMPRODUCT($NV157:$OA157,INDEX($I$2:$N$8,MAX(1,$MC157),0)))</f>
        <v/>
      </c>
      <c r="OG157" s="152">
        <f>IF($MC157=0,0,$OB157*CEILING($MC157/2,1)+$OC157*$MC157)</f>
        <v/>
      </c>
      <c r="OH157" s="152">
        <f>MIN(2*$MC157,$OG157)</f>
        <v/>
      </c>
      <c r="OI157" s="152">
        <f>MIN($OH157,$OF157)</f>
        <v/>
      </c>
      <c r="OJ157" s="152">
        <f>$OH157-$OI157</f>
        <v/>
      </c>
      <c r="OK157" s="152">
        <f>IF($MC157=0,0,INDEX($P$2:$P$8,MAX(1,$MC157)))</f>
        <v/>
      </c>
      <c r="OL157" s="152">
        <f>$OK157-$OF157+$OI157</f>
        <v/>
      </c>
      <c r="OM157" s="152">
        <f>IF($MC157=0,MAX(0,$MQ157-IF($OD157&gt;0,1,0)),MAX(0,$OL157))</f>
        <v/>
      </c>
      <c r="ON157" s="152">
        <f>IF($MC157=0,0,(IF(COUNTIF($MH157:$MK157,"Salto")&gt;0,1,0)+IF(COUNTIF($MH157:$MK157,"Queima")&gt;0,1,0)+IF(COUNTIF($MH157:$MK157,"Estilhaço")&gt;0,1,0))*FLOOR($OM157/2,1))</f>
        <v/>
      </c>
      <c r="OO157" s="152">
        <f>MAX(0,2-SUMPRODUCT($NV157:$OA157,$I$2:$N$2)+MIN(2,$OB157*1+$OC157*1,SUMPRODUCT($NV157:$OA157,$I$2:$N$2)))</f>
        <v/>
      </c>
      <c r="OP157" s="152">
        <f>MAX(0,4-SUMPRODUCT($NV157:$OA157,$I$3:$N$3)+MIN(4,$OB157*1+$OC157*2,SUMPRODUCT($NV157:$OA157,$I$3:$N$3)))</f>
        <v/>
      </c>
      <c r="OQ157" s="152">
        <f>MAX(0,6-SUMPRODUCT($NV157:$OA157,$I$4:$N$4)+MIN(6,$OB157*2+$OC157*3,SUMPRODUCT($NV157:$OA157,$I$4:$N$4)))</f>
        <v/>
      </c>
      <c r="OR157" s="152">
        <f>MAX(0,9-SUMPRODUCT($NV157:$OA157,$I$5:$N$5)+MIN(8,$OB157*2+$OC157*4,SUMPRODUCT($NV157:$OA157,$I$5:$N$5)))</f>
        <v/>
      </c>
      <c r="OS157" s="152">
        <f>MAX(0,11-SUMPRODUCT($NV157:$OA157,$I$6:$N$6)+MIN(10,$OB157*3+$OC157*5,SUMPRODUCT($NV157:$OA157,$I$6:$N$6)))</f>
        <v/>
      </c>
      <c r="OT157" s="152">
        <f>MAX(0,13-SUMPRODUCT($NV157:$OA157,$I$7:$N$7)+MIN(12,$OB157*3+$OC157*6,SUMPRODUCT($NV157:$OA157,$I$7:$N$7)))</f>
        <v/>
      </c>
      <c r="OU157" s="152">
        <f>MAX(0,16-SUMPRODUCT($NV157:$OA157,$I$8:$N$8)+MIN(14,$OB157*4+$OC157*7,SUMPRODUCT($NV157:$OA157,$I$8:$N$8)))</f>
        <v/>
      </c>
      <c r="OV157" s="152">
        <f>IF($NP157=2,3*$OO157&amp;" de vida temp.",IF($NP157=3,"sem dano",IF($OO157=0,IF($NP157=1,"sem cura","sem dano"),IF($NP157=1,"cura ","")&amp;$OO157&amp;"d8")))</f>
        <v/>
      </c>
      <c r="OW157" s="152">
        <f>IF($NP157=2,3*$OP157&amp;" de vida temp.",IF($NP157=3,"sem dano",IF($OP157=0,IF($NP157=1,"sem cura","sem dano"),IF($NP157=1,"cura ","")&amp;$OP157&amp;"d8")))</f>
        <v/>
      </c>
      <c r="OX157" s="152">
        <f>IF($NP157=2,3*$OQ157&amp;" de vida temp.",IF($NP157=3,"sem dano",IF($OQ157=0,IF($NP157=1,"sem cura","sem dano"),IF($NP157=1,"cura ","")&amp;$OQ157&amp;"d8")))</f>
        <v/>
      </c>
      <c r="OY157" s="152">
        <f>IF($NP157=2,3*$OR157&amp;" de vida temp.",IF($NP157=3,"sem dano",IF($OR157=0,IF($NP157=1,"sem cura","sem dano"),IF($NP157=1,"cura ","")&amp;$OR157&amp;"d8")))</f>
        <v/>
      </c>
      <c r="OZ157" s="152">
        <f>IF($NP157=2,3*$OS157&amp;" de vida temp.",IF($NP157=3,"sem dano",IF($OS157=0,IF($NP157=1,"sem cura","sem dano"),IF($NP157=1,"cura ","")&amp;$OS157&amp;"d8")))</f>
        <v/>
      </c>
      <c r="PA157" s="152">
        <f>IF($NP157=2,3*$OT157&amp;" de vida temp.",IF($NP157=3,"sem dano",IF($OT157=0,IF($NP157=1,"sem cura","sem dano"),IF($NP157=1,"cura ","")&amp;$OT157&amp;"d8")))</f>
        <v/>
      </c>
      <c r="PB157" s="152">
        <f>IF($NP157=2,3*$OU157&amp;" de vida temp.",IF($NP157=3,"sem dano",IF($OU157=0,IF($NP157=1,"sem cura","sem dano"),IF($NP157=1,"cura ","")&amp;$OU157&amp;"d8")))</f>
        <v/>
      </c>
      <c r="PC157" s="152">
        <f>IF($MN157=0,"",TEXTJOIN(" · ",TRUE,IF($MA157&gt;$MO157,"Este lugar abre no nível "&amp;$MA157,""),IF($MC157&gt;$MP157,"Classe "&amp;$MC157&amp;": o nível "&amp;$MO157&amp;" libera até a "&amp;$MP157,""),IF($NH157=1,"A Forma "&amp;$ME157&amp;" pede "&amp;INDEX($W$2:$W$11,$MT157)&amp;" aberta",""),IF(AND($MC157=0,$MT157&gt;0,IF($MT157=0,0,INDEX($AF$2:$AF$11,$MT157))=0),$ME157&amp;" não existe na Classe 0",""),IF($NI157=1,"Família Fechada: "&amp;$MH157,""),IF($NJ157=1,"Família Fechada: "&amp;$MI157,""),IF($NK157=1,"Família Fechada: "&amp;$MJ157,""),IF($NL157=1,"Família Fechada: "&amp;$MK157,""),IF(AND($MC157&gt;0,$OD157&gt;INDEX($O$2:$O$8,MAX(1,$MC157))),$OD157&amp;" Melhorias: a Classe "&amp;$MC157&amp;" aceita "&amp;INDEX($O$2:$O$8,MAX(1,$MC157)),""),IF(AND($MC157=0,$OD157&gt;1),"A básica aceita uma Melhoria",""),IF(AND($MC157=0,COUNTIF($MY157:$NB157,"&gt;1")&gt;0),"A básica só aceita Melhoria Leve",""),IF(AND($MC157&gt;0,$OE157&gt;2),$OE157&amp;" Restrições"&amp;IF($NO157=1,", contando a que a Forma "&amp;$ME157&amp;" já traz","")&amp;": o limite é 2",""),IF(AND($MC157=0,COUNTIF($ML157:$MM157,"?*")&gt;1),"A básica aceita uma Restrição Leve",""),IF(AND($MC157=0,COUNTIF($NR157:$NS157,2)&gt;0),"A básica só aceita Restrição Leve",""),IF(AND($MC157&gt;0,$OL157&lt;0),"Orçamento estourado: faltam "&amp;(-$OL157)&amp;IF($OL157&lt;-1," pontos"," ponto"),""),IF(IFERROR(VLOOKUP($ML157,$BB$2:$BF$24,4,FALSE),0)+IFERROR(VLOOKUP($MM157,$BB$2:$BF$24,4,FALSE),0)&gt;1,$NT157&amp;" e "&amp;$NU157&amp;" são as duas de frequência",""),IF(AND((COUNTIF($MH157:$MK157,"Rápido")+COUNTIF($NT157:$NU157,"Rápido"))&gt;0,(COUNTIF($MH157:$MK157,"Atrasar")+COUNTIF($NT157:$NU157,"Atrasar"))&gt;0),"Rápido não entra com Atrasar",""),IF(AND((COUNTIF($MH157:$MK157,"Reação")+COUNTIF($NT157:$NU157,"Reação"))&gt;0,(COUNTIF($MH157:$MK157,"Rápido")+COUNTIF($NT157:$NU157,"Rápido"))&gt;0),"Reação não entra com Rápido",""),IF(AND((COUNTIF($MH157:$MK157,"Reação")+COUNTIF($NT157:$NU157,"Reação"))&gt;0,(COUNTIF($MH157:$MK157,"Armado")+COUNTIF($NT157:$NU157,"Armado"))&gt;0),"Reação não entra com Armado",""),IF(AND((COUNTIF($MH157:$MK157,"Reação")+COUNTIF($NT157:$NU157,"Reação"))&gt;0,(COUNTIF($MH157:$MK157,"Atrasar")+COUNTIF($NT157:$NU157,"Atrasar"))&gt;0),"Reação não entra com Atrasar",""),IF(AND((COUNTIF($MH157:$MK157,"Reação")+COUNTIF($NT157:$NU157,"Reação"))&gt;0,(COUNTIF($MH157:$MK157,"Parado")+COUNTIF($NT157:$NU157,"Parado"))&gt;0),"Reação não entra com Parado",""),IF(AND((COUNTIF($MH157:$MK157,"Atrasar")+COUNTIF($NT157:$NU157,"Atrasar"))&gt;0,(COUNTIF($MH157:$MK157,"Parado")+COUNTIF($NT157:$NU157,"Parado"))&gt;0),"Atrasar não entra com Parado",""),IF(AND((COUNTIF($MH157:$MK157,"Armado")+COUNTIF($NT157:$NU157,"Armado"))&gt;0,(COUNTIF($MH157:$MK157,"Carregar")+COUNTIF($NT157:$NU157,"Carregar"))&gt;0),"Armado não entra com Carregar",""),IF(AND(COUNTIF($NT157:$NU157,"Corpo a Corpo")&gt;0,$NO157=0,OR($ME157="Cone",$ME157="Linha")),"Corpo a Corpo não entra em "&amp;$ME157,""),IF(AND(COUNTIF($NT157:$NU157,"Corpo a Corpo")&gt;0,$NO157=1),"A Forma "&amp;$ME157&amp;" já traz o Corpo a Corpo",""),IF(AND(COUNTIF($NT157:$NU157,"Tudo ou Nada")&gt;0,$NQ157=0),"Tudo ou Nada só entra em habilidade de Teste de Resistência",""),IF(AND(COUNTIF($MH157:$MK157,"Inescapável")&gt;0,OR($OD157&gt;1,$OE157&gt;0)),"Inescapável não aceita outra peça",""),IF(AND($MC157&gt;0,$OM157*IF(COUNTIF($MH157:$MK157,"Remate")&gt;0,1.25,1)+$ON157&gt;4*$MC157),($OM157*IF(COUNTIF($MH157:$MK157,"Remate")&gt;0,1.25,1)+$ON157)&amp;" dados somando repetições"&amp;IF(COUNTIF($MH157:$MK157,"Remate")&gt;0," e o Remate","")&amp;": o teto da Classe "&amp;$MC157&amp;" é "&amp;4*$MC157,"")))</f>
        <v/>
      </c>
      <c r="PD157" s="152">
        <f>IF($PC157="",0,(LEN($PC157)-LEN(SUBSTITUTE($PC157," · ","")))/3+1)</f>
        <v/>
      </c>
      <c r="PE157" s="152">
        <f>IF($MN157=0,"",TEXTJOIN(" · ",TRUE,IF($OG157&gt;2*$MC157,"A devolução parou no teto de "&amp;2*$MC157,""),IF($OJ157&gt;0,"Devolução perdida: "&amp;$OJ157&amp;IF($OJ157&gt;1," pontos"," ponto")&amp;" sem peça para pagar",""),IF(AND($NM157&gt;0,AND($MC157&gt;0,$NP157=0),$OM157=0),"Controle sem dano: uma rodada a mais e CD +2",""),IF(AND($NM157&gt;0,AND($MC157&gt;0,$NP157=0),$OM157&gt;0,$OM157&lt;=$MC157),"Controle com saldo até a Classe: uma rodada a mais",""),IF(AND($MC157&gt;0,$NN157&lt;&gt;""),"Efeito de "&amp;$NN157&amp;" pela Classe "&amp;MAX(1,$MC157-1),"")))</f>
        <v/>
      </c>
      <c r="PF157" s="152">
        <f>IF($PE157="",0,(LEN($PE157)-LEN(SUBSTITUTE($PE157," · ","")))/3+1)</f>
        <v/>
      </c>
      <c r="PG157" s="152">
        <f>IF($MN157=0,IF($OD157+COUNTIF($ML157:$MM157,"?*")&gt;0,"Dê um nome",""),IF($PD157&gt;0,"⚠ "&amp;$PD157&amp;IF($PD157&gt;1," erros"," erro"),IF($PF157&gt;0,"! "&amp;$PF157&amp;IF($PF157&gt;1," avisos"," aviso"),"Na regra")))</f>
        <v/>
      </c>
      <c r="PH157" s="152">
        <f>IF($MN157=0,"",IF($PD157+$PF157=0,"Dentro das regras que a ficha confere",$PC157&amp;IF(AND($PD157&gt;0,$PF157&gt;0)," · ","")&amp;$PE157))</f>
        <v/>
      </c>
      <c r="PI157" s="152">
        <f>IF($MA157&gt;$MO157,$MB157&amp;" · ABRE NO NÍVEL "&amp;$MA157,$MB157)</f>
        <v/>
      </c>
      <c r="PJ157" s="152">
        <f>IF($MN157=0,"",IF($MC157=0,"Sem PE",3*$MC157&amp;" PE"))</f>
        <v/>
      </c>
      <c r="PK157" s="152">
        <f>IF($MN157=0,"",IF($MC157=0,"A atuação básica dela",IF(COUNTIF($NT157:$NU157,"Atrasar")&gt;0,"Sua Ação Completa",IF(COUNTIF($MH157:$MK157,"Rápido")&gt;0,"Sua Bônus",IF(COUNTIF($MH157:$MK157,"Reação")&gt;0,"Sua Reação","Sua Padrão")))&amp;" + a básica dela"&amp;IF(COUNTIF($MH157:$MK157,"Reação")&gt;0," e a coletiva","")&amp;IF(COUNTIF($NT157:$NU157,"Carregar")&gt;0," · em dois turnos","")))</f>
        <v/>
      </c>
      <c r="PL157" s="152">
        <f>IF($MG157&lt;&gt;"",$MG157,IF($MT157=0,"",INDEX($AA$2:$AA$11,$MT157)))</f>
        <v/>
      </c>
      <c r="PM157" s="152">
        <f>IF(OR($MN157=0,$MT157=0),"",IF(COUNTIF($MH157:$MK157,"Inescapável")&gt;0,"Automático",IF($PL157="Ataque",IF($MR157="","Ataque","Ataque "&amp;IF(($MR157+2*IF(COUNTIF($MH157:$MK157,"Precisão")&gt;0,1,0))&gt;=0,"+","−")&amp;ABS(($MR157+2*IF(COUNTIF($MH157:$MK157,"Precisão")&gt;0,1,0)))),IF(LEFT($PL157,2)="TR",$PL157&amp;IF($MS157="",""," · CD "&amp;$MS157)&amp;IF(COUNTIF($MH157:$MK157,"Certeiro")&gt;0," · metade",""),"Sem rolagem"))))</f>
        <v/>
      </c>
      <c r="PN157" s="152">
        <f>IF(OR($MN157=0,$MT157=0),"",IF($MC157=0,IF(OR($NP157&gt;=1,$OM157=0),"Sem dano",$OM157&amp;"d6"&amp;IF($MF157="",""," "&amp;$MF157)),IF(OR($NP157&gt;=1,$OM157=0),UPPER(LEFT(INDEX($OV157:$PB157,1,MAX(1,$MC157)),1))&amp;MID(INDEX($OV157:$PB157,1,MAX(1,$MC157)),2,99),UPPER(LEFT(INDEX($OV157:$PB157,1,MAX(1,$MC157)),1))&amp;MID(INDEX($OV157:$PB157,1,MAX(1,$MC157)),2,99)&amp;IF($MF157="",""," "&amp;$MF157)&amp;IF($ON157&gt;0," · +"&amp;$ON157&amp;"d8",""))))</f>
        <v/>
      </c>
      <c r="PO157" s="152">
        <f>COUNTIF($MH157:$MK157,"Longe")+3*COUNTIF($MH157:$MK157,"Muito Longe")</f>
        <v/>
      </c>
      <c r="PP157" s="152">
        <f>COUNTIF($MH157:$MK157,"Maior")+3*COUNTIF($MH157:$MK157,"Muito Maior")</f>
        <v/>
      </c>
      <c r="PQ157" s="152">
        <f>IF($MT157=0,0,CHOOSE(1+INDEX($AC$2:$AC$11,$MT157),0,$PO157,$PP157,$PO157+$PP157))</f>
        <v/>
      </c>
      <c r="PR157" s="152">
        <f>IF($MT157=0,0,CHOOSE(1+INDEX($AD$2:$AD$11,$MT157),0,$PO157,$PP157,$PO157+$PP157))</f>
        <v/>
      </c>
      <c r="PS157" s="152">
        <f>IF(OR($MN157=0,$MT157=0),"",INDEX($AI$2:$AN$41,($MT157-1)*4+IF($MC157=0,1,IF($MC157&lt;=5,2,IF($MC157=6,3,4))),1+MIN(5,$PQ157))&amp;INDEX($AO$2:$AT$41,($MT157-1)*4+IF($MC157=0,1,IF($MC157&lt;=5,2,IF($MC157=6,3,4))),1+MIN(5,$PR157))&amp;IF(INDEX($AE$2:$AE$11,$MT157)=1,IF(COUNTIF($MH157:$MK157,"Mais Um")&gt;0," · +"&amp;COUNTIF($MH157:$MK157,"Mais Um")&amp;IF(COUNTIF($MH157:$MK157,"Mais Um")&gt;1," alvos"," alvo"),"")&amp;IF(COUNTIF($MH157:$MK157,"Rajada")&gt;0,IF($MC157=0," · 1 tiro"," · "&amp;(MAX(1,$MC157-1)+1)&amp;" tiros"),""),""))</f>
        <v/>
      </c>
      <c r="PT157" s="152">
        <f>IF($MN157=0,"",IF($MC157=0,$MQ157&amp;"d6"&amp;IF($OD157&gt;0," − 1 = "&amp;$OM157&amp;"d6"," da básica do nível "&amp;$MO157),$OK157&amp;" − "&amp;$OF157&amp;" + "&amp;$OI157&amp;" = "&amp;$OL157&amp;" · teto "&amp;4*$MC157&amp;"d8"&amp;IF($NO157=1," · a Forma devolve "&amp;$MC157,"")&amp;IF($OJ157&gt;0," · perde "&amp;$OJ157,"")))</f>
        <v/>
      </c>
      <c r="PU157" s="152">
        <f>IF($MN157=0,"",IF($MC157=0,"A básica não amplia: os dados dela sobem com o nível",IF($MC157&gt;=$MP157,"Já está na maior Classe que o nível liberou",TEXTJOIN(" · ",TRUE,IF(AND(2&gt;$MC157,2&lt;=$MP157),"2 → "&amp;$OW157&amp;", 6 PE",""),IF(AND(3&gt;$MC157,3&lt;=$MP157),"3 → "&amp;$OX157&amp;", 9 PE",""),IF(AND(4&gt;$MC157,4&lt;=$MP157),"4 → "&amp;$OY157&amp;", 12 PE",""),IF(AND(5&gt;$MC157,5&lt;=$MP157),"5 → "&amp;$OZ157&amp;", 15 PE",""),IF(AND(6&gt;$MC157,6&lt;=$MP157),"6 → "&amp;$PA157&amp;", 18 PE",""),IF(AND(7&gt;$MC157,7&lt;=$MP157),"7 → "&amp;$PB157&amp;", 21 PE","")))))</f>
        <v/>
      </c>
      <c r="PV157" s="152">
        <f>IF(OR($MN157=0,$MY157=0),"",IF($MC157=0,"−1 dado","−"&amp;INDEX($I$2:$N$8,MAX(1,$MC157),MAX(1,$ND157))&amp;" · "&amp;CHOOSE(MAX(1,$ND157),"Leve","Média","Pesada","Leve · Livre","Média · Livre","Pesada · Livre")))</f>
        <v/>
      </c>
      <c r="PW157" s="152">
        <f>IF(OR($MN157=0,$MZ157=0),"",IF($MC157=0,"−1 dado","−"&amp;INDEX($I$2:$N$8,MAX(1,$MC157),MAX(1,$NE157))&amp;" · "&amp;CHOOSE(MAX(1,$NE157),"Leve","Média","Pesada","Leve · Livre","Média · Livre","Pesada · Livre")))</f>
        <v/>
      </c>
      <c r="PX157" s="152">
        <f>IF(OR($MN157=0,$NA157=0),"",IF($MC157=0,"−1 dado","−"&amp;INDEX($I$2:$N$8,MAX(1,$MC157),MAX(1,$NF157))&amp;" · "&amp;CHOOSE(MAX(1,$NF157),"Leve","Média","Pesada","Leve · Livre","Média · Livre","Pesada · Livre")))</f>
        <v/>
      </c>
      <c r="PY157" s="152">
        <f>IF(OR($MN157=0,$NB157=0),"",IF($MC157=0,"−1 dado","−"&amp;INDEX($I$2:$N$8,MAX(1,$MC157),MAX(1,$NG157))&amp;" · "&amp;CHOOSE(MAX(1,$NG157),"Leve","Média","Pesada","Leve · Livre","Média · Livre","Pesada · Livre")))</f>
        <v/>
      </c>
      <c r="PZ157" s="152">
        <f>IF(OR($MN157=0,$ML157=""),"",IF($MC157=0,"não devolve","+"&amp;IF($NR157=1,CEILING($MC157/2,1),$MC157)))</f>
        <v/>
      </c>
      <c r="QA157" s="152">
        <f>IF(OR($MN157=0,$MM157=""),"",IF($MC157=0,"não devolve","+"&amp;IF($NS157=1,CEILING($MC157/2,1),$MC157)))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2026-10-07T02:56:06Z</dcterms:created>
  <dcterms:modified xmlns:dcterms="http://purl.org/dc/terms/" xmlns:xsi="http://www.w3.org/2001/XMLSchema-instance" xsi:type="dcterms:W3CDTF">2026-10-07T02:56:41Z</dcterms:modified>
</cp:coreProperties>
</file>
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9" fillId="2" borderId="6" applyAlignment="1" pivotButton="0" quotePrefix="0" xfId="0">
      <alignment horizontal="center" vertical="center" wrapText="1"/>
    </xf>
    <xf numFmtId="165"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PROJETO M</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DADOS_AM!$JB$2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DADOS_AM!$IT$3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DADOS_AM!$IT$4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DADOS_AM!$IT$5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DADOS_AM!$IT$6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DADOS_AM!$JB$3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DADOS_AM!$IT$7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DADOS_AM!$IT$8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DADOS_AM!$IT$9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DADOS_AM!$IT$10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DADOS_AM!$KO$2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DADOS_AM!$KO$3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DADOS_AM!$JF$2</f>
        <v/>
      </c>
      <c r="E169" s="17" t="n"/>
      <c r="F169" s="115">
        <f>DADOS_AM!$JG$2</f>
        <v/>
      </c>
      <c r="G169" s="16" t="n"/>
      <c r="H169" s="16" t="n"/>
      <c r="I169" s="16" t="n"/>
      <c r="J169" s="16" t="n"/>
      <c r="K169" s="16" t="n"/>
      <c r="L169" s="16" t="n"/>
      <c r="M169" s="16" t="n"/>
      <c r="N169" s="16" t="n"/>
      <c r="O169" s="16" t="n"/>
      <c r="P169" s="17" t="n"/>
      <c r="Q169" s="41" t="n"/>
      <c r="R169" s="41" t="n"/>
      <c r="S169" s="117">
        <f>DADOS_AM!$JF$3</f>
        <v/>
      </c>
      <c r="T169" s="17" t="n"/>
      <c r="U169" s="115">
        <f>DADOS_AM!$JG$3</f>
        <v/>
      </c>
      <c r="V169" s="16" t="n"/>
      <c r="W169" s="16" t="n"/>
      <c r="X169" s="16" t="n"/>
      <c r="Y169" s="16" t="n"/>
      <c r="Z169" s="16" t="n"/>
      <c r="AA169" s="16" t="n"/>
      <c r="AB169" s="16" t="n"/>
      <c r="AC169" s="16" t="n"/>
      <c r="AD169" s="16" t="n"/>
      <c r="AE169" s="17" t="n"/>
      <c r="AF169" s="41" t="n"/>
      <c r="AG169" s="41" t="n"/>
      <c r="AH169" s="117">
        <f>DADOS_AM!$JF$4</f>
        <v/>
      </c>
      <c r="AI169" s="17" t="n"/>
      <c r="AJ169" s="115">
        <f>DADOS_AM!$JG$4</f>
        <v/>
      </c>
      <c r="AK169" s="16" t="n"/>
      <c r="AL169" s="16" t="n"/>
      <c r="AM169" s="16" t="n"/>
      <c r="AN169" s="16" t="n"/>
      <c r="AO169" s="16" t="n"/>
      <c r="AP169" s="16" t="n"/>
      <c r="AQ169" s="16" t="n"/>
      <c r="AR169" s="16" t="n"/>
      <c r="AS169" s="16" t="n"/>
      <c r="AT169" s="17" t="n"/>
    </row>
    <row r="170" outlineLevel="3">
      <c r="A170" s="8" t="n"/>
      <c r="B170" s="14" t="n"/>
      <c r="C170" s="41" t="n"/>
      <c r="D170" s="118">
        <f>DADOS_AM!$JH$2</f>
        <v/>
      </c>
      <c r="E170" s="16" t="n"/>
      <c r="F170" s="17" t="n"/>
      <c r="G170" s="118">
        <f>DADOS_AM!$JI$2</f>
        <v/>
      </c>
      <c r="H170" s="16" t="n"/>
      <c r="I170" s="16" t="n"/>
      <c r="J170" s="17" t="n"/>
      <c r="K170" s="118">
        <f>DADOS_AM!$JJ$2</f>
        <v/>
      </c>
      <c r="L170" s="16" t="n"/>
      <c r="M170" s="16" t="n"/>
      <c r="N170" s="16" t="n"/>
      <c r="O170" s="16" t="n"/>
      <c r="P170" s="17" t="n"/>
      <c r="Q170" s="41" t="n"/>
      <c r="R170" s="41" t="n"/>
      <c r="S170" s="118">
        <f>DADOS_AM!$JH$3</f>
        <v/>
      </c>
      <c r="T170" s="16" t="n"/>
      <c r="U170" s="17" t="n"/>
      <c r="V170" s="118">
        <f>DADOS_AM!$JI$3</f>
        <v/>
      </c>
      <c r="W170" s="16" t="n"/>
      <c r="X170" s="16" t="n"/>
      <c r="Y170" s="17" t="n"/>
      <c r="Z170" s="118">
        <f>DADOS_AM!$JJ$3</f>
        <v/>
      </c>
      <c r="AA170" s="16" t="n"/>
      <c r="AB170" s="16" t="n"/>
      <c r="AC170" s="16" t="n"/>
      <c r="AD170" s="16" t="n"/>
      <c r="AE170" s="17" t="n"/>
      <c r="AF170" s="41" t="n"/>
      <c r="AG170" s="41" t="n"/>
      <c r="AH170" s="118">
        <f>DADOS_AM!$JH$4</f>
        <v/>
      </c>
      <c r="AI170" s="16" t="n"/>
      <c r="AJ170" s="17" t="n"/>
      <c r="AK170" s="118">
        <f>DADOS_AM!$JI$4</f>
        <v/>
      </c>
      <c r="AL170" s="16" t="n"/>
      <c r="AM170" s="16" t="n"/>
      <c r="AN170" s="17" t="n"/>
      <c r="AO170" s="118">
        <f>DADOS_AM!$JJ$4</f>
        <v/>
      </c>
      <c r="AP170" s="16" t="n"/>
      <c r="AQ170" s="16" t="n"/>
      <c r="AR170" s="16" t="n"/>
      <c r="AS170" s="16" t="n"/>
      <c r="AT170" s="17" t="n"/>
    </row>
    <row r="171" outlineLevel="4">
      <c r="A171" s="8" t="n"/>
      <c r="B171" s="14" t="n"/>
      <c r="C171" s="41" t="n"/>
      <c r="D171" s="116">
        <f>DADOS_AM!$JK$2</f>
        <v/>
      </c>
      <c r="E171" s="19" t="n"/>
      <c r="F171" s="19" t="n"/>
      <c r="G171" s="19" t="n"/>
      <c r="H171" s="19" t="n"/>
      <c r="I171" s="19" t="n"/>
      <c r="J171" s="19" t="n"/>
      <c r="K171" s="19" t="n"/>
      <c r="L171" s="19" t="n"/>
      <c r="M171" s="19" t="n"/>
      <c r="N171" s="19" t="n"/>
      <c r="O171" s="19" t="n"/>
      <c r="P171" s="20" t="n"/>
      <c r="Q171" s="41" t="n"/>
      <c r="R171" s="41" t="n"/>
      <c r="S171" s="116">
        <f>DADOS_AM!$JK$3</f>
        <v/>
      </c>
      <c r="T171" s="19" t="n"/>
      <c r="U171" s="19" t="n"/>
      <c r="V171" s="19" t="n"/>
      <c r="W171" s="19" t="n"/>
      <c r="X171" s="19" t="n"/>
      <c r="Y171" s="19" t="n"/>
      <c r="Z171" s="19" t="n"/>
      <c r="AA171" s="19" t="n"/>
      <c r="AB171" s="19" t="n"/>
      <c r="AC171" s="19" t="n"/>
      <c r="AD171" s="19" t="n"/>
      <c r="AE171" s="20" t="n"/>
      <c r="AF171" s="41" t="n"/>
      <c r="AG171" s="41" t="n"/>
      <c r="AH171" s="116">
        <f>DADOS_AM!$JK$4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DADOS_AM!$JF$5</f>
        <v/>
      </c>
      <c r="E179" s="17" t="n"/>
      <c r="F179" s="115">
        <f>DADOS_AM!$JG$5</f>
        <v/>
      </c>
      <c r="G179" s="16" t="n"/>
      <c r="H179" s="16" t="n"/>
      <c r="I179" s="16" t="n"/>
      <c r="J179" s="16" t="n"/>
      <c r="K179" s="16" t="n"/>
      <c r="L179" s="16" t="n"/>
      <c r="M179" s="16" t="n"/>
      <c r="N179" s="16" t="n"/>
      <c r="O179" s="16" t="n"/>
      <c r="P179" s="17" t="n"/>
      <c r="Q179" s="41" t="n"/>
      <c r="R179" s="41" t="n"/>
      <c r="S179" s="117">
        <f>DADOS_AM!$JF$6</f>
        <v/>
      </c>
      <c r="T179" s="17" t="n"/>
      <c r="U179" s="115">
        <f>DADOS_AM!$JG$6</f>
        <v/>
      </c>
      <c r="V179" s="16" t="n"/>
      <c r="W179" s="16" t="n"/>
      <c r="X179" s="16" t="n"/>
      <c r="Y179" s="16" t="n"/>
      <c r="Z179" s="16" t="n"/>
      <c r="AA179" s="16" t="n"/>
      <c r="AB179" s="16" t="n"/>
      <c r="AC179" s="16" t="n"/>
      <c r="AD179" s="16" t="n"/>
      <c r="AE179" s="17" t="n"/>
      <c r="AF179" s="41" t="n"/>
      <c r="AG179" s="41" t="n"/>
      <c r="AH179" s="117">
        <f>DADOS_AM!$JF$7</f>
        <v/>
      </c>
      <c r="AI179" s="17" t="n"/>
      <c r="AJ179" s="115">
        <f>DADOS_AM!$JG$7</f>
        <v/>
      </c>
      <c r="AK179" s="16" t="n"/>
      <c r="AL179" s="16" t="n"/>
      <c r="AM179" s="16" t="n"/>
      <c r="AN179" s="16" t="n"/>
      <c r="AO179" s="16" t="n"/>
      <c r="AP179" s="16" t="n"/>
      <c r="AQ179" s="16" t="n"/>
      <c r="AR179" s="16" t="n"/>
      <c r="AS179" s="16" t="n"/>
      <c r="AT179" s="17" t="n"/>
    </row>
    <row r="180" outlineLevel="3">
      <c r="A180" s="8" t="n"/>
      <c r="B180" s="14" t="n"/>
      <c r="C180" s="41" t="n"/>
      <c r="D180" s="118">
        <f>DADOS_AM!$JH$5</f>
        <v/>
      </c>
      <c r="E180" s="16" t="n"/>
      <c r="F180" s="17" t="n"/>
      <c r="G180" s="118">
        <f>DADOS_AM!$JI$5</f>
        <v/>
      </c>
      <c r="H180" s="16" t="n"/>
      <c r="I180" s="16" t="n"/>
      <c r="J180" s="17" t="n"/>
      <c r="K180" s="118">
        <f>DADOS_AM!$JJ$5</f>
        <v/>
      </c>
      <c r="L180" s="16" t="n"/>
      <c r="M180" s="16" t="n"/>
      <c r="N180" s="16" t="n"/>
      <c r="O180" s="16" t="n"/>
      <c r="P180" s="17" t="n"/>
      <c r="Q180" s="41" t="n"/>
      <c r="R180" s="41" t="n"/>
      <c r="S180" s="118">
        <f>DADOS_AM!$JH$6</f>
        <v/>
      </c>
      <c r="T180" s="16" t="n"/>
      <c r="U180" s="17" t="n"/>
      <c r="V180" s="118">
        <f>DADOS_AM!$JI$6</f>
        <v/>
      </c>
      <c r="W180" s="16" t="n"/>
      <c r="X180" s="16" t="n"/>
      <c r="Y180" s="17" t="n"/>
      <c r="Z180" s="118">
        <f>DADOS_AM!$JJ$6</f>
        <v/>
      </c>
      <c r="AA180" s="16" t="n"/>
      <c r="AB180" s="16" t="n"/>
      <c r="AC180" s="16" t="n"/>
      <c r="AD180" s="16" t="n"/>
      <c r="AE180" s="17" t="n"/>
      <c r="AF180" s="41" t="n"/>
      <c r="AG180" s="41" t="n"/>
      <c r="AH180" s="118">
        <f>DADOS_AM!$JH$7</f>
        <v/>
      </c>
      <c r="AI180" s="16" t="n"/>
      <c r="AJ180" s="17" t="n"/>
      <c r="AK180" s="118">
        <f>DADOS_AM!$JI$7</f>
        <v/>
      </c>
      <c r="AL180" s="16" t="n"/>
      <c r="AM180" s="16" t="n"/>
      <c r="AN180" s="17" t="n"/>
      <c r="AO180" s="118">
        <f>DADOS_AM!$JJ$7</f>
        <v/>
      </c>
      <c r="AP180" s="16" t="n"/>
      <c r="AQ180" s="16" t="n"/>
      <c r="AR180" s="16" t="n"/>
      <c r="AS180" s="16" t="n"/>
      <c r="AT180" s="17" t="n"/>
    </row>
    <row r="181" hidden="1" outlineLevel="4">
      <c r="A181" s="8" t="n"/>
      <c r="B181" s="14" t="n"/>
      <c r="C181" s="41" t="n"/>
      <c r="D181" s="116">
        <f>DADOS_AM!$JK$5</f>
        <v/>
      </c>
      <c r="E181" s="19" t="n"/>
      <c r="F181" s="19" t="n"/>
      <c r="G181" s="19" t="n"/>
      <c r="H181" s="19" t="n"/>
      <c r="I181" s="19" t="n"/>
      <c r="J181" s="19" t="n"/>
      <c r="K181" s="19" t="n"/>
      <c r="L181" s="19" t="n"/>
      <c r="M181" s="19" t="n"/>
      <c r="N181" s="19" t="n"/>
      <c r="O181" s="19" t="n"/>
      <c r="P181" s="20" t="n"/>
      <c r="Q181" s="41" t="n"/>
      <c r="R181" s="41" t="n"/>
      <c r="S181" s="116">
        <f>DADOS_AM!$JK$6</f>
        <v/>
      </c>
      <c r="T181" s="19" t="n"/>
      <c r="U181" s="19" t="n"/>
      <c r="V181" s="19" t="n"/>
      <c r="W181" s="19" t="n"/>
      <c r="X181" s="19" t="n"/>
      <c r="Y181" s="19" t="n"/>
      <c r="Z181" s="19" t="n"/>
      <c r="AA181" s="19" t="n"/>
      <c r="AB181" s="19" t="n"/>
      <c r="AC181" s="19" t="n"/>
      <c r="AD181" s="19" t="n"/>
      <c r="AE181" s="20" t="n"/>
      <c r="AF181" s="41" t="n"/>
      <c r="AG181" s="41" t="n"/>
      <c r="AH181" s="116">
        <f>DADOS_AM!$JK$7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DADOS_AM!$KO$10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DADOS_AM!$JF$8</f>
        <v/>
      </c>
      <c r="E189" s="17" t="n"/>
      <c r="F189" s="115">
        <f>DADOS_AM!$JG$8</f>
        <v/>
      </c>
      <c r="G189" s="16" t="n"/>
      <c r="H189" s="16" t="n"/>
      <c r="I189" s="16" t="n"/>
      <c r="J189" s="16" t="n"/>
      <c r="K189" s="16" t="n"/>
      <c r="L189" s="16" t="n"/>
      <c r="M189" s="16" t="n"/>
      <c r="N189" s="16" t="n"/>
      <c r="O189" s="16" t="n"/>
      <c r="P189" s="17" t="n"/>
      <c r="Q189" s="41" t="n"/>
      <c r="R189" s="41" t="n"/>
      <c r="S189" s="117">
        <f>DADOS_AM!$JF$9</f>
        <v/>
      </c>
      <c r="T189" s="17" t="n"/>
      <c r="U189" s="115">
        <f>DADOS_AM!$JG$9</f>
        <v/>
      </c>
      <c r="V189" s="16" t="n"/>
      <c r="W189" s="16" t="n"/>
      <c r="X189" s="16" t="n"/>
      <c r="Y189" s="16" t="n"/>
      <c r="Z189" s="16" t="n"/>
      <c r="AA189" s="16" t="n"/>
      <c r="AB189" s="16" t="n"/>
      <c r="AC189" s="16" t="n"/>
      <c r="AD189" s="16" t="n"/>
      <c r="AE189" s="17" t="n"/>
      <c r="AF189" s="41" t="n"/>
      <c r="AG189" s="41" t="n"/>
      <c r="AH189" s="117">
        <f>DADOS_AM!$JF$10</f>
        <v/>
      </c>
      <c r="AI189" s="17" t="n"/>
      <c r="AJ189" s="115">
        <f>DADOS_AM!$JG$10</f>
        <v/>
      </c>
      <c r="AK189" s="16" t="n"/>
      <c r="AL189" s="16" t="n"/>
      <c r="AM189" s="16" t="n"/>
      <c r="AN189" s="16" t="n"/>
      <c r="AO189" s="16" t="n"/>
      <c r="AP189" s="16" t="n"/>
      <c r="AQ189" s="16" t="n"/>
      <c r="AR189" s="16" t="n"/>
      <c r="AS189" s="16" t="n"/>
      <c r="AT189" s="17" t="n"/>
    </row>
    <row r="190" hidden="1" outlineLevel="3">
      <c r="A190" s="8" t="n"/>
      <c r="B190" s="14" t="n"/>
      <c r="C190" s="41" t="n"/>
      <c r="D190" s="118">
        <f>DADOS_AM!$JH$8</f>
        <v/>
      </c>
      <c r="E190" s="16" t="n"/>
      <c r="F190" s="17" t="n"/>
      <c r="G190" s="118">
        <f>DADOS_AM!$JI$8</f>
        <v/>
      </c>
      <c r="H190" s="16" t="n"/>
      <c r="I190" s="16" t="n"/>
      <c r="J190" s="17" t="n"/>
      <c r="K190" s="118">
        <f>DADOS_AM!$JJ$8</f>
        <v/>
      </c>
      <c r="L190" s="16" t="n"/>
      <c r="M190" s="16" t="n"/>
      <c r="N190" s="16" t="n"/>
      <c r="O190" s="16" t="n"/>
      <c r="P190" s="17" t="n"/>
      <c r="Q190" s="41" t="n"/>
      <c r="R190" s="41" t="n"/>
      <c r="S190" s="118">
        <f>DADOS_AM!$JH$9</f>
        <v/>
      </c>
      <c r="T190" s="16" t="n"/>
      <c r="U190" s="17" t="n"/>
      <c r="V190" s="118">
        <f>DADOS_AM!$JI$9</f>
        <v/>
      </c>
      <c r="W190" s="16" t="n"/>
      <c r="X190" s="16" t="n"/>
      <c r="Y190" s="17" t="n"/>
      <c r="Z190" s="118">
        <f>DADOS_AM!$JJ$9</f>
        <v/>
      </c>
      <c r="AA190" s="16" t="n"/>
      <c r="AB190" s="16" t="n"/>
      <c r="AC190" s="16" t="n"/>
      <c r="AD190" s="16" t="n"/>
      <c r="AE190" s="17" t="n"/>
      <c r="AF190" s="41" t="n"/>
      <c r="AG190" s="41" t="n"/>
      <c r="AH190" s="118">
        <f>DADOS_AM!$JH$10</f>
        <v/>
      </c>
      <c r="AI190" s="16" t="n"/>
      <c r="AJ190" s="17" t="n"/>
      <c r="AK190" s="118">
        <f>DADOS_AM!$JI$10</f>
        <v/>
      </c>
      <c r="AL190" s="16" t="n"/>
      <c r="AM190" s="16" t="n"/>
      <c r="AN190" s="17" t="n"/>
      <c r="AO190" s="118">
        <f>DADOS_AM!$JJ$10</f>
        <v/>
      </c>
      <c r="AP190" s="16" t="n"/>
      <c r="AQ190" s="16" t="n"/>
      <c r="AR190" s="16" t="n"/>
      <c r="AS190" s="16" t="n"/>
      <c r="AT190" s="17" t="n"/>
    </row>
    <row r="191" hidden="1" outlineLevel="4">
      <c r="A191" s="8" t="n"/>
      <c r="B191" s="14" t="n"/>
      <c r="C191" s="41" t="n"/>
      <c r="D191" s="116">
        <f>DADOS_AM!$JK$8</f>
        <v/>
      </c>
      <c r="E191" s="19" t="n"/>
      <c r="F191" s="19" t="n"/>
      <c r="G191" s="19" t="n"/>
      <c r="H191" s="19" t="n"/>
      <c r="I191" s="19" t="n"/>
      <c r="J191" s="19" t="n"/>
      <c r="K191" s="19" t="n"/>
      <c r="L191" s="19" t="n"/>
      <c r="M191" s="19" t="n"/>
      <c r="N191" s="19" t="n"/>
      <c r="O191" s="19" t="n"/>
      <c r="P191" s="20" t="n"/>
      <c r="Q191" s="41" t="n"/>
      <c r="R191" s="41" t="n"/>
      <c r="S191" s="116">
        <f>DADOS_AM!$JK$9</f>
        <v/>
      </c>
      <c r="T191" s="19" t="n"/>
      <c r="U191" s="19" t="n"/>
      <c r="V191" s="19" t="n"/>
      <c r="W191" s="19" t="n"/>
      <c r="X191" s="19" t="n"/>
      <c r="Y191" s="19" t="n"/>
      <c r="Z191" s="19" t="n"/>
      <c r="AA191" s="19" t="n"/>
      <c r="AB191" s="19" t="n"/>
      <c r="AC191" s="19" t="n"/>
      <c r="AD191" s="19" t="n"/>
      <c r="AE191" s="20" t="n"/>
      <c r="AF191" s="41" t="n"/>
      <c r="AG191" s="41" t="n"/>
      <c r="AH191" s="116">
        <f>DADOS_AM!$JK$10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DADOS_AM!$JF$11</f>
        <v/>
      </c>
      <c r="E199" s="17" t="n"/>
      <c r="F199" s="115">
        <f>DADOS_AM!$JG$11</f>
        <v/>
      </c>
      <c r="G199" s="16" t="n"/>
      <c r="H199" s="16" t="n"/>
      <c r="I199" s="16" t="n"/>
      <c r="J199" s="16" t="n"/>
      <c r="K199" s="16" t="n"/>
      <c r="L199" s="16" t="n"/>
      <c r="M199" s="16" t="n"/>
      <c r="N199" s="16" t="n"/>
      <c r="O199" s="16" t="n"/>
      <c r="P199" s="17" t="n"/>
      <c r="Q199" s="41" t="n"/>
      <c r="R199" s="41" t="n"/>
      <c r="S199" s="117">
        <f>DADOS_AM!$JF$12</f>
        <v/>
      </c>
      <c r="T199" s="17" t="n"/>
      <c r="U199" s="115">
        <f>DADOS_AM!$JG$12</f>
        <v/>
      </c>
      <c r="V199" s="16" t="n"/>
      <c r="W199" s="16" t="n"/>
      <c r="X199" s="16" t="n"/>
      <c r="Y199" s="16" t="n"/>
      <c r="Z199" s="16" t="n"/>
      <c r="AA199" s="16" t="n"/>
      <c r="AB199" s="16" t="n"/>
      <c r="AC199" s="16" t="n"/>
      <c r="AD199" s="16" t="n"/>
      <c r="AE199" s="17" t="n"/>
      <c r="AF199" s="41" t="n"/>
      <c r="AG199" s="41" t="n"/>
      <c r="AH199" s="117">
        <f>DADOS_AM!$JF$13</f>
        <v/>
      </c>
      <c r="AI199" s="17" t="n"/>
      <c r="AJ199" s="115">
        <f>DADOS_AM!$JG$13</f>
        <v/>
      </c>
      <c r="AK199" s="16" t="n"/>
      <c r="AL199" s="16" t="n"/>
      <c r="AM199" s="16" t="n"/>
      <c r="AN199" s="16" t="n"/>
      <c r="AO199" s="16" t="n"/>
      <c r="AP199" s="16" t="n"/>
      <c r="AQ199" s="16" t="n"/>
      <c r="AR199" s="16" t="n"/>
      <c r="AS199" s="16" t="n"/>
      <c r="AT199" s="17" t="n"/>
    </row>
    <row r="200" hidden="1" outlineLevel="3">
      <c r="A200" s="8" t="n"/>
      <c r="B200" s="14" t="n"/>
      <c r="C200" s="41" t="n"/>
      <c r="D200" s="118">
        <f>DADOS_AM!$JH$11</f>
        <v/>
      </c>
      <c r="E200" s="16" t="n"/>
      <c r="F200" s="17" t="n"/>
      <c r="G200" s="118">
        <f>DADOS_AM!$JI$11</f>
        <v/>
      </c>
      <c r="H200" s="16" t="n"/>
      <c r="I200" s="16" t="n"/>
      <c r="J200" s="17" t="n"/>
      <c r="K200" s="118">
        <f>DADOS_AM!$JJ$11</f>
        <v/>
      </c>
      <c r="L200" s="16" t="n"/>
      <c r="M200" s="16" t="n"/>
      <c r="N200" s="16" t="n"/>
      <c r="O200" s="16" t="n"/>
      <c r="P200" s="17" t="n"/>
      <c r="Q200" s="41" t="n"/>
      <c r="R200" s="41" t="n"/>
      <c r="S200" s="118">
        <f>DADOS_AM!$JH$12</f>
        <v/>
      </c>
      <c r="T200" s="16" t="n"/>
      <c r="U200" s="17" t="n"/>
      <c r="V200" s="118">
        <f>DADOS_AM!$JI$12</f>
        <v/>
      </c>
      <c r="W200" s="16" t="n"/>
      <c r="X200" s="16" t="n"/>
      <c r="Y200" s="17" t="n"/>
      <c r="Z200" s="118">
        <f>DADOS_AM!$JJ$12</f>
        <v/>
      </c>
      <c r="AA200" s="16" t="n"/>
      <c r="AB200" s="16" t="n"/>
      <c r="AC200" s="16" t="n"/>
      <c r="AD200" s="16" t="n"/>
      <c r="AE200" s="17" t="n"/>
      <c r="AF200" s="41" t="n"/>
      <c r="AG200" s="41" t="n"/>
      <c r="AH200" s="118">
        <f>DADOS_AM!$JH$13</f>
        <v/>
      </c>
      <c r="AI200" s="16" t="n"/>
      <c r="AJ200" s="17" t="n"/>
      <c r="AK200" s="118">
        <f>DADOS_AM!$JI$13</f>
        <v/>
      </c>
      <c r="AL200" s="16" t="n"/>
      <c r="AM200" s="16" t="n"/>
      <c r="AN200" s="17" t="n"/>
      <c r="AO200" s="118">
        <f>DADOS_AM!$JJ$13</f>
        <v/>
      </c>
      <c r="AP200" s="16" t="n"/>
      <c r="AQ200" s="16" t="n"/>
      <c r="AR200" s="16" t="n"/>
      <c r="AS200" s="16" t="n"/>
      <c r="AT200" s="17" t="n"/>
    </row>
    <row r="201" hidden="1" outlineLevel="4">
      <c r="A201" s="8" t="n"/>
      <c r="B201" s="14" t="n"/>
      <c r="C201" s="41" t="n"/>
      <c r="D201" s="116">
        <f>DADOS_AM!$JK$11</f>
        <v/>
      </c>
      <c r="E201" s="19" t="n"/>
      <c r="F201" s="19" t="n"/>
      <c r="G201" s="19" t="n"/>
      <c r="H201" s="19" t="n"/>
      <c r="I201" s="19" t="n"/>
      <c r="J201" s="19" t="n"/>
      <c r="K201" s="19" t="n"/>
      <c r="L201" s="19" t="n"/>
      <c r="M201" s="19" t="n"/>
      <c r="N201" s="19" t="n"/>
      <c r="O201" s="19" t="n"/>
      <c r="P201" s="20" t="n"/>
      <c r="Q201" s="41" t="n"/>
      <c r="R201" s="41" t="n"/>
      <c r="S201" s="116">
        <f>DADOS_AM!$JK$12</f>
        <v/>
      </c>
      <c r="T201" s="19" t="n"/>
      <c r="U201" s="19" t="n"/>
      <c r="V201" s="19" t="n"/>
      <c r="W201" s="19" t="n"/>
      <c r="X201" s="19" t="n"/>
      <c r="Y201" s="19" t="n"/>
      <c r="Z201" s="19" t="n"/>
      <c r="AA201" s="19" t="n"/>
      <c r="AB201" s="19" t="n"/>
      <c r="AC201" s="19" t="n"/>
      <c r="AD201" s="19" t="n"/>
      <c r="AE201" s="20" t="n"/>
      <c r="AF201" s="41" t="n"/>
      <c r="AG201" s="41" t="n"/>
      <c r="AH201" s="116">
        <f>DADOS_AM!$JK$13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DADOS_AM!$KO$11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DADOS_AM!$JF$14</f>
        <v/>
      </c>
      <c r="E209" s="17" t="n"/>
      <c r="F209" s="115">
        <f>DADOS_AM!$JG$14</f>
        <v/>
      </c>
      <c r="G209" s="16" t="n"/>
      <c r="H209" s="16" t="n"/>
      <c r="I209" s="16" t="n"/>
      <c r="J209" s="16" t="n"/>
      <c r="K209" s="16" t="n"/>
      <c r="L209" s="16" t="n"/>
      <c r="M209" s="16" t="n"/>
      <c r="N209" s="16" t="n"/>
      <c r="O209" s="16" t="n"/>
      <c r="P209" s="17" t="n"/>
      <c r="Q209" s="41" t="n"/>
      <c r="R209" s="41" t="n"/>
      <c r="S209" s="117">
        <f>DADOS_AM!$JF$15</f>
        <v/>
      </c>
      <c r="T209" s="17" t="n"/>
      <c r="U209" s="115">
        <f>DADOS_AM!$JG$15</f>
        <v/>
      </c>
      <c r="V209" s="16" t="n"/>
      <c r="W209" s="16" t="n"/>
      <c r="X209" s="16" t="n"/>
      <c r="Y209" s="16" t="n"/>
      <c r="Z209" s="16" t="n"/>
      <c r="AA209" s="16" t="n"/>
      <c r="AB209" s="16" t="n"/>
      <c r="AC209" s="16" t="n"/>
      <c r="AD209" s="16" t="n"/>
      <c r="AE209" s="17" t="n"/>
      <c r="AF209" s="41" t="n"/>
      <c r="AG209" s="41" t="n"/>
      <c r="AH209" s="117">
        <f>DADOS_AM!$JF$16</f>
        <v/>
      </c>
      <c r="AI209" s="17" t="n"/>
      <c r="AJ209" s="115">
        <f>DADOS_AM!$JG$16</f>
        <v/>
      </c>
      <c r="AK209" s="16" t="n"/>
      <c r="AL209" s="16" t="n"/>
      <c r="AM209" s="16" t="n"/>
      <c r="AN209" s="16" t="n"/>
      <c r="AO209" s="16" t="n"/>
      <c r="AP209" s="16" t="n"/>
      <c r="AQ209" s="16" t="n"/>
      <c r="AR209" s="16" t="n"/>
      <c r="AS209" s="16" t="n"/>
      <c r="AT209" s="17" t="n"/>
    </row>
    <row r="210" hidden="1" outlineLevel="3">
      <c r="A210" s="8" t="n"/>
      <c r="B210" s="14" t="n"/>
      <c r="C210" s="41" t="n"/>
      <c r="D210" s="118">
        <f>DADOS_AM!$JH$14</f>
        <v/>
      </c>
      <c r="E210" s="16" t="n"/>
      <c r="F210" s="17" t="n"/>
      <c r="G210" s="118">
        <f>DADOS_AM!$JI$14</f>
        <v/>
      </c>
      <c r="H210" s="16" t="n"/>
      <c r="I210" s="16" t="n"/>
      <c r="J210" s="17" t="n"/>
      <c r="K210" s="118">
        <f>DADOS_AM!$JJ$14</f>
        <v/>
      </c>
      <c r="L210" s="16" t="n"/>
      <c r="M210" s="16" t="n"/>
      <c r="N210" s="16" t="n"/>
      <c r="O210" s="16" t="n"/>
      <c r="P210" s="17" t="n"/>
      <c r="Q210" s="41" t="n"/>
      <c r="R210" s="41" t="n"/>
      <c r="S210" s="118">
        <f>DADOS_AM!$JH$15</f>
        <v/>
      </c>
      <c r="T210" s="16" t="n"/>
      <c r="U210" s="17" t="n"/>
      <c r="V210" s="118">
        <f>DADOS_AM!$JI$15</f>
        <v/>
      </c>
      <c r="W210" s="16" t="n"/>
      <c r="X210" s="16" t="n"/>
      <c r="Y210" s="17" t="n"/>
      <c r="Z210" s="118">
        <f>DADOS_AM!$JJ$15</f>
        <v/>
      </c>
      <c r="AA210" s="16" t="n"/>
      <c r="AB210" s="16" t="n"/>
      <c r="AC210" s="16" t="n"/>
      <c r="AD210" s="16" t="n"/>
      <c r="AE210" s="17" t="n"/>
      <c r="AF210" s="41" t="n"/>
      <c r="AG210" s="41" t="n"/>
      <c r="AH210" s="118">
        <f>DADOS_AM!$JH$16</f>
        <v/>
      </c>
      <c r="AI210" s="16" t="n"/>
      <c r="AJ210" s="17" t="n"/>
      <c r="AK210" s="118">
        <f>DADOS_AM!$JI$16</f>
        <v/>
      </c>
      <c r="AL210" s="16" t="n"/>
      <c r="AM210" s="16" t="n"/>
      <c r="AN210" s="17" t="n"/>
      <c r="AO210" s="118">
        <f>DADOS_AM!$JJ$16</f>
        <v/>
      </c>
      <c r="AP210" s="16" t="n"/>
      <c r="AQ210" s="16" t="n"/>
      <c r="AR210" s="16" t="n"/>
      <c r="AS210" s="16" t="n"/>
      <c r="AT210" s="17" t="n"/>
    </row>
    <row r="211" hidden="1" outlineLevel="4">
      <c r="A211" s="8" t="n"/>
      <c r="B211" s="14" t="n"/>
      <c r="C211" s="41" t="n"/>
      <c r="D211" s="116">
        <f>DADOS_AM!$JK$14</f>
        <v/>
      </c>
      <c r="E211" s="19" t="n"/>
      <c r="F211" s="19" t="n"/>
      <c r="G211" s="19" t="n"/>
      <c r="H211" s="19" t="n"/>
      <c r="I211" s="19" t="n"/>
      <c r="J211" s="19" t="n"/>
      <c r="K211" s="19" t="n"/>
      <c r="L211" s="19" t="n"/>
      <c r="M211" s="19" t="n"/>
      <c r="N211" s="19" t="n"/>
      <c r="O211" s="19" t="n"/>
      <c r="P211" s="20" t="n"/>
      <c r="Q211" s="41" t="n"/>
      <c r="R211" s="41" t="n"/>
      <c r="S211" s="116">
        <f>DADOS_AM!$JK$15</f>
        <v/>
      </c>
      <c r="T211" s="19" t="n"/>
      <c r="U211" s="19" t="n"/>
      <c r="V211" s="19" t="n"/>
      <c r="W211" s="19" t="n"/>
      <c r="X211" s="19" t="n"/>
      <c r="Y211" s="19" t="n"/>
      <c r="Z211" s="19" t="n"/>
      <c r="AA211" s="19" t="n"/>
      <c r="AB211" s="19" t="n"/>
      <c r="AC211" s="19" t="n"/>
      <c r="AD211" s="19" t="n"/>
      <c r="AE211" s="20" t="n"/>
      <c r="AF211" s="41" t="n"/>
      <c r="AG211" s="41" t="n"/>
      <c r="AH211" s="116">
        <f>DADOS_AM!$JK$16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DADOS_AM!$JF$17</f>
        <v/>
      </c>
      <c r="E219" s="17" t="n"/>
      <c r="F219" s="115">
        <f>DADOS_AM!$JG$17</f>
        <v/>
      </c>
      <c r="G219" s="16" t="n"/>
      <c r="H219" s="16" t="n"/>
      <c r="I219" s="16" t="n"/>
      <c r="J219" s="16" t="n"/>
      <c r="K219" s="16" t="n"/>
      <c r="L219" s="16" t="n"/>
      <c r="M219" s="16" t="n"/>
      <c r="N219" s="16" t="n"/>
      <c r="O219" s="16" t="n"/>
      <c r="P219" s="17" t="n"/>
      <c r="Q219" s="41" t="n"/>
      <c r="R219" s="41" t="n"/>
      <c r="S219" s="117">
        <f>DADOS_AM!$JF$18</f>
        <v/>
      </c>
      <c r="T219" s="17" t="n"/>
      <c r="U219" s="115">
        <f>DADOS_AM!$JG$18</f>
        <v/>
      </c>
      <c r="V219" s="16" t="n"/>
      <c r="W219" s="16" t="n"/>
      <c r="X219" s="16" t="n"/>
      <c r="Y219" s="16" t="n"/>
      <c r="Z219" s="16" t="n"/>
      <c r="AA219" s="16" t="n"/>
      <c r="AB219" s="16" t="n"/>
      <c r="AC219" s="16" t="n"/>
      <c r="AD219" s="16" t="n"/>
      <c r="AE219" s="17" t="n"/>
      <c r="AF219" s="41" t="n"/>
      <c r="AG219" s="41" t="n"/>
      <c r="AH219" s="117">
        <f>DADOS_AM!$JF$19</f>
        <v/>
      </c>
      <c r="AI219" s="17" t="n"/>
      <c r="AJ219" s="115">
        <f>DADOS_AM!$JG$19</f>
        <v/>
      </c>
      <c r="AK219" s="16" t="n"/>
      <c r="AL219" s="16" t="n"/>
      <c r="AM219" s="16" t="n"/>
      <c r="AN219" s="16" t="n"/>
      <c r="AO219" s="16" t="n"/>
      <c r="AP219" s="16" t="n"/>
      <c r="AQ219" s="16" t="n"/>
      <c r="AR219" s="16" t="n"/>
      <c r="AS219" s="16" t="n"/>
      <c r="AT219" s="17" t="n"/>
    </row>
    <row r="220" hidden="1" outlineLevel="3">
      <c r="A220" s="8" t="n"/>
      <c r="B220" s="14" t="n"/>
      <c r="C220" s="41" t="n"/>
      <c r="D220" s="118">
        <f>DADOS_AM!$JH$17</f>
        <v/>
      </c>
      <c r="E220" s="16" t="n"/>
      <c r="F220" s="17" t="n"/>
      <c r="G220" s="118">
        <f>DADOS_AM!$JI$17</f>
        <v/>
      </c>
      <c r="H220" s="16" t="n"/>
      <c r="I220" s="16" t="n"/>
      <c r="J220" s="17" t="n"/>
      <c r="K220" s="118">
        <f>DADOS_AM!$JJ$17</f>
        <v/>
      </c>
      <c r="L220" s="16" t="n"/>
      <c r="M220" s="16" t="n"/>
      <c r="N220" s="16" t="n"/>
      <c r="O220" s="16" t="n"/>
      <c r="P220" s="17" t="n"/>
      <c r="Q220" s="41" t="n"/>
      <c r="R220" s="41" t="n"/>
      <c r="S220" s="118">
        <f>DADOS_AM!$JH$18</f>
        <v/>
      </c>
      <c r="T220" s="16" t="n"/>
      <c r="U220" s="17" t="n"/>
      <c r="V220" s="118">
        <f>DADOS_AM!$JI$18</f>
        <v/>
      </c>
      <c r="W220" s="16" t="n"/>
      <c r="X220" s="16" t="n"/>
      <c r="Y220" s="17" t="n"/>
      <c r="Z220" s="118">
        <f>DADOS_AM!$JJ$18</f>
        <v/>
      </c>
      <c r="AA220" s="16" t="n"/>
      <c r="AB220" s="16" t="n"/>
      <c r="AC220" s="16" t="n"/>
      <c r="AD220" s="16" t="n"/>
      <c r="AE220" s="17" t="n"/>
      <c r="AF220" s="41" t="n"/>
      <c r="AG220" s="41" t="n"/>
      <c r="AH220" s="118">
        <f>DADOS_AM!$JH$19</f>
        <v/>
      </c>
      <c r="AI220" s="16" t="n"/>
      <c r="AJ220" s="17" t="n"/>
      <c r="AK220" s="118">
        <f>DADOS_AM!$JI$19</f>
        <v/>
      </c>
      <c r="AL220" s="16" t="n"/>
      <c r="AM220" s="16" t="n"/>
      <c r="AN220" s="17" t="n"/>
      <c r="AO220" s="118">
        <f>DADOS_AM!$JJ$19</f>
        <v/>
      </c>
      <c r="AP220" s="16" t="n"/>
      <c r="AQ220" s="16" t="n"/>
      <c r="AR220" s="16" t="n"/>
      <c r="AS220" s="16" t="n"/>
      <c r="AT220" s="17" t="n"/>
    </row>
    <row r="221" hidden="1" outlineLevel="4">
      <c r="A221" s="8" t="n"/>
      <c r="B221" s="14" t="n"/>
      <c r="C221" s="41" t="n"/>
      <c r="D221" s="116">
        <f>DADOS_AM!$JK$17</f>
        <v/>
      </c>
      <c r="E221" s="19" t="n"/>
      <c r="F221" s="19" t="n"/>
      <c r="G221" s="19" t="n"/>
      <c r="H221" s="19" t="n"/>
      <c r="I221" s="19" t="n"/>
      <c r="J221" s="19" t="n"/>
      <c r="K221" s="19" t="n"/>
      <c r="L221" s="19" t="n"/>
      <c r="M221" s="19" t="n"/>
      <c r="N221" s="19" t="n"/>
      <c r="O221" s="19" t="n"/>
      <c r="P221" s="20" t="n"/>
      <c r="Q221" s="41" t="n"/>
      <c r="R221" s="41" t="n"/>
      <c r="S221" s="116">
        <f>DADOS_AM!$JK$18</f>
        <v/>
      </c>
      <c r="T221" s="19" t="n"/>
      <c r="U221" s="19" t="n"/>
      <c r="V221" s="19" t="n"/>
      <c r="W221" s="19" t="n"/>
      <c r="X221" s="19" t="n"/>
      <c r="Y221" s="19" t="n"/>
      <c r="Z221" s="19" t="n"/>
      <c r="AA221" s="19" t="n"/>
      <c r="AB221" s="19" t="n"/>
      <c r="AC221" s="19" t="n"/>
      <c r="AD221" s="19" t="n"/>
      <c r="AE221" s="20" t="n"/>
      <c r="AF221" s="41" t="n"/>
      <c r="AG221" s="41" t="n"/>
      <c r="AH221" s="116">
        <f>DADOS_AM!$JK$19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DADOS_AM!$KO$12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DADOS_AM!$JF$20</f>
        <v/>
      </c>
      <c r="E229" s="17" t="n"/>
      <c r="F229" s="115">
        <f>DADOS_AM!$JG$20</f>
        <v/>
      </c>
      <c r="G229" s="16" t="n"/>
      <c r="H229" s="16" t="n"/>
      <c r="I229" s="16" t="n"/>
      <c r="J229" s="16" t="n"/>
      <c r="K229" s="16" t="n"/>
      <c r="L229" s="16" t="n"/>
      <c r="M229" s="16" t="n"/>
      <c r="N229" s="16" t="n"/>
      <c r="O229" s="16" t="n"/>
      <c r="P229" s="17" t="n"/>
      <c r="Q229" s="41" t="n"/>
      <c r="R229" s="41" t="n"/>
      <c r="S229" s="117">
        <f>DADOS_AM!$JF$21</f>
        <v/>
      </c>
      <c r="T229" s="17" t="n"/>
      <c r="U229" s="115">
        <f>DADOS_AM!$JG$21</f>
        <v/>
      </c>
      <c r="V229" s="16" t="n"/>
      <c r="W229" s="16" t="n"/>
      <c r="X229" s="16" t="n"/>
      <c r="Y229" s="16" t="n"/>
      <c r="Z229" s="16" t="n"/>
      <c r="AA229" s="16" t="n"/>
      <c r="AB229" s="16" t="n"/>
      <c r="AC229" s="16" t="n"/>
      <c r="AD229" s="16" t="n"/>
      <c r="AE229" s="17" t="n"/>
      <c r="AF229" s="41" t="n"/>
      <c r="AG229" s="41" t="n"/>
      <c r="AH229" s="117">
        <f>DADOS_AM!$JF$22</f>
        <v/>
      </c>
      <c r="AI229" s="17" t="n"/>
      <c r="AJ229" s="115">
        <f>DADOS_AM!$JG$22</f>
        <v/>
      </c>
      <c r="AK229" s="16" t="n"/>
      <c r="AL229" s="16" t="n"/>
      <c r="AM229" s="16" t="n"/>
      <c r="AN229" s="16" t="n"/>
      <c r="AO229" s="16" t="n"/>
      <c r="AP229" s="16" t="n"/>
      <c r="AQ229" s="16" t="n"/>
      <c r="AR229" s="16" t="n"/>
      <c r="AS229" s="16" t="n"/>
      <c r="AT229" s="17" t="n"/>
    </row>
    <row r="230" hidden="1" outlineLevel="3">
      <c r="A230" s="8" t="n"/>
      <c r="B230" s="14" t="n"/>
      <c r="C230" s="41" t="n"/>
      <c r="D230" s="118">
        <f>DADOS_AM!$JH$20</f>
        <v/>
      </c>
      <c r="E230" s="16" t="n"/>
      <c r="F230" s="17" t="n"/>
      <c r="G230" s="118">
        <f>DADOS_AM!$JI$20</f>
        <v/>
      </c>
      <c r="H230" s="16" t="n"/>
      <c r="I230" s="16" t="n"/>
      <c r="J230" s="17" t="n"/>
      <c r="K230" s="118">
        <f>DADOS_AM!$JJ$20</f>
        <v/>
      </c>
      <c r="L230" s="16" t="n"/>
      <c r="M230" s="16" t="n"/>
      <c r="N230" s="16" t="n"/>
      <c r="O230" s="16" t="n"/>
      <c r="P230" s="17" t="n"/>
      <c r="Q230" s="41" t="n"/>
      <c r="R230" s="41" t="n"/>
      <c r="S230" s="118">
        <f>DADOS_AM!$JH$21</f>
        <v/>
      </c>
      <c r="T230" s="16" t="n"/>
      <c r="U230" s="17" t="n"/>
      <c r="V230" s="118">
        <f>DADOS_AM!$JI$21</f>
        <v/>
      </c>
      <c r="W230" s="16" t="n"/>
      <c r="X230" s="16" t="n"/>
      <c r="Y230" s="17" t="n"/>
      <c r="Z230" s="118">
        <f>DADOS_AM!$JJ$21</f>
        <v/>
      </c>
      <c r="AA230" s="16" t="n"/>
      <c r="AB230" s="16" t="n"/>
      <c r="AC230" s="16" t="n"/>
      <c r="AD230" s="16" t="n"/>
      <c r="AE230" s="17" t="n"/>
      <c r="AF230" s="41" t="n"/>
      <c r="AG230" s="41" t="n"/>
      <c r="AH230" s="118">
        <f>DADOS_AM!$JH$22</f>
        <v/>
      </c>
      <c r="AI230" s="16" t="n"/>
      <c r="AJ230" s="17" t="n"/>
      <c r="AK230" s="118">
        <f>DADOS_AM!$JI$22</f>
        <v/>
      </c>
      <c r="AL230" s="16" t="n"/>
      <c r="AM230" s="16" t="n"/>
      <c r="AN230" s="17" t="n"/>
      <c r="AO230" s="118">
        <f>DADOS_AM!$JJ$22</f>
        <v/>
      </c>
      <c r="AP230" s="16" t="n"/>
      <c r="AQ230" s="16" t="n"/>
      <c r="AR230" s="16" t="n"/>
      <c r="AS230" s="16" t="n"/>
      <c r="AT230" s="17" t="n"/>
    </row>
    <row r="231" hidden="1" outlineLevel="4">
      <c r="A231" s="8" t="n"/>
      <c r="B231" s="14" t="n"/>
      <c r="C231" s="41" t="n"/>
      <c r="D231" s="116">
        <f>DADOS_AM!$JK$20</f>
        <v/>
      </c>
      <c r="E231" s="19" t="n"/>
      <c r="F231" s="19" t="n"/>
      <c r="G231" s="19" t="n"/>
      <c r="H231" s="19" t="n"/>
      <c r="I231" s="19" t="n"/>
      <c r="J231" s="19" t="n"/>
      <c r="K231" s="19" t="n"/>
      <c r="L231" s="19" t="n"/>
      <c r="M231" s="19" t="n"/>
      <c r="N231" s="19" t="n"/>
      <c r="O231" s="19" t="n"/>
      <c r="P231" s="20" t="n"/>
      <c r="Q231" s="41" t="n"/>
      <c r="R231" s="41" t="n"/>
      <c r="S231" s="116">
        <f>DADOS_AM!$JK$21</f>
        <v/>
      </c>
      <c r="T231" s="19" t="n"/>
      <c r="U231" s="19" t="n"/>
      <c r="V231" s="19" t="n"/>
      <c r="W231" s="19" t="n"/>
      <c r="X231" s="19" t="n"/>
      <c r="Y231" s="19" t="n"/>
      <c r="Z231" s="19" t="n"/>
      <c r="AA231" s="19" t="n"/>
      <c r="AB231" s="19" t="n"/>
      <c r="AC231" s="19" t="n"/>
      <c r="AD231" s="19" t="n"/>
      <c r="AE231" s="20" t="n"/>
      <c r="AF231" s="41" t="n"/>
      <c r="AG231" s="41" t="n"/>
      <c r="AH231" s="116">
        <f>DADOS_AM!$JK$22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DADOS_AM!$JF$23</f>
        <v/>
      </c>
      <c r="E239" s="17" t="n"/>
      <c r="F239" s="115">
        <f>DADOS_AM!$JG$23</f>
        <v/>
      </c>
      <c r="G239" s="16" t="n"/>
      <c r="H239" s="16" t="n"/>
      <c r="I239" s="16" t="n"/>
      <c r="J239" s="16" t="n"/>
      <c r="K239" s="16" t="n"/>
      <c r="L239" s="16" t="n"/>
      <c r="M239" s="16" t="n"/>
      <c r="N239" s="16" t="n"/>
      <c r="O239" s="16" t="n"/>
      <c r="P239" s="17" t="n"/>
      <c r="Q239" s="41" t="n"/>
      <c r="R239" s="41" t="n"/>
      <c r="S239" s="117">
        <f>DADOS_AM!$JF$24</f>
        <v/>
      </c>
      <c r="T239" s="17" t="n"/>
      <c r="U239" s="115">
        <f>DADOS_AM!$JG$24</f>
        <v/>
      </c>
      <c r="V239" s="16" t="n"/>
      <c r="W239" s="16" t="n"/>
      <c r="X239" s="16" t="n"/>
      <c r="Y239" s="16" t="n"/>
      <c r="Z239" s="16" t="n"/>
      <c r="AA239" s="16" t="n"/>
      <c r="AB239" s="16" t="n"/>
      <c r="AC239" s="16" t="n"/>
      <c r="AD239" s="16" t="n"/>
      <c r="AE239" s="17" t="n"/>
      <c r="AF239" s="41" t="n"/>
      <c r="AG239" s="41" t="n"/>
      <c r="AH239" s="117">
        <f>DADOS_AM!$JF$25</f>
        <v/>
      </c>
      <c r="AI239" s="17" t="n"/>
      <c r="AJ239" s="115">
        <f>DADOS_AM!$JG$25</f>
        <v/>
      </c>
      <c r="AK239" s="16" t="n"/>
      <c r="AL239" s="16" t="n"/>
      <c r="AM239" s="16" t="n"/>
      <c r="AN239" s="16" t="n"/>
      <c r="AO239" s="16" t="n"/>
      <c r="AP239" s="16" t="n"/>
      <c r="AQ239" s="16" t="n"/>
      <c r="AR239" s="16" t="n"/>
      <c r="AS239" s="16" t="n"/>
      <c r="AT239" s="17" t="n"/>
    </row>
    <row r="240" hidden="1" outlineLevel="3">
      <c r="A240" s="8" t="n"/>
      <c r="B240" s="14" t="n"/>
      <c r="C240" s="41" t="n"/>
      <c r="D240" s="118">
        <f>DADOS_AM!$JH$23</f>
        <v/>
      </c>
      <c r="E240" s="16" t="n"/>
      <c r="F240" s="17" t="n"/>
      <c r="G240" s="118">
        <f>DADOS_AM!$JI$23</f>
        <v/>
      </c>
      <c r="H240" s="16" t="n"/>
      <c r="I240" s="16" t="n"/>
      <c r="J240" s="17" t="n"/>
      <c r="K240" s="118">
        <f>DADOS_AM!$JJ$23</f>
        <v/>
      </c>
      <c r="L240" s="16" t="n"/>
      <c r="M240" s="16" t="n"/>
      <c r="N240" s="16" t="n"/>
      <c r="O240" s="16" t="n"/>
      <c r="P240" s="17" t="n"/>
      <c r="Q240" s="41" t="n"/>
      <c r="R240" s="41" t="n"/>
      <c r="S240" s="118">
        <f>DADOS_AM!$JH$24</f>
        <v/>
      </c>
      <c r="T240" s="16" t="n"/>
      <c r="U240" s="17" t="n"/>
      <c r="V240" s="118">
        <f>DADOS_AM!$JI$24</f>
        <v/>
      </c>
      <c r="W240" s="16" t="n"/>
      <c r="X240" s="16" t="n"/>
      <c r="Y240" s="17" t="n"/>
      <c r="Z240" s="118">
        <f>DADOS_AM!$JJ$24</f>
        <v/>
      </c>
      <c r="AA240" s="16" t="n"/>
      <c r="AB240" s="16" t="n"/>
      <c r="AC240" s="16" t="n"/>
      <c r="AD240" s="16" t="n"/>
      <c r="AE240" s="17" t="n"/>
      <c r="AF240" s="41" t="n"/>
      <c r="AG240" s="41" t="n"/>
      <c r="AH240" s="118">
        <f>DADOS_AM!$JH$25</f>
        <v/>
      </c>
      <c r="AI240" s="16" t="n"/>
      <c r="AJ240" s="17" t="n"/>
      <c r="AK240" s="118">
        <f>DADOS_AM!$JI$25</f>
        <v/>
      </c>
      <c r="AL240" s="16" t="n"/>
      <c r="AM240" s="16" t="n"/>
      <c r="AN240" s="17" t="n"/>
      <c r="AO240" s="118">
        <f>DADOS_AM!$JJ$25</f>
        <v/>
      </c>
      <c r="AP240" s="16" t="n"/>
      <c r="AQ240" s="16" t="n"/>
      <c r="AR240" s="16" t="n"/>
      <c r="AS240" s="16" t="n"/>
      <c r="AT240" s="17" t="n"/>
    </row>
    <row r="241" hidden="1" outlineLevel="4">
      <c r="A241" s="8" t="n"/>
      <c r="B241" s="14" t="n"/>
      <c r="C241" s="41" t="n"/>
      <c r="D241" s="116">
        <f>DADOS_AM!$JK$23</f>
        <v/>
      </c>
      <c r="E241" s="19" t="n"/>
      <c r="F241" s="19" t="n"/>
      <c r="G241" s="19" t="n"/>
      <c r="H241" s="19" t="n"/>
      <c r="I241" s="19" t="n"/>
      <c r="J241" s="19" t="n"/>
      <c r="K241" s="19" t="n"/>
      <c r="L241" s="19" t="n"/>
      <c r="M241" s="19" t="n"/>
      <c r="N241" s="19" t="n"/>
      <c r="O241" s="19" t="n"/>
      <c r="P241" s="20" t="n"/>
      <c r="Q241" s="41" t="n"/>
      <c r="R241" s="41" t="n"/>
      <c r="S241" s="116">
        <f>DADOS_AM!$JK$24</f>
        <v/>
      </c>
      <c r="T241" s="19" t="n"/>
      <c r="U241" s="19" t="n"/>
      <c r="V241" s="19" t="n"/>
      <c r="W241" s="19" t="n"/>
      <c r="X241" s="19" t="n"/>
      <c r="Y241" s="19" t="n"/>
      <c r="Z241" s="19" t="n"/>
      <c r="AA241" s="19" t="n"/>
      <c r="AB241" s="19" t="n"/>
      <c r="AC241" s="19" t="n"/>
      <c r="AD241" s="19" t="n"/>
      <c r="AE241" s="20" t="n"/>
      <c r="AF241" s="41" t="n"/>
      <c r="AG241" s="41" t="n"/>
      <c r="AH241" s="116">
        <f>DADOS_AM!$JK$25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DADOS_AM!$KO$13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DADOS_AM!$JF$26</f>
        <v/>
      </c>
      <c r="E249" s="17" t="n"/>
      <c r="F249" s="115">
        <f>DADOS_AM!$JG$26</f>
        <v/>
      </c>
      <c r="G249" s="16" t="n"/>
      <c r="H249" s="16" t="n"/>
      <c r="I249" s="16" t="n"/>
      <c r="J249" s="16" t="n"/>
      <c r="K249" s="16" t="n"/>
      <c r="L249" s="16" t="n"/>
      <c r="M249" s="16" t="n"/>
      <c r="N249" s="16" t="n"/>
      <c r="O249" s="16" t="n"/>
      <c r="P249" s="17" t="n"/>
      <c r="Q249" s="41" t="n"/>
      <c r="R249" s="41" t="n"/>
      <c r="S249" s="117">
        <f>DADOS_AM!$JF$27</f>
        <v/>
      </c>
      <c r="T249" s="17" t="n"/>
      <c r="U249" s="115">
        <f>DADOS_AM!$JG$27</f>
        <v/>
      </c>
      <c r="V249" s="16" t="n"/>
      <c r="W249" s="16" t="n"/>
      <c r="X249" s="16" t="n"/>
      <c r="Y249" s="16" t="n"/>
      <c r="Z249" s="16" t="n"/>
      <c r="AA249" s="16" t="n"/>
      <c r="AB249" s="16" t="n"/>
      <c r="AC249" s="16" t="n"/>
      <c r="AD249" s="16" t="n"/>
      <c r="AE249" s="17" t="n"/>
      <c r="AF249" s="41" t="n"/>
      <c r="AG249" s="41" t="n"/>
      <c r="AH249" s="117">
        <f>DADOS_AM!$JF$28</f>
        <v/>
      </c>
      <c r="AI249" s="17" t="n"/>
      <c r="AJ249" s="115">
        <f>DADOS_AM!$JG$28</f>
        <v/>
      </c>
      <c r="AK249" s="16" t="n"/>
      <c r="AL249" s="16" t="n"/>
      <c r="AM249" s="16" t="n"/>
      <c r="AN249" s="16" t="n"/>
      <c r="AO249" s="16" t="n"/>
      <c r="AP249" s="16" t="n"/>
      <c r="AQ249" s="16" t="n"/>
      <c r="AR249" s="16" t="n"/>
      <c r="AS249" s="16" t="n"/>
      <c r="AT249" s="17" t="n"/>
    </row>
    <row r="250" hidden="1" outlineLevel="3">
      <c r="A250" s="8" t="n"/>
      <c r="B250" s="14" t="n"/>
      <c r="C250" s="41" t="n"/>
      <c r="D250" s="118">
        <f>DADOS_AM!$JH$26</f>
        <v/>
      </c>
      <c r="E250" s="16" t="n"/>
      <c r="F250" s="17" t="n"/>
      <c r="G250" s="118">
        <f>DADOS_AM!$JI$26</f>
        <v/>
      </c>
      <c r="H250" s="16" t="n"/>
      <c r="I250" s="16" t="n"/>
      <c r="J250" s="17" t="n"/>
      <c r="K250" s="118">
        <f>DADOS_AM!$JJ$26</f>
        <v/>
      </c>
      <c r="L250" s="16" t="n"/>
      <c r="M250" s="16" t="n"/>
      <c r="N250" s="16" t="n"/>
      <c r="O250" s="16" t="n"/>
      <c r="P250" s="17" t="n"/>
      <c r="Q250" s="41" t="n"/>
      <c r="R250" s="41" t="n"/>
      <c r="S250" s="118">
        <f>DADOS_AM!$JH$27</f>
        <v/>
      </c>
      <c r="T250" s="16" t="n"/>
      <c r="U250" s="17" t="n"/>
      <c r="V250" s="118">
        <f>DADOS_AM!$JI$27</f>
        <v/>
      </c>
      <c r="W250" s="16" t="n"/>
      <c r="X250" s="16" t="n"/>
      <c r="Y250" s="17" t="n"/>
      <c r="Z250" s="118">
        <f>DADOS_AM!$JJ$27</f>
        <v/>
      </c>
      <c r="AA250" s="16" t="n"/>
      <c r="AB250" s="16" t="n"/>
      <c r="AC250" s="16" t="n"/>
      <c r="AD250" s="16" t="n"/>
      <c r="AE250" s="17" t="n"/>
      <c r="AF250" s="41" t="n"/>
      <c r="AG250" s="41" t="n"/>
      <c r="AH250" s="118">
        <f>DADOS_AM!$JH$28</f>
        <v/>
      </c>
      <c r="AI250" s="16" t="n"/>
      <c r="AJ250" s="17" t="n"/>
      <c r="AK250" s="118">
        <f>DADOS_AM!$JI$28</f>
        <v/>
      </c>
      <c r="AL250" s="16" t="n"/>
      <c r="AM250" s="16" t="n"/>
      <c r="AN250" s="17" t="n"/>
      <c r="AO250" s="118">
        <f>DADOS_AM!$JJ$28</f>
        <v/>
      </c>
      <c r="AP250" s="16" t="n"/>
      <c r="AQ250" s="16" t="n"/>
      <c r="AR250" s="16" t="n"/>
      <c r="AS250" s="16" t="n"/>
      <c r="AT250" s="17" t="n"/>
    </row>
    <row r="251" hidden="1" outlineLevel="4">
      <c r="A251" s="8" t="n"/>
      <c r="B251" s="14" t="n"/>
      <c r="C251" s="41" t="n"/>
      <c r="D251" s="116">
        <f>DADOS_AM!$JK$26</f>
        <v/>
      </c>
      <c r="E251" s="19" t="n"/>
      <c r="F251" s="19" t="n"/>
      <c r="G251" s="19" t="n"/>
      <c r="H251" s="19" t="n"/>
      <c r="I251" s="19" t="n"/>
      <c r="J251" s="19" t="n"/>
      <c r="K251" s="19" t="n"/>
      <c r="L251" s="19" t="n"/>
      <c r="M251" s="19" t="n"/>
      <c r="N251" s="19" t="n"/>
      <c r="O251" s="19" t="n"/>
      <c r="P251" s="20" t="n"/>
      <c r="Q251" s="41" t="n"/>
      <c r="R251" s="41" t="n"/>
      <c r="S251" s="116">
        <f>DADOS_AM!$JK$27</f>
        <v/>
      </c>
      <c r="T251" s="19" t="n"/>
      <c r="U251" s="19" t="n"/>
      <c r="V251" s="19" t="n"/>
      <c r="W251" s="19" t="n"/>
      <c r="X251" s="19" t="n"/>
      <c r="Y251" s="19" t="n"/>
      <c r="Z251" s="19" t="n"/>
      <c r="AA251" s="19" t="n"/>
      <c r="AB251" s="19" t="n"/>
      <c r="AC251" s="19" t="n"/>
      <c r="AD251" s="19" t="n"/>
      <c r="AE251" s="20" t="n"/>
      <c r="AF251" s="41" t="n"/>
      <c r="AG251" s="41" t="n"/>
      <c r="AH251" s="116">
        <f>DADOS_AM!$JK$28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DADOS_AM!$JF$29</f>
        <v/>
      </c>
      <c r="E259" s="17" t="n"/>
      <c r="F259" s="115">
        <f>DADOS_AM!$JG$29</f>
        <v/>
      </c>
      <c r="G259" s="16" t="n"/>
      <c r="H259" s="16" t="n"/>
      <c r="I259" s="16" t="n"/>
      <c r="J259" s="16" t="n"/>
      <c r="K259" s="16" t="n"/>
      <c r="L259" s="16" t="n"/>
      <c r="M259" s="16" t="n"/>
      <c r="N259" s="16" t="n"/>
      <c r="O259" s="16" t="n"/>
      <c r="P259" s="17" t="n"/>
      <c r="Q259" s="41" t="n"/>
      <c r="R259" s="41" t="n"/>
      <c r="S259" s="117">
        <f>DADOS_AM!$JF$30</f>
        <v/>
      </c>
      <c r="T259" s="17" t="n"/>
      <c r="U259" s="115">
        <f>DADOS_AM!$JG$30</f>
        <v/>
      </c>
      <c r="V259" s="16" t="n"/>
      <c r="W259" s="16" t="n"/>
      <c r="X259" s="16" t="n"/>
      <c r="Y259" s="16" t="n"/>
      <c r="Z259" s="16" t="n"/>
      <c r="AA259" s="16" t="n"/>
      <c r="AB259" s="16" t="n"/>
      <c r="AC259" s="16" t="n"/>
      <c r="AD259" s="16" t="n"/>
      <c r="AE259" s="17" t="n"/>
      <c r="AF259" s="41" t="n"/>
      <c r="AG259" s="41" t="n"/>
      <c r="AH259" s="117">
        <f>DADOS_AM!$JF$31</f>
        <v/>
      </c>
      <c r="AI259" s="17" t="n"/>
      <c r="AJ259" s="115">
        <f>DADOS_AM!$JG$31</f>
        <v/>
      </c>
      <c r="AK259" s="16" t="n"/>
      <c r="AL259" s="16" t="n"/>
      <c r="AM259" s="16" t="n"/>
      <c r="AN259" s="16" t="n"/>
      <c r="AO259" s="16" t="n"/>
      <c r="AP259" s="16" t="n"/>
      <c r="AQ259" s="16" t="n"/>
      <c r="AR259" s="16" t="n"/>
      <c r="AS259" s="16" t="n"/>
      <c r="AT259" s="17" t="n"/>
    </row>
    <row r="260" hidden="1" outlineLevel="3">
      <c r="A260" s="8" t="n"/>
      <c r="B260" s="14" t="n"/>
      <c r="C260" s="41" t="n"/>
      <c r="D260" s="118">
        <f>DADOS_AM!$JH$29</f>
        <v/>
      </c>
      <c r="E260" s="16" t="n"/>
      <c r="F260" s="17" t="n"/>
      <c r="G260" s="118">
        <f>DADOS_AM!$JI$29</f>
        <v/>
      </c>
      <c r="H260" s="16" t="n"/>
      <c r="I260" s="16" t="n"/>
      <c r="J260" s="17" t="n"/>
      <c r="K260" s="118">
        <f>DADOS_AM!$JJ$29</f>
        <v/>
      </c>
      <c r="L260" s="16" t="n"/>
      <c r="M260" s="16" t="n"/>
      <c r="N260" s="16" t="n"/>
      <c r="O260" s="16" t="n"/>
      <c r="P260" s="17" t="n"/>
      <c r="Q260" s="41" t="n"/>
      <c r="R260" s="41" t="n"/>
      <c r="S260" s="118">
        <f>DADOS_AM!$JH$30</f>
        <v/>
      </c>
      <c r="T260" s="16" t="n"/>
      <c r="U260" s="17" t="n"/>
      <c r="V260" s="118">
        <f>DADOS_AM!$JI$30</f>
        <v/>
      </c>
      <c r="W260" s="16" t="n"/>
      <c r="X260" s="16" t="n"/>
      <c r="Y260" s="17" t="n"/>
      <c r="Z260" s="118">
        <f>DADOS_AM!$JJ$30</f>
        <v/>
      </c>
      <c r="AA260" s="16" t="n"/>
      <c r="AB260" s="16" t="n"/>
      <c r="AC260" s="16" t="n"/>
      <c r="AD260" s="16" t="n"/>
      <c r="AE260" s="17" t="n"/>
      <c r="AF260" s="41" t="n"/>
      <c r="AG260" s="41" t="n"/>
      <c r="AH260" s="118">
        <f>DADOS_AM!$JH$31</f>
        <v/>
      </c>
      <c r="AI260" s="16" t="n"/>
      <c r="AJ260" s="17" t="n"/>
      <c r="AK260" s="118">
        <f>DADOS_AM!$JI$31</f>
        <v/>
      </c>
      <c r="AL260" s="16" t="n"/>
      <c r="AM260" s="16" t="n"/>
      <c r="AN260" s="17" t="n"/>
      <c r="AO260" s="118">
        <f>DADOS_AM!$JJ$31</f>
        <v/>
      </c>
      <c r="AP260" s="16" t="n"/>
      <c r="AQ260" s="16" t="n"/>
      <c r="AR260" s="16" t="n"/>
      <c r="AS260" s="16" t="n"/>
      <c r="AT260" s="17" t="n"/>
    </row>
    <row r="261" hidden="1" outlineLevel="4">
      <c r="A261" s="8" t="n"/>
      <c r="B261" s="14" t="n"/>
      <c r="C261" s="41" t="n"/>
      <c r="D261" s="116">
        <f>DADOS_AM!$JK$29</f>
        <v/>
      </c>
      <c r="E261" s="19" t="n"/>
      <c r="F261" s="19" t="n"/>
      <c r="G261" s="19" t="n"/>
      <c r="H261" s="19" t="n"/>
      <c r="I261" s="19" t="n"/>
      <c r="J261" s="19" t="n"/>
      <c r="K261" s="19" t="n"/>
      <c r="L261" s="19" t="n"/>
      <c r="M261" s="19" t="n"/>
      <c r="N261" s="19" t="n"/>
      <c r="O261" s="19" t="n"/>
      <c r="P261" s="20" t="n"/>
      <c r="Q261" s="41" t="n"/>
      <c r="R261" s="41" t="n"/>
      <c r="S261" s="116">
        <f>DADOS_AM!$JK$30</f>
        <v/>
      </c>
      <c r="T261" s="19" t="n"/>
      <c r="U261" s="19" t="n"/>
      <c r="V261" s="19" t="n"/>
      <c r="W261" s="19" t="n"/>
      <c r="X261" s="19" t="n"/>
      <c r="Y261" s="19" t="n"/>
      <c r="Z261" s="19" t="n"/>
      <c r="AA261" s="19" t="n"/>
      <c r="AB261" s="19" t="n"/>
      <c r="AC261" s="19" t="n"/>
      <c r="AD261" s="19" t="n"/>
      <c r="AE261" s="20" t="n"/>
      <c r="AF261" s="41" t="n"/>
      <c r="AG261" s="41" t="n"/>
      <c r="AH261" s="116">
        <f>DADOS_AM!$JK$31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DADOS_AM!$KO$14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DADOS_AM!$JF$32</f>
        <v/>
      </c>
      <c r="E269" s="17" t="n"/>
      <c r="F269" s="115">
        <f>DADOS_AM!$JG$32</f>
        <v/>
      </c>
      <c r="G269" s="16" t="n"/>
      <c r="H269" s="16" t="n"/>
      <c r="I269" s="16" t="n"/>
      <c r="J269" s="16" t="n"/>
      <c r="K269" s="16" t="n"/>
      <c r="L269" s="16" t="n"/>
      <c r="M269" s="16" t="n"/>
      <c r="N269" s="16" t="n"/>
      <c r="O269" s="16" t="n"/>
      <c r="P269" s="17" t="n"/>
      <c r="Q269" s="41" t="n"/>
      <c r="R269" s="41" t="n"/>
      <c r="S269" s="117">
        <f>DADOS_AM!$JF$33</f>
        <v/>
      </c>
      <c r="T269" s="17" t="n"/>
      <c r="U269" s="115">
        <f>DADOS_AM!$JG$33</f>
        <v/>
      </c>
      <c r="V269" s="16" t="n"/>
      <c r="W269" s="16" t="n"/>
      <c r="X269" s="16" t="n"/>
      <c r="Y269" s="16" t="n"/>
      <c r="Z269" s="16" t="n"/>
      <c r="AA269" s="16" t="n"/>
      <c r="AB269" s="16" t="n"/>
      <c r="AC269" s="16" t="n"/>
      <c r="AD269" s="16" t="n"/>
      <c r="AE269" s="17" t="n"/>
      <c r="AF269" s="41" t="n"/>
      <c r="AG269" s="41" t="n"/>
      <c r="AH269" s="117">
        <f>DADOS_AM!$JF$34</f>
        <v/>
      </c>
      <c r="AI269" s="17" t="n"/>
      <c r="AJ269" s="115">
        <f>DADOS_AM!$JG$34</f>
        <v/>
      </c>
      <c r="AK269" s="16" t="n"/>
      <c r="AL269" s="16" t="n"/>
      <c r="AM269" s="16" t="n"/>
      <c r="AN269" s="16" t="n"/>
      <c r="AO269" s="16" t="n"/>
      <c r="AP269" s="16" t="n"/>
      <c r="AQ269" s="16" t="n"/>
      <c r="AR269" s="16" t="n"/>
      <c r="AS269" s="16" t="n"/>
      <c r="AT269" s="17" t="n"/>
    </row>
    <row r="270" hidden="1" outlineLevel="3">
      <c r="A270" s="8" t="n"/>
      <c r="B270" s="14" t="n"/>
      <c r="C270" s="41" t="n"/>
      <c r="D270" s="118">
        <f>DADOS_AM!$JH$32</f>
        <v/>
      </c>
      <c r="E270" s="16" t="n"/>
      <c r="F270" s="17" t="n"/>
      <c r="G270" s="118">
        <f>DADOS_AM!$JI$32</f>
        <v/>
      </c>
      <c r="H270" s="16" t="n"/>
      <c r="I270" s="16" t="n"/>
      <c r="J270" s="17" t="n"/>
      <c r="K270" s="118">
        <f>DADOS_AM!$JJ$32</f>
        <v/>
      </c>
      <c r="L270" s="16" t="n"/>
      <c r="M270" s="16" t="n"/>
      <c r="N270" s="16" t="n"/>
      <c r="O270" s="16" t="n"/>
      <c r="P270" s="17" t="n"/>
      <c r="Q270" s="41" t="n"/>
      <c r="R270" s="41" t="n"/>
      <c r="S270" s="118">
        <f>DADOS_AM!$JH$33</f>
        <v/>
      </c>
      <c r="T270" s="16" t="n"/>
      <c r="U270" s="17" t="n"/>
      <c r="V270" s="118">
        <f>DADOS_AM!$JI$33</f>
        <v/>
      </c>
      <c r="W270" s="16" t="n"/>
      <c r="X270" s="16" t="n"/>
      <c r="Y270" s="17" t="n"/>
      <c r="Z270" s="118">
        <f>DADOS_AM!$JJ$33</f>
        <v/>
      </c>
      <c r="AA270" s="16" t="n"/>
      <c r="AB270" s="16" t="n"/>
      <c r="AC270" s="16" t="n"/>
      <c r="AD270" s="16" t="n"/>
      <c r="AE270" s="17" t="n"/>
      <c r="AF270" s="41" t="n"/>
      <c r="AG270" s="41" t="n"/>
      <c r="AH270" s="118">
        <f>DADOS_AM!$JH$34</f>
        <v/>
      </c>
      <c r="AI270" s="16" t="n"/>
      <c r="AJ270" s="17" t="n"/>
      <c r="AK270" s="118">
        <f>DADOS_AM!$JI$34</f>
        <v/>
      </c>
      <c r="AL270" s="16" t="n"/>
      <c r="AM270" s="16" t="n"/>
      <c r="AN270" s="17" t="n"/>
      <c r="AO270" s="118">
        <f>DADOS_AM!$JJ$34</f>
        <v/>
      </c>
      <c r="AP270" s="16" t="n"/>
      <c r="AQ270" s="16" t="n"/>
      <c r="AR270" s="16" t="n"/>
      <c r="AS270" s="16" t="n"/>
      <c r="AT270" s="17" t="n"/>
    </row>
    <row r="271" hidden="1" outlineLevel="4">
      <c r="A271" s="8" t="n"/>
      <c r="B271" s="14" t="n"/>
      <c r="C271" s="41" t="n"/>
      <c r="D271" s="116">
        <f>DADOS_AM!$JK$32</f>
        <v/>
      </c>
      <c r="E271" s="19" t="n"/>
      <c r="F271" s="19" t="n"/>
      <c r="G271" s="19" t="n"/>
      <c r="H271" s="19" t="n"/>
      <c r="I271" s="19" t="n"/>
      <c r="J271" s="19" t="n"/>
      <c r="K271" s="19" t="n"/>
      <c r="L271" s="19" t="n"/>
      <c r="M271" s="19" t="n"/>
      <c r="N271" s="19" t="n"/>
      <c r="O271" s="19" t="n"/>
      <c r="P271" s="20" t="n"/>
      <c r="Q271" s="41" t="n"/>
      <c r="R271" s="41" t="n"/>
      <c r="S271" s="116">
        <f>DADOS_AM!$JK$33</f>
        <v/>
      </c>
      <c r="T271" s="19" t="n"/>
      <c r="U271" s="19" t="n"/>
      <c r="V271" s="19" t="n"/>
      <c r="W271" s="19" t="n"/>
      <c r="X271" s="19" t="n"/>
      <c r="Y271" s="19" t="n"/>
      <c r="Z271" s="19" t="n"/>
      <c r="AA271" s="19" t="n"/>
      <c r="AB271" s="19" t="n"/>
      <c r="AC271" s="19" t="n"/>
      <c r="AD271" s="19" t="n"/>
      <c r="AE271" s="20" t="n"/>
      <c r="AF271" s="41" t="n"/>
      <c r="AG271" s="41" t="n"/>
      <c r="AH271" s="116">
        <f>DADOS_AM!$JK$34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DADOS_AM!$JF$35</f>
        <v/>
      </c>
      <c r="E279" s="17" t="n"/>
      <c r="F279" s="115">
        <f>DADOS_AM!$JG$35</f>
        <v/>
      </c>
      <c r="G279" s="16" t="n"/>
      <c r="H279" s="16" t="n"/>
      <c r="I279" s="16" t="n"/>
      <c r="J279" s="16" t="n"/>
      <c r="K279" s="16" t="n"/>
      <c r="L279" s="16" t="n"/>
      <c r="M279" s="16" t="n"/>
      <c r="N279" s="16" t="n"/>
      <c r="O279" s="16" t="n"/>
      <c r="P279" s="17" t="n"/>
      <c r="Q279" s="41" t="n"/>
      <c r="R279" s="41" t="n"/>
      <c r="S279" s="117">
        <f>DADOS_AM!$JF$36</f>
        <v/>
      </c>
      <c r="T279" s="17" t="n"/>
      <c r="U279" s="115">
        <f>DADOS_AM!$JG$36</f>
        <v/>
      </c>
      <c r="V279" s="16" t="n"/>
      <c r="W279" s="16" t="n"/>
      <c r="X279" s="16" t="n"/>
      <c r="Y279" s="16" t="n"/>
      <c r="Z279" s="16" t="n"/>
      <c r="AA279" s="16" t="n"/>
      <c r="AB279" s="16" t="n"/>
      <c r="AC279" s="16" t="n"/>
      <c r="AD279" s="16" t="n"/>
      <c r="AE279" s="17" t="n"/>
      <c r="AF279" s="41" t="n"/>
      <c r="AG279" s="41" t="n"/>
      <c r="AH279" s="117">
        <f>DADOS_AM!$JF$37</f>
        <v/>
      </c>
      <c r="AI279" s="17" t="n"/>
      <c r="AJ279" s="115">
        <f>DADOS_AM!$JG$37</f>
        <v/>
      </c>
      <c r="AK279" s="16" t="n"/>
      <c r="AL279" s="16" t="n"/>
      <c r="AM279" s="16" t="n"/>
      <c r="AN279" s="16" t="n"/>
      <c r="AO279" s="16" t="n"/>
      <c r="AP279" s="16" t="n"/>
      <c r="AQ279" s="16" t="n"/>
      <c r="AR279" s="16" t="n"/>
      <c r="AS279" s="16" t="n"/>
      <c r="AT279" s="17" t="n"/>
    </row>
    <row r="280" hidden="1" outlineLevel="3">
      <c r="A280" s="8" t="n"/>
      <c r="B280" s="14" t="n"/>
      <c r="C280" s="41" t="n"/>
      <c r="D280" s="118">
        <f>DADOS_AM!$JH$35</f>
        <v/>
      </c>
      <c r="E280" s="16" t="n"/>
      <c r="F280" s="17" t="n"/>
      <c r="G280" s="118">
        <f>DADOS_AM!$JI$35</f>
        <v/>
      </c>
      <c r="H280" s="16" t="n"/>
      <c r="I280" s="16" t="n"/>
      <c r="J280" s="17" t="n"/>
      <c r="K280" s="118">
        <f>DADOS_AM!$JJ$35</f>
        <v/>
      </c>
      <c r="L280" s="16" t="n"/>
      <c r="M280" s="16" t="n"/>
      <c r="N280" s="16" t="n"/>
      <c r="O280" s="16" t="n"/>
      <c r="P280" s="17" t="n"/>
      <c r="Q280" s="41" t="n"/>
      <c r="R280" s="41" t="n"/>
      <c r="S280" s="118">
        <f>DADOS_AM!$JH$36</f>
        <v/>
      </c>
      <c r="T280" s="16" t="n"/>
      <c r="U280" s="17" t="n"/>
      <c r="V280" s="118">
        <f>DADOS_AM!$JI$36</f>
        <v/>
      </c>
      <c r="W280" s="16" t="n"/>
      <c r="X280" s="16" t="n"/>
      <c r="Y280" s="17" t="n"/>
      <c r="Z280" s="118">
        <f>DADOS_AM!$JJ$36</f>
        <v/>
      </c>
      <c r="AA280" s="16" t="n"/>
      <c r="AB280" s="16" t="n"/>
      <c r="AC280" s="16" t="n"/>
      <c r="AD280" s="16" t="n"/>
      <c r="AE280" s="17" t="n"/>
      <c r="AF280" s="41" t="n"/>
      <c r="AG280" s="41" t="n"/>
      <c r="AH280" s="118">
        <f>DADOS_AM!$JH$37</f>
        <v/>
      </c>
      <c r="AI280" s="16" t="n"/>
      <c r="AJ280" s="17" t="n"/>
      <c r="AK280" s="118">
        <f>DADOS_AM!$JI$37</f>
        <v/>
      </c>
      <c r="AL280" s="16" t="n"/>
      <c r="AM280" s="16" t="n"/>
      <c r="AN280" s="17" t="n"/>
      <c r="AO280" s="118">
        <f>DADOS_AM!$JJ$37</f>
        <v/>
      </c>
      <c r="AP280" s="16" t="n"/>
      <c r="AQ280" s="16" t="n"/>
      <c r="AR280" s="16" t="n"/>
      <c r="AS280" s="16" t="n"/>
      <c r="AT280" s="17" t="n"/>
    </row>
    <row r="281" hidden="1" outlineLevel="4">
      <c r="A281" s="8" t="n"/>
      <c r="B281" s="14" t="n"/>
      <c r="C281" s="41" t="n"/>
      <c r="D281" s="116">
        <f>DADOS_AM!$JK$35</f>
        <v/>
      </c>
      <c r="E281" s="19" t="n"/>
      <c r="F281" s="19" t="n"/>
      <c r="G281" s="19" t="n"/>
      <c r="H281" s="19" t="n"/>
      <c r="I281" s="19" t="n"/>
      <c r="J281" s="19" t="n"/>
      <c r="K281" s="19" t="n"/>
      <c r="L281" s="19" t="n"/>
      <c r="M281" s="19" t="n"/>
      <c r="N281" s="19" t="n"/>
      <c r="O281" s="19" t="n"/>
      <c r="P281" s="20" t="n"/>
      <c r="Q281" s="41" t="n"/>
      <c r="R281" s="41" t="n"/>
      <c r="S281" s="116">
        <f>DADOS_AM!$JK$36</f>
        <v/>
      </c>
      <c r="T281" s="19" t="n"/>
      <c r="U281" s="19" t="n"/>
      <c r="V281" s="19" t="n"/>
      <c r="W281" s="19" t="n"/>
      <c r="X281" s="19" t="n"/>
      <c r="Y281" s="19" t="n"/>
      <c r="Z281" s="19" t="n"/>
      <c r="AA281" s="19" t="n"/>
      <c r="AB281" s="19" t="n"/>
      <c r="AC281" s="19" t="n"/>
      <c r="AD281" s="19" t="n"/>
      <c r="AE281" s="20" t="n"/>
      <c r="AF281" s="41" t="n"/>
      <c r="AG281" s="41" t="n"/>
      <c r="AH281" s="116">
        <f>DADOS_AM!$JK$37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DADOS_AM!$KO$4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DADOS_AM!$KO$7</f>
        <v/>
      </c>
      <c r="E290" s="17" t="n"/>
      <c r="F290" s="115">
        <f>DADOS_AM!$JO$2</f>
        <v/>
      </c>
      <c r="G290" s="16" t="n"/>
      <c r="H290" s="16" t="n"/>
      <c r="I290" s="16" t="n"/>
      <c r="J290" s="16" t="n"/>
      <c r="K290" s="16" t="n"/>
      <c r="L290" s="16" t="n"/>
      <c r="M290" s="16" t="n"/>
      <c r="N290" s="16" t="n"/>
      <c r="O290" s="16" t="n"/>
      <c r="P290" s="17" t="n"/>
      <c r="Q290" s="41" t="n"/>
      <c r="R290" s="41" t="n"/>
      <c r="S290" s="117">
        <f>DADOS_AM!$KO$7</f>
        <v/>
      </c>
      <c r="T290" s="17" t="n"/>
      <c r="U290" s="115">
        <f>DADOS_AM!$JO$3</f>
        <v/>
      </c>
      <c r="V290" s="16" t="n"/>
      <c r="W290" s="16" t="n"/>
      <c r="X290" s="16" t="n"/>
      <c r="Y290" s="16" t="n"/>
      <c r="Z290" s="16" t="n"/>
      <c r="AA290" s="16" t="n"/>
      <c r="AB290" s="16" t="n"/>
      <c r="AC290" s="16" t="n"/>
      <c r="AD290" s="16" t="n"/>
      <c r="AE290" s="17" t="n"/>
      <c r="AF290" s="41" t="n"/>
      <c r="AG290" s="41" t="n"/>
      <c r="AH290" s="117">
        <f>DADOS_AM!$KO$7</f>
        <v/>
      </c>
      <c r="AI290" s="17" t="n"/>
      <c r="AJ290" s="115">
        <f>DADOS_AM!$JO$4</f>
        <v/>
      </c>
      <c r="AK290" s="16" t="n"/>
      <c r="AL290" s="16" t="n"/>
      <c r="AM290" s="16" t="n"/>
      <c r="AN290" s="16" t="n"/>
      <c r="AO290" s="16" t="n"/>
      <c r="AP290" s="16" t="n"/>
      <c r="AQ290" s="16" t="n"/>
      <c r="AR290" s="16" t="n"/>
      <c r="AS290" s="16" t="n"/>
      <c r="AT290" s="17" t="n"/>
    </row>
    <row r="291" outlineLevel="2">
      <c r="A291" s="8" t="n"/>
      <c r="B291" s="14" t="n"/>
      <c r="C291" s="41" t="n"/>
      <c r="D291" s="118">
        <f>DADOS_AM!$JP$2</f>
        <v/>
      </c>
      <c r="E291" s="16" t="n"/>
      <c r="F291" s="17" t="n"/>
      <c r="G291" s="118">
        <f>DADOS_AM!$JQ$2</f>
        <v/>
      </c>
      <c r="H291" s="16" t="n"/>
      <c r="I291" s="16" t="n"/>
      <c r="J291" s="17" t="n"/>
      <c r="K291" s="118">
        <f>DADOS_AM!$JR$2</f>
        <v/>
      </c>
      <c r="L291" s="16" t="n"/>
      <c r="M291" s="16" t="n"/>
      <c r="N291" s="16" t="n"/>
      <c r="O291" s="16" t="n"/>
      <c r="P291" s="17" t="n"/>
      <c r="Q291" s="41" t="n"/>
      <c r="R291" s="41" t="n"/>
      <c r="S291" s="118">
        <f>DADOS_AM!$JP$3</f>
        <v/>
      </c>
      <c r="T291" s="16" t="n"/>
      <c r="U291" s="17" t="n"/>
      <c r="V291" s="118">
        <f>DADOS_AM!$JQ$3</f>
        <v/>
      </c>
      <c r="W291" s="16" t="n"/>
      <c r="X291" s="16" t="n"/>
      <c r="Y291" s="17" t="n"/>
      <c r="Z291" s="118">
        <f>DADOS_AM!$JR$3</f>
        <v/>
      </c>
      <c r="AA291" s="16" t="n"/>
      <c r="AB291" s="16" t="n"/>
      <c r="AC291" s="16" t="n"/>
      <c r="AD291" s="16" t="n"/>
      <c r="AE291" s="17" t="n"/>
      <c r="AF291" s="41" t="n"/>
      <c r="AG291" s="41" t="n"/>
      <c r="AH291" s="118">
        <f>DADOS_AM!$JP$4</f>
        <v/>
      </c>
      <c r="AI291" s="16" t="n"/>
      <c r="AJ291" s="17" t="n"/>
      <c r="AK291" s="118">
        <f>DADOS_AM!$JQ$4</f>
        <v/>
      </c>
      <c r="AL291" s="16" t="n"/>
      <c r="AM291" s="16" t="n"/>
      <c r="AN291" s="17" t="n"/>
      <c r="AO291" s="118">
        <f>DADOS_AM!$JR$4</f>
        <v/>
      </c>
      <c r="AP291" s="16" t="n"/>
      <c r="AQ291" s="16" t="n"/>
      <c r="AR291" s="16" t="n"/>
      <c r="AS291" s="16" t="n"/>
      <c r="AT291" s="17" t="n"/>
    </row>
    <row r="292" outlineLevel="3">
      <c r="A292" s="8" t="n"/>
      <c r="B292" s="14" t="n"/>
      <c r="C292" s="41" t="n"/>
      <c r="D292" s="116">
        <f>DADOS_AM!$JS$2</f>
        <v/>
      </c>
      <c r="E292" s="19" t="n"/>
      <c r="F292" s="19" t="n"/>
      <c r="G292" s="19" t="n"/>
      <c r="H292" s="19" t="n"/>
      <c r="I292" s="19" t="n"/>
      <c r="J292" s="19" t="n"/>
      <c r="K292" s="19" t="n"/>
      <c r="L292" s="19" t="n"/>
      <c r="M292" s="19" t="n"/>
      <c r="N292" s="19" t="n"/>
      <c r="O292" s="19" t="n"/>
      <c r="P292" s="20" t="n"/>
      <c r="Q292" s="41" t="n"/>
      <c r="R292" s="41" t="n"/>
      <c r="S292" s="116">
        <f>DADOS_AM!$JS$3</f>
        <v/>
      </c>
      <c r="T292" s="19" t="n"/>
      <c r="U292" s="19" t="n"/>
      <c r="V292" s="19" t="n"/>
      <c r="W292" s="19" t="n"/>
      <c r="X292" s="19" t="n"/>
      <c r="Y292" s="19" t="n"/>
      <c r="Z292" s="19" t="n"/>
      <c r="AA292" s="19" t="n"/>
      <c r="AB292" s="19" t="n"/>
      <c r="AC292" s="19" t="n"/>
      <c r="AD292" s="19" t="n"/>
      <c r="AE292" s="20" t="n"/>
      <c r="AF292" s="41" t="n"/>
      <c r="AG292" s="41" t="n"/>
      <c r="AH292" s="116">
        <f>DADOS_AM!$JS$4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DADOS_AM!$KO$8</f>
        <v/>
      </c>
      <c r="E300" s="17" t="n"/>
      <c r="F300" s="115">
        <f>DADOS_AM!$JV$2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DADOS_AM!$JW$2</f>
        <v/>
      </c>
      <c r="AC300" s="16" t="n"/>
      <c r="AD300" s="16" t="n"/>
      <c r="AE300" s="17" t="n"/>
      <c r="AF300" s="118">
        <f>DADOS_AM!$JX$2</f>
        <v/>
      </c>
      <c r="AG300" s="16" t="n"/>
      <c r="AH300" s="16" t="n"/>
      <c r="AI300" s="16" t="n"/>
      <c r="AJ300" s="16" t="n"/>
      <c r="AK300" s="17" t="n"/>
      <c r="AL300" s="118">
        <f>DADOS_AM!$JY$2</f>
        <v/>
      </c>
      <c r="AM300" s="16" t="n"/>
      <c r="AN300" s="16" t="n"/>
      <c r="AO300" s="16" t="n"/>
      <c r="AP300" s="16" t="n"/>
      <c r="AQ300" s="16" t="n"/>
      <c r="AR300" s="16" t="n"/>
      <c r="AS300" s="16" t="n"/>
      <c r="AT300" s="17" t="n"/>
    </row>
    <row r="301" hidden="1" outlineLevel="3">
      <c r="A301" s="8" t="n"/>
      <c r="B301" s="14" t="n"/>
      <c r="C301" s="41" t="n"/>
      <c r="D301" s="116">
        <f>DADOS_AM!$JZ$2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DADOS_AM!$KO$9</f>
        <v/>
      </c>
      <c r="E307" s="17" t="n"/>
      <c r="F307" s="115">
        <f>DADOS_AM!$JV$3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DADOS_AM!$JW$3</f>
        <v/>
      </c>
      <c r="AC307" s="16" t="n"/>
      <c r="AD307" s="16" t="n"/>
      <c r="AE307" s="17" t="n"/>
      <c r="AF307" s="118">
        <f>DADOS_AM!$JX$3</f>
        <v/>
      </c>
      <c r="AG307" s="16" t="n"/>
      <c r="AH307" s="16" t="n"/>
      <c r="AI307" s="16" t="n"/>
      <c r="AJ307" s="16" t="n"/>
      <c r="AK307" s="17" t="n"/>
      <c r="AL307" s="118">
        <f>DADOS_AM!$JY$3</f>
        <v/>
      </c>
      <c r="AM307" s="16" t="n"/>
      <c r="AN307" s="16" t="n"/>
      <c r="AO307" s="16" t="n"/>
      <c r="AP307" s="16" t="n"/>
      <c r="AQ307" s="16" t="n"/>
      <c r="AR307" s="16" t="n"/>
      <c r="AS307" s="16" t="n"/>
      <c r="AT307" s="17" t="n"/>
    </row>
    <row r="308" hidden="1" outlineLevel="3">
      <c r="A308" s="8" t="n"/>
      <c r="B308" s="14" t="n"/>
      <c r="C308" s="41" t="n"/>
      <c r="D308" s="116">
        <f>DADOS_AM!$JZ$3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DADOS_AM!$KO$5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DADOS_AM!$KD$2</f>
        <v/>
      </c>
      <c r="E315" s="17" t="n"/>
      <c r="F315" s="115">
        <f>DADOS_AM!$KE$2</f>
        <v/>
      </c>
      <c r="G315" s="16" t="n"/>
      <c r="H315" s="16" t="n"/>
      <c r="I315" s="16" t="n"/>
      <c r="J315" s="16" t="n"/>
      <c r="K315" s="16" t="n"/>
      <c r="L315" s="16" t="n"/>
      <c r="M315" s="16" t="n"/>
      <c r="N315" s="16" t="n"/>
      <c r="O315" s="16" t="n"/>
      <c r="P315" s="17" t="n"/>
      <c r="Q315" s="41" t="n"/>
      <c r="R315" s="41" t="n"/>
      <c r="S315" s="117">
        <f>DADOS_AM!$KD$3</f>
        <v/>
      </c>
      <c r="T315" s="17" t="n"/>
      <c r="U315" s="115">
        <f>DADOS_AM!$KE$3</f>
        <v/>
      </c>
      <c r="V315" s="16" t="n"/>
      <c r="W315" s="16" t="n"/>
      <c r="X315" s="16" t="n"/>
      <c r="Y315" s="16" t="n"/>
      <c r="Z315" s="16" t="n"/>
      <c r="AA315" s="16" t="n"/>
      <c r="AB315" s="16" t="n"/>
      <c r="AC315" s="16" t="n"/>
      <c r="AD315" s="16" t="n"/>
      <c r="AE315" s="17" t="n"/>
      <c r="AF315" s="41" t="n"/>
      <c r="AG315" s="41" t="n"/>
      <c r="AH315" s="117">
        <f>DADOS_AM!$KD$4</f>
        <v/>
      </c>
      <c r="AI315" s="17" t="n"/>
      <c r="AJ315" s="115">
        <f>DADOS_AM!$KE$4</f>
        <v/>
      </c>
      <c r="AK315" s="16" t="n"/>
      <c r="AL315" s="16" t="n"/>
      <c r="AM315" s="16" t="n"/>
      <c r="AN315" s="16" t="n"/>
      <c r="AO315" s="16" t="n"/>
      <c r="AP315" s="16" t="n"/>
      <c r="AQ315" s="16" t="n"/>
      <c r="AR315" s="16" t="n"/>
      <c r="AS315" s="16" t="n"/>
      <c r="AT315" s="17" t="n"/>
    </row>
    <row r="316" outlineLevel="4">
      <c r="A316" s="8" t="n"/>
      <c r="B316" s="14" t="n"/>
      <c r="C316" s="41" t="n"/>
      <c r="D316" s="116">
        <f>DADOS_AM!$KF$2</f>
        <v/>
      </c>
      <c r="E316" s="19" t="n"/>
      <c r="F316" s="19" t="n"/>
      <c r="G316" s="19" t="n"/>
      <c r="H316" s="19" t="n"/>
      <c r="I316" s="19" t="n"/>
      <c r="J316" s="19" t="n"/>
      <c r="K316" s="19" t="n"/>
      <c r="L316" s="19" t="n"/>
      <c r="M316" s="19" t="n"/>
      <c r="N316" s="19" t="n"/>
      <c r="O316" s="19" t="n"/>
      <c r="P316" s="20" t="n"/>
      <c r="Q316" s="41" t="n"/>
      <c r="R316" s="41" t="n"/>
      <c r="S316" s="116">
        <f>DADOS_AM!$KF$3</f>
        <v/>
      </c>
      <c r="T316" s="19" t="n"/>
      <c r="U316" s="19" t="n"/>
      <c r="V316" s="19" t="n"/>
      <c r="W316" s="19" t="n"/>
      <c r="X316" s="19" t="n"/>
      <c r="Y316" s="19" t="n"/>
      <c r="Z316" s="19" t="n"/>
      <c r="AA316" s="19" t="n"/>
      <c r="AB316" s="19" t="n"/>
      <c r="AC316" s="19" t="n"/>
      <c r="AD316" s="19" t="n"/>
      <c r="AE316" s="20" t="n"/>
      <c r="AF316" s="41" t="n"/>
      <c r="AG316" s="41" t="n"/>
      <c r="AH316" s="116">
        <f>DADOS_AM!$KF$4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DADOS_AM!$KD$5</f>
        <v/>
      </c>
      <c r="E322" s="17" t="n"/>
      <c r="F322" s="115">
        <f>DADOS_AM!$KE$5</f>
        <v/>
      </c>
      <c r="G322" s="16" t="n"/>
      <c r="H322" s="16" t="n"/>
      <c r="I322" s="16" t="n"/>
      <c r="J322" s="16" t="n"/>
      <c r="K322" s="16" t="n"/>
      <c r="L322" s="16" t="n"/>
      <c r="M322" s="16" t="n"/>
      <c r="N322" s="16" t="n"/>
      <c r="O322" s="16" t="n"/>
      <c r="P322" s="17" t="n"/>
      <c r="Q322" s="41" t="n"/>
      <c r="R322" s="41" t="n"/>
      <c r="S322" s="117">
        <f>DADOS_AM!$KD$6</f>
        <v/>
      </c>
      <c r="T322" s="17" t="n"/>
      <c r="U322" s="115">
        <f>DADOS_AM!$KE$6</f>
        <v/>
      </c>
      <c r="V322" s="16" t="n"/>
      <c r="W322" s="16" t="n"/>
      <c r="X322" s="16" t="n"/>
      <c r="Y322" s="16" t="n"/>
      <c r="Z322" s="16" t="n"/>
      <c r="AA322" s="16" t="n"/>
      <c r="AB322" s="16" t="n"/>
      <c r="AC322" s="16" t="n"/>
      <c r="AD322" s="16" t="n"/>
      <c r="AE322" s="17" t="n"/>
      <c r="AF322" s="41" t="n"/>
      <c r="AG322" s="41" t="n"/>
      <c r="AH322" s="117">
        <f>DADOS_AM!$KD$7</f>
        <v/>
      </c>
      <c r="AI322" s="17" t="n"/>
      <c r="AJ322" s="115">
        <f>DADOS_AM!$KE$7</f>
        <v/>
      </c>
      <c r="AK322" s="16" t="n"/>
      <c r="AL322" s="16" t="n"/>
      <c r="AM322" s="16" t="n"/>
      <c r="AN322" s="16" t="n"/>
      <c r="AO322" s="16" t="n"/>
      <c r="AP322" s="16" t="n"/>
      <c r="AQ322" s="16" t="n"/>
      <c r="AR322" s="16" t="n"/>
      <c r="AS322" s="16" t="n"/>
      <c r="AT322" s="17" t="n"/>
    </row>
    <row r="323" hidden="1" outlineLevel="4">
      <c r="A323" s="8" t="n"/>
      <c r="B323" s="14" t="n"/>
      <c r="C323" s="41" t="n"/>
      <c r="D323" s="116">
        <f>DADOS_AM!$KF$5</f>
        <v/>
      </c>
      <c r="E323" s="19" t="n"/>
      <c r="F323" s="19" t="n"/>
      <c r="G323" s="19" t="n"/>
      <c r="H323" s="19" t="n"/>
      <c r="I323" s="19" t="n"/>
      <c r="J323" s="19" t="n"/>
      <c r="K323" s="19" t="n"/>
      <c r="L323" s="19" t="n"/>
      <c r="M323" s="19" t="n"/>
      <c r="N323" s="19" t="n"/>
      <c r="O323" s="19" t="n"/>
      <c r="P323" s="20" t="n"/>
      <c r="Q323" s="41" t="n"/>
      <c r="R323" s="41" t="n"/>
      <c r="S323" s="116">
        <f>DADOS_AM!$KF$6</f>
        <v/>
      </c>
      <c r="T323" s="19" t="n"/>
      <c r="U323" s="19" t="n"/>
      <c r="V323" s="19" t="n"/>
      <c r="W323" s="19" t="n"/>
      <c r="X323" s="19" t="n"/>
      <c r="Y323" s="19" t="n"/>
      <c r="Z323" s="19" t="n"/>
      <c r="AA323" s="19" t="n"/>
      <c r="AB323" s="19" t="n"/>
      <c r="AC323" s="19" t="n"/>
      <c r="AD323" s="19" t="n"/>
      <c r="AE323" s="20" t="n"/>
      <c r="AF323" s="41" t="n"/>
      <c r="AG323" s="41" t="n"/>
      <c r="AH323" s="116">
        <f>DADOS_AM!$KF$7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DADOS_AM!$KO$15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DADOS_AM!$KD$8</f>
        <v/>
      </c>
      <c r="E329" s="17" t="n"/>
      <c r="F329" s="115">
        <f>DADOS_AM!$KE$8</f>
        <v/>
      </c>
      <c r="G329" s="16" t="n"/>
      <c r="H329" s="16" t="n"/>
      <c r="I329" s="16" t="n"/>
      <c r="J329" s="16" t="n"/>
      <c r="K329" s="16" t="n"/>
      <c r="L329" s="16" t="n"/>
      <c r="M329" s="16" t="n"/>
      <c r="N329" s="16" t="n"/>
      <c r="O329" s="16" t="n"/>
      <c r="P329" s="17" t="n"/>
      <c r="Q329" s="41" t="n"/>
      <c r="R329" s="41" t="n"/>
      <c r="S329" s="117">
        <f>DADOS_AM!$KD$9</f>
        <v/>
      </c>
      <c r="T329" s="17" t="n"/>
      <c r="U329" s="115">
        <f>DADOS_AM!$KE$9</f>
        <v/>
      </c>
      <c r="V329" s="16" t="n"/>
      <c r="W329" s="16" t="n"/>
      <c r="X329" s="16" t="n"/>
      <c r="Y329" s="16" t="n"/>
      <c r="Z329" s="16" t="n"/>
      <c r="AA329" s="16" t="n"/>
      <c r="AB329" s="16" t="n"/>
      <c r="AC329" s="16" t="n"/>
      <c r="AD329" s="16" t="n"/>
      <c r="AE329" s="17" t="n"/>
      <c r="AF329" s="41" t="n"/>
      <c r="AG329" s="41" t="n"/>
      <c r="AH329" s="117">
        <f>DADOS_AM!$KD$10</f>
        <v/>
      </c>
      <c r="AI329" s="17" t="n"/>
      <c r="AJ329" s="115">
        <f>DADOS_AM!$KE$10</f>
        <v/>
      </c>
      <c r="AK329" s="16" t="n"/>
      <c r="AL329" s="16" t="n"/>
      <c r="AM329" s="16" t="n"/>
      <c r="AN329" s="16" t="n"/>
      <c r="AO329" s="16" t="n"/>
      <c r="AP329" s="16" t="n"/>
      <c r="AQ329" s="16" t="n"/>
      <c r="AR329" s="16" t="n"/>
      <c r="AS329" s="16" t="n"/>
      <c r="AT329" s="17" t="n"/>
    </row>
    <row r="330" hidden="1" outlineLevel="4">
      <c r="A330" s="8" t="n"/>
      <c r="B330" s="14" t="n"/>
      <c r="C330" s="41" t="n"/>
      <c r="D330" s="116">
        <f>DADOS_AM!$KF$8</f>
        <v/>
      </c>
      <c r="E330" s="19" t="n"/>
      <c r="F330" s="19" t="n"/>
      <c r="G330" s="19" t="n"/>
      <c r="H330" s="19" t="n"/>
      <c r="I330" s="19" t="n"/>
      <c r="J330" s="19" t="n"/>
      <c r="K330" s="19" t="n"/>
      <c r="L330" s="19" t="n"/>
      <c r="M330" s="19" t="n"/>
      <c r="N330" s="19" t="n"/>
      <c r="O330" s="19" t="n"/>
      <c r="P330" s="20" t="n"/>
      <c r="Q330" s="41" t="n"/>
      <c r="R330" s="41" t="n"/>
      <c r="S330" s="116">
        <f>DADOS_AM!$KF$9</f>
        <v/>
      </c>
      <c r="T330" s="19" t="n"/>
      <c r="U330" s="19" t="n"/>
      <c r="V330" s="19" t="n"/>
      <c r="W330" s="19" t="n"/>
      <c r="X330" s="19" t="n"/>
      <c r="Y330" s="19" t="n"/>
      <c r="Z330" s="19" t="n"/>
      <c r="AA330" s="19" t="n"/>
      <c r="AB330" s="19" t="n"/>
      <c r="AC330" s="19" t="n"/>
      <c r="AD330" s="19" t="n"/>
      <c r="AE330" s="20" t="n"/>
      <c r="AF330" s="41" t="n"/>
      <c r="AG330" s="41" t="n"/>
      <c r="AH330" s="116">
        <f>DADOS_AM!$KF$10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DADOS_AM!$KD$11</f>
        <v/>
      </c>
      <c r="E336" s="17" t="n"/>
      <c r="F336" s="115">
        <f>DADOS_AM!$KE$11</f>
        <v/>
      </c>
      <c r="G336" s="16" t="n"/>
      <c r="H336" s="16" t="n"/>
      <c r="I336" s="16" t="n"/>
      <c r="J336" s="16" t="n"/>
      <c r="K336" s="16" t="n"/>
      <c r="L336" s="16" t="n"/>
      <c r="M336" s="16" t="n"/>
      <c r="N336" s="16" t="n"/>
      <c r="O336" s="16" t="n"/>
      <c r="P336" s="17" t="n"/>
      <c r="Q336" s="41" t="n"/>
      <c r="R336" s="41" t="n"/>
      <c r="S336" s="117">
        <f>DADOS_AM!$KD$12</f>
        <v/>
      </c>
      <c r="T336" s="17" t="n"/>
      <c r="U336" s="115">
        <f>DADOS_AM!$KE$12</f>
        <v/>
      </c>
      <c r="V336" s="16" t="n"/>
      <c r="W336" s="16" t="n"/>
      <c r="X336" s="16" t="n"/>
      <c r="Y336" s="16" t="n"/>
      <c r="Z336" s="16" t="n"/>
      <c r="AA336" s="16" t="n"/>
      <c r="AB336" s="16" t="n"/>
      <c r="AC336" s="16" t="n"/>
      <c r="AD336" s="16" t="n"/>
      <c r="AE336" s="17" t="n"/>
      <c r="AF336" s="41" t="n"/>
      <c r="AG336" s="41" t="n"/>
      <c r="AH336" s="117">
        <f>DADOS_AM!$KD$13</f>
        <v/>
      </c>
      <c r="AI336" s="17" t="n"/>
      <c r="AJ336" s="115">
        <f>DADOS_AM!$KE$13</f>
        <v/>
      </c>
      <c r="AK336" s="16" t="n"/>
      <c r="AL336" s="16" t="n"/>
      <c r="AM336" s="16" t="n"/>
      <c r="AN336" s="16" t="n"/>
      <c r="AO336" s="16" t="n"/>
      <c r="AP336" s="16" t="n"/>
      <c r="AQ336" s="16" t="n"/>
      <c r="AR336" s="16" t="n"/>
      <c r="AS336" s="16" t="n"/>
      <c r="AT336" s="17" t="n"/>
    </row>
    <row r="337" hidden="1" outlineLevel="4">
      <c r="A337" s="8" t="n"/>
      <c r="B337" s="14" t="n"/>
      <c r="C337" s="41" t="n"/>
      <c r="D337" s="116">
        <f>DADOS_AM!$KF$11</f>
        <v/>
      </c>
      <c r="E337" s="19" t="n"/>
      <c r="F337" s="19" t="n"/>
      <c r="G337" s="19" t="n"/>
      <c r="H337" s="19" t="n"/>
      <c r="I337" s="19" t="n"/>
      <c r="J337" s="19" t="n"/>
      <c r="K337" s="19" t="n"/>
      <c r="L337" s="19" t="n"/>
      <c r="M337" s="19" t="n"/>
      <c r="N337" s="19" t="n"/>
      <c r="O337" s="19" t="n"/>
      <c r="P337" s="20" t="n"/>
      <c r="Q337" s="41" t="n"/>
      <c r="R337" s="41" t="n"/>
      <c r="S337" s="116">
        <f>DADOS_AM!$KF$12</f>
        <v/>
      </c>
      <c r="T337" s="19" t="n"/>
      <c r="U337" s="19" t="n"/>
      <c r="V337" s="19" t="n"/>
      <c r="W337" s="19" t="n"/>
      <c r="X337" s="19" t="n"/>
      <c r="Y337" s="19" t="n"/>
      <c r="Z337" s="19" t="n"/>
      <c r="AA337" s="19" t="n"/>
      <c r="AB337" s="19" t="n"/>
      <c r="AC337" s="19" t="n"/>
      <c r="AD337" s="19" t="n"/>
      <c r="AE337" s="20" t="n"/>
      <c r="AF337" s="41" t="n"/>
      <c r="AG337" s="41" t="n"/>
      <c r="AH337" s="116">
        <f>DADOS_AM!$KF$13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DADOS_AM!$KO$16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DADOS_AM!$KD$14</f>
        <v/>
      </c>
      <c r="E343" s="17" t="n"/>
      <c r="F343" s="115">
        <f>DADOS_AM!$KE$14</f>
        <v/>
      </c>
      <c r="G343" s="16" t="n"/>
      <c r="H343" s="16" t="n"/>
      <c r="I343" s="16" t="n"/>
      <c r="J343" s="16" t="n"/>
      <c r="K343" s="16" t="n"/>
      <c r="L343" s="16" t="n"/>
      <c r="M343" s="16" t="n"/>
      <c r="N343" s="16" t="n"/>
      <c r="O343" s="16" t="n"/>
      <c r="P343" s="17" t="n"/>
      <c r="Q343" s="41" t="n"/>
      <c r="R343" s="41" t="n"/>
      <c r="S343" s="117">
        <f>DADOS_AM!$KD$15</f>
        <v/>
      </c>
      <c r="T343" s="17" t="n"/>
      <c r="U343" s="115">
        <f>DADOS_AM!$KE$15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DADOS_AM!$KF$14</f>
        <v/>
      </c>
      <c r="E344" s="19" t="n"/>
      <c r="F344" s="19" t="n"/>
      <c r="G344" s="19" t="n"/>
      <c r="H344" s="19" t="n"/>
      <c r="I344" s="19" t="n"/>
      <c r="J344" s="19" t="n"/>
      <c r="K344" s="19" t="n"/>
      <c r="L344" s="19" t="n"/>
      <c r="M344" s="19" t="n"/>
      <c r="N344" s="19" t="n"/>
      <c r="O344" s="19" t="n"/>
      <c r="P344" s="20" t="n"/>
      <c r="Q344" s="41" t="n"/>
      <c r="R344" s="41" t="n"/>
      <c r="S344" s="116">
        <f>DADOS_AM!$KF$15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DADOS_AM!$KO$6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DADOS_AM!$KJ$2</f>
        <v/>
      </c>
      <c r="E351" s="17" t="n"/>
      <c r="F351" s="115">
        <f>DADOS_AM!$KK$2</f>
        <v/>
      </c>
      <c r="G351" s="16" t="n"/>
      <c r="H351" s="16" t="n"/>
      <c r="I351" s="16" t="n"/>
      <c r="J351" s="16" t="n"/>
      <c r="K351" s="16" t="n"/>
      <c r="L351" s="16" t="n"/>
      <c r="M351" s="16" t="n"/>
      <c r="N351" s="16" t="n"/>
      <c r="O351" s="16" t="n"/>
      <c r="P351" s="17" t="n"/>
      <c r="Q351" s="41" t="n"/>
      <c r="R351" s="41" t="n"/>
      <c r="S351" s="117">
        <f>DADOS_AM!$KJ$3</f>
        <v/>
      </c>
      <c r="T351" s="17" t="n"/>
      <c r="U351" s="115">
        <f>DADOS_AM!$KK$3</f>
        <v/>
      </c>
      <c r="V351" s="16" t="n"/>
      <c r="W351" s="16" t="n"/>
      <c r="X351" s="16" t="n"/>
      <c r="Y351" s="16" t="n"/>
      <c r="Z351" s="16" t="n"/>
      <c r="AA351" s="16" t="n"/>
      <c r="AB351" s="16" t="n"/>
      <c r="AC351" s="16" t="n"/>
      <c r="AD351" s="16" t="n"/>
      <c r="AE351" s="17" t="n"/>
      <c r="AF351" s="41" t="n"/>
      <c r="AG351" s="41" t="n"/>
      <c r="AH351" s="117">
        <f>DADOS_AM!$KJ$4</f>
        <v/>
      </c>
      <c r="AI351" s="17" t="n"/>
      <c r="AJ351" s="115">
        <f>DADOS_AM!$KK$4</f>
        <v/>
      </c>
      <c r="AK351" s="16" t="n"/>
      <c r="AL351" s="16" t="n"/>
      <c r="AM351" s="16" t="n"/>
      <c r="AN351" s="16" t="n"/>
      <c r="AO351" s="16" t="n"/>
      <c r="AP351" s="16" t="n"/>
      <c r="AQ351" s="16" t="n"/>
      <c r="AR351" s="16" t="n"/>
      <c r="AS351" s="16" t="n"/>
      <c r="AT351" s="17" t="n"/>
    </row>
    <row r="352" outlineLevel="4">
      <c r="A352" s="8" t="n"/>
      <c r="B352" s="14" t="n"/>
      <c r="C352" s="41" t="n"/>
      <c r="D352" s="116">
        <f>DADOS_AM!$KL$2</f>
        <v/>
      </c>
      <c r="E352" s="19" t="n"/>
      <c r="F352" s="19" t="n"/>
      <c r="G352" s="19" t="n"/>
      <c r="H352" s="19" t="n"/>
      <c r="I352" s="19" t="n"/>
      <c r="J352" s="19" t="n"/>
      <c r="K352" s="19" t="n"/>
      <c r="L352" s="19" t="n"/>
      <c r="M352" s="19" t="n"/>
      <c r="N352" s="19" t="n"/>
      <c r="O352" s="19" t="n"/>
      <c r="P352" s="20" t="n"/>
      <c r="Q352" s="41" t="n"/>
      <c r="R352" s="41" t="n"/>
      <c r="S352" s="116">
        <f>DADOS_AM!$KL$3</f>
        <v/>
      </c>
      <c r="T352" s="19" t="n"/>
      <c r="U352" s="19" t="n"/>
      <c r="V352" s="19" t="n"/>
      <c r="W352" s="19" t="n"/>
      <c r="X352" s="19" t="n"/>
      <c r="Y352" s="19" t="n"/>
      <c r="Z352" s="19" t="n"/>
      <c r="AA352" s="19" t="n"/>
      <c r="AB352" s="19" t="n"/>
      <c r="AC352" s="19" t="n"/>
      <c r="AD352" s="19" t="n"/>
      <c r="AE352" s="20" t="n"/>
      <c r="AF352" s="41" t="n"/>
      <c r="AG352" s="41" t="n"/>
      <c r="AH352" s="116">
        <f>DADOS_AM!$KL$4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DADOS_AM!$KJ$5</f>
        <v/>
      </c>
      <c r="E359" s="17" t="n"/>
      <c r="F359" s="115">
        <f>DADOS_AM!$KK$5</f>
        <v/>
      </c>
      <c r="G359" s="16" t="n"/>
      <c r="H359" s="16" t="n"/>
      <c r="I359" s="16" t="n"/>
      <c r="J359" s="16" t="n"/>
      <c r="K359" s="16" t="n"/>
      <c r="L359" s="16" t="n"/>
      <c r="M359" s="16" t="n"/>
      <c r="N359" s="16" t="n"/>
      <c r="O359" s="16" t="n"/>
      <c r="P359" s="17" t="n"/>
      <c r="Q359" s="41" t="n"/>
      <c r="R359" s="41" t="n"/>
      <c r="S359" s="117">
        <f>DADOS_AM!$KJ$6</f>
        <v/>
      </c>
      <c r="T359" s="17" t="n"/>
      <c r="U359" s="115">
        <f>DADOS_AM!$KK$6</f>
        <v/>
      </c>
      <c r="V359" s="16" t="n"/>
      <c r="W359" s="16" t="n"/>
      <c r="X359" s="16" t="n"/>
      <c r="Y359" s="16" t="n"/>
      <c r="Z359" s="16" t="n"/>
      <c r="AA359" s="16" t="n"/>
      <c r="AB359" s="16" t="n"/>
      <c r="AC359" s="16" t="n"/>
      <c r="AD359" s="16" t="n"/>
      <c r="AE359" s="17" t="n"/>
      <c r="AF359" s="41" t="n"/>
      <c r="AG359" s="41" t="n"/>
      <c r="AH359" s="117">
        <f>DADOS_AM!$KJ$7</f>
        <v/>
      </c>
      <c r="AI359" s="17" t="n"/>
      <c r="AJ359" s="115">
        <f>DADOS_AM!$KK$7</f>
        <v/>
      </c>
      <c r="AK359" s="16" t="n"/>
      <c r="AL359" s="16" t="n"/>
      <c r="AM359" s="16" t="n"/>
      <c r="AN359" s="16" t="n"/>
      <c r="AO359" s="16" t="n"/>
      <c r="AP359" s="16" t="n"/>
      <c r="AQ359" s="16" t="n"/>
      <c r="AR359" s="16" t="n"/>
      <c r="AS359" s="16" t="n"/>
      <c r="AT359" s="17" t="n"/>
    </row>
    <row r="360" hidden="1" outlineLevel="4">
      <c r="A360" s="8" t="n"/>
      <c r="B360" s="14" t="n"/>
      <c r="C360" s="41" t="n"/>
      <c r="D360" s="116">
        <f>DADOS_AM!$KL$5</f>
        <v/>
      </c>
      <c r="E360" s="19" t="n"/>
      <c r="F360" s="19" t="n"/>
      <c r="G360" s="19" t="n"/>
      <c r="H360" s="19" t="n"/>
      <c r="I360" s="19" t="n"/>
      <c r="J360" s="19" t="n"/>
      <c r="K360" s="19" t="n"/>
      <c r="L360" s="19" t="n"/>
      <c r="M360" s="19" t="n"/>
      <c r="N360" s="19" t="n"/>
      <c r="O360" s="19" t="n"/>
      <c r="P360" s="20" t="n"/>
      <c r="Q360" s="41" t="n"/>
      <c r="R360" s="41" t="n"/>
      <c r="S360" s="116">
        <f>DADOS_AM!$KL$6</f>
        <v/>
      </c>
      <c r="T360" s="19" t="n"/>
      <c r="U360" s="19" t="n"/>
      <c r="V360" s="19" t="n"/>
      <c r="W360" s="19" t="n"/>
      <c r="X360" s="19" t="n"/>
      <c r="Y360" s="19" t="n"/>
      <c r="Z360" s="19" t="n"/>
      <c r="AA360" s="19" t="n"/>
      <c r="AB360" s="19" t="n"/>
      <c r="AC360" s="19" t="n"/>
      <c r="AD360" s="19" t="n"/>
      <c r="AE360" s="20" t="n"/>
      <c r="AF360" s="41" t="n"/>
      <c r="AG360" s="41" t="n"/>
      <c r="AH360" s="116">
        <f>DADOS_AM!$KL$7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DADOS_AM!$KO$17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DADOS_AM!$KJ$8</f>
        <v/>
      </c>
      <c r="E367" s="17" t="n"/>
      <c r="F367" s="115">
        <f>DADOS_AM!$KK$8</f>
        <v/>
      </c>
      <c r="G367" s="16" t="n"/>
      <c r="H367" s="16" t="n"/>
      <c r="I367" s="16" t="n"/>
      <c r="J367" s="16" t="n"/>
      <c r="K367" s="16" t="n"/>
      <c r="L367" s="16" t="n"/>
      <c r="M367" s="16" t="n"/>
      <c r="N367" s="16" t="n"/>
      <c r="O367" s="16" t="n"/>
      <c r="P367" s="17" t="n"/>
      <c r="Q367" s="41" t="n"/>
      <c r="R367" s="41" t="n"/>
      <c r="S367" s="117">
        <f>DADOS_AM!$KJ$9</f>
        <v/>
      </c>
      <c r="T367" s="17" t="n"/>
      <c r="U367" s="115">
        <f>DADOS_AM!$KK$9</f>
        <v/>
      </c>
      <c r="V367" s="16" t="n"/>
      <c r="W367" s="16" t="n"/>
      <c r="X367" s="16" t="n"/>
      <c r="Y367" s="16" t="n"/>
      <c r="Z367" s="16" t="n"/>
      <c r="AA367" s="16" t="n"/>
      <c r="AB367" s="16" t="n"/>
      <c r="AC367" s="16" t="n"/>
      <c r="AD367" s="16" t="n"/>
      <c r="AE367" s="17" t="n"/>
      <c r="AF367" s="41" t="n"/>
      <c r="AG367" s="41" t="n"/>
      <c r="AH367" s="117">
        <f>DADOS_AM!$KJ$10</f>
        <v/>
      </c>
      <c r="AI367" s="17" t="n"/>
      <c r="AJ367" s="115">
        <f>DADOS_AM!$KK$10</f>
        <v/>
      </c>
      <c r="AK367" s="16" t="n"/>
      <c r="AL367" s="16" t="n"/>
      <c r="AM367" s="16" t="n"/>
      <c r="AN367" s="16" t="n"/>
      <c r="AO367" s="16" t="n"/>
      <c r="AP367" s="16" t="n"/>
      <c r="AQ367" s="16" t="n"/>
      <c r="AR367" s="16" t="n"/>
      <c r="AS367" s="16" t="n"/>
      <c r="AT367" s="17" t="n"/>
    </row>
    <row r="368" hidden="1" outlineLevel="4">
      <c r="A368" s="8" t="n"/>
      <c r="B368" s="14" t="n"/>
      <c r="C368" s="41" t="n"/>
      <c r="D368" s="116">
        <f>DADOS_AM!$KL$8</f>
        <v/>
      </c>
      <c r="E368" s="19" t="n"/>
      <c r="F368" s="19" t="n"/>
      <c r="G368" s="19" t="n"/>
      <c r="H368" s="19" t="n"/>
      <c r="I368" s="19" t="n"/>
      <c r="J368" s="19" t="n"/>
      <c r="K368" s="19" t="n"/>
      <c r="L368" s="19" t="n"/>
      <c r="M368" s="19" t="n"/>
      <c r="N368" s="19" t="n"/>
      <c r="O368" s="19" t="n"/>
      <c r="P368" s="20" t="n"/>
      <c r="Q368" s="41" t="n"/>
      <c r="R368" s="41" t="n"/>
      <c r="S368" s="116">
        <f>DADOS_AM!$KL$9</f>
        <v/>
      </c>
      <c r="T368" s="19" t="n"/>
      <c r="U368" s="19" t="n"/>
      <c r="V368" s="19" t="n"/>
      <c r="W368" s="19" t="n"/>
      <c r="X368" s="19" t="n"/>
      <c r="Y368" s="19" t="n"/>
      <c r="Z368" s="19" t="n"/>
      <c r="AA368" s="19" t="n"/>
      <c r="AB368" s="19" t="n"/>
      <c r="AC368" s="19" t="n"/>
      <c r="AD368" s="19" t="n"/>
      <c r="AE368" s="20" t="n"/>
      <c r="AF368" s="41" t="n"/>
      <c r="AG368" s="41" t="n"/>
      <c r="AH368" s="116">
        <f>DADOS_AM!$KL$10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DADOS_AM!$KJ$11</f>
        <v/>
      </c>
      <c r="E375" s="17" t="n"/>
      <c r="F375" s="115">
        <f>DADOS_AM!$KK$11</f>
        <v/>
      </c>
      <c r="G375" s="16" t="n"/>
      <c r="H375" s="16" t="n"/>
      <c r="I375" s="16" t="n"/>
      <c r="J375" s="16" t="n"/>
      <c r="K375" s="16" t="n"/>
      <c r="L375" s="16" t="n"/>
      <c r="M375" s="16" t="n"/>
      <c r="N375" s="16" t="n"/>
      <c r="O375" s="16" t="n"/>
      <c r="P375" s="17" t="n"/>
      <c r="Q375" s="41" t="n"/>
      <c r="R375" s="41" t="n"/>
      <c r="S375" s="117">
        <f>DADOS_AM!$KJ$12</f>
        <v/>
      </c>
      <c r="T375" s="17" t="n"/>
      <c r="U375" s="115">
        <f>DADOS_AM!$KK$12</f>
        <v/>
      </c>
      <c r="V375" s="16" t="n"/>
      <c r="W375" s="16" t="n"/>
      <c r="X375" s="16" t="n"/>
      <c r="Y375" s="16" t="n"/>
      <c r="Z375" s="16" t="n"/>
      <c r="AA375" s="16" t="n"/>
      <c r="AB375" s="16" t="n"/>
      <c r="AC375" s="16" t="n"/>
      <c r="AD375" s="16" t="n"/>
      <c r="AE375" s="17" t="n"/>
      <c r="AF375" s="41" t="n"/>
      <c r="AG375" s="41" t="n"/>
      <c r="AH375" s="117">
        <f>DADOS_AM!$KJ$13</f>
        <v/>
      </c>
      <c r="AI375" s="17" t="n"/>
      <c r="AJ375" s="115">
        <f>DADOS_AM!$KK$13</f>
        <v/>
      </c>
      <c r="AK375" s="16" t="n"/>
      <c r="AL375" s="16" t="n"/>
      <c r="AM375" s="16" t="n"/>
      <c r="AN375" s="16" t="n"/>
      <c r="AO375" s="16" t="n"/>
      <c r="AP375" s="16" t="n"/>
      <c r="AQ375" s="16" t="n"/>
      <c r="AR375" s="16" t="n"/>
      <c r="AS375" s="16" t="n"/>
      <c r="AT375" s="17" t="n"/>
    </row>
    <row r="376" hidden="1" outlineLevel="4">
      <c r="A376" s="8" t="n"/>
      <c r="B376" s="14" t="n"/>
      <c r="C376" s="41" t="n"/>
      <c r="D376" s="116">
        <f>DADOS_AM!$KL$11</f>
        <v/>
      </c>
      <c r="E376" s="19" t="n"/>
      <c r="F376" s="19" t="n"/>
      <c r="G376" s="19" t="n"/>
      <c r="H376" s="19" t="n"/>
      <c r="I376" s="19" t="n"/>
      <c r="J376" s="19" t="n"/>
      <c r="K376" s="19" t="n"/>
      <c r="L376" s="19" t="n"/>
      <c r="M376" s="19" t="n"/>
      <c r="N376" s="19" t="n"/>
      <c r="O376" s="19" t="n"/>
      <c r="P376" s="20" t="n"/>
      <c r="Q376" s="41" t="n"/>
      <c r="R376" s="41" t="n"/>
      <c r="S376" s="116">
        <f>DADOS_AM!$KL$12</f>
        <v/>
      </c>
      <c r="T376" s="19" t="n"/>
      <c r="U376" s="19" t="n"/>
      <c r="V376" s="19" t="n"/>
      <c r="W376" s="19" t="n"/>
      <c r="X376" s="19" t="n"/>
      <c r="Y376" s="19" t="n"/>
      <c r="Z376" s="19" t="n"/>
      <c r="AA376" s="19" t="n"/>
      <c r="AB376" s="19" t="n"/>
      <c r="AC376" s="19" t="n"/>
      <c r="AD376" s="19" t="n"/>
      <c r="AE376" s="20" t="n"/>
      <c r="AF376" s="41" t="n"/>
      <c r="AG376" s="41" t="n"/>
      <c r="AH376" s="116">
        <f>DADOS_AM!$KL$13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DADOS_AM!$KO$18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DADOS_AM!$KJ$14</f>
        <v/>
      </c>
      <c r="E383" s="17" t="n"/>
      <c r="F383" s="115">
        <f>DADOS_AM!$KK$14</f>
        <v/>
      </c>
      <c r="G383" s="16" t="n"/>
      <c r="H383" s="16" t="n"/>
      <c r="I383" s="16" t="n"/>
      <c r="J383" s="16" t="n"/>
      <c r="K383" s="16" t="n"/>
      <c r="L383" s="16" t="n"/>
      <c r="M383" s="16" t="n"/>
      <c r="N383" s="16" t="n"/>
      <c r="O383" s="16" t="n"/>
      <c r="P383" s="17" t="n"/>
      <c r="Q383" s="41" t="n"/>
      <c r="R383" s="41" t="n"/>
      <c r="S383" s="117">
        <f>DADOS_AM!$KJ$15</f>
        <v/>
      </c>
      <c r="T383" s="17" t="n"/>
      <c r="U383" s="115">
        <f>DADOS_AM!$KK$15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DADOS_AM!$KL$14</f>
        <v/>
      </c>
      <c r="E384" s="19" t="n"/>
      <c r="F384" s="19" t="n"/>
      <c r="G384" s="19" t="n"/>
      <c r="H384" s="19" t="n"/>
      <c r="I384" s="19" t="n"/>
      <c r="J384" s="19" t="n"/>
      <c r="K384" s="19" t="n"/>
      <c r="L384" s="19" t="n"/>
      <c r="M384" s="19" t="n"/>
      <c r="N384" s="19" t="n"/>
      <c r="O384" s="19" t="n"/>
      <c r="P384" s="20" t="n"/>
      <c r="Q384" s="41" t="n"/>
      <c r="R384" s="41" t="n"/>
      <c r="S384" s="116">
        <f>DADOS_AM!$KL$15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PROJETO M</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f>DADOS_AM!$KR$2</f>
        <v/>
      </c>
      <c r="E12" s="19" t="n"/>
      <c r="F12" s="19" t="n"/>
      <c r="G12" s="19" t="n"/>
      <c r="H12" s="20" t="n"/>
      <c r="I12" s="120" t="n"/>
      <c r="J12" s="83" t="n"/>
      <c r="K12" s="20" t="n"/>
      <c r="L12" s="83">
        <f>DADOS_AM!$KR$3</f>
        <v/>
      </c>
      <c r="M12" s="19" t="n"/>
      <c r="N12" s="20" t="n"/>
      <c r="O12" s="120" t="n"/>
      <c r="P12" s="92">
        <f>DADOS_AM!$KR$4</f>
        <v/>
      </c>
      <c r="Q12" s="20" t="n"/>
      <c r="R12" s="92">
        <f>DADOS_AM!$KR$5</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DADOS_AM!$KR$6</f>
        <v/>
      </c>
      <c r="K15" s="16" t="n"/>
      <c r="L15" s="16" t="n"/>
      <c r="M15" s="16" t="n"/>
      <c r="N15" s="17" t="n"/>
      <c r="O15" s="120" t="n"/>
      <c r="P15" s="55">
        <f>DADOS_AM!$KR$7</f>
        <v/>
      </c>
      <c r="Q15" s="16" t="n"/>
      <c r="R15" s="16" t="n"/>
      <c r="S15" s="16" t="n"/>
      <c r="T15" s="17" t="n"/>
      <c r="U15" s="120" t="n"/>
    </row>
    <row r="16" outlineLevel="1">
      <c r="B16" s="22" t="n"/>
      <c r="C16" s="120" t="n"/>
      <c r="D16" s="124">
        <f>DADOS_AM!$KR$8</f>
        <v/>
      </c>
      <c r="E16" s="16" t="n"/>
      <c r="F16" s="16" t="n"/>
      <c r="G16" s="16" t="n"/>
      <c r="H16" s="17" t="n"/>
      <c r="I16" s="120" t="n"/>
      <c r="J16" s="124" t="n"/>
      <c r="K16" s="16" t="n"/>
      <c r="L16" s="16" t="n"/>
      <c r="M16" s="16" t="n"/>
      <c r="N16" s="17" t="n"/>
      <c r="O16" s="120" t="n"/>
      <c r="P16" s="124">
        <f>DADOS_AM!$KR$9</f>
        <v/>
      </c>
      <c r="Q16" s="16" t="n"/>
      <c r="R16" s="16" t="n"/>
      <c r="S16" s="16" t="n"/>
      <c r="T16" s="17" t="n"/>
      <c r="U16" s="120" t="n"/>
    </row>
    <row r="17" outlineLevel="1">
      <c r="B17" s="22" t="n"/>
      <c r="C17" s="120" t="n"/>
      <c r="D17" s="55">
        <f>DADOS_AM!$KR$10</f>
        <v/>
      </c>
      <c r="E17" s="16" t="n"/>
      <c r="F17" s="16" t="n"/>
      <c r="G17" s="16" t="n"/>
      <c r="H17" s="17" t="n"/>
      <c r="I17" s="120" t="n"/>
      <c r="J17" s="55">
        <f>DADOS_AM!$KR$12</f>
        <v/>
      </c>
      <c r="K17" s="16" t="n"/>
      <c r="L17" s="16" t="n"/>
      <c r="M17" s="16" t="n"/>
      <c r="N17" s="17" t="n"/>
      <c r="O17" s="120" t="n"/>
      <c r="P17" s="55">
        <f>DADOS_AM!$KR$14</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DADOS_AM!$KR$11</f>
        <v/>
      </c>
      <c r="E19" s="16" t="n"/>
      <c r="F19" s="16" t="n"/>
      <c r="G19" s="16" t="n"/>
      <c r="H19" s="17" t="n"/>
      <c r="I19" s="120" t="n"/>
      <c r="J19" s="124">
        <f>DADOS_AM!$KR$13</f>
        <v/>
      </c>
      <c r="K19" s="16" t="n"/>
      <c r="L19" s="16" t="n"/>
      <c r="M19" s="16" t="n"/>
      <c r="N19" s="17" t="n"/>
      <c r="O19" s="120" t="n"/>
      <c r="P19" s="124">
        <f>DADOS_AM!$KR$15</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DADOS_AM!$KR$16</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DADOS_AM!$KR$17</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DADOS_AM!$KR$18</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DADOS_AM!$KR$20</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DADOS_AM!$KR$19</f>
        <v/>
      </c>
      <c r="K42" s="20" t="n"/>
      <c r="L42" s="92">
        <f>DADOS_AM!$HI$15</f>
        <v/>
      </c>
      <c r="M42" s="19" t="n"/>
      <c r="N42" s="20" t="n"/>
      <c r="O42" s="120" t="n"/>
      <c r="P42" s="92">
        <f>DADOS_AM!$KR$21</f>
        <v/>
      </c>
      <c r="Q42" s="92">
        <f>DADOS_AM!$KR$22</f>
        <v/>
      </c>
      <c r="R42" s="92">
        <f>DADOS_AM!$KR$23</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DADOS_AM!$KR$24</f>
        <v/>
      </c>
      <c r="F46" s="124">
        <f>DADOS_AM!$KR$25</f>
        <v/>
      </c>
      <c r="G46" s="124">
        <f>DADOS_AM!$KR$26</f>
        <v/>
      </c>
      <c r="H46" s="17" t="n"/>
      <c r="I46" s="120" t="n"/>
      <c r="J46" s="124">
        <f>DADOS_AM!$KR$27</f>
        <v/>
      </c>
      <c r="K46" s="124">
        <f>DADOS_AM!$KR$28</f>
        <v/>
      </c>
      <c r="L46" s="124">
        <f>DADOS_AM!$KR$29</f>
        <v/>
      </c>
      <c r="M46" s="124">
        <f>DADOS_AM!$KR$30</f>
        <v/>
      </c>
      <c r="N46" s="17" t="n"/>
      <c r="O46" s="120" t="n"/>
      <c r="P46" s="124">
        <f>DADOS_AM!$KR$31</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DADOS_AM!$KR$32</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DADOS_AM!$KR$33</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DADOS_AM!$KR$34</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DADOS_AM!$KR$35</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DADOS_AM!$KR$36</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DADOS_AM!$KR$37</f>
        <v/>
      </c>
      <c r="M343" s="19" t="n"/>
      <c r="N343" s="20" t="n"/>
      <c r="O343" s="120" t="n"/>
      <c r="P343" s="92">
        <f>DADOS_AM!$KR$38</f>
        <v/>
      </c>
      <c r="Q343" s="20" t="n"/>
      <c r="R343" s="92">
        <f>DADOS_AM!$KR$39</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DADOS_AM!$KR$40</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DADOS_AM!$KR$41</f>
        <v/>
      </c>
      <c r="G357" s="19" t="n"/>
      <c r="H357" s="20" t="n"/>
      <c r="I357" s="120" t="n"/>
      <c r="J357" s="124">
        <f>DADOS_AM!$KR$42</f>
        <v/>
      </c>
      <c r="K357" s="19" t="n"/>
      <c r="L357" s="19" t="n"/>
      <c r="M357" s="19" t="n"/>
      <c r="N357" s="20" t="n"/>
      <c r="O357" s="120" t="n"/>
      <c r="P357" s="92">
        <f>DADOS_AM!$KR$43</f>
        <v/>
      </c>
      <c r="Q357" s="20" t="n"/>
      <c r="R357" s="124">
        <f>DADOS_AM!$KR$44</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DADOS_AM!$KR$45</f>
        <v/>
      </c>
      <c r="E361" s="17" t="n"/>
      <c r="F361" s="124">
        <f>DADOS_AM!$KR$46</f>
        <v/>
      </c>
      <c r="G361" s="124">
        <f>DADOS_AM!$KR$47</f>
        <v/>
      </c>
      <c r="H361" s="17" t="n"/>
      <c r="I361" s="120" t="n"/>
      <c r="J361" s="124">
        <f>DADOS_AM!$KR$48</f>
        <v/>
      </c>
      <c r="K361" s="124">
        <f>DADOS_AM!$KR$49</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DADOS_AM!$KR$50</f>
        <v/>
      </c>
      <c r="E362" s="17" t="n"/>
      <c r="F362" s="124">
        <f>DADOS_AM!$KR$51</f>
        <v/>
      </c>
      <c r="G362" s="124">
        <f>DADOS_AM!$KR$52</f>
        <v/>
      </c>
      <c r="H362" s="17" t="n"/>
      <c r="I362" s="120" t="n"/>
      <c r="J362" s="124">
        <f>DADOS_AM!$KR$53</f>
        <v/>
      </c>
      <c r="K362" s="124">
        <f>DADOS_AM!$KR$54</f>
        <v/>
      </c>
      <c r="L362" s="124">
        <f>DADOS_AM!$KR$55</f>
        <v/>
      </c>
      <c r="M362" s="124" t="inlineStr">
        <is>
          <t>Acontece</t>
        </is>
      </c>
      <c r="N362" s="17" t="n"/>
      <c r="O362" s="120" t="n"/>
      <c r="P362" s="21" t="n"/>
      <c r="T362" s="22" t="n"/>
      <c r="U362" s="120" t="n"/>
    </row>
    <row r="363" hidden="1" outlineLevel="1">
      <c r="A363" s="8" t="n"/>
      <c r="B363" s="14" t="n"/>
      <c r="C363" s="120" t="n"/>
      <c r="D363" s="130">
        <f>DADOS_AM!$KR$56</f>
        <v/>
      </c>
      <c r="E363" s="17" t="n"/>
      <c r="F363" s="124">
        <f>DADOS_AM!$KR$57</f>
        <v/>
      </c>
      <c r="G363" s="124">
        <f>DADOS_AM!$KR$58</f>
        <v/>
      </c>
      <c r="H363" s="17" t="n"/>
      <c r="I363" s="120" t="n"/>
      <c r="J363" s="124" t="inlineStr">
        <is>
          <t>199,5 m</t>
        </is>
      </c>
      <c r="K363" s="124">
        <f>DADOS_AM!$KR$59</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DADOS_AM!$KR$60</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DADOS_AM!$KR$61</f>
        <v/>
      </c>
      <c r="E423" s="17" t="n"/>
      <c r="F423" s="55" t="inlineStr">
        <is>
          <t>COMPRADAS</t>
        </is>
      </c>
      <c r="G423" s="16" t="n"/>
      <c r="H423" s="17" t="n"/>
      <c r="I423" s="120" t="n"/>
      <c r="J423" s="55">
        <f>DADOS_AM!$KR$63</f>
        <v/>
      </c>
      <c r="K423" s="17" t="n"/>
      <c r="L423" s="55">
        <f>DADOS_AM!$KR$65</f>
        <v/>
      </c>
      <c r="M423" s="16" t="n"/>
      <c r="N423" s="17" t="n"/>
      <c r="O423" s="120" t="n"/>
      <c r="P423" s="55">
        <f>DADOS_AM!$KR$67</f>
        <v/>
      </c>
      <c r="Q423" s="16" t="n"/>
      <c r="R423" s="16" t="n"/>
      <c r="S423" s="16" t="n"/>
      <c r="T423" s="17" t="n"/>
      <c r="U423" s="120" t="n"/>
    </row>
    <row r="424" outlineLevel="1">
      <c r="A424" s="8" t="n"/>
      <c r="B424" s="14" t="n"/>
      <c r="C424" s="120" t="n"/>
      <c r="D424" s="92">
        <f>DADOS_AM!$HI$6</f>
        <v/>
      </c>
      <c r="E424" s="20" t="n"/>
      <c r="F424" s="92">
        <f>DADOS_AM!$KR$62</f>
        <v/>
      </c>
      <c r="G424" s="19" t="n"/>
      <c r="H424" s="20" t="n"/>
      <c r="I424" s="120" t="n"/>
      <c r="J424" s="83">
        <f>DADOS_AM!$KR$64</f>
        <v/>
      </c>
      <c r="K424" s="20" t="n"/>
      <c r="L424" s="83">
        <f>DADOS_AM!$KR$66</f>
        <v/>
      </c>
      <c r="M424" s="19" t="n"/>
      <c r="N424" s="20" t="n"/>
      <c r="O424" s="120" t="n"/>
      <c r="P424" s="83">
        <f>DADOS_AM!$KR$68</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DADOS_AM!$KR$69</f>
        <v/>
      </c>
      <c r="E427" s="16" t="n"/>
      <c r="F427" s="16" t="n"/>
      <c r="G427" s="16" t="n"/>
      <c r="H427" s="17" t="n"/>
      <c r="I427" s="120" t="n"/>
      <c r="J427" s="55">
        <f>DADOS_AM!$KR$70</f>
        <v/>
      </c>
      <c r="K427" s="16" t="n"/>
      <c r="L427" s="16" t="n"/>
      <c r="M427" s="16" t="n"/>
      <c r="N427" s="17" t="n"/>
      <c r="O427" s="120" t="n"/>
      <c r="P427" s="55">
        <f>DADOS_AM!$KR$71</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DADOS_AM!$KR$72</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DADOS_AM!$KR$73</f>
        <v/>
      </c>
      <c r="E446" s="137">
        <f>DADOS_AM!$HY$2</f>
        <v/>
      </c>
      <c r="F446" s="16" t="n"/>
      <c r="G446" s="16" t="n"/>
      <c r="H446" s="17" t="n"/>
      <c r="I446" s="120" t="n"/>
      <c r="J446" s="55">
        <f>DADOS_AM!$KR$74</f>
        <v/>
      </c>
      <c r="K446" s="137">
        <f>DADOS_AM!$HY$3</f>
        <v/>
      </c>
      <c r="L446" s="16" t="n"/>
      <c r="M446" s="16" t="n"/>
      <c r="N446" s="17" t="n"/>
      <c r="O446" s="120" t="n"/>
      <c r="P446" s="55">
        <f>DADOS_AM!$KR$75</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DADOS_AM!$KR$76</f>
        <v/>
      </c>
      <c r="E466" s="137">
        <f>DADOS_AM!$HY$5</f>
        <v/>
      </c>
      <c r="F466" s="16" t="n"/>
      <c r="G466" s="16" t="n"/>
      <c r="H466" s="17" t="n"/>
      <c r="I466" s="120" t="n"/>
      <c r="J466" s="55">
        <f>DADOS_AM!$KR$77</f>
        <v/>
      </c>
      <c r="K466" s="137">
        <f>DADOS_AM!$HY$6</f>
        <v/>
      </c>
      <c r="L466" s="16" t="n"/>
      <c r="M466" s="16" t="n"/>
      <c r="N466" s="17" t="n"/>
      <c r="O466" s="120" t="n"/>
      <c r="P466" s="55">
        <f>DADOS_AM!$KR$78</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DADOS_AM!$KR$85</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DADOS_AM!$KR$79</f>
        <v/>
      </c>
      <c r="E488" s="137">
        <f>DADOS_AM!$HY$8</f>
        <v/>
      </c>
      <c r="F488" s="16" t="n"/>
      <c r="G488" s="16" t="n"/>
      <c r="H488" s="17" t="n"/>
      <c r="I488" s="120" t="n"/>
      <c r="J488" s="55">
        <f>DADOS_AM!$KR$80</f>
        <v/>
      </c>
      <c r="K488" s="137">
        <f>DADOS_AM!$HY$9</f>
        <v/>
      </c>
      <c r="L488" s="16" t="n"/>
      <c r="M488" s="16" t="n"/>
      <c r="N488" s="17" t="n"/>
      <c r="O488" s="120" t="n"/>
      <c r="P488" s="55">
        <f>DADOS_AM!$KR$81</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DADOS_AM!$KR$82</f>
        <v/>
      </c>
      <c r="E508" s="137">
        <f>DADOS_AM!$HY$11</f>
        <v/>
      </c>
      <c r="F508" s="16" t="n"/>
      <c r="G508" s="16" t="n"/>
      <c r="H508" s="17" t="n"/>
      <c r="I508" s="120" t="n"/>
      <c r="J508" s="55">
        <f>DADOS_AM!$KR$83</f>
        <v/>
      </c>
      <c r="K508" s="137">
        <f>DADOS_AM!$HY$12</f>
        <v/>
      </c>
      <c r="L508" s="16" t="n"/>
      <c r="M508" s="16" t="n"/>
      <c r="N508" s="17" t="n"/>
      <c r="O508" s="120" t="n"/>
      <c r="P508" s="55">
        <f>DADOS_AM!$KR$84</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DADOS_AM!$KR$86</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PROJETO M</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38">
        <f>CARTEIRA!$C$8</f>
        <v/>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39"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0" t="inlineStr">
        <is>
          <t>VERSÃO DO CATÁLOGO</t>
        </is>
      </c>
      <c r="B1" s="141" t="inlineStr">
        <is>
          <t>0.331 · 04/10</t>
        </is>
      </c>
      <c r="C1" s="122" t="inlineStr">
        <is>
          <t>versão corrente (puxada da central)</t>
        </is>
      </c>
      <c r="D1" s="141" t="inlineStr">
        <is>
          <t>0.331 · 04/10</t>
        </is>
      </c>
      <c r="E1" s="41" t="inlineStr">
        <is>
          <t>NOME DO SISTEMA</t>
        </is>
      </c>
      <c r="F1" s="41" t="inlineStr">
        <is>
          <t>Projeto M</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2" t="inlineStr">
        <is>
          <t>Caminhos</t>
        </is>
      </c>
      <c r="B3" s="142" t="inlineStr">
        <is>
          <t>Perícias</t>
        </is>
      </c>
      <c r="C3" s="142" t="inlineStr">
        <is>
          <t>Ofícios</t>
        </is>
      </c>
      <c r="D3" s="142" t="inlineStr">
        <is>
          <t>Famílias</t>
        </is>
      </c>
      <c r="E3" s="142" t="inlineStr">
        <is>
          <t>Formas</t>
        </is>
      </c>
      <c r="F3" s="142" t="inlineStr">
        <is>
          <t>Melhorias</t>
        </is>
      </c>
      <c r="G3" s="142" t="inlineStr">
        <is>
          <t>Restrições</t>
        </is>
      </c>
      <c r="H3" s="142" t="inlineStr">
        <is>
          <t>Condições</t>
        </is>
      </c>
      <c r="I3" s="142" t="inlineStr">
        <is>
          <t>Origens</t>
        </is>
      </c>
      <c r="J3" s="142" t="inlineStr">
        <is>
          <t>Testes</t>
        </is>
      </c>
      <c r="K3" s="142" t="inlineStr">
        <is>
          <t>Atributos</t>
        </is>
      </c>
      <c r="L3" s="142" t="inlineStr">
        <is>
          <t>Trilhas</t>
        </is>
      </c>
      <c r="M3" s="41" t="n"/>
      <c r="N3" s="14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43" t="inlineStr">
        <is>
          <t>Bastião</t>
        </is>
      </c>
      <c r="B4" s="143" t="inlineStr">
        <is>
          <t>Atletismo</t>
        </is>
      </c>
      <c r="C4" s="143" t="inlineStr">
        <is>
          <t>Condução</t>
        </is>
      </c>
      <c r="D4" s="143" t="inlineStr">
        <is>
          <t>Alcance</t>
        </is>
      </c>
      <c r="E4" s="143" t="inlineStr">
        <is>
          <t>Projétil</t>
        </is>
      </c>
      <c r="F4" s="143" t="inlineStr">
        <is>
          <t>Longe</t>
        </is>
      </c>
      <c r="G4" s="143" t="inlineStr">
        <is>
          <t>Corpo a Corpo</t>
        </is>
      </c>
      <c r="H4" s="143" t="inlineStr">
        <is>
          <t>Lento</t>
        </is>
      </c>
      <c r="I4" s="143" t="inlineStr">
        <is>
          <t>Latente</t>
        </is>
      </c>
      <c r="J4" s="143" t="inlineStr">
        <is>
          <t>Físico</t>
        </is>
      </c>
      <c r="K4" s="143" t="inlineStr">
        <is>
          <t>Força</t>
        </is>
      </c>
      <c r="L4" s="143" t="inlineStr">
        <is>
          <t>Muro</t>
        </is>
      </c>
      <c r="M4" s="41" t="n"/>
      <c r="N4" s="144" t="inlineStr">
        <is>
          <t>Caminho</t>
        </is>
      </c>
      <c r="O4" s="144" t="inlineStr">
        <is>
          <t>atributos naturais</t>
        </is>
      </c>
      <c r="P4" s="144" t="inlineStr">
        <is>
          <t>vida inicial</t>
        </is>
      </c>
      <c r="Q4" s="144" t="inlineStr">
        <is>
          <t>vida por nível</t>
        </is>
      </c>
      <c r="R4" s="144" t="inlineStr">
        <is>
          <t>PE por nível</t>
        </is>
      </c>
      <c r="S4" s="144" t="inlineStr">
        <is>
          <t>perícia fixa 1</t>
        </is>
      </c>
      <c r="T4" s="144" t="inlineStr">
        <is>
          <t>perícia fixa 2</t>
        </is>
      </c>
      <c r="U4" s="144" t="n"/>
      <c r="V4" s="41" t="n"/>
      <c r="W4" s="144" t="inlineStr">
        <is>
          <t>marcos</t>
        </is>
      </c>
      <c r="X4" s="144" t="inlineStr">
        <is>
          <t>maestria</t>
        </is>
      </c>
      <c r="Y4" s="144" t="inlineStr">
        <is>
          <t>classe</t>
        </is>
      </c>
      <c r="Z4" s="144" t="inlineStr">
        <is>
          <t>classe 0</t>
        </is>
      </c>
      <c r="AA4" s="41" t="n"/>
      <c r="AB4" s="144" t="inlineStr">
        <is>
          <t>perícia</t>
        </is>
      </c>
      <c r="AC4" s="144" t="inlineStr">
        <is>
          <t>atributo</t>
        </is>
      </c>
      <c r="AD4" s="41" t="n"/>
      <c r="AE4" s="144" t="inlineStr">
        <is>
          <t>equipamento</t>
        </is>
      </c>
      <c r="AF4" s="144" t="inlineStr">
        <is>
          <t>proteção</t>
        </is>
      </c>
      <c r="AG4" s="144" t="inlineStr">
        <is>
          <t>teto de destreza</t>
        </is>
      </c>
      <c r="AH4" s="144" t="inlineStr">
        <is>
          <t>desliga a passiva</t>
        </is>
      </c>
      <c r="AI4" s="41" t="n"/>
      <c r="AJ4" s="144" t="inlineStr">
        <is>
          <t>contas da ficha</t>
        </is>
      </c>
      <c r="AK4" s="144" t="inlineStr">
        <is>
          <t>valor</t>
        </is>
      </c>
      <c r="AL4" s="41" t="n"/>
      <c r="AM4" s="144" t="inlineStr">
        <is>
          <t>menu de Caminho</t>
        </is>
      </c>
      <c r="AN4" s="144" t="inlineStr">
        <is>
          <t>Trilha</t>
        </is>
      </c>
      <c r="AO4" s="144" t="inlineStr">
        <is>
          <t>Caminho da Trilha</t>
        </is>
      </c>
      <c r="AP4" s="144" t="inlineStr">
        <is>
          <t>menu de Trilha</t>
        </is>
      </c>
      <c r="AQ4" s="144" t="inlineStr">
        <is>
          <t>nível</t>
        </is>
      </c>
      <c r="AR4" s="144" t="inlineStr">
        <is>
          <t>xp acumulado</t>
        </is>
      </c>
      <c r="AS4" s="41" t="n"/>
      <c r="AT4" s="41" t="n"/>
      <c r="AU4" s="41" t="n"/>
      <c r="AV4" s="41" t="n"/>
      <c r="AW4" s="41" t="n"/>
      <c r="AX4" s="41" t="n"/>
      <c r="AY4" s="41" t="n"/>
      <c r="AZ4" s="41" t="n"/>
      <c r="BA4" s="144" t="inlineStr">
        <is>
          <t>campo</t>
        </is>
      </c>
      <c r="BB4" s="144" t="inlineStr">
        <is>
          <t>célula</t>
        </is>
      </c>
      <c r="BD4" s="144" t="inlineStr">
        <is>
          <t>equipável</t>
        </is>
      </c>
      <c r="BE4" s="144" t="inlineStr">
        <is>
          <t>categoria do equipável</t>
        </is>
      </c>
      <c r="BF4" s="144" t="inlineStr">
        <is>
          <t>mão do equipável</t>
        </is>
      </c>
      <c r="BG4" s="144" t="inlineStr">
        <is>
          <t>dado do equipável</t>
        </is>
      </c>
      <c r="BH4" s="144" t="inlineStr">
        <is>
          <t>propriedades do equipável</t>
        </is>
      </c>
      <c r="BI4" s="144" t="inlineStr">
        <is>
          <t>força do equipável</t>
        </is>
      </c>
      <c r="BJ4" s="144" t="inlineStr">
        <is>
          <t>volume do equipável</t>
        </is>
      </c>
      <c r="BK4" s="144" t="inlineStr">
        <is>
          <t>alcance do equipável</t>
        </is>
      </c>
      <c r="BL4" s="144" t="inlineStr">
        <is>
          <t>recarga do equipável</t>
        </is>
      </c>
      <c r="BM4" s="144" t="inlineStr">
        <is>
          <t>treino marcado</t>
        </is>
      </c>
      <c r="BN4" s="144" t="inlineStr">
        <is>
          <t>caixa do treino</t>
        </is>
      </c>
      <c r="BP4" s="144" t="inlineStr">
        <is>
          <t>categoria de arma</t>
        </is>
      </c>
      <c r="BQ4" s="144" t="inlineStr">
        <is>
          <t>lista de treino</t>
        </is>
      </c>
      <c r="BR4" s="144" t="inlineStr">
        <is>
          <t>conjurador treina</t>
        </is>
      </c>
      <c r="BS4" s="144" t="inlineStr">
        <is>
          <t>grupo marcado</t>
        </is>
      </c>
      <c r="BT4" s="144" t="inlineStr">
        <is>
          <t>caixa do grupo</t>
        </is>
      </c>
      <c r="BV4" s="144" t="inlineStr">
        <is>
          <t>Caminho que treina todas as armas</t>
        </is>
      </c>
      <c r="BX4" s="144" t="inlineStr">
        <is>
          <t>uniforme</t>
        </is>
      </c>
      <c r="BY4" s="144" t="inlineStr">
        <is>
          <t>proteção do uniforme</t>
        </is>
      </c>
      <c r="BZ4" s="144" t="inlineStr">
        <is>
          <t>teto do uniforme</t>
        </is>
      </c>
      <c r="CA4" s="144" t="inlineStr">
        <is>
          <t>força do uniforme</t>
        </is>
      </c>
      <c r="CB4" s="144" t="inlineStr">
        <is>
          <t>volume do uniforme</t>
        </is>
      </c>
      <c r="CC4" s="144" t="inlineStr">
        <is>
          <t>ordem do grau mínimo</t>
        </is>
      </c>
      <c r="CD4" s="144" t="inlineStr">
        <is>
          <t>grau mínimo</t>
        </is>
      </c>
      <c r="CF4" s="144" t="inlineStr">
        <is>
          <t>patente</t>
        </is>
      </c>
      <c r="CG4" s="144" t="inlineStr">
        <is>
          <t>salário por mês</t>
        </is>
      </c>
      <c r="CH4" s="144" t="inlineStr">
        <is>
          <t>ordem da patente</t>
        </is>
      </c>
      <c r="CJ4" s="144" t="inlineStr">
        <is>
          <t>situação do traje</t>
        </is>
      </c>
      <c r="CL4" s="144" t="inlineStr">
        <is>
          <t>tipo de missão</t>
        </is>
      </c>
      <c r="CM4" s="144" t="inlineStr">
        <is>
          <t>xp do tipo</t>
        </is>
      </c>
      <c r="CO4" s="144" t="inlineStr">
        <is>
          <t>adicional da missão</t>
        </is>
      </c>
      <c r="CP4" s="144" t="inlineStr">
        <is>
          <t>multiplicador</t>
        </is>
      </c>
      <c r="CR4" s="144" t="inlineStr">
        <is>
          <t>desconto da missão</t>
        </is>
      </c>
      <c r="CS4" s="144" t="inlineStr">
        <is>
          <t>fração paga</t>
        </is>
      </c>
      <c r="CU4" s="144" t="inlineStr">
        <is>
          <t>grau da ferramenta</t>
        </is>
      </c>
      <c r="CW4" s="144" t="inlineStr">
        <is>
          <t>limiar do feito</t>
        </is>
      </c>
      <c r="CY4" s="144" t="inlineStr">
        <is>
          <t>contas da pessoal</t>
        </is>
      </c>
      <c r="CZ4" s="144" t="inlineStr">
        <is>
          <t>valor da pessoal</t>
        </is>
      </c>
      <c r="DB4" s="144" t="inlineStr">
        <is>
          <t>menu da mão principal</t>
        </is>
      </c>
      <c r="DD4" s="144" t="inlineStr">
        <is>
          <t>menu da mão secundária</t>
        </is>
      </c>
      <c r="DF4" s="144" t="inlineStr">
        <is>
          <t>menu do vestindo</t>
        </is>
      </c>
      <c r="DH4" s="144" t="inlineStr">
        <is>
          <t>propriedade de arma</t>
        </is>
      </c>
      <c r="DI4" s="144" t="inlineStr">
        <is>
          <t>o que a propriedade faz</t>
        </is>
      </c>
      <c r="DK4" s="144" t="inlineStr">
        <is>
          <t>nota viva</t>
        </is>
      </c>
      <c r="DL4" s="144" t="inlineStr">
        <is>
          <t>texto da nota</t>
        </is>
      </c>
      <c r="DM4" s="144" t="inlineStr">
        <is>
          <t>caixa da nota</t>
        </is>
      </c>
      <c r="DO4" s="144" t="inlineStr">
        <is>
          <t>campo pessoal</t>
        </is>
      </c>
      <c r="DP4" s="144" t="inlineStr">
        <is>
          <t>célula pessoal</t>
        </is>
      </c>
    </row>
    <row r="5" ht="17.25" customHeight="1">
      <c r="A5" s="143" t="inlineStr">
        <is>
          <t>Vanguarda</t>
        </is>
      </c>
      <c r="B5" s="143" t="inlineStr">
        <is>
          <t>Acrobacia</t>
        </is>
      </c>
      <c r="C5" s="143" t="inlineStr">
        <is>
          <t>Arrombamento</t>
        </is>
      </c>
      <c r="D5" s="143" t="inlineStr">
        <is>
          <t>Área</t>
        </is>
      </c>
      <c r="E5" s="143" t="inlineStr">
        <is>
          <t>Toque</t>
        </is>
      </c>
      <c r="F5" s="143" t="inlineStr">
        <is>
          <t>Muito Longe</t>
        </is>
      </c>
      <c r="G5" s="143" t="inlineStr">
        <is>
          <t>Atrasar</t>
        </is>
      </c>
      <c r="H5" s="143" t="inlineStr">
        <is>
          <t>Guarda Aberta</t>
        </is>
      </c>
      <c r="I5" s="143" t="inlineStr">
        <is>
          <t>Receptáculo</t>
        </is>
      </c>
      <c r="J5" s="143" t="inlineStr">
        <is>
          <t>Vigor</t>
        </is>
      </c>
      <c r="K5" s="143" t="inlineStr">
        <is>
          <t>Destreza</t>
        </is>
      </c>
      <c r="L5" s="143" t="inlineStr">
        <is>
          <t>Punho</t>
        </is>
      </c>
      <c r="M5" s="41" t="n"/>
      <c r="N5" s="143" t="inlineStr">
        <is>
          <t>Bastião</t>
        </is>
      </c>
      <c r="O5" s="143" t="inlineStr">
        <is>
          <t>Força · Constituição</t>
        </is>
      </c>
      <c r="P5" s="143" t="n">
        <v>12</v>
      </c>
      <c r="Q5" s="143" t="n">
        <v>7</v>
      </c>
      <c r="R5" s="143" t="n">
        <v>4</v>
      </c>
      <c r="S5" s="143" t="inlineStr">
        <is>
          <t>Atletismo</t>
        </is>
      </c>
      <c r="T5" s="143" t="inlineStr">
        <is>
          <t>Provocar</t>
        </is>
      </c>
      <c r="U5" s="143" t="n"/>
      <c r="V5" s="41" t="n"/>
      <c r="W5" s="145" t="n">
        <v>6</v>
      </c>
      <c r="X5" s="145" t="n">
        <v>10</v>
      </c>
      <c r="Y5" s="145" t="n">
        <v>1</v>
      </c>
      <c r="Z5" s="145" t="n">
        <v>5</v>
      </c>
      <c r="AA5" s="41" t="n"/>
      <c r="AB5" s="143" t="inlineStr">
        <is>
          <t>Atletismo</t>
        </is>
      </c>
      <c r="AC5" s="143" t="inlineStr">
        <is>
          <t>Força</t>
        </is>
      </c>
      <c r="AD5" s="41" t="n"/>
      <c r="AE5" s="143" t="inlineStr">
        <is>
          <t>Traje 1</t>
        </is>
      </c>
      <c r="AF5" s="145" t="n">
        <v>1</v>
      </c>
      <c r="AG5" s="145" t="inlineStr">
        <is>
          <t>—</t>
        </is>
      </c>
      <c r="AH5" s="145" t="inlineStr">
        <is>
          <t>sim</t>
        </is>
      </c>
      <c r="AI5" s="41" t="n"/>
      <c r="AJ5" s="143" t="inlineStr">
        <is>
          <t>marcos que já passou</t>
        </is>
      </c>
      <c r="AK5" s="145">
        <f>COUNTIF(DADOS!$W$5:$W$11,"&lt;="&amp;FICHA!$AH$11)</f>
        <v/>
      </c>
      <c r="AL5" s="41" t="n"/>
      <c r="AM5" s="143" t="inlineStr">
        <is>
          <t>Escolha seu Caminho</t>
        </is>
      </c>
      <c r="AN5" s="143">
        <f>$L$4</f>
        <v/>
      </c>
      <c r="AO5" s="143" t="inlineStr">
        <is>
          <t>Bastião</t>
        </is>
      </c>
      <c r="AP5" s="143" t="inlineStr">
        <is>
          <t>Escolha sua Trilha</t>
        </is>
      </c>
      <c r="AQ5" s="145" t="n">
        <v>2</v>
      </c>
      <c r="AR5" s="145" t="n">
        <v>0</v>
      </c>
      <c r="AS5" s="41" t="n"/>
      <c r="AT5" s="41" t="n"/>
      <c r="AU5" s="41" t="n"/>
      <c r="AV5" s="41" t="n"/>
      <c r="AW5" s="41" t="n"/>
      <c r="AX5" s="41" t="n"/>
      <c r="AY5" s="41" t="n"/>
      <c r="AZ5" s="41" t="n"/>
      <c r="BA5" s="143" t="inlineStr">
        <is>
          <t>nome</t>
        </is>
      </c>
      <c r="BB5" s="143">
        <f>ADDRESS(ROW(FICHA!AB2),COLUMN(FICHA!AB2),4)</f>
        <v/>
      </c>
      <c r="BD5" s="143" t="inlineStr">
        <is>
          <t>Bastão</t>
        </is>
      </c>
      <c r="BE5" s="143" t="inlineStr">
        <is>
          <t>Porrete</t>
        </is>
      </c>
      <c r="BF5" s="145" t="n">
        <v>1</v>
      </c>
      <c r="BG5" s="143" t="inlineStr">
        <is>
          <t>1d6</t>
        </is>
      </c>
      <c r="BH5" s="143" t="inlineStr">
        <is>
          <t>Versátil · Alcance · Rompe</t>
        </is>
      </c>
      <c r="BI5" s="143" t="inlineStr">
        <is>
          <t>—</t>
        </is>
      </c>
      <c r="BJ5" s="145" t="n">
        <v>1</v>
      </c>
      <c r="BM5" s="145">
        <f>'FICHA PESSOAL'!$V$49</f>
        <v/>
      </c>
      <c r="BN5" s="145">
        <f>ADDRESS(ROW('FICHA PESSOAL'!V49),COLUMN('FICHA PESSOAL'!V49),4)</f>
        <v/>
      </c>
      <c r="BP5" s="143" t="inlineStr">
        <is>
          <t>Lâmina Curta</t>
        </is>
      </c>
      <c r="BQ5" s="143" t="inlineStr">
        <is>
          <t>Simples</t>
        </is>
      </c>
      <c r="BR5" s="143" t="inlineStr">
        <is>
          <t>não</t>
        </is>
      </c>
      <c r="BS5" s="145">
        <f>'FICHA PESSOAL'!$AE$48</f>
        <v/>
      </c>
      <c r="BT5" s="145">
        <f>ADDRESS(ROW('FICHA PESSOAL'!AE48),COLUMN('FICHA PESSOAL'!AE48),4)</f>
        <v/>
      </c>
      <c r="BV5" s="143" t="inlineStr">
        <is>
          <t>Bastião</t>
        </is>
      </c>
      <c r="BX5" s="143" t="inlineStr">
        <is>
          <t>Traje 1</t>
        </is>
      </c>
      <c r="BY5" s="145" t="n">
        <v>1</v>
      </c>
      <c r="BZ5" s="143" t="inlineStr">
        <is>
          <t>—</t>
        </is>
      </c>
      <c r="CA5" s="145" t="n">
        <v>0</v>
      </c>
      <c r="CB5" s="145" t="n">
        <v>0.3</v>
      </c>
      <c r="CC5" s="145" t="n">
        <v>1</v>
      </c>
      <c r="CD5" s="143" t="inlineStr">
        <is>
          <t>Grau 4</t>
        </is>
      </c>
      <c r="CF5" s="143" t="inlineStr">
        <is>
          <t>Grau 4</t>
        </is>
      </c>
      <c r="CG5" s="143" t="inlineStr">
        <is>
          <t>¥ 150.000</t>
        </is>
      </c>
      <c r="CH5" s="145" t="n">
        <v>1</v>
      </c>
      <c r="CJ5" s="143" t="inlineStr">
        <is>
          <t>Vão apertado</t>
        </is>
      </c>
      <c r="CL5" s="143" t="inlineStr">
        <is>
          <t>Curta</t>
        </is>
      </c>
      <c r="CM5" s="145" t="n">
        <v>50</v>
      </c>
      <c r="CO5" s="143" t="inlineStr">
        <is>
          <t>1,25x</t>
        </is>
      </c>
      <c r="CP5" s="145" t="n">
        <v>1.25</v>
      </c>
      <c r="CR5" s="143" t="inlineStr">
        <is>
          <t>3ª · 50%</t>
        </is>
      </c>
      <c r="CS5" s="145" t="n">
        <v>0.5</v>
      </c>
      <c r="CU5" s="143" t="inlineStr">
        <is>
          <t>—</t>
        </is>
      </c>
      <c r="CW5" s="145" t="n">
        <v>20</v>
      </c>
      <c r="CY5" s="143" t="inlineStr">
        <is>
          <t>força</t>
        </is>
      </c>
      <c r="CZ5" s="145">
        <f>N(FICHA!$D$19)</f>
        <v/>
      </c>
      <c r="DB5" s="143" t="inlineStr">
        <is>
          <t>Soco</t>
        </is>
      </c>
      <c r="DD5" s="143" t="inlineStr">
        <is>
          <t>—</t>
        </is>
      </c>
      <c r="DF5" s="143" t="inlineStr">
        <is>
          <t>Sem uniforme</t>
        </is>
      </c>
      <c r="DH5" s="143" t="inlineStr">
        <is>
          <t>Leve</t>
        </is>
      </c>
      <c r="DI5" s="143" t="inlineStr">
        <is>
          <t>Atende aos requisitos que peçam arma Leve. Não concede outro ataque, muda o atributo do golpe ou reduz Volume. Só as armas marcadas na tabela possuem a propriedade.</t>
        </is>
      </c>
      <c r="DK5" s="143" t="inlineStr">
        <is>
          <t>requisito de força</t>
        </is>
      </c>
      <c r="DL5" s="145">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45">
        <f>ADDRESS(ROW('FICHA PESSOAL'!AF63),COLUMN('FICHA PESSOAL'!AF63),4)</f>
        <v/>
      </c>
      <c r="DO5" s="143" t="inlineStr">
        <is>
          <t>principal</t>
        </is>
      </c>
      <c r="DP5" s="145">
        <f>ADDRESS(ROW('FICHA PESSOAL'!D41),COLUMN('FICHA PESSOAL'!D41),4)</f>
        <v/>
      </c>
    </row>
    <row r="6" ht="17.25" customHeight="1">
      <c r="A6" s="143" t="inlineStr">
        <is>
          <t>Guia</t>
        </is>
      </c>
      <c r="B6" s="143" t="inlineStr">
        <is>
          <t>Furtividade</t>
        </is>
      </c>
      <c r="C6" s="143" t="inlineStr">
        <is>
          <t>Herbalismo</t>
        </is>
      </c>
      <c r="D6" s="143" t="inlineStr">
        <is>
          <t>Mira</t>
        </is>
      </c>
      <c r="E6" s="143" t="inlineStr">
        <is>
          <t>Explosão</t>
        </is>
      </c>
      <c r="F6" s="143" t="inlineStr">
        <is>
          <t>Sem Ver</t>
        </is>
      </c>
      <c r="G6" s="143" t="inlineStr">
        <is>
          <t>Parado</t>
        </is>
      </c>
      <c r="H6" s="143" t="inlineStr">
        <is>
          <t>Derrubado</t>
        </is>
      </c>
      <c r="I6" s="143" t="inlineStr">
        <is>
          <t>Descendente</t>
        </is>
      </c>
      <c r="J6" s="143" t="inlineStr">
        <is>
          <t>Intelecto</t>
        </is>
      </c>
      <c r="K6" s="143" t="inlineStr">
        <is>
          <t>Constituição</t>
        </is>
      </c>
      <c r="L6" s="143" t="inlineStr">
        <is>
          <t>Combatente Amaldiçoado</t>
        </is>
      </c>
      <c r="M6" s="41" t="n"/>
      <c r="N6" s="143" t="inlineStr">
        <is>
          <t>Vanguarda</t>
        </is>
      </c>
      <c r="O6" s="143" t="inlineStr">
        <is>
          <t>Destreza · Força</t>
        </is>
      </c>
      <c r="P6" s="143" t="n">
        <v>8</v>
      </c>
      <c r="Q6" s="143" t="n">
        <v>5</v>
      </c>
      <c r="R6" s="143" t="n">
        <v>5</v>
      </c>
      <c r="S6" s="143" t="inlineStr">
        <is>
          <t>Acrobacia</t>
        </is>
      </c>
      <c r="T6" s="143" t="inlineStr">
        <is>
          <t>Percepção</t>
        </is>
      </c>
      <c r="U6" s="143" t="n"/>
      <c r="V6" s="41" t="n"/>
      <c r="W6" s="145" t="n">
        <v>10</v>
      </c>
      <c r="X6" s="145" t="n">
        <v>18</v>
      </c>
      <c r="Y6" s="145" t="n">
        <v>5</v>
      </c>
      <c r="Z6" s="145" t="n">
        <v>11</v>
      </c>
      <c r="AA6" s="41" t="n"/>
      <c r="AB6" s="143" t="inlineStr">
        <is>
          <t>Acrobacia</t>
        </is>
      </c>
      <c r="AC6" s="143" t="inlineStr">
        <is>
          <t>Destreza</t>
        </is>
      </c>
      <c r="AD6" s="41" t="n"/>
      <c r="AE6" s="143" t="inlineStr">
        <is>
          <t>Traje 2</t>
        </is>
      </c>
      <c r="AF6" s="145" t="n">
        <v>2</v>
      </c>
      <c r="AG6" s="145" t="inlineStr">
        <is>
          <t>—</t>
        </is>
      </c>
      <c r="AH6" s="145" t="inlineStr">
        <is>
          <t>sim</t>
        </is>
      </c>
      <c r="AI6" s="41" t="n"/>
      <c r="AJ6" s="143" t="inlineStr">
        <is>
          <t>pontos de atributo</t>
        </is>
      </c>
      <c r="AK6" s="145">
        <f>9+DADOS!$AK$5</f>
        <v/>
      </c>
      <c r="AL6" s="41" t="n"/>
      <c r="AM6" s="143">
        <f>$A$4</f>
        <v/>
      </c>
      <c r="AN6" s="143">
        <f>$L$5</f>
        <v/>
      </c>
      <c r="AO6" s="143" t="inlineStr">
        <is>
          <t>Bastião</t>
        </is>
      </c>
      <c r="AP6" s="143">
        <f>IFERROR(FILTER($AN$5:$AN$24,$AO$5:$AO$24=FICHA!$D$11),"")</f>
        <v/>
      </c>
      <c r="AQ6" s="145" t="n">
        <v>3</v>
      </c>
      <c r="AR6" s="145" t="n">
        <v>200</v>
      </c>
      <c r="AS6" s="41" t="n"/>
      <c r="AT6" s="41" t="n"/>
      <c r="AU6" s="41" t="n"/>
      <c r="AV6" s="41" t="n"/>
      <c r="AW6" s="41" t="n"/>
      <c r="AX6" s="41" t="n"/>
      <c r="AY6" s="41" t="n"/>
      <c r="AZ6" s="41" t="n"/>
      <c r="BA6" s="143" t="inlineStr">
        <is>
          <t>caminho</t>
        </is>
      </c>
      <c r="BB6" s="143">
        <f>ADDRESS(ROW(FICHA!D11),COLUMN(FICHA!D11),4)</f>
        <v/>
      </c>
      <c r="BD6" s="143" t="inlineStr">
        <is>
          <t>Besta</t>
        </is>
      </c>
      <c r="BE6" s="143" t="inlineStr">
        <is>
          <t>Balestra</t>
        </is>
      </c>
      <c r="BF6" s="145" t="n">
        <v>2</v>
      </c>
      <c r="BG6" s="143" t="inlineStr">
        <is>
          <t>2d8</t>
        </is>
      </c>
      <c r="BH6" s="143" t="inlineStr">
        <is>
          <t>Longo Alcance · Munição · Rompe</t>
        </is>
      </c>
      <c r="BI6" s="145" t="n">
        <v>3</v>
      </c>
      <c r="BJ6" s="145" t="n">
        <v>2</v>
      </c>
      <c r="BK6" s="143" t="inlineStr">
        <is>
          <t>30 m, longa 120 m</t>
        </is>
      </c>
      <c r="BL6" s="145" t="n">
        <v>1</v>
      </c>
      <c r="BM6" s="145">
        <f>'FICHA PESSOAL'!$V$59</f>
        <v/>
      </c>
      <c r="BN6" s="145">
        <f>ADDRESS(ROW('FICHA PESSOAL'!V59),COLUMN('FICHA PESSOAL'!V59),4)</f>
        <v/>
      </c>
      <c r="BP6" s="143" t="inlineStr">
        <is>
          <t>Porrete</t>
        </is>
      </c>
      <c r="BQ6" s="143" t="inlineStr">
        <is>
          <t>Simples</t>
        </is>
      </c>
      <c r="BR6" s="143" t="inlineStr">
        <is>
          <t>não</t>
        </is>
      </c>
      <c r="BS6" s="145">
        <f>'FICHA PESSOAL'!$V$48</f>
        <v/>
      </c>
      <c r="BT6" s="145">
        <f>ADDRESS(ROW('FICHA PESSOAL'!V48),COLUMN('FICHA PESSOAL'!V48),4)</f>
        <v/>
      </c>
      <c r="BV6" s="143" t="inlineStr">
        <is>
          <t>Vanguarda</t>
        </is>
      </c>
      <c r="BX6" s="143" t="inlineStr">
        <is>
          <t>Traje 2</t>
        </is>
      </c>
      <c r="BY6" s="145" t="n">
        <v>2</v>
      </c>
      <c r="BZ6" s="143" t="inlineStr">
        <is>
          <t>—</t>
        </is>
      </c>
      <c r="CA6" s="145" t="n">
        <v>0</v>
      </c>
      <c r="CB6" s="145" t="n">
        <v>1</v>
      </c>
      <c r="CC6" s="145" t="n">
        <v>1</v>
      </c>
      <c r="CD6" s="143" t="inlineStr">
        <is>
          <t>Grau 4</t>
        </is>
      </c>
      <c r="CF6" s="143" t="inlineStr">
        <is>
          <t>Grau 3</t>
        </is>
      </c>
      <c r="CG6" s="143" t="inlineStr">
        <is>
          <t>¥ 300.000</t>
        </is>
      </c>
      <c r="CH6" s="145" t="n">
        <v>2</v>
      </c>
      <c r="CJ6" s="143" t="inlineStr">
        <is>
          <t>Água e chuva</t>
        </is>
      </c>
      <c r="CL6" s="143" t="inlineStr">
        <is>
          <t>Padrão</t>
        </is>
      </c>
      <c r="CM6" s="145" t="n">
        <v>100</v>
      </c>
      <c r="CO6" s="143" t="inlineStr">
        <is>
          <t>1,50x</t>
        </is>
      </c>
      <c r="CP6" s="145" t="n">
        <v>1.5</v>
      </c>
      <c r="CR6" s="143" t="inlineStr">
        <is>
          <t>4ª · 25%</t>
        </is>
      </c>
      <c r="CS6" s="145" t="n">
        <v>0.25</v>
      </c>
      <c r="CU6" s="143" t="inlineStr">
        <is>
          <t>Grau 4</t>
        </is>
      </c>
      <c r="CY6" s="143" t="inlineStr">
        <is>
          <t>soco na principal</t>
        </is>
      </c>
      <c r="CZ6" s="145">
        <f>IF(OR('FICHA PESSOAL'!$D$41="",'FICHA PESSOAL'!$D$41="Soco"),1,0)</f>
        <v/>
      </c>
      <c r="DB6" s="145">
        <f>IF(AND('FICHA PESSOAL'!$D$69&lt;&gt;"",'FICHA PESSOAL'!$M$69&lt;&gt;"Escudo"),'FICHA PESSOAL'!$D$69,"")</f>
        <v/>
      </c>
      <c r="DD6" s="145">
        <f>IF(AND(DADOS!$CZ$8&lt;&gt;2,ISNUMBER(SEARCH("Versátil",DADOS!$CZ$10))),"Nas duas mãos","")</f>
        <v/>
      </c>
      <c r="DF6" s="145">
        <f>IF(DADOS!$CZ$34&gt;=DADOS!$CC$5,DADOS!$BX$5,"")</f>
        <v/>
      </c>
      <c r="DH6" s="143" t="inlineStr">
        <is>
          <t>Fineza</t>
        </is>
      </c>
      <c r="DI6" s="143" t="inlineStr">
        <is>
          <t>Em ataques corpo a corpo, pode usar Destreza no lugar de Força no acerto e no dano.</t>
        </is>
      </c>
      <c r="DK6" s="143" t="inlineStr">
        <is>
          <t>carga</t>
        </is>
      </c>
      <c r="DL6" s="145">
        <f>IF(DADOS!$CZ$42=1,"Você passou do limite: não pode se deslocar com essa carga. Largue ou guarde o que passou antes de andar, nadar, escalar ou voar.","")</f>
        <v/>
      </c>
      <c r="DM6" s="145">
        <f>ADDRESS(ROW('FICHA PESSOAL'!D63),COLUMN('FICHA PESSOAL'!D63),4)</f>
        <v/>
      </c>
      <c r="DO6" s="143" t="inlineStr">
        <is>
          <t>secundária</t>
        </is>
      </c>
      <c r="DP6" s="145">
        <f>ADDRESS(ROW('FICHA PESSOAL'!S41),COLUMN('FICHA PESSOAL'!S41),4)</f>
        <v/>
      </c>
    </row>
    <row r="7" ht="17.25" customHeight="1">
      <c r="A7" s="143" t="inlineStr">
        <is>
          <t>Emanador</t>
        </is>
      </c>
      <c r="B7" s="143" t="inlineStr">
        <is>
          <t>Pontaria</t>
        </is>
      </c>
      <c r="C7" s="143" t="inlineStr">
        <is>
          <t>Forja</t>
        </is>
      </c>
      <c r="D7" s="143" t="inlineStr">
        <is>
          <t>Controle</t>
        </is>
      </c>
      <c r="E7" s="143" t="inlineStr">
        <is>
          <t>Aura</t>
        </is>
      </c>
      <c r="F7" s="143" t="inlineStr">
        <is>
          <t>Perseguir</t>
        </is>
      </c>
      <c r="G7" s="143" t="inlineStr">
        <is>
          <t>Gesto</t>
        </is>
      </c>
      <c r="H7" s="143" t="inlineStr">
        <is>
          <t>Agarrado</t>
        </is>
      </c>
      <c r="I7" s="143" t="inlineStr">
        <is>
          <t>Encarnado</t>
        </is>
      </c>
      <c r="J7" s="143" t="inlineStr">
        <is>
          <t>Espírito</t>
        </is>
      </c>
      <c r="K7" s="143" t="inlineStr">
        <is>
          <t>Inteligência</t>
        </is>
      </c>
      <c r="L7" s="143" t="inlineStr">
        <is>
          <t>Estocada</t>
        </is>
      </c>
      <c r="M7" s="41" t="n"/>
      <c r="N7" s="143" t="inlineStr">
        <is>
          <t>Guia</t>
        </is>
      </c>
      <c r="O7" s="143" t="inlineStr">
        <is>
          <t>Essência</t>
        </is>
      </c>
      <c r="P7" s="143" t="n">
        <v>8</v>
      </c>
      <c r="Q7" s="143" t="n">
        <v>5</v>
      </c>
      <c r="R7" s="143" t="n">
        <v>5</v>
      </c>
      <c r="S7" s="143" t="inlineStr">
        <is>
          <t>Persuasão</t>
        </is>
      </c>
      <c r="T7" s="143" t="inlineStr">
        <is>
          <t>Medicina</t>
        </is>
      </c>
      <c r="U7" s="143" t="n"/>
      <c r="V7" s="41" t="n"/>
      <c r="W7" s="145" t="n">
        <v>14</v>
      </c>
      <c r="X7" s="145" t="n">
        <v>26</v>
      </c>
      <c r="Y7" s="145" t="n">
        <v>9</v>
      </c>
      <c r="Z7" s="145" t="n">
        <v>17</v>
      </c>
      <c r="AA7" s="41" t="n"/>
      <c r="AB7" s="143" t="inlineStr">
        <is>
          <t>Furtividade</t>
        </is>
      </c>
      <c r="AC7" s="143" t="inlineStr">
        <is>
          <t>Destreza</t>
        </is>
      </c>
      <c r="AD7" s="41" t="n"/>
      <c r="AE7" s="143" t="inlineStr">
        <is>
          <t>Traje 3</t>
        </is>
      </c>
      <c r="AF7" s="145" t="n">
        <v>3</v>
      </c>
      <c r="AG7" s="145" t="inlineStr">
        <is>
          <t>—</t>
        </is>
      </c>
      <c r="AH7" s="145" t="inlineStr">
        <is>
          <t>sim</t>
        </is>
      </c>
      <c r="AI7" s="41" t="n"/>
      <c r="AJ7" s="143" t="inlineStr">
        <is>
          <t>pontos distribuídos</t>
        </is>
      </c>
      <c r="AK7" s="145">
        <f>IFERROR(VALUE(FICHA!$D$21&amp;""),0)+IFERROR(VALUE(FICHA!$L$21&amp;""),0)+IFERROR(VALUE(FICHA!$T$21&amp;""),0)+IFERROR(VALUE(FICHA!$AB$21&amp;""),0)+IFERROR(VALUE(FICHA!$AJ$21&amp;""),0)</f>
        <v/>
      </c>
      <c r="AL7" s="41" t="n"/>
      <c r="AM7" s="143">
        <f>$A$5</f>
        <v/>
      </c>
      <c r="AN7" s="143">
        <f>$L$6</f>
        <v/>
      </c>
      <c r="AO7" s="143" t="inlineStr">
        <is>
          <t>Bastião</t>
        </is>
      </c>
      <c r="AP7" s="41" t="n"/>
      <c r="AQ7" s="145" t="n">
        <v>4</v>
      </c>
      <c r="AR7" s="145" t="n">
        <v>500</v>
      </c>
      <c r="AS7" s="41" t="n"/>
      <c r="AT7" s="41" t="n"/>
      <c r="AU7" s="41" t="n"/>
      <c r="AV7" s="41" t="n"/>
      <c r="AW7" s="41" t="n"/>
      <c r="AX7" s="41" t="n"/>
      <c r="AY7" s="41" t="n"/>
      <c r="AZ7" s="41" t="n"/>
      <c r="BA7" s="143" t="inlineStr">
        <is>
          <t>trilha</t>
        </is>
      </c>
      <c r="BB7" s="143">
        <f>ADDRESS(ROW(FICHA!N11),COLUMN(FICHA!N11),4)</f>
        <v/>
      </c>
      <c r="BD7" s="143" t="inlineStr">
        <is>
          <t>Besta de Uma Mão</t>
        </is>
      </c>
      <c r="BE7" s="143" t="inlineStr">
        <is>
          <t>Balestra</t>
        </is>
      </c>
      <c r="BF7" s="145" t="n">
        <v>1</v>
      </c>
      <c r="BG7" s="143" t="inlineStr">
        <is>
          <t>1d10</t>
        </is>
      </c>
      <c r="BH7" s="143" t="inlineStr">
        <is>
          <t>Longo Alcance · Munição · Oculta · Leve</t>
        </is>
      </c>
      <c r="BI7" s="143" t="inlineStr">
        <is>
          <t>—</t>
        </is>
      </c>
      <c r="BJ7" s="145" t="n">
        <v>1</v>
      </c>
      <c r="BK7" s="143" t="inlineStr">
        <is>
          <t>9 m, longa 36 m</t>
        </is>
      </c>
      <c r="BL7" s="145" t="n">
        <v>1</v>
      </c>
      <c r="BM7" s="145">
        <f>'FICHA PESSOAL'!$V$60</f>
        <v/>
      </c>
      <c r="BN7" s="145">
        <f>ADDRESS(ROW('FICHA PESSOAL'!V60),COLUMN('FICHA PESSOAL'!V60),4)</f>
        <v/>
      </c>
      <c r="BP7" s="143" t="inlineStr">
        <is>
          <t>Ceifa</t>
        </is>
      </c>
      <c r="BQ7" s="143" t="inlineStr">
        <is>
          <t>Simples</t>
        </is>
      </c>
      <c r="BR7" s="143" t="inlineStr">
        <is>
          <t>não</t>
        </is>
      </c>
      <c r="BS7" s="145">
        <f>'FICHA PESSOAL'!$V$54</f>
        <v/>
      </c>
      <c r="BT7" s="145">
        <f>ADDRESS(ROW('FICHA PESSOAL'!V54),COLUMN('FICHA PESSOAL'!V54),4)</f>
        <v/>
      </c>
      <c r="BV7" s="143" t="inlineStr">
        <is>
          <t>Incursor</t>
        </is>
      </c>
      <c r="BX7" s="143" t="inlineStr">
        <is>
          <t>Traje 3</t>
        </is>
      </c>
      <c r="BY7" s="145" t="n">
        <v>3</v>
      </c>
      <c r="BZ7" s="143" t="inlineStr">
        <is>
          <t>—</t>
        </is>
      </c>
      <c r="CA7" s="145" t="n">
        <v>3</v>
      </c>
      <c r="CB7" s="145" t="n">
        <v>2</v>
      </c>
      <c r="CC7" s="145" t="n">
        <v>1</v>
      </c>
      <c r="CD7" s="143" t="inlineStr">
        <is>
          <t>Grau 4</t>
        </is>
      </c>
      <c r="CF7" s="143" t="inlineStr">
        <is>
          <t>Grau 2</t>
        </is>
      </c>
      <c r="CG7" s="143" t="inlineStr">
        <is>
          <t>¥ 600.000</t>
        </is>
      </c>
      <c r="CH7" s="145" t="n">
        <v>3</v>
      </c>
      <c r="CJ7" s="143" t="inlineStr">
        <is>
          <t>Altura e beirada</t>
        </is>
      </c>
      <c r="CL7" s="143" t="inlineStr">
        <is>
          <t>Longa</t>
        </is>
      </c>
      <c r="CM7" s="145" t="n">
        <v>200</v>
      </c>
      <c r="CO7" s="143" t="inlineStr">
        <is>
          <t>2x</t>
        </is>
      </c>
      <c r="CP7" s="145" t="n">
        <v>2</v>
      </c>
      <c r="CR7" s="143" t="inlineStr">
        <is>
          <t>5ª · 12,5%</t>
        </is>
      </c>
      <c r="CS7" s="145" t="n">
        <v>0.125</v>
      </c>
      <c r="CU7" s="143" t="inlineStr">
        <is>
          <t>Grau 3</t>
        </is>
      </c>
      <c r="CY7" s="143" t="inlineStr">
        <is>
          <t>categoria da principal</t>
        </is>
      </c>
      <c r="CZ7" s="145">
        <f>IF(DADOS!$CZ$6=1,"Soco",IFERROR(VLOOKUP('FICHA PESSOAL'!$D$41,'FICHA PESSOAL'!$D$69:$AH$76,10,FALSE)&amp;"",""))</f>
        <v/>
      </c>
      <c r="DB7" s="145">
        <f>IF(AND('FICHA PESSOAL'!$D$70&lt;&gt;"",'FICHA PESSOAL'!$M$70&lt;&gt;"Escudo"),'FICHA PESSOAL'!$D$70,"")</f>
        <v/>
      </c>
      <c r="DD7" s="145">
        <f>IF(AND(DADOS!$CZ$8&lt;&gt;2,'FICHA PESSOAL'!$D$69&lt;&gt;"",OR('FICHA PESSOAL'!$M$69="Escudo",N('FICHA PESSOAL'!$S$69)=1)),'FICHA PESSOAL'!$D$69,"")</f>
        <v/>
      </c>
      <c r="DF7" s="145">
        <f>IF(DADOS!$CZ$34&gt;=DADOS!$CC$6,DADOS!$BX$6,"")</f>
        <v/>
      </c>
      <c r="DH7" s="143" t="inlineStr">
        <is>
          <t>Versátil</t>
        </is>
      </c>
      <c r="DI7" s="143" t="inlineStr">
        <is>
          <t>Ao atacar com as duas mãos, aumenta o dado: d6 para d8, d8 para d10 ou d10 para d12.</t>
        </is>
      </c>
      <c r="DK7" s="143" t="inlineStr">
        <is>
          <t>situação do traje</t>
        </is>
      </c>
      <c r="DL7" s="145">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45">
        <f>ADDRESS(ROW('FICHA PESSOAL'!AN63),COLUMN('FICHA PESSOAL'!AN63),4)</f>
        <v/>
      </c>
      <c r="DO7" s="143" t="inlineStr">
        <is>
          <t>vestindo</t>
        </is>
      </c>
      <c r="DP7" s="145">
        <f>ADDRESS(ROW('FICHA PESSOAL'!AH41),COLUMN('FICHA PESSOAL'!AH41),4)</f>
        <v/>
      </c>
    </row>
    <row r="8" ht="17.25" customHeight="1">
      <c r="A8" s="143" t="inlineStr">
        <is>
          <t>Evocador</t>
        </is>
      </c>
      <c r="B8" s="143" t="inlineStr">
        <is>
          <t>Prestidigitação</t>
        </is>
      </c>
      <c r="C8" s="143" t="inlineStr">
        <is>
          <t>Caligrafia</t>
        </is>
      </c>
      <c r="D8" s="143" t="inlineStr">
        <is>
          <t>Auxiliares</t>
        </is>
      </c>
      <c r="E8" s="143" t="inlineStr">
        <is>
          <t>Cone</t>
        </is>
      </c>
      <c r="F8" s="143" t="inlineStr">
        <is>
          <t>Passo</t>
        </is>
      </c>
      <c r="G8" s="143" t="inlineStr">
        <is>
          <t>Carregar</t>
        </is>
      </c>
      <c r="H8" s="143" t="inlineStr">
        <is>
          <t>Desarmado</t>
        </is>
      </c>
      <c r="I8" s="143" t="inlineStr">
        <is>
          <t>Feto</t>
        </is>
      </c>
      <c r="J8" s="41" t="n"/>
      <c r="K8" s="143" t="inlineStr">
        <is>
          <t>Essência</t>
        </is>
      </c>
      <c r="L8" s="143" t="inlineStr">
        <is>
          <t>Batedor · Yumi</t>
        </is>
      </c>
      <c r="M8" s="41" t="n"/>
      <c r="N8" s="143" t="inlineStr">
        <is>
          <t>Emanador</t>
        </is>
      </c>
      <c r="O8" s="143" t="inlineStr">
        <is>
          <t>Inteligência · Essência</t>
        </is>
      </c>
      <c r="P8" s="143" t="n">
        <v>6</v>
      </c>
      <c r="Q8" s="143" t="n">
        <v>4</v>
      </c>
      <c r="R8" s="143" t="n">
        <v>6</v>
      </c>
      <c r="S8" s="143" t="inlineStr">
        <is>
          <t>Ocultismo</t>
        </is>
      </c>
      <c r="T8" s="143" t="inlineStr">
        <is>
          <t>Investigação</t>
        </is>
      </c>
      <c r="U8" s="143" t="n"/>
      <c r="V8" s="41" t="n"/>
      <c r="W8" s="145" t="n">
        <v>18</v>
      </c>
      <c r="X8" s="41" t="n"/>
      <c r="Y8" s="145" t="n">
        <v>13</v>
      </c>
      <c r="Z8" s="41" t="n"/>
      <c r="AA8" s="41" t="n"/>
      <c r="AB8" s="143" t="inlineStr">
        <is>
          <t>Pontaria</t>
        </is>
      </c>
      <c r="AC8" s="143" t="inlineStr">
        <is>
          <t>Destreza</t>
        </is>
      </c>
      <c r="AD8" s="41" t="n"/>
      <c r="AE8" s="143" t="inlineStr">
        <is>
          <t>Revestimento 1</t>
        </is>
      </c>
      <c r="AF8" s="145" t="n">
        <v>4</v>
      </c>
      <c r="AG8" s="145" t="n">
        <v>0</v>
      </c>
      <c r="AH8" s="145" t="inlineStr">
        <is>
          <t>sim</t>
        </is>
      </c>
      <c r="AI8" s="41" t="n"/>
      <c r="AJ8" s="143" t="inlineStr">
        <is>
          <t>maior atributo</t>
        </is>
      </c>
      <c r="AK8" s="145">
        <f>MAX(FICHA!$D$19,FICHA!$L$19,FICHA!$T$19,FICHA!$AB$19,FICHA!$AJ$19)</f>
        <v/>
      </c>
      <c r="AL8" s="41" t="n"/>
      <c r="AM8" s="143">
        <f>$A$6</f>
        <v/>
      </c>
      <c r="AN8" s="143">
        <f>$L$7</f>
        <v/>
      </c>
      <c r="AO8" s="143" t="inlineStr">
        <is>
          <t>Vanguarda</t>
        </is>
      </c>
      <c r="AP8" s="41" t="n"/>
      <c r="AQ8" s="145" t="n">
        <v>5</v>
      </c>
      <c r="AR8" s="145" t="n">
        <v>800</v>
      </c>
      <c r="AS8" s="41" t="n"/>
      <c r="AT8" s="41" t="n"/>
      <c r="AU8" s="41" t="n"/>
      <c r="AV8" s="41" t="n"/>
      <c r="AW8" s="41" t="n"/>
      <c r="AX8" s="41" t="n"/>
      <c r="AY8" s="41" t="n"/>
      <c r="AZ8" s="41" t="n"/>
      <c r="BA8" s="143" t="inlineStr">
        <is>
          <t>origem</t>
        </is>
      </c>
      <c r="BB8" s="143">
        <f>ADDRESS(ROW(FICHA!X11),COLUMN(FICHA!X11),4)</f>
        <v/>
      </c>
      <c r="BD8" s="143" t="inlineStr">
        <is>
          <t>Bō</t>
        </is>
      </c>
      <c r="BE8" s="143" t="inlineStr">
        <is>
          <t>Porrete</t>
        </is>
      </c>
      <c r="BF8" s="145" t="n">
        <v>2</v>
      </c>
      <c r="BG8" s="143" t="inlineStr">
        <is>
          <t>1d10</t>
        </is>
      </c>
      <c r="BH8" s="143" t="inlineStr">
        <is>
          <t>Alcance · Emaranha</t>
        </is>
      </c>
      <c r="BI8" s="145" t="n">
        <v>3</v>
      </c>
      <c r="BJ8" s="145" t="n">
        <v>2</v>
      </c>
      <c r="BM8" s="145">
        <f>'FICHA PESSOAL'!$V$50</f>
        <v/>
      </c>
      <c r="BN8" s="145">
        <f>ADDRESS(ROW('FICHA PESSOAL'!V50),COLUMN('FICHA PESSOAL'!V50),4)</f>
        <v/>
      </c>
      <c r="BP8" s="143" t="inlineStr">
        <is>
          <t>Arremesso</t>
        </is>
      </c>
      <c r="BQ8" s="143" t="inlineStr">
        <is>
          <t>Simples</t>
        </is>
      </c>
      <c r="BR8" s="143" t="inlineStr">
        <is>
          <t>não</t>
        </is>
      </c>
      <c r="BS8" s="145">
        <f>'FICHA PESSOAL'!$M$56</f>
        <v/>
      </c>
      <c r="BT8" s="145">
        <f>ADDRESS(ROW('FICHA PESSOAL'!M56),COLUMN('FICHA PESSOAL'!M56),4)</f>
        <v/>
      </c>
      <c r="BX8" s="143" t="inlineStr">
        <is>
          <t>Revestimento 1</t>
        </is>
      </c>
      <c r="BY8" s="145" t="n">
        <v>4</v>
      </c>
      <c r="BZ8" s="145" t="n">
        <v>0</v>
      </c>
      <c r="CA8" s="145" t="n">
        <v>3</v>
      </c>
      <c r="CB8" s="145" t="n">
        <v>2</v>
      </c>
      <c r="CC8" s="145" t="n">
        <v>1</v>
      </c>
      <c r="CD8" s="143" t="inlineStr">
        <is>
          <t>Grau 4</t>
        </is>
      </c>
      <c r="CF8" s="143" t="inlineStr">
        <is>
          <t>Grau 1</t>
        </is>
      </c>
      <c r="CG8" s="143" t="inlineStr">
        <is>
          <t>¥ 1.200.000</t>
        </is>
      </c>
      <c r="CH8" s="145" t="n">
        <v>4</v>
      </c>
      <c r="CJ8" s="143" t="inlineStr">
        <is>
          <t>Multidão</t>
        </is>
      </c>
      <c r="CL8" s="143" t="inlineStr">
        <is>
          <t>Final de arco</t>
        </is>
      </c>
      <c r="CM8" s="145" t="n">
        <v>300</v>
      </c>
      <c r="CR8" s="143" t="inlineStr">
        <is>
          <t>6ª · 6,25%</t>
        </is>
      </c>
      <c r="CS8" s="145" t="n">
        <v>0.0625</v>
      </c>
      <c r="CU8" s="143" t="inlineStr">
        <is>
          <t>Grau 2</t>
        </is>
      </c>
      <c r="CY8" s="143" t="inlineStr">
        <is>
          <t>mão da principal</t>
        </is>
      </c>
      <c r="CZ8" s="145">
        <f>IF(DADOS!$CZ$6=1,1,IFERROR(VALUE(VLOOKUP('FICHA PESSOAL'!$D$41,'FICHA PESSOAL'!$D$69:$AH$76,16,FALSE)&amp;""),0))</f>
        <v/>
      </c>
      <c r="DB8" s="145">
        <f>IF(AND('FICHA PESSOAL'!$D$71&lt;&gt;"",'FICHA PESSOAL'!$M$71&lt;&gt;"Escudo"),'FICHA PESSOAL'!$D$71,"")</f>
        <v/>
      </c>
      <c r="DD8" s="145">
        <f>IF(AND(DADOS!$CZ$8&lt;&gt;2,'FICHA PESSOAL'!$D$70&lt;&gt;"",OR('FICHA PESSOAL'!$M$70="Escudo",N('FICHA PESSOAL'!$S$70)=1)),'FICHA PESSOAL'!$D$70,"")</f>
        <v/>
      </c>
      <c r="DF8" s="145">
        <f>IF(DADOS!$CZ$34&gt;=DADOS!$CC$7,DADOS!$BX$7,"")</f>
        <v/>
      </c>
      <c r="DH8" s="143" t="inlineStr">
        <is>
          <t>Par</t>
        </is>
      </c>
      <c r="DI8" s="143" t="inlineStr">
        <is>
          <t>Role duas vezes os dados de dano próprios da arma e use o conjunto de maior soma. Aplique os demais acréscimos uma única vez.</t>
        </is>
      </c>
      <c r="DK8" s="143" t="inlineStr">
        <is>
          <t>arma da principal</t>
        </is>
      </c>
      <c r="DL8" s="145">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45">
        <f>ADDRESS(ROW('FICHA PESSOAL'!D43),COLUMN('FICHA PESSOAL'!D43),4)</f>
        <v/>
      </c>
      <c r="DO8" s="143" t="inlineStr">
        <is>
          <t>grau</t>
        </is>
      </c>
      <c r="DP8" s="145">
        <f>ADDRESS(ROW('FICHA PESSOAL'!AB11),COLUMN('FICHA PESSOAL'!AB11),4)</f>
        <v/>
      </c>
    </row>
    <row r="9" ht="17.25" customHeight="1">
      <c r="A9" s="41" t="inlineStr">
        <is>
          <t>Incursor</t>
        </is>
      </c>
      <c r="B9" s="143" t="inlineStr">
        <is>
          <t>Investigação</t>
        </is>
      </c>
      <c r="C9" s="143" t="inlineStr">
        <is>
          <t>Burocracia</t>
        </is>
      </c>
      <c r="D9" s="143" t="inlineStr">
        <is>
          <t>Castigo</t>
        </is>
      </c>
      <c r="E9" s="143" t="inlineStr">
        <is>
          <t>Linha</t>
        </is>
      </c>
      <c r="F9" s="143" t="inlineStr">
        <is>
          <t>Empurrão</t>
        </is>
      </c>
      <c r="G9" s="143" t="inlineStr">
        <is>
          <t>Sangra</t>
        </is>
      </c>
      <c r="H9" s="143" t="inlineStr">
        <is>
          <t>Surdo</t>
        </is>
      </c>
      <c r="I9" s="143" t="inlineStr">
        <is>
          <t>Restrição Celestial · corpo pela técnica</t>
        </is>
      </c>
      <c r="J9" s="41" t="n"/>
      <c r="K9" s="41" t="n"/>
      <c r="L9" s="143" t="inlineStr">
        <is>
          <t>Batedor · Besta</t>
        </is>
      </c>
      <c r="M9" s="41" t="n"/>
      <c r="N9" s="143" t="inlineStr">
        <is>
          <t>Evocador</t>
        </is>
      </c>
      <c r="O9" s="143" t="inlineStr">
        <is>
          <t>Inteligência · Essência</t>
        </is>
      </c>
      <c r="P9" s="143" t="n">
        <v>6</v>
      </c>
      <c r="Q9" s="143" t="n">
        <v>4</v>
      </c>
      <c r="R9" s="143" t="n">
        <v>6</v>
      </c>
      <c r="S9" s="143" t="inlineStr">
        <is>
          <t>Religião</t>
        </is>
      </c>
      <c r="T9" s="143" t="inlineStr">
        <is>
          <t>Lidar com Animais</t>
        </is>
      </c>
      <c r="U9" s="143" t="n"/>
      <c r="V9" s="41" t="n"/>
      <c r="W9" s="145" t="n">
        <v>22</v>
      </c>
      <c r="X9" s="41" t="n"/>
      <c r="Y9" s="145" t="n">
        <v>17</v>
      </c>
      <c r="Z9" s="41" t="n"/>
      <c r="AA9" s="41" t="n"/>
      <c r="AB9" s="143" t="inlineStr">
        <is>
          <t>Prestidigitação</t>
        </is>
      </c>
      <c r="AC9" s="143" t="inlineStr">
        <is>
          <t>Destreza</t>
        </is>
      </c>
      <c r="AD9" s="41" t="n"/>
      <c r="AE9" s="143" t="inlineStr">
        <is>
          <t>Revestimento 2</t>
        </is>
      </c>
      <c r="AF9" s="145" t="n">
        <v>5</v>
      </c>
      <c r="AG9" s="145" t="n">
        <v>0</v>
      </c>
      <c r="AH9" s="145" t="inlineStr">
        <is>
          <t>sim</t>
        </is>
      </c>
      <c r="AI9" s="41" t="n"/>
      <c r="AJ9" s="143" t="inlineStr">
        <is>
          <t>maior atributo pequeno</t>
        </is>
      </c>
      <c r="AK9" s="145">
        <f>MAX(IFERROR(VALUE(FICHA!$D$21&amp;""),0),IFERROR(VALUE(FICHA!$L$21&amp;""),0),IFERROR(VALUE(FICHA!$T$21&amp;""),0),IFERROR(VALUE(FICHA!$AB$21&amp;""),0),IFERROR(VALUE(FICHA!$AJ$21&amp;""),0))</f>
        <v/>
      </c>
      <c r="AL9" s="41" t="n"/>
      <c r="AM9" s="143">
        <f>$A$7</f>
        <v/>
      </c>
      <c r="AN9" s="143">
        <f>$L$8</f>
        <v/>
      </c>
      <c r="AO9" s="143" t="inlineStr">
        <is>
          <t>Vanguarda</t>
        </is>
      </c>
      <c r="AP9" s="41" t="n"/>
      <c r="AQ9" s="145" t="n">
        <v>6</v>
      </c>
      <c r="AR9" s="145" t="n">
        <v>1300</v>
      </c>
      <c r="AS9" s="41" t="n"/>
      <c r="AT9" s="41" t="n"/>
      <c r="AU9" s="41" t="n"/>
      <c r="AV9" s="41" t="n"/>
      <c r="AW9" s="41" t="n"/>
      <c r="AX9" s="41" t="n"/>
      <c r="AY9" s="41" t="n"/>
      <c r="AZ9" s="41" t="n"/>
      <c r="BA9" s="143" t="inlineStr">
        <is>
          <t>nivel</t>
        </is>
      </c>
      <c r="BB9" s="143">
        <f>ADDRESS(ROW(FICHA!AH11),COLUMN(FICHA!AH11),4)</f>
        <v/>
      </c>
      <c r="BD9" s="143" t="inlineStr">
        <is>
          <t>Broquel</t>
        </is>
      </c>
      <c r="BE9" s="143" t="inlineStr">
        <is>
          <t>Escudo</t>
        </is>
      </c>
      <c r="BF9" s="145" t="n">
        <v>1</v>
      </c>
      <c r="BG9" s="143" t="inlineStr">
        <is>
          <t>—</t>
        </is>
      </c>
      <c r="BH9" s="143" t="inlineStr">
        <is>
          <t>Proteção +1 · teto de Destreza 5</t>
        </is>
      </c>
      <c r="BI9" s="143" t="inlineStr">
        <is>
          <t>—</t>
        </is>
      </c>
      <c r="BJ9" s="145" t="n">
        <v>0.5</v>
      </c>
      <c r="BM9" s="145">
        <f>TRUE</f>
        <v/>
      </c>
      <c r="BP9" s="143" t="inlineStr">
        <is>
          <t>Manopla</t>
        </is>
      </c>
      <c r="BQ9" s="143" t="inlineStr">
        <is>
          <t>Simples</t>
        </is>
      </c>
      <c r="BR9" s="143" t="inlineStr">
        <is>
          <t>não</t>
        </is>
      </c>
      <c r="BS9" s="145">
        <f>'FICHA PESSOAL'!$AE$58</f>
        <v/>
      </c>
      <c r="BT9" s="145">
        <f>ADDRESS(ROW('FICHA PESSOAL'!AE58),COLUMN('FICHA PESSOAL'!AE58),4)</f>
        <v/>
      </c>
      <c r="BX9" s="143" t="inlineStr">
        <is>
          <t>Revestimento 2</t>
        </is>
      </c>
      <c r="BY9" s="145" t="n">
        <v>5</v>
      </c>
      <c r="BZ9" s="145" t="n">
        <v>0</v>
      </c>
      <c r="CA9" s="145" t="n">
        <v>4</v>
      </c>
      <c r="CB9" s="145" t="n">
        <v>3</v>
      </c>
      <c r="CC9" s="145" t="n">
        <v>2</v>
      </c>
      <c r="CD9" s="143" t="inlineStr">
        <is>
          <t>Grau 3</t>
        </is>
      </c>
      <c r="CF9" s="143" t="inlineStr">
        <is>
          <t>Especial</t>
        </is>
      </c>
      <c r="CG9" s="143" t="inlineStr">
        <is>
          <t>¥ 2.400.000</t>
        </is>
      </c>
      <c r="CH9" s="145" t="n">
        <v>5</v>
      </c>
      <c r="CJ9" s="143" t="inlineStr">
        <is>
          <t>Escuro</t>
        </is>
      </c>
      <c r="CL9" s="143" t="inlineStr">
        <is>
          <t>Solo simples</t>
        </is>
      </c>
      <c r="CM9" s="145" t="n">
        <v>75</v>
      </c>
      <c r="CR9" s="143" t="inlineStr">
        <is>
          <t>7ª · 3,125%</t>
        </is>
      </c>
      <c r="CS9" s="145" t="n">
        <v>0.03125</v>
      </c>
      <c r="CU9" s="143" t="inlineStr">
        <is>
          <t>Grau 1</t>
        </is>
      </c>
      <c r="CY9" s="143" t="inlineStr">
        <is>
          <t>dado da principal</t>
        </is>
      </c>
      <c r="CZ9" s="145">
        <f>IF(DADOS!$CZ$6=1,CHOOSE(MIN(4,MAX(1,N(FICHA!$D$51))),"d4","d6","d8","d10"),IFERROR(VLOOKUP('FICHA PESSOAL'!$D$41,'FICHA PESSOAL'!$D$69:$AH$76,18,FALSE)&amp;"",""))</f>
        <v/>
      </c>
      <c r="DB9" s="145">
        <f>IF(AND('FICHA PESSOAL'!$D$72&lt;&gt;"",'FICHA PESSOAL'!$M$72&lt;&gt;"Escudo"),'FICHA PESSOAL'!$D$72,"")</f>
        <v/>
      </c>
      <c r="DD9" s="145">
        <f>IF(AND(DADOS!$CZ$8&lt;&gt;2,'FICHA PESSOAL'!$D$71&lt;&gt;"",OR('FICHA PESSOAL'!$M$71="Escudo",N('FICHA PESSOAL'!$S$71)=1)),'FICHA PESSOAL'!$D$71,"")</f>
        <v/>
      </c>
      <c r="DF9" s="145">
        <f>IF(DADOS!$CZ$34&gt;=DADOS!$CC$8,DADOS!$BX$8,"")</f>
        <v/>
      </c>
      <c r="DH9" s="143" t="inlineStr">
        <is>
          <t>Alcance</t>
        </is>
      </c>
      <c r="DI9" s="143" t="inlineStr">
        <is>
          <t>O alcance corpo a corpo da arma é 3 m. Sem essa propriedade, o alcance comum é 1,5 m.</t>
        </is>
      </c>
      <c r="DK9" s="143" t="inlineStr">
        <is>
          <t>arma da secundária</t>
        </is>
      </c>
      <c r="DL9" s="145">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45">
        <f>ADDRESS(ROW('FICHA PESSOAL'!S43),COLUMN('FICHA PESSOAL'!S43),4)</f>
        <v/>
      </c>
      <c r="DO9" s="143" t="inlineStr">
        <is>
          <t>situação do traje</t>
        </is>
      </c>
      <c r="DP9" s="145">
        <f>ADDRESS(ROW('FICHA PESSOAL'!AN63),COLUMN('FICHA PESSOAL'!AN63),4)</f>
        <v/>
      </c>
    </row>
    <row r="10" ht="17.25" customHeight="1">
      <c r="A10" s="41" t="n"/>
      <c r="B10" s="143" t="inlineStr">
        <is>
          <t>Intuição</t>
        </is>
      </c>
      <c r="C10" s="143" t="inlineStr">
        <is>
          <t>Entalhador</t>
        </is>
      </c>
      <c r="D10" s="143" t="inlineStr">
        <is>
          <t>Tempo</t>
        </is>
      </c>
      <c r="E10" s="143" t="inlineStr">
        <is>
          <t>Cura</t>
        </is>
      </c>
      <c r="F10" s="143" t="inlineStr">
        <is>
          <t>Troca</t>
        </is>
      </c>
      <c r="G10" s="143" t="inlineStr">
        <is>
          <t>Recuo</t>
        </is>
      </c>
      <c r="H10" s="143" t="inlineStr">
        <is>
          <t>Calado</t>
        </is>
      </c>
      <c r="I10" s="143" t="inlineStr">
        <is>
          <t>Latente · Sem Técnica</t>
        </is>
      </c>
      <c r="J10" s="41" t="n"/>
      <c r="K10" s="41" t="n"/>
      <c r="L10" s="14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45" t="n">
        <v>26</v>
      </c>
      <c r="X10" s="41" t="n"/>
      <c r="Y10" s="145" t="n">
        <v>21</v>
      </c>
      <c r="Z10" s="41" t="n"/>
      <c r="AA10" s="41" t="n"/>
      <c r="AB10" s="143" t="inlineStr">
        <is>
          <t>Investigação</t>
        </is>
      </c>
      <c r="AC10" s="143" t="inlineStr">
        <is>
          <t>Inteligência</t>
        </is>
      </c>
      <c r="AD10" s="41" t="n"/>
      <c r="AE10" s="143" t="inlineStr">
        <is>
          <t>Revestimento 3</t>
        </is>
      </c>
      <c r="AF10" s="145" t="n">
        <v>6</v>
      </c>
      <c r="AG10" s="145" t="n">
        <v>0</v>
      </c>
      <c r="AH10" s="145" t="inlineStr">
        <is>
          <t>sim</t>
        </is>
      </c>
      <c r="AI10" s="41" t="n"/>
      <c r="AJ10" s="143" t="inlineStr">
        <is>
          <t>marcos de Corpo</t>
        </is>
      </c>
      <c r="AK10" s="145">
        <f>IFERROR(VALUE(FICHA!$AQ$40&amp;""),0)</f>
        <v/>
      </c>
      <c r="AL10" s="41" t="n"/>
      <c r="AM10" s="143">
        <f>$A$8</f>
        <v/>
      </c>
      <c r="AN10" s="143">
        <f>$L$9</f>
        <v/>
      </c>
      <c r="AO10" s="143" t="inlineStr">
        <is>
          <t>Vanguarda</t>
        </is>
      </c>
      <c r="AP10" s="41" t="n"/>
      <c r="AQ10" s="145" t="n">
        <v>7</v>
      </c>
      <c r="AR10" s="145" t="n">
        <v>1800</v>
      </c>
      <c r="AS10" s="41" t="n"/>
      <c r="AT10" s="41" t="n"/>
      <c r="AU10" s="41" t="n"/>
      <c r="AV10" s="41" t="n"/>
      <c r="AW10" s="41" t="n"/>
      <c r="AX10" s="41" t="n"/>
      <c r="AY10" s="41" t="n"/>
      <c r="AZ10" s="41" t="n"/>
      <c r="BA10" s="143" t="inlineStr">
        <is>
          <t>xp</t>
        </is>
      </c>
      <c r="BB10" s="143">
        <f>ADDRESS(ROW(FICHA!AN11),COLUMN(FICHA!AN11),4)</f>
        <v/>
      </c>
      <c r="BD10" s="143" t="inlineStr">
        <is>
          <t>Canivete</t>
        </is>
      </c>
      <c r="BE10" s="143" t="inlineStr">
        <is>
          <t>Lâmina Curta</t>
        </is>
      </c>
      <c r="BF10" s="145" t="n">
        <v>1</v>
      </c>
      <c r="BG10" s="143" t="inlineStr">
        <is>
          <t>1d4</t>
        </is>
      </c>
      <c r="BH10" s="143" t="inlineStr">
        <is>
          <t>Fineza · Oculta · Rompe · Leve</t>
        </is>
      </c>
      <c r="BI10" s="143" t="inlineStr">
        <is>
          <t>—</t>
        </is>
      </c>
      <c r="BJ10" s="145" t="n">
        <v>0.1</v>
      </c>
      <c r="BM10" s="145">
        <f>'FICHA PESSOAL'!$AE$49</f>
        <v/>
      </c>
      <c r="BN10" s="145">
        <f>ADDRESS(ROW('FICHA PESSOAL'!AE49),COLUMN('FICHA PESSOAL'!AE49),4)</f>
        <v/>
      </c>
      <c r="BP10" s="143" t="inlineStr">
        <is>
          <t>Massa</t>
        </is>
      </c>
      <c r="BQ10" s="143" t="inlineStr">
        <is>
          <t>Simples</t>
        </is>
      </c>
      <c r="BR10" s="143" t="inlineStr">
        <is>
          <t>não</t>
        </is>
      </c>
      <c r="BS10" s="145">
        <f>'FICHA PESSOAL'!$AM$48</f>
        <v/>
      </c>
      <c r="BT10" s="145">
        <f>ADDRESS(ROW('FICHA PESSOAL'!AM48),COLUMN('FICHA PESSOAL'!AM48),4)</f>
        <v/>
      </c>
      <c r="BX10" s="143" t="inlineStr">
        <is>
          <t>Revestimento 3</t>
        </is>
      </c>
      <c r="BY10" s="145" t="n">
        <v>6</v>
      </c>
      <c r="BZ10" s="145" t="n">
        <v>0</v>
      </c>
      <c r="CA10" s="145" t="n">
        <v>6</v>
      </c>
      <c r="CB10" s="145" t="n">
        <v>4</v>
      </c>
      <c r="CC10" s="145" t="n">
        <v>3</v>
      </c>
      <c r="CD10" s="143" t="inlineStr">
        <is>
          <t>Grau 2</t>
        </is>
      </c>
      <c r="CJ10" s="143" t="inlineStr">
        <is>
          <t>Terreno instável</t>
        </is>
      </c>
      <c r="CL10" s="143" t="inlineStr">
        <is>
          <t>Solo complexa</t>
        </is>
      </c>
      <c r="CM10" s="145" t="n">
        <v>150</v>
      </c>
      <c r="CR10" s="143" t="inlineStr">
        <is>
          <t>Falha · metade</t>
        </is>
      </c>
      <c r="CS10" s="145" t="n">
        <v>0.5</v>
      </c>
      <c r="CU10" s="143" t="inlineStr">
        <is>
          <t>Especial</t>
        </is>
      </c>
      <c r="CY10" s="143" t="inlineStr">
        <is>
          <t>propriedades da principal</t>
        </is>
      </c>
      <c r="CZ10" s="145">
        <f>IF(DADOS!$CZ$6=1,"",IFERROR(VLOOKUP('FICHA PESSOAL'!$D$41,'FICHA PESSOAL'!$D$69:$AH$76,20,FALSE)&amp;"",""))</f>
        <v/>
      </c>
      <c r="DB10" s="145">
        <f>IF(AND('FICHA PESSOAL'!$D$73&lt;&gt;"",'FICHA PESSOAL'!$M$73&lt;&gt;"Escudo"),'FICHA PESSOAL'!$D$73,"")</f>
        <v/>
      </c>
      <c r="DD10" s="145">
        <f>IF(AND(DADOS!$CZ$8&lt;&gt;2,'FICHA PESSOAL'!$D$72&lt;&gt;"",OR('FICHA PESSOAL'!$M$72="Escudo",N('FICHA PESSOAL'!$S$72)=1)),'FICHA PESSOAL'!$D$72,"")</f>
        <v/>
      </c>
      <c r="DF10" s="145">
        <f>IF(DADOS!$CZ$34&gt;=DADOS!$CC$9,DADOS!$BX$9,"")</f>
        <v/>
      </c>
      <c r="DH10" s="143" t="inlineStr">
        <is>
          <t>Longo Alcance</t>
        </is>
      </c>
      <c r="DI10" s="143" t="inlineStr">
        <is>
          <t>Permite o disparo ou arremesso indicado pela arma. Use suas faixas normal e longa.</t>
        </is>
      </c>
      <c r="DO10" s="143" t="inlineStr">
        <is>
          <t>xp total</t>
        </is>
      </c>
      <c r="DP10" s="145">
        <f>ADDRESS(ROW('FICHA PESSOAL'!AW11),COLUMN('FICHA PESSOAL'!AW11),4)</f>
        <v/>
      </c>
    </row>
    <row r="11" ht="17.25" customHeight="1">
      <c r="A11" s="41" t="n"/>
      <c r="B11" s="143" t="inlineStr">
        <is>
          <t>Ocultismo</t>
        </is>
      </c>
      <c r="C11" s="143" t="inlineStr">
        <is>
          <t>Alfaiate</t>
        </is>
      </c>
      <c r="D11" s="143" t="inlineStr">
        <is>
          <t>Marca</t>
        </is>
      </c>
      <c r="E11" s="143" t="inlineStr">
        <is>
          <t>Apoio</t>
        </is>
      </c>
      <c r="F11" s="143" t="inlineStr">
        <is>
          <t>Maior</t>
        </is>
      </c>
      <c r="G11" s="143" t="inlineStr">
        <is>
          <t>Fraqueza</t>
        </is>
      </c>
      <c r="H11" s="143" t="inlineStr">
        <is>
          <t>Enfeitiçado</t>
        </is>
      </c>
      <c r="I11" s="41" t="inlineStr">
        <is>
          <t>Receptáculo · Sem Técnica</t>
        </is>
      </c>
      <c r="J11" s="41" t="n"/>
      <c r="K11" s="41" t="n"/>
      <c r="L11" s="143" t="inlineStr">
        <is>
          <t>Executor</t>
        </is>
      </c>
      <c r="M11" s="41" t="n"/>
      <c r="N11" s="41" t="n"/>
      <c r="O11" s="41" t="n"/>
      <c r="P11" s="41" t="n"/>
      <c r="Q11" s="41" t="n"/>
      <c r="R11" s="41" t="n"/>
      <c r="S11" s="41" t="n"/>
      <c r="T11" s="41" t="n"/>
      <c r="U11" s="41" t="n"/>
      <c r="V11" s="41" t="n"/>
      <c r="W11" s="145" t="n">
        <v>30</v>
      </c>
      <c r="X11" s="41" t="n"/>
      <c r="Y11" s="145" t="n">
        <v>26</v>
      </c>
      <c r="Z11" s="41" t="n"/>
      <c r="AA11" s="41" t="n"/>
      <c r="AB11" s="143" t="inlineStr">
        <is>
          <t>Intuição</t>
        </is>
      </c>
      <c r="AC11" s="143" t="inlineStr">
        <is>
          <t>Inteligência</t>
        </is>
      </c>
      <c r="AD11" s="41" t="n"/>
      <c r="AE11" s="143" t="inlineStr">
        <is>
          <t>Broquel</t>
        </is>
      </c>
      <c r="AF11" s="145" t="n">
        <v>1</v>
      </c>
      <c r="AG11" s="145" t="n">
        <v>5</v>
      </c>
      <c r="AH11" s="145" t="inlineStr">
        <is>
          <t>não</t>
        </is>
      </c>
      <c r="AI11" s="41" t="n"/>
      <c r="AJ11" s="143" t="inlineStr">
        <is>
          <t>pontos de Corpo usados</t>
        </is>
      </c>
      <c r="AK11" s="145">
        <f>IFERROR(VALUE(FICHA!$AK$15&amp;""),0)+IFERROR(VALUE(FICHA!$AM$15&amp;""),0)+IFERROR(VALUE(FICHA!$AO$15&amp;""),0)+IFERROR(VALUE(FICHA!$AQ$15&amp;""),0)+IFERROR(VALUE(FICHA!$AS$15&amp;""),0)</f>
        <v/>
      </c>
      <c r="AL11" s="41" t="n"/>
      <c r="AM11" s="143">
        <f>$A$9</f>
        <v/>
      </c>
      <c r="AN11" s="143">
        <f>$L$10</f>
        <v/>
      </c>
      <c r="AO11" s="143" t="inlineStr">
        <is>
          <t>Vanguarda</t>
        </is>
      </c>
      <c r="AP11" s="41" t="n"/>
      <c r="AQ11" s="145" t="n">
        <v>8</v>
      </c>
      <c r="AR11" s="145" t="n">
        <v>2300</v>
      </c>
      <c r="AS11" s="41" t="n"/>
      <c r="AT11" s="41" t="n"/>
      <c r="AU11" s="41" t="n"/>
      <c r="AV11" s="41" t="n"/>
      <c r="AW11" s="41" t="n"/>
      <c r="AX11" s="41" t="n"/>
      <c r="AY11" s="41" t="n"/>
      <c r="AZ11" s="41" t="n"/>
      <c r="BA11" s="143" t="inlineStr">
        <is>
          <t>atr_Força</t>
        </is>
      </c>
      <c r="BB11" s="143">
        <f>ADDRESS(ROW(FICHA!D19),COLUMN(FICHA!D19),4)</f>
        <v/>
      </c>
      <c r="BD11" s="143" t="inlineStr">
        <is>
          <t>Cassetete</t>
        </is>
      </c>
      <c r="BE11" s="143" t="inlineStr">
        <is>
          <t>Porrete</t>
        </is>
      </c>
      <c r="BF11" s="145" t="n">
        <v>1</v>
      </c>
      <c r="BG11" s="143" t="inlineStr">
        <is>
          <t>1d6</t>
        </is>
      </c>
      <c r="BH11" s="143" t="inlineStr">
        <is>
          <t>Oculta · Vestida · Leve</t>
        </is>
      </c>
      <c r="BI11" s="143" t="inlineStr">
        <is>
          <t>—</t>
        </is>
      </c>
      <c r="BJ11" s="145" t="n">
        <v>0.3</v>
      </c>
      <c r="BM11" s="145">
        <f>'FICHA PESSOAL'!$V$51</f>
        <v/>
      </c>
      <c r="BN11" s="145">
        <f>ADDRESS(ROW('FICHA PESSOAL'!V51),COLUMN('FICHA PESSOAL'!V51),4)</f>
        <v/>
      </c>
      <c r="BP11" s="143" t="inlineStr">
        <is>
          <t>Balestra</t>
        </is>
      </c>
      <c r="BQ11" s="143" t="inlineStr">
        <is>
          <t>Simples</t>
        </is>
      </c>
      <c r="BR11" s="143" t="inlineStr">
        <is>
          <t>sim</t>
        </is>
      </c>
      <c r="BS11" s="145">
        <f>'FICHA PESSOAL'!$V$58</f>
        <v/>
      </c>
      <c r="BT11" s="145">
        <f>ADDRESS(ROW('FICHA PESSOAL'!V58),COLUMN('FICHA PESSOAL'!V58),4)</f>
        <v/>
      </c>
      <c r="CJ11" s="143" t="inlineStr">
        <is>
          <t>Superfície ruim</t>
        </is>
      </c>
      <c r="CR11" s="143" t="inlineStr">
        <is>
          <t>3ª · 50% · falha</t>
        </is>
      </c>
      <c r="CS11" s="145" t="n">
        <v>0.25</v>
      </c>
      <c r="CY11" s="143" t="inlineStr">
        <is>
          <t>força da principal</t>
        </is>
      </c>
      <c r="CZ11" s="145">
        <f>IF(DADOS!$CZ$6=1,0,IFERROR(VALUE(VLOOKUP('FICHA PESSOAL'!$D$41,'FICHA PESSOAL'!$D$69:$AH$76,28,FALSE)&amp;""),0))</f>
        <v/>
      </c>
      <c r="DB11" s="145">
        <f>IF(AND('FICHA PESSOAL'!$D$74&lt;&gt;"",'FICHA PESSOAL'!$M$74&lt;&gt;"Escudo"),'FICHA PESSOAL'!$D$74,"")</f>
        <v/>
      </c>
      <c r="DD11" s="145">
        <f>IF(AND(DADOS!$CZ$8&lt;&gt;2,'FICHA PESSOAL'!$D$73&lt;&gt;"",OR('FICHA PESSOAL'!$M$73="Escudo",N('FICHA PESSOAL'!$S$73)=1)),'FICHA PESSOAL'!$D$73,"")</f>
        <v/>
      </c>
      <c r="DF11" s="145">
        <f>IF(DADOS!$CZ$34&gt;=DADOS!$CC$10,DADOS!$BX$10,"")</f>
        <v/>
      </c>
      <c r="DH11" s="143" t="inlineStr">
        <is>
          <t>Duas mãos</t>
        </is>
      </c>
      <c r="DI11" s="143" t="inlineStr">
        <is>
          <t>Exige ambas as mãos para atacar.</t>
        </is>
      </c>
      <c r="DO11" s="143" t="inlineStr">
        <is>
          <t>treino</t>
        </is>
      </c>
      <c r="DP11" s="145">
        <f>ADDRESS(ROW('FICHA PESSOAL'!D48),COLUMN('FICHA PESSOAL'!D48),4)&amp;":"&amp;ADDRESS(ROW('FICHA PESSOAL'!AT60),COLUMN('FICHA PESSOAL'!AT60),4)</f>
        <v/>
      </c>
    </row>
    <row r="12" ht="17.25" customHeight="1">
      <c r="A12" s="41" t="n"/>
      <c r="B12" s="143" t="inlineStr">
        <is>
          <t>Religião</t>
        </is>
      </c>
      <c r="C12" s="143" t="inlineStr">
        <is>
          <t>Culinária</t>
        </is>
      </c>
      <c r="D12" s="143" t="inlineStr">
        <is>
          <t>Amparo</t>
        </is>
      </c>
      <c r="E12" s="143" t="inlineStr">
        <is>
          <t>Onda</t>
        </is>
      </c>
      <c r="F12" s="143" t="inlineStr">
        <is>
          <t>Muito Maior</t>
        </is>
      </c>
      <c r="G12" s="143" t="inlineStr">
        <is>
          <t>Peso Morto</t>
        </is>
      </c>
      <c r="H12" s="143" t="inlineStr">
        <is>
          <t>Impedido</t>
        </is>
      </c>
      <c r="I12" s="41" t="inlineStr">
        <is>
          <t>Descendente · Sem Técnica</t>
        </is>
      </c>
      <c r="J12" s="41" t="n"/>
      <c r="K12" s="41" t="n"/>
      <c r="L12" s="143" t="inlineStr">
        <is>
          <t>Arquiteto</t>
        </is>
      </c>
      <c r="M12" s="41" t="n"/>
      <c r="N12" s="41" t="n"/>
      <c r="O12" s="41" t="n"/>
      <c r="P12" s="41" t="n"/>
      <c r="Q12" s="41" t="n"/>
      <c r="R12" s="41" t="n"/>
      <c r="S12" s="41" t="n"/>
      <c r="T12" s="41" t="n"/>
      <c r="U12" s="41" t="n"/>
      <c r="V12" s="41" t="n"/>
      <c r="W12" s="41" t="n"/>
      <c r="X12" s="41" t="n"/>
      <c r="Y12" s="41" t="n"/>
      <c r="Z12" s="41" t="n"/>
      <c r="AA12" s="41" t="n"/>
      <c r="AB12" s="143" t="inlineStr">
        <is>
          <t>Ocultismo</t>
        </is>
      </c>
      <c r="AC12" s="143" t="inlineStr">
        <is>
          <t>Inteligência</t>
        </is>
      </c>
      <c r="AD12" s="41" t="n"/>
      <c r="AE12" s="143" t="inlineStr">
        <is>
          <t>Médio</t>
        </is>
      </c>
      <c r="AF12" s="145" t="n">
        <v>2</v>
      </c>
      <c r="AG12" s="145" t="n">
        <v>3</v>
      </c>
      <c r="AH12" s="145" t="inlineStr">
        <is>
          <t>não</t>
        </is>
      </c>
      <c r="AI12" s="41" t="n"/>
      <c r="AJ12" s="143" t="inlineStr">
        <is>
          <t>marcos escolhidos</t>
        </is>
      </c>
      <c r="AK12" s="145">
        <f>IFERROR(VALUE(FICHA!$AO$40&amp;""),0)+IFERROR(VALUE(FICHA!$AQ$40&amp;""),0)+IFERROR(VALUE(FICHA!$AS$40&amp;""),0)</f>
        <v/>
      </c>
      <c r="AL12" s="41" t="n"/>
      <c r="AM12" s="41" t="n"/>
      <c r="AN12" s="143">
        <f>$L$11</f>
        <v/>
      </c>
      <c r="AO12" s="143" t="inlineStr">
        <is>
          <t>Vanguarda</t>
        </is>
      </c>
      <c r="AP12" s="41" t="n"/>
      <c r="AQ12" s="145" t="n">
        <v>9</v>
      </c>
      <c r="AR12" s="145" t="n">
        <v>3000</v>
      </c>
      <c r="AS12" s="41" t="n"/>
      <c r="AT12" s="41" t="n"/>
      <c r="AU12" s="41" t="n"/>
      <c r="AV12" s="41" t="n"/>
      <c r="AW12" s="41" t="n"/>
      <c r="AX12" s="41" t="n"/>
      <c r="AY12" s="41" t="n"/>
      <c r="AZ12" s="41" t="n"/>
      <c r="BA12" s="143" t="inlineStr">
        <is>
          <t>atr_Destreza</t>
        </is>
      </c>
      <c r="BB12" s="143">
        <f>ADDRESS(ROW(FICHA!L19),COLUMN(FICHA!L19),4)</f>
        <v/>
      </c>
      <c r="BD12" s="143" t="inlineStr">
        <is>
          <t>Chakram</t>
        </is>
      </c>
      <c r="BE12" s="143" t="inlineStr">
        <is>
          <t>Arremesso</t>
        </is>
      </c>
      <c r="BF12" s="145" t="n">
        <v>1</v>
      </c>
      <c r="BG12" s="143" t="inlineStr">
        <is>
          <t>1d4</t>
        </is>
      </c>
      <c r="BH12" s="143" t="inlineStr">
        <is>
          <t>Longo Alcance · Fineza · Oculta · Leve</t>
        </is>
      </c>
      <c r="BI12" s="143" t="inlineStr">
        <is>
          <t>—</t>
        </is>
      </c>
      <c r="BJ12" s="145" t="n">
        <v>0.2</v>
      </c>
      <c r="BK12" s="143" t="inlineStr">
        <is>
          <t>6 m, longa 18 m</t>
        </is>
      </c>
      <c r="BM12" s="145">
        <f>'FICHA PESSOAL'!$M$57</f>
        <v/>
      </c>
      <c r="BN12" s="145">
        <f>ADDRESS(ROW('FICHA PESSOAL'!M57),COLUMN('FICHA PESSOAL'!M57),4)</f>
        <v/>
      </c>
      <c r="BP12" s="143" t="inlineStr">
        <is>
          <t>Lâmina Longa</t>
        </is>
      </c>
      <c r="BQ12" s="143" t="inlineStr">
        <is>
          <t>Marcial</t>
        </is>
      </c>
      <c r="BR12" s="143" t="inlineStr">
        <is>
          <t>não</t>
        </is>
      </c>
      <c r="BS12" s="145">
        <f>'FICHA PESSOAL'!$D$48</f>
        <v/>
      </c>
      <c r="BT12" s="145">
        <f>ADDRESS(ROW('FICHA PESSOAL'!D48),COLUMN('FICHA PESSOAL'!D48),4)</f>
        <v/>
      </c>
      <c r="CJ12" s="143" t="inlineStr">
        <is>
          <t>Calor e fogo</t>
        </is>
      </c>
      <c r="CR12" s="143" t="inlineStr">
        <is>
          <t>4ª · 25% · falha</t>
        </is>
      </c>
      <c r="CS12" s="145" t="n">
        <v>0.125</v>
      </c>
      <c r="CY12" s="143" t="inlineStr">
        <is>
          <t>nas duas mãos</t>
        </is>
      </c>
      <c r="CZ12" s="145">
        <f>IF(AND(ISNUMBER(SEARCH("Versátil",DADOS!$CZ$10)),'FICHA PESSOAL'!$S$41="Nas duas mãos"),1,0)</f>
        <v/>
      </c>
      <c r="DB12" s="145">
        <f>IF(AND('FICHA PESSOAL'!$D$75&lt;&gt;"",'FICHA PESSOAL'!$M$75&lt;&gt;"Escudo"),'FICHA PESSOAL'!$D$75,"")</f>
        <v/>
      </c>
      <c r="DD12" s="145">
        <f>IF(AND(DADOS!$CZ$8&lt;&gt;2,'FICHA PESSOAL'!$D$74&lt;&gt;"",OR('FICHA PESSOAL'!$M$74="Escudo",N('FICHA PESSOAL'!$S$74)=1)),'FICHA PESSOAL'!$D$74,"")</f>
        <v/>
      </c>
      <c r="DH12" s="143" t="inlineStr">
        <is>
          <t>Vestida</t>
        </is>
      </c>
      <c r="DI12" s="143" t="inlineStr">
        <is>
          <t>A arma equipada não ocupa a mão. O ataque ainda exige as mãos indicadas pela arma, livres de outros objetos ou tarefas.</t>
        </is>
      </c>
      <c r="DO12" s="143" t="inlineStr">
        <is>
          <t>missões 1</t>
        </is>
      </c>
      <c r="DP12" s="145">
        <f>ADDRESS(ROW('FICHA PESSOAL'!AW15),COLUMN('FICHA PESSOAL'!AW15),4)&amp;":"&amp;ADDRESS(ROW('FICHA PESSOAL'!BA64),COLUMN('FICHA PESSOAL'!BA64),4)</f>
        <v/>
      </c>
    </row>
    <row r="13" ht="17.25" customHeight="1">
      <c r="A13" s="41" t="n"/>
      <c r="B13" s="143" t="inlineStr">
        <is>
          <t>História</t>
        </is>
      </c>
      <c r="C13" s="143" t="inlineStr">
        <is>
          <t>Instrumento</t>
        </is>
      </c>
      <c r="D13" s="41" t="n"/>
      <c r="E13" s="143" t="inlineStr">
        <is>
          <t>Efeito</t>
        </is>
      </c>
      <c r="F13" s="143" t="inlineStr">
        <is>
          <t>Escolher</t>
        </is>
      </c>
      <c r="G13" s="143" t="inlineStr">
        <is>
          <t>Frágil</t>
        </is>
      </c>
      <c r="H13" s="143" t="inlineStr">
        <is>
          <t>Cego</t>
        </is>
      </c>
      <c r="I13" s="41" t="inlineStr">
        <is>
          <t>Encarnado · Sem Técnica</t>
        </is>
      </c>
      <c r="J13" s="41" t="n"/>
      <c r="K13" s="41" t="n"/>
      <c r="L13" s="143" t="inlineStr">
        <is>
          <t>Analista</t>
        </is>
      </c>
      <c r="M13" s="41" t="n"/>
      <c r="N13" s="41" t="n"/>
      <c r="O13" s="41" t="n"/>
      <c r="P13" s="41" t="n"/>
      <c r="Q13" s="41" t="n"/>
      <c r="R13" s="41" t="n"/>
      <c r="S13" s="41" t="n"/>
      <c r="T13" s="41" t="n"/>
      <c r="U13" s="41" t="n"/>
      <c r="V13" s="41" t="n"/>
      <c r="W13" s="41" t="n"/>
      <c r="X13" s="41" t="n"/>
      <c r="Y13" s="41" t="n"/>
      <c r="Z13" s="41" t="n"/>
      <c r="AA13" s="41" t="n"/>
      <c r="AB13" s="143" t="inlineStr">
        <is>
          <t>Religião</t>
        </is>
      </c>
      <c r="AC13" s="143" t="inlineStr">
        <is>
          <t>Inteligência</t>
        </is>
      </c>
      <c r="AD13" s="41" t="n"/>
      <c r="AE13" s="143" t="inlineStr">
        <is>
          <t>Torre</t>
        </is>
      </c>
      <c r="AF13" s="145" t="n">
        <v>3</v>
      </c>
      <c r="AG13" s="145" t="n">
        <v>1</v>
      </c>
      <c r="AH13" s="145" t="inlineStr">
        <is>
          <t>não</t>
        </is>
      </c>
      <c r="AI13" s="41" t="n"/>
      <c r="AJ13" s="143" t="inlineStr">
        <is>
          <t>perícias treinadas</t>
        </is>
      </c>
      <c r="AK13" s="145">
        <f>COUNTIF(FICHA!$D$64:$D$74,TRUE)+COUNTIF(FICHA!$T$63:$T$74,TRUE)</f>
        <v/>
      </c>
      <c r="AL13" s="41" t="n"/>
      <c r="AM13" s="41" t="n"/>
      <c r="AN13" s="143">
        <f>$L$12</f>
        <v/>
      </c>
      <c r="AO13" s="143" t="inlineStr">
        <is>
          <t>Guia</t>
        </is>
      </c>
      <c r="AP13" s="41" t="n"/>
      <c r="AQ13" s="145" t="n">
        <v>10</v>
      </c>
      <c r="AR13" s="145" t="n">
        <v>3700</v>
      </c>
      <c r="AS13" s="41" t="n"/>
      <c r="AT13" s="41" t="n"/>
      <c r="AU13" s="41" t="n"/>
      <c r="AV13" s="41" t="n"/>
      <c r="AW13" s="41" t="n"/>
      <c r="AX13" s="41" t="n"/>
      <c r="AY13" s="41" t="n"/>
      <c r="AZ13" s="41" t="n"/>
      <c r="BA13" s="143" t="inlineStr">
        <is>
          <t>atr_Constituição</t>
        </is>
      </c>
      <c r="BB13" s="143">
        <f>ADDRESS(ROW(FICHA!T19),COLUMN(FICHA!T19),4)</f>
        <v/>
      </c>
      <c r="BD13" s="143" t="inlineStr">
        <is>
          <t>Chicote</t>
        </is>
      </c>
      <c r="BE13" s="143" t="inlineStr">
        <is>
          <t>Flexível</t>
        </is>
      </c>
      <c r="BF13" s="145" t="n">
        <v>1</v>
      </c>
      <c r="BG13" s="143" t="inlineStr">
        <is>
          <t>1d4</t>
        </is>
      </c>
      <c r="BH13" s="143" t="inlineStr">
        <is>
          <t>Alcance · Emaranha · Oculta · Leve</t>
        </is>
      </c>
      <c r="BI13" s="143" t="inlineStr">
        <is>
          <t>—</t>
        </is>
      </c>
      <c r="BJ13" s="145" t="n">
        <v>0.5</v>
      </c>
      <c r="BM13" s="145">
        <f>'FICHA PESSOAL'!$AE$55</f>
        <v/>
      </c>
      <c r="BN13" s="145">
        <f>ADDRESS(ROW('FICHA PESSOAL'!AE55),COLUMN('FICHA PESSOAL'!AE55),4)</f>
        <v/>
      </c>
      <c r="BP13" s="143" t="inlineStr">
        <is>
          <t>Machado</t>
        </is>
      </c>
      <c r="BQ13" s="143" t="inlineStr">
        <is>
          <t>Marcial</t>
        </is>
      </c>
      <c r="BR13" s="143" t="inlineStr">
        <is>
          <t>não</t>
        </is>
      </c>
      <c r="BS13" s="145">
        <f>'FICHA PESSOAL'!$D$57</f>
        <v/>
      </c>
      <c r="BT13" s="145">
        <f>ADDRESS(ROW('FICHA PESSOAL'!D57),COLUMN('FICHA PESSOAL'!D57),4)</f>
        <v/>
      </c>
      <c r="CJ13" s="143" t="inlineStr">
        <is>
          <t>Outra Situação</t>
        </is>
      </c>
      <c r="CR13" s="143" t="inlineStr">
        <is>
          <t>5ª · 12,5% · falha</t>
        </is>
      </c>
      <c r="CS13" s="145" t="n">
        <v>0.0625</v>
      </c>
      <c r="CY13" s="143" t="inlineStr">
        <is>
          <t>dado em uso</t>
        </is>
      </c>
      <c r="CZ13" s="145">
        <f>IF(DADOS!$CZ$12=1,IF(DADOS!$CZ$9="d6","d8",IF(DADOS!$CZ$9="d8","d10",IF(DADOS!$CZ$9="d10","d12",DADOS!$CZ$9))),DADOS!$CZ$9)</f>
        <v/>
      </c>
      <c r="DB13" s="145">
        <f>IF(AND('FICHA PESSOAL'!$D$76&lt;&gt;"",'FICHA PESSOAL'!$M$76&lt;&gt;"Escudo"),'FICHA PESSOAL'!$D$76,"")</f>
        <v/>
      </c>
      <c r="DD13" s="145">
        <f>IF(AND(DADOS!$CZ$8&lt;&gt;2,'FICHA PESSOAL'!$D$75&lt;&gt;"",OR('FICHA PESSOAL'!$M$75="Escudo",N('FICHA PESSOAL'!$S$75)=1)),'FICHA PESSOAL'!$D$75,"")</f>
        <v/>
      </c>
      <c r="DH13" s="143" t="inlineStr">
        <is>
          <t>Emaranha</t>
        </is>
      </c>
      <c r="DI13" s="143" t="inlineStr">
        <is>
          <t>Permite Agarrar com o alcance corpo a corpo da arma, mantendo teste, custo e limites da manobra. A arma e as mãos necessárias ficam ocupadas na contenção; solte o alvo antes de atacar com ela.</t>
        </is>
      </c>
      <c r="DO13" s="143" t="inlineStr">
        <is>
          <t>missões 2</t>
        </is>
      </c>
      <c r="DP13" s="145">
        <f>ADDRESS(ROW('FICHA PESSOAL'!BC15),COLUMN('FICHA PESSOAL'!BC15),4)&amp;":"&amp;ADDRESS(ROW('FICHA PESSOAL'!BG64),COLUMN('FICHA PESSOAL'!BG64),4)</f>
        <v/>
      </c>
    </row>
    <row r="14" ht="17.25" customHeight="1">
      <c r="A14" s="41" t="n"/>
      <c r="B14" s="143" t="inlineStr">
        <is>
          <t>Hierarquia</t>
        </is>
      </c>
      <c r="C14" s="143" t="inlineStr">
        <is>
          <t>Jogatina</t>
        </is>
      </c>
      <c r="D14" s="41" t="n"/>
      <c r="E14" s="41" t="n"/>
      <c r="F14" s="143" t="inlineStr">
        <is>
          <t>Mais Um</t>
        </is>
      </c>
      <c r="G14" s="143" t="inlineStr">
        <is>
          <t>Sem Volta</t>
        </is>
      </c>
      <c r="H14" s="143" t="inlineStr">
        <is>
          <t>Amedrontado</t>
        </is>
      </c>
      <c r="I14" s="41" t="inlineStr">
        <is>
          <t>Feto · Sem Técnica</t>
        </is>
      </c>
      <c r="J14" s="41" t="n"/>
      <c r="K14" s="41" t="n"/>
      <c r="L14" s="143" t="inlineStr">
        <is>
          <t>Socorrista</t>
        </is>
      </c>
      <c r="M14" s="41" t="n"/>
      <c r="N14" s="41" t="n"/>
      <c r="O14" s="41" t="n"/>
      <c r="P14" s="41" t="n"/>
      <c r="Q14" s="41" t="n"/>
      <c r="R14" s="41" t="n"/>
      <c r="S14" s="41" t="n"/>
      <c r="T14" s="41" t="n"/>
      <c r="U14" s="41" t="n"/>
      <c r="V14" s="41" t="n"/>
      <c r="W14" s="41" t="n"/>
      <c r="X14" s="41" t="n"/>
      <c r="Y14" s="41" t="n"/>
      <c r="Z14" s="41" t="n"/>
      <c r="AA14" s="41" t="n"/>
      <c r="AB14" s="143" t="inlineStr">
        <is>
          <t>História</t>
        </is>
      </c>
      <c r="AC14" s="143" t="inlineStr">
        <is>
          <t>Inteligência</t>
        </is>
      </c>
      <c r="AD14" s="41" t="n"/>
      <c r="AE14" s="143" t="inlineStr">
        <is>
          <t>Traje 1 + Broquel</t>
        </is>
      </c>
      <c r="AF14" s="145" t="n">
        <v>2</v>
      </c>
      <c r="AG14" s="145" t="n">
        <v>5</v>
      </c>
      <c r="AH14" s="145" t="inlineStr">
        <is>
          <t>sim</t>
        </is>
      </c>
      <c r="AI14" s="41" t="n"/>
      <c r="AJ14" s="143" t="inlineStr">
        <is>
          <t>ofícios treinados</t>
        </is>
      </c>
      <c r="AK14" s="145">
        <f>COUNTIF(FICHA!$D$79:$D$84,TRUE)+COUNTIF(FICHA!$Q$79:$Q$83,TRUE)</f>
        <v/>
      </c>
      <c r="AL14" s="41" t="n"/>
      <c r="AM14" s="41" t="n"/>
      <c r="AN14" s="143">
        <f>$L$13</f>
        <v/>
      </c>
      <c r="AO14" s="143" t="inlineStr">
        <is>
          <t>Guia</t>
        </is>
      </c>
      <c r="AP14" s="41" t="n"/>
      <c r="AQ14" s="145" t="n">
        <v>11</v>
      </c>
      <c r="AR14" s="145" t="n">
        <v>4400</v>
      </c>
      <c r="AS14" s="41" t="n"/>
      <c r="AT14" s="41" t="n"/>
      <c r="AU14" s="41" t="n"/>
      <c r="AV14" s="41" t="n"/>
      <c r="AW14" s="41" t="n"/>
      <c r="AX14" s="41" t="n"/>
      <c r="AY14" s="41" t="n"/>
      <c r="AZ14" s="41" t="n"/>
      <c r="BA14" s="143" t="inlineStr">
        <is>
          <t>atr_Inteligência</t>
        </is>
      </c>
      <c r="BB14" s="143">
        <f>ADDRESS(ROW(FICHA!AB19),COLUMN(FICHA!AB19),4)</f>
        <v/>
      </c>
      <c r="BD14" s="143" t="inlineStr">
        <is>
          <t>Corrente</t>
        </is>
      </c>
      <c r="BE14" s="143" t="inlineStr">
        <is>
          <t>Flexível</t>
        </is>
      </c>
      <c r="BF14" s="145" t="n">
        <v>2</v>
      </c>
      <c r="BG14" s="143" t="inlineStr">
        <is>
          <t>1d8</t>
        </is>
      </c>
      <c r="BH14" s="143" t="inlineStr">
        <is>
          <t>Alcance · Emaranha · Rompe</t>
        </is>
      </c>
      <c r="BI14" s="143" t="inlineStr">
        <is>
          <t>—</t>
        </is>
      </c>
      <c r="BJ14" s="145" t="n">
        <v>2</v>
      </c>
      <c r="BM14" s="145">
        <f>'FICHA PESSOAL'!$AE$56</f>
        <v/>
      </c>
      <c r="BN14" s="145">
        <f>ADDRESS(ROW('FICHA PESSOAL'!AE56),COLUMN('FICHA PESSOAL'!AE56),4)</f>
        <v/>
      </c>
      <c r="BP14" s="143" t="inlineStr">
        <is>
          <t>Armas Longas</t>
        </is>
      </c>
      <c r="BQ14" s="143" t="inlineStr">
        <is>
          <t>Marcial</t>
        </is>
      </c>
      <c r="BR14" s="143" t="inlineStr">
        <is>
          <t>não</t>
        </is>
      </c>
      <c r="BS14" s="145">
        <f>'FICHA PESSOAL'!$AM$54</f>
        <v/>
      </c>
      <c r="BT14" s="145">
        <f>ADDRESS(ROW('FICHA PESSOAL'!AM54),COLUMN('FICHA PESSOAL'!AM54),4)</f>
        <v/>
      </c>
      <c r="CR14" s="143" t="inlineStr">
        <is>
          <t>6ª · 6,25% · falha</t>
        </is>
      </c>
      <c r="CS14" s="145" t="n">
        <v>0.03125</v>
      </c>
      <c r="CY14" s="143" t="inlineStr">
        <is>
          <t>alcance da principal</t>
        </is>
      </c>
      <c r="CZ14" s="145">
        <f>IFERROR(VLOOKUP('FICHA PESSOAL'!$D$41,DADOS!$BD$5:$BN$59,8,FALSE)&amp;"","")</f>
        <v/>
      </c>
      <c r="DD14" s="145">
        <f>IF(AND(DADOS!$CZ$8&lt;&gt;2,'FICHA PESSOAL'!$D$76&lt;&gt;"",OR('FICHA PESSOAL'!$M$76="Escudo",N('FICHA PESSOAL'!$S$76)=1)),'FICHA PESSOAL'!$D$76,"")</f>
        <v/>
      </c>
      <c r="DH14" s="143" t="inlineStr">
        <is>
          <t>Rompe</t>
        </is>
      </c>
      <c r="DI14" s="143" t="inlineStr">
        <is>
          <t>Concede vantagem nos ataques contra objetos e estruturas que a arma possa danificar.</t>
        </is>
      </c>
      <c r="DO14" s="143" t="inlineStr">
        <is>
          <t>missões 3</t>
        </is>
      </c>
      <c r="DP14" s="145">
        <f>ADDRESS(ROW('FICHA PESSOAL'!BI15),COLUMN('FICHA PESSOAL'!BI15),4)&amp;":"&amp;ADDRESS(ROW('FICHA PESSOAL'!BM64),COLUMN('FICHA PESSOAL'!BM64),4)</f>
        <v/>
      </c>
    </row>
    <row r="15" ht="17.25" customHeight="1">
      <c r="A15" s="41" t="n"/>
      <c r="B15" s="143" t="inlineStr">
        <is>
          <t>Medicina</t>
        </is>
      </c>
      <c r="C15" s="41" t="n"/>
      <c r="D15" s="41" t="n"/>
      <c r="E15" s="41" t="n"/>
      <c r="F15" s="143" t="inlineStr">
        <is>
          <t>Rajada</t>
        </is>
      </c>
      <c r="G15" s="143" t="inlineStr">
        <is>
          <t>Uma Vez</t>
        </is>
      </c>
      <c r="H15" s="143" t="inlineStr">
        <is>
          <t>Envenenado</t>
        </is>
      </c>
      <c r="I15" s="41" t="inlineStr">
        <is>
          <t>Corpo Amaldiçoado</t>
        </is>
      </c>
      <c r="J15" s="41" t="n"/>
      <c r="K15" s="41" t="n"/>
      <c r="L15" s="143" t="inlineStr">
        <is>
          <t>Condutor Armado</t>
        </is>
      </c>
      <c r="M15" s="41" t="n"/>
      <c r="N15" s="41" t="n"/>
      <c r="O15" s="41" t="n"/>
      <c r="P15" s="41" t="n"/>
      <c r="Q15" s="41" t="n"/>
      <c r="R15" s="41" t="n"/>
      <c r="S15" s="41" t="n"/>
      <c r="T15" s="41" t="n"/>
      <c r="U15" s="41" t="n"/>
      <c r="V15" s="41" t="n"/>
      <c r="W15" s="41" t="n"/>
      <c r="X15" s="41" t="n"/>
      <c r="Y15" s="41" t="n"/>
      <c r="Z15" s="41" t="n"/>
      <c r="AA15" s="41" t="n"/>
      <c r="AB15" s="143" t="inlineStr">
        <is>
          <t>Hierarquia</t>
        </is>
      </c>
      <c r="AC15" s="143" t="inlineStr">
        <is>
          <t>Inteligência</t>
        </is>
      </c>
      <c r="AD15" s="41" t="n"/>
      <c r="AE15" s="143" t="inlineStr">
        <is>
          <t>Traje 1 + Médio</t>
        </is>
      </c>
      <c r="AF15" s="145" t="n">
        <v>3</v>
      </c>
      <c r="AG15" s="145" t="n">
        <v>3</v>
      </c>
      <c r="AH15" s="145" t="inlineStr">
        <is>
          <t>sim</t>
        </is>
      </c>
      <c r="AI15" s="41" t="n"/>
      <c r="AJ15" s="143" t="inlineStr">
        <is>
          <t>especializações</t>
        </is>
      </c>
      <c r="AK15" s="145">
        <f>COUNTIF(FICHA!$E$64:$E$74,TRUE)+COUNTIF(FICHA!$E$79:$E$84,TRUE)+COUNTIF(FICHA!$R$79:$R$83,TRUE)+COUNTIF(FICHA!$U$63:$U$74,TRUE)</f>
        <v/>
      </c>
      <c r="AL15" s="41" t="n"/>
      <c r="AM15" s="41" t="n"/>
      <c r="AN15" s="143">
        <f>$L$14</f>
        <v/>
      </c>
      <c r="AO15" s="143" t="inlineStr">
        <is>
          <t>Guia</t>
        </is>
      </c>
      <c r="AP15" s="41" t="n"/>
      <c r="AQ15" s="145" t="n">
        <v>12</v>
      </c>
      <c r="AR15" s="145" t="n">
        <v>5300</v>
      </c>
      <c r="AS15" s="41" t="n"/>
      <c r="AT15" s="41" t="n"/>
      <c r="AU15" s="41" t="n"/>
      <c r="AV15" s="41" t="n"/>
      <c r="AW15" s="41" t="n"/>
      <c r="AX15" s="41" t="n"/>
      <c r="AY15" s="41" t="n"/>
      <c r="AZ15" s="41" t="n"/>
      <c r="BA15" s="143" t="inlineStr">
        <is>
          <t>atr_Essência</t>
        </is>
      </c>
      <c r="BB15" s="143">
        <f>ADDRESS(ROW(FICHA!AJ19),COLUMN(FICHA!AJ19),4)</f>
        <v/>
      </c>
      <c r="BD15" s="143" t="inlineStr">
        <is>
          <t>Daikyū</t>
        </is>
      </c>
      <c r="BE15" s="143" t="inlineStr">
        <is>
          <t>Yumi</t>
        </is>
      </c>
      <c r="BF15" s="145" t="n">
        <v>2</v>
      </c>
      <c r="BG15" s="143" t="inlineStr">
        <is>
          <t>1d10</t>
        </is>
      </c>
      <c r="BH15" s="143" t="inlineStr">
        <is>
          <t>Longo Alcance</t>
        </is>
      </c>
      <c r="BI15" s="143" t="inlineStr">
        <is>
          <t>—</t>
        </is>
      </c>
      <c r="BJ15" s="145" t="n">
        <v>2</v>
      </c>
      <c r="BK15" s="143" t="inlineStr">
        <is>
          <t>45 m, longa 180 m</t>
        </is>
      </c>
      <c r="BM15" s="145">
        <f>'FICHA PESSOAL'!$AM$59</f>
        <v/>
      </c>
      <c r="BN15" s="145">
        <f>ADDRESS(ROW('FICHA PESSOAL'!AM59),COLUMN('FICHA PESSOAL'!AM59),4)</f>
        <v/>
      </c>
      <c r="BP15" s="143" t="inlineStr">
        <is>
          <t>Flexível</t>
        </is>
      </c>
      <c r="BQ15" s="143" t="inlineStr">
        <is>
          <t>Marcial</t>
        </is>
      </c>
      <c r="BR15" s="143" t="inlineStr">
        <is>
          <t>não</t>
        </is>
      </c>
      <c r="BS15" s="145">
        <f>'FICHA PESSOAL'!$AE$54</f>
        <v/>
      </c>
      <c r="BT15" s="145">
        <f>ADDRESS(ROW('FICHA PESSOAL'!AE54),COLUMN('FICHA PESSOAL'!AE54),4)</f>
        <v/>
      </c>
      <c r="CR15" s="143" t="inlineStr">
        <is>
          <t>7ª · 3,125% · falha</t>
        </is>
      </c>
      <c r="CS15" s="145" t="n">
        <v>0.015625</v>
      </c>
      <c r="CY15" s="143" t="inlineStr">
        <is>
          <t>recarga da principal</t>
        </is>
      </c>
      <c r="CZ15" s="145">
        <f>IFERROR(VLOOKUP('FICHA PESSOAL'!$D$41,DADOS!$BD$5:$BN$59,9,FALSE)&amp;"","")</f>
        <v/>
      </c>
      <c r="DH15" s="143" t="inlineStr">
        <is>
          <t>Talha</t>
        </is>
      </c>
      <c r="DI15" s="143" t="inlineStr">
        <is>
          <t>Impõe −1 ao Bloquear feito contra o ataque dessa arma.</t>
        </is>
      </c>
      <c r="DO15" s="143" t="inlineStr">
        <is>
          <t>missões 4</t>
        </is>
      </c>
      <c r="DP15" s="145">
        <f>ADDRESS(ROW('FICHA PESSOAL'!BO15),COLUMN('FICHA PESSOAL'!BO15),4)&amp;":"&amp;ADDRESS(ROW('FICHA PESSOAL'!BS64),COLUMN('FICHA PESSOAL'!BS64),4)</f>
        <v/>
      </c>
    </row>
    <row r="16" ht="17.25" customHeight="1">
      <c r="A16" s="41" t="n"/>
      <c r="B16" s="143" t="inlineStr">
        <is>
          <t>Sobrevivência</t>
        </is>
      </c>
      <c r="C16" s="41" t="n"/>
      <c r="D16" s="41" t="n"/>
      <c r="E16" s="41" t="n"/>
      <c r="F16" s="143" t="inlineStr">
        <is>
          <t>Fica</t>
        </is>
      </c>
      <c r="G16" s="143" t="inlineStr">
        <is>
          <t>Condicional</t>
        </is>
      </c>
      <c r="H16" s="143" t="inlineStr">
        <is>
          <t>Atordoado</t>
        </is>
      </c>
      <c r="I16" s="41" t="inlineStr">
        <is>
          <t>Restrição Celestial · sem energia</t>
        </is>
      </c>
      <c r="J16" s="41" t="n"/>
      <c r="K16" s="41" t="n"/>
      <c r="L16" s="143" t="inlineStr">
        <is>
          <t>Ressonante</t>
        </is>
      </c>
      <c r="M16" s="41" t="n"/>
      <c r="N16" s="41" t="n"/>
      <c r="O16" s="41" t="n"/>
      <c r="P16" s="41" t="n"/>
      <c r="Q16" s="41" t="n"/>
      <c r="R16" s="41" t="n"/>
      <c r="S16" s="41" t="n"/>
      <c r="T16" s="41" t="n"/>
      <c r="U16" s="41" t="n"/>
      <c r="V16" s="41" t="n"/>
      <c r="W16" s="41" t="n"/>
      <c r="X16" s="41" t="n"/>
      <c r="Y16" s="41" t="n"/>
      <c r="Z16" s="41" t="n"/>
      <c r="AA16" s="41" t="n"/>
      <c r="AB16" s="143" t="inlineStr">
        <is>
          <t>Medicina</t>
        </is>
      </c>
      <c r="AC16" s="143" t="inlineStr">
        <is>
          <t>Inteligência</t>
        </is>
      </c>
      <c r="AD16" s="41" t="n"/>
      <c r="AE16" s="143" t="inlineStr">
        <is>
          <t>Traje 1 + Torre</t>
        </is>
      </c>
      <c r="AF16" s="145" t="n">
        <v>4</v>
      </c>
      <c r="AG16" s="145" t="n">
        <v>1</v>
      </c>
      <c r="AH16" s="145" t="inlineStr">
        <is>
          <t>sim</t>
        </is>
      </c>
      <c r="AI16" s="41" t="n"/>
      <c r="AJ16" s="143" t="inlineStr">
        <is>
          <t>Corpo que sobra</t>
        </is>
      </c>
      <c r="AK16" s="145">
        <f>DADOS!$AK$10-DADOS!$AK$15</f>
        <v/>
      </c>
      <c r="AL16" s="41" t="n"/>
      <c r="AM16" s="41" t="n"/>
      <c r="AN16" s="143">
        <f>$L$15</f>
        <v/>
      </c>
      <c r="AO16" s="143" t="inlineStr">
        <is>
          <t>Emanador</t>
        </is>
      </c>
      <c r="AP16" s="41" t="n"/>
      <c r="AQ16" s="145" t="n">
        <v>13</v>
      </c>
      <c r="AR16" s="145" t="n">
        <v>6200</v>
      </c>
      <c r="AS16" s="41" t="n"/>
      <c r="AT16" s="41" t="n"/>
      <c r="AU16" s="41" t="n"/>
      <c r="AV16" s="41" t="n"/>
      <c r="AW16" s="41" t="n"/>
      <c r="AX16" s="41" t="n"/>
      <c r="AY16" s="41" t="n"/>
      <c r="AZ16" s="41" t="n"/>
      <c r="BA16" s="143" t="inlineStr">
        <is>
          <t>atr_base_Força</t>
        </is>
      </c>
      <c r="BB16" s="143">
        <f>ADDRESS(ROW(FICHA!D21),COLUMN(FICHA!D21),4)</f>
        <v/>
      </c>
      <c r="BD16" s="143" t="inlineStr">
        <is>
          <t>Espada Longa</t>
        </is>
      </c>
      <c r="BE16" s="143" t="inlineStr">
        <is>
          <t>Lâmina Longa</t>
        </is>
      </c>
      <c r="BF16" s="145" t="n">
        <v>1</v>
      </c>
      <c r="BG16" s="143" t="inlineStr">
        <is>
          <t>1d8</t>
        </is>
      </c>
      <c r="BH16" s="143" t="inlineStr">
        <is>
          <t>Versátil · Rompe</t>
        </is>
      </c>
      <c r="BI16" s="143" t="inlineStr">
        <is>
          <t>—</t>
        </is>
      </c>
      <c r="BJ16" s="145" t="n">
        <v>1</v>
      </c>
      <c r="BM16" s="145">
        <f>'FICHA PESSOAL'!$D$49</f>
        <v/>
      </c>
      <c r="BN16" s="145">
        <f>ADDRESS(ROW('FICHA PESSOAL'!D49),COLUMN('FICHA PESSOAL'!D49),4)</f>
        <v/>
      </c>
      <c r="BP16" s="143" t="inlineStr">
        <is>
          <t>Yumi</t>
        </is>
      </c>
      <c r="BQ16" s="143" t="inlineStr">
        <is>
          <t>Marcial</t>
        </is>
      </c>
      <c r="BR16" s="143" t="inlineStr">
        <is>
          <t>não</t>
        </is>
      </c>
      <c r="BS16" s="145">
        <f>'FICHA PESSOAL'!$AM$58</f>
        <v/>
      </c>
      <c r="BT16" s="145">
        <f>ADDRESS(ROW('FICHA PESSOAL'!AM58),COLUMN('FICHA PESSOAL'!AM58),4)</f>
        <v/>
      </c>
      <c r="CY16" s="143" t="inlineStr">
        <is>
          <t>treino da principal</t>
        </is>
      </c>
      <c r="CZ16" s="145">
        <f>IF(DADOS!$CZ$6=1,1,IF(IFERROR(VLOOKUP('FICHA PESSOAL'!$D$41,DADOS!$BD$5:$BN$59,10,FALSE),IFERROR(VLOOKUP(DADOS!$CZ$7,DADOS!$BP$5:$BT$17,4,FALSE),FALSE))=TRUE,1,0))</f>
        <v/>
      </c>
      <c r="DH16" s="143" t="inlineStr">
        <is>
          <t>Oculta</t>
        </is>
      </c>
      <c r="DI16" s="143" t="inlineStr">
        <is>
          <t>Permite esconder a arma nas vestes ou junto ao corpo. Veja Armas escondidas.</t>
        </is>
      </c>
      <c r="DO16" s="143" t="inlineStr">
        <is>
          <t>equipáveis</t>
        </is>
      </c>
      <c r="DP16" s="145">
        <f>ADDRESS(ROW('FICHA PESSOAL'!D69),COLUMN('FICHA PESSOAL'!D69),4)&amp;":"&amp;ADDRESS(ROW('FICHA PESSOAL'!AT76),COLUMN('FICHA PESSOAL'!AT76),4)</f>
        <v/>
      </c>
    </row>
    <row r="17" ht="17.25" customHeight="1">
      <c r="A17" s="41" t="n"/>
      <c r="B17" s="143" t="inlineStr">
        <is>
          <t>Natureza</t>
        </is>
      </c>
      <c r="C17" s="41" t="n"/>
      <c r="D17" s="41" t="n"/>
      <c r="E17" s="41" t="n"/>
      <c r="F17" s="143" t="inlineStr">
        <is>
          <t>Salto</t>
        </is>
      </c>
      <c r="G17" s="143" t="inlineStr">
        <is>
          <t>Aquecer</t>
        </is>
      </c>
      <c r="H17" s="143" t="n"/>
      <c r="I17" s="41" t="n"/>
      <c r="J17" s="41" t="n"/>
      <c r="K17" s="41" t="n"/>
      <c r="L17" s="143" t="inlineStr">
        <is>
          <t>Catalisador</t>
        </is>
      </c>
      <c r="M17" s="41" t="n"/>
      <c r="N17" s="41" t="n"/>
      <c r="O17" s="41" t="n"/>
      <c r="P17" s="41" t="n"/>
      <c r="Q17" s="41" t="n"/>
      <c r="R17" s="41" t="n"/>
      <c r="S17" s="41" t="n"/>
      <c r="T17" s="41" t="n"/>
      <c r="U17" s="41" t="n"/>
      <c r="V17" s="41" t="n"/>
      <c r="W17" s="41" t="n"/>
      <c r="X17" s="41" t="n"/>
      <c r="Y17" s="41" t="n"/>
      <c r="Z17" s="41" t="n"/>
      <c r="AA17" s="41" t="n"/>
      <c r="AB17" s="143" t="inlineStr">
        <is>
          <t>Sobrevivência</t>
        </is>
      </c>
      <c r="AC17" s="143" t="inlineStr">
        <is>
          <t>Inteligência</t>
        </is>
      </c>
      <c r="AD17" s="41" t="n"/>
      <c r="AE17" s="143" t="inlineStr">
        <is>
          <t>Traje 2 + Broquel</t>
        </is>
      </c>
      <c r="AF17" s="145" t="n">
        <v>3</v>
      </c>
      <c r="AG17" s="145" t="n">
        <v>5</v>
      </c>
      <c r="AH17" s="145" t="inlineStr">
        <is>
          <t>sim</t>
        </is>
      </c>
      <c r="AI17" s="41" t="n"/>
      <c r="AJ17" s="143" t="inlineStr">
        <is>
          <t>rota do ofício</t>
        </is>
      </c>
      <c r="AK17" s="145">
        <f>IF((MAX(0,DADOS!$AK$13-9)+MAX(0,DADOS!$AK$14-2))&lt;=DADOS!$AK$16,1,IF((MAX(0,DADOS!$AK$13-10)+MAX(0,DADOS!$AK$14-0))&lt;=DADOS!$AK$16,2,IF((MAX(0,DADOS!$AK$13-9)+MAX(0,DADOS!$AK$14-2))&lt;=(MAX(0,DADOS!$AK$13-10)+MAX(0,DADOS!$AK$14-0)),1,2)))</f>
        <v/>
      </c>
      <c r="AL17" s="41" t="n"/>
      <c r="AM17" s="41" t="n"/>
      <c r="AN17" s="143">
        <f>$L$16</f>
        <v/>
      </c>
      <c r="AO17" s="143" t="inlineStr">
        <is>
          <t>Emanador</t>
        </is>
      </c>
      <c r="AP17" s="41" t="n"/>
      <c r="AQ17" s="145" t="n">
        <v>14</v>
      </c>
      <c r="AR17" s="145" t="n">
        <v>7100</v>
      </c>
      <c r="AS17" s="41" t="n"/>
      <c r="AT17" s="41" t="n"/>
      <c r="AU17" s="41" t="n"/>
      <c r="AV17" s="41" t="n"/>
      <c r="AW17" s="41" t="n"/>
      <c r="AX17" s="41" t="n"/>
      <c r="AY17" s="41" t="n"/>
      <c r="AZ17" s="41" t="n"/>
      <c r="BA17" s="143" t="inlineStr">
        <is>
          <t>atr_base_Destreza</t>
        </is>
      </c>
      <c r="BB17" s="143">
        <f>ADDRESS(ROW(FICHA!L21),COLUMN(FICHA!L21),4)</f>
        <v/>
      </c>
      <c r="BD17" s="143" t="inlineStr">
        <is>
          <t>Espadão</t>
        </is>
      </c>
      <c r="BE17" s="143" t="inlineStr">
        <is>
          <t>Lâmina Longa</t>
        </is>
      </c>
      <c r="BF17" s="145" t="n">
        <v>2</v>
      </c>
      <c r="BG17" s="143" t="inlineStr">
        <is>
          <t>1d12</t>
        </is>
      </c>
      <c r="BH17" s="143" t="inlineStr">
        <is>
          <t>Alcance</t>
        </is>
      </c>
      <c r="BI17" s="145" t="n">
        <v>3</v>
      </c>
      <c r="BJ17" s="145" t="n">
        <v>2</v>
      </c>
      <c r="BM17" s="145">
        <f>'FICHA PESSOAL'!$D$50</f>
        <v/>
      </c>
      <c r="BN17" s="145">
        <f>ADDRESS(ROW('FICHA PESSOAL'!D50),COLUMN('FICHA PESSOAL'!D50),4)</f>
        <v/>
      </c>
      <c r="BP17" s="143" t="inlineStr">
        <is>
          <t>Arma de Fogo</t>
        </is>
      </c>
      <c r="BQ17" s="143" t="inlineStr">
        <is>
          <t>Arma de Fogo</t>
        </is>
      </c>
      <c r="BR17" s="143" t="inlineStr">
        <is>
          <t>sim</t>
        </is>
      </c>
      <c r="BS17" s="145">
        <f>'FICHA PESSOAL'!$M$48</f>
        <v/>
      </c>
      <c r="BT17" s="145">
        <f>ADDRESS(ROW('FICHA PESSOAL'!M48),COLUMN('FICHA PESSOAL'!M48),4)</f>
        <v/>
      </c>
      <c r="CY17" s="143" t="inlineStr">
        <is>
          <t>secundária vale</t>
        </is>
      </c>
      <c r="CZ17" s="145">
        <f>IF(AND(DADOS!$CZ$8&lt;&gt;2,'FICHA PESSOAL'!$S$41&lt;&gt;"",'FICHA PESSOAL'!$S$41&lt;&gt;"—",'FICHA PESSOAL'!$S$41&lt;&gt;"Nas duas mãos"),1,0)</f>
        <v/>
      </c>
      <c r="DH17" s="143" t="inlineStr">
        <is>
          <t>Discreta</t>
        </is>
      </c>
      <c r="DI17" s="143" t="inlineStr">
        <is>
          <t>Tem aparência de objeto comum. Veja Armas escondidas.</t>
        </is>
      </c>
      <c r="DO17" s="143" t="inlineStr">
        <is>
          <t>itens</t>
        </is>
      </c>
      <c r="DP17" s="145">
        <f>ADDRESS(ROW('FICHA PESSOAL'!D81),COLUMN('FICHA PESSOAL'!D81),4)&amp;":"&amp;ADDRESS(ROW('FICHA PESSOAL'!AT86),COLUMN('FICHA PESSOAL'!AT86),4)</f>
        <v/>
      </c>
    </row>
    <row r="18" ht="17.25" customHeight="1">
      <c r="A18" s="41" t="n"/>
      <c r="B18" s="143" t="inlineStr">
        <is>
          <t>Lidar com Animais</t>
        </is>
      </c>
      <c r="C18" s="41" t="n"/>
      <c r="D18" s="41" t="n"/>
      <c r="E18" s="41" t="n"/>
      <c r="F18" s="143" t="inlineStr">
        <is>
          <t>Contorno</t>
        </is>
      </c>
      <c r="G18" s="143" t="inlineStr">
        <is>
          <t>Dívida</t>
        </is>
      </c>
      <c r="H18" s="41" t="n"/>
      <c r="I18" s="41" t="n"/>
      <c r="J18" s="41" t="n"/>
      <c r="K18" s="41" t="n"/>
      <c r="L18" s="143" t="inlineStr">
        <is>
          <t>Invocação Principal</t>
        </is>
      </c>
      <c r="M18" s="41" t="n"/>
      <c r="N18" s="41" t="n"/>
      <c r="O18" s="41" t="n"/>
      <c r="P18" s="41" t="n"/>
      <c r="Q18" s="41" t="n"/>
      <c r="R18" s="41" t="n"/>
      <c r="S18" s="41" t="n"/>
      <c r="T18" s="41" t="n"/>
      <c r="U18" s="41" t="n"/>
      <c r="V18" s="41" t="n"/>
      <c r="W18" s="41" t="n"/>
      <c r="X18" s="41" t="n"/>
      <c r="Y18" s="41" t="n"/>
      <c r="Z18" s="41" t="n"/>
      <c r="AA18" s="41" t="n"/>
      <c r="AB18" s="143" t="inlineStr">
        <is>
          <t>Natureza</t>
        </is>
      </c>
      <c r="AC18" s="143" t="inlineStr">
        <is>
          <t>Inteligência</t>
        </is>
      </c>
      <c r="AD18" s="41" t="n"/>
      <c r="AE18" s="143" t="inlineStr">
        <is>
          <t>Traje 2 + Médio</t>
        </is>
      </c>
      <c r="AF18" s="145" t="n">
        <v>4</v>
      </c>
      <c r="AG18" s="145" t="n">
        <v>3</v>
      </c>
      <c r="AH18" s="145" t="inlineStr">
        <is>
          <t>sim</t>
        </is>
      </c>
      <c r="AI18" s="41" t="n"/>
      <c r="AJ18" s="143" t="inlineStr">
        <is>
          <t>perícias por arma</t>
        </is>
      </c>
      <c r="AK18" s="145">
        <f>IF(OR(FICHA!$D$11="Guia",FICHA!$D$11="Emanador",FICHA!$D$11="Evocador"),IF(FICHA!$AK$65="2 armas (-4 pericias)",4,IF(FICHA!$AK$65="1 arma (-2 pericias)",2,0)),0)</f>
        <v/>
      </c>
      <c r="AL18" s="41" t="n"/>
      <c r="AM18" s="41" t="n"/>
      <c r="AN18" s="143">
        <f>$L$17</f>
        <v/>
      </c>
      <c r="AO18" s="143" t="inlineStr">
        <is>
          <t>Emanador</t>
        </is>
      </c>
      <c r="AP18" s="41" t="n"/>
      <c r="AQ18" s="145" t="n">
        <v>15</v>
      </c>
      <c r="AR18" s="145" t="n">
        <v>8200</v>
      </c>
      <c r="AS18" s="41" t="n"/>
      <c r="AT18" s="41" t="n"/>
      <c r="AU18" s="41" t="n"/>
      <c r="AV18" s="41" t="n"/>
      <c r="AW18" s="41" t="n"/>
      <c r="AX18" s="41" t="n"/>
      <c r="AY18" s="41" t="n"/>
      <c r="AZ18" s="41" t="n"/>
      <c r="BA18" s="143" t="inlineStr">
        <is>
          <t>atr_base_Constituição</t>
        </is>
      </c>
      <c r="BB18" s="143">
        <f>ADDRESS(ROW(FICHA!T21),COLUMN(FICHA!T21),4)</f>
        <v/>
      </c>
      <c r="BD18" s="143" t="inlineStr">
        <is>
          <t>Espingarda</t>
        </is>
      </c>
      <c r="BE18" s="143" t="inlineStr">
        <is>
          <t>Arma de Fogo</t>
        </is>
      </c>
      <c r="BF18" s="145" t="n">
        <v>2</v>
      </c>
      <c r="BG18" s="143" t="inlineStr">
        <is>
          <t>2d8</t>
        </is>
      </c>
      <c r="BH18" s="143" t="inlineStr">
        <is>
          <t>Longo Alcance · Munição · Rompe</t>
        </is>
      </c>
      <c r="BI18" s="145" t="n">
        <v>1</v>
      </c>
      <c r="BJ18" s="145" t="n">
        <v>2</v>
      </c>
      <c r="BK18" s="143" t="inlineStr">
        <is>
          <t>9 m, longa 27 m</t>
        </is>
      </c>
      <c r="BL18" s="145" t="n">
        <v>2</v>
      </c>
      <c r="BM18" s="145">
        <f>'FICHA PESSOAL'!$M$49</f>
        <v/>
      </c>
      <c r="BN18" s="145">
        <f>ADDRESS(ROW('FICHA PESSOAL'!M49),COLUMN('FICHA PESSOAL'!M49),4)</f>
        <v/>
      </c>
      <c r="CY18" s="143" t="inlineStr">
        <is>
          <t>categoria da secundária</t>
        </is>
      </c>
      <c r="CZ18" s="145">
        <f>IF(DADOS!$CZ$17=1,IFERROR(VLOOKUP('FICHA PESSOAL'!$S$41,'FICHA PESSOAL'!$D$69:$AH$76,10,FALSE)&amp;"",""),"")</f>
        <v/>
      </c>
      <c r="DH18" s="143" t="inlineStr">
        <is>
          <t>Munição</t>
        </is>
      </c>
      <c r="DI18" s="143" t="inlineStr">
        <is>
          <t>Exige recarga. O procedimento, a capacidade e os suprimentos estão em Munição.</t>
        </is>
      </c>
      <c r="DO18" s="143" t="inlineStr">
        <is>
          <t>volume dos itens 1</t>
        </is>
      </c>
      <c r="DP18" s="145">
        <f>ADDRESS(ROW('FICHA PESSOAL'!V81),COLUMN('FICHA PESSOAL'!V81),4)&amp;":"&amp;ADDRESS(ROW('FICHA PESSOAL'!V86),COLUMN('FICHA PESSOAL'!V86),4)</f>
        <v/>
      </c>
    </row>
    <row r="19" ht="17.25" customHeight="1">
      <c r="A19" s="41" t="n"/>
      <c r="B19" s="143" t="inlineStr">
        <is>
          <t>Tecnologia</t>
        </is>
      </c>
      <c r="C19" s="41" t="n"/>
      <c r="D19" s="41" t="n"/>
      <c r="E19" s="41" t="n"/>
      <c r="F19" s="143" t="inlineStr">
        <is>
          <t>Precisão</t>
        </is>
      </c>
      <c r="G19" s="14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43" t="inlineStr">
        <is>
          <t>Lidar com Animais</t>
        </is>
      </c>
      <c r="AC19" s="143" t="inlineStr">
        <is>
          <t>Inteligência</t>
        </is>
      </c>
      <c r="AD19" s="41" t="n"/>
      <c r="AE19" s="143" t="inlineStr">
        <is>
          <t>Traje 2 + Torre</t>
        </is>
      </c>
      <c r="AF19" s="145" t="n">
        <v>5</v>
      </c>
      <c r="AG19" s="145" t="n">
        <v>1</v>
      </c>
      <c r="AH19" s="145" t="inlineStr">
        <is>
          <t>sim</t>
        </is>
      </c>
      <c r="AI19" s="41" t="n"/>
      <c r="AJ19" s="143" t="inlineStr">
        <is>
          <t>perícias da rota</t>
        </is>
      </c>
      <c r="AK19" s="145">
        <f>IF(DADOS!$AK$17=1,9,10)-DADOS!$AK$18</f>
        <v/>
      </c>
      <c r="AL19" s="41" t="n"/>
      <c r="AM19" s="41" t="n"/>
      <c r="AN19" s="143">
        <f>$L$18</f>
        <v/>
      </c>
      <c r="AO19" s="143" t="inlineStr">
        <is>
          <t>Evocador</t>
        </is>
      </c>
      <c r="AP19" s="41" t="n"/>
      <c r="AQ19" s="145" t="n">
        <v>16</v>
      </c>
      <c r="AR19" s="145" t="n">
        <v>9300</v>
      </c>
      <c r="AS19" s="41" t="n"/>
      <c r="AT19" s="41" t="n"/>
      <c r="AU19" s="41" t="n"/>
      <c r="AV19" s="41" t="n"/>
      <c r="AW19" s="41" t="n"/>
      <c r="AX19" s="41" t="n"/>
      <c r="AY19" s="41" t="n"/>
      <c r="AZ19" s="41" t="n"/>
      <c r="BA19" s="143" t="inlineStr">
        <is>
          <t>atr_base_Inteligência</t>
        </is>
      </c>
      <c r="BB19" s="143">
        <f>ADDRESS(ROW(FICHA!AB21),COLUMN(FICHA!AB21),4)</f>
        <v/>
      </c>
      <c r="BD19" s="143" t="inlineStr">
        <is>
          <t>Faca</t>
        </is>
      </c>
      <c r="BE19" s="143" t="inlineStr">
        <is>
          <t>Lâmina Curta</t>
        </is>
      </c>
      <c r="BF19" s="145" t="n">
        <v>1</v>
      </c>
      <c r="BG19" s="143" t="inlineStr">
        <is>
          <t>1d6</t>
        </is>
      </c>
      <c r="BH19" s="143" t="inlineStr">
        <is>
          <t>Fineza · Rompe · Leve</t>
        </is>
      </c>
      <c r="BI19" s="143" t="inlineStr">
        <is>
          <t>—</t>
        </is>
      </c>
      <c r="BJ19" s="145" t="n">
        <v>0.2</v>
      </c>
      <c r="BM19" s="145">
        <f>'FICHA PESSOAL'!$AE$50</f>
        <v/>
      </c>
      <c r="BN19" s="145">
        <f>ADDRESS(ROW('FICHA PESSOAL'!AE50),COLUMN('FICHA PESSOAL'!AE50),4)</f>
        <v/>
      </c>
      <c r="CY19" s="143" t="inlineStr">
        <is>
          <t>escudo na secundária</t>
        </is>
      </c>
      <c r="CZ19" s="145">
        <f>IF(AND(DADOS!$CZ$17=1,DADOS!$CZ$18="Escudo"),1,0)</f>
        <v/>
      </c>
      <c r="DH19" s="143" t="inlineStr">
        <is>
          <t>Volumosa</t>
        </is>
      </c>
      <c r="DI19" s="14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43" t="inlineStr">
        <is>
          <t>volume dos itens 2</t>
        </is>
      </c>
      <c r="DP19" s="145">
        <f>ADDRESS(ROW('FICHA PESSOAL'!AR81),COLUMN('FICHA PESSOAL'!AR81),4)&amp;":"&amp;ADDRESS(ROW('FICHA PESSOAL'!AR86),COLUMN('FICHA PESSOAL'!AR86),4)</f>
        <v/>
      </c>
    </row>
    <row r="20" ht="17.25" customHeight="1">
      <c r="A20" s="41" t="n"/>
      <c r="B20" s="143" t="inlineStr">
        <is>
          <t>Sentir Energia</t>
        </is>
      </c>
      <c r="C20" s="41" t="n"/>
      <c r="D20" s="41" t="n"/>
      <c r="E20" s="41" t="n"/>
      <c r="F20" s="143" t="inlineStr">
        <is>
          <t>Certeiro</t>
        </is>
      </c>
      <c r="G20" s="14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43" t="inlineStr">
        <is>
          <t>Tecnologia</t>
        </is>
      </c>
      <c r="AC20" s="143" t="inlineStr">
        <is>
          <t>Inteligência</t>
        </is>
      </c>
      <c r="AD20" s="41" t="n"/>
      <c r="AE20" s="143" t="inlineStr">
        <is>
          <t>Traje 3 + Broquel</t>
        </is>
      </c>
      <c r="AF20" s="145" t="n">
        <v>4</v>
      </c>
      <c r="AG20" s="145" t="n">
        <v>5</v>
      </c>
      <c r="AH20" s="145" t="inlineStr">
        <is>
          <t>sim</t>
        </is>
      </c>
      <c r="AI20" s="41" t="n"/>
      <c r="AJ20" s="143" t="inlineStr">
        <is>
          <t>ofícios da rota</t>
        </is>
      </c>
      <c r="AK20" s="145">
        <f>IF(DADOS!$AK$17=1,2,0)</f>
        <v/>
      </c>
      <c r="AL20" s="41" t="n"/>
      <c r="AM20" s="41" t="n"/>
      <c r="AN20" s="143">
        <f>$L$19</f>
        <v/>
      </c>
      <c r="AO20" s="143" t="inlineStr">
        <is>
          <t>Evocador</t>
        </is>
      </c>
      <c r="AP20" s="41" t="n"/>
      <c r="AQ20" s="145" t="n">
        <v>17</v>
      </c>
      <c r="AR20" s="145" t="n">
        <v>10400</v>
      </c>
      <c r="AS20" s="41" t="n"/>
      <c r="AT20" s="41" t="n"/>
      <c r="AU20" s="41" t="n"/>
      <c r="AV20" s="41" t="n"/>
      <c r="AW20" s="41" t="n"/>
      <c r="AX20" s="41" t="n"/>
      <c r="AY20" s="41" t="n"/>
      <c r="AZ20" s="41" t="n"/>
      <c r="BA20" s="143" t="inlineStr">
        <is>
          <t>atr_base_Essência</t>
        </is>
      </c>
      <c r="BB20" s="143">
        <f>ADDRESS(ROW(FICHA!AJ21),COLUMN(FICHA!AJ21),4)</f>
        <v/>
      </c>
      <c r="BD20" s="143" t="inlineStr">
        <is>
          <t>Foice</t>
        </is>
      </c>
      <c r="BE20" s="143" t="inlineStr">
        <is>
          <t>Ceifa</t>
        </is>
      </c>
      <c r="BF20" s="145" t="n">
        <v>2</v>
      </c>
      <c r="BG20" s="143" t="inlineStr">
        <is>
          <t>1d10</t>
        </is>
      </c>
      <c r="BH20" s="143" t="inlineStr">
        <is>
          <t>Emaranha · Talha</t>
        </is>
      </c>
      <c r="BI20" s="145" t="n">
        <v>3</v>
      </c>
      <c r="BJ20" s="145" t="n">
        <v>2</v>
      </c>
      <c r="BM20" s="145">
        <f>'FICHA PESSOAL'!$V$55</f>
        <v/>
      </c>
      <c r="BN20" s="145">
        <f>ADDRESS(ROW('FICHA PESSOAL'!V55),COLUMN('FICHA PESSOAL'!V55),4)</f>
        <v/>
      </c>
      <c r="CY20" s="143" t="inlineStr">
        <is>
          <t>dado da secundária</t>
        </is>
      </c>
      <c r="CZ20" s="145">
        <f>IF(DADOS!$CZ$17=1,IFERROR(VLOOKUP('FICHA PESSOAL'!$S$41,'FICHA PESSOAL'!$D$69:$AH$76,18,FALSE)&amp;"",""),"")</f>
        <v/>
      </c>
      <c r="DH20" s="143" t="inlineStr">
        <is>
          <t>Embainhada</t>
        </is>
      </c>
      <c r="DI20" s="14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43" t="inlineStr">
        <is>
          <t>em uso</t>
        </is>
      </c>
      <c r="DP20" s="145">
        <f>ADDRESS(ROW('FICHA PESSOAL'!D38),COLUMN('FICHA PESSOAL'!D38),4)&amp;":"&amp;ADDRESS(ROW('FICHA PESSOAL'!AT44),COLUMN('FICHA PESSOAL'!AT44),4)</f>
        <v/>
      </c>
    </row>
    <row r="21" ht="17.25" customHeight="1">
      <c r="A21" s="41" t="n"/>
      <c r="B21" s="143" t="inlineStr">
        <is>
          <t>Percepção</t>
        </is>
      </c>
      <c r="C21" s="41" t="n"/>
      <c r="D21" s="41" t="n"/>
      <c r="E21" s="41" t="n"/>
      <c r="F21" s="143" t="inlineStr">
        <is>
          <t>Inescapável</t>
        </is>
      </c>
      <c r="G21" s="14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43" t="inlineStr">
        <is>
          <t>Sentir Energia</t>
        </is>
      </c>
      <c r="AC21" s="143" t="inlineStr">
        <is>
          <t>Essência</t>
        </is>
      </c>
      <c r="AD21" s="41" t="n"/>
      <c r="AE21" s="143" t="inlineStr">
        <is>
          <t>Traje 3 + Médio</t>
        </is>
      </c>
      <c r="AF21" s="145" t="n">
        <v>5</v>
      </c>
      <c r="AG21" s="145" t="n">
        <v>3</v>
      </c>
      <c r="AH21" s="145" t="inlineStr">
        <is>
          <t>sim</t>
        </is>
      </c>
      <c r="AI21" s="41" t="n"/>
      <c r="AJ21" s="143" t="inlineStr">
        <is>
          <t>Corpo nas perícias</t>
        </is>
      </c>
      <c r="AK21" s="145">
        <f>MAX(0,DADOS!$AK$13-DADOS!$AK$19)</f>
        <v/>
      </c>
      <c r="AL21" s="41" t="n"/>
      <c r="AM21" s="41" t="n"/>
      <c r="AN21" s="143">
        <f>$L$20</f>
        <v/>
      </c>
      <c r="AO21" s="143" t="inlineStr">
        <is>
          <t>Evocador</t>
        </is>
      </c>
      <c r="AP21" s="41" t="n"/>
      <c r="AQ21" s="145" t="n">
        <v>18</v>
      </c>
      <c r="AR21" s="145" t="n">
        <v>11700</v>
      </c>
      <c r="AS21" s="41" t="n"/>
      <c r="AT21" s="41" t="n"/>
      <c r="AU21" s="41" t="n"/>
      <c r="AV21" s="41" t="n"/>
      <c r="AW21" s="41" t="n"/>
      <c r="AX21" s="41" t="n"/>
      <c r="AY21" s="41" t="n"/>
      <c r="AZ21" s="41" t="n"/>
      <c r="BA21" s="143" t="inlineStr">
        <is>
          <t>vida</t>
        </is>
      </c>
      <c r="BB21" s="143">
        <f>ADDRESS(ROW(FICHA!D26),COLUMN(FICHA!D26),4)</f>
        <v/>
      </c>
      <c r="BD21" s="143" t="inlineStr">
        <is>
          <t>Hankyū</t>
        </is>
      </c>
      <c r="BE21" s="143" t="inlineStr">
        <is>
          <t>Yumi</t>
        </is>
      </c>
      <c r="BF21" s="145" t="n">
        <v>2</v>
      </c>
      <c r="BG21" s="143" t="inlineStr">
        <is>
          <t>1d8</t>
        </is>
      </c>
      <c r="BH21" s="143" t="inlineStr">
        <is>
          <t>Longo Alcance · Oculta</t>
        </is>
      </c>
      <c r="BI21" s="143" t="inlineStr">
        <is>
          <t>—</t>
        </is>
      </c>
      <c r="BJ21" s="145" t="n">
        <v>1</v>
      </c>
      <c r="BK21" s="143" t="inlineStr">
        <is>
          <t>24 m, longa 96 m</t>
        </is>
      </c>
      <c r="BM21" s="145">
        <f>'FICHA PESSOAL'!$AM$60</f>
        <v/>
      </c>
      <c r="BN21" s="145">
        <f>ADDRESS(ROW('FICHA PESSOAL'!AM60),COLUMN('FICHA PESSOAL'!AM60),4)</f>
        <v/>
      </c>
      <c r="CY21" s="143" t="inlineStr">
        <is>
          <t>propriedades da secundária</t>
        </is>
      </c>
      <c r="CZ21" s="145">
        <f>IF(DADOS!$CZ$17=1,IFERROR(VLOOKUP('FICHA PESSOAL'!$S$41,'FICHA PESSOAL'!$D$69:$AH$76,20,FALSE)&amp;"",""),"")</f>
        <v/>
      </c>
      <c r="DO21" s="143" t="inlineStr">
        <is>
          <t>fileira</t>
        </is>
      </c>
      <c r="DP21" s="145">
        <f>ADDRESS(ROW('FICHA PESSOAL'!D62),COLUMN('FICHA PESSOAL'!D62),4)&amp;":"&amp;ADDRESS(ROW('FICHA PESSOAL'!AT64),COLUMN('FICHA PESSOAL'!AT64),4)</f>
        <v/>
      </c>
    </row>
    <row r="22" ht="17.25" customHeight="1">
      <c r="A22" s="41" t="n"/>
      <c r="B22" s="143" t="inlineStr">
        <is>
          <t>Persuasão</t>
        </is>
      </c>
      <c r="C22" s="41" t="n"/>
      <c r="D22" s="41" t="n"/>
      <c r="E22" s="41" t="n"/>
      <c r="F22" s="143" t="inlineStr">
        <is>
          <t>De Novo</t>
        </is>
      </c>
      <c r="G22" s="14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43" t="inlineStr">
        <is>
          <t>Percepção</t>
        </is>
      </c>
      <c r="AC22" s="143" t="inlineStr">
        <is>
          <t>Essência</t>
        </is>
      </c>
      <c r="AD22" s="41" t="n"/>
      <c r="AE22" s="143" t="inlineStr">
        <is>
          <t>Traje 3 + Torre</t>
        </is>
      </c>
      <c r="AF22" s="145" t="n">
        <v>6</v>
      </c>
      <c r="AG22" s="145" t="n">
        <v>1</v>
      </c>
      <c r="AH22" s="145" t="inlineStr">
        <is>
          <t>sim</t>
        </is>
      </c>
      <c r="AI22" s="41" t="n"/>
      <c r="AJ22" s="143" t="inlineStr">
        <is>
          <t>Corpo nos ofícios</t>
        </is>
      </c>
      <c r="AK22" s="145">
        <f>MAX(0,DADOS!$AK$14-DADOS!$AK$20)</f>
        <v/>
      </c>
      <c r="AL22" s="41" t="n"/>
      <c r="AM22" s="41" t="n"/>
      <c r="AN22" s="143">
        <f>$L$21</f>
        <v/>
      </c>
      <c r="AO22" s="143" t="inlineStr">
        <is>
          <t>Incursor</t>
        </is>
      </c>
      <c r="AP22" s="41" t="n"/>
      <c r="AQ22" s="145" t="n">
        <v>19</v>
      </c>
      <c r="AR22" s="145" t="n">
        <v>13000</v>
      </c>
      <c r="AS22" s="41" t="n"/>
      <c r="AT22" s="41" t="n"/>
      <c r="AU22" s="41" t="n"/>
      <c r="AV22" s="41" t="n"/>
      <c r="AW22" s="41" t="n"/>
      <c r="AX22" s="41" t="n"/>
      <c r="AY22" s="41" t="n"/>
      <c r="AZ22" s="41" t="n"/>
      <c r="BA22" s="143" t="inlineStr">
        <is>
          <t>vida_max</t>
        </is>
      </c>
      <c r="BB22" s="143">
        <f>ADDRESS(ROW(FICHA!J26),COLUMN(FICHA!J26),4)</f>
        <v/>
      </c>
      <c r="BD22" s="143" t="inlineStr">
        <is>
          <t>Kama</t>
        </is>
      </c>
      <c r="BE22" s="143" t="inlineStr">
        <is>
          <t>Ceifa</t>
        </is>
      </c>
      <c r="BF22" s="145" t="n">
        <v>1</v>
      </c>
      <c r="BG22" s="143" t="inlineStr">
        <is>
          <t>1d6</t>
        </is>
      </c>
      <c r="BH22" s="143" t="inlineStr">
        <is>
          <t>Par · Rompe</t>
        </is>
      </c>
      <c r="BI22" s="143" t="inlineStr">
        <is>
          <t>—</t>
        </is>
      </c>
      <c r="BJ22" s="145" t="n">
        <v>0.5</v>
      </c>
      <c r="BM22" s="145">
        <f>'FICHA PESSOAL'!$V$56</f>
        <v/>
      </c>
      <c r="BN22" s="145">
        <f>ADDRESS(ROW('FICHA PESSOAL'!V56),COLUMN('FICHA PESSOAL'!V56),4)</f>
        <v/>
      </c>
      <c r="CY22" s="143" t="inlineStr">
        <is>
          <t>força da secundária</t>
        </is>
      </c>
      <c r="CZ22" s="145">
        <f>IF(DADOS!$CZ$17=1,IFERROR(VALUE(VLOOKUP('FICHA PESSOAL'!$S$41,'FICHA PESSOAL'!$D$69:$AH$76,28,FALSE)&amp;""),0),0)</f>
        <v/>
      </c>
      <c r="DO22" s="143" t="inlineStr">
        <is>
          <t>cor da barra cheia</t>
        </is>
      </c>
      <c r="DP22" s="145">
        <f>ADDRESS(ROW(DADOS!CZ51),COLUMN(DADOS!CZ51),4)</f>
        <v/>
      </c>
    </row>
    <row r="23" ht="17.25" customHeight="1">
      <c r="A23" s="41" t="n"/>
      <c r="B23" s="143" t="inlineStr">
        <is>
          <t>Enganação</t>
        </is>
      </c>
      <c r="C23" s="41" t="n"/>
      <c r="D23" s="41" t="n"/>
      <c r="E23" s="41" t="n"/>
      <c r="F23" s="14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43" t="inlineStr">
        <is>
          <t>Persuasão</t>
        </is>
      </c>
      <c r="AC23" s="143" t="inlineStr">
        <is>
          <t>Essência</t>
        </is>
      </c>
      <c r="AD23" s="41" t="n"/>
      <c r="AE23" s="143" t="inlineStr">
        <is>
          <t>Revestimento 1 + Broquel</t>
        </is>
      </c>
      <c r="AF23" s="145" t="n">
        <v>5</v>
      </c>
      <c r="AG23" s="145" t="n">
        <v>0</v>
      </c>
      <c r="AH23" s="145" t="inlineStr">
        <is>
          <t>sim</t>
        </is>
      </c>
      <c r="AI23" s="41" t="n"/>
      <c r="AJ23" s="143" t="inlineStr">
        <is>
          <t>Corpo por escolher</t>
        </is>
      </c>
      <c r="AK23" s="145">
        <f>DADOS!$AK$16-DADOS!$AK$21-DADOS!$AK$22</f>
        <v/>
      </c>
      <c r="AL23" s="41" t="n"/>
      <c r="AM23" s="41" t="n"/>
      <c r="AN23" s="143">
        <f>$L$22</f>
        <v/>
      </c>
      <c r="AO23" s="143" t="inlineStr">
        <is>
          <t>Incursor</t>
        </is>
      </c>
      <c r="AP23" s="41" t="n"/>
      <c r="AQ23" s="145" t="n">
        <v>20</v>
      </c>
      <c r="AR23" s="145" t="n">
        <v>14300</v>
      </c>
      <c r="AS23" s="41" t="n"/>
      <c r="AT23" s="41" t="n"/>
      <c r="AU23" s="41" t="n"/>
      <c r="AV23" s="41" t="n"/>
      <c r="AW23" s="41" t="n"/>
      <c r="AX23" s="41" t="n"/>
      <c r="AY23" s="41" t="n"/>
      <c r="AZ23" s="41" t="n"/>
      <c r="BA23" s="143" t="inlineStr">
        <is>
          <t>vida_temp</t>
        </is>
      </c>
      <c r="BB23" s="143">
        <f>ADDRESS(ROW(FICHA!AF26),COLUMN(FICHA!AF26),4)</f>
        <v/>
      </c>
      <c r="BD23" s="143" t="inlineStr">
        <is>
          <t>Kanabō</t>
        </is>
      </c>
      <c r="BE23" s="143" t="inlineStr">
        <is>
          <t>Massa</t>
        </is>
      </c>
      <c r="BF23" s="145" t="n">
        <v>2</v>
      </c>
      <c r="BG23" s="143" t="inlineStr">
        <is>
          <t>1d12</t>
        </is>
      </c>
      <c r="BH23" s="143" t="inlineStr">
        <is>
          <t>Talha</t>
        </is>
      </c>
      <c r="BI23" s="145" t="n">
        <v>3</v>
      </c>
      <c r="BJ23" s="145" t="n">
        <v>3</v>
      </c>
      <c r="BM23" s="145">
        <f>'FICHA PESSOAL'!$AM$49</f>
        <v/>
      </c>
      <c r="BN23" s="145">
        <f>ADDRESS(ROW('FICHA PESSOAL'!AM49),COLUMN('FICHA PESSOAL'!AM49),4)</f>
        <v/>
      </c>
      <c r="CY23" s="143" t="inlineStr">
        <is>
          <t>alcance da secundária</t>
        </is>
      </c>
      <c r="CZ23" s="145">
        <f>IF(DADOS!$CZ$17=1,IFERROR(VLOOKUP('FICHA PESSOAL'!$S$41,DADOS!$BD$5:$BN$59,8,FALSE)&amp;"",""),"")</f>
        <v/>
      </c>
    </row>
    <row r="24" ht="17.25" customHeight="1">
      <c r="A24" s="41" t="n"/>
      <c r="B24" s="143" t="inlineStr">
        <is>
          <t>Intimidação</t>
        </is>
      </c>
      <c r="C24" s="41" t="n"/>
      <c r="D24" s="41" t="n"/>
      <c r="E24" s="41" t="n"/>
      <c r="F24" s="14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43" t="inlineStr">
        <is>
          <t>Enganação</t>
        </is>
      </c>
      <c r="AC24" s="143" t="inlineStr">
        <is>
          <t>Essência</t>
        </is>
      </c>
      <c r="AD24" s="41" t="n"/>
      <c r="AE24" s="143" t="inlineStr">
        <is>
          <t>Revestimento 1 + Médio</t>
        </is>
      </c>
      <c r="AF24" s="145" t="n">
        <v>6</v>
      </c>
      <c r="AG24" s="145" t="n">
        <v>0</v>
      </c>
      <c r="AH24" s="145" t="inlineStr">
        <is>
          <t>sim</t>
        </is>
      </c>
      <c r="AI24" s="41" t="n"/>
      <c r="AJ24" s="143" t="inlineStr">
        <is>
          <t>treinos a mais</t>
        </is>
      </c>
      <c r="AK24" s="145">
        <f>MAX(0,-DADOS!$AK$23)</f>
        <v/>
      </c>
      <c r="AL24" s="41" t="n"/>
      <c r="AM24" s="41" t="n"/>
      <c r="AN24" s="143">
        <f>$L$23</f>
        <v/>
      </c>
      <c r="AO24" s="143" t="inlineStr">
        <is>
          <t>Incursor</t>
        </is>
      </c>
      <c r="AP24" s="41" t="n"/>
      <c r="AQ24" s="145" t="n">
        <v>21</v>
      </c>
      <c r="AR24" s="145" t="n">
        <v>15800</v>
      </c>
      <c r="AS24" s="41" t="n"/>
      <c r="AT24" s="41" t="n"/>
      <c r="AU24" s="41" t="n"/>
      <c r="AV24" s="41" t="n"/>
      <c r="AW24" s="41" t="n"/>
      <c r="AX24" s="41" t="n"/>
      <c r="AY24" s="41" t="n"/>
      <c r="AZ24" s="41" t="n"/>
      <c r="BA24" s="143" t="inlineStr">
        <is>
          <t>vida_delta</t>
        </is>
      </c>
      <c r="BB24" s="143">
        <f>ADDRESS(ROW(FICHA!AM26),COLUMN(FICHA!AM26),4)</f>
        <v/>
      </c>
      <c r="BD24" s="143" t="inlineStr">
        <is>
          <t>Katana</t>
        </is>
      </c>
      <c r="BE24" s="143" t="inlineStr">
        <is>
          <t>Lâmina Longa</t>
        </is>
      </c>
      <c r="BF24" s="145" t="n">
        <v>1</v>
      </c>
      <c r="BG24" s="143" t="inlineStr">
        <is>
          <t>1d8</t>
        </is>
      </c>
      <c r="BH24" s="143" t="inlineStr">
        <is>
          <t>Versátil · Fineza</t>
        </is>
      </c>
      <c r="BI24" s="143" t="inlineStr">
        <is>
          <t>—</t>
        </is>
      </c>
      <c r="BJ24" s="145" t="n">
        <v>1</v>
      </c>
      <c r="BM24" s="145">
        <f>'FICHA PESSOAL'!$D$51</f>
        <v/>
      </c>
      <c r="BN24" s="145">
        <f>ADDRESS(ROW('FICHA PESSOAL'!D51),COLUMN('FICHA PESSOAL'!D51),4)</f>
        <v/>
      </c>
      <c r="CY24" s="143" t="inlineStr">
        <is>
          <t>recarga da secundária</t>
        </is>
      </c>
      <c r="CZ24" s="145">
        <f>IF(DADOS!$CZ$17=1,IFERROR(VLOOKUP('FICHA PESSOAL'!$S$41,DADOS!$BD$5:$BN$59,9,FALSE)&amp;"",""),"")</f>
        <v/>
      </c>
    </row>
    <row r="25" ht="17.25" customHeight="1">
      <c r="A25" s="41" t="n"/>
      <c r="B25" s="143" t="inlineStr">
        <is>
          <t>Atuação</t>
        </is>
      </c>
      <c r="C25" s="41" t="n"/>
      <c r="D25" s="41" t="n"/>
      <c r="E25" s="41" t="n"/>
      <c r="F25" s="14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43" t="inlineStr">
        <is>
          <t>Intimidação</t>
        </is>
      </c>
      <c r="AC25" s="143" t="inlineStr">
        <is>
          <t>Essência</t>
        </is>
      </c>
      <c r="AD25" s="41" t="n"/>
      <c r="AE25" s="143" t="inlineStr">
        <is>
          <t>Revestimento 1 + Torre</t>
        </is>
      </c>
      <c r="AF25" s="145" t="n">
        <v>7</v>
      </c>
      <c r="AG25" s="145" t="n">
        <v>0</v>
      </c>
      <c r="AH25" s="145" t="inlineStr">
        <is>
          <t>sim</t>
        </is>
      </c>
      <c r="AI25" s="41" t="n"/>
      <c r="AJ25" s="143" t="inlineStr">
        <is>
          <t>perícias que faltam</t>
        </is>
      </c>
      <c r="AK25" s="145">
        <f>MAX(0,DADOS!$AK$19-DADOS!$AK$13)</f>
        <v/>
      </c>
      <c r="AL25" s="41" t="n"/>
      <c r="AM25" s="41" t="n"/>
      <c r="AN25" s="41" t="n"/>
      <c r="AO25" s="41" t="n"/>
      <c r="AP25" s="41" t="n"/>
      <c r="AQ25" s="145" t="n">
        <v>22</v>
      </c>
      <c r="AR25" s="145" t="n">
        <v>17300</v>
      </c>
      <c r="AS25" s="41" t="n"/>
      <c r="AT25" s="41" t="n"/>
      <c r="AU25" s="41" t="n"/>
      <c r="AV25" s="41" t="n"/>
      <c r="AW25" s="41" t="n"/>
      <c r="AX25" s="41" t="n"/>
      <c r="AY25" s="41" t="n"/>
      <c r="AZ25" s="41" t="n"/>
      <c r="BA25" s="143" t="inlineStr">
        <is>
          <t>energia</t>
        </is>
      </c>
      <c r="BB25" s="143">
        <f>ADDRESS(ROW(FICHA!D30),COLUMN(FICHA!D30),4)</f>
        <v/>
      </c>
      <c r="BD25" s="143" t="inlineStr">
        <is>
          <t>Kunai</t>
        </is>
      </c>
      <c r="BE25" s="143" t="inlineStr">
        <is>
          <t>Arremesso</t>
        </is>
      </c>
      <c r="BF25" s="145" t="n">
        <v>1</v>
      </c>
      <c r="BG25" s="143" t="inlineStr">
        <is>
          <t>1d6</t>
        </is>
      </c>
      <c r="BH25" s="143" t="inlineStr">
        <is>
          <t>Longo Alcance · Oculta · Leve</t>
        </is>
      </c>
      <c r="BI25" s="143" t="inlineStr">
        <is>
          <t>—</t>
        </is>
      </c>
      <c r="BJ25" s="145" t="n">
        <v>0.2</v>
      </c>
      <c r="BK25" s="143" t="inlineStr">
        <is>
          <t>6 m, longa 18 m</t>
        </is>
      </c>
      <c r="BM25" s="145">
        <f>'FICHA PESSOAL'!$M$58</f>
        <v/>
      </c>
      <c r="BN25" s="145">
        <f>ADDRESS(ROW('FICHA PESSOAL'!M58),COLUMN('FICHA PESSOAL'!M58),4)</f>
        <v/>
      </c>
      <c r="CY25" s="143" t="inlineStr">
        <is>
          <t>guardados para a principal</t>
        </is>
      </c>
      <c r="CZ25" s="145">
        <f>SUMPRODUCT(--('FICHA PESSOAL'!$D$69:$D$76&lt;&gt;""),--('FICHA PESSOAL'!$M$69:$M$76&lt;&gt;"Escudo"))</f>
        <v/>
      </c>
    </row>
    <row r="26" ht="17.25" customHeight="1">
      <c r="A26" s="41" t="n"/>
      <c r="B26" s="143" t="inlineStr">
        <is>
          <t>Provocar</t>
        </is>
      </c>
      <c r="C26" s="41" t="n"/>
      <c r="D26" s="41" t="n"/>
      <c r="E26" s="41" t="n"/>
      <c r="F26" s="14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43" t="inlineStr">
        <is>
          <t>Atuação</t>
        </is>
      </c>
      <c r="AC26" s="143" t="inlineStr">
        <is>
          <t>Essência</t>
        </is>
      </c>
      <c r="AD26" s="41" t="n"/>
      <c r="AE26" s="143" t="inlineStr">
        <is>
          <t>Revestimento 2 + Broquel</t>
        </is>
      </c>
      <c r="AF26" s="145" t="n">
        <v>6</v>
      </c>
      <c r="AG26" s="145" t="n">
        <v>0</v>
      </c>
      <c r="AH26" s="145" t="inlineStr">
        <is>
          <t>sim</t>
        </is>
      </c>
      <c r="AI26" s="41" t="n"/>
      <c r="AJ26" s="143" t="inlineStr">
        <is>
          <t>ofícios que faltam</t>
        </is>
      </c>
      <c r="AK26" s="145">
        <f>MAX(0,DADOS!$AK$20-DADOS!$AK$14)</f>
        <v/>
      </c>
      <c r="AL26" s="41" t="n"/>
      <c r="AM26" s="41" t="n"/>
      <c r="AN26" s="41" t="n"/>
      <c r="AO26" s="41" t="n"/>
      <c r="AP26" s="41" t="n"/>
      <c r="AQ26" s="145" t="n">
        <v>23</v>
      </c>
      <c r="AR26" s="145" t="n">
        <v>18800</v>
      </c>
      <c r="AS26" s="41" t="n"/>
      <c r="AT26" s="41" t="n"/>
      <c r="AU26" s="41" t="n"/>
      <c r="AV26" s="41" t="n"/>
      <c r="AW26" s="41" t="n"/>
      <c r="AX26" s="41" t="n"/>
      <c r="AY26" s="41" t="n"/>
      <c r="AZ26" s="41" t="n"/>
      <c r="BA26" s="143" t="inlineStr">
        <is>
          <t>energia_max</t>
        </is>
      </c>
      <c r="BB26" s="143">
        <f>ADDRESS(ROW(FICHA!J30),COLUMN(FICHA!J30),4)</f>
        <v/>
      </c>
      <c r="BD26" s="143" t="inlineStr">
        <is>
          <t>Kusarigama</t>
        </is>
      </c>
      <c r="BE26" s="143" t="inlineStr">
        <is>
          <t>Ceifa</t>
        </is>
      </c>
      <c r="BF26" s="145" t="n">
        <v>2</v>
      </c>
      <c r="BG26" s="143" t="inlineStr">
        <is>
          <t>1d8</t>
        </is>
      </c>
      <c r="BH26" s="143" t="inlineStr">
        <is>
          <t>Alcance · Emaranha · Longo Alcance</t>
        </is>
      </c>
      <c r="BI26" s="143" t="inlineStr">
        <is>
          <t>—</t>
        </is>
      </c>
      <c r="BJ26" s="145" t="n">
        <v>2</v>
      </c>
      <c r="BK26" s="143" t="inlineStr">
        <is>
          <t>6 m, longa 18 m</t>
        </is>
      </c>
      <c r="BM26" s="145">
        <f>'FICHA PESSOAL'!$V$57</f>
        <v/>
      </c>
      <c r="BN26" s="145">
        <f>ADDRESS(ROW('FICHA PESSOAL'!V57),COLUMN('FICHA PESSOAL'!V57),4)</f>
        <v/>
      </c>
      <c r="CY26" s="143" t="inlineStr">
        <is>
          <t>guardados para a secundária</t>
        </is>
      </c>
      <c r="CZ26" s="145">
        <f>SUMPRODUCT(--('FICHA PESSOAL'!$D$69:$D$76&lt;&gt;""),--((('FICHA PESSOAL'!$M$69:$M$76="Escudo")+('FICHA PESSOAL'!$S$69:$S$76=1))&gt;0))</f>
        <v/>
      </c>
    </row>
    <row r="27" ht="17.25" customHeight="1">
      <c r="A27" s="41" t="n"/>
      <c r="B27" s="41" t="n"/>
      <c r="C27" s="41" t="n"/>
      <c r="D27" s="41" t="n"/>
      <c r="E27" s="41" t="n"/>
      <c r="F27" s="14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43" t="inlineStr">
        <is>
          <t>Provocar</t>
        </is>
      </c>
      <c r="AC27" s="143" t="inlineStr">
        <is>
          <t>Essência</t>
        </is>
      </c>
      <c r="AD27" s="41" t="n"/>
      <c r="AE27" s="143" t="inlineStr">
        <is>
          <t>Revestimento 2 + Médio</t>
        </is>
      </c>
      <c r="AF27" s="145" t="n">
        <v>7</v>
      </c>
      <c r="AG27" s="145" t="n">
        <v>0</v>
      </c>
      <c r="AH27" s="145" t="inlineStr">
        <is>
          <t>sim</t>
        </is>
      </c>
      <c r="AI27" s="41" t="n"/>
      <c r="AJ27" s="143" t="inlineStr">
        <is>
          <t>perícias que faltam sem ofício</t>
        </is>
      </c>
      <c r="AK27" s="145">
        <f>MAX(0,10-DADOS!$AK$13)</f>
        <v/>
      </c>
      <c r="AL27" s="41" t="n"/>
      <c r="AM27" s="41" t="n"/>
      <c r="AN27" s="41" t="n"/>
      <c r="AO27" s="41" t="n"/>
      <c r="AP27" s="41" t="n"/>
      <c r="AQ27" s="145" t="n">
        <v>24</v>
      </c>
      <c r="AR27" s="145" t="n">
        <v>20500</v>
      </c>
      <c r="AS27" s="41" t="n"/>
      <c r="AT27" s="41" t="n"/>
      <c r="AU27" s="41" t="n"/>
      <c r="AV27" s="41" t="n"/>
      <c r="AW27" s="41" t="n"/>
      <c r="AX27" s="41" t="n"/>
      <c r="AY27" s="41" t="n"/>
      <c r="AZ27" s="41" t="n"/>
      <c r="BA27" s="143" t="inlineStr">
        <is>
          <t>energia_temp</t>
        </is>
      </c>
      <c r="BB27" s="143">
        <f>ADDRESS(ROW(FICHA!AF30),COLUMN(FICHA!AF30),4)</f>
        <v/>
      </c>
      <c r="BD27" s="143" t="inlineStr">
        <is>
          <t>Lança</t>
        </is>
      </c>
      <c r="BE27" s="143" t="inlineStr">
        <is>
          <t>Armas Longas</t>
        </is>
      </c>
      <c r="BF27" s="145" t="n">
        <v>1</v>
      </c>
      <c r="BG27" s="143" t="inlineStr">
        <is>
          <t>1d6</t>
        </is>
      </c>
      <c r="BH27" s="143" t="inlineStr">
        <is>
          <t>Alcance · Longo Alcance</t>
        </is>
      </c>
      <c r="BI27" s="143" t="inlineStr">
        <is>
          <t>—</t>
        </is>
      </c>
      <c r="BJ27" s="145" t="n">
        <v>2</v>
      </c>
      <c r="BK27" s="143" t="inlineStr">
        <is>
          <t>6 m, longa 18 m</t>
        </is>
      </c>
      <c r="BM27" s="145">
        <f>'FICHA PESSOAL'!$AM$55</f>
        <v/>
      </c>
      <c r="BN27" s="145">
        <f>ADDRESS(ROW('FICHA PESSOAL'!AM55),COLUMN('FICHA PESSOAL'!AM55),4)</f>
        <v/>
      </c>
      <c r="CY27" s="143" t="inlineStr">
        <is>
          <t>uniforme vale</t>
        </is>
      </c>
      <c r="CZ27" s="145">
        <f>IF(ISNUMBER(MATCH('FICHA PESSOAL'!$AH$41,DADOS!$BX$5:$BX$10,0)),1,0)</f>
        <v/>
      </c>
    </row>
    <row r="28" ht="17.25" customHeight="1">
      <c r="A28" s="41" t="n"/>
      <c r="B28" s="41" t="n"/>
      <c r="C28" s="41" t="n"/>
      <c r="D28" s="41" t="n"/>
      <c r="E28" s="41" t="n"/>
      <c r="F28" s="14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43" t="inlineStr">
        <is>
          <t>Revestimento 2 + Torre</t>
        </is>
      </c>
      <c r="AF28" s="145" t="n">
        <v>8</v>
      </c>
      <c r="AG28" s="145" t="n">
        <v>0</v>
      </c>
      <c r="AH28" s="145" t="inlineStr">
        <is>
          <t>sim</t>
        </is>
      </c>
      <c r="AI28" s="41" t="n"/>
      <c r="AJ28" s="143" t="inlineStr">
        <is>
          <t>Corpo por escolher sem ofício</t>
        </is>
      </c>
      <c r="AK28" s="145">
        <f>DADOS!$AK$16-MAX(0,DADOS!$AK$13-10)-MAX(0,DADOS!$AK$14-0)</f>
        <v/>
      </c>
      <c r="AL28" s="41" t="n"/>
      <c r="AM28" s="41" t="n"/>
      <c r="AN28" s="41" t="n"/>
      <c r="AO28" s="41" t="n"/>
      <c r="AP28" s="41" t="n"/>
      <c r="AQ28" s="145" t="n">
        <v>25</v>
      </c>
      <c r="AR28" s="145" t="n">
        <v>22200</v>
      </c>
      <c r="AS28" s="41" t="n"/>
      <c r="AT28" s="41" t="n"/>
      <c r="AU28" s="41" t="n"/>
      <c r="AV28" s="41" t="n"/>
      <c r="AW28" s="41" t="n"/>
      <c r="AX28" s="41" t="n"/>
      <c r="AY28" s="41" t="n"/>
      <c r="AZ28" s="41" t="n"/>
      <c r="BA28" s="143" t="inlineStr">
        <is>
          <t>energia_delta</t>
        </is>
      </c>
      <c r="BB28" s="143">
        <f>ADDRESS(ROW(FICHA!AM30),COLUMN(FICHA!AM30),4)</f>
        <v/>
      </c>
      <c r="BD28" s="143" t="inlineStr">
        <is>
          <t>Maça</t>
        </is>
      </c>
      <c r="BE28" s="143" t="inlineStr">
        <is>
          <t>Massa</t>
        </is>
      </c>
      <c r="BF28" s="145" t="n">
        <v>1</v>
      </c>
      <c r="BG28" s="143" t="inlineStr">
        <is>
          <t>1d8</t>
        </is>
      </c>
      <c r="BH28" s="143" t="inlineStr">
        <is>
          <t>Talha</t>
        </is>
      </c>
      <c r="BI28" s="143" t="inlineStr">
        <is>
          <t>—</t>
        </is>
      </c>
      <c r="BJ28" s="145" t="n">
        <v>1</v>
      </c>
      <c r="BM28" s="145">
        <f>'FICHA PESSOAL'!$AM$52</f>
        <v/>
      </c>
      <c r="BN28" s="145">
        <f>ADDRESS(ROW('FICHA PESSOAL'!AM52),COLUMN('FICHA PESSOAL'!AM52),4)</f>
        <v/>
      </c>
      <c r="CY28" s="143" t="inlineStr">
        <is>
          <t>proteção do uniforme</t>
        </is>
      </c>
      <c r="CZ28" s="145">
        <f>IF(DADOS!$CZ$27=1,VLOOKUP('FICHA PESSOAL'!$AH$41,DADOS!$BX$5:$CD$10,2,FALSE),0)</f>
        <v/>
      </c>
    </row>
    <row r="29" ht="17.25" customHeight="1">
      <c r="A29" s="41" t="n"/>
      <c r="B29" s="41" t="n"/>
      <c r="C29" s="41" t="n"/>
      <c r="D29" s="41" t="n"/>
      <c r="E29" s="41" t="n"/>
      <c r="F29" s="14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43" t="inlineStr">
        <is>
          <t>Revestimento 3 + Broquel</t>
        </is>
      </c>
      <c r="AF29" s="145" t="n">
        <v>7</v>
      </c>
      <c r="AG29" s="145" t="n">
        <v>0</v>
      </c>
      <c r="AH29" s="145" t="inlineStr">
        <is>
          <t>sim</t>
        </is>
      </c>
      <c r="AI29" s="41" t="n"/>
      <c r="AJ29" s="143" t="inlineStr">
        <is>
          <t>testes treinados</t>
        </is>
      </c>
      <c r="AK29" s="145">
        <f>COUNTIF(FICHA!$AF$79:$AF$82,TRUE)</f>
        <v/>
      </c>
      <c r="AL29" s="41" t="n"/>
      <c r="AM29" s="41" t="n"/>
      <c r="AN29" s="41" t="n"/>
      <c r="AO29" s="41" t="n"/>
      <c r="AP29" s="41" t="n"/>
      <c r="AQ29" s="145" t="n">
        <v>26</v>
      </c>
      <c r="AR29" s="145" t="n">
        <v>23900</v>
      </c>
      <c r="AS29" s="41" t="n"/>
      <c r="AT29" s="41" t="n"/>
      <c r="AU29" s="41" t="n"/>
      <c r="AV29" s="41" t="n"/>
      <c r="AW29" s="41" t="n"/>
      <c r="AX29" s="41" t="n"/>
      <c r="AY29" s="41" t="n"/>
      <c r="AZ29" s="41" t="n"/>
      <c r="BA29" s="143" t="inlineStr">
        <is>
          <t>integridade</t>
        </is>
      </c>
      <c r="BB29" s="143">
        <f>ADDRESS(ROW(FICHA!D34),COLUMN(FICHA!D34),4)</f>
        <v/>
      </c>
      <c r="BD29" s="143" t="inlineStr">
        <is>
          <t>Machadinha</t>
        </is>
      </c>
      <c r="BE29" s="143" t="inlineStr">
        <is>
          <t>Machado</t>
        </is>
      </c>
      <c r="BF29" s="145" t="n">
        <v>1</v>
      </c>
      <c r="BG29" s="143" t="inlineStr">
        <is>
          <t>1d6</t>
        </is>
      </c>
      <c r="BH29" s="143" t="inlineStr">
        <is>
          <t>Longo Alcance · Rompe</t>
        </is>
      </c>
      <c r="BI29" s="143" t="inlineStr">
        <is>
          <t>—</t>
        </is>
      </c>
      <c r="BJ29" s="145" t="n">
        <v>0.5</v>
      </c>
      <c r="BK29" s="143" t="inlineStr">
        <is>
          <t>6 m, longa 18 m</t>
        </is>
      </c>
      <c r="BM29" s="145">
        <f>'FICHA PESSOAL'!$D$58</f>
        <v/>
      </c>
      <c r="BN29" s="145">
        <f>ADDRESS(ROW('FICHA PESSOAL'!D58),COLUMN('FICHA PESSOAL'!D58),4)</f>
        <v/>
      </c>
      <c r="CY29" s="143" t="inlineStr">
        <is>
          <t>teto do uniforme</t>
        </is>
      </c>
      <c r="CZ29" s="145">
        <f>IF(DADOS!$CZ$27=1,VLOOKUP('FICHA PESSOAL'!$AH$41,DADOS!$BX$5:$CD$10,3,FALSE),"")</f>
        <v/>
      </c>
    </row>
    <row r="30" ht="17.25" customHeight="1">
      <c r="A30" s="41" t="n"/>
      <c r="B30" s="41" t="n"/>
      <c r="C30" s="41" t="n"/>
      <c r="D30" s="41" t="n"/>
      <c r="E30" s="41" t="n"/>
      <c r="F30" s="14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43" t="inlineStr">
        <is>
          <t>Revestimento 3 + Médio</t>
        </is>
      </c>
      <c r="AF30" s="145" t="n">
        <v>8</v>
      </c>
      <c r="AG30" s="145" t="n">
        <v>0</v>
      </c>
      <c r="AH30" s="145" t="inlineStr">
        <is>
          <t>sim</t>
        </is>
      </c>
      <c r="AI30" s="41" t="n"/>
      <c r="AJ30" s="143" t="inlineStr">
        <is>
          <t>sem energia</t>
        </is>
      </c>
      <c r="AK30" s="145">
        <f>IF(FICHA!$X$11="Restrição Celestial · sem energia",1,0)</f>
        <v/>
      </c>
      <c r="AL30" s="41" t="n"/>
      <c r="AM30" s="41" t="n"/>
      <c r="AN30" s="41" t="n"/>
      <c r="AO30" s="41" t="n"/>
      <c r="AP30" s="41" t="n"/>
      <c r="AQ30" s="145" t="n">
        <v>27</v>
      </c>
      <c r="AR30" s="145" t="n">
        <v>25600</v>
      </c>
      <c r="AS30" s="41" t="n"/>
      <c r="AT30" s="41" t="n"/>
      <c r="AU30" s="41" t="n"/>
      <c r="AV30" s="41" t="n"/>
      <c r="AW30" s="41" t="n"/>
      <c r="AX30" s="41" t="n"/>
      <c r="AY30" s="41" t="n"/>
      <c r="AZ30" s="41" t="n"/>
      <c r="BA30" s="143" t="inlineStr">
        <is>
          <t>integridade_max</t>
        </is>
      </c>
      <c r="BB30" s="143">
        <f>ADDRESS(ROW(FICHA!J34),COLUMN(FICHA!J34),4)</f>
        <v/>
      </c>
      <c r="BD30" s="143" t="inlineStr">
        <is>
          <t>Machado</t>
        </is>
      </c>
      <c r="BE30" s="143" t="inlineStr">
        <is>
          <t>Machado</t>
        </is>
      </c>
      <c r="BF30" s="145" t="n">
        <v>1</v>
      </c>
      <c r="BG30" s="143" t="inlineStr">
        <is>
          <t>1d8</t>
        </is>
      </c>
      <c r="BH30" s="143" t="inlineStr">
        <is>
          <t>Rompe</t>
        </is>
      </c>
      <c r="BI30" s="143" t="inlineStr">
        <is>
          <t>—</t>
        </is>
      </c>
      <c r="BJ30" s="145" t="n">
        <v>1</v>
      </c>
      <c r="BM30" s="145">
        <f>'FICHA PESSOAL'!$D$59</f>
        <v/>
      </c>
      <c r="BN30" s="145">
        <f>ADDRESS(ROW('FICHA PESSOAL'!D59),COLUMN('FICHA PESSOAL'!D59),4)</f>
        <v/>
      </c>
      <c r="CY30" s="143" t="inlineStr">
        <is>
          <t>força do uniforme</t>
        </is>
      </c>
      <c r="CZ30" s="145">
        <f>IF(DADOS!$CZ$27=1,VLOOKUP('FICHA PESSOAL'!$AH$41,DADOS!$BX$5:$CD$10,4,FALSE),0)</f>
        <v/>
      </c>
    </row>
    <row r="31" ht="17.25" customHeight="1">
      <c r="A31" s="41" t="n"/>
      <c r="B31" s="41" t="n"/>
      <c r="C31" s="41" t="n"/>
      <c r="D31" s="41" t="n"/>
      <c r="E31" s="41" t="n"/>
      <c r="F31" s="14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43" t="inlineStr">
        <is>
          <t>Revestimento 3 + Torre</t>
        </is>
      </c>
      <c r="AF31" s="145" t="n">
        <v>9</v>
      </c>
      <c r="AG31" s="145" t="n">
        <v>0</v>
      </c>
      <c r="AH31" s="145" t="inlineStr">
        <is>
          <t>sim</t>
        </is>
      </c>
      <c r="AI31" s="41" t="n"/>
      <c r="AJ31" s="143" t="inlineStr">
        <is>
          <t>sem técnica</t>
        </is>
      </c>
      <c r="AK31" s="145">
        <f>IF(ISNUMBER(SEARCH(" · Sem Técnica",FICHA!$X$11)),1,0)</f>
        <v/>
      </c>
      <c r="AL31" s="41" t="n"/>
      <c r="AM31" s="41" t="n"/>
      <c r="AN31" s="41" t="n"/>
      <c r="AO31" s="41" t="n"/>
      <c r="AP31" s="41" t="n"/>
      <c r="AQ31" s="145" t="n">
        <v>28</v>
      </c>
      <c r="AR31" s="145" t="n">
        <v>27300</v>
      </c>
      <c r="AS31" s="41" t="n"/>
      <c r="AT31" s="41" t="n"/>
      <c r="AU31" s="41" t="n"/>
      <c r="AV31" s="41" t="n"/>
      <c r="AW31" s="41" t="n"/>
      <c r="AX31" s="41" t="n"/>
      <c r="AY31" s="41" t="n"/>
      <c r="AZ31" s="41" t="n"/>
      <c r="BA31" s="143" t="inlineStr">
        <is>
          <t>integridade_temp</t>
        </is>
      </c>
      <c r="BB31" s="143">
        <f>ADDRESS(ROW(FICHA!AF34),COLUMN(FICHA!AF34),4)</f>
        <v/>
      </c>
      <c r="BD31" s="143" t="inlineStr">
        <is>
          <t>Machado de Guerra</t>
        </is>
      </c>
      <c r="BE31" s="143" t="inlineStr">
        <is>
          <t>Machado</t>
        </is>
      </c>
      <c r="BF31" s="145" t="n">
        <v>2</v>
      </c>
      <c r="BG31" s="143" t="inlineStr">
        <is>
          <t>1d12</t>
        </is>
      </c>
      <c r="BH31" s="143" t="inlineStr">
        <is>
          <t>Rompe · Talha · Volumosa</t>
        </is>
      </c>
      <c r="BI31" s="145" t="n">
        <v>3</v>
      </c>
      <c r="BJ31" s="145" t="n">
        <v>2</v>
      </c>
      <c r="BM31" s="145">
        <f>'FICHA PESSOAL'!$D$60</f>
        <v/>
      </c>
      <c r="BN31" s="145">
        <f>ADDRESS(ROW('FICHA PESSOAL'!D60),COLUMN('FICHA PESSOAL'!D60),4)</f>
        <v/>
      </c>
      <c r="CY31" s="143" t="inlineStr">
        <is>
          <t>volume do uniforme</t>
        </is>
      </c>
      <c r="CZ31" s="145">
        <f>IF(DADOS!$CZ$27=1,VLOOKUP('FICHA PESSOAL'!$AH$41,DADOS!$BX$5:$CD$10,5,FALSE),0)</f>
        <v/>
      </c>
    </row>
    <row r="32" ht="17.25" customHeight="1">
      <c r="A32" s="41" t="n"/>
      <c r="B32" s="41" t="n"/>
      <c r="C32" s="41" t="n"/>
      <c r="D32" s="41" t="n"/>
      <c r="E32" s="41" t="n"/>
      <c r="F32" s="14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43" t="inlineStr">
        <is>
          <t>técnica marcial</t>
        </is>
      </c>
      <c r="AK32" s="145">
        <f>IF(OR(FICHA!$X$11="Corpo Amaldiçoado",FICHA!$X$11="Restrição Celestial · sem energia"),1,0)</f>
        <v/>
      </c>
      <c r="AL32" s="41" t="n"/>
      <c r="AM32" s="41" t="n"/>
      <c r="AN32" s="41" t="n"/>
      <c r="AO32" s="41" t="n"/>
      <c r="AP32" s="41" t="n"/>
      <c r="AQ32" s="145" t="n">
        <v>29</v>
      </c>
      <c r="AR32" s="145" t="n">
        <v>29000</v>
      </c>
      <c r="AS32" s="41" t="n"/>
      <c r="AT32" s="41" t="n"/>
      <c r="AU32" s="41" t="n"/>
      <c r="AV32" s="41" t="n"/>
      <c r="AW32" s="41" t="n"/>
      <c r="AX32" s="41" t="n"/>
      <c r="AY32" s="41" t="n"/>
      <c r="AZ32" s="41" t="n"/>
      <c r="BA32" s="143" t="inlineStr">
        <is>
          <t>integridade_delta</t>
        </is>
      </c>
      <c r="BB32" s="143">
        <f>ADDRESS(ROW(FICHA!AM34),COLUMN(FICHA!AM34),4)</f>
        <v/>
      </c>
      <c r="BD32" s="143" t="inlineStr">
        <is>
          <t>Machete</t>
        </is>
      </c>
      <c r="BE32" s="143" t="inlineStr">
        <is>
          <t>Lâmina Longa</t>
        </is>
      </c>
      <c r="BF32" s="145" t="n">
        <v>1</v>
      </c>
      <c r="BG32" s="143" t="inlineStr">
        <is>
          <t>1d8</t>
        </is>
      </c>
      <c r="BH32" s="143" t="inlineStr">
        <is>
          <t>Rompe</t>
        </is>
      </c>
      <c r="BI32" s="143" t="inlineStr">
        <is>
          <t>—</t>
        </is>
      </c>
      <c r="BJ32" s="145" t="n">
        <v>0.5</v>
      </c>
      <c r="BM32" s="145">
        <f>'FICHA PESSOAL'!$D$52</f>
        <v/>
      </c>
      <c r="BN32" s="145">
        <f>ADDRESS(ROW('FICHA PESSOAL'!D52),COLUMN('FICHA PESSOAL'!D52),4)</f>
        <v/>
      </c>
      <c r="CY32" s="143" t="inlineStr">
        <is>
          <t>ordem do grau mínimo</t>
        </is>
      </c>
      <c r="CZ32" s="145">
        <f>IF(DADOS!$CZ$27=1,VLOOKUP('FICHA PESSOAL'!$AH$41,DADOS!$BX$5:$CD$10,6,FALSE),0)</f>
        <v/>
      </c>
    </row>
    <row r="33" ht="17.25" customHeight="1">
      <c r="A33" s="41" t="n"/>
      <c r="B33" s="41" t="n"/>
      <c r="C33" s="41" t="n"/>
      <c r="D33" s="41" t="n"/>
      <c r="E33" s="41" t="n"/>
      <c r="F33" s="14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43" t="inlineStr">
        <is>
          <t>refino escolhido</t>
        </is>
      </c>
      <c r="AK33" s="145">
        <f>MIN(IFERROR(VALUE(FICHA!$AO$40&amp;""),0),DADOS!$AK$5)</f>
        <v/>
      </c>
      <c r="AL33" s="41" t="n"/>
      <c r="AM33" s="41" t="n"/>
      <c r="AN33" s="41" t="n"/>
      <c r="AO33" s="41" t="n"/>
      <c r="AP33" s="41" t="n"/>
      <c r="AQ33" s="145" t="n">
        <v>30</v>
      </c>
      <c r="AR33" s="145" t="n">
        <v>30700</v>
      </c>
      <c r="AS33" s="41" t="n"/>
      <c r="AT33" s="41" t="n"/>
      <c r="AU33" s="41" t="n"/>
      <c r="AV33" s="41" t="n"/>
      <c r="AW33" s="41" t="n"/>
      <c r="AX33" s="41" t="n"/>
      <c r="AY33" s="41" t="n"/>
      <c r="AZ33" s="41" t="n"/>
      <c r="BA33" s="143" t="inlineStr">
        <is>
          <t>estagio_alma</t>
        </is>
      </c>
      <c r="BB33" s="143">
        <f>ADDRESS(ROW(FICHA!D37),COLUMN(FICHA!D37),4)</f>
        <v/>
      </c>
      <c r="BD33" s="143" t="inlineStr">
        <is>
          <t>Manriki</t>
        </is>
      </c>
      <c r="BE33" s="143" t="inlineStr">
        <is>
          <t>Flexível</t>
        </is>
      </c>
      <c r="BF33" s="145" t="n">
        <v>1</v>
      </c>
      <c r="BG33" s="143" t="inlineStr">
        <is>
          <t>1d6</t>
        </is>
      </c>
      <c r="BH33" s="143" t="inlineStr">
        <is>
          <t>Emaranha · Oculta · Leve</t>
        </is>
      </c>
      <c r="BI33" s="143" t="inlineStr">
        <is>
          <t>—</t>
        </is>
      </c>
      <c r="BJ33" s="145" t="n">
        <v>0.5</v>
      </c>
      <c r="BM33" s="145">
        <f>'FICHA PESSOAL'!$AE$57</f>
        <v/>
      </c>
      <c r="BN33" s="145">
        <f>ADDRESS(ROW('FICHA PESSOAL'!AE57),COLUMN('FICHA PESSOAL'!AE57),4)</f>
        <v/>
      </c>
      <c r="CY33" s="143" t="inlineStr">
        <is>
          <t>grau mínimo</t>
        </is>
      </c>
      <c r="CZ33" s="145">
        <f>IF(DADOS!$CZ$27=1,VLOOKUP('FICHA PESSOAL'!$AH$41,DADOS!$BX$5:$CD$10,7,FALSE),"")</f>
        <v/>
      </c>
    </row>
    <row r="34" ht="17.25" customHeight="1">
      <c r="A34" s="41" t="n"/>
      <c r="B34" s="41" t="n"/>
      <c r="C34" s="41" t="n"/>
      <c r="D34" s="41" t="n"/>
      <c r="E34" s="41" t="n"/>
      <c r="F34" s="14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43" t="inlineStr">
        <is>
          <t>refino atual</t>
        </is>
      </c>
      <c r="AK34" s="145">
        <f>MIN(10,FICHA!$O$57+DADOS!$AK$33)</f>
        <v/>
      </c>
      <c r="AL34" s="41" t="n"/>
      <c r="AM34" s="41" t="n"/>
      <c r="AN34" s="41" t="n"/>
      <c r="AO34" s="41" t="n"/>
      <c r="AP34" s="41" t="n"/>
      <c r="AQ34" s="41" t="n"/>
      <c r="AR34" s="41" t="n"/>
      <c r="AS34" s="41" t="n"/>
      <c r="AT34" s="41" t="n"/>
      <c r="AU34" s="41" t="n"/>
      <c r="AV34" s="41" t="n"/>
      <c r="AW34" s="41" t="n"/>
      <c r="AX34" s="41" t="n"/>
      <c r="AY34" s="41" t="n"/>
      <c r="AZ34" s="41" t="n"/>
      <c r="BA34" s="143" t="inlineStr">
        <is>
          <t>defesa</t>
        </is>
      </c>
      <c r="BB34" s="143">
        <f>ADDRESS(ROW(FICHA!D43),COLUMN(FICHA!D43),4)</f>
        <v/>
      </c>
      <c r="BD34" s="143" t="inlineStr">
        <is>
          <t>Marreta</t>
        </is>
      </c>
      <c r="BE34" s="143" t="inlineStr">
        <is>
          <t>Massa</t>
        </is>
      </c>
      <c r="BF34" s="145" t="n">
        <v>2</v>
      </c>
      <c r="BG34" s="143" t="inlineStr">
        <is>
          <t>1d10</t>
        </is>
      </c>
      <c r="BH34" s="143" t="inlineStr">
        <is>
          <t>Rompe · Talha</t>
        </is>
      </c>
      <c r="BI34" s="145" t="n">
        <v>3</v>
      </c>
      <c r="BJ34" s="145" t="n">
        <v>3</v>
      </c>
      <c r="BM34" s="145">
        <f>'FICHA PESSOAL'!$AM$50</f>
        <v/>
      </c>
      <c r="BN34" s="145">
        <f>ADDRESS(ROW('FICHA PESSOAL'!AM50),COLUMN('FICHA PESSOAL'!AM50),4)</f>
        <v/>
      </c>
      <c r="CY34" s="143" t="inlineStr">
        <is>
          <t>ordem do grau</t>
        </is>
      </c>
      <c r="CZ34" s="145">
        <f>IFERROR(VLOOKUP('FICHA PESSOAL'!$AB$11,DADOS!$CF$5:$CH$9,3,FALSE),1)</f>
        <v/>
      </c>
    </row>
    <row r="35" ht="17.25" customHeight="1">
      <c r="A35" s="41" t="n"/>
      <c r="B35" s="41" t="n"/>
      <c r="C35" s="41" t="n"/>
      <c r="D35" s="41" t="n"/>
      <c r="E35" s="41" t="n"/>
      <c r="F35" s="14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43" t="inlineStr">
        <is>
          <t>aptidões a mais no teto</t>
        </is>
      </c>
      <c r="AK35" s="14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43" t="inlineStr">
        <is>
          <t>proteção</t>
        </is>
      </c>
      <c r="BB35" s="143">
        <f>ADDRESS(ROW(FICHA!O43),COLUMN(FICHA!O43),4)</f>
        <v/>
      </c>
      <c r="BD35" s="143" t="inlineStr">
        <is>
          <t>Maul</t>
        </is>
      </c>
      <c r="BE35" s="143" t="inlineStr">
        <is>
          <t>Massa</t>
        </is>
      </c>
      <c r="BF35" s="145" t="n">
        <v>2</v>
      </c>
      <c r="BG35" s="143" t="inlineStr">
        <is>
          <t>1d12</t>
        </is>
      </c>
      <c r="BH35" s="143" t="inlineStr">
        <is>
          <t>Rompe</t>
        </is>
      </c>
      <c r="BI35" s="145" t="n">
        <v>3</v>
      </c>
      <c r="BJ35" s="145" t="n">
        <v>3</v>
      </c>
      <c r="BM35" s="145">
        <f>'FICHA PESSOAL'!$AM$51</f>
        <v/>
      </c>
      <c r="BN35" s="145">
        <f>ADDRESS(ROW('FICHA PESSOAL'!AM51),COLUMN('FICHA PESSOAL'!AM51),4)</f>
        <v/>
      </c>
      <c r="CY35" s="143" t="inlineStr">
        <is>
          <t>uniforme liberado</t>
        </is>
      </c>
      <c r="CZ35" s="145">
        <f>IF(OR(DADOS!$CZ$27=0,DADOS!$CZ$34&gt;=DADOS!$CZ$32),1,0)</f>
        <v/>
      </c>
    </row>
    <row r="36" ht="17.25" customHeight="1">
      <c r="A36" s="41" t="n"/>
      <c r="B36" s="41" t="n"/>
      <c r="C36" s="41" t="n"/>
      <c r="D36" s="41" t="n"/>
      <c r="E36" s="41" t="n"/>
      <c r="F36" s="14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43" t="inlineStr">
        <is>
          <t>máximo de aptidões</t>
        </is>
      </c>
      <c r="AK36" s="145">
        <f>2+1*DADOS!$AK$31+DADOS!$AK$33+DADOS!$AK$35</f>
        <v/>
      </c>
      <c r="AL36" s="41" t="n"/>
      <c r="AM36" s="41" t="n"/>
      <c r="AN36" s="41" t="n"/>
      <c r="AO36" s="41" t="n"/>
      <c r="AP36" s="41" t="n"/>
      <c r="AQ36" s="41" t="n"/>
      <c r="AR36" s="41" t="n"/>
      <c r="AS36" s="41" t="n"/>
      <c r="AT36" s="41" t="n"/>
      <c r="AU36" s="41" t="n"/>
      <c r="AV36" s="41" t="n"/>
      <c r="AW36" s="41" t="n"/>
      <c r="AX36" s="41" t="n"/>
      <c r="AY36" s="41" t="n"/>
      <c r="AZ36" s="41" t="n"/>
      <c r="BA36" s="143" t="inlineStr">
        <is>
          <t>equipamento</t>
        </is>
      </c>
      <c r="BB36" s="143">
        <f>ADDRESS(ROW(FICHA!Z43),COLUMN(FICHA!Z43),4)</f>
        <v/>
      </c>
      <c r="BD36" s="143" t="inlineStr">
        <is>
          <t>Médio</t>
        </is>
      </c>
      <c r="BE36" s="143" t="inlineStr">
        <is>
          <t>Escudo</t>
        </is>
      </c>
      <c r="BF36" s="145" t="n">
        <v>1</v>
      </c>
      <c r="BG36" s="143" t="inlineStr">
        <is>
          <t>—</t>
        </is>
      </c>
      <c r="BH36" s="143" t="inlineStr">
        <is>
          <t>Proteção +2 · teto de Destreza 3</t>
        </is>
      </c>
      <c r="BI36" s="145" t="n">
        <v>3</v>
      </c>
      <c r="BJ36" s="145" t="n">
        <v>1</v>
      </c>
      <c r="BM36" s="145">
        <f>TRUE</f>
        <v/>
      </c>
      <c r="CY36" s="143" t="inlineStr">
        <is>
          <t>falta força na principal</t>
        </is>
      </c>
      <c r="CZ36" s="145">
        <f>IF(DADOS!$CZ$11&gt;DADOS!$CZ$5,1,0)</f>
        <v/>
      </c>
    </row>
    <row r="37" ht="17.25" customHeight="1">
      <c r="A37" s="41" t="n"/>
      <c r="B37" s="41" t="n"/>
      <c r="C37" s="41" t="n"/>
      <c r="D37" s="41" t="n"/>
      <c r="E37" s="41" t="n"/>
      <c r="F37" s="14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43" t="inlineStr">
        <is>
          <t>aptidões anotadas</t>
        </is>
      </c>
      <c r="AK37" s="145">
        <f>DADOS_AM!$HI$25</f>
        <v/>
      </c>
      <c r="AL37" s="41" t="n"/>
      <c r="AM37" s="41" t="n"/>
      <c r="AN37" s="41" t="n"/>
      <c r="AO37" s="41" t="n"/>
      <c r="AP37" s="41" t="n"/>
      <c r="AQ37" s="41" t="n"/>
      <c r="AR37" s="41" t="n"/>
      <c r="AS37" s="41" t="n"/>
      <c r="AT37" s="41" t="n"/>
      <c r="AU37" s="41" t="n"/>
      <c r="AV37" s="41" t="n"/>
      <c r="AW37" s="41" t="n"/>
      <c r="AX37" s="41" t="n"/>
      <c r="AY37" s="41" t="n"/>
      <c r="AZ37" s="41" t="n"/>
      <c r="BA37" s="143" t="inlineStr">
        <is>
          <t>iniciativa</t>
        </is>
      </c>
      <c r="BB37" s="143">
        <f>ADDRESS(ROW(FICHA!AK43),COLUMN(FICHA!AK43),4)</f>
        <v/>
      </c>
      <c r="BD37" s="143" t="inlineStr">
        <is>
          <t>Metralhadora Pesada</t>
        </is>
      </c>
      <c r="BE37" s="143" t="inlineStr">
        <is>
          <t>Arma de Fogo</t>
        </is>
      </c>
      <c r="BF37" s="145" t="n">
        <v>2</v>
      </c>
      <c r="BG37" s="143" t="inlineStr">
        <is>
          <t>2d10</t>
        </is>
      </c>
      <c r="BH37" s="143" t="inlineStr">
        <is>
          <t>Longo Alcance · Munição · Rompe · Volumosa</t>
        </is>
      </c>
      <c r="BI37" s="145" t="n">
        <v>3</v>
      </c>
      <c r="BJ37" s="145" t="n">
        <v>4</v>
      </c>
      <c r="BK37" s="143" t="inlineStr">
        <is>
          <t>24 m, longa 72 m</t>
        </is>
      </c>
      <c r="BL37" s="145" t="n">
        <v>4</v>
      </c>
      <c r="BM37" s="145">
        <f>'FICHA PESSOAL'!$M$50</f>
        <v/>
      </c>
      <c r="BN37" s="145">
        <f>ADDRESS(ROW('FICHA PESSOAL'!M50),COLUMN('FICHA PESSOAL'!M50),4)</f>
        <v/>
      </c>
      <c r="CY37" s="143" t="inlineStr">
        <is>
          <t>falta força na secundária</t>
        </is>
      </c>
      <c r="CZ37" s="145">
        <f>IF(AND(DADOS!$CZ$17=1,DADOS!$CZ$22&gt;DADOS!$CZ$5),1,0)</f>
        <v/>
      </c>
    </row>
    <row r="38" ht="17.25" customHeight="1">
      <c r="A38" s="41" t="n"/>
      <c r="B38" s="41" t="n"/>
      <c r="C38" s="41" t="n"/>
      <c r="D38" s="41" t="n"/>
      <c r="E38" s="41" t="n"/>
      <c r="F38" s="14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43" t="inlineStr">
        <is>
          <t>escolhas de Leque</t>
        </is>
      </c>
      <c r="AK38" s="145">
        <f>IFERROR(VALUE(FICHA!$AS$40&amp;""),0)</f>
        <v/>
      </c>
      <c r="AL38" s="41" t="n"/>
      <c r="AM38" s="41" t="n"/>
      <c r="AN38" s="41" t="n"/>
      <c r="AO38" s="41" t="n"/>
      <c r="AP38" s="41" t="n"/>
      <c r="AQ38" s="41" t="n"/>
      <c r="AR38" s="41" t="n"/>
      <c r="AS38" s="41" t="n"/>
      <c r="AT38" s="41" t="n"/>
      <c r="AU38" s="41" t="n"/>
      <c r="AV38" s="41" t="n"/>
      <c r="AW38" s="41" t="n"/>
      <c r="AX38" s="41" t="n"/>
      <c r="AY38" s="41" t="n"/>
      <c r="AZ38" s="41" t="n"/>
      <c r="BA38" s="143" t="inlineStr">
        <is>
          <t>cd de feitiço</t>
        </is>
      </c>
      <c r="BB38" s="143">
        <f>ADDRESS(ROW(FICHA!D47),COLUMN(FICHA!D47),4)</f>
        <v/>
      </c>
      <c r="BD38" s="143" t="inlineStr">
        <is>
          <t>Naginata</t>
        </is>
      </c>
      <c r="BE38" s="143" t="inlineStr">
        <is>
          <t>Armas Longas</t>
        </is>
      </c>
      <c r="BF38" s="145" t="n">
        <v>2</v>
      </c>
      <c r="BG38" s="143" t="inlineStr">
        <is>
          <t>1d10</t>
        </is>
      </c>
      <c r="BH38" s="143" t="inlineStr">
        <is>
          <t>Alcance · Rompe</t>
        </is>
      </c>
      <c r="BI38" s="145" t="n">
        <v>3</v>
      </c>
      <c r="BJ38" s="145" t="n">
        <v>2</v>
      </c>
      <c r="BM38" s="145">
        <f>'FICHA PESSOAL'!$AM$56</f>
        <v/>
      </c>
      <c r="BN38" s="145">
        <f>ADDRESS(ROW('FICHA PESSOAL'!AM56),COLUMN('FICHA PESSOAL'!AM56),4)</f>
        <v/>
      </c>
      <c r="CY38" s="143" t="inlineStr">
        <is>
          <t>falta força no uniforme</t>
        </is>
      </c>
      <c r="CZ38" s="145">
        <f>IF(AND(DADOS!$CZ$27=1,DADOS!$CZ$30&gt;DADOS!$CZ$5),1,0)</f>
        <v/>
      </c>
    </row>
    <row r="39" ht="17.25" customHeight="1">
      <c r="A39" s="41" t="n"/>
      <c r="B39" s="41" t="n"/>
      <c r="C39" s="41" t="n"/>
      <c r="D39" s="41" t="n"/>
      <c r="E39" s="41" t="n"/>
      <c r="F39" s="14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43" t="inlineStr">
        <is>
          <t>Passivas do Leque anotadas</t>
        </is>
      </c>
      <c r="AK39" s="145">
        <f>DADOS_AM!$HI$24</f>
        <v/>
      </c>
      <c r="AL39" s="41" t="n"/>
      <c r="AM39" s="41" t="n"/>
      <c r="AN39" s="41" t="n"/>
      <c r="AO39" s="41" t="n"/>
      <c r="AP39" s="41" t="n"/>
      <c r="AQ39" s="41" t="n"/>
      <c r="AR39" s="41" t="n"/>
      <c r="AS39" s="41" t="n"/>
      <c r="AT39" s="41" t="n"/>
      <c r="AU39" s="41" t="n"/>
      <c r="AV39" s="41" t="n"/>
      <c r="AW39" s="41" t="n"/>
      <c r="AX39" s="41" t="n"/>
      <c r="AY39" s="41" t="n"/>
      <c r="AZ39" s="41" t="n"/>
      <c r="BA39" s="143" t="inlineStr">
        <is>
          <t>conjuração</t>
        </is>
      </c>
      <c r="BB39" s="143">
        <f>ADDRESS(ROW(FICHA!O47),COLUMN(FICHA!O47),4)</f>
        <v/>
      </c>
      <c r="BD39" s="143" t="inlineStr">
        <is>
          <t>Nodachi</t>
        </is>
      </c>
      <c r="BE39" s="143" t="inlineStr">
        <is>
          <t>Lâmina Longa</t>
        </is>
      </c>
      <c r="BF39" s="145" t="n">
        <v>2</v>
      </c>
      <c r="BG39" s="143" t="inlineStr">
        <is>
          <t>1d12</t>
        </is>
      </c>
      <c r="BH39" s="143" t="inlineStr">
        <is>
          <t>Alcance · Rompe · Volumosa</t>
        </is>
      </c>
      <c r="BI39" s="145" t="n">
        <v>3</v>
      </c>
      <c r="BJ39" s="145" t="n">
        <v>2</v>
      </c>
      <c r="BM39" s="145">
        <f>'FICHA PESSOAL'!$D$53</f>
        <v/>
      </c>
      <c r="BN39" s="145">
        <f>ADDRESS(ROW('FICHA PESSOAL'!D53),COLUMN('FICHA PESSOAL'!D53),4)</f>
        <v/>
      </c>
      <c r="CY39" s="143" t="inlineStr">
        <is>
          <t>volume guardado</t>
        </is>
      </c>
      <c r="CZ39" s="145">
        <f>SUM('FICHA PESSOAL'!$AG$69:$AG$76)+SUM('FICHA PESSOAL'!$V$81:$V$86)+SUM('FICHA PESSOAL'!$AR$81:$AR$86)</f>
        <v/>
      </c>
    </row>
    <row r="40" ht="17.25" customHeight="1">
      <c r="A40" s="41" t="n"/>
      <c r="B40" s="41" t="n"/>
      <c r="C40" s="41" t="n"/>
      <c r="D40" s="41" t="n"/>
      <c r="E40" s="41" t="n"/>
      <c r="F40" s="14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43" t="inlineStr">
        <is>
          <t>corpo a corpo</t>
        </is>
      </c>
      <c r="BB40" s="143">
        <f>ADDRESS(ROW(FICHA!Z47),COLUMN(FICHA!Z47),4)</f>
        <v/>
      </c>
      <c r="BD40" s="143" t="inlineStr">
        <is>
          <t>Nunchaku</t>
        </is>
      </c>
      <c r="BE40" s="143" t="inlineStr">
        <is>
          <t>Porrete</t>
        </is>
      </c>
      <c r="BF40" s="145" t="n">
        <v>1</v>
      </c>
      <c r="BG40" s="143" t="inlineStr">
        <is>
          <t>1d6</t>
        </is>
      </c>
      <c r="BH40" s="143" t="inlineStr">
        <is>
          <t>Par · Emaranha</t>
        </is>
      </c>
      <c r="BI40" s="143" t="inlineStr">
        <is>
          <t>—</t>
        </is>
      </c>
      <c r="BJ40" s="145" t="n">
        <v>0.5</v>
      </c>
      <c r="BM40" s="145">
        <f>'FICHA PESSOAL'!$V$52</f>
        <v/>
      </c>
      <c r="BN40" s="145">
        <f>ADDRESS(ROW('FICHA PESSOAL'!V52),COLUMN('FICHA PESSOAL'!V52),4)</f>
        <v/>
      </c>
      <c r="CY40" s="143" t="inlineStr">
        <is>
          <t>carga</t>
        </is>
      </c>
      <c r="CZ40" s="145">
        <f>ROUND(DADOS!$CZ$39+DADOS!$CZ$31,2)</f>
        <v/>
      </c>
    </row>
    <row r="41" ht="17.25" customHeight="1">
      <c r="A41" s="41" t="n"/>
      <c r="B41" s="41" t="n"/>
      <c r="C41" s="41" t="n"/>
      <c r="D41" s="41" t="n"/>
      <c r="E41" s="41" t="n"/>
      <c r="F41" s="14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43" t="inlineStr">
        <is>
          <t>à distância</t>
        </is>
      </c>
      <c r="BB41" s="143">
        <f>ADDRESS(ROW(FICHA!AK47),COLUMN(FICHA!AK47),4)</f>
        <v/>
      </c>
      <c r="BD41" s="143" t="inlineStr">
        <is>
          <t>Odachi</t>
        </is>
      </c>
      <c r="BE41" s="143" t="inlineStr">
        <is>
          <t>Lâmina Longa</t>
        </is>
      </c>
      <c r="BF41" s="145" t="n">
        <v>2</v>
      </c>
      <c r="BG41" s="143" t="inlineStr">
        <is>
          <t>1d12</t>
        </is>
      </c>
      <c r="BH41" s="143" t="inlineStr">
        <is>
          <t>Alcance · Talha · Embainhada</t>
        </is>
      </c>
      <c r="BI41" s="145" t="n">
        <v>3</v>
      </c>
      <c r="BJ41" s="145" t="n">
        <v>2</v>
      </c>
      <c r="BM41" s="145">
        <f>'FICHA PESSOAL'!$D$54</f>
        <v/>
      </c>
      <c r="BN41" s="145">
        <f>ADDRESS(ROW('FICHA PESSOAL'!D54),COLUMN('FICHA PESSOAL'!D54),4)</f>
        <v/>
      </c>
      <c r="CY41" s="143" t="inlineStr">
        <is>
          <t>limite de carga</t>
        </is>
      </c>
      <c r="CZ41" s="145">
        <f>5+DADOS!$CZ$5</f>
        <v/>
      </c>
    </row>
    <row r="42" ht="17.25" customHeight="1">
      <c r="A42" s="41" t="n"/>
      <c r="B42" s="41" t="n"/>
      <c r="C42" s="41" t="n"/>
      <c r="D42" s="41" t="n"/>
      <c r="E42" s="41" t="n"/>
      <c r="F42" s="14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43" t="inlineStr">
        <is>
          <t>maestria</t>
        </is>
      </c>
      <c r="BB42" s="143">
        <f>ADDRESS(ROW(FICHA!D51),COLUMN(FICHA!D51),4)</f>
        <v/>
      </c>
      <c r="BD42" s="143" t="inlineStr">
        <is>
          <t>Pistola</t>
        </is>
      </c>
      <c r="BE42" s="143" t="inlineStr">
        <is>
          <t>Arma de Fogo</t>
        </is>
      </c>
      <c r="BF42" s="145" t="n">
        <v>1</v>
      </c>
      <c r="BG42" s="143" t="inlineStr">
        <is>
          <t>1d10</t>
        </is>
      </c>
      <c r="BH42" s="143" t="inlineStr">
        <is>
          <t>Longo Alcance · Munição · Oculta · Leve</t>
        </is>
      </c>
      <c r="BI42" s="143" t="inlineStr">
        <is>
          <t>—</t>
        </is>
      </c>
      <c r="BJ42" s="145" t="n">
        <v>0.5</v>
      </c>
      <c r="BK42" s="143" t="inlineStr">
        <is>
          <t>9 m, longa 27 m</t>
        </is>
      </c>
      <c r="BL42" s="145" t="n">
        <v>2</v>
      </c>
      <c r="BM42" s="145">
        <f>'FICHA PESSOAL'!$M$51</f>
        <v/>
      </c>
      <c r="BN42" s="145">
        <f>ADDRESS(ROW('FICHA PESSOAL'!M51),COLUMN('FICHA PESSOAL'!M51),4)</f>
        <v/>
      </c>
      <c r="CY42" s="143" t="inlineStr">
        <is>
          <t>carga acima</t>
        </is>
      </c>
      <c r="CZ42" s="145">
        <f>IF(DADOS!$CZ$40&gt;DADOS!$CZ$41,1,0)</f>
        <v/>
      </c>
    </row>
    <row r="43" ht="17.25" customHeight="1">
      <c r="A43" s="41" t="n"/>
      <c r="B43" s="41" t="n"/>
      <c r="C43" s="41" t="n"/>
      <c r="D43" s="41" t="n"/>
      <c r="E43" s="41" t="n"/>
      <c r="F43" s="14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43" t="inlineStr">
        <is>
          <t>deslocamento</t>
        </is>
      </c>
      <c r="BB43" s="143">
        <f>ADDRESS(ROW(FICHA!O51),COLUMN(FICHA!O51),4)</f>
        <v/>
      </c>
      <c r="BD43" s="143" t="inlineStr">
        <is>
          <t>Punhal</t>
        </is>
      </c>
      <c r="BE43" s="143" t="inlineStr">
        <is>
          <t>Lâmina Curta</t>
        </is>
      </c>
      <c r="BF43" s="145" t="n">
        <v>1</v>
      </c>
      <c r="BG43" s="143" t="inlineStr">
        <is>
          <t>1d6</t>
        </is>
      </c>
      <c r="BH43" s="143" t="inlineStr">
        <is>
          <t>Fineza · Longo Alcance · Leve</t>
        </is>
      </c>
      <c r="BI43" s="143" t="inlineStr">
        <is>
          <t>—</t>
        </is>
      </c>
      <c r="BJ43" s="145" t="n">
        <v>0.3</v>
      </c>
      <c r="BK43" s="143" t="inlineStr">
        <is>
          <t>6 m, longa 18 m</t>
        </is>
      </c>
      <c r="BM43" s="145">
        <f>'FICHA PESSOAL'!$AE$51</f>
        <v/>
      </c>
      <c r="BN43" s="145">
        <f>ADDRESS(ROW('FICHA PESSOAL'!AE51),COLUMN('FICHA PESSOAL'!AE51),4)</f>
        <v/>
      </c>
      <c r="CY43" s="143" t="inlineStr">
        <is>
          <t>arma sem força</t>
        </is>
      </c>
      <c r="CZ43" s="145">
        <f>IF(OR(DADOS!$CZ$36=1,AND(DADOS!$CZ$37=1,DADOS!$CZ$19=0)),1,0)</f>
        <v/>
      </c>
    </row>
    <row r="44" ht="17.25" customHeight="1">
      <c r="A44" s="41" t="n"/>
      <c r="B44" s="41" t="n"/>
      <c r="C44" s="41" t="n"/>
      <c r="D44" s="41" t="n"/>
      <c r="E44" s="41" t="n"/>
      <c r="F44" s="14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43" t="inlineStr">
        <is>
          <t>espaços de feitiço</t>
        </is>
      </c>
      <c r="BB44" s="143">
        <f>ADDRESS(ROW(FICHA!D57),COLUMN(FICHA!D57),4)</f>
        <v/>
      </c>
      <c r="BD44" s="143" t="inlineStr">
        <is>
          <t>Rapieira</t>
        </is>
      </c>
      <c r="BE44" s="143" t="inlineStr">
        <is>
          <t>Lâmina Longa</t>
        </is>
      </c>
      <c r="BF44" s="145" t="n">
        <v>1</v>
      </c>
      <c r="BG44" s="143" t="inlineStr">
        <is>
          <t>1d6</t>
        </is>
      </c>
      <c r="BH44" s="143" t="inlineStr">
        <is>
          <t>Fineza · Talha</t>
        </is>
      </c>
      <c r="BI44" s="143" t="inlineStr">
        <is>
          <t>—</t>
        </is>
      </c>
      <c r="BJ44" s="145" t="n">
        <v>1</v>
      </c>
      <c r="BM44" s="145">
        <f>'FICHA PESSOAL'!$D$55</f>
        <v/>
      </c>
      <c r="BN44" s="145">
        <f>ADDRESS(ROW('FICHA PESSOAL'!D55),COLUMN('FICHA PESSOAL'!D55),4)</f>
        <v/>
      </c>
      <c r="CY44" s="143" t="inlineStr">
        <is>
          <t>meia marcha</t>
        </is>
      </c>
      <c r="CZ44" s="145">
        <f>DADOS!$CZ$43</f>
        <v/>
      </c>
    </row>
    <row r="45" ht="17.25" customHeight="1">
      <c r="A45" s="41" t="n"/>
      <c r="B45" s="41" t="n"/>
      <c r="C45" s="41" t="n"/>
      <c r="D45" s="41" t="n"/>
      <c r="E45" s="41" t="n"/>
      <c r="F45" s="14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43" t="inlineStr">
        <is>
          <t>refino de graça</t>
        </is>
      </c>
      <c r="BB45" s="143">
        <f>ADDRESS(ROW(FICHA!O57),COLUMN(FICHA!O57),4)</f>
        <v/>
      </c>
      <c r="BD45" s="143" t="inlineStr">
        <is>
          <t>Revólver</t>
        </is>
      </c>
      <c r="BE45" s="143" t="inlineStr">
        <is>
          <t>Arma de Fogo</t>
        </is>
      </c>
      <c r="BF45" s="145" t="n">
        <v>1</v>
      </c>
      <c r="BG45" s="143" t="inlineStr">
        <is>
          <t>1d10</t>
        </is>
      </c>
      <c r="BH45" s="143" t="inlineStr">
        <is>
          <t>Longo Alcance · Munição · Oculta · Leve</t>
        </is>
      </c>
      <c r="BI45" s="143" t="inlineStr">
        <is>
          <t>—</t>
        </is>
      </c>
      <c r="BJ45" s="145" t="n">
        <v>0.5</v>
      </c>
      <c r="BK45" s="143" t="inlineStr">
        <is>
          <t>12 m, longa 36 m</t>
        </is>
      </c>
      <c r="BL45" s="145" t="n">
        <v>2</v>
      </c>
      <c r="BM45" s="145">
        <f>'FICHA PESSOAL'!$M$52</f>
        <v/>
      </c>
      <c r="BN45" s="145">
        <f>ADDRESS(ROW('FICHA PESSOAL'!M52),COLUMN('FICHA PESSOAL'!M52),4)</f>
        <v/>
      </c>
      <c r="CY45" s="143" t="inlineStr">
        <is>
          <t>proteção sem força</t>
        </is>
      </c>
      <c r="CZ45" s="145">
        <f>IF(DADOS!$CZ$38=1,DADOS!$CZ$28,0)+IF(AND(DADOS!$CZ$37=1,DADOS!$CZ$19=1),IFERROR(VLOOKUP('FICHA PESSOAL'!$S$41,DADOS!$AE$5:$AF$31,2,FALSE),0),0)</f>
        <v/>
      </c>
    </row>
    <row r="46" ht="17.25" customHeight="1">
      <c r="A46" s="41" t="n"/>
      <c r="B46" s="41" t="n"/>
      <c r="C46" s="41" t="n"/>
      <c r="D46" s="41" t="n"/>
      <c r="E46" s="41" t="n"/>
      <c r="F46" s="14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43" t="inlineStr">
        <is>
          <t>classe máxima</t>
        </is>
      </c>
      <c r="BB46" s="143">
        <f>ADDRESS(ROW(FICHA!Z57),COLUMN(FICHA!Z57),4)</f>
        <v/>
      </c>
      <c r="BD46" s="143" t="inlineStr">
        <is>
          <t>Rifle</t>
        </is>
      </c>
      <c r="BE46" s="143" t="inlineStr">
        <is>
          <t>Arma de Fogo</t>
        </is>
      </c>
      <c r="BF46" s="145" t="n">
        <v>2</v>
      </c>
      <c r="BG46" s="143" t="inlineStr">
        <is>
          <t>2d8</t>
        </is>
      </c>
      <c r="BH46" s="143" t="inlineStr">
        <is>
          <t>Longo Alcance · Munição · Talha</t>
        </is>
      </c>
      <c r="BI46" s="145" t="n">
        <v>1</v>
      </c>
      <c r="BJ46" s="145" t="n">
        <v>2</v>
      </c>
      <c r="BK46" s="143" t="inlineStr">
        <is>
          <t>24 m, longa 72 m</t>
        </is>
      </c>
      <c r="BL46" s="145" t="n">
        <v>3</v>
      </c>
      <c r="BM46" s="145">
        <f>'FICHA PESSOAL'!$M$53</f>
        <v/>
      </c>
      <c r="BN46" s="145">
        <f>ADDRESS(ROW('FICHA PESSOAL'!M53),COLUMN('FICHA PESSOAL'!M53),4)</f>
        <v/>
      </c>
      <c r="CY46" s="143" t="inlineStr">
        <is>
          <t>parado pela carga</t>
        </is>
      </c>
      <c r="CZ46" s="145">
        <f>DADOS!$CZ$42</f>
        <v/>
      </c>
    </row>
    <row r="47" ht="17.25" customHeight="1">
      <c r="A47" s="41" t="n"/>
      <c r="B47" s="41" t="n"/>
      <c r="C47" s="41" t="n"/>
      <c r="D47" s="41" t="n"/>
      <c r="E47" s="41" t="n"/>
      <c r="F47" s="14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43" t="inlineStr">
        <is>
          <t>classe 0 grátis</t>
        </is>
      </c>
      <c r="BB47" s="143">
        <f>ADDRESS(ROW(FICHA!AK57),COLUMN(FICHA!AK57),4)</f>
        <v/>
      </c>
      <c r="BD47" s="143" t="inlineStr">
        <is>
          <t>Rifle de Precisão</t>
        </is>
      </c>
      <c r="BE47" s="143" t="inlineStr">
        <is>
          <t>Arma de Fogo</t>
        </is>
      </c>
      <c r="BF47" s="145" t="n">
        <v>2</v>
      </c>
      <c r="BG47" s="143" t="inlineStr">
        <is>
          <t>2d10</t>
        </is>
      </c>
      <c r="BH47" s="143" t="inlineStr">
        <is>
          <t>Longo Alcance · Munição</t>
        </is>
      </c>
      <c r="BI47" s="145" t="n">
        <v>3</v>
      </c>
      <c r="BJ47" s="145" t="n">
        <v>3</v>
      </c>
      <c r="BK47" s="143" t="inlineStr">
        <is>
          <t>24 m, longa 72 m</t>
        </is>
      </c>
      <c r="BL47" s="145" t="n">
        <v>2</v>
      </c>
      <c r="BM47" s="145">
        <f>'FICHA PESSOAL'!$M$54</f>
        <v/>
      </c>
      <c r="BN47" s="145">
        <f>ADDRESS(ROW('FICHA PESSOAL'!M54),COLUMN('FICHA PESSOAL'!M54),4)</f>
        <v/>
      </c>
      <c r="CY47" s="143" t="inlineStr">
        <is>
          <t>xp total</t>
        </is>
      </c>
      <c r="CZ47" s="145">
        <f>SUM('FICHA PESSOAL'!$BA$15:$BA$64)+SUM('FICHA PESSOAL'!$BG$15:$BG$64)+SUM('FICHA PESSOAL'!$BM$15:$BM$64)+SUM('FICHA PESSOAL'!$BS$15:$BS$64)</f>
        <v/>
      </c>
    </row>
    <row r="48" ht="17.25" customHeight="1">
      <c r="A48" s="41" t="n"/>
      <c r="B48" s="41" t="n"/>
      <c r="C48" s="41" t="n"/>
      <c r="D48" s="41" t="n"/>
      <c r="E48" s="41" t="n"/>
      <c r="F48" s="14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43" t="inlineStr">
        <is>
          <t>refino escolhido</t>
        </is>
      </c>
      <c r="BB48" s="143">
        <f>ADDRESS(ROW(FICHA!AO40),COLUMN(FICHA!AO40),4)</f>
        <v/>
      </c>
      <c r="BD48" s="143" t="inlineStr">
        <is>
          <t>Sai</t>
        </is>
      </c>
      <c r="BE48" s="143" t="inlineStr">
        <is>
          <t>Lâmina Curta</t>
        </is>
      </c>
      <c r="BF48" s="145" t="n">
        <v>1</v>
      </c>
      <c r="BG48" s="143" t="inlineStr">
        <is>
          <t>1d6</t>
        </is>
      </c>
      <c r="BH48" s="143" t="inlineStr">
        <is>
          <t>Fineza · Par · Leve</t>
        </is>
      </c>
      <c r="BI48" s="143" t="inlineStr">
        <is>
          <t>—</t>
        </is>
      </c>
      <c r="BJ48" s="145" t="n">
        <v>0.5</v>
      </c>
      <c r="BM48" s="145">
        <f>'FICHA PESSOAL'!$AE$52</f>
        <v/>
      </c>
      <c r="BN48" s="145">
        <f>ADDRESS(ROW('FICHA PESSOAL'!AE52),COLUMN('FICHA PESSOAL'!AE52),4)</f>
        <v/>
      </c>
      <c r="CY48" s="143" t="inlineStr">
        <is>
          <t>nível</t>
        </is>
      </c>
      <c r="CZ48" s="145">
        <f>N(FICHA!$AH$11)</f>
        <v/>
      </c>
    </row>
    <row r="49" ht="17.25" customHeight="1">
      <c r="A49" s="41" t="n"/>
      <c r="B49" s="41" t="n"/>
      <c r="C49" s="41" t="n"/>
      <c r="D49" s="41" t="n"/>
      <c r="E49" s="41" t="n"/>
      <c r="F49" s="14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43" t="inlineStr">
        <is>
          <t>marco corpo</t>
        </is>
      </c>
      <c r="BB49" s="143">
        <f>ADDRESS(ROW(FICHA!AQ40),COLUMN(FICHA!AQ40),4)</f>
        <v/>
      </c>
      <c r="BD49" s="143" t="inlineStr">
        <is>
          <t>Shuriken</t>
        </is>
      </c>
      <c r="BE49" s="143" t="inlineStr">
        <is>
          <t>Arremesso</t>
        </is>
      </c>
      <c r="BF49" s="145" t="n">
        <v>1</v>
      </c>
      <c r="BG49" s="143" t="inlineStr">
        <is>
          <t>1d4</t>
        </is>
      </c>
      <c r="BH49" s="143" t="inlineStr">
        <is>
          <t>Longo Alcance · Oculta · Par · Leve</t>
        </is>
      </c>
      <c r="BI49" s="143" t="inlineStr">
        <is>
          <t>—</t>
        </is>
      </c>
      <c r="BJ49" s="145" t="n">
        <v>0.1</v>
      </c>
      <c r="BK49" s="143" t="inlineStr">
        <is>
          <t>6 m, longa 18 m</t>
        </is>
      </c>
      <c r="BM49" s="145">
        <f>'FICHA PESSOAL'!$M$59</f>
        <v/>
      </c>
      <c r="BN49" s="145">
        <f>ADDRESS(ROW('FICHA PESSOAL'!M59),COLUMN('FICHA PESSOAL'!M59),4)</f>
        <v/>
      </c>
      <c r="CY49" s="143" t="inlineStr">
        <is>
          <t>xp do próximo nível</t>
        </is>
      </c>
      <c r="CZ49" s="145">
        <f>IFERROR(VLOOKUP(DADOS!$CZ$48+1,DADOS!$AQ$5:$AR$33,2,FALSE),"")</f>
        <v/>
      </c>
    </row>
    <row r="50" ht="17.25" customHeight="1">
      <c r="A50" s="41" t="n"/>
      <c r="B50" s="41" t="n"/>
      <c r="C50" s="41" t="n"/>
      <c r="D50" s="41" t="n"/>
      <c r="E50" s="41" t="n"/>
      <c r="F50" s="14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43" t="inlineStr">
        <is>
          <t>marco leque</t>
        </is>
      </c>
      <c r="BB50" s="143">
        <f>ADDRESS(ROW(FICHA!AS40),COLUMN(FICHA!AS40),4)</f>
        <v/>
      </c>
      <c r="BD50" s="143" t="inlineStr">
        <is>
          <t>Soqueira</t>
        </is>
      </c>
      <c r="BE50" s="143" t="inlineStr">
        <is>
          <t>Manopla</t>
        </is>
      </c>
      <c r="BF50" s="145" t="n">
        <v>1</v>
      </c>
      <c r="BG50" s="143" t="inlineStr">
        <is>
          <t>1d4</t>
        </is>
      </c>
      <c r="BH50" s="143" t="inlineStr">
        <is>
          <t>Vestida · Oculta · Par · Leve</t>
        </is>
      </c>
      <c r="BI50" s="143" t="inlineStr">
        <is>
          <t>—</t>
        </is>
      </c>
      <c r="BJ50" s="145" t="n">
        <v>0.2</v>
      </c>
      <c r="BM50" s="145">
        <f>'FICHA PESSOAL'!$AE$59</f>
        <v/>
      </c>
      <c r="BN50" s="145">
        <f>ADDRESS(ROW('FICHA PESSOAL'!AE59),COLUMN('FICHA PESSOAL'!AE59),4)</f>
        <v/>
      </c>
      <c r="CY50" s="143" t="inlineStr">
        <is>
          <t>xp deste nível</t>
        </is>
      </c>
      <c r="CZ50" s="145">
        <f>IFERROR(VLOOKUP(DADOS!$CZ$48,DADOS!$AQ$5:$AR$33,2,FALSE),0)</f>
        <v/>
      </c>
    </row>
    <row r="51" ht="17.25" customHeight="1">
      <c r="A51" s="41" t="n"/>
      <c r="B51" s="41" t="n"/>
      <c r="C51" s="41" t="n"/>
      <c r="D51" s="41" t="n"/>
      <c r="E51" s="41" t="n"/>
      <c r="F51" s="14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43" t="inlineStr">
        <is>
          <t>marcos escolhidos</t>
        </is>
      </c>
      <c r="BB51" s="143">
        <f>ADDRESS(ROW(FICHA!AK40),COLUMN(FICHA!AK40),4)</f>
        <v/>
      </c>
      <c r="BD51" s="143" t="inlineStr">
        <is>
          <t>Submetralhadora</t>
        </is>
      </c>
      <c r="BE51" s="143" t="inlineStr">
        <is>
          <t>Arma de Fogo</t>
        </is>
      </c>
      <c r="BF51" s="145" t="n">
        <v>2</v>
      </c>
      <c r="BG51" s="143" t="inlineStr">
        <is>
          <t>2d6</t>
        </is>
      </c>
      <c r="BH51" s="143" t="inlineStr">
        <is>
          <t>Longo Alcance · Munição · Par · Oculta</t>
        </is>
      </c>
      <c r="BI51" s="143" t="inlineStr">
        <is>
          <t>—</t>
        </is>
      </c>
      <c r="BJ51" s="145" t="n">
        <v>2</v>
      </c>
      <c r="BK51" s="143" t="inlineStr">
        <is>
          <t>15 m, longa 45 m</t>
        </is>
      </c>
      <c r="BL51" s="145" t="n">
        <v>3</v>
      </c>
      <c r="BM51" s="145">
        <f>'FICHA PESSOAL'!$M$55</f>
        <v/>
      </c>
      <c r="BN51" s="145">
        <f>ADDRESS(ROW('FICHA PESSOAL'!M55),COLUMN('FICHA PESSOAL'!M55),4)</f>
        <v/>
      </c>
      <c r="CY51" s="143" t="inlineStr">
        <is>
          <t>cor da barra cheia</t>
        </is>
      </c>
      <c r="CZ51" s="145" t="inlineStr">
        <is>
          <t>#E8DCD4</t>
        </is>
      </c>
    </row>
    <row r="52" ht="17.25" customHeight="1">
      <c r="A52" s="41" t="n"/>
      <c r="B52" s="41" t="n"/>
      <c r="C52" s="41" t="n"/>
      <c r="D52" s="41" t="n"/>
      <c r="E52" s="41" t="n"/>
      <c r="F52" s="14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43" t="inlineStr">
        <is>
          <t>buff de defesa</t>
        </is>
      </c>
      <c r="BB52" s="143">
        <f>ADDRESS(ROW(FICHA!L43),COLUMN(FICHA!L43),4)</f>
        <v/>
      </c>
      <c r="BD52" s="143" t="inlineStr">
        <is>
          <t>Taco</t>
        </is>
      </c>
      <c r="BE52" s="143" t="inlineStr">
        <is>
          <t>Massa</t>
        </is>
      </c>
      <c r="BF52" s="145" t="n">
        <v>1</v>
      </c>
      <c r="BG52" s="143" t="inlineStr">
        <is>
          <t>1d8</t>
        </is>
      </c>
      <c r="BH52" s="143" t="inlineStr">
        <is>
          <t>Versátil · Discreta</t>
        </is>
      </c>
      <c r="BI52" s="143" t="inlineStr">
        <is>
          <t>—</t>
        </is>
      </c>
      <c r="BJ52" s="145" t="n">
        <v>1</v>
      </c>
      <c r="BM52" s="145">
        <f>'FICHA PESSOAL'!$AM$53</f>
        <v/>
      </c>
      <c r="BN52" s="145">
        <f>ADDRESS(ROW('FICHA PESSOAL'!AM53),COLUMN('FICHA PESSOAL'!AM53),4)</f>
        <v/>
      </c>
    </row>
    <row r="53" ht="17.25" customHeight="1">
      <c r="A53" s="41" t="n"/>
      <c r="B53" s="41" t="n"/>
      <c r="C53" s="41" t="n"/>
      <c r="D53" s="41" t="n"/>
      <c r="E53" s="41" t="n"/>
      <c r="F53" s="14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43" t="inlineStr">
        <is>
          <t>buff de iniciativa</t>
        </is>
      </c>
      <c r="BB53" s="143">
        <f>ADDRESS(ROW(FICHA!AS43),COLUMN(FICHA!AS43),4)</f>
        <v/>
      </c>
      <c r="BD53" s="143" t="inlineStr">
        <is>
          <t>Tanto</t>
        </is>
      </c>
      <c r="BE53" s="143" t="inlineStr">
        <is>
          <t>Lâmina Curta</t>
        </is>
      </c>
      <c r="BF53" s="145" t="n">
        <v>1</v>
      </c>
      <c r="BG53" s="143" t="inlineStr">
        <is>
          <t>1d6</t>
        </is>
      </c>
      <c r="BH53" s="143" t="inlineStr">
        <is>
          <t>Fineza · Oculta · Leve</t>
        </is>
      </c>
      <c r="BI53" s="143" t="inlineStr">
        <is>
          <t>—</t>
        </is>
      </c>
      <c r="BJ53" s="145" t="n">
        <v>0.3</v>
      </c>
      <c r="BM53" s="145">
        <f>'FICHA PESSOAL'!$AE$53</f>
        <v/>
      </c>
      <c r="BN53" s="145">
        <f>ADDRESS(ROW('FICHA PESSOAL'!AE53),COLUMN('FICHA PESSOAL'!AE53),4)</f>
        <v/>
      </c>
    </row>
    <row r="54" ht="17.25" customHeight="1">
      <c r="A54" s="41" t="n"/>
      <c r="B54" s="41" t="n"/>
      <c r="C54" s="41" t="n"/>
      <c r="D54" s="41" t="n"/>
      <c r="E54" s="41" t="n"/>
      <c r="F54" s="14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43" t="inlineStr">
        <is>
          <t>buff de cd de feitiço</t>
        </is>
      </c>
      <c r="BB54" s="143">
        <f>ADDRESS(ROW(FICHA!L47),COLUMN(FICHA!L47),4)</f>
        <v/>
      </c>
      <c r="BD54" s="143" t="inlineStr">
        <is>
          <t>Tekko</t>
        </is>
      </c>
      <c r="BE54" s="143" t="inlineStr">
        <is>
          <t>Manopla</t>
        </is>
      </c>
      <c r="BF54" s="145" t="n">
        <v>1</v>
      </c>
      <c r="BG54" s="143" t="inlineStr">
        <is>
          <t>1d4</t>
        </is>
      </c>
      <c r="BH54" s="143" t="inlineStr">
        <is>
          <t>Vestida · Par · Oculta · Leve</t>
        </is>
      </c>
      <c r="BI54" s="143" t="inlineStr">
        <is>
          <t>—</t>
        </is>
      </c>
      <c r="BJ54" s="145" t="n">
        <v>0.2</v>
      </c>
      <c r="BM54" s="145">
        <f>'FICHA PESSOAL'!$AE$60</f>
        <v/>
      </c>
      <c r="BN54" s="145">
        <f>ADDRESS(ROW('FICHA PESSOAL'!AE60),COLUMN('FICHA PESSOAL'!AE60),4)</f>
        <v/>
      </c>
    </row>
    <row r="55" ht="17.25" customHeight="1">
      <c r="A55" s="41" t="n"/>
      <c r="B55" s="41" t="n"/>
      <c r="C55" s="41" t="n"/>
      <c r="D55" s="41" t="n"/>
      <c r="E55" s="41" t="n"/>
      <c r="F55" s="14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43" t="inlineStr">
        <is>
          <t>buff de conjuração</t>
        </is>
      </c>
      <c r="BB55" s="143">
        <f>ADDRESS(ROW(FICHA!W47),COLUMN(FICHA!W47),4)</f>
        <v/>
      </c>
      <c r="BD55" s="143" t="inlineStr">
        <is>
          <t>Tessen</t>
        </is>
      </c>
      <c r="BE55" s="143" t="inlineStr">
        <is>
          <t>Arremesso</t>
        </is>
      </c>
      <c r="BF55" s="145" t="n">
        <v>1</v>
      </c>
      <c r="BG55" s="143" t="inlineStr">
        <is>
          <t>1d4</t>
        </is>
      </c>
      <c r="BH55" s="143" t="inlineStr">
        <is>
          <t>Longo Alcance · Oculta · Vestida · Leve</t>
        </is>
      </c>
      <c r="BI55" s="143" t="inlineStr">
        <is>
          <t>—</t>
        </is>
      </c>
      <c r="BJ55" s="145" t="n">
        <v>0.3</v>
      </c>
      <c r="BK55" s="143" t="inlineStr">
        <is>
          <t>6 m, longa 18 m</t>
        </is>
      </c>
      <c r="BM55" s="145">
        <f>'FICHA PESSOAL'!$M$60</f>
        <v/>
      </c>
      <c r="BN55" s="145">
        <f>ADDRESS(ROW('FICHA PESSOAL'!M60),COLUMN('FICHA PESSOAL'!M60),4)</f>
        <v/>
      </c>
    </row>
    <row r="56" ht="17.25" customHeight="1">
      <c r="A56" s="41" t="n"/>
      <c r="B56" s="41" t="n"/>
      <c r="C56" s="41" t="n"/>
      <c r="D56" s="41" t="n"/>
      <c r="E56" s="41" t="n"/>
      <c r="F56" s="14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43" t="inlineStr">
        <is>
          <t>buff de corpo a corpo</t>
        </is>
      </c>
      <c r="BB56" s="143">
        <f>ADDRESS(ROW(FICHA!AH47),COLUMN(FICHA!AH47),4)</f>
        <v/>
      </c>
      <c r="BD56" s="143" t="inlineStr">
        <is>
          <t>Tonfa</t>
        </is>
      </c>
      <c r="BE56" s="143" t="inlineStr">
        <is>
          <t>Porrete</t>
        </is>
      </c>
      <c r="BF56" s="145" t="n">
        <v>1</v>
      </c>
      <c r="BG56" s="143" t="inlineStr">
        <is>
          <t>1d6</t>
        </is>
      </c>
      <c r="BH56" s="143" t="inlineStr">
        <is>
          <t>Par · Vestida · Leve</t>
        </is>
      </c>
      <c r="BI56" s="143" t="inlineStr">
        <is>
          <t>—</t>
        </is>
      </c>
      <c r="BJ56" s="145" t="n">
        <v>0.5</v>
      </c>
      <c r="BM56" s="145">
        <f>'FICHA PESSOAL'!$V$53</f>
        <v/>
      </c>
      <c r="BN56" s="145">
        <f>ADDRESS(ROW('FICHA PESSOAL'!V53),COLUMN('FICHA PESSOAL'!V53),4)</f>
        <v/>
      </c>
    </row>
    <row r="57" ht="17.25" customHeight="1">
      <c r="A57" s="41" t="n"/>
      <c r="B57" s="41" t="n"/>
      <c r="C57" s="41" t="n"/>
      <c r="D57" s="41" t="n"/>
      <c r="E57" s="41" t="n"/>
      <c r="F57" s="14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43" t="inlineStr">
        <is>
          <t>buff de à distância</t>
        </is>
      </c>
      <c r="BB57" s="143">
        <f>ADDRESS(ROW(FICHA!AS47),COLUMN(FICHA!AS47),4)</f>
        <v/>
      </c>
      <c r="BD57" s="143" t="inlineStr">
        <is>
          <t>Torre</t>
        </is>
      </c>
      <c r="BE57" s="143" t="inlineStr">
        <is>
          <t>Escudo</t>
        </is>
      </c>
      <c r="BF57" s="145" t="n">
        <v>1</v>
      </c>
      <c r="BG57" s="143" t="inlineStr">
        <is>
          <t>—</t>
        </is>
      </c>
      <c r="BH57" s="143" t="inlineStr">
        <is>
          <t>Proteção +3 · teto de Destreza 1</t>
        </is>
      </c>
      <c r="BI57" s="145" t="n">
        <v>5</v>
      </c>
      <c r="BJ57" s="145" t="n">
        <v>2</v>
      </c>
      <c r="BM57" s="145">
        <f>TRUE</f>
        <v/>
      </c>
    </row>
    <row r="58" ht="17.25" customHeight="1">
      <c r="A58" s="41" t="n"/>
      <c r="B58" s="41" t="n"/>
      <c r="C58" s="41" t="n"/>
      <c r="D58" s="41" t="n"/>
      <c r="E58" s="41" t="n"/>
      <c r="F58" s="14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43" t="inlineStr">
        <is>
          <t>buff de deslocamento</t>
        </is>
      </c>
      <c r="BB58" s="143">
        <f>ADDRESS(ROW(FICHA!W51),COLUMN(FICHA!W51),4)</f>
        <v/>
      </c>
      <c r="BD58" s="143" t="inlineStr">
        <is>
          <t>Wakizashi</t>
        </is>
      </c>
      <c r="BE58" s="143" t="inlineStr">
        <is>
          <t>Lâmina Longa</t>
        </is>
      </c>
      <c r="BF58" s="145" t="n">
        <v>1</v>
      </c>
      <c r="BG58" s="143" t="inlineStr">
        <is>
          <t>1d8</t>
        </is>
      </c>
      <c r="BH58" s="143" t="inlineStr">
        <is>
          <t>Oculta · Leve</t>
        </is>
      </c>
      <c r="BI58" s="143" t="inlineStr">
        <is>
          <t>—</t>
        </is>
      </c>
      <c r="BJ58" s="145" t="n">
        <v>0.5</v>
      </c>
      <c r="BM58" s="145">
        <f>'FICHA PESSOAL'!$D$56</f>
        <v/>
      </c>
      <c r="BN58" s="145">
        <f>ADDRESS(ROW('FICHA PESSOAL'!D56),COLUMN('FICHA PESSOAL'!D56),4)</f>
        <v/>
      </c>
    </row>
    <row r="59" ht="17.25" customHeight="1">
      <c r="A59" s="41" t="n"/>
      <c r="B59" s="41" t="n"/>
      <c r="C59" s="41" t="n"/>
      <c r="D59" s="41" t="n"/>
      <c r="E59" s="41" t="n"/>
      <c r="F59" s="14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43" t="inlineStr">
        <is>
          <t>corpo_Força</t>
        </is>
      </c>
      <c r="BB59" s="143">
        <f>ADDRESS(ROW(FICHA!AK15),COLUMN(FICHA!AK15),4)</f>
        <v/>
      </c>
      <c r="BD59" s="143" t="inlineStr">
        <is>
          <t>Yari</t>
        </is>
      </c>
      <c r="BE59" s="143" t="inlineStr">
        <is>
          <t>Armas Longas</t>
        </is>
      </c>
      <c r="BF59" s="145" t="n">
        <v>2</v>
      </c>
      <c r="BG59" s="143" t="inlineStr">
        <is>
          <t>1d10</t>
        </is>
      </c>
      <c r="BH59" s="143" t="inlineStr">
        <is>
          <t>Alcance · Talha</t>
        </is>
      </c>
      <c r="BI59" s="145" t="n">
        <v>3</v>
      </c>
      <c r="BJ59" s="145" t="n">
        <v>2</v>
      </c>
      <c r="BM59" s="145">
        <f>'FICHA PESSOAL'!$AM$57</f>
        <v/>
      </c>
      <c r="BN59" s="145">
        <f>ADDRESS(ROW('FICHA PESSOAL'!AM57),COLUMN('FICHA PESSOAL'!AM57),4)</f>
        <v/>
      </c>
    </row>
    <row r="60" ht="17.25" customHeight="1">
      <c r="A60" s="41" t="n"/>
      <c r="B60" s="41" t="n"/>
      <c r="C60" s="41" t="n"/>
      <c r="D60" s="41" t="n"/>
      <c r="E60" s="41" t="n"/>
      <c r="F60" s="14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43" t="inlineStr">
        <is>
          <t>corpo_Destreza</t>
        </is>
      </c>
      <c r="BB60" s="143">
        <f>ADDRESS(ROW(FICHA!AM15),COLUMN(FICHA!AM15),4)</f>
        <v/>
      </c>
    </row>
    <row r="61" ht="17.25" customHeight="1">
      <c r="A61" s="41" t="n"/>
      <c r="B61" s="41" t="n"/>
      <c r="C61" s="41" t="n"/>
      <c r="D61" s="41" t="n"/>
      <c r="E61" s="41" t="n"/>
      <c r="F61" s="14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43" t="inlineStr">
        <is>
          <t>corpo_Constituição</t>
        </is>
      </c>
      <c r="BB61" s="143">
        <f>ADDRESS(ROW(FICHA!AO15),COLUMN(FICHA!AO15),4)</f>
        <v/>
      </c>
    </row>
    <row r="62" ht="17.25" customHeight="1">
      <c r="A62" s="41" t="n"/>
      <c r="B62" s="41" t="n"/>
      <c r="C62" s="41" t="n"/>
      <c r="D62" s="41" t="n"/>
      <c r="E62" s="41" t="n"/>
      <c r="F62" s="14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43" t="inlineStr">
        <is>
          <t>corpo_Inteligência</t>
        </is>
      </c>
      <c r="BB62" s="143">
        <f>ADDRESS(ROW(FICHA!AQ15),COLUMN(FICHA!AQ15),4)</f>
        <v/>
      </c>
    </row>
    <row r="63" ht="17.25" customHeight="1">
      <c r="A63" s="41" t="n"/>
      <c r="B63" s="41" t="n"/>
      <c r="C63" s="41" t="n"/>
      <c r="D63" s="41" t="n"/>
      <c r="E63" s="41" t="n"/>
      <c r="F63" s="14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43" t="inlineStr">
        <is>
          <t>corpo_Essência</t>
        </is>
      </c>
      <c r="BB63" s="143">
        <f>ADDRESS(ROW(FICHA!AS15),COLUMN(FICHA!AS15),4)</f>
        <v/>
      </c>
    </row>
    <row r="64" ht="17.25" customHeight="1">
      <c r="A64" s="41" t="n"/>
      <c r="B64" s="41" t="n"/>
      <c r="C64" s="41" t="n"/>
      <c r="D64" s="41" t="n"/>
      <c r="E64" s="41" t="n"/>
      <c r="F64" s="14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43" t="inlineStr">
        <is>
          <t>pontos de corpo</t>
        </is>
      </c>
      <c r="BB64" s="143">
        <f>ADDRESS(ROW(FICHA!AK14),COLUMN(FICHA!AK14),4)</f>
        <v/>
      </c>
    </row>
    <row r="65" ht="17.25" customHeight="1">
      <c r="A65" s="41" t="n"/>
      <c r="B65" s="41" t="n"/>
      <c r="C65" s="41" t="n"/>
      <c r="D65" s="41" t="n"/>
      <c r="E65" s="41" t="n"/>
      <c r="F65" s="14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43" t="inlineStr">
        <is>
          <t>pontos disponíveis</t>
        </is>
      </c>
      <c r="BB65" s="143">
        <f>ADDRESS(ROW(FICHA!Z15),COLUMN(FICHA!Z15),4)</f>
        <v/>
      </c>
    </row>
    <row r="66" ht="17.25" customHeight="1">
      <c r="A66" s="41" t="n"/>
      <c r="B66" s="41" t="n"/>
      <c r="C66" s="41" t="n"/>
      <c r="D66" s="41" t="n"/>
      <c r="E66" s="41" t="n"/>
      <c r="F66" s="14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43" t="inlineStr">
        <is>
          <t>perícias disponíveis</t>
        </is>
      </c>
      <c r="BB66" s="143">
        <f>ADDRESS(ROW(FICHA!AK73),COLUMN(FICHA!AK73),4)</f>
        <v/>
      </c>
    </row>
    <row r="67" ht="17.25" customHeight="1">
      <c r="A67" s="41" t="n"/>
      <c r="B67" s="41" t="n"/>
      <c r="C67" s="41" t="n"/>
      <c r="D67" s="41" t="n"/>
      <c r="E67" s="41" t="n"/>
      <c r="F67" s="14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43" t="inlineStr">
        <is>
          <t>ofícios disponíveis</t>
        </is>
      </c>
      <c r="BB67" s="143">
        <f>ADDRESS(ROW(FICHA!AF85),COLUMN(FICHA!AF85),4)</f>
        <v/>
      </c>
    </row>
    <row r="68" ht="17.25" customHeight="1">
      <c r="A68" s="41" t="n"/>
      <c r="B68" s="41" t="n"/>
      <c r="C68" s="41" t="n"/>
      <c r="D68" s="41" t="n"/>
      <c r="E68" s="41" t="n"/>
      <c r="F68" s="14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43" t="inlineStr">
        <is>
          <t>testes disponíveis</t>
        </is>
      </c>
      <c r="BB68" s="143">
        <f>ADDRESS(ROW(FICHA!AN85),COLUMN(FICHA!AN85),4)</f>
        <v/>
      </c>
    </row>
    <row r="69" ht="17.25" customHeight="1">
      <c r="A69" s="41" t="n"/>
      <c r="B69" s="41" t="n"/>
      <c r="C69" s="41" t="n"/>
      <c r="D69" s="41" t="n"/>
      <c r="E69" s="41" t="n"/>
      <c r="F69" s="14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43" t="inlineStr">
        <is>
          <t>escolhas de perícia</t>
        </is>
      </c>
      <c r="BB69" s="143">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43" t="n"/>
      <c r="BB70" s="143"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43" t="n"/>
      <c r="BB71" s="143"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43" t="n"/>
      <c r="BB72" s="143"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43" t="n"/>
      <c r="BB73" s="143"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43" t="n"/>
      <c r="BB74" s="14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43" t="n"/>
      <c r="BB75" s="143" t="n"/>
    </row>
    <row r="76">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c r="AA76" s="143" t="n"/>
      <c r="AB76" s="143" t="n"/>
      <c r="AC76" s="143" t="n"/>
      <c r="AD76" s="143" t="n"/>
      <c r="AE76" s="143" t="n"/>
      <c r="AF76" s="143" t="n"/>
      <c r="AG76" s="143" t="n"/>
      <c r="AH76" s="143" t="n"/>
      <c r="AI76" s="143" t="n"/>
      <c r="AJ76" s="143" t="n"/>
      <c r="AK76" s="143" t="n"/>
      <c r="AL76" s="143" t="n"/>
      <c r="AM76" s="143" t="n"/>
      <c r="AN76" s="143" t="n"/>
      <c r="AO76" s="143" t="n"/>
      <c r="AP76" s="143" t="n"/>
      <c r="AQ76" s="143" t="n"/>
      <c r="AR76" s="143" t="n"/>
      <c r="AS76" s="143" t="n"/>
      <c r="AT76" s="143" t="n"/>
      <c r="AU76" s="143" t="n"/>
      <c r="AV76" s="143" t="n"/>
      <c r="AW76" s="143" t="n"/>
      <c r="AX76" s="143" t="n"/>
      <c r="AY76" s="143" t="n"/>
      <c r="AZ76" s="143" t="n"/>
      <c r="BA76" s="143" t="inlineStr">
        <is>
          <t>treinado em armas</t>
        </is>
      </c>
      <c r="BB76" s="143">
        <f>ADDRESS(ROW(FICHA!AK63),COLUMN(FICHA!AK63),4)</f>
        <v/>
      </c>
    </row>
    <row r="77">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c r="AA77" s="143" t="n"/>
      <c r="AB77" s="143" t="n"/>
      <c r="AC77" s="143" t="n"/>
      <c r="AD77" s="143" t="n"/>
      <c r="AE77" s="143" t="n"/>
      <c r="AF77" s="143" t="n"/>
      <c r="AG77" s="143" t="n"/>
      <c r="AH77" s="143" t="n"/>
      <c r="AI77" s="143" t="n"/>
      <c r="AJ77" s="143" t="n"/>
      <c r="AK77" s="143" t="n"/>
      <c r="AL77" s="143" t="n"/>
      <c r="AM77" s="143" t="n"/>
      <c r="AN77" s="143" t="n"/>
      <c r="AO77" s="143" t="n"/>
      <c r="AP77" s="143" t="n"/>
      <c r="AQ77" s="143" t="n"/>
      <c r="AR77" s="143" t="n"/>
      <c r="AS77" s="143" t="n"/>
      <c r="AT77" s="143" t="n"/>
      <c r="AU77" s="143" t="n"/>
      <c r="AV77" s="143" t="n"/>
      <c r="AW77" s="143" t="n"/>
      <c r="AX77" s="143" t="n"/>
      <c r="AY77" s="143" t="n"/>
      <c r="AZ77" s="143" t="n"/>
      <c r="BA77" s="143" t="inlineStr">
        <is>
          <t>trocou por arma</t>
        </is>
      </c>
      <c r="BB77" s="143">
        <f>ADDRESS(ROW(FICHA!AK65),COLUMN(FICHA!AK65),4)</f>
        <v/>
      </c>
    </row>
    <row r="78">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c r="AA78" s="143" t="n"/>
      <c r="AB78" s="143" t="n"/>
      <c r="AC78" s="143" t="n"/>
      <c r="AD78" s="143" t="n"/>
      <c r="AE78" s="143" t="n"/>
      <c r="AF78" s="143" t="n"/>
      <c r="AG78" s="143" t="n"/>
      <c r="AH78" s="143" t="n"/>
      <c r="AI78" s="143" t="n"/>
      <c r="AJ78" s="143" t="n"/>
      <c r="AK78" s="143" t="n"/>
      <c r="AL78" s="143" t="n"/>
      <c r="AM78" s="143" t="n"/>
      <c r="AN78" s="143" t="n"/>
      <c r="AO78" s="143" t="n"/>
      <c r="AP78" s="143" t="n"/>
      <c r="AQ78" s="143" t="n"/>
      <c r="AR78" s="143" t="n"/>
      <c r="AS78" s="143" t="n"/>
      <c r="AT78" s="143" t="n"/>
      <c r="AU78" s="143" t="n"/>
      <c r="AV78" s="143" t="n"/>
      <c r="AW78" s="143" t="n"/>
      <c r="AX78" s="143" t="n"/>
      <c r="AY78" s="143" t="n"/>
      <c r="AZ78" s="143" t="n"/>
      <c r="BA78" s="143" t="inlineStr">
        <is>
          <t>grupo de arma da trilha</t>
        </is>
      </c>
      <c r="BB78" s="143">
        <f>ADDRESS(ROW(FICHA!AK69),COLUMN(FICHA!AK69),4)</f>
        <v/>
      </c>
    </row>
    <row r="79">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c r="AA79" s="143" t="n"/>
      <c r="AB79" s="143" t="n"/>
      <c r="AC79" s="143" t="n"/>
      <c r="AD79" s="143" t="n"/>
      <c r="AE79" s="143" t="n"/>
      <c r="AF79" s="143" t="n"/>
      <c r="AG79" s="143" t="n"/>
      <c r="AH79" s="143" t="n"/>
      <c r="AI79" s="143" t="n"/>
      <c r="AJ79" s="143" t="n"/>
      <c r="AK79" s="143" t="n"/>
      <c r="AL79" s="143" t="n"/>
      <c r="AM79" s="143" t="n"/>
      <c r="AN79" s="143" t="n"/>
      <c r="AO79" s="143" t="n"/>
      <c r="AP79" s="143" t="n"/>
      <c r="AQ79" s="143" t="n"/>
      <c r="AR79" s="143" t="n"/>
      <c r="AS79" s="143" t="n"/>
      <c r="AT79" s="143" t="n"/>
      <c r="AU79" s="143" t="n"/>
      <c r="AV79" s="143" t="n"/>
      <c r="AW79" s="143" t="n"/>
      <c r="AX79" s="143" t="n"/>
      <c r="AY79" s="143" t="n"/>
      <c r="AZ79" s="143" t="n"/>
      <c r="BA79" s="143" t="n"/>
      <c r="BB79" s="14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R86"/>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4" t="inlineStr">
        <is>
          <t>rota da ficha</t>
        </is>
      </c>
      <c r="C1" s="144" t="inlineStr">
        <is>
          <t>rótulo da rota</t>
        </is>
      </c>
      <c r="D1" s="144" t="inlineStr">
        <is>
          <t>fundamento</t>
        </is>
      </c>
      <c r="E1" s="144" t="inlineStr">
        <is>
          <t>sem técnica</t>
        </is>
      </c>
      <c r="F1" s="144" t="inlineStr">
        <is>
          <t>técnica marcial com energia</t>
        </is>
      </c>
      <c r="G1" s="144" t="inlineStr">
        <is>
          <t>técnica marcial sem energia</t>
        </is>
      </c>
      <c r="I1" s="144" t="inlineStr">
        <is>
          <t>família da técnica</t>
        </is>
      </c>
      <c r="J1" s="144" t="inlineStr">
        <is>
          <t>estado da família</t>
        </is>
      </c>
      <c r="K1" s="144" t="inlineStr">
        <is>
          <t>família livre</t>
        </is>
      </c>
      <c r="L1" s="144" t="inlineStr">
        <is>
          <t>família fechada</t>
        </is>
      </c>
      <c r="N1" s="144" t="inlineStr">
        <is>
          <t>estado de família</t>
        </is>
      </c>
      <c r="P1" s="144" t="inlineStr">
        <is>
          <t>classe do feitiço</t>
        </is>
      </c>
      <c r="Q1" s="144" t="inlineStr">
        <is>
          <t>leve</t>
        </is>
      </c>
      <c r="R1" s="144" t="inlineStr">
        <is>
          <t>média</t>
        </is>
      </c>
      <c r="S1" s="144" t="inlineStr">
        <is>
          <t>pesada</t>
        </is>
      </c>
      <c r="T1" s="144" t="inlineStr">
        <is>
          <t>leve livre</t>
        </is>
      </c>
      <c r="U1" s="144" t="inlineStr">
        <is>
          <t>média livre</t>
        </is>
      </c>
      <c r="V1" s="144" t="inlineStr">
        <is>
          <t>pesada livre</t>
        </is>
      </c>
      <c r="W1" s="144" t="inlineStr">
        <is>
          <t>limite de melhorias</t>
        </is>
      </c>
      <c r="Y1" s="144" t="inlineStr">
        <is>
          <t>forma</t>
        </is>
      </c>
      <c r="Z1" s="144" t="inlineStr">
        <is>
          <t>família da forma</t>
        </is>
      </c>
      <c r="AA1" s="144" t="inlineStr">
        <is>
          <t>peso da forma</t>
        </is>
      </c>
      <c r="AB1" s="144" t="inlineStr">
        <is>
          <t>código de preço da forma</t>
        </is>
      </c>
      <c r="AC1" s="144" t="inlineStr">
        <is>
          <t>forma fechada</t>
        </is>
      </c>
      <c r="AD1" s="144" t="inlineStr">
        <is>
          <t>restrição embutida</t>
        </is>
      </c>
      <c r="AE1" s="144" t="inlineStr">
        <is>
          <t>tipo de dano</t>
        </is>
      </c>
      <c r="AF1" s="144" t="inlineStr">
        <is>
          <t>como resolve</t>
        </is>
      </c>
      <c r="AG1" s="144" t="inlineStr">
        <is>
          <t>resolve por teste</t>
        </is>
      </c>
      <c r="AH1" s="144" t="inlineStr">
        <is>
          <t>degrau da primeira parte</t>
        </is>
      </c>
      <c r="AI1" s="144" t="inlineStr">
        <is>
          <t>degrau da segunda parte</t>
        </is>
      </c>
      <c r="AJ1" s="144" t="inlineStr">
        <is>
          <t>mostra mais alvos</t>
        </is>
      </c>
      <c r="AK1" s="144" t="inlineStr">
        <is>
          <t>existe na classe 0</t>
        </is>
      </c>
      <c r="AL1" s="144" t="inlineStr">
        <is>
          <t>menu de forma</t>
        </is>
      </c>
      <c r="AM1" s="144" t="inlineStr">
        <is>
          <t>menu de forma da classe 0</t>
        </is>
      </c>
      <c r="AO1" s="144" t="inlineStr">
        <is>
          <t>alcance de</t>
        </is>
      </c>
      <c r="AP1" s="144" t="inlineStr">
        <is>
          <t>primeira parte +0</t>
        </is>
      </c>
      <c r="AQ1" s="144" t="inlineStr">
        <is>
          <t>primeira parte +1</t>
        </is>
      </c>
      <c r="AR1" s="144" t="inlineStr">
        <is>
          <t>primeira parte +2</t>
        </is>
      </c>
      <c r="AS1" s="144" t="inlineStr">
        <is>
          <t>primeira parte +3</t>
        </is>
      </c>
      <c r="AT1" s="144" t="inlineStr">
        <is>
          <t>primeira parte +4</t>
        </is>
      </c>
      <c r="AU1" s="144" t="inlineStr">
        <is>
          <t>primeira parte +5</t>
        </is>
      </c>
      <c r="AV1" s="144" t="inlineStr">
        <is>
          <t>segunda parte +0</t>
        </is>
      </c>
      <c r="AW1" s="144" t="inlineStr">
        <is>
          <t>segunda parte +1</t>
        </is>
      </c>
      <c r="AX1" s="144" t="inlineStr">
        <is>
          <t>segunda parte +2</t>
        </is>
      </c>
      <c r="AY1" s="144" t="inlineStr">
        <is>
          <t>segunda parte +3</t>
        </is>
      </c>
      <c r="AZ1" s="144" t="inlineStr">
        <is>
          <t>segunda parte +4</t>
        </is>
      </c>
      <c r="BA1" s="144" t="inlineStr">
        <is>
          <t>segunda parte +5</t>
        </is>
      </c>
      <c r="BC1" s="144" t="inlineStr">
        <is>
          <t>peça</t>
        </is>
      </c>
      <c r="BD1" s="144" t="inlineStr">
        <is>
          <t>família da peça</t>
        </is>
      </c>
      <c r="BE1" s="144" t="inlineStr">
        <is>
          <t>peso da peça</t>
        </is>
      </c>
      <c r="BF1" s="144" t="inlineStr">
        <is>
          <t>código de preço</t>
        </is>
      </c>
      <c r="BG1" s="144" t="inlineStr">
        <is>
          <t>peça fechada</t>
        </is>
      </c>
      <c r="BH1" s="144" t="inlineStr">
        <is>
          <t>peça de controle</t>
        </is>
      </c>
      <c r="BI1" s="144" t="inlineStr">
        <is>
          <t>menu de melhoria</t>
        </is>
      </c>
      <c r="BJ1" s="144" t="inlineStr">
        <is>
          <t>menu de melhoria leve</t>
        </is>
      </c>
      <c r="BL1" s="144" t="inlineStr">
        <is>
          <t>menu de restrição</t>
        </is>
      </c>
      <c r="BM1" s="144" t="inlineStr">
        <is>
          <t>restrição</t>
        </is>
      </c>
      <c r="BN1" s="144" t="inlineStr">
        <is>
          <t>o que devolve</t>
        </is>
      </c>
      <c r="BO1" s="144" t="inlineStr">
        <is>
          <t>é de frequência</t>
        </is>
      </c>
      <c r="BP1" s="144" t="inlineStr">
        <is>
          <t>menu de restrição leve</t>
        </is>
      </c>
      <c r="BR1" s="144" t="inlineStr">
        <is>
          <t>passiva</t>
        </is>
      </c>
      <c r="BS1" s="144" t="inlineStr">
        <is>
          <t>classe passiva</t>
        </is>
      </c>
      <c r="BT1" s="144" t="inlineStr">
        <is>
          <t>o que a passiva faz</t>
        </is>
      </c>
      <c r="BU1" s="144" t="inlineStr">
        <is>
          <t>do fundamento</t>
        </is>
      </c>
      <c r="BV1" s="144" t="inlineStr">
        <is>
          <t>da técnica marcial</t>
        </is>
      </c>
      <c r="BW1" s="144" t="inlineStr">
        <is>
          <t>menu de passiva</t>
        </is>
      </c>
      <c r="BX1" s="144" t="inlineStr">
        <is>
          <t>resumo da passiva</t>
        </is>
      </c>
      <c r="BZ1" s="144" t="inlineStr">
        <is>
          <t>classe passiva liberada</t>
        </is>
      </c>
      <c r="CA1" s="144" t="inlineStr">
        <is>
          <t>libera no nível</t>
        </is>
      </c>
      <c r="CC1" s="144" t="inlineStr">
        <is>
          <t>aptidão</t>
        </is>
      </c>
      <c r="CD1" s="144" t="inlineStr">
        <is>
          <t>requisito da aptidão</t>
        </is>
      </c>
      <c r="CE1" s="144" t="inlineStr">
        <is>
          <t>classe passiva da aptidão</t>
        </is>
      </c>
      <c r="CF1" s="144" t="inlineStr">
        <is>
          <t>o que o refino escala</t>
        </is>
      </c>
      <c r="CG1" s="144" t="inlineStr">
        <is>
          <t>o que a aptidão faz</t>
        </is>
      </c>
      <c r="CH1" s="144" t="inlineStr">
        <is>
          <t>menu de aptidão</t>
        </is>
      </c>
      <c r="CI1" s="144" t="inlineStr">
        <is>
          <t>é bênção</t>
        </is>
      </c>
      <c r="CJ1" s="144" t="inlineStr">
        <is>
          <t>é a extensão de domínio</t>
        </is>
      </c>
      <c r="CK1" s="144" t="inlineStr">
        <is>
          <t>de graça</t>
        </is>
      </c>
      <c r="CL1" s="144" t="inlineStr">
        <is>
          <t>resumo da aptidão</t>
        </is>
      </c>
      <c r="CN1" s="144" t="inlineStr">
        <is>
          <t>semente</t>
        </is>
      </c>
      <c r="CP1" s="144" t="inlineStr">
        <is>
          <t>equipamento</t>
        </is>
      </c>
      <c r="CR1" s="144" t="inlineStr">
        <is>
          <t>menu da peça da rota</t>
        </is>
      </c>
      <c r="CT1" s="144" t="inlineStr">
        <is>
          <t>grupo de arma</t>
        </is>
      </c>
      <c r="CU1" s="144" t="inlineStr">
        <is>
          <t>acerta com força</t>
        </is>
      </c>
      <c r="CV1" s="144" t="inlineStr">
        <is>
          <t>acerta com destreza</t>
        </is>
      </c>
      <c r="CW1" s="144" t="inlineStr">
        <is>
          <t>menu de grupo</t>
        </is>
      </c>
      <c r="CY1" s="144" t="inlineStr">
        <is>
          <t>nível da classe 0</t>
        </is>
      </c>
      <c r="CZ1" s="144" t="inlineStr">
        <is>
          <t>quantos de classe 0</t>
        </is>
      </c>
      <c r="DA1" s="144" t="inlineStr">
        <is>
          <t>dados da classe 0</t>
        </is>
      </c>
      <c r="DC1" s="144" t="inlineStr">
        <is>
          <t>nível da liberação</t>
        </is>
      </c>
      <c r="DE1" s="144" t="inlineStr">
        <is>
          <t>classe da liberação</t>
        </is>
      </c>
      <c r="DG1" s="144" t="inlineStr">
        <is>
          <t>nível da técnica máxima</t>
        </is>
      </c>
      <c r="DH1" s="144" t="inlineStr">
        <is>
          <t>dados da técnica máxima</t>
        </is>
      </c>
      <c r="DI1" s="144" t="inlineStr">
        <is>
          <t>pontos de montagem</t>
        </is>
      </c>
      <c r="DK1" s="144" t="inlineStr">
        <is>
          <t>degrau do domínio</t>
        </is>
      </c>
      <c r="DL1" s="144" t="inlineStr">
        <is>
          <t>espaços do degrau</t>
        </is>
      </c>
      <c r="DM1" s="144" t="inlineStr">
        <is>
          <t>nível do degrau</t>
        </is>
      </c>
      <c r="DN1" s="144" t="inlineStr">
        <is>
          <t>refino do degrau</t>
        </is>
      </c>
      <c r="DO1" s="144" t="inlineStr">
        <is>
          <t>o degrau abre em</t>
        </is>
      </c>
      <c r="DQ1" s="144" t="inlineStr">
        <is>
          <t>forma do pacto</t>
        </is>
      </c>
      <c r="DR1" s="144" t="inlineStr">
        <is>
          <t>quando se fecha</t>
        </is>
      </c>
      <c r="DT1" s="144" t="inlineStr">
        <is>
          <t>o pacto concede</t>
        </is>
      </c>
      <c r="DV1" s="144" t="inlineStr">
        <is>
          <t>conta de feitiço</t>
        </is>
      </c>
      <c r="DW1" s="144" t="inlineStr">
        <is>
          <t>liberação</t>
        </is>
      </c>
      <c r="DX1" s="144" t="inlineStr">
        <is>
          <t>vaga</t>
        </is>
      </c>
      <c r="DY1" s="144" t="inlineStr">
        <is>
          <t>classe</t>
        </is>
      </c>
      <c r="DZ1" s="144" t="inlineStr">
        <is>
          <t>nome</t>
        </is>
      </c>
      <c r="EA1" s="144" t="inlineStr">
        <is>
          <t>forma</t>
        </is>
      </c>
      <c r="EB1" s="144" t="inlineStr">
        <is>
          <t>m1</t>
        </is>
      </c>
      <c r="EC1" s="144" t="inlineStr">
        <is>
          <t>m2</t>
        </is>
      </c>
      <c r="ED1" s="144" t="inlineStr">
        <is>
          <t>m3</t>
        </is>
      </c>
      <c r="EE1" s="144" t="inlineStr">
        <is>
          <t>m4</t>
        </is>
      </c>
      <c r="EF1" s="144" t="inlineStr">
        <is>
          <t>r1</t>
        </is>
      </c>
      <c r="EG1" s="144" t="inlineStr">
        <is>
          <t>r2</t>
        </is>
      </c>
      <c r="EH1" s="144" t="inlineStr">
        <is>
          <t>tem</t>
        </is>
      </c>
      <c r="EI1" s="144" t="inlineStr">
        <is>
          <t>lf</t>
        </is>
      </c>
      <c r="EJ1" s="144" t="inlineStr">
        <is>
          <t>k0</t>
        </is>
      </c>
      <c r="EK1" s="144" t="inlineStr">
        <is>
          <t>k1</t>
        </is>
      </c>
      <c r="EL1" s="144" t="inlineStr">
        <is>
          <t>k2</t>
        </is>
      </c>
      <c r="EM1" s="144" t="inlineStr">
        <is>
          <t>k3</t>
        </is>
      </c>
      <c r="EN1" s="144" t="inlineStr">
        <is>
          <t>k4</t>
        </is>
      </c>
      <c r="EO1" s="144" t="inlineStr">
        <is>
          <t>x0</t>
        </is>
      </c>
      <c r="EP1" s="144" t="inlineStr">
        <is>
          <t>x1</t>
        </is>
      </c>
      <c r="EQ1" s="144" t="inlineStr">
        <is>
          <t>x2</t>
        </is>
      </c>
      <c r="ER1" s="144" t="inlineStr">
        <is>
          <t>x3</t>
        </is>
      </c>
      <c r="ES1" s="144" t="inlineStr">
        <is>
          <t>x4</t>
        </is>
      </c>
      <c r="ET1" s="144" t="inlineStr">
        <is>
          <t>ct</t>
        </is>
      </c>
      <c r="EU1" s="144" t="inlineStr">
        <is>
          <t>emb</t>
        </is>
      </c>
      <c r="EV1" s="144" t="inlineStr">
        <is>
          <t>tp</t>
        </is>
      </c>
      <c r="EW1" s="144" t="inlineStr">
        <is>
          <t>tr</t>
        </is>
      </c>
      <c r="EX1" s="144" t="inlineStr">
        <is>
          <t>c1</t>
        </is>
      </c>
      <c r="EY1" s="144" t="inlineStr">
        <is>
          <t>c2</t>
        </is>
      </c>
      <c r="EZ1" s="144" t="inlineStr">
        <is>
          <t>b1</t>
        </is>
      </c>
      <c r="FA1" s="144" t="inlineStr">
        <is>
          <t>b2</t>
        </is>
      </c>
      <c r="FB1" s="144" t="inlineStr">
        <is>
          <t>n1</t>
        </is>
      </c>
      <c r="FC1" s="144" t="inlineStr">
        <is>
          <t>n2</t>
        </is>
      </c>
      <c r="FD1" s="144" t="inlineStr">
        <is>
          <t>n3</t>
        </is>
      </c>
      <c r="FE1" s="144" t="inlineStr">
        <is>
          <t>n4</t>
        </is>
      </c>
      <c r="FF1" s="144" t="inlineStr">
        <is>
          <t>n5</t>
        </is>
      </c>
      <c r="FG1" s="144" t="inlineStr">
        <is>
          <t>n6</t>
        </is>
      </c>
      <c r="FH1" s="144" t="inlineStr">
        <is>
          <t>dL</t>
        </is>
      </c>
      <c r="FI1" s="144" t="inlineStr">
        <is>
          <t>dM</t>
        </is>
      </c>
      <c r="FJ1" s="144" t="inlineStr">
        <is>
          <t>nm</t>
        </is>
      </c>
      <c r="FK1" s="144" t="inlineStr">
        <is>
          <t>nr</t>
        </is>
      </c>
      <c r="FL1" s="144" t="inlineStr">
        <is>
          <t>g</t>
        </is>
      </c>
      <c r="FM1" s="144" t="inlineStr">
        <is>
          <t>dv0</t>
        </is>
      </c>
      <c r="FN1" s="144" t="inlineStr">
        <is>
          <t>dv</t>
        </is>
      </c>
      <c r="FO1" s="144" t="inlineStr">
        <is>
          <t>usa</t>
        </is>
      </c>
      <c r="FP1" s="144" t="inlineStr">
        <is>
          <t>perde</t>
        </is>
      </c>
      <c r="FQ1" s="144" t="inlineStr">
        <is>
          <t>s</t>
        </is>
      </c>
      <c r="FR1" s="144" t="inlineStr">
        <is>
          <t>d</t>
        </is>
      </c>
      <c r="FS1" s="144" t="inlineStr">
        <is>
          <t>dep</t>
        </is>
      </c>
      <c r="FT1" s="144" t="inlineStr">
        <is>
          <t>d1</t>
        </is>
      </c>
      <c r="FU1" s="144" t="inlineStr">
        <is>
          <t>d2</t>
        </is>
      </c>
      <c r="FV1" s="144" t="inlineStr">
        <is>
          <t>d3</t>
        </is>
      </c>
      <c r="FW1" s="144" t="inlineStr">
        <is>
          <t>d4</t>
        </is>
      </c>
      <c r="FX1" s="144" t="inlineStr">
        <is>
          <t>d5</t>
        </is>
      </c>
      <c r="FY1" s="144" t="inlineStr">
        <is>
          <t>d6</t>
        </is>
      </c>
      <c r="FZ1" s="144" t="inlineStr">
        <is>
          <t>d7</t>
        </is>
      </c>
      <c r="GA1" s="144" t="inlineStr">
        <is>
          <t>t1</t>
        </is>
      </c>
      <c r="GB1" s="144" t="inlineStr">
        <is>
          <t>t2</t>
        </is>
      </c>
      <c r="GC1" s="144" t="inlineStr">
        <is>
          <t>t3</t>
        </is>
      </c>
      <c r="GD1" s="144" t="inlineStr">
        <is>
          <t>t4</t>
        </is>
      </c>
      <c r="GE1" s="144" t="inlineStr">
        <is>
          <t>t5</t>
        </is>
      </c>
      <c r="GF1" s="144" t="inlineStr">
        <is>
          <t>t6</t>
        </is>
      </c>
      <c r="GG1" s="144" t="inlineStr">
        <is>
          <t>t7</t>
        </is>
      </c>
      <c r="GH1" s="144" t="inlineStr">
        <is>
          <t>erros</t>
        </is>
      </c>
      <c r="GI1" s="144" t="inlineStr">
        <is>
          <t>ne</t>
        </is>
      </c>
      <c r="GJ1" s="144" t="inlineStr">
        <is>
          <t>avisos</t>
        </is>
      </c>
      <c r="GK1" s="144" t="inlineStr">
        <is>
          <t>na</t>
        </is>
      </c>
      <c r="GL1" s="144" t="inlineStr">
        <is>
          <t>estado</t>
        </is>
      </c>
      <c r="GM1" s="144" t="inlineStr">
        <is>
          <t>linha</t>
        </is>
      </c>
      <c r="GN1" s="144" t="inlineStr">
        <is>
          <t>pe</t>
        </is>
      </c>
      <c r="GO1" s="144" t="inlineStr">
        <is>
          <t>acao</t>
        </is>
      </c>
      <c r="GP1" s="144" t="inlineStr">
        <is>
          <t>resolve</t>
        </is>
      </c>
      <c r="GQ1" s="144" t="inlineStr">
        <is>
          <t>dano</t>
        </is>
      </c>
      <c r="GR1" s="144" t="inlineStr">
        <is>
          <t>lg</t>
        </is>
      </c>
      <c r="GS1" s="144" t="inlineStr">
        <is>
          <t>mr</t>
        </is>
      </c>
      <c r="GT1" s="144" t="inlineStr">
        <is>
          <t>q1</t>
        </is>
      </c>
      <c r="GU1" s="144" t="inlineStr">
        <is>
          <t>q2</t>
        </is>
      </c>
      <c r="GV1" s="144" t="inlineStr">
        <is>
          <t>alcance</t>
        </is>
      </c>
      <c r="GW1" s="144" t="inlineStr">
        <is>
          <t>conta</t>
        </is>
      </c>
      <c r="GX1" s="144" t="inlineStr">
        <is>
          <t>ampliar</t>
        </is>
      </c>
      <c r="GY1" s="144" t="inlineStr">
        <is>
          <t>pt1</t>
        </is>
      </c>
      <c r="GZ1" s="144" t="inlineStr">
        <is>
          <t>pt2</t>
        </is>
      </c>
      <c r="HA1" s="144" t="inlineStr">
        <is>
          <t>pt3</t>
        </is>
      </c>
      <c r="HB1" s="144" t="inlineStr">
        <is>
          <t>pt4</t>
        </is>
      </c>
      <c r="HC1" s="144" t="inlineStr">
        <is>
          <t>dt1</t>
        </is>
      </c>
      <c r="HD1" s="144" t="inlineStr">
        <is>
          <t>dt2</t>
        </is>
      </c>
      <c r="HE1" s="144" t="inlineStr">
        <is>
          <t>como</t>
        </is>
      </c>
      <c r="HF1" s="144" t="inlineStr">
        <is>
          <t>ordem</t>
        </is>
      </c>
      <c r="HH1" s="144" t="inlineStr">
        <is>
          <t>contas da amaldiçoada</t>
        </is>
      </c>
      <c r="HI1" s="144" t="inlineStr">
        <is>
          <t>valor da amaldiçoada</t>
        </is>
      </c>
      <c r="HK1" s="144" t="inlineStr">
        <is>
          <t>carta de passiva</t>
        </is>
      </c>
      <c r="HL1" s="144" t="inlineStr">
        <is>
          <t>passiva anotada</t>
        </is>
      </c>
      <c r="HM1" s="144" t="inlineStr">
        <is>
          <t>classe passiva anotada</t>
        </is>
      </c>
      <c r="HN1" s="144" t="inlineStr">
        <is>
          <t>nível que libera</t>
        </is>
      </c>
      <c r="HO1" s="144" t="inlineStr">
        <is>
          <t>o que ela faz</t>
        </is>
      </c>
      <c r="HP1" s="144" t="inlineStr">
        <is>
          <t>classe passiva na carta</t>
        </is>
      </c>
      <c r="HQ1" s="144" t="inlineStr">
        <is>
          <t>custo na carta</t>
        </is>
      </c>
      <c r="HR1" s="144" t="inlineStr">
        <is>
          <t>seu texto da passiva</t>
        </is>
      </c>
      <c r="HS1" s="144" t="inlineStr">
        <is>
          <t>ordem da passiva</t>
        </is>
      </c>
      <c r="HU1" s="144" t="inlineStr">
        <is>
          <t>carta de aptidão</t>
        </is>
      </c>
      <c r="HV1" s="144" t="inlineStr">
        <is>
          <t>aptidão anotada</t>
        </is>
      </c>
      <c r="HW1" s="144" t="inlineStr">
        <is>
          <t>requisito na carta</t>
        </is>
      </c>
      <c r="HX1" s="144" t="inlineStr">
        <is>
          <t>classe passiva na carta de aptidão</t>
        </is>
      </c>
      <c r="HY1" s="144" t="inlineStr">
        <is>
          <t>o refino escala na carta</t>
        </is>
      </c>
      <c r="HZ1" s="144" t="inlineStr">
        <is>
          <t>o que a aptidão anotada faz</t>
        </is>
      </c>
      <c r="IA1" s="144" t="inlineStr">
        <is>
          <t>seu texto da aptidão</t>
        </is>
      </c>
      <c r="IB1" s="144" t="inlineStr">
        <is>
          <t>ordem da aptidão</t>
        </is>
      </c>
      <c r="ID1" s="144" t="inlineStr">
        <is>
          <t>classe 0 anotada</t>
        </is>
      </c>
      <c r="IE1" s="144" t="inlineStr">
        <is>
          <t>forma da classe 0</t>
        </is>
      </c>
      <c r="IF1" s="144" t="inlineStr">
        <is>
          <t>melhoria da classe 0</t>
        </is>
      </c>
      <c r="IG1" s="144" t="inlineStr">
        <is>
          <t>restrição da classe 0</t>
        </is>
      </c>
      <c r="IH1" s="144" t="inlineStr">
        <is>
          <t>linha da forma</t>
        </is>
      </c>
      <c r="II1" s="144" t="inlineStr">
        <is>
          <t>dados dela</t>
        </is>
      </c>
      <c r="IJ1" s="144" t="inlineStr">
        <is>
          <t>dano na carta</t>
        </is>
      </c>
      <c r="IK1" s="144" t="inlineStr">
        <is>
          <t>alcance na carta</t>
        </is>
      </c>
      <c r="IM1" s="144" t="inlineStr">
        <is>
          <t>salto</t>
        </is>
      </c>
      <c r="IN1" s="144" t="inlineStr">
        <is>
          <t>caixa do salto</t>
        </is>
      </c>
      <c r="IO1" s="144" t="inlineStr">
        <is>
          <t>alvo do salto</t>
        </is>
      </c>
      <c r="IP1" s="144" t="inlineStr">
        <is>
          <t>nome do salto</t>
        </is>
      </c>
      <c r="IR1" s="144" t="inlineStr">
        <is>
          <t>habilidade: carta</t>
        </is>
      </c>
      <c r="IS1" s="144" t="inlineStr">
        <is>
          <t>nível da carta</t>
        </is>
      </c>
      <c r="IT1" s="144" t="inlineStr">
        <is>
          <t>etiqueta da carta</t>
        </is>
      </c>
      <c r="IU1" s="144" t="inlineStr">
        <is>
          <t>célula do nome</t>
        </is>
      </c>
      <c r="IV1" s="144" t="inlineStr">
        <is>
          <t>célula do texto</t>
        </is>
      </c>
      <c r="IX1" s="144" t="inlineStr">
        <is>
          <t>habilidade livre: carta</t>
        </is>
      </c>
      <c r="IY1" s="144" t="inlineStr">
        <is>
          <t>célula do texto livre</t>
        </is>
      </c>
      <c r="JA1" s="144" t="inlineStr">
        <is>
          <t>habilidades: título</t>
        </is>
      </c>
      <c r="JB1" s="144" t="inlineStr">
        <is>
          <t>texto do título</t>
        </is>
      </c>
      <c r="JD1" s="144" t="inlineStr">
        <is>
          <t>menu: feitiço</t>
        </is>
      </c>
      <c r="JE1" s="144" t="inlineStr">
        <is>
          <t>lugar na conta</t>
        </is>
      </c>
      <c r="JF1" s="144" t="inlineStr">
        <is>
          <t>menu: classe</t>
        </is>
      </c>
      <c r="JG1" s="144" t="inlineStr">
        <is>
          <t>menu: nome</t>
        </is>
      </c>
      <c r="JH1" s="144" t="inlineStr">
        <is>
          <t>menu: pe</t>
        </is>
      </c>
      <c r="JI1" s="144" t="inlineStr">
        <is>
          <t>menu: forma</t>
        </is>
      </c>
      <c r="JJ1" s="144" t="inlineStr">
        <is>
          <t>menu: resolve</t>
        </is>
      </c>
      <c r="JK1" s="144" t="inlineStr">
        <is>
          <t>menu: como</t>
        </is>
      </c>
      <c r="JM1" s="144" t="inlineStr">
        <is>
          <t>menu: liberação</t>
        </is>
      </c>
      <c r="JN1" s="144" t="inlineStr">
        <is>
          <t>menu da liberação: classe</t>
        </is>
      </c>
      <c r="JO1" s="144" t="inlineStr">
        <is>
          <t>menu da liberação: nome</t>
        </is>
      </c>
      <c r="JP1" s="144" t="inlineStr">
        <is>
          <t>menu da liberação: pe</t>
        </is>
      </c>
      <c r="JQ1" s="144" t="inlineStr">
        <is>
          <t>menu da liberação: forma</t>
        </is>
      </c>
      <c r="JR1" s="144" t="inlineStr">
        <is>
          <t>menu da liberação: resolve</t>
        </is>
      </c>
      <c r="JS1" s="144" t="inlineStr">
        <is>
          <t>menu da liberação: como</t>
        </is>
      </c>
      <c r="JU1" s="144" t="inlineStr">
        <is>
          <t>menu: carta larga</t>
        </is>
      </c>
      <c r="JV1" s="144" t="inlineStr">
        <is>
          <t>nome dela</t>
        </is>
      </c>
      <c r="JW1" s="144" t="inlineStr">
        <is>
          <t>pe dela</t>
        </is>
      </c>
      <c r="JX1" s="144" t="inlineStr">
        <is>
          <t>forma dela</t>
        </is>
      </c>
      <c r="JY1" s="144" t="inlineStr">
        <is>
          <t>resolve dela</t>
        </is>
      </c>
      <c r="JZ1" s="144" t="inlineStr">
        <is>
          <t>como é dela</t>
        </is>
      </c>
      <c r="KB1" s="144" t="inlineStr">
        <is>
          <t>menu: passiva</t>
        </is>
      </c>
      <c r="KC1" s="144" t="inlineStr">
        <is>
          <t>lugar da passiva</t>
        </is>
      </c>
      <c r="KD1" s="144" t="inlineStr">
        <is>
          <t>classe passiva no menu</t>
        </is>
      </c>
      <c r="KE1" s="144" t="inlineStr">
        <is>
          <t>passiva no menu</t>
        </is>
      </c>
      <c r="KF1" s="144" t="inlineStr">
        <is>
          <t>texto da passiva no menu</t>
        </is>
      </c>
      <c r="KH1" s="144" t="inlineStr">
        <is>
          <t>menu: aptidão</t>
        </is>
      </c>
      <c r="KI1" s="144" t="inlineStr">
        <is>
          <t>lugar da aptidão</t>
        </is>
      </c>
      <c r="KJ1" s="144" t="inlineStr">
        <is>
          <t>classe passiva da aptidão no menu</t>
        </is>
      </c>
      <c r="KK1" s="144" t="inlineStr">
        <is>
          <t>aptidão no menu</t>
        </is>
      </c>
      <c r="KL1" s="144" t="inlineStr">
        <is>
          <t>texto da aptidão no menu</t>
        </is>
      </c>
      <c r="KN1" s="144" t="inlineStr">
        <is>
          <t>menu: rótulo</t>
        </is>
      </c>
      <c r="KO1" s="144" t="inlineStr">
        <is>
          <t>texto do rótulo</t>
        </is>
      </c>
      <c r="KQ1" s="144" t="inlineStr">
        <is>
          <t>caixa calculada</t>
        </is>
      </c>
      <c r="KR1" s="144" t="inlineStr">
        <is>
          <t>o que a caixa mostra</t>
        </is>
      </c>
    </row>
    <row r="2">
      <c r="A2" s="145">
        <f>IF(N(DADOS!$AK$30)=1,4,IF(N(DADOS!$AK$32)=1,3,IF(N(DADOS!$AK$31)=1,2,1)))</f>
        <v/>
      </c>
      <c r="C2" s="143" t="inlineStr">
        <is>
          <t>feitiço</t>
        </is>
      </c>
      <c r="D2" s="143" t="inlineStr">
        <is>
          <t>Feitiço</t>
        </is>
      </c>
      <c r="E2" s="143" t="inlineStr">
        <is>
          <t>Manejo</t>
        </is>
      </c>
      <c r="F2" s="143" t="inlineStr">
        <is>
          <t>Kata</t>
        </is>
      </c>
      <c r="G2" s="143" t="inlineStr">
        <is>
          <t>Kata</t>
        </is>
      </c>
      <c r="I2" s="143" t="inlineStr">
        <is>
          <t>Alcance</t>
        </is>
      </c>
      <c r="J2" s="145">
        <f>'FICHA AMALDIÇOADA'!$D$37&amp;""</f>
        <v/>
      </c>
      <c r="K2" s="145">
        <f>IF($J2="Livre",1,0)</f>
        <v/>
      </c>
      <c r="L2" s="145">
        <f>IF($J2="Fechada",1,0)</f>
        <v/>
      </c>
      <c r="N2" s="143" t="inlineStr">
        <is>
          <t>Livre</t>
        </is>
      </c>
      <c r="P2" s="145" t="n">
        <v>1</v>
      </c>
      <c r="Q2" s="145" t="n">
        <v>1</v>
      </c>
      <c r="R2" s="145" t="n">
        <v>1</v>
      </c>
      <c r="S2" s="145" t="n">
        <v>2</v>
      </c>
      <c r="T2" s="145" t="n">
        <v>1</v>
      </c>
      <c r="U2" s="145" t="n">
        <v>1</v>
      </c>
      <c r="V2" s="145" t="n">
        <v>1</v>
      </c>
      <c r="W2" s="145" t="n">
        <v>2</v>
      </c>
      <c r="Y2" s="143" t="inlineStr">
        <is>
          <t>Projétil</t>
        </is>
      </c>
      <c r="Z2" s="143" t="inlineStr"/>
      <c r="AA2" s="145" t="n">
        <v>0</v>
      </c>
      <c r="AB2" s="145">
        <f>IF($AA2=0,0,$AA2+3*IFERROR(VLOOKUP($Z2,$I$2:$L$10,3,FALSE),0))</f>
        <v/>
      </c>
      <c r="AC2" s="145">
        <f>IFERROR(VLOOKUP($Z2,$I$2:$L$10,4,FALSE),0)</f>
        <v/>
      </c>
      <c r="AD2" s="145" t="n">
        <v>0</v>
      </c>
      <c r="AE2" s="145" t="n">
        <v>0</v>
      </c>
      <c r="AF2" s="143" t="inlineStr">
        <is>
          <t>Acerto</t>
        </is>
      </c>
      <c r="AG2" s="145" t="n">
        <v>0</v>
      </c>
      <c r="AH2" s="145" t="n">
        <v>1</v>
      </c>
      <c r="AI2" s="145" t="n">
        <v>0</v>
      </c>
      <c r="AJ2" s="145" t="n">
        <v>1</v>
      </c>
      <c r="AK2" s="145" t="n">
        <v>1</v>
      </c>
      <c r="AL2" s="145">
        <f>IF($AC2=1,"",$Y2)</f>
        <v/>
      </c>
      <c r="AM2" s="145">
        <f>IF(AND($AK2=1,$AC2=0),$Y2,"")</f>
        <v/>
      </c>
      <c r="AO2" s="143" t="inlineStr">
        <is>
          <t>Projétil · classe 0</t>
        </is>
      </c>
      <c r="AP2" s="143" t="inlineStr">
        <is>
          <t>9 m, um alvo</t>
        </is>
      </c>
      <c r="AQ2" s="143" t="inlineStr">
        <is>
          <t>18 m, um alvo</t>
        </is>
      </c>
      <c r="AR2" s="143" t="inlineStr">
        <is>
          <t>36 m, um alvo</t>
        </is>
      </c>
      <c r="AS2" s="143" t="inlineStr">
        <is>
          <t>90 m, um alvo</t>
        </is>
      </c>
      <c r="AT2" s="143" t="inlineStr">
        <is>
          <t>Visão a olho nu, um alvo</t>
        </is>
      </c>
      <c r="AU2" s="143" t="inlineStr">
        <is>
          <t>Visão a olho nu, um alvo</t>
        </is>
      </c>
      <c r="AV2" s="143" t="inlineStr"/>
      <c r="AW2" s="143" t="inlineStr"/>
      <c r="AX2" s="143" t="inlineStr"/>
      <c r="AY2" s="143" t="inlineStr"/>
      <c r="AZ2" s="143" t="inlineStr"/>
      <c r="BA2" s="143" t="inlineStr"/>
      <c r="BC2" s="143" t="inlineStr">
        <is>
          <t>Longe</t>
        </is>
      </c>
      <c r="BD2" s="143" t="inlineStr">
        <is>
          <t>Alcance</t>
        </is>
      </c>
      <c r="BE2" s="145" t="n">
        <v>1</v>
      </c>
      <c r="BF2" s="145">
        <f>$BE2+3*IFERROR(VLOOKUP($BD2,$I$2:$L$10,3,FALSE),0)</f>
        <v/>
      </c>
      <c r="BG2" s="145">
        <f>IFERROR(VLOOKUP($BD2,$I$2:$L$10,4,FALSE),0)</f>
        <v/>
      </c>
      <c r="BH2" s="145" t="n">
        <v>0</v>
      </c>
      <c r="BI2" s="145">
        <f>IF($BG2=1,"",$BC2)</f>
        <v/>
      </c>
      <c r="BJ2" s="145">
        <f>IF(AND($BE2=1,$BG2=0),$BC2,"")</f>
        <v/>
      </c>
      <c r="BL2" s="143" t="inlineStr">
        <is>
          <t>Corpo a Corpo</t>
        </is>
      </c>
      <c r="BM2" s="143" t="inlineStr">
        <is>
          <t>Corpo a Corpo</t>
        </is>
      </c>
      <c r="BN2" s="145" t="n">
        <v>2</v>
      </c>
      <c r="BO2" s="145" t="n">
        <v>0</v>
      </c>
      <c r="BP2" s="143" t="inlineStr"/>
      <c r="BR2" s="143" t="inlineStr">
        <is>
          <t>Leitura</t>
        </is>
      </c>
      <c r="BS2" s="145" t="n">
        <v>1</v>
      </c>
      <c r="BT2" s="143" t="inlineStr">
        <is>
          <t>Você identifica a Classe e a Forma de qualquer feitiço conjurado a até 18 m de você. A informação não fornece a montagem completa, o custo de cada peça ou a localização de um alvo oculto.</t>
        </is>
      </c>
      <c r="BU2" s="145" t="n">
        <v>1</v>
      </c>
      <c r="BV2" s="145" t="n">
        <v>1</v>
      </c>
      <c r="BW2" s="145">
        <f>IF(OR(AND($A$2&lt;=2,$BU2=1),AND($A$2&gt;=2,$BV2=1)),$BR2,"")</f>
        <v/>
      </c>
      <c r="BX2" s="143" t="inlineStr">
        <is>
          <t>Você identifica a Classe e a Forma de qualquer feitiço conjurado a até 18 m de você. A informação não fornece a montagem completa, o custo de cada peça ou a localização de um alvo oculto.</t>
        </is>
      </c>
      <c r="BZ2" s="145" t="n">
        <v>1</v>
      </c>
      <c r="CA2" s="145" t="n">
        <v>1</v>
      </c>
      <c r="CC2" s="143" t="inlineStr">
        <is>
          <t>Cobrir-se de Energia</t>
        </is>
      </c>
      <c r="CD2" s="143" t="inlineStr">
        <is>
          <t>Gratuita no Refino 1</t>
        </is>
      </c>
      <c r="CE2" s="143" t="inlineStr">
        <is>
          <t>—</t>
        </is>
      </c>
      <c r="CF2" s="143" t="inlineStr">
        <is>
          <t>Proteção e Redução de Dano da Reação</t>
        </is>
      </c>
      <c r="CG2" s="14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45">
        <f>IF($CK2=1,"",IF($A$2=4,IF($CI2=1,$CC2,""),IF(OR($CI2=1,AND($A$2=3,$CJ2=1)),"",$CC2)))</f>
        <v/>
      </c>
      <c r="CI2" s="145" t="n">
        <v>0</v>
      </c>
      <c r="CJ2" s="145" t="n">
        <v>0</v>
      </c>
      <c r="CK2" s="145" t="n">
        <v>1</v>
      </c>
      <c r="CL2" s="143" t="inlineStr">
        <is>
          <t>A energia que envolve seu corpo concede proteção e pode ser concentrada para amortecer um golpe.</t>
        </is>
      </c>
      <c r="CN2" s="143" t="inlineStr">
        <is>
          <t>Domínio Simples</t>
        </is>
      </c>
      <c r="CP2" s="143" t="inlineStr">
        <is>
          <t>Três grupos de arma</t>
        </is>
      </c>
      <c r="CR2" s="145">
        <f>IF($A$2=2,IFERROR(INDEX($CN$2:$CN$5,1),""),IF($A$2&gt;=3,IFERROR(INDEX($CP$2:$CP$4,1),""),""))</f>
        <v/>
      </c>
      <c r="CT2" s="143" t="inlineStr">
        <is>
          <t>Porrete</t>
        </is>
      </c>
      <c r="CU2" s="145" t="n">
        <v>1</v>
      </c>
      <c r="CV2" s="145" t="n">
        <v>0</v>
      </c>
      <c r="CW2" s="145">
        <f>IF(AND($A$2&gt;=3,'FICHA AMALDIÇOADA'!$J$16&amp;""="Três grupos de arma"),$CT2,"")</f>
        <v/>
      </c>
      <c r="CY2" s="145" t="n">
        <v>1</v>
      </c>
      <c r="CZ2" s="145" t="n">
        <v>2</v>
      </c>
      <c r="DA2" s="145" t="n">
        <v>2</v>
      </c>
      <c r="DC2" s="145" t="n">
        <v>10</v>
      </c>
      <c r="DE2" s="145" t="n">
        <v>3</v>
      </c>
      <c r="DG2" s="145" t="n">
        <v>17</v>
      </c>
      <c r="DH2" s="145" t="n">
        <v>24</v>
      </c>
      <c r="DI2" s="145" t="n">
        <v>8</v>
      </c>
      <c r="DK2" s="143" t="inlineStr">
        <is>
          <t>Incompleta</t>
        </is>
      </c>
      <c r="DL2" s="145" t="n">
        <v>2</v>
      </c>
      <c r="DM2" s="145" t="n">
        <v>10</v>
      </c>
      <c r="DN2" s="145" t="n">
        <v>4</v>
      </c>
      <c r="DO2" s="143" t="inlineStr">
        <is>
          <t>Nível 10 e refino 4</t>
        </is>
      </c>
      <c r="DQ2" s="143" t="inlineStr">
        <is>
          <t>Permanente</t>
        </is>
      </c>
      <c r="DR2" s="143" t="inlineStr">
        <is>
          <t>Fora de cena, com registro aprovado</t>
        </is>
      </c>
      <c r="DT2" s="143" t="inlineStr">
        <is>
          <t>Uma aptidão</t>
        </is>
      </c>
      <c r="DV2" s="143" t="inlineStr">
        <is>
          <t>Feitiço 1</t>
        </is>
      </c>
      <c r="DW2" s="145" t="n">
        <v>0</v>
      </c>
      <c r="DX2" s="145" t="n">
        <v>1</v>
      </c>
      <c r="DY2" s="145">
        <f>MAX(1,MIN(7,N('FICHA AMALDIÇOADA'!$D$51)))</f>
        <v/>
      </c>
      <c r="DZ2" s="145">
        <f>'FICHA AMALDIÇOADA'!$E$51&amp;""</f>
        <v/>
      </c>
      <c r="EA2" s="145">
        <f>'FICHA AMALDIÇOADA'!$D$58&amp;""</f>
        <v/>
      </c>
      <c r="EB2" s="145">
        <f>'FICHA AMALDIÇOADA'!$E$60&amp;""</f>
        <v/>
      </c>
      <c r="EC2" s="145">
        <f>'FICHA AMALDIÇOADA'!$E$61&amp;""</f>
        <v/>
      </c>
      <c r="ED2" s="145">
        <f>'FICHA AMALDIÇOADA'!$E$62&amp;""</f>
        <v/>
      </c>
      <c r="EE2" s="145">
        <f>'FICHA AMALDIÇOADA'!$E$63&amp;""</f>
        <v/>
      </c>
      <c r="EF2" s="145">
        <f>'FICHA AMALDIÇOADA'!$E$64&amp;""</f>
        <v/>
      </c>
      <c r="EG2" s="145">
        <f>'FICHA AMALDIÇOADA'!$E$65&amp;""</f>
        <v/>
      </c>
      <c r="EH2" s="145">
        <f>IF($DZ2&lt;&gt;"",1,0)</f>
        <v/>
      </c>
      <c r="EI2" s="145">
        <f>IFERROR(MATCH($EA2,$Y$2:$Y$11,0),0)</f>
        <v/>
      </c>
      <c r="EJ2" s="145">
        <f>IF($EI2=0,0,INDEX($AB$2:$AB$11,$EI2))</f>
        <v/>
      </c>
      <c r="EK2" s="145">
        <f>IFERROR(VLOOKUP($EB2,$BC$2:$BJ$84,4,FALSE),0)</f>
        <v/>
      </c>
      <c r="EL2" s="145">
        <f>IFERROR(VLOOKUP($EC2,$BC$2:$BJ$84,4,FALSE),0)</f>
        <v/>
      </c>
      <c r="EM2" s="145">
        <f>IFERROR(VLOOKUP($ED2,$BC$2:$BJ$84,4,FALSE),0)</f>
        <v/>
      </c>
      <c r="EN2" s="145">
        <f>IFERROR(VLOOKUP($EE2,$BC$2:$BJ$84,4,FALSE),0)</f>
        <v/>
      </c>
      <c r="EO2" s="145">
        <f>IF($EI2=0,0,INDEX($AC$2:$AC$11,$EI2))</f>
        <v/>
      </c>
      <c r="EP2" s="145">
        <f>IFERROR(VLOOKUP($EB2,$BC$2:$BJ$84,5,FALSE),0)</f>
        <v/>
      </c>
      <c r="EQ2" s="145">
        <f>IFERROR(VLOOKUP($EC2,$BC$2:$BJ$84,5,FALSE),0)</f>
        <v/>
      </c>
      <c r="ER2" s="145">
        <f>IFERROR(VLOOKUP($ED2,$BC$2:$BJ$84,5,FALSE),0)</f>
        <v/>
      </c>
      <c r="ES2" s="145">
        <f>IFERROR(VLOOKUP($EE2,$BC$2:$BJ$84,5,FALSE),0)</f>
        <v/>
      </c>
      <c r="ET2" s="145">
        <f>IFERROR(VLOOKUP($EB2,$BC$2:$BJ$84,6,FALSE),0)+IFERROR(VLOOKUP($EC2,$BC$2:$BJ$84,6,FALSE),0)+IFERROR(VLOOKUP($ED2,$BC$2:$BJ$84,6,FALSE),0)+IFERROR(VLOOKUP($EE2,$BC$2:$BJ$84,6,FALSE),0)</f>
        <v/>
      </c>
      <c r="EU2" s="145">
        <f>IF($EI2=0,0,INDEX($AD$2:$AD$11,$EI2))</f>
        <v/>
      </c>
      <c r="EV2" s="145">
        <f>IF($EI2=0,0,INDEX($AE$2:$AE$11,$EI2))</f>
        <v/>
      </c>
      <c r="EW2" s="145">
        <f>IF($EI2=0,0,INDEX($AG$2:$AG$11,$EI2))</f>
        <v/>
      </c>
      <c r="EX2" s="145">
        <f>IFERROR(VLOOKUP($EF2,$BL$2:$BP$24,3,FALSE),0)</f>
        <v/>
      </c>
      <c r="EY2" s="145">
        <f>IFERROR(VLOOKUP($EG2,$BL$2:$BP$24,3,FALSE),0)</f>
        <v/>
      </c>
      <c r="EZ2" s="145">
        <f>IFERROR(VLOOKUP($EF2,$BL$2:$BP$24,2,FALSE),"")</f>
        <v/>
      </c>
      <c r="FA2" s="145">
        <f>IFERROR(VLOOKUP($EG2,$BL$2:$BP$24,2,FALSE),"")</f>
        <v/>
      </c>
      <c r="FB2" s="145">
        <f>COUNTIF($EJ2:$EN2,1)</f>
        <v/>
      </c>
      <c r="FC2" s="145">
        <f>COUNTIF($EJ2:$EN2,2)</f>
        <v/>
      </c>
      <c r="FD2" s="145">
        <f>COUNTIF($EJ2:$EN2,3)</f>
        <v/>
      </c>
      <c r="FE2" s="145">
        <f>COUNTIF($EJ2:$EN2,4)</f>
        <v/>
      </c>
      <c r="FF2" s="145">
        <f>COUNTIF($EJ2:$EN2,5)</f>
        <v/>
      </c>
      <c r="FG2" s="145">
        <f>COUNTIF($EJ2:$EN2,6)</f>
        <v/>
      </c>
      <c r="FH2" s="145">
        <f>COUNTIF($EX2:$EY2,1)</f>
        <v/>
      </c>
      <c r="FI2" s="145">
        <f>COUNTIF($EX2:$EY2,2)+$EU2</f>
        <v/>
      </c>
      <c r="FJ2" s="145">
        <f>COUNTIF($EB2:$EE2,"?*")</f>
        <v/>
      </c>
      <c r="FK2" s="145">
        <f>COUNTIF($EF2:$EG2,"?*")+$EU2</f>
        <v/>
      </c>
      <c r="FL2" s="145">
        <f>SUMPRODUCT($FB2:$FG2,INDEX($Q$2:$V$8,$DY2,0))</f>
        <v/>
      </c>
      <c r="FM2" s="145">
        <f>$FH2*CEILING($DY2/2,1)+$FI2*$DY2</f>
        <v/>
      </c>
      <c r="FN2" s="145">
        <f>MIN(2*$DY2,$FM2)</f>
        <v/>
      </c>
      <c r="FO2" s="145">
        <f>MIN($FN2,$FL2)</f>
        <v/>
      </c>
      <c r="FP2" s="145">
        <f>$FN2-$FO2</f>
        <v/>
      </c>
      <c r="FQ2" s="145">
        <f>3*$DY2-$FL2+$FO2</f>
        <v/>
      </c>
      <c r="FR2" s="145">
        <f>MAX(0,$FQ2)+$DW2*$DY2</f>
        <v/>
      </c>
      <c r="FS2" s="145">
        <f>(IF(COUNTIF($EB2:$EE2,"Salto")&gt;0,1,0)+IF(COUNTIF($EB2:$EE2,"Queima")&gt;0,1,0)+IF(COUNTIF($EB2:$EE2,"Estilhaço")&gt;0,1,0))*FLOOR($FR2/2,1)</f>
        <v/>
      </c>
      <c r="FT2" s="145">
        <f>MAX(0,3-SUMPRODUCT($FB2:$FG2,$Q$2:$V$2)+MIN(2,$FH2*1+$FI2*1,SUMPRODUCT($FB2:$FG2,$Q$2:$V$2)))+$DW2*1</f>
        <v/>
      </c>
      <c r="FU2" s="145">
        <f>MAX(0,6-SUMPRODUCT($FB2:$FG2,$Q$3:$V$3)+MIN(4,$FH2*1+$FI2*2,SUMPRODUCT($FB2:$FG2,$Q$3:$V$3)))+$DW2*2</f>
        <v/>
      </c>
      <c r="FV2" s="145">
        <f>MAX(0,9-SUMPRODUCT($FB2:$FG2,$Q$4:$V$4)+MIN(6,$FH2*2+$FI2*3,SUMPRODUCT($FB2:$FG2,$Q$4:$V$4)))+$DW2*3</f>
        <v/>
      </c>
      <c r="FW2" s="145">
        <f>MAX(0,12-SUMPRODUCT($FB2:$FG2,$Q$5:$V$5)+MIN(8,$FH2*2+$FI2*4,SUMPRODUCT($FB2:$FG2,$Q$5:$V$5)))+$DW2*4</f>
        <v/>
      </c>
      <c r="FX2" s="145">
        <f>MAX(0,15-SUMPRODUCT($FB2:$FG2,$Q$6:$V$6)+MIN(10,$FH2*3+$FI2*5,SUMPRODUCT($FB2:$FG2,$Q$6:$V$6)))+$DW2*5</f>
        <v/>
      </c>
      <c r="FY2" s="145">
        <f>MAX(0,18-SUMPRODUCT($FB2:$FG2,$Q$7:$V$7)+MIN(12,$FH2*3+$FI2*6,SUMPRODUCT($FB2:$FG2,$Q$7:$V$7)))+$DW2*6</f>
        <v/>
      </c>
      <c r="FZ2" s="145">
        <f>MAX(0,21-SUMPRODUCT($FB2:$FG2,$Q$8:$V$8)+MIN(14,$FH2*4+$FI2*7,SUMPRODUCT($FB2:$FG2,$Q$8:$V$8)))+$DW2*7</f>
        <v/>
      </c>
      <c r="GA2" s="145">
        <f>IF($EV2=2,3*$FT2&amp;" de vida temp.",IF($EV2=3,"sem dano",IF($FT2=0,IF($EV2=1,"sem cura","sem dano"),IF($EV2=1,"cura ","")&amp;$FT2&amp;"d8")))</f>
        <v/>
      </c>
      <c r="GB2" s="145">
        <f>IF($EV2=2,3*$FU2&amp;" de vida temp.",IF($EV2=3,"sem dano",IF($FU2=0,IF($EV2=1,"sem cura","sem dano"),IF($EV2=1,"cura ","")&amp;$FU2&amp;"d8")))</f>
        <v/>
      </c>
      <c r="GC2" s="145">
        <f>IF($EV2=2,3*$FV2&amp;" de vida temp.",IF($EV2=3,"sem dano",IF($FV2=0,IF($EV2=1,"sem cura","sem dano"),IF($EV2=1,"cura ","")&amp;$FV2&amp;"d8")))</f>
        <v/>
      </c>
      <c r="GD2" s="145">
        <f>IF($EV2=2,3*$FW2&amp;" de vida temp.",IF($EV2=3,"sem dano",IF($FW2=0,IF($EV2=1,"sem cura","sem dano"),IF($EV2=1,"cura ","")&amp;$FW2&amp;"d8")))</f>
        <v/>
      </c>
      <c r="GE2" s="145">
        <f>IF($EV2=2,3*$FX2&amp;" de vida temp.",IF($EV2=3,"sem dano",IF($FX2=0,IF($EV2=1,"sem cura","sem dano"),IF($EV2=1,"cura ","")&amp;$FX2&amp;"d8")))</f>
        <v/>
      </c>
      <c r="GF2" s="145">
        <f>IF($EV2=2,3*$FY2&amp;" de vida temp.",IF($EV2=3,"sem dano",IF($FY2=0,IF($EV2=1,"sem cura","sem dano"),IF($EV2=1,"cura ","")&amp;$FY2&amp;"d8")))</f>
        <v/>
      </c>
      <c r="GG2" s="145">
        <f>IF($EV2=2,3*$FZ2&amp;" de vida temp.",IF($EV2=3,"sem dano",IF($FZ2=0,IF($EV2=1,"sem cura","sem dano"),IF($EV2=1,"cura ","")&amp;$FZ2&amp;"d8")))</f>
        <v/>
      </c>
      <c r="GH2" s="145">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45">
        <f>IF($GH2="",0,(LEN($GH2)-LEN(SUBSTITUTE($GH2," · ","")))/3+1)</f>
        <v/>
      </c>
      <c r="GJ2" s="145">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45">
        <f>IF($GJ2="",0,(LEN($GJ2)-LEN(SUBSTITUTE($GJ2," · ","")))/3+1)</f>
        <v/>
      </c>
      <c r="GL2" s="145">
        <f>IF($EH2=0,IF($FJ2+$FK2-$EU2&gt;0,"Dê um nome",""),IF($GI2&gt;0,"⚠ "&amp;$GI2&amp;IF($GI2&gt;1," erros"," erro"),IF($GK2&gt;0,"! "&amp;$GK2&amp;IF($GK2&gt;1," avisos"," aviso"),"Na regra")))</f>
        <v/>
      </c>
      <c r="GM2" s="145">
        <f>IF($EH2=0,"",IF($GI2+$GK2=0,"Dentro das regras que a ficha confere",$GH2&amp;IF(AND($GI2&gt;0,$GK2&gt;0)," · ","")&amp;$GJ2))</f>
        <v/>
      </c>
      <c r="GN2" s="145">
        <f>IF($EH2=0,"",IF($DW2=1,CEILING(4.5*$DY2,1),3*$DY2)&amp;" PE")</f>
        <v/>
      </c>
      <c r="GO2" s="145">
        <f>IF($EH2=0,"",IF($DW2=1,"Rodada inteira",IF(COUNTIF($EZ2:$FA2,"Atrasar")&gt;0,IF(COUNTIF($EZ2:$FA2,"Carregar")&gt;0,"Rodada +1 turno","Rodada inteira"),IF(COUNTIF($EB2:$EE2,"Rápido")&gt;0,"Bônus",IF(COUNTIF($EB2:$EE2,"Reação")&gt;0,"Reação","Padrão"))&amp;IF(COUNTIF($EZ2:$FA2,"Carregar")&gt;0," +1 turno",""))))</f>
        <v/>
      </c>
      <c r="GP2" s="145">
        <f>IF(OR($EH2=0,$EI2=0),"",IF(COUNTIF($EB2:$EE2,"Inescapável")&gt;0,"Automático",IF(COUNTIF($EB2:$EE2,"Certeiro")&gt;0,"TR para metade",INDEX($AF$2:$AF$11,$EI2))))</f>
        <v/>
      </c>
      <c r="GQ2" s="145">
        <f>IF(OR($EH2=0,$EI2=0),"",IF(OR($EV2&gt;=2,$FR2=0),UPPER(LEFT(INDEX($GA2:$GG2,1,$DY2),1))&amp;MID(INDEX($GA2:$GG2,1,$DY2),2,99),UPPER(LEFT(INDEX($GA2:$GG2,1,$DY2),1))&amp;MID(INDEX($GA2:$GG2,1,$DY2),2,99)&amp;" = "&amp;FLOOR($FR2*4.5,1)&amp;IF($FS2&gt;0," · +"&amp;$FS2&amp;"d8","")))</f>
        <v/>
      </c>
      <c r="GR2" s="145">
        <f>COUNTIF($EB2:$EE2,"Longe")+3*COUNTIF($EB2:$EE2,"Muito Longe")</f>
        <v/>
      </c>
      <c r="GS2" s="145">
        <f>COUNTIF($EB2:$EE2,"Maior")+3*COUNTIF($EB2:$EE2,"Muito Maior")</f>
        <v/>
      </c>
      <c r="GT2" s="145">
        <f>IF($EI2=0,0,CHOOSE(1+INDEX($AH$2:$AH$11,$EI2),0,$GR2,$GS2,$GR2+$GS2))</f>
        <v/>
      </c>
      <c r="GU2" s="145">
        <f>IF($EI2=0,0,CHOOSE(1+INDEX($AI$2:$AI$11,$EI2),0,$GR2,$GS2,$GR2+$GS2))</f>
        <v/>
      </c>
      <c r="GV2" s="145">
        <f>IF(OR($EH2=0,$EI2=0),"",INDEX($AP$2:$AU$31,($EI2-1)*3+IF($DY2&gt;=6,3,2),1+MIN(5,$GT2))&amp;INDEX($AV$2:$BA$31,($EI2-1)*3+IF($DY2&gt;=6,3,2),1+MIN(5,$GU2))&amp;IF(INDEX($AJ$2:$AJ$11,$EI2)=1,IF(COUNTIF($EB2:$EE2,"Mais Um")&gt;0," · +"&amp;COUNTIF($EB2:$EE2,"Mais Um")&amp;IF(COUNTIF($EB2:$EE2,"Mais Um")&gt;1," alvos"," alvo"),"")&amp;IF(COUNTIF($EB2:$EE2,"Rajada")&gt;0," · "&amp;($DY2+1)&amp;" tiros",""),""))</f>
        <v/>
      </c>
      <c r="GW2" s="145">
        <f>IF($EH2=0,"",3*$DY2&amp;" − "&amp;$FL2&amp;" + "&amp;$FO2&amp;IF($DW2=1," + "&amp;$DY2,"")&amp;" = "&amp;$FR2&amp;"d8 · teto "&amp;4*$DY2&amp;IF($EU2=1," · a Forma devolve "&amp;$DY2,"")&amp;IF($FP2&gt;0," · perde "&amp;$FP2,""))</f>
        <v/>
      </c>
      <c r="GX2" s="145">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5">
        <f>IF(OR($EH2=0,$EK2=0),"","−"&amp;INDEX($Q$2:$V$8,$DY2,$EK2)&amp;" · "&amp;CHOOSE($EK2,"Leve","Média","Pesada","Leve · Livre","Média · Livre","Pesada · Livre"))</f>
        <v/>
      </c>
      <c r="GZ2" s="145">
        <f>IF(OR($EH2=0,$EL2=0),"","−"&amp;INDEX($Q$2:$V$8,$DY2,$EL2)&amp;" · "&amp;CHOOSE($EL2,"Leve","Média","Pesada","Leve · Livre","Média · Livre","Pesada · Livre"))</f>
        <v/>
      </c>
      <c r="HA2" s="145">
        <f>IF(OR($EH2=0,$EM2=0),"","−"&amp;INDEX($Q$2:$V$8,$DY2,$EM2)&amp;" · "&amp;CHOOSE($EM2,"Leve","Média","Pesada","Leve · Livre","Média · Livre","Pesada · Livre"))</f>
        <v/>
      </c>
      <c r="HB2" s="145">
        <f>IF(OR($EH2=0,$EN2=0),"","−"&amp;INDEX($Q$2:$V$8,$DY2,$EN2)&amp;" · "&amp;CHOOSE($EN2,"Leve","Média","Pesada","Leve · Livre","Média · Livre","Pesada · Livre"))</f>
        <v/>
      </c>
      <c r="HC2" s="145">
        <f>IF(OR($EH2=0,$EF2=""),"","+"&amp;IF($EX2=1,CEILING($DY2/2,1),$DY2))</f>
        <v/>
      </c>
      <c r="HD2" s="145">
        <f>IF(OR($EH2=0,$EG2=""),"","+"&amp;IF($EY2=1,CEILING($DY2/2,1),$DY2))</f>
        <v/>
      </c>
      <c r="HE2" s="145">
        <f>'FICHA AMALDIÇOADA'!$D$53&amp;""</f>
        <v/>
      </c>
      <c r="HF2" s="145">
        <f>IF(AND($EH2=1,$DW2=0),COUNTIFS($EH$2:$EH2,1,$DW$2:$DW2,0),"")</f>
        <v/>
      </c>
      <c r="HH2" s="143" t="inlineStr">
        <is>
          <t>nível</t>
        </is>
      </c>
      <c r="HI2" s="145">
        <f>N(FICHA!$AH$11)</f>
        <v/>
      </c>
      <c r="HK2" s="143" t="inlineStr">
        <is>
          <t>Talento 1</t>
        </is>
      </c>
      <c r="HL2" s="145">
        <f>'FICHA AMALDIÇOADA'!$D$379&amp;""</f>
        <v/>
      </c>
      <c r="HM2" s="145">
        <f>IFERROR(VLOOKUP($HL2,$BR$2:$BX$24,2,FALSE),0)</f>
        <v/>
      </c>
      <c r="HN2" s="145">
        <f>IFERROR(VLOOKUP($HM2,$BZ$2:$CA$4,2,FALSE),0)</f>
        <v/>
      </c>
      <c r="HO2" s="145">
        <f>IFERROR(VLOOKUP($HL2,$BR$2:$BX$24,3,FALSE),"")</f>
        <v/>
      </c>
      <c r="HP2" s="145">
        <f>IF($HM2=0,"",IF($HN2&gt;$HI$2,"⚠ Nível "&amp;$HN2,"CE "&amp;$HM2))</f>
        <v/>
      </c>
      <c r="HQ2" s="145">
        <f>IF($HM2=0,"",$HM2&amp;" esp.")</f>
        <v/>
      </c>
      <c r="HR2" s="145">
        <f>'FICHA AMALDIÇOADA'!$E$384&amp;""</f>
        <v/>
      </c>
      <c r="HS2" s="145">
        <f>IF($HL2="","",COUNTIF($HL$2:$HL2,"?*"))</f>
        <v/>
      </c>
      <c r="HU2" s="143" t="inlineStr">
        <is>
          <t>Aptidão 1</t>
        </is>
      </c>
      <c r="HV2" s="145">
        <f>'FICHA AMALDIÇOADA'!$D$430&amp;""</f>
        <v/>
      </c>
      <c r="HW2" s="145">
        <f>IF($HV2="","","Requisito: "&amp;IFERROR(VLOOKUP($HV2,$CC$2:$CL$33,2,FALSE),""))</f>
        <v/>
      </c>
      <c r="HX2" s="145">
        <f>IF($HV2="","",IFERROR(IF(ISNUMBER(VLOOKUP($HV2,$CC$2:$CL$33,3,FALSE)),"CE "&amp;VLOOKUP($HV2,$CC$2:$CL$33,3,FALSE),VLOOKUP($HV2,$CC$2:$CL$33,3,FALSE)),""))</f>
        <v/>
      </c>
      <c r="HY2" s="145">
        <f>IF($HV2="","",IFERROR(VLOOKUP($HV2,$CC$2:$CL$33,4,FALSE),""))</f>
        <v/>
      </c>
      <c r="HZ2" s="145">
        <f>IF($HV2="","",IFERROR(VLOOKUP($HV2,$CC$2:$CL$33,5,FALSE),""))</f>
        <v/>
      </c>
      <c r="IA2" s="145">
        <f>'FICHA AMALDIÇOADA'!$E$447&amp;""</f>
        <v/>
      </c>
      <c r="IB2" s="145">
        <f>IF($HV2="","",COUNTIF($HV$2:$HV2,"?*"))</f>
        <v/>
      </c>
      <c r="ID2" s="143" t="inlineStr">
        <is>
          <t>Classe 0 · 1</t>
        </is>
      </c>
      <c r="IE2" s="145">
        <f>'FICHA AMALDIÇOADA'!$F$310&amp;""</f>
        <v/>
      </c>
      <c r="IF2" s="145">
        <f>'FICHA AMALDIÇOADA'!$J$310&amp;""</f>
        <v/>
      </c>
      <c r="IG2" s="145">
        <f>'FICHA AMALDIÇOADA'!$L$310&amp;""</f>
        <v/>
      </c>
      <c r="IH2" s="145">
        <f>IFERROR(MATCH($IE2,$Y$2:$Y$11,0),0)</f>
        <v/>
      </c>
      <c r="II2" s="145">
        <f>$HI$11-IF($IF2&lt;&gt;"",1,0)</f>
        <v/>
      </c>
      <c r="IJ2" s="145">
        <f>IF(1&gt;$HI$10,"Nível 1",IF($IH2=0,"",IF(INDEX($AE$2:$AE$11,$IH2)&gt;=2,"—",$II2&amp;"d8 = "&amp;FLOOR($II2*4.5,1))))</f>
        <v/>
      </c>
      <c r="IK2" s="145">
        <f>IF(OR(1&gt;$HI$10,$IH2=0),"",INDEX($AP$2:$AU$31,($IH2-1)*3+1,1+IF(OR(AND($IF2="Longe",INDEX($AH$2:$AH$11,$IH2)&lt;&gt;2),AND($IF2="Maior",INDEX($AH$2:$AH$11,$IH2)&gt;=2)),1,0))&amp;INDEX($AV$2:$BA$31,($IH2-1)*3+1,1+IF(AND($IF2="Longe",INDEX($AI$2:$AI$11,$IH2)=1),1,0)))</f>
        <v/>
      </c>
      <c r="IM2" s="143" t="inlineStr">
        <is>
          <t>Técnica</t>
        </is>
      </c>
      <c r="IN2" s="145">
        <f>ADDRESS(ROW('FICHA AMALDIÇOADA'!D7),COLUMN('FICHA AMALDIÇOADA'!D7),4)</f>
        <v/>
      </c>
      <c r="IO2" s="145">
        <f>ADDRESS(ROW('FICHA AMALDIÇOADA'!D9),COLUMN('FICHA AMALDIÇOADA'!D9),4)</f>
        <v/>
      </c>
      <c r="IP2" s="143" t="inlineStr">
        <is>
          <t>DADOS_AM!$IM$2</t>
        </is>
      </c>
      <c r="IR2" s="143" t="inlineStr">
        <is>
          <t>Caminho 2</t>
        </is>
      </c>
      <c r="IS2" s="145" t="n">
        <v>2</v>
      </c>
      <c r="IT2" s="145">
        <f>IF($HI$2&gt;=2,"Nível 2","Abre no 2")</f>
        <v/>
      </c>
      <c r="IU2" s="145">
        <f>ADDRESS(ROW(FICHA!G92),COLUMN(FICHA!G92),4)</f>
        <v/>
      </c>
      <c r="IV2" s="145">
        <f>ADDRESS(ROW(FICHA!D93),COLUMN(FICHA!D93),4)</f>
        <v/>
      </c>
      <c r="IX2" s="143" t="inlineStr">
        <is>
          <t>Caminho · Anotações</t>
        </is>
      </c>
      <c r="IY2" s="145">
        <f>ADDRESS(ROW(FICHA!D123),COLUMN(FICHA!D123),4)</f>
        <v/>
      </c>
      <c r="JA2" s="143" t="inlineStr">
        <is>
          <t>Caminho</t>
        </is>
      </c>
      <c r="JB2" s="145">
        <f>"CAMINHO"&amp;IF(OR(FICHA!$D$11="",LEFT(FICHA!$D$11,7)="Escolha"),"","  ·  "&amp;UPPER(FICHA!$D$11))&amp;"  ·  CINCO DEGRAUS"</f>
        <v/>
      </c>
      <c r="JD2" s="145" t="n">
        <v>1</v>
      </c>
      <c r="JE2" s="145">
        <f>IFERROR(MATCH(1,$HF$2:$HF$37,0),0)</f>
        <v/>
      </c>
      <c r="JF2" s="145">
        <f>IF($JE2=0,"",INDEX($DY$2:$DY$37,$JE2))</f>
        <v/>
      </c>
      <c r="JG2" s="145">
        <f>IF($JE2=0,"",INDEX($DZ$2:$DZ$37,$JE2))</f>
        <v/>
      </c>
      <c r="JH2" s="145">
        <f>IF($JE2=0,"",INDEX($GN$2:$GN$37,$JE2))</f>
        <v/>
      </c>
      <c r="JI2" s="145">
        <f>IF($JE2=0,"",INDEX($EA$2:$EA$37,$JE2))</f>
        <v/>
      </c>
      <c r="JJ2" s="145">
        <f>IF($JE2=0,"",INDEX($GP$2:$GP$37,$JE2))</f>
        <v/>
      </c>
      <c r="JK2" s="145">
        <f>IF($JE2=0,"",INDEX($HE$2:$HE$37,$JE2))</f>
        <v/>
      </c>
      <c r="JM2" s="145" t="n">
        <v>1</v>
      </c>
      <c r="JN2" s="145">
        <f>IF($EH$38=0,"",$DY$38)</f>
        <v/>
      </c>
      <c r="JO2" s="145">
        <f>IF($EH$38=0,"",$DZ$38)</f>
        <v/>
      </c>
      <c r="JP2" s="145">
        <f>IF($EH$38=0,"",$GN$38)</f>
        <v/>
      </c>
      <c r="JQ2" s="145">
        <f>IF($EH$38=0,"",$EA$38)</f>
        <v/>
      </c>
      <c r="JR2" s="145">
        <f>IF($EH$38=0,"",$GP$38)</f>
        <v/>
      </c>
      <c r="JS2" s="145">
        <f>IF($EH$38=0,"",$HE$38)</f>
        <v/>
      </c>
      <c r="JU2" s="143" t="inlineStr">
        <is>
          <t>Técnica Máxima</t>
        </is>
      </c>
      <c r="JV2" s="145">
        <f>'FICHA AMALDIÇOADA'!$D$343&amp;""</f>
        <v/>
      </c>
      <c r="JW2" s="145">
        <f>IF('FICHA AMALDIÇOADA'!$D$343="","",IF(ISNUMBER('FICHA AMALDIÇOADA'!$P$343),'FICHA AMALDIÇOADA'!$P$343&amp;" PE",'FICHA AMALDIÇOADA'!$P$343&amp;""))</f>
        <v/>
      </c>
      <c r="JX2" s="145">
        <f>IF('FICHA AMALDIÇOADA'!$D$343="","",'FICHA AMALDIÇOADA'!$J$343&amp;"")</f>
        <v/>
      </c>
      <c r="JY2" s="145">
        <f>IF('FICHA AMALDIÇOADA'!$D$343="","",IFERROR(VLOOKUP('FICHA AMALDIÇOADA'!$J$343,$Y$2:$AM$11,8,FALSE),""))</f>
        <v/>
      </c>
      <c r="JZ2" s="145">
        <f>'FICHA AMALDIÇOADA'!$D$349&amp;""</f>
        <v/>
      </c>
      <c r="KB2" s="143" t="inlineStr">
        <is>
          <t>Expressão da técnica</t>
        </is>
      </c>
      <c r="KC2" s="145" t="n">
        <v>0</v>
      </c>
      <c r="KD2" s="143" t="inlineStr">
        <is>
          <t>Livre</t>
        </is>
      </c>
      <c r="KE2" s="143" t="inlineStr">
        <is>
          <t>Expressão da técnica</t>
        </is>
      </c>
      <c r="KF2" s="145">
        <f>'FICHA AMALDIÇOADA'!$L$29&amp;""</f>
        <v/>
      </c>
      <c r="KH2" s="143" t="inlineStr">
        <is>
          <t>De graça 1</t>
        </is>
      </c>
      <c r="KI2" s="145" t="n">
        <v>0</v>
      </c>
      <c r="KJ2" s="143" t="inlineStr">
        <is>
          <t>—</t>
        </is>
      </c>
      <c r="KK2" s="145">
        <f>INDEX($D$9:$G$9,1,$A$2)</f>
        <v/>
      </c>
      <c r="KL2" s="145">
        <f>"Do livro: "&amp;IFERROR(VLOOKUP($KK2,$CC$2:$CL$33,10,FALSE),"")</f>
        <v/>
      </c>
      <c r="KN2" s="143" t="inlineStr">
        <is>
          <t>título</t>
        </is>
      </c>
      <c r="KO2" s="145">
        <f>"MENU RÁPIDO · "&amp;UPPER(INDEX($D$3:$G$3,1,$A$2))&amp;", TALENTOS E "&amp;UPPER(INDEX($D$6:$G$6,1,$A$2))</f>
        <v/>
      </c>
      <c r="KQ2" s="143" t="inlineStr">
        <is>
          <t>D12</t>
        </is>
      </c>
      <c r="KR2" s="145">
        <f>CARTEIRA!$O$27&amp;""</f>
        <v/>
      </c>
    </row>
    <row r="3">
      <c r="C3" s="143" t="inlineStr">
        <is>
          <t>feitiços</t>
        </is>
      </c>
      <c r="D3" s="143" t="inlineStr">
        <is>
          <t>Feitiços</t>
        </is>
      </c>
      <c r="E3" s="143" t="inlineStr">
        <is>
          <t>Manejos</t>
        </is>
      </c>
      <c r="F3" s="143" t="inlineStr">
        <is>
          <t>Katas</t>
        </is>
      </c>
      <c r="G3" s="143" t="inlineStr">
        <is>
          <t>Katas</t>
        </is>
      </c>
      <c r="I3" s="143" t="inlineStr">
        <is>
          <t>Área</t>
        </is>
      </c>
      <c r="J3" s="145">
        <f>'FICHA AMALDIÇOADA'!$E$37&amp;""</f>
        <v/>
      </c>
      <c r="K3" s="145">
        <f>IF($J3="Livre",1,0)</f>
        <v/>
      </c>
      <c r="L3" s="145">
        <f>IF($J3="Fechada",1,0)</f>
        <v/>
      </c>
      <c r="N3" s="143" t="inlineStr">
        <is>
          <t>Neutra</t>
        </is>
      </c>
      <c r="P3" s="145" t="n">
        <v>2</v>
      </c>
      <c r="Q3" s="145" t="n">
        <v>1</v>
      </c>
      <c r="R3" s="145" t="n">
        <v>2</v>
      </c>
      <c r="S3" s="145" t="n">
        <v>3</v>
      </c>
      <c r="T3" s="145" t="n">
        <v>1</v>
      </c>
      <c r="U3" s="145" t="n">
        <v>1</v>
      </c>
      <c r="V3" s="145" t="n">
        <v>2</v>
      </c>
      <c r="W3" s="145" t="n">
        <v>2</v>
      </c>
      <c r="Y3" s="143" t="inlineStr">
        <is>
          <t>Toque</t>
        </is>
      </c>
      <c r="Z3" s="143" t="inlineStr"/>
      <c r="AA3" s="145" t="n">
        <v>0</v>
      </c>
      <c r="AB3" s="145">
        <f>IF($AA3=0,0,$AA3+3*IFERROR(VLOOKUP($Z3,$I$2:$L$10,3,FALSE),0))</f>
        <v/>
      </c>
      <c r="AC3" s="145">
        <f>IFERROR(VLOOKUP($Z3,$I$2:$L$10,4,FALSE),0)</f>
        <v/>
      </c>
      <c r="AD3" s="145" t="n">
        <v>1</v>
      </c>
      <c r="AE3" s="145" t="n">
        <v>0</v>
      </c>
      <c r="AF3" s="143" t="inlineStr">
        <is>
          <t>Acerto</t>
        </is>
      </c>
      <c r="AG3" s="145" t="n">
        <v>0</v>
      </c>
      <c r="AH3" s="145" t="n">
        <v>0</v>
      </c>
      <c r="AI3" s="145" t="n">
        <v>0</v>
      </c>
      <c r="AJ3" s="145" t="n">
        <v>1</v>
      </c>
      <c r="AK3" s="145" t="n">
        <v>1</v>
      </c>
      <c r="AL3" s="145">
        <f>IF($AC3=1,"",$Y3)</f>
        <v/>
      </c>
      <c r="AM3" s="145">
        <f>IF(AND($AK3=1,$AC3=0),$Y3,"")</f>
        <v/>
      </c>
      <c r="AO3" s="143" t="inlineStr">
        <is>
          <t>Projétil · classes 1 a 5</t>
        </is>
      </c>
      <c r="AP3" s="143" t="inlineStr">
        <is>
          <t>18 m, um alvo</t>
        </is>
      </c>
      <c r="AQ3" s="143" t="inlineStr">
        <is>
          <t>36 m, um alvo</t>
        </is>
      </c>
      <c r="AR3" s="143" t="inlineStr">
        <is>
          <t>90 m, um alvo</t>
        </is>
      </c>
      <c r="AS3" s="143" t="inlineStr">
        <is>
          <t>Visão a olho nu, um alvo</t>
        </is>
      </c>
      <c r="AT3" s="143" t="inlineStr">
        <is>
          <t>Visão a olho nu, um alvo</t>
        </is>
      </c>
      <c r="AU3" s="143" t="inlineStr">
        <is>
          <t>Visão a olho nu, um alvo</t>
        </is>
      </c>
      <c r="AV3" s="143" t="inlineStr"/>
      <c r="AW3" s="143" t="inlineStr"/>
      <c r="AX3" s="143" t="inlineStr"/>
      <c r="AY3" s="143" t="inlineStr"/>
      <c r="AZ3" s="143" t="inlineStr"/>
      <c r="BA3" s="143" t="inlineStr"/>
      <c r="BC3" s="143" t="inlineStr">
        <is>
          <t>Muito Longe</t>
        </is>
      </c>
      <c r="BD3" s="143" t="inlineStr">
        <is>
          <t>Alcance</t>
        </is>
      </c>
      <c r="BE3" s="145" t="n">
        <v>2</v>
      </c>
      <c r="BF3" s="145">
        <f>$BE3+3*IFERROR(VLOOKUP($BD3,$I$2:$L$10,3,FALSE),0)</f>
        <v/>
      </c>
      <c r="BG3" s="145">
        <f>IFERROR(VLOOKUP($BD3,$I$2:$L$10,4,FALSE),0)</f>
        <v/>
      </c>
      <c r="BH3" s="145" t="n">
        <v>0</v>
      </c>
      <c r="BI3" s="145">
        <f>IF($BG3=1,"",$BC3)</f>
        <v/>
      </c>
      <c r="BJ3" s="145">
        <f>IF(AND($BE3=1,$BG3=0),$BC3,"")</f>
        <v/>
      </c>
      <c r="BL3" s="143" t="inlineStr">
        <is>
          <t>Atrasar</t>
        </is>
      </c>
      <c r="BM3" s="143" t="inlineStr">
        <is>
          <t>Atrasar</t>
        </is>
      </c>
      <c r="BN3" s="145" t="n">
        <v>2</v>
      </c>
      <c r="BO3" s="145" t="n">
        <v>0</v>
      </c>
      <c r="BP3" s="143" t="inlineStr"/>
      <c r="BR3" s="143" t="inlineStr">
        <is>
          <t>Instinto</t>
        </is>
      </c>
      <c r="BS3" s="145" t="n">
        <v>1</v>
      </c>
      <c r="BT3" s="143" t="inlineStr">
        <is>
          <t>Você não é pego de surpresa enquanto estiver acordado. Isso não revela criaturas escondidas, não muda sua posição na iniciativa e não concede uma ação adicional.</t>
        </is>
      </c>
      <c r="BU3" s="145" t="n">
        <v>1</v>
      </c>
      <c r="BV3" s="145" t="n">
        <v>0</v>
      </c>
      <c r="BW3" s="145">
        <f>IF(OR(AND($A$2&lt;=2,$BU3=1),AND($A$2&gt;=2,$BV3=1)),$BR3,"")</f>
        <v/>
      </c>
      <c r="BX3" s="143" t="inlineStr">
        <is>
          <t>Você não é pego de surpresa enquanto estiver acordado. Isso não revela criaturas escondidas, não muda sua posição na iniciativa e não concede uma ação adicional.</t>
        </is>
      </c>
      <c r="BZ3" s="145" t="n">
        <v>2</v>
      </c>
      <c r="CA3" s="145" t="n">
        <v>7</v>
      </c>
      <c r="CC3" s="143" t="inlineStr">
        <is>
          <t>Canalizar Energia</t>
        </is>
      </c>
      <c r="CD3" s="143" t="inlineStr">
        <is>
          <t>Gratuita no Refino 1</t>
        </is>
      </c>
      <c r="CE3" s="143" t="inlineStr">
        <is>
          <t>—</t>
        </is>
      </c>
      <c r="CF3" s="143" t="inlineStr">
        <is>
          <t>Dados adicionais</t>
        </is>
      </c>
      <c r="CG3" s="14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45">
        <f>IF($CK3=1,"",IF($A$2=4,IF($CI3=1,$CC3,""),IF(OR($CI3=1,AND($A$2=3,$CJ3=1)),"",$CC3)))</f>
        <v/>
      </c>
      <c r="CI3" s="145" t="n">
        <v>0</v>
      </c>
      <c r="CJ3" s="145" t="n">
        <v>0</v>
      </c>
      <c r="CK3" s="145" t="n">
        <v>1</v>
      </c>
      <c r="CL3" s="143" t="inlineStr">
        <is>
          <t>Você envolve seus golpes em energia amaldiçoada.</t>
        </is>
      </c>
      <c r="CN3" s="143" t="inlineStr">
        <is>
          <t>Energia Reversa</t>
        </is>
      </c>
      <c r="CP3" s="143" t="inlineStr">
        <is>
          <t>Ferramenta de atacar</t>
        </is>
      </c>
      <c r="CR3" s="145">
        <f>IF($A$2=2,IFERROR(INDEX($CN$2:$CN$5,2),""),IF($A$2&gt;=3,IFERROR(INDEX($CP$2:$CP$4,2),""),""))</f>
        <v/>
      </c>
      <c r="CT3" s="143" t="inlineStr">
        <is>
          <t>Balestra</t>
        </is>
      </c>
      <c r="CU3" s="145" t="n">
        <v>0</v>
      </c>
      <c r="CV3" s="145" t="n">
        <v>1</v>
      </c>
      <c r="CW3" s="145">
        <f>IF(AND($A$2&gt;=3,'FICHA AMALDIÇOADA'!$J$16&amp;""="Três grupos de arma"),$CT3,"")</f>
        <v/>
      </c>
      <c r="CY3" s="145" t="n">
        <v>5</v>
      </c>
      <c r="CZ3" s="145" t="n">
        <v>3</v>
      </c>
      <c r="DA3" s="145" t="n">
        <v>3</v>
      </c>
      <c r="DC3" s="145" t="n">
        <v>20</v>
      </c>
      <c r="DE3" s="145" t="n">
        <v>4</v>
      </c>
      <c r="DG3" s="145" t="n">
        <v>21</v>
      </c>
      <c r="DH3" s="145" t="n">
        <v>28</v>
      </c>
      <c r="DI3" s="145" t="n">
        <v>12</v>
      </c>
      <c r="DK3" s="143" t="inlineStr">
        <is>
          <t>Completa</t>
        </is>
      </c>
      <c r="DL3" s="145" t="n">
        <v>3</v>
      </c>
      <c r="DM3" s="145" t="n">
        <v>14</v>
      </c>
      <c r="DN3" s="145" t="n">
        <v>5</v>
      </c>
      <c r="DO3" s="143" t="inlineStr">
        <is>
          <t>Incompleta, nível 14 e refino 5</t>
        </is>
      </c>
      <c r="DQ3" s="143" t="inlineStr">
        <is>
          <t>Temporário</t>
        </is>
      </c>
      <c r="DR3" s="143" t="inlineStr">
        <is>
          <t>No seu turno, como Ação Bônus ou Reação</t>
        </is>
      </c>
      <c r="DT3" s="143" t="inlineStr">
        <is>
          <t>Um espaço conhecido</t>
        </is>
      </c>
      <c r="DV3" s="143" t="inlineStr">
        <is>
          <t>Feitiço 2</t>
        </is>
      </c>
      <c r="DW3" s="145" t="n">
        <v>0</v>
      </c>
      <c r="DX3" s="145" t="n">
        <v>2</v>
      </c>
      <c r="DY3" s="145">
        <f>MAX(1,MIN(7,N('FICHA AMALDIÇOADA'!$J$51)))</f>
        <v/>
      </c>
      <c r="DZ3" s="145">
        <f>'FICHA AMALDIÇOADA'!$K$51&amp;""</f>
        <v/>
      </c>
      <c r="EA3" s="145">
        <f>'FICHA AMALDIÇOADA'!$J$58&amp;""</f>
        <v/>
      </c>
      <c r="EB3" s="145">
        <f>'FICHA AMALDIÇOADA'!$K$60&amp;""</f>
        <v/>
      </c>
      <c r="EC3" s="145">
        <f>'FICHA AMALDIÇOADA'!$K$61&amp;""</f>
        <v/>
      </c>
      <c r="ED3" s="145">
        <f>'FICHA AMALDIÇOADA'!$K$62&amp;""</f>
        <v/>
      </c>
      <c r="EE3" s="145">
        <f>'FICHA AMALDIÇOADA'!$K$63&amp;""</f>
        <v/>
      </c>
      <c r="EF3" s="145">
        <f>'FICHA AMALDIÇOADA'!$K$64&amp;""</f>
        <v/>
      </c>
      <c r="EG3" s="145">
        <f>'FICHA AMALDIÇOADA'!$K$65&amp;""</f>
        <v/>
      </c>
      <c r="EH3" s="145">
        <f>IF($DZ3&lt;&gt;"",1,0)</f>
        <v/>
      </c>
      <c r="EI3" s="145">
        <f>IFERROR(MATCH($EA3,$Y$2:$Y$11,0),0)</f>
        <v/>
      </c>
      <c r="EJ3" s="145">
        <f>IF($EI3=0,0,INDEX($AB$2:$AB$11,$EI3))</f>
        <v/>
      </c>
      <c r="EK3" s="145">
        <f>IFERROR(VLOOKUP($EB3,$BC$2:$BJ$84,4,FALSE),0)</f>
        <v/>
      </c>
      <c r="EL3" s="145">
        <f>IFERROR(VLOOKUP($EC3,$BC$2:$BJ$84,4,FALSE),0)</f>
        <v/>
      </c>
      <c r="EM3" s="145">
        <f>IFERROR(VLOOKUP($ED3,$BC$2:$BJ$84,4,FALSE),0)</f>
        <v/>
      </c>
      <c r="EN3" s="145">
        <f>IFERROR(VLOOKUP($EE3,$BC$2:$BJ$84,4,FALSE),0)</f>
        <v/>
      </c>
      <c r="EO3" s="145">
        <f>IF($EI3=0,0,INDEX($AC$2:$AC$11,$EI3))</f>
        <v/>
      </c>
      <c r="EP3" s="145">
        <f>IFERROR(VLOOKUP($EB3,$BC$2:$BJ$84,5,FALSE),0)</f>
        <v/>
      </c>
      <c r="EQ3" s="145">
        <f>IFERROR(VLOOKUP($EC3,$BC$2:$BJ$84,5,FALSE),0)</f>
        <v/>
      </c>
      <c r="ER3" s="145">
        <f>IFERROR(VLOOKUP($ED3,$BC$2:$BJ$84,5,FALSE),0)</f>
        <v/>
      </c>
      <c r="ES3" s="145">
        <f>IFERROR(VLOOKUP($EE3,$BC$2:$BJ$84,5,FALSE),0)</f>
        <v/>
      </c>
      <c r="ET3" s="145">
        <f>IFERROR(VLOOKUP($EB3,$BC$2:$BJ$84,6,FALSE),0)+IFERROR(VLOOKUP($EC3,$BC$2:$BJ$84,6,FALSE),0)+IFERROR(VLOOKUP($ED3,$BC$2:$BJ$84,6,FALSE),0)+IFERROR(VLOOKUP($EE3,$BC$2:$BJ$84,6,FALSE),0)</f>
        <v/>
      </c>
      <c r="EU3" s="145">
        <f>IF($EI3=0,0,INDEX($AD$2:$AD$11,$EI3))</f>
        <v/>
      </c>
      <c r="EV3" s="145">
        <f>IF($EI3=0,0,INDEX($AE$2:$AE$11,$EI3))</f>
        <v/>
      </c>
      <c r="EW3" s="145">
        <f>IF($EI3=0,0,INDEX($AG$2:$AG$11,$EI3))</f>
        <v/>
      </c>
      <c r="EX3" s="145">
        <f>IFERROR(VLOOKUP($EF3,$BL$2:$BP$24,3,FALSE),0)</f>
        <v/>
      </c>
      <c r="EY3" s="145">
        <f>IFERROR(VLOOKUP($EG3,$BL$2:$BP$24,3,FALSE),0)</f>
        <v/>
      </c>
      <c r="EZ3" s="145">
        <f>IFERROR(VLOOKUP($EF3,$BL$2:$BP$24,2,FALSE),"")</f>
        <v/>
      </c>
      <c r="FA3" s="145">
        <f>IFERROR(VLOOKUP($EG3,$BL$2:$BP$24,2,FALSE),"")</f>
        <v/>
      </c>
      <c r="FB3" s="145">
        <f>COUNTIF($EJ3:$EN3,1)</f>
        <v/>
      </c>
      <c r="FC3" s="145">
        <f>COUNTIF($EJ3:$EN3,2)</f>
        <v/>
      </c>
      <c r="FD3" s="145">
        <f>COUNTIF($EJ3:$EN3,3)</f>
        <v/>
      </c>
      <c r="FE3" s="145">
        <f>COUNTIF($EJ3:$EN3,4)</f>
        <v/>
      </c>
      <c r="FF3" s="145">
        <f>COUNTIF($EJ3:$EN3,5)</f>
        <v/>
      </c>
      <c r="FG3" s="145">
        <f>COUNTIF($EJ3:$EN3,6)</f>
        <v/>
      </c>
      <c r="FH3" s="145">
        <f>COUNTIF($EX3:$EY3,1)</f>
        <v/>
      </c>
      <c r="FI3" s="145">
        <f>COUNTIF($EX3:$EY3,2)+$EU3</f>
        <v/>
      </c>
      <c r="FJ3" s="145">
        <f>COUNTIF($EB3:$EE3,"?*")</f>
        <v/>
      </c>
      <c r="FK3" s="145">
        <f>COUNTIF($EF3:$EG3,"?*")+$EU3</f>
        <v/>
      </c>
      <c r="FL3" s="145">
        <f>SUMPRODUCT($FB3:$FG3,INDEX($Q$2:$V$8,$DY3,0))</f>
        <v/>
      </c>
      <c r="FM3" s="145">
        <f>$FH3*CEILING($DY3/2,1)+$FI3*$DY3</f>
        <v/>
      </c>
      <c r="FN3" s="145">
        <f>MIN(2*$DY3,$FM3)</f>
        <v/>
      </c>
      <c r="FO3" s="145">
        <f>MIN($FN3,$FL3)</f>
        <v/>
      </c>
      <c r="FP3" s="145">
        <f>$FN3-$FO3</f>
        <v/>
      </c>
      <c r="FQ3" s="145">
        <f>3*$DY3-$FL3+$FO3</f>
        <v/>
      </c>
      <c r="FR3" s="145">
        <f>MAX(0,$FQ3)+$DW3*$DY3</f>
        <v/>
      </c>
      <c r="FS3" s="145">
        <f>(IF(COUNTIF($EB3:$EE3,"Salto")&gt;0,1,0)+IF(COUNTIF($EB3:$EE3,"Queima")&gt;0,1,0)+IF(COUNTIF($EB3:$EE3,"Estilhaço")&gt;0,1,0))*FLOOR($FR3/2,1)</f>
        <v/>
      </c>
      <c r="FT3" s="145">
        <f>MAX(0,3-SUMPRODUCT($FB3:$FG3,$Q$2:$V$2)+MIN(2,$FH3*1+$FI3*1,SUMPRODUCT($FB3:$FG3,$Q$2:$V$2)))+$DW3*1</f>
        <v/>
      </c>
      <c r="FU3" s="145">
        <f>MAX(0,6-SUMPRODUCT($FB3:$FG3,$Q$3:$V$3)+MIN(4,$FH3*1+$FI3*2,SUMPRODUCT($FB3:$FG3,$Q$3:$V$3)))+$DW3*2</f>
        <v/>
      </c>
      <c r="FV3" s="145">
        <f>MAX(0,9-SUMPRODUCT($FB3:$FG3,$Q$4:$V$4)+MIN(6,$FH3*2+$FI3*3,SUMPRODUCT($FB3:$FG3,$Q$4:$V$4)))+$DW3*3</f>
        <v/>
      </c>
      <c r="FW3" s="145">
        <f>MAX(0,12-SUMPRODUCT($FB3:$FG3,$Q$5:$V$5)+MIN(8,$FH3*2+$FI3*4,SUMPRODUCT($FB3:$FG3,$Q$5:$V$5)))+$DW3*4</f>
        <v/>
      </c>
      <c r="FX3" s="145">
        <f>MAX(0,15-SUMPRODUCT($FB3:$FG3,$Q$6:$V$6)+MIN(10,$FH3*3+$FI3*5,SUMPRODUCT($FB3:$FG3,$Q$6:$V$6)))+$DW3*5</f>
        <v/>
      </c>
      <c r="FY3" s="145">
        <f>MAX(0,18-SUMPRODUCT($FB3:$FG3,$Q$7:$V$7)+MIN(12,$FH3*3+$FI3*6,SUMPRODUCT($FB3:$FG3,$Q$7:$V$7)))+$DW3*6</f>
        <v/>
      </c>
      <c r="FZ3" s="145">
        <f>MAX(0,21-SUMPRODUCT($FB3:$FG3,$Q$8:$V$8)+MIN(14,$FH3*4+$FI3*7,SUMPRODUCT($FB3:$FG3,$Q$8:$V$8)))+$DW3*7</f>
        <v/>
      </c>
      <c r="GA3" s="145">
        <f>IF($EV3=2,3*$FT3&amp;" de vida temp.",IF($EV3=3,"sem dano",IF($FT3=0,IF($EV3=1,"sem cura","sem dano"),IF($EV3=1,"cura ","")&amp;$FT3&amp;"d8")))</f>
        <v/>
      </c>
      <c r="GB3" s="145">
        <f>IF($EV3=2,3*$FU3&amp;" de vida temp.",IF($EV3=3,"sem dano",IF($FU3=0,IF($EV3=1,"sem cura","sem dano"),IF($EV3=1,"cura ","")&amp;$FU3&amp;"d8")))</f>
        <v/>
      </c>
      <c r="GC3" s="145">
        <f>IF($EV3=2,3*$FV3&amp;" de vida temp.",IF($EV3=3,"sem dano",IF($FV3=0,IF($EV3=1,"sem cura","sem dano"),IF($EV3=1,"cura ","")&amp;$FV3&amp;"d8")))</f>
        <v/>
      </c>
      <c r="GD3" s="145">
        <f>IF($EV3=2,3*$FW3&amp;" de vida temp.",IF($EV3=3,"sem dano",IF($FW3=0,IF($EV3=1,"sem cura","sem dano"),IF($EV3=1,"cura ","")&amp;$FW3&amp;"d8")))</f>
        <v/>
      </c>
      <c r="GE3" s="145">
        <f>IF($EV3=2,3*$FX3&amp;" de vida temp.",IF($EV3=3,"sem dano",IF($FX3=0,IF($EV3=1,"sem cura","sem dano"),IF($EV3=1,"cura ","")&amp;$FX3&amp;"d8")))</f>
        <v/>
      </c>
      <c r="GF3" s="145">
        <f>IF($EV3=2,3*$FY3&amp;" de vida temp.",IF($EV3=3,"sem dano",IF($FY3=0,IF($EV3=1,"sem cura","sem dano"),IF($EV3=1,"cura ","")&amp;$FY3&amp;"d8")))</f>
        <v/>
      </c>
      <c r="GG3" s="145">
        <f>IF($EV3=2,3*$FZ3&amp;" de vida temp.",IF($EV3=3,"sem dano",IF($FZ3=0,IF($EV3=1,"sem cura","sem dano"),IF($EV3=1,"cura ","")&amp;$FZ3&amp;"d8")))</f>
        <v/>
      </c>
      <c r="GH3" s="145">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45">
        <f>IF($GH3="",0,(LEN($GH3)-LEN(SUBSTITUTE($GH3," · ","")))/3+1)</f>
        <v/>
      </c>
      <c r="GJ3" s="145">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45">
        <f>IF($GJ3="",0,(LEN($GJ3)-LEN(SUBSTITUTE($GJ3," · ","")))/3+1)</f>
        <v/>
      </c>
      <c r="GL3" s="145">
        <f>IF($EH3=0,IF($FJ3+$FK3-$EU3&gt;0,"Dê um nome",""),IF($GI3&gt;0,"⚠ "&amp;$GI3&amp;IF($GI3&gt;1," erros"," erro"),IF($GK3&gt;0,"! "&amp;$GK3&amp;IF($GK3&gt;1," avisos"," aviso"),"Na regra")))</f>
        <v/>
      </c>
      <c r="GM3" s="145">
        <f>IF($EH3=0,"",IF($GI3+$GK3=0,"Dentro das regras que a ficha confere",$GH3&amp;IF(AND($GI3&gt;0,$GK3&gt;0)," · ","")&amp;$GJ3))</f>
        <v/>
      </c>
      <c r="GN3" s="145">
        <f>IF($EH3=0,"",IF($DW3=1,CEILING(4.5*$DY3,1),3*$DY3)&amp;" PE")</f>
        <v/>
      </c>
      <c r="GO3" s="145">
        <f>IF($EH3=0,"",IF($DW3=1,"Rodada inteira",IF(COUNTIF($EZ3:$FA3,"Atrasar")&gt;0,IF(COUNTIF($EZ3:$FA3,"Carregar")&gt;0,"Rodada +1 turno","Rodada inteira"),IF(COUNTIF($EB3:$EE3,"Rápido")&gt;0,"Bônus",IF(COUNTIF($EB3:$EE3,"Reação")&gt;0,"Reação","Padrão"))&amp;IF(COUNTIF($EZ3:$FA3,"Carregar")&gt;0," +1 turno",""))))</f>
        <v/>
      </c>
      <c r="GP3" s="145">
        <f>IF(OR($EH3=0,$EI3=0),"",IF(COUNTIF($EB3:$EE3,"Inescapável")&gt;0,"Automático",IF(COUNTIF($EB3:$EE3,"Certeiro")&gt;0,"TR para metade",INDEX($AF$2:$AF$11,$EI3))))</f>
        <v/>
      </c>
      <c r="GQ3" s="145">
        <f>IF(OR($EH3=0,$EI3=0),"",IF(OR($EV3&gt;=2,$FR3=0),UPPER(LEFT(INDEX($GA3:$GG3,1,$DY3),1))&amp;MID(INDEX($GA3:$GG3,1,$DY3),2,99),UPPER(LEFT(INDEX($GA3:$GG3,1,$DY3),1))&amp;MID(INDEX($GA3:$GG3,1,$DY3),2,99)&amp;" = "&amp;FLOOR($FR3*4.5,1)&amp;IF($FS3&gt;0," · +"&amp;$FS3&amp;"d8","")))</f>
        <v/>
      </c>
      <c r="GR3" s="145">
        <f>COUNTIF($EB3:$EE3,"Longe")+3*COUNTIF($EB3:$EE3,"Muito Longe")</f>
        <v/>
      </c>
      <c r="GS3" s="145">
        <f>COUNTIF($EB3:$EE3,"Maior")+3*COUNTIF($EB3:$EE3,"Muito Maior")</f>
        <v/>
      </c>
      <c r="GT3" s="145">
        <f>IF($EI3=0,0,CHOOSE(1+INDEX($AH$2:$AH$11,$EI3),0,$GR3,$GS3,$GR3+$GS3))</f>
        <v/>
      </c>
      <c r="GU3" s="145">
        <f>IF($EI3=0,0,CHOOSE(1+INDEX($AI$2:$AI$11,$EI3),0,$GR3,$GS3,$GR3+$GS3))</f>
        <v/>
      </c>
      <c r="GV3" s="145">
        <f>IF(OR($EH3=0,$EI3=0),"",INDEX($AP$2:$AU$31,($EI3-1)*3+IF($DY3&gt;=6,3,2),1+MIN(5,$GT3))&amp;INDEX($AV$2:$BA$31,($EI3-1)*3+IF($DY3&gt;=6,3,2),1+MIN(5,$GU3))&amp;IF(INDEX($AJ$2:$AJ$11,$EI3)=1,IF(COUNTIF($EB3:$EE3,"Mais Um")&gt;0," · +"&amp;COUNTIF($EB3:$EE3,"Mais Um")&amp;IF(COUNTIF($EB3:$EE3,"Mais Um")&gt;1," alvos"," alvo"),"")&amp;IF(COUNTIF($EB3:$EE3,"Rajada")&gt;0," · "&amp;($DY3+1)&amp;" tiros",""),""))</f>
        <v/>
      </c>
      <c r="GW3" s="145">
        <f>IF($EH3=0,"",3*$DY3&amp;" − "&amp;$FL3&amp;" + "&amp;$FO3&amp;IF($DW3=1," + "&amp;$DY3,"")&amp;" = "&amp;$FR3&amp;"d8 · teto "&amp;4*$DY3&amp;IF($EU3=1," · a Forma devolve "&amp;$DY3,"")&amp;IF($FP3&gt;0," · perde "&amp;$FP3,""))</f>
        <v/>
      </c>
      <c r="GX3" s="145">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5">
        <f>IF(OR($EH3=0,$EK3=0),"","−"&amp;INDEX($Q$2:$V$8,$DY3,$EK3)&amp;" · "&amp;CHOOSE($EK3,"Leve","Média","Pesada","Leve · Livre","Média · Livre","Pesada · Livre"))</f>
        <v/>
      </c>
      <c r="GZ3" s="145">
        <f>IF(OR($EH3=0,$EL3=0),"","−"&amp;INDEX($Q$2:$V$8,$DY3,$EL3)&amp;" · "&amp;CHOOSE($EL3,"Leve","Média","Pesada","Leve · Livre","Média · Livre","Pesada · Livre"))</f>
        <v/>
      </c>
      <c r="HA3" s="145">
        <f>IF(OR($EH3=0,$EM3=0),"","−"&amp;INDEX($Q$2:$V$8,$DY3,$EM3)&amp;" · "&amp;CHOOSE($EM3,"Leve","Média","Pesada","Leve · Livre","Média · Livre","Pesada · Livre"))</f>
        <v/>
      </c>
      <c r="HB3" s="145">
        <f>IF(OR($EH3=0,$EN3=0),"","−"&amp;INDEX($Q$2:$V$8,$DY3,$EN3)&amp;" · "&amp;CHOOSE($EN3,"Leve","Média","Pesada","Leve · Livre","Média · Livre","Pesada · Livre"))</f>
        <v/>
      </c>
      <c r="HC3" s="145">
        <f>IF(OR($EH3=0,$EF3=""),"","+"&amp;IF($EX3=1,CEILING($DY3/2,1),$DY3))</f>
        <v/>
      </c>
      <c r="HD3" s="145">
        <f>IF(OR($EH3=0,$EG3=""),"","+"&amp;IF($EY3=1,CEILING($DY3/2,1),$DY3))</f>
        <v/>
      </c>
      <c r="HE3" s="145">
        <f>'FICHA AMALDIÇOADA'!$J$53&amp;""</f>
        <v/>
      </c>
      <c r="HF3" s="145">
        <f>IF(AND($EH3=1,$DW3=0),COUNTIFS($EH$2:$EH3,1,$DW$2:$DW3,0),"")</f>
        <v/>
      </c>
      <c r="HH3" s="143" t="inlineStr">
        <is>
          <t>maestria</t>
        </is>
      </c>
      <c r="HI3" s="145">
        <f>N(FICHA!$D$51)</f>
        <v/>
      </c>
      <c r="HK3" s="143" t="inlineStr">
        <is>
          <t>Talento 2</t>
        </is>
      </c>
      <c r="HL3" s="145">
        <f>'FICHA AMALDIÇOADA'!$J$379&amp;""</f>
        <v/>
      </c>
      <c r="HM3" s="145">
        <f>IFERROR(VLOOKUP($HL3,$BR$2:$BX$24,2,FALSE),0)</f>
        <v/>
      </c>
      <c r="HN3" s="145">
        <f>IFERROR(VLOOKUP($HM3,$BZ$2:$CA$4,2,FALSE),0)</f>
        <v/>
      </c>
      <c r="HO3" s="145">
        <f>IFERROR(VLOOKUP($HL3,$BR$2:$BX$24,3,FALSE),"")</f>
        <v/>
      </c>
      <c r="HP3" s="145">
        <f>IF($HM3=0,"",IF($HN3&gt;$HI$2,"⚠ Nível "&amp;$HN3,"CE "&amp;$HM3))</f>
        <v/>
      </c>
      <c r="HQ3" s="145">
        <f>IF($HM3=0,"",$HM3&amp;" esp.")</f>
        <v/>
      </c>
      <c r="HR3" s="145">
        <f>'FICHA AMALDIÇOADA'!$K$384&amp;""</f>
        <v/>
      </c>
      <c r="HS3" s="145">
        <f>IF($HL3="","",COUNTIF($HL$2:$HL3,"?*"))</f>
        <v/>
      </c>
      <c r="HU3" s="143" t="inlineStr">
        <is>
          <t>Aptidão 2</t>
        </is>
      </c>
      <c r="HV3" s="145">
        <f>'FICHA AMALDIÇOADA'!$J$430&amp;""</f>
        <v/>
      </c>
      <c r="HW3" s="145">
        <f>IF($HV3="","","Requisito: "&amp;IFERROR(VLOOKUP($HV3,$CC$2:$CL$33,2,FALSE),""))</f>
        <v/>
      </c>
      <c r="HX3" s="145">
        <f>IF($HV3="","",IFERROR(IF(ISNUMBER(VLOOKUP($HV3,$CC$2:$CL$33,3,FALSE)),"CE "&amp;VLOOKUP($HV3,$CC$2:$CL$33,3,FALSE),VLOOKUP($HV3,$CC$2:$CL$33,3,FALSE)),""))</f>
        <v/>
      </c>
      <c r="HY3" s="145">
        <f>IF($HV3="","",IFERROR(VLOOKUP($HV3,$CC$2:$CL$33,4,FALSE),""))</f>
        <v/>
      </c>
      <c r="HZ3" s="145">
        <f>IF($HV3="","",IFERROR(VLOOKUP($HV3,$CC$2:$CL$33,5,FALSE),""))</f>
        <v/>
      </c>
      <c r="IA3" s="145">
        <f>'FICHA AMALDIÇOADA'!$K$447&amp;""</f>
        <v/>
      </c>
      <c r="IB3" s="145">
        <f>IF($HV3="","",COUNTIF($HV$2:$HV3,"?*"))</f>
        <v/>
      </c>
      <c r="ID3" s="143" t="inlineStr">
        <is>
          <t>Classe 0 · 2</t>
        </is>
      </c>
      <c r="IE3" s="145">
        <f>'FICHA AMALDIÇOADA'!$F$311&amp;""</f>
        <v/>
      </c>
      <c r="IF3" s="145">
        <f>'FICHA AMALDIÇOADA'!$J$311&amp;""</f>
        <v/>
      </c>
      <c r="IG3" s="145">
        <f>'FICHA AMALDIÇOADA'!$L$311&amp;""</f>
        <v/>
      </c>
      <c r="IH3" s="145">
        <f>IFERROR(MATCH($IE3,$Y$2:$Y$11,0),0)</f>
        <v/>
      </c>
      <c r="II3" s="145">
        <f>$HI$11-IF($IF3&lt;&gt;"",1,0)</f>
        <v/>
      </c>
      <c r="IJ3" s="145">
        <f>IF(2&gt;$HI$10,"Nível 1",IF($IH3=0,"",IF(INDEX($AE$2:$AE$11,$IH3)&gt;=2,"—",$II3&amp;"d8 = "&amp;FLOOR($II3*4.5,1))))</f>
        <v/>
      </c>
      <c r="IK3" s="145">
        <f>IF(OR(2&gt;$HI$10,$IH3=0),"",INDEX($AP$2:$AU$31,($IH3-1)*3+1,1+IF(OR(AND($IF3="Longe",INDEX($AH$2:$AH$11,$IH3)&lt;&gt;2),AND($IF3="Maior",INDEX($AH$2:$AH$11,$IH3)&gt;=2)),1,0))&amp;INDEX($AV$2:$BA$31,($IH3-1)*3+1,1+IF(AND($IF3="Longe",INDEX($AI$2:$AI$11,$IH3)=1),1,0)))</f>
        <v/>
      </c>
      <c r="IM3" s="143" t="inlineStr">
        <is>
          <t>Orçamento</t>
        </is>
      </c>
      <c r="IN3" s="145">
        <f>ADDRESS(ROW('FICHA AMALDIÇOADA'!E7),COLUMN('FICHA AMALDIÇOADA'!E7),4)</f>
        <v/>
      </c>
      <c r="IO3" s="145">
        <f>ADDRESS(ROW('FICHA AMALDIÇOADA'!D39),COLUMN('FICHA AMALDIÇOADA'!D39),4)</f>
        <v/>
      </c>
      <c r="IP3" s="143" t="inlineStr">
        <is>
          <t>DADOS_AM!$IM$3</t>
        </is>
      </c>
      <c r="IR3" s="143" t="inlineStr">
        <is>
          <t>Caminho 7</t>
        </is>
      </c>
      <c r="IS3" s="145" t="n">
        <v>7</v>
      </c>
      <c r="IT3" s="145">
        <f>IF($HI$2&gt;=7,"Nível 7","Abre no 7")</f>
        <v/>
      </c>
      <c r="IU3" s="145">
        <f>ADDRESS(ROW(FICHA!G98),COLUMN(FICHA!G98),4)</f>
        <v/>
      </c>
      <c r="IV3" s="145">
        <f>ADDRESS(ROW(FICHA!D99),COLUMN(FICHA!D99),4)</f>
        <v/>
      </c>
      <c r="IX3" s="143" t="inlineStr">
        <is>
          <t>Trilha · Escolhas da Trilha</t>
        </is>
      </c>
      <c r="IY3" s="145">
        <f>ADDRESS(ROW(FICHA!D154),COLUMN(FICHA!D154),4)</f>
        <v/>
      </c>
      <c r="JA3" s="143" t="inlineStr">
        <is>
          <t>Trilha</t>
        </is>
      </c>
      <c r="JB3" s="145">
        <f>"TRILHA"&amp;IF(OR(FICHA!$N$11="",LEFT(FICHA!$N$11,7)="Escolha"),"","  ·  "&amp;UPPER(FICHA!$N$11))&amp;"  ·  QUATRO ENTREGAS"</f>
        <v/>
      </c>
      <c r="JD3" s="145" t="n">
        <v>2</v>
      </c>
      <c r="JE3" s="145">
        <f>IFERROR(MATCH(2,$HF$2:$HF$37,0),0)</f>
        <v/>
      </c>
      <c r="JF3" s="145">
        <f>IF($JE3=0,"",INDEX($DY$2:$DY$37,$JE3))</f>
        <v/>
      </c>
      <c r="JG3" s="145">
        <f>IF($JE3=0,"",INDEX($DZ$2:$DZ$37,$JE3))</f>
        <v/>
      </c>
      <c r="JH3" s="145">
        <f>IF($JE3=0,"",INDEX($GN$2:$GN$37,$JE3))</f>
        <v/>
      </c>
      <c r="JI3" s="145">
        <f>IF($JE3=0,"",INDEX($EA$2:$EA$37,$JE3))</f>
        <v/>
      </c>
      <c r="JJ3" s="145">
        <f>IF($JE3=0,"",INDEX($GP$2:$GP$37,$JE3))</f>
        <v/>
      </c>
      <c r="JK3" s="145">
        <f>IF($JE3=0,"",INDEX($HE$2:$HE$37,$JE3))</f>
        <v/>
      </c>
      <c r="JM3" s="145" t="n">
        <v>2</v>
      </c>
      <c r="JN3" s="145">
        <f>IF($EH$39=0,"",$DY$39)</f>
        <v/>
      </c>
      <c r="JO3" s="145">
        <f>IF($EH$39=0,"",$DZ$39)</f>
        <v/>
      </c>
      <c r="JP3" s="145">
        <f>IF($EH$39=0,"",$GN$39)</f>
        <v/>
      </c>
      <c r="JQ3" s="145">
        <f>IF($EH$39=0,"",$EA$39)</f>
        <v/>
      </c>
      <c r="JR3" s="145">
        <f>IF($EH$39=0,"",$GP$39)</f>
        <v/>
      </c>
      <c r="JS3" s="145">
        <f>IF($EH$39=0,"",$HE$39)</f>
        <v/>
      </c>
      <c r="JU3" s="143" t="inlineStr">
        <is>
          <t>Domínio</t>
        </is>
      </c>
      <c r="JV3" s="145">
        <f>IF(DADOS_AM!$A$2&lt;&gt;1,"Esta rota não tem Expansão de Domínio",'FICHA AMALDIÇOADA'!$P$361&amp;"")</f>
        <v/>
      </c>
      <c r="JW3" s="145">
        <f>IF(OR(DADOS_AM!$A$2&lt;&gt;1,$HI$34=""),"",IF($HI$34="Sem Barreiras",7,6)*$HI$4&amp;" PE")</f>
        <v/>
      </c>
      <c r="JX3" s="145">
        <f>IF(DADOS_AM!$A$2&lt;&gt;1,"",$HI$34)</f>
        <v/>
      </c>
      <c r="JY3" s="145">
        <f>IF(OR(DADOS_AM!$A$2&lt;&gt;1,$HI$34=""),"",IF($HI$34="Incompleta","Rola","Acontece"))</f>
        <v/>
      </c>
      <c r="JZ3" s="145">
        <f>IF(DADOS_AM!$A$2&lt;&gt;1,"",'FICHA AMALDIÇOADA'!$D$371&amp;"")</f>
        <v/>
      </c>
      <c r="KB3" s="143" t="inlineStr">
        <is>
          <t>Regra Própria</t>
        </is>
      </c>
      <c r="KC3" s="145" t="n">
        <v>0</v>
      </c>
      <c r="KD3" s="145">
        <f>IF(N('FICHA AMALDIÇOADA'!$P$33)=0,"—","CE "&amp;'FICHA AMALDIÇOADA'!$P$33)</f>
        <v/>
      </c>
      <c r="KE3" s="143" t="inlineStr">
        <is>
          <t>Regra Própria</t>
        </is>
      </c>
      <c r="KF3" s="145">
        <f>IF('FICHA AMALDIÇOADA'!$D$33="","Esta técnica não tem Regra Própria",'FICHA AMALDIÇOADA'!$D$33&amp;"")</f>
        <v/>
      </c>
      <c r="KH3" s="143" t="inlineStr">
        <is>
          <t>De graça 2</t>
        </is>
      </c>
      <c r="KI3" s="145" t="n">
        <v>0</v>
      </c>
      <c r="KJ3" s="143" t="inlineStr">
        <is>
          <t>—</t>
        </is>
      </c>
      <c r="KK3" s="145">
        <f>INDEX($D$10:$G$10,1,$A$2)</f>
        <v/>
      </c>
      <c r="KL3" s="145">
        <f>"Do livro: "&amp;IFERROR(VLOOKUP($KK3,$CC$2:$CL$33,10,FALSE),"")</f>
        <v/>
      </c>
      <c r="KN3" s="143" t="inlineStr">
        <is>
          <t>feitiços</t>
        </is>
      </c>
      <c r="KO3" s="145">
        <f>UPPER(INDEX($D$3:$G$3,1,$A$2))&amp;"  ·  "&amp;$HI$15&amp;" de 36"</f>
        <v/>
      </c>
      <c r="KQ3" s="143" t="inlineStr">
        <is>
          <t>L12</t>
        </is>
      </c>
      <c r="KR3" s="145">
        <f>IF(DADOS_AM!$HI$41=1,IF(DADOS_AM!$HI$48=0,"Escolha os grupos",IF(DADOS_AM!$HI$48=1,IF(DADOS_AM!$HI$42&lt;&gt;"",DADOS_AM!$HI$42,IF(DADOS_AM!$HI$43&lt;&gt;"",DADOS_AM!$HI$43,DADOS_AM!$HI$44))&amp;", das armas","Por grupo")),FICHA!$Z$51)</f>
        <v/>
      </c>
    </row>
    <row r="4">
      <c r="C4" s="143" t="inlineStr">
        <is>
          <t>liberação</t>
        </is>
      </c>
      <c r="D4" s="143" t="inlineStr">
        <is>
          <t>Liberação Máxima</t>
        </is>
      </c>
      <c r="E4" s="143" t="inlineStr">
        <is>
          <t>Liberação Máxima</t>
        </is>
      </c>
      <c r="F4" s="143" t="inlineStr">
        <is>
          <t>Ruptura</t>
        </is>
      </c>
      <c r="G4" s="143" t="inlineStr">
        <is>
          <t>Ruptura</t>
        </is>
      </c>
      <c r="I4" s="143" t="inlineStr">
        <is>
          <t>Mira</t>
        </is>
      </c>
      <c r="J4" s="145">
        <f>'FICHA AMALDIÇOADA'!$F$37&amp;""</f>
        <v/>
      </c>
      <c r="K4" s="145">
        <f>IF($J4="Livre",1,0)</f>
        <v/>
      </c>
      <c r="L4" s="145">
        <f>IF($J4="Fechada",1,0)</f>
        <v/>
      </c>
      <c r="N4" s="143" t="inlineStr">
        <is>
          <t>Fechada</t>
        </is>
      </c>
      <c r="P4" s="145" t="n">
        <v>3</v>
      </c>
      <c r="Q4" s="145" t="n">
        <v>2</v>
      </c>
      <c r="R4" s="145" t="n">
        <v>3</v>
      </c>
      <c r="S4" s="145" t="n">
        <v>5</v>
      </c>
      <c r="T4" s="145" t="n">
        <v>1</v>
      </c>
      <c r="U4" s="145" t="n">
        <v>1</v>
      </c>
      <c r="V4" s="145" t="n">
        <v>3</v>
      </c>
      <c r="W4" s="145" t="n">
        <v>3</v>
      </c>
      <c r="Y4" s="143" t="inlineStr">
        <is>
          <t>Explosão</t>
        </is>
      </c>
      <c r="Z4" s="143" t="inlineStr">
        <is>
          <t>Área</t>
        </is>
      </c>
      <c r="AA4" s="145" t="n">
        <v>1</v>
      </c>
      <c r="AB4" s="145">
        <f>IF($AA4=0,0,$AA4+3*IFERROR(VLOOKUP($Z4,$I$2:$L$10,3,FALSE),0))</f>
        <v/>
      </c>
      <c r="AC4" s="145">
        <f>IFERROR(VLOOKUP($Z4,$I$2:$L$10,4,FALSE),0)</f>
        <v/>
      </c>
      <c r="AD4" s="145" t="n">
        <v>0</v>
      </c>
      <c r="AE4" s="145" t="n">
        <v>0</v>
      </c>
      <c r="AF4" s="143" t="inlineStr">
        <is>
          <t>TR, metade</t>
        </is>
      </c>
      <c r="AG4" s="145" t="n">
        <v>1</v>
      </c>
      <c r="AH4" s="145" t="n">
        <v>2</v>
      </c>
      <c r="AI4" s="145" t="n">
        <v>1</v>
      </c>
      <c r="AJ4" s="145" t="n">
        <v>0</v>
      </c>
      <c r="AK4" s="145" t="n">
        <v>1</v>
      </c>
      <c r="AL4" s="145">
        <f>IF($AC4=1,"",$Y4)</f>
        <v/>
      </c>
      <c r="AM4" s="145">
        <f>IF(AND($AK4=1,$AC4=0),$Y4,"")</f>
        <v/>
      </c>
      <c r="AO4" s="143" t="inlineStr">
        <is>
          <t>Projétil · classes 6 e 7</t>
        </is>
      </c>
      <c r="AP4" s="143" t="inlineStr">
        <is>
          <t>36 m, um alvo</t>
        </is>
      </c>
      <c r="AQ4" s="143" t="inlineStr">
        <is>
          <t>90 m, um alvo</t>
        </is>
      </c>
      <c r="AR4" s="143" t="inlineStr">
        <is>
          <t>Visão a olho nu, um alvo</t>
        </is>
      </c>
      <c r="AS4" s="143" t="inlineStr">
        <is>
          <t>Visão a olho nu, um alvo</t>
        </is>
      </c>
      <c r="AT4" s="143" t="inlineStr">
        <is>
          <t>Visão a olho nu, um alvo</t>
        </is>
      </c>
      <c r="AU4" s="143" t="inlineStr">
        <is>
          <t>Visão a olho nu, um alvo</t>
        </is>
      </c>
      <c r="AV4" s="143" t="inlineStr"/>
      <c r="AW4" s="143" t="inlineStr"/>
      <c r="AX4" s="143" t="inlineStr"/>
      <c r="AY4" s="143" t="inlineStr"/>
      <c r="AZ4" s="143" t="inlineStr"/>
      <c r="BA4" s="143" t="inlineStr"/>
      <c r="BC4" s="143" t="inlineStr">
        <is>
          <t>Sem Ver</t>
        </is>
      </c>
      <c r="BD4" s="143" t="inlineStr">
        <is>
          <t>Alcance</t>
        </is>
      </c>
      <c r="BE4" s="145" t="n">
        <v>3</v>
      </c>
      <c r="BF4" s="145">
        <f>$BE4+3*IFERROR(VLOOKUP($BD4,$I$2:$L$10,3,FALSE),0)</f>
        <v/>
      </c>
      <c r="BG4" s="145">
        <f>IFERROR(VLOOKUP($BD4,$I$2:$L$10,4,FALSE),0)</f>
        <v/>
      </c>
      <c r="BH4" s="145" t="n">
        <v>0</v>
      </c>
      <c r="BI4" s="145">
        <f>IF($BG4=1,"",$BC4)</f>
        <v/>
      </c>
      <c r="BJ4" s="145">
        <f>IF(AND($BE4=1,$BG4=0),$BC4,"")</f>
        <v/>
      </c>
      <c r="BL4" s="143" t="inlineStr">
        <is>
          <t>Parado</t>
        </is>
      </c>
      <c r="BM4" s="143" t="inlineStr">
        <is>
          <t>Parado</t>
        </is>
      </c>
      <c r="BN4" s="145" t="n">
        <v>1</v>
      </c>
      <c r="BO4" s="145" t="n">
        <v>0</v>
      </c>
      <c r="BP4" s="143" t="inlineStr">
        <is>
          <t>Parado</t>
        </is>
      </c>
      <c r="BR4" s="143" t="inlineStr">
        <is>
          <t>Raiz</t>
        </is>
      </c>
      <c r="BS4" s="145" t="n">
        <v>1</v>
      </c>
      <c r="BT4" s="143" t="inlineStr">
        <is>
          <t>Você não é movido à força nem fica Derrubado contra a sua vontade. Pode aceitar um deslocamento ou se deitar por escolha própria. O Talento não impede o dano de um efeito que também empurre ou derrube.</t>
        </is>
      </c>
      <c r="BU4" s="145" t="n">
        <v>1</v>
      </c>
      <c r="BV4" s="145" t="n">
        <v>0</v>
      </c>
      <c r="BW4" s="145">
        <f>IF(OR(AND($A$2&lt;=2,$BU4=1),AND($A$2&gt;=2,$BV4=1)),$BR4,"")</f>
        <v/>
      </c>
      <c r="BX4" s="143" t="inlineStr">
        <is>
          <t>Você não é movido à força nem fica Derrubado contra a sua vontade. Pode aceitar um deslocamento ou se deitar por escolha própria. O Talento não impede o dano de um efeito que também empurre ou derrube.</t>
        </is>
      </c>
      <c r="BZ4" s="145" t="n">
        <v>3</v>
      </c>
      <c r="CA4" s="145" t="n">
        <v>13</v>
      </c>
      <c r="CC4" s="143" t="inlineStr">
        <is>
          <t>Projetar Energia</t>
        </is>
      </c>
      <c r="CD4" s="143" t="inlineStr">
        <is>
          <t>Uma escolha de aptidão</t>
        </is>
      </c>
      <c r="CE4" s="143" t="inlineStr">
        <is>
          <t>—</t>
        </is>
      </c>
      <c r="CF4" s="143" t="inlineStr">
        <is>
          <t>—</t>
        </is>
      </c>
      <c r="CG4" s="14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45">
        <f>IF($CK4=1,"",IF($A$2=4,IF($CI4=1,$CC4,""),IF(OR($CI4=1,AND($A$2=3,$CJ4=1)),"",$CC4)))</f>
        <v/>
      </c>
      <c r="CI4" s="145" t="n">
        <v>0</v>
      </c>
      <c r="CJ4" s="145" t="n">
        <v>0</v>
      </c>
      <c r="CK4" s="145" t="n">
        <v>0</v>
      </c>
      <c r="CL4" s="143" t="inlineStr">
        <is>
          <t>Você dispara energia amaldiçoada pura contra um alvo.</t>
        </is>
      </c>
      <c r="CN4" s="143" t="inlineStr">
        <is>
          <t>Pétala</t>
        </is>
      </c>
      <c r="CP4" s="143" t="inlineStr">
        <is>
          <t>Ferramenta de carregar</t>
        </is>
      </c>
      <c r="CR4" s="145">
        <f>IF($A$2=2,IFERROR(INDEX($CN$2:$CN$5,3),""),IF($A$2&gt;=3,IFERROR(INDEX($CP$2:$CP$4,3),""),""))</f>
        <v/>
      </c>
      <c r="CT4" s="143" t="inlineStr">
        <is>
          <t>Lâmina Curta</t>
        </is>
      </c>
      <c r="CU4" s="145" t="n">
        <v>1</v>
      </c>
      <c r="CV4" s="145" t="n">
        <v>1</v>
      </c>
      <c r="CW4" s="145">
        <f>IF(AND($A$2&gt;=3,'FICHA AMALDIÇOADA'!$J$16&amp;""="Três grupos de arma"),$CT4,"")</f>
        <v/>
      </c>
      <c r="CY4" s="145" t="n">
        <v>11</v>
      </c>
      <c r="CZ4" s="145" t="n">
        <v>4</v>
      </c>
      <c r="DA4" s="145" t="n">
        <v>4</v>
      </c>
      <c r="DC4" s="145" t="n">
        <v>30</v>
      </c>
      <c r="DE4" s="145" t="n">
        <v>5</v>
      </c>
      <c r="DG4" s="145" t="n">
        <v>26</v>
      </c>
      <c r="DH4" s="145" t="n">
        <v>32</v>
      </c>
      <c r="DI4" s="145" t="n">
        <v>16</v>
      </c>
      <c r="DK4" s="143" t="inlineStr">
        <is>
          <t>Sem Barreiras</t>
        </is>
      </c>
      <c r="DL4" s="145" t="n">
        <v>5</v>
      </c>
      <c r="DM4" s="145" t="n">
        <v>0</v>
      </c>
      <c r="DN4" s="145" t="n">
        <v>10</v>
      </c>
      <c r="DO4" s="143" t="inlineStr">
        <is>
          <t>Completa, refino 10 e especialização em Ocultismo</t>
        </is>
      </c>
      <c r="DQ4" s="143" t="inlineStr">
        <is>
          <t>Promessa</t>
        </is>
      </c>
      <c r="DR4" s="143" t="inlineStr">
        <is>
          <t>Quando duas partes capazes de decidir aceitam os termos</t>
        </is>
      </c>
      <c r="DT4" s="143" t="inlineStr">
        <is>
          <t>PE máximo igual à maior Classe</t>
        </is>
      </c>
      <c r="DV4" s="143" t="inlineStr">
        <is>
          <t>Feitiço 3</t>
        </is>
      </c>
      <c r="DW4" s="145" t="n">
        <v>0</v>
      </c>
      <c r="DX4" s="145" t="n">
        <v>3</v>
      </c>
      <c r="DY4" s="145">
        <f>MAX(1,MIN(7,N('FICHA AMALDIÇOADA'!$P$51)))</f>
        <v/>
      </c>
      <c r="DZ4" s="145">
        <f>'FICHA AMALDIÇOADA'!$Q$51&amp;""</f>
        <v/>
      </c>
      <c r="EA4" s="145">
        <f>'FICHA AMALDIÇOADA'!$P$58&amp;""</f>
        <v/>
      </c>
      <c r="EB4" s="145">
        <f>'FICHA AMALDIÇOADA'!$Q$60&amp;""</f>
        <v/>
      </c>
      <c r="EC4" s="145">
        <f>'FICHA AMALDIÇOADA'!$Q$61&amp;""</f>
        <v/>
      </c>
      <c r="ED4" s="145">
        <f>'FICHA AMALDIÇOADA'!$Q$62&amp;""</f>
        <v/>
      </c>
      <c r="EE4" s="145">
        <f>'FICHA AMALDIÇOADA'!$Q$63&amp;""</f>
        <v/>
      </c>
      <c r="EF4" s="145">
        <f>'FICHA AMALDIÇOADA'!$Q$64&amp;""</f>
        <v/>
      </c>
      <c r="EG4" s="145">
        <f>'FICHA AMALDIÇOADA'!$Q$65&amp;""</f>
        <v/>
      </c>
      <c r="EH4" s="145">
        <f>IF($DZ4&lt;&gt;"",1,0)</f>
        <v/>
      </c>
      <c r="EI4" s="145">
        <f>IFERROR(MATCH($EA4,$Y$2:$Y$11,0),0)</f>
        <v/>
      </c>
      <c r="EJ4" s="145">
        <f>IF($EI4=0,0,INDEX($AB$2:$AB$11,$EI4))</f>
        <v/>
      </c>
      <c r="EK4" s="145">
        <f>IFERROR(VLOOKUP($EB4,$BC$2:$BJ$84,4,FALSE),0)</f>
        <v/>
      </c>
      <c r="EL4" s="145">
        <f>IFERROR(VLOOKUP($EC4,$BC$2:$BJ$84,4,FALSE),0)</f>
        <v/>
      </c>
      <c r="EM4" s="145">
        <f>IFERROR(VLOOKUP($ED4,$BC$2:$BJ$84,4,FALSE),0)</f>
        <v/>
      </c>
      <c r="EN4" s="145">
        <f>IFERROR(VLOOKUP($EE4,$BC$2:$BJ$84,4,FALSE),0)</f>
        <v/>
      </c>
      <c r="EO4" s="145">
        <f>IF($EI4=0,0,INDEX($AC$2:$AC$11,$EI4))</f>
        <v/>
      </c>
      <c r="EP4" s="145">
        <f>IFERROR(VLOOKUP($EB4,$BC$2:$BJ$84,5,FALSE),0)</f>
        <v/>
      </c>
      <c r="EQ4" s="145">
        <f>IFERROR(VLOOKUP($EC4,$BC$2:$BJ$84,5,FALSE),0)</f>
        <v/>
      </c>
      <c r="ER4" s="145">
        <f>IFERROR(VLOOKUP($ED4,$BC$2:$BJ$84,5,FALSE),0)</f>
        <v/>
      </c>
      <c r="ES4" s="145">
        <f>IFERROR(VLOOKUP($EE4,$BC$2:$BJ$84,5,FALSE),0)</f>
        <v/>
      </c>
      <c r="ET4" s="145">
        <f>IFERROR(VLOOKUP($EB4,$BC$2:$BJ$84,6,FALSE),0)+IFERROR(VLOOKUP($EC4,$BC$2:$BJ$84,6,FALSE),0)+IFERROR(VLOOKUP($ED4,$BC$2:$BJ$84,6,FALSE),0)+IFERROR(VLOOKUP($EE4,$BC$2:$BJ$84,6,FALSE),0)</f>
        <v/>
      </c>
      <c r="EU4" s="145">
        <f>IF($EI4=0,0,INDEX($AD$2:$AD$11,$EI4))</f>
        <v/>
      </c>
      <c r="EV4" s="145">
        <f>IF($EI4=0,0,INDEX($AE$2:$AE$11,$EI4))</f>
        <v/>
      </c>
      <c r="EW4" s="145">
        <f>IF($EI4=0,0,INDEX($AG$2:$AG$11,$EI4))</f>
        <v/>
      </c>
      <c r="EX4" s="145">
        <f>IFERROR(VLOOKUP($EF4,$BL$2:$BP$24,3,FALSE),0)</f>
        <v/>
      </c>
      <c r="EY4" s="145">
        <f>IFERROR(VLOOKUP($EG4,$BL$2:$BP$24,3,FALSE),0)</f>
        <v/>
      </c>
      <c r="EZ4" s="145">
        <f>IFERROR(VLOOKUP($EF4,$BL$2:$BP$24,2,FALSE),"")</f>
        <v/>
      </c>
      <c r="FA4" s="145">
        <f>IFERROR(VLOOKUP($EG4,$BL$2:$BP$24,2,FALSE),"")</f>
        <v/>
      </c>
      <c r="FB4" s="145">
        <f>COUNTIF($EJ4:$EN4,1)</f>
        <v/>
      </c>
      <c r="FC4" s="145">
        <f>COUNTIF($EJ4:$EN4,2)</f>
        <v/>
      </c>
      <c r="FD4" s="145">
        <f>COUNTIF($EJ4:$EN4,3)</f>
        <v/>
      </c>
      <c r="FE4" s="145">
        <f>COUNTIF($EJ4:$EN4,4)</f>
        <v/>
      </c>
      <c r="FF4" s="145">
        <f>COUNTIF($EJ4:$EN4,5)</f>
        <v/>
      </c>
      <c r="FG4" s="145">
        <f>COUNTIF($EJ4:$EN4,6)</f>
        <v/>
      </c>
      <c r="FH4" s="145">
        <f>COUNTIF($EX4:$EY4,1)</f>
        <v/>
      </c>
      <c r="FI4" s="145">
        <f>COUNTIF($EX4:$EY4,2)+$EU4</f>
        <v/>
      </c>
      <c r="FJ4" s="145">
        <f>COUNTIF($EB4:$EE4,"?*")</f>
        <v/>
      </c>
      <c r="FK4" s="145">
        <f>COUNTIF($EF4:$EG4,"?*")+$EU4</f>
        <v/>
      </c>
      <c r="FL4" s="145">
        <f>SUMPRODUCT($FB4:$FG4,INDEX($Q$2:$V$8,$DY4,0))</f>
        <v/>
      </c>
      <c r="FM4" s="145">
        <f>$FH4*CEILING($DY4/2,1)+$FI4*$DY4</f>
        <v/>
      </c>
      <c r="FN4" s="145">
        <f>MIN(2*$DY4,$FM4)</f>
        <v/>
      </c>
      <c r="FO4" s="145">
        <f>MIN($FN4,$FL4)</f>
        <v/>
      </c>
      <c r="FP4" s="145">
        <f>$FN4-$FO4</f>
        <v/>
      </c>
      <c r="FQ4" s="145">
        <f>3*$DY4-$FL4+$FO4</f>
        <v/>
      </c>
      <c r="FR4" s="145">
        <f>MAX(0,$FQ4)+$DW4*$DY4</f>
        <v/>
      </c>
      <c r="FS4" s="145">
        <f>(IF(COUNTIF($EB4:$EE4,"Salto")&gt;0,1,0)+IF(COUNTIF($EB4:$EE4,"Queima")&gt;0,1,0)+IF(COUNTIF($EB4:$EE4,"Estilhaço")&gt;0,1,0))*FLOOR($FR4/2,1)</f>
        <v/>
      </c>
      <c r="FT4" s="145">
        <f>MAX(0,3-SUMPRODUCT($FB4:$FG4,$Q$2:$V$2)+MIN(2,$FH4*1+$FI4*1,SUMPRODUCT($FB4:$FG4,$Q$2:$V$2)))+$DW4*1</f>
        <v/>
      </c>
      <c r="FU4" s="145">
        <f>MAX(0,6-SUMPRODUCT($FB4:$FG4,$Q$3:$V$3)+MIN(4,$FH4*1+$FI4*2,SUMPRODUCT($FB4:$FG4,$Q$3:$V$3)))+$DW4*2</f>
        <v/>
      </c>
      <c r="FV4" s="145">
        <f>MAX(0,9-SUMPRODUCT($FB4:$FG4,$Q$4:$V$4)+MIN(6,$FH4*2+$FI4*3,SUMPRODUCT($FB4:$FG4,$Q$4:$V$4)))+$DW4*3</f>
        <v/>
      </c>
      <c r="FW4" s="145">
        <f>MAX(0,12-SUMPRODUCT($FB4:$FG4,$Q$5:$V$5)+MIN(8,$FH4*2+$FI4*4,SUMPRODUCT($FB4:$FG4,$Q$5:$V$5)))+$DW4*4</f>
        <v/>
      </c>
      <c r="FX4" s="145">
        <f>MAX(0,15-SUMPRODUCT($FB4:$FG4,$Q$6:$V$6)+MIN(10,$FH4*3+$FI4*5,SUMPRODUCT($FB4:$FG4,$Q$6:$V$6)))+$DW4*5</f>
        <v/>
      </c>
      <c r="FY4" s="145">
        <f>MAX(0,18-SUMPRODUCT($FB4:$FG4,$Q$7:$V$7)+MIN(12,$FH4*3+$FI4*6,SUMPRODUCT($FB4:$FG4,$Q$7:$V$7)))+$DW4*6</f>
        <v/>
      </c>
      <c r="FZ4" s="145">
        <f>MAX(0,21-SUMPRODUCT($FB4:$FG4,$Q$8:$V$8)+MIN(14,$FH4*4+$FI4*7,SUMPRODUCT($FB4:$FG4,$Q$8:$V$8)))+$DW4*7</f>
        <v/>
      </c>
      <c r="GA4" s="145">
        <f>IF($EV4=2,3*$FT4&amp;" de vida temp.",IF($EV4=3,"sem dano",IF($FT4=0,IF($EV4=1,"sem cura","sem dano"),IF($EV4=1,"cura ","")&amp;$FT4&amp;"d8")))</f>
        <v/>
      </c>
      <c r="GB4" s="145">
        <f>IF($EV4=2,3*$FU4&amp;" de vida temp.",IF($EV4=3,"sem dano",IF($FU4=0,IF($EV4=1,"sem cura","sem dano"),IF($EV4=1,"cura ","")&amp;$FU4&amp;"d8")))</f>
        <v/>
      </c>
      <c r="GC4" s="145">
        <f>IF($EV4=2,3*$FV4&amp;" de vida temp.",IF($EV4=3,"sem dano",IF($FV4=0,IF($EV4=1,"sem cura","sem dano"),IF($EV4=1,"cura ","")&amp;$FV4&amp;"d8")))</f>
        <v/>
      </c>
      <c r="GD4" s="145">
        <f>IF($EV4=2,3*$FW4&amp;" de vida temp.",IF($EV4=3,"sem dano",IF($FW4=0,IF($EV4=1,"sem cura","sem dano"),IF($EV4=1,"cura ","")&amp;$FW4&amp;"d8")))</f>
        <v/>
      </c>
      <c r="GE4" s="145">
        <f>IF($EV4=2,3*$FX4&amp;" de vida temp.",IF($EV4=3,"sem dano",IF($FX4=0,IF($EV4=1,"sem cura","sem dano"),IF($EV4=1,"cura ","")&amp;$FX4&amp;"d8")))</f>
        <v/>
      </c>
      <c r="GF4" s="145">
        <f>IF($EV4=2,3*$FY4&amp;" de vida temp.",IF($EV4=3,"sem dano",IF($FY4=0,IF($EV4=1,"sem cura","sem dano"),IF($EV4=1,"cura ","")&amp;$FY4&amp;"d8")))</f>
        <v/>
      </c>
      <c r="GG4" s="145">
        <f>IF($EV4=2,3*$FZ4&amp;" de vida temp.",IF($EV4=3,"sem dano",IF($FZ4=0,IF($EV4=1,"sem cura","sem dano"),IF($EV4=1,"cura ","")&amp;$FZ4&amp;"d8")))</f>
        <v/>
      </c>
      <c r="GH4" s="145">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45">
        <f>IF($GH4="",0,(LEN($GH4)-LEN(SUBSTITUTE($GH4," · ","")))/3+1)</f>
        <v/>
      </c>
      <c r="GJ4" s="145">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45">
        <f>IF($GJ4="",0,(LEN($GJ4)-LEN(SUBSTITUTE($GJ4," · ","")))/3+1)</f>
        <v/>
      </c>
      <c r="GL4" s="145">
        <f>IF($EH4=0,IF($FJ4+$FK4-$EU4&gt;0,"Dê um nome",""),IF($GI4&gt;0,"⚠ "&amp;$GI4&amp;IF($GI4&gt;1," erros"," erro"),IF($GK4&gt;0,"! "&amp;$GK4&amp;IF($GK4&gt;1," avisos"," aviso"),"Na regra")))</f>
        <v/>
      </c>
      <c r="GM4" s="145">
        <f>IF($EH4=0,"",IF($GI4+$GK4=0,"Dentro das regras que a ficha confere",$GH4&amp;IF(AND($GI4&gt;0,$GK4&gt;0)," · ","")&amp;$GJ4))</f>
        <v/>
      </c>
      <c r="GN4" s="145">
        <f>IF($EH4=0,"",IF($DW4=1,CEILING(4.5*$DY4,1),3*$DY4)&amp;" PE")</f>
        <v/>
      </c>
      <c r="GO4" s="145">
        <f>IF($EH4=0,"",IF($DW4=1,"Rodada inteira",IF(COUNTIF($EZ4:$FA4,"Atrasar")&gt;0,IF(COUNTIF($EZ4:$FA4,"Carregar")&gt;0,"Rodada +1 turno","Rodada inteira"),IF(COUNTIF($EB4:$EE4,"Rápido")&gt;0,"Bônus",IF(COUNTIF($EB4:$EE4,"Reação")&gt;0,"Reação","Padrão"))&amp;IF(COUNTIF($EZ4:$FA4,"Carregar")&gt;0," +1 turno",""))))</f>
        <v/>
      </c>
      <c r="GP4" s="145">
        <f>IF(OR($EH4=0,$EI4=0),"",IF(COUNTIF($EB4:$EE4,"Inescapável")&gt;0,"Automático",IF(COUNTIF($EB4:$EE4,"Certeiro")&gt;0,"TR para metade",INDEX($AF$2:$AF$11,$EI4))))</f>
        <v/>
      </c>
      <c r="GQ4" s="145">
        <f>IF(OR($EH4=0,$EI4=0),"",IF(OR($EV4&gt;=2,$FR4=0),UPPER(LEFT(INDEX($GA4:$GG4,1,$DY4),1))&amp;MID(INDEX($GA4:$GG4,1,$DY4),2,99),UPPER(LEFT(INDEX($GA4:$GG4,1,$DY4),1))&amp;MID(INDEX($GA4:$GG4,1,$DY4),2,99)&amp;" = "&amp;FLOOR($FR4*4.5,1)&amp;IF($FS4&gt;0," · +"&amp;$FS4&amp;"d8","")))</f>
        <v/>
      </c>
      <c r="GR4" s="145">
        <f>COUNTIF($EB4:$EE4,"Longe")+3*COUNTIF($EB4:$EE4,"Muito Longe")</f>
        <v/>
      </c>
      <c r="GS4" s="145">
        <f>COUNTIF($EB4:$EE4,"Maior")+3*COUNTIF($EB4:$EE4,"Muito Maior")</f>
        <v/>
      </c>
      <c r="GT4" s="145">
        <f>IF($EI4=0,0,CHOOSE(1+INDEX($AH$2:$AH$11,$EI4),0,$GR4,$GS4,$GR4+$GS4))</f>
        <v/>
      </c>
      <c r="GU4" s="145">
        <f>IF($EI4=0,0,CHOOSE(1+INDEX($AI$2:$AI$11,$EI4),0,$GR4,$GS4,$GR4+$GS4))</f>
        <v/>
      </c>
      <c r="GV4" s="145">
        <f>IF(OR($EH4=0,$EI4=0),"",INDEX($AP$2:$AU$31,($EI4-1)*3+IF($DY4&gt;=6,3,2),1+MIN(5,$GT4))&amp;INDEX($AV$2:$BA$31,($EI4-1)*3+IF($DY4&gt;=6,3,2),1+MIN(5,$GU4))&amp;IF(INDEX($AJ$2:$AJ$11,$EI4)=1,IF(COUNTIF($EB4:$EE4,"Mais Um")&gt;0," · +"&amp;COUNTIF($EB4:$EE4,"Mais Um")&amp;IF(COUNTIF($EB4:$EE4,"Mais Um")&gt;1," alvos"," alvo"),"")&amp;IF(COUNTIF($EB4:$EE4,"Rajada")&gt;0," · "&amp;($DY4+1)&amp;" tiros",""),""))</f>
        <v/>
      </c>
      <c r="GW4" s="145">
        <f>IF($EH4=0,"",3*$DY4&amp;" − "&amp;$FL4&amp;" + "&amp;$FO4&amp;IF($DW4=1," + "&amp;$DY4,"")&amp;" = "&amp;$FR4&amp;"d8 · teto "&amp;4*$DY4&amp;IF($EU4=1," · a Forma devolve "&amp;$DY4,"")&amp;IF($FP4&gt;0," · perde "&amp;$FP4,""))</f>
        <v/>
      </c>
      <c r="GX4" s="145">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5">
        <f>IF(OR($EH4=0,$EK4=0),"","−"&amp;INDEX($Q$2:$V$8,$DY4,$EK4)&amp;" · "&amp;CHOOSE($EK4,"Leve","Média","Pesada","Leve · Livre","Média · Livre","Pesada · Livre"))</f>
        <v/>
      </c>
      <c r="GZ4" s="145">
        <f>IF(OR($EH4=0,$EL4=0),"","−"&amp;INDEX($Q$2:$V$8,$DY4,$EL4)&amp;" · "&amp;CHOOSE($EL4,"Leve","Média","Pesada","Leve · Livre","Média · Livre","Pesada · Livre"))</f>
        <v/>
      </c>
      <c r="HA4" s="145">
        <f>IF(OR($EH4=0,$EM4=0),"","−"&amp;INDEX($Q$2:$V$8,$DY4,$EM4)&amp;" · "&amp;CHOOSE($EM4,"Leve","Média","Pesada","Leve · Livre","Média · Livre","Pesada · Livre"))</f>
        <v/>
      </c>
      <c r="HB4" s="145">
        <f>IF(OR($EH4=0,$EN4=0),"","−"&amp;INDEX($Q$2:$V$8,$DY4,$EN4)&amp;" · "&amp;CHOOSE($EN4,"Leve","Média","Pesada","Leve · Livre","Média · Livre","Pesada · Livre"))</f>
        <v/>
      </c>
      <c r="HC4" s="145">
        <f>IF(OR($EH4=0,$EF4=""),"","+"&amp;IF($EX4=1,CEILING($DY4/2,1),$DY4))</f>
        <v/>
      </c>
      <c r="HD4" s="145">
        <f>IF(OR($EH4=0,$EG4=""),"","+"&amp;IF($EY4=1,CEILING($DY4/2,1),$DY4))</f>
        <v/>
      </c>
      <c r="HE4" s="145">
        <f>'FICHA AMALDIÇOADA'!$P$53&amp;""</f>
        <v/>
      </c>
      <c r="HF4" s="145">
        <f>IF(AND($EH4=1,$DW4=0),COUNTIFS($EH$2:$EH4,1,$DW$2:$DW4,0),"")</f>
        <v/>
      </c>
      <c r="HH4" s="143" t="inlineStr">
        <is>
          <t>maior classe</t>
        </is>
      </c>
      <c r="HI4" s="145">
        <f>MAX(1,MIN(7,N(FICHA!$Z$57)))</f>
        <v/>
      </c>
      <c r="HK4" s="143" t="inlineStr">
        <is>
          <t>Talento 3</t>
        </is>
      </c>
      <c r="HL4" s="145">
        <f>'FICHA AMALDIÇOADA'!$P$379&amp;""</f>
        <v/>
      </c>
      <c r="HM4" s="145">
        <f>IFERROR(VLOOKUP($HL4,$BR$2:$BX$24,2,FALSE),0)</f>
        <v/>
      </c>
      <c r="HN4" s="145">
        <f>IFERROR(VLOOKUP($HM4,$BZ$2:$CA$4,2,FALSE),0)</f>
        <v/>
      </c>
      <c r="HO4" s="145">
        <f>IFERROR(VLOOKUP($HL4,$BR$2:$BX$24,3,FALSE),"")</f>
        <v/>
      </c>
      <c r="HP4" s="145">
        <f>IF($HM4=0,"",IF($HN4&gt;$HI$2,"⚠ Nível "&amp;$HN4,"CE "&amp;$HM4))</f>
        <v/>
      </c>
      <c r="HQ4" s="145">
        <f>IF($HM4=0,"",$HM4&amp;" esp.")</f>
        <v/>
      </c>
      <c r="HR4" s="145">
        <f>'FICHA AMALDIÇOADA'!$Q$384&amp;""</f>
        <v/>
      </c>
      <c r="HS4" s="145">
        <f>IF($HL4="","",COUNTIF($HL$2:$HL4,"?*"))</f>
        <v/>
      </c>
      <c r="HU4" s="143" t="inlineStr">
        <is>
          <t>Aptidão 3</t>
        </is>
      </c>
      <c r="HV4" s="145">
        <f>'FICHA AMALDIÇOADA'!$P$430&amp;""</f>
        <v/>
      </c>
      <c r="HW4" s="145">
        <f>IF($HV4="","","Requisito: "&amp;IFERROR(VLOOKUP($HV4,$CC$2:$CL$33,2,FALSE),""))</f>
        <v/>
      </c>
      <c r="HX4" s="145">
        <f>IF($HV4="","",IFERROR(IF(ISNUMBER(VLOOKUP($HV4,$CC$2:$CL$33,3,FALSE)),"CE "&amp;VLOOKUP($HV4,$CC$2:$CL$33,3,FALSE),VLOOKUP($HV4,$CC$2:$CL$33,3,FALSE)),""))</f>
        <v/>
      </c>
      <c r="HY4" s="145">
        <f>IF($HV4="","",IFERROR(VLOOKUP($HV4,$CC$2:$CL$33,4,FALSE),""))</f>
        <v/>
      </c>
      <c r="HZ4" s="145">
        <f>IF($HV4="","",IFERROR(VLOOKUP($HV4,$CC$2:$CL$33,5,FALSE),""))</f>
        <v/>
      </c>
      <c r="IA4" s="145">
        <f>'FICHA AMALDIÇOADA'!$Q$447&amp;""</f>
        <v/>
      </c>
      <c r="IB4" s="145">
        <f>IF($HV4="","",COUNTIF($HV$2:$HV4,"?*"))</f>
        <v/>
      </c>
      <c r="ID4" s="143" t="inlineStr">
        <is>
          <t>Classe 0 · 3</t>
        </is>
      </c>
      <c r="IE4" s="145">
        <f>'FICHA AMALDIÇOADA'!$F$312&amp;""</f>
        <v/>
      </c>
      <c r="IF4" s="145">
        <f>'FICHA AMALDIÇOADA'!$J$312&amp;""</f>
        <v/>
      </c>
      <c r="IG4" s="145">
        <f>'FICHA AMALDIÇOADA'!$L$312&amp;""</f>
        <v/>
      </c>
      <c r="IH4" s="145">
        <f>IFERROR(MATCH($IE4,$Y$2:$Y$11,0),0)</f>
        <v/>
      </c>
      <c r="II4" s="145">
        <f>$HI$11-IF($IF4&lt;&gt;"",1,0)</f>
        <v/>
      </c>
      <c r="IJ4" s="145">
        <f>IF(3&gt;$HI$10,"Nível 5",IF($IH4=0,"",IF(INDEX($AE$2:$AE$11,$IH4)&gt;=2,"—",$II4&amp;"d8 = "&amp;FLOOR($II4*4.5,1))))</f>
        <v/>
      </c>
      <c r="IK4" s="145">
        <f>IF(OR(3&gt;$HI$10,$IH4=0),"",INDEX($AP$2:$AU$31,($IH4-1)*3+1,1+IF(OR(AND($IF4="Longe",INDEX($AH$2:$AH$11,$IH4)&lt;&gt;2),AND($IF4="Maior",INDEX($AH$2:$AH$11,$IH4)&gt;=2)),1,0))&amp;INDEX($AV$2:$BA$31,($IH4-1)*3+1,1+IF(AND($IF4="Longe",INDEX($AI$2:$AI$11,$IH4)=1),1,0)))</f>
        <v/>
      </c>
      <c r="IM4" s="145">
        <f>INDEX($D$3:$G$3,1,$A$2)</f>
        <v/>
      </c>
      <c r="IN4" s="145">
        <f>ADDRESS(ROW('FICHA AMALDIÇOADA'!F7),COLUMN('FICHA AMALDIÇOADA'!F7),4)</f>
        <v/>
      </c>
      <c r="IO4" s="145">
        <f>ADDRESS(ROW('FICHA AMALDIÇOADA'!D48),COLUMN('FICHA AMALDIÇOADA'!D48),4)</f>
        <v/>
      </c>
      <c r="IP4" s="143" t="inlineStr">
        <is>
          <t>DADOS_AM!$IM$4</t>
        </is>
      </c>
      <c r="IR4" s="143" t="inlineStr">
        <is>
          <t>Caminho 15</t>
        </is>
      </c>
      <c r="IS4" s="145" t="n">
        <v>15</v>
      </c>
      <c r="IT4" s="145">
        <f>IF($HI$2&gt;=15,"Nível 15","Abre no 15")</f>
        <v/>
      </c>
      <c r="IU4" s="145">
        <f>ADDRESS(ROW(FICHA!G104),COLUMN(FICHA!G104),4)</f>
        <v/>
      </c>
      <c r="IV4" s="145">
        <f>ADDRESS(ROW(FICHA!D105),COLUMN(FICHA!D105),4)</f>
        <v/>
      </c>
      <c r="IX4" s="143" t="inlineStr">
        <is>
          <t>Trilha · Anotações</t>
        </is>
      </c>
      <c r="IY4" s="145">
        <f>ADDRESS(ROW(FICHA!D160),COLUMN(FICHA!D160),4)</f>
        <v/>
      </c>
      <c r="JD4" s="145" t="n">
        <v>3</v>
      </c>
      <c r="JE4" s="145">
        <f>IFERROR(MATCH(3,$HF$2:$HF$37,0),0)</f>
        <v/>
      </c>
      <c r="JF4" s="145">
        <f>IF($JE4=0,"",INDEX($DY$2:$DY$37,$JE4))</f>
        <v/>
      </c>
      <c r="JG4" s="145">
        <f>IF($JE4=0,"",INDEX($DZ$2:$DZ$37,$JE4))</f>
        <v/>
      </c>
      <c r="JH4" s="145">
        <f>IF($JE4=0,"",INDEX($GN$2:$GN$37,$JE4))</f>
        <v/>
      </c>
      <c r="JI4" s="145">
        <f>IF($JE4=0,"",INDEX($EA$2:$EA$37,$JE4))</f>
        <v/>
      </c>
      <c r="JJ4" s="145">
        <f>IF($JE4=0,"",INDEX($GP$2:$GP$37,$JE4))</f>
        <v/>
      </c>
      <c r="JK4" s="145">
        <f>IF($JE4=0,"",INDEX($HE$2:$HE$37,$JE4))</f>
        <v/>
      </c>
      <c r="JM4" s="145" t="n">
        <v>3</v>
      </c>
      <c r="JN4" s="145">
        <f>IF($EH$40=0,"",$DY$40)</f>
        <v/>
      </c>
      <c r="JO4" s="145">
        <f>IF($EH$40=0,"",$DZ$40)</f>
        <v/>
      </c>
      <c r="JP4" s="145">
        <f>IF($EH$40=0,"",$GN$40)</f>
        <v/>
      </c>
      <c r="JQ4" s="145">
        <f>IF($EH$40=0,"",$EA$40)</f>
        <v/>
      </c>
      <c r="JR4" s="145">
        <f>IF($EH$40=0,"",$GP$40)</f>
        <v/>
      </c>
      <c r="JS4" s="145">
        <f>IF($EH$40=0,"",$HE$40)</f>
        <v/>
      </c>
      <c r="KB4" s="143" t="inlineStr">
        <is>
          <t>Talento 1</t>
        </is>
      </c>
      <c r="KC4" s="145">
        <f>IFERROR(MATCH(1,$HS$2:$HS$13,0),0)</f>
        <v/>
      </c>
      <c r="KD4" s="145">
        <f>IF($KC4=0,"",IF(INDEX($HM$2:$HM$13,$KC4)=0,"","CE "&amp;INDEX($HM$2:$HM$13,$KC4)))</f>
        <v/>
      </c>
      <c r="KE4" s="145">
        <f>IF($KC4=0,"",INDEX($HL$2:$HL$13,$KC4))</f>
        <v/>
      </c>
      <c r="KF4" s="145">
        <f>IF($KC4=0,"",IF(INDEX($HR$2:$HR$13,$KC4)&lt;&gt;"",INDEX($HR$2:$HR$13,$KC4),IF(IFERROR(VLOOKUP(INDEX($HL$2:$HL$13,$KC4),$BR$2:$BX$24,7,FALSE),"")&lt;&gt;"","Do livro: "&amp;IFERROR(VLOOKUP(INDEX($HL$2:$HL$13,$KC4),$BR$2:$BX$24,7,FALSE),""),"")))</f>
        <v/>
      </c>
      <c r="KH4" s="143" t="inlineStr">
        <is>
          <t>Aptidão 1</t>
        </is>
      </c>
      <c r="KI4" s="145">
        <f>IFERROR(MATCH(1,$IB$2:$IB$13,0),0)</f>
        <v/>
      </c>
      <c r="KJ4" s="145">
        <f>IF($KI4=0,"",INDEX($HX$2:$HX$13,$KI4))</f>
        <v/>
      </c>
      <c r="KK4" s="145">
        <f>IF($KI4=0,"",INDEX($HV$2:$HV$13,$KI4))</f>
        <v/>
      </c>
      <c r="KL4" s="145">
        <f>IF($KI4=0,"",IF(INDEX($IA$2:$IA$13,$KI4)&lt;&gt;"",INDEX($IA$2:$IA$13,$KI4),IF(IFERROR(VLOOKUP(INDEX($HV$2:$HV$13,$KI4),$CC$2:$CL$33,10,FALSE),"")&lt;&gt;"","Do livro: "&amp;IFERROR(VLOOKUP(INDEX($HV$2:$HV$13,$KI4),$CC$2:$CL$33,10,FALSE),""),"")))</f>
        <v/>
      </c>
      <c r="KN4" s="143" t="inlineStr">
        <is>
          <t>máximas</t>
        </is>
      </c>
      <c r="KO4" s="145">
        <f>UPPER(INDEX($D$4:$G$4,1,$A$2))&amp;", "&amp;UPPER(INDEX($D$5:$G$5,1,$A$2))&amp;IF(DADOS_AM!$A$2=1," E DOMÍNIO","")</f>
        <v/>
      </c>
      <c r="KQ4" s="143" t="inlineStr">
        <is>
          <t>P12</t>
        </is>
      </c>
      <c r="KR4" s="145">
        <f>IF(DADOS_AM!$HI$41=1,IF(DADOS_AM!$HI$48=0,"—",IF(DADOS_AM!$HI$48=1,"d20 + "&amp;(DADOS_AM!$HI$3+IF(DADOS_AM!$HI$42&lt;&gt;"",DADOS_AM!$HI$45,IF(DADOS_AM!$HI$43&lt;&gt;"",DADOS_AM!$HI$46,DADOS_AM!$HI$47))+IFERROR(VALUE(FICHA!$W$47&amp;""),0)),"Por grupo")),FICHA!$O$47)</f>
        <v/>
      </c>
    </row>
    <row r="5">
      <c r="C5" s="143" t="inlineStr">
        <is>
          <t>técnica máxima</t>
        </is>
      </c>
      <c r="D5" s="143" t="inlineStr">
        <is>
          <t>Técnica Máxima</t>
        </is>
      </c>
      <c r="E5" s="143" t="inlineStr">
        <is>
          <t>Auge</t>
        </is>
      </c>
      <c r="F5" s="143" t="inlineStr">
        <is>
          <t>Ōgi</t>
        </is>
      </c>
      <c r="G5" s="143" t="inlineStr">
        <is>
          <t>Ōgi</t>
        </is>
      </c>
      <c r="I5" s="143" t="inlineStr">
        <is>
          <t>Controle</t>
        </is>
      </c>
      <c r="J5" s="145">
        <f>'FICHA AMALDIÇOADA'!$G$37&amp;""</f>
        <v/>
      </c>
      <c r="K5" s="145">
        <f>IF($J5="Livre",1,0)</f>
        <v/>
      </c>
      <c r="L5" s="145">
        <f>IF($J5="Fechada",1,0)</f>
        <v/>
      </c>
      <c r="P5" s="145" t="n">
        <v>4</v>
      </c>
      <c r="Q5" s="145" t="n">
        <v>2</v>
      </c>
      <c r="R5" s="145" t="n">
        <v>4</v>
      </c>
      <c r="S5" s="145" t="n">
        <v>6</v>
      </c>
      <c r="T5" s="145" t="n">
        <v>1</v>
      </c>
      <c r="U5" s="145" t="n">
        <v>2</v>
      </c>
      <c r="V5" s="145" t="n">
        <v>4</v>
      </c>
      <c r="W5" s="145" t="n">
        <v>3</v>
      </c>
      <c r="Y5" s="143" t="inlineStr">
        <is>
          <t>Aura</t>
        </is>
      </c>
      <c r="Z5" s="143" t="inlineStr">
        <is>
          <t>Área</t>
        </is>
      </c>
      <c r="AA5" s="145" t="n">
        <v>1</v>
      </c>
      <c r="AB5" s="145">
        <f>IF($AA5=0,0,$AA5+3*IFERROR(VLOOKUP($Z5,$I$2:$L$10,3,FALSE),0))</f>
        <v/>
      </c>
      <c r="AC5" s="145">
        <f>IFERROR(VLOOKUP($Z5,$I$2:$L$10,4,FALSE),0)</f>
        <v/>
      </c>
      <c r="AD5" s="145" t="n">
        <v>1</v>
      </c>
      <c r="AE5" s="145" t="n">
        <v>0</v>
      </c>
      <c r="AF5" s="143" t="inlineStr">
        <is>
          <t>TR, metade</t>
        </is>
      </c>
      <c r="AG5" s="145" t="n">
        <v>1</v>
      </c>
      <c r="AH5" s="145" t="n">
        <v>2</v>
      </c>
      <c r="AI5" s="145" t="n">
        <v>0</v>
      </c>
      <c r="AJ5" s="145" t="n">
        <v>0</v>
      </c>
      <c r="AK5" s="145" t="n">
        <v>1</v>
      </c>
      <c r="AL5" s="145">
        <f>IF($AC5=1,"",$Y5)</f>
        <v/>
      </c>
      <c r="AM5" s="145">
        <f>IF(AND($AK5=1,$AC5=0),$Y5,"")</f>
        <v/>
      </c>
      <c r="AO5" s="143" t="inlineStr">
        <is>
          <t>Toque · classe 0</t>
        </is>
      </c>
      <c r="AP5" s="143" t="inlineStr">
        <is>
          <t>1,5 m, um alvo</t>
        </is>
      </c>
      <c r="AQ5" s="143" t="inlineStr">
        <is>
          <t>1,5 m, um alvo</t>
        </is>
      </c>
      <c r="AR5" s="143" t="inlineStr">
        <is>
          <t>1,5 m, um alvo</t>
        </is>
      </c>
      <c r="AS5" s="143" t="inlineStr">
        <is>
          <t>1,5 m, um alvo</t>
        </is>
      </c>
      <c r="AT5" s="143" t="inlineStr">
        <is>
          <t>1,5 m, um alvo</t>
        </is>
      </c>
      <c r="AU5" s="143" t="inlineStr">
        <is>
          <t>1,5 m, um alvo</t>
        </is>
      </c>
      <c r="AV5" s="143" t="inlineStr"/>
      <c r="AW5" s="143" t="inlineStr"/>
      <c r="AX5" s="143" t="inlineStr"/>
      <c r="AY5" s="143" t="inlineStr"/>
      <c r="AZ5" s="143" t="inlineStr"/>
      <c r="BA5" s="143" t="inlineStr"/>
      <c r="BC5" s="143" t="inlineStr">
        <is>
          <t>Perseguir</t>
        </is>
      </c>
      <c r="BD5" s="143" t="inlineStr">
        <is>
          <t>Alcance</t>
        </is>
      </c>
      <c r="BE5" s="145" t="n">
        <v>2</v>
      </c>
      <c r="BF5" s="145">
        <f>$BE5+3*IFERROR(VLOOKUP($BD5,$I$2:$L$10,3,FALSE),0)</f>
        <v/>
      </c>
      <c r="BG5" s="145">
        <f>IFERROR(VLOOKUP($BD5,$I$2:$L$10,4,FALSE),0)</f>
        <v/>
      </c>
      <c r="BH5" s="145" t="n">
        <v>0</v>
      </c>
      <c r="BI5" s="145">
        <f>IF($BG5=1,"",$BC5)</f>
        <v/>
      </c>
      <c r="BJ5" s="145">
        <f>IF(AND($BE5=1,$BG5=0),$BC5,"")</f>
        <v/>
      </c>
      <c r="BL5" s="143" t="inlineStr">
        <is>
          <t>Gesto</t>
        </is>
      </c>
      <c r="BM5" s="143" t="inlineStr">
        <is>
          <t>Gesto</t>
        </is>
      </c>
      <c r="BN5" s="145" t="n">
        <v>1</v>
      </c>
      <c r="BO5" s="145" t="n">
        <v>0</v>
      </c>
      <c r="BP5" s="143" t="inlineStr">
        <is>
          <t>Gesto</t>
        </is>
      </c>
      <c r="BR5" s="143" t="inlineStr">
        <is>
          <t>Mão Firme</t>
        </is>
      </c>
      <c r="BS5" s="145" t="n">
        <v>1</v>
      </c>
      <c r="BT5" s="143" t="inlineStr">
        <is>
          <t>Quando uma ocorrência de dano causar 10 pontos ou menos, você não precisa fazer o teste para manter Concentração ou Carregar. Confira o dano de cada ocorrência depois das reduções aplicáveis. Não some todos os golpes da rodada.</t>
        </is>
      </c>
      <c r="BU5" s="145" t="n">
        <v>1</v>
      </c>
      <c r="BV5" s="145" t="n">
        <v>0</v>
      </c>
      <c r="BW5" s="145">
        <f>IF(OR(AND($A$2&lt;=2,$BU5=1),AND($A$2&gt;=2,$BV5=1)),$BR5,"")</f>
        <v/>
      </c>
      <c r="BX5" s="143" t="inlineStr">
        <is>
          <t>Quando uma ocorrência de dano causar 10 pontos ou menos, você não precisa fazer o teste para manter Concentração ou Carregar. Confira o dano de cada ocorrência depois das reduções aplicáveis. Não some todos os golpes da rodada.</t>
        </is>
      </c>
      <c r="CC5" s="143" t="inlineStr">
        <is>
          <t>Energia Reversa</t>
        </is>
      </c>
      <c r="CD5" s="143" t="inlineStr">
        <is>
          <t>Refino 7 e nível 14</t>
        </is>
      </c>
      <c r="CE5" s="145" t="n">
        <v>3</v>
      </c>
      <c r="CF5" s="143" t="inlineStr">
        <is>
          <t>—</t>
        </is>
      </c>
      <c r="CG5" s="14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45">
        <f>IF($CK5=1,"",IF($A$2=4,IF($CI5=1,$CC5,""),IF(OR($CI5=1,AND($A$2=3,$CJ5=1)),"",$CC5)))</f>
        <v/>
      </c>
      <c r="CI5" s="145" t="n">
        <v>0</v>
      </c>
      <c r="CJ5" s="145" t="n">
        <v>0</v>
      </c>
      <c r="CK5" s="145" t="n">
        <v>0</v>
      </c>
      <c r="CL5" s="143" t="inlineStr">
        <is>
          <t>Você usa energia reversa para restaurar seu próprio corpo.</t>
        </is>
      </c>
      <c r="CN5" s="143" t="inlineStr">
        <is>
          <t>Aptidão Própria</t>
        </is>
      </c>
      <c r="CR5" s="145">
        <f>IF($A$2=2,IFERROR(INDEX($CN$2:$CN$5,4),""),IF($A$2&gt;=3,IFERROR(INDEX($CP$2:$CP$4,4),""),""))</f>
        <v/>
      </c>
      <c r="CT5" s="143" t="inlineStr">
        <is>
          <t>Arremesso</t>
        </is>
      </c>
      <c r="CU5" s="145" t="n">
        <v>1</v>
      </c>
      <c r="CV5" s="145" t="n">
        <v>1</v>
      </c>
      <c r="CW5" s="145">
        <f>IF(AND($A$2&gt;=3,'FICHA AMALDIÇOADA'!$J$16&amp;""="Três grupos de arma"),$CT5,"")</f>
        <v/>
      </c>
      <c r="CY5" s="145" t="n">
        <v>17</v>
      </c>
      <c r="CZ5" s="145" t="n">
        <v>5</v>
      </c>
      <c r="DA5" s="145" t="n">
        <v>5</v>
      </c>
      <c r="DE5" s="145" t="n">
        <v>6</v>
      </c>
      <c r="DQ5" s="143" t="inlineStr">
        <is>
          <t>Pacto de restrição</t>
        </is>
      </c>
      <c r="DR5" s="143" t="inlineStr">
        <is>
          <t>Na criação, com a Origem ou técnica</t>
        </is>
      </c>
      <c r="DV5" s="143" t="inlineStr">
        <is>
          <t>Feitiço 4</t>
        </is>
      </c>
      <c r="DW5" s="145" t="n">
        <v>0</v>
      </c>
      <c r="DX5" s="145" t="n">
        <v>4</v>
      </c>
      <c r="DY5" s="145">
        <f>MAX(1,MIN(7,N('FICHA AMALDIÇOADA'!$D$72)))</f>
        <v/>
      </c>
      <c r="DZ5" s="145">
        <f>'FICHA AMALDIÇOADA'!$E$72&amp;""</f>
        <v/>
      </c>
      <c r="EA5" s="145">
        <f>'FICHA AMALDIÇOADA'!$D$79&amp;""</f>
        <v/>
      </c>
      <c r="EB5" s="145">
        <f>'FICHA AMALDIÇOADA'!$E$81&amp;""</f>
        <v/>
      </c>
      <c r="EC5" s="145">
        <f>'FICHA AMALDIÇOADA'!$E$82&amp;""</f>
        <v/>
      </c>
      <c r="ED5" s="145">
        <f>'FICHA AMALDIÇOADA'!$E$83&amp;""</f>
        <v/>
      </c>
      <c r="EE5" s="145">
        <f>'FICHA AMALDIÇOADA'!$E$84&amp;""</f>
        <v/>
      </c>
      <c r="EF5" s="145">
        <f>'FICHA AMALDIÇOADA'!$E$85&amp;""</f>
        <v/>
      </c>
      <c r="EG5" s="145">
        <f>'FICHA AMALDIÇOADA'!$E$86&amp;""</f>
        <v/>
      </c>
      <c r="EH5" s="145">
        <f>IF($DZ5&lt;&gt;"",1,0)</f>
        <v/>
      </c>
      <c r="EI5" s="145">
        <f>IFERROR(MATCH($EA5,$Y$2:$Y$11,0),0)</f>
        <v/>
      </c>
      <c r="EJ5" s="145">
        <f>IF($EI5=0,0,INDEX($AB$2:$AB$11,$EI5))</f>
        <v/>
      </c>
      <c r="EK5" s="145">
        <f>IFERROR(VLOOKUP($EB5,$BC$2:$BJ$84,4,FALSE),0)</f>
        <v/>
      </c>
      <c r="EL5" s="145">
        <f>IFERROR(VLOOKUP($EC5,$BC$2:$BJ$84,4,FALSE),0)</f>
        <v/>
      </c>
      <c r="EM5" s="145">
        <f>IFERROR(VLOOKUP($ED5,$BC$2:$BJ$84,4,FALSE),0)</f>
        <v/>
      </c>
      <c r="EN5" s="145">
        <f>IFERROR(VLOOKUP($EE5,$BC$2:$BJ$84,4,FALSE),0)</f>
        <v/>
      </c>
      <c r="EO5" s="145">
        <f>IF($EI5=0,0,INDEX($AC$2:$AC$11,$EI5))</f>
        <v/>
      </c>
      <c r="EP5" s="145">
        <f>IFERROR(VLOOKUP($EB5,$BC$2:$BJ$84,5,FALSE),0)</f>
        <v/>
      </c>
      <c r="EQ5" s="145">
        <f>IFERROR(VLOOKUP($EC5,$BC$2:$BJ$84,5,FALSE),0)</f>
        <v/>
      </c>
      <c r="ER5" s="145">
        <f>IFERROR(VLOOKUP($ED5,$BC$2:$BJ$84,5,FALSE),0)</f>
        <v/>
      </c>
      <c r="ES5" s="145">
        <f>IFERROR(VLOOKUP($EE5,$BC$2:$BJ$84,5,FALSE),0)</f>
        <v/>
      </c>
      <c r="ET5" s="145">
        <f>IFERROR(VLOOKUP($EB5,$BC$2:$BJ$84,6,FALSE),0)+IFERROR(VLOOKUP($EC5,$BC$2:$BJ$84,6,FALSE),0)+IFERROR(VLOOKUP($ED5,$BC$2:$BJ$84,6,FALSE),0)+IFERROR(VLOOKUP($EE5,$BC$2:$BJ$84,6,FALSE),0)</f>
        <v/>
      </c>
      <c r="EU5" s="145">
        <f>IF($EI5=0,0,INDEX($AD$2:$AD$11,$EI5))</f>
        <v/>
      </c>
      <c r="EV5" s="145">
        <f>IF($EI5=0,0,INDEX($AE$2:$AE$11,$EI5))</f>
        <v/>
      </c>
      <c r="EW5" s="145">
        <f>IF($EI5=0,0,INDEX($AG$2:$AG$11,$EI5))</f>
        <v/>
      </c>
      <c r="EX5" s="145">
        <f>IFERROR(VLOOKUP($EF5,$BL$2:$BP$24,3,FALSE),0)</f>
        <v/>
      </c>
      <c r="EY5" s="145">
        <f>IFERROR(VLOOKUP($EG5,$BL$2:$BP$24,3,FALSE),0)</f>
        <v/>
      </c>
      <c r="EZ5" s="145">
        <f>IFERROR(VLOOKUP($EF5,$BL$2:$BP$24,2,FALSE),"")</f>
        <v/>
      </c>
      <c r="FA5" s="145">
        <f>IFERROR(VLOOKUP($EG5,$BL$2:$BP$24,2,FALSE),"")</f>
        <v/>
      </c>
      <c r="FB5" s="145">
        <f>COUNTIF($EJ5:$EN5,1)</f>
        <v/>
      </c>
      <c r="FC5" s="145">
        <f>COUNTIF($EJ5:$EN5,2)</f>
        <v/>
      </c>
      <c r="FD5" s="145">
        <f>COUNTIF($EJ5:$EN5,3)</f>
        <v/>
      </c>
      <c r="FE5" s="145">
        <f>COUNTIF($EJ5:$EN5,4)</f>
        <v/>
      </c>
      <c r="FF5" s="145">
        <f>COUNTIF($EJ5:$EN5,5)</f>
        <v/>
      </c>
      <c r="FG5" s="145">
        <f>COUNTIF($EJ5:$EN5,6)</f>
        <v/>
      </c>
      <c r="FH5" s="145">
        <f>COUNTIF($EX5:$EY5,1)</f>
        <v/>
      </c>
      <c r="FI5" s="145">
        <f>COUNTIF($EX5:$EY5,2)+$EU5</f>
        <v/>
      </c>
      <c r="FJ5" s="145">
        <f>COUNTIF($EB5:$EE5,"?*")</f>
        <v/>
      </c>
      <c r="FK5" s="145">
        <f>COUNTIF($EF5:$EG5,"?*")+$EU5</f>
        <v/>
      </c>
      <c r="FL5" s="145">
        <f>SUMPRODUCT($FB5:$FG5,INDEX($Q$2:$V$8,$DY5,0))</f>
        <v/>
      </c>
      <c r="FM5" s="145">
        <f>$FH5*CEILING($DY5/2,1)+$FI5*$DY5</f>
        <v/>
      </c>
      <c r="FN5" s="145">
        <f>MIN(2*$DY5,$FM5)</f>
        <v/>
      </c>
      <c r="FO5" s="145">
        <f>MIN($FN5,$FL5)</f>
        <v/>
      </c>
      <c r="FP5" s="145">
        <f>$FN5-$FO5</f>
        <v/>
      </c>
      <c r="FQ5" s="145">
        <f>3*$DY5-$FL5+$FO5</f>
        <v/>
      </c>
      <c r="FR5" s="145">
        <f>MAX(0,$FQ5)+$DW5*$DY5</f>
        <v/>
      </c>
      <c r="FS5" s="145">
        <f>(IF(COUNTIF($EB5:$EE5,"Salto")&gt;0,1,0)+IF(COUNTIF($EB5:$EE5,"Queima")&gt;0,1,0)+IF(COUNTIF($EB5:$EE5,"Estilhaço")&gt;0,1,0))*FLOOR($FR5/2,1)</f>
        <v/>
      </c>
      <c r="FT5" s="145">
        <f>MAX(0,3-SUMPRODUCT($FB5:$FG5,$Q$2:$V$2)+MIN(2,$FH5*1+$FI5*1,SUMPRODUCT($FB5:$FG5,$Q$2:$V$2)))+$DW5*1</f>
        <v/>
      </c>
      <c r="FU5" s="145">
        <f>MAX(0,6-SUMPRODUCT($FB5:$FG5,$Q$3:$V$3)+MIN(4,$FH5*1+$FI5*2,SUMPRODUCT($FB5:$FG5,$Q$3:$V$3)))+$DW5*2</f>
        <v/>
      </c>
      <c r="FV5" s="145">
        <f>MAX(0,9-SUMPRODUCT($FB5:$FG5,$Q$4:$V$4)+MIN(6,$FH5*2+$FI5*3,SUMPRODUCT($FB5:$FG5,$Q$4:$V$4)))+$DW5*3</f>
        <v/>
      </c>
      <c r="FW5" s="145">
        <f>MAX(0,12-SUMPRODUCT($FB5:$FG5,$Q$5:$V$5)+MIN(8,$FH5*2+$FI5*4,SUMPRODUCT($FB5:$FG5,$Q$5:$V$5)))+$DW5*4</f>
        <v/>
      </c>
      <c r="FX5" s="145">
        <f>MAX(0,15-SUMPRODUCT($FB5:$FG5,$Q$6:$V$6)+MIN(10,$FH5*3+$FI5*5,SUMPRODUCT($FB5:$FG5,$Q$6:$V$6)))+$DW5*5</f>
        <v/>
      </c>
      <c r="FY5" s="145">
        <f>MAX(0,18-SUMPRODUCT($FB5:$FG5,$Q$7:$V$7)+MIN(12,$FH5*3+$FI5*6,SUMPRODUCT($FB5:$FG5,$Q$7:$V$7)))+$DW5*6</f>
        <v/>
      </c>
      <c r="FZ5" s="145">
        <f>MAX(0,21-SUMPRODUCT($FB5:$FG5,$Q$8:$V$8)+MIN(14,$FH5*4+$FI5*7,SUMPRODUCT($FB5:$FG5,$Q$8:$V$8)))+$DW5*7</f>
        <v/>
      </c>
      <c r="GA5" s="145">
        <f>IF($EV5=2,3*$FT5&amp;" de vida temp.",IF($EV5=3,"sem dano",IF($FT5=0,IF($EV5=1,"sem cura","sem dano"),IF($EV5=1,"cura ","")&amp;$FT5&amp;"d8")))</f>
        <v/>
      </c>
      <c r="GB5" s="145">
        <f>IF($EV5=2,3*$FU5&amp;" de vida temp.",IF($EV5=3,"sem dano",IF($FU5=0,IF($EV5=1,"sem cura","sem dano"),IF($EV5=1,"cura ","")&amp;$FU5&amp;"d8")))</f>
        <v/>
      </c>
      <c r="GC5" s="145">
        <f>IF($EV5=2,3*$FV5&amp;" de vida temp.",IF($EV5=3,"sem dano",IF($FV5=0,IF($EV5=1,"sem cura","sem dano"),IF($EV5=1,"cura ","")&amp;$FV5&amp;"d8")))</f>
        <v/>
      </c>
      <c r="GD5" s="145">
        <f>IF($EV5=2,3*$FW5&amp;" de vida temp.",IF($EV5=3,"sem dano",IF($FW5=0,IF($EV5=1,"sem cura","sem dano"),IF($EV5=1,"cura ","")&amp;$FW5&amp;"d8")))</f>
        <v/>
      </c>
      <c r="GE5" s="145">
        <f>IF($EV5=2,3*$FX5&amp;" de vida temp.",IF($EV5=3,"sem dano",IF($FX5=0,IF($EV5=1,"sem cura","sem dano"),IF($EV5=1,"cura ","")&amp;$FX5&amp;"d8")))</f>
        <v/>
      </c>
      <c r="GF5" s="145">
        <f>IF($EV5=2,3*$FY5&amp;" de vida temp.",IF($EV5=3,"sem dano",IF($FY5=0,IF($EV5=1,"sem cura","sem dano"),IF($EV5=1,"cura ","")&amp;$FY5&amp;"d8")))</f>
        <v/>
      </c>
      <c r="GG5" s="145">
        <f>IF($EV5=2,3*$FZ5&amp;" de vida temp.",IF($EV5=3,"sem dano",IF($FZ5=0,IF($EV5=1,"sem cura","sem dano"),IF($EV5=1,"cura ","")&amp;$FZ5&amp;"d8")))</f>
        <v/>
      </c>
      <c r="GH5" s="145">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45">
        <f>IF($GH5="",0,(LEN($GH5)-LEN(SUBSTITUTE($GH5," · ","")))/3+1)</f>
        <v/>
      </c>
      <c r="GJ5" s="145">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45">
        <f>IF($GJ5="",0,(LEN($GJ5)-LEN(SUBSTITUTE($GJ5," · ","")))/3+1)</f>
        <v/>
      </c>
      <c r="GL5" s="145">
        <f>IF($EH5=0,IF($FJ5+$FK5-$EU5&gt;0,"Dê um nome",""),IF($GI5&gt;0,"⚠ "&amp;$GI5&amp;IF($GI5&gt;1," erros"," erro"),IF($GK5&gt;0,"! "&amp;$GK5&amp;IF($GK5&gt;1," avisos"," aviso"),"Na regra")))</f>
        <v/>
      </c>
      <c r="GM5" s="145">
        <f>IF($EH5=0,"",IF($GI5+$GK5=0,"Dentro das regras que a ficha confere",$GH5&amp;IF(AND($GI5&gt;0,$GK5&gt;0)," · ","")&amp;$GJ5))</f>
        <v/>
      </c>
      <c r="GN5" s="145">
        <f>IF($EH5=0,"",IF($DW5=1,CEILING(4.5*$DY5,1),3*$DY5)&amp;" PE")</f>
        <v/>
      </c>
      <c r="GO5" s="145">
        <f>IF($EH5=0,"",IF($DW5=1,"Rodada inteira",IF(COUNTIF($EZ5:$FA5,"Atrasar")&gt;0,IF(COUNTIF($EZ5:$FA5,"Carregar")&gt;0,"Rodada +1 turno","Rodada inteira"),IF(COUNTIF($EB5:$EE5,"Rápido")&gt;0,"Bônus",IF(COUNTIF($EB5:$EE5,"Reação")&gt;0,"Reação","Padrão"))&amp;IF(COUNTIF($EZ5:$FA5,"Carregar")&gt;0," +1 turno",""))))</f>
        <v/>
      </c>
      <c r="GP5" s="145">
        <f>IF(OR($EH5=0,$EI5=0),"",IF(COUNTIF($EB5:$EE5,"Inescapável")&gt;0,"Automático",IF(COUNTIF($EB5:$EE5,"Certeiro")&gt;0,"TR para metade",INDEX($AF$2:$AF$11,$EI5))))</f>
        <v/>
      </c>
      <c r="GQ5" s="145">
        <f>IF(OR($EH5=0,$EI5=0),"",IF(OR($EV5&gt;=2,$FR5=0),UPPER(LEFT(INDEX($GA5:$GG5,1,$DY5),1))&amp;MID(INDEX($GA5:$GG5,1,$DY5),2,99),UPPER(LEFT(INDEX($GA5:$GG5,1,$DY5),1))&amp;MID(INDEX($GA5:$GG5,1,$DY5),2,99)&amp;" = "&amp;FLOOR($FR5*4.5,1)&amp;IF($FS5&gt;0," · +"&amp;$FS5&amp;"d8","")))</f>
        <v/>
      </c>
      <c r="GR5" s="145">
        <f>COUNTIF($EB5:$EE5,"Longe")+3*COUNTIF($EB5:$EE5,"Muito Longe")</f>
        <v/>
      </c>
      <c r="GS5" s="145">
        <f>COUNTIF($EB5:$EE5,"Maior")+3*COUNTIF($EB5:$EE5,"Muito Maior")</f>
        <v/>
      </c>
      <c r="GT5" s="145">
        <f>IF($EI5=0,0,CHOOSE(1+INDEX($AH$2:$AH$11,$EI5),0,$GR5,$GS5,$GR5+$GS5))</f>
        <v/>
      </c>
      <c r="GU5" s="145">
        <f>IF($EI5=0,0,CHOOSE(1+INDEX($AI$2:$AI$11,$EI5),0,$GR5,$GS5,$GR5+$GS5))</f>
        <v/>
      </c>
      <c r="GV5" s="145">
        <f>IF(OR($EH5=0,$EI5=0),"",INDEX($AP$2:$AU$31,($EI5-1)*3+IF($DY5&gt;=6,3,2),1+MIN(5,$GT5))&amp;INDEX($AV$2:$BA$31,($EI5-1)*3+IF($DY5&gt;=6,3,2),1+MIN(5,$GU5))&amp;IF(INDEX($AJ$2:$AJ$11,$EI5)=1,IF(COUNTIF($EB5:$EE5,"Mais Um")&gt;0," · +"&amp;COUNTIF($EB5:$EE5,"Mais Um")&amp;IF(COUNTIF($EB5:$EE5,"Mais Um")&gt;1," alvos"," alvo"),"")&amp;IF(COUNTIF($EB5:$EE5,"Rajada")&gt;0," · "&amp;($DY5+1)&amp;" tiros",""),""))</f>
        <v/>
      </c>
      <c r="GW5" s="145">
        <f>IF($EH5=0,"",3*$DY5&amp;" − "&amp;$FL5&amp;" + "&amp;$FO5&amp;IF($DW5=1," + "&amp;$DY5,"")&amp;" = "&amp;$FR5&amp;"d8 · teto "&amp;4*$DY5&amp;IF($EU5=1," · a Forma devolve "&amp;$DY5,"")&amp;IF($FP5&gt;0," · perde "&amp;$FP5,""))</f>
        <v/>
      </c>
      <c r="GX5" s="145">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5">
        <f>IF(OR($EH5=0,$EK5=0),"","−"&amp;INDEX($Q$2:$V$8,$DY5,$EK5)&amp;" · "&amp;CHOOSE($EK5,"Leve","Média","Pesada","Leve · Livre","Média · Livre","Pesada · Livre"))</f>
        <v/>
      </c>
      <c r="GZ5" s="145">
        <f>IF(OR($EH5=0,$EL5=0),"","−"&amp;INDEX($Q$2:$V$8,$DY5,$EL5)&amp;" · "&amp;CHOOSE($EL5,"Leve","Média","Pesada","Leve · Livre","Média · Livre","Pesada · Livre"))</f>
        <v/>
      </c>
      <c r="HA5" s="145">
        <f>IF(OR($EH5=0,$EM5=0),"","−"&amp;INDEX($Q$2:$V$8,$DY5,$EM5)&amp;" · "&amp;CHOOSE($EM5,"Leve","Média","Pesada","Leve · Livre","Média · Livre","Pesada · Livre"))</f>
        <v/>
      </c>
      <c r="HB5" s="145">
        <f>IF(OR($EH5=0,$EN5=0),"","−"&amp;INDEX($Q$2:$V$8,$DY5,$EN5)&amp;" · "&amp;CHOOSE($EN5,"Leve","Média","Pesada","Leve · Livre","Média · Livre","Pesada · Livre"))</f>
        <v/>
      </c>
      <c r="HC5" s="145">
        <f>IF(OR($EH5=0,$EF5=""),"","+"&amp;IF($EX5=1,CEILING($DY5/2,1),$DY5))</f>
        <v/>
      </c>
      <c r="HD5" s="145">
        <f>IF(OR($EH5=0,$EG5=""),"","+"&amp;IF($EY5=1,CEILING($DY5/2,1),$DY5))</f>
        <v/>
      </c>
      <c r="HE5" s="145">
        <f>'FICHA AMALDIÇOADA'!$D$74&amp;""</f>
        <v/>
      </c>
      <c r="HF5" s="145">
        <f>IF(AND($EH5=1,$DW5=0),COUNTIFS($EH$2:$EH5,1,$DW$2:$DW5,0),"")</f>
        <v/>
      </c>
      <c r="HH5" s="143" t="inlineStr">
        <is>
          <t>marcos</t>
        </is>
      </c>
      <c r="HI5" s="145">
        <f>N(DADOS!$AK$5)</f>
        <v/>
      </c>
      <c r="HK5" s="143" t="inlineStr">
        <is>
          <t>Talento 4</t>
        </is>
      </c>
      <c r="HL5" s="145">
        <f>'FICHA AMALDIÇOADA'!$D$387&amp;""</f>
        <v/>
      </c>
      <c r="HM5" s="145">
        <f>IFERROR(VLOOKUP($HL5,$BR$2:$BX$24,2,FALSE),0)</f>
        <v/>
      </c>
      <c r="HN5" s="145">
        <f>IFERROR(VLOOKUP($HM5,$BZ$2:$CA$4,2,FALSE),0)</f>
        <v/>
      </c>
      <c r="HO5" s="145">
        <f>IFERROR(VLOOKUP($HL5,$BR$2:$BX$24,3,FALSE),"")</f>
        <v/>
      </c>
      <c r="HP5" s="145">
        <f>IF($HM5=0,"",IF($HN5&gt;$HI$2,"⚠ Nível "&amp;$HN5,"CE "&amp;$HM5))</f>
        <v/>
      </c>
      <c r="HQ5" s="145">
        <f>IF($HM5=0,"",$HM5&amp;" esp.")</f>
        <v/>
      </c>
      <c r="HR5" s="145">
        <f>'FICHA AMALDIÇOADA'!$E$392&amp;""</f>
        <v/>
      </c>
      <c r="HS5" s="145">
        <f>IF($HL5="","",COUNTIF($HL$2:$HL5,"?*"))</f>
        <v/>
      </c>
      <c r="HU5" s="143" t="inlineStr">
        <is>
          <t>Aptidão 4</t>
        </is>
      </c>
      <c r="HV5" s="145">
        <f>'FICHA AMALDIÇOADA'!$D$450&amp;""</f>
        <v/>
      </c>
      <c r="HW5" s="145">
        <f>IF($HV5="","","Requisito: "&amp;IFERROR(VLOOKUP($HV5,$CC$2:$CL$33,2,FALSE),""))</f>
        <v/>
      </c>
      <c r="HX5" s="145">
        <f>IF($HV5="","",IFERROR(IF(ISNUMBER(VLOOKUP($HV5,$CC$2:$CL$33,3,FALSE)),"CE "&amp;VLOOKUP($HV5,$CC$2:$CL$33,3,FALSE),VLOOKUP($HV5,$CC$2:$CL$33,3,FALSE)),""))</f>
        <v/>
      </c>
      <c r="HY5" s="145">
        <f>IF($HV5="","",IFERROR(VLOOKUP($HV5,$CC$2:$CL$33,4,FALSE),""))</f>
        <v/>
      </c>
      <c r="HZ5" s="145">
        <f>IF($HV5="","",IFERROR(VLOOKUP($HV5,$CC$2:$CL$33,5,FALSE),""))</f>
        <v/>
      </c>
      <c r="IA5" s="145">
        <f>'FICHA AMALDIÇOADA'!$E$467&amp;""</f>
        <v/>
      </c>
      <c r="IB5" s="145">
        <f>IF($HV5="","",COUNTIF($HV$2:$HV5,"?*"))</f>
        <v/>
      </c>
      <c r="ID5" s="143" t="inlineStr">
        <is>
          <t>Classe 0 · 4</t>
        </is>
      </c>
      <c r="IE5" s="145">
        <f>'FICHA AMALDIÇOADA'!$F$313&amp;""</f>
        <v/>
      </c>
      <c r="IF5" s="145">
        <f>'FICHA AMALDIÇOADA'!$J$313&amp;""</f>
        <v/>
      </c>
      <c r="IG5" s="145">
        <f>'FICHA AMALDIÇOADA'!$L$313&amp;""</f>
        <v/>
      </c>
      <c r="IH5" s="145">
        <f>IFERROR(MATCH($IE5,$Y$2:$Y$11,0),0)</f>
        <v/>
      </c>
      <c r="II5" s="145">
        <f>$HI$11-IF($IF5&lt;&gt;"",1,0)</f>
        <v/>
      </c>
      <c r="IJ5" s="145">
        <f>IF(4&gt;$HI$10,"Nível 11",IF($IH5=0,"",IF(INDEX($AE$2:$AE$11,$IH5)&gt;=2,"—",$II5&amp;"d8 = "&amp;FLOOR($II5*4.5,1))))</f>
        <v/>
      </c>
      <c r="IK5" s="145">
        <f>IF(OR(4&gt;$HI$10,$IH5=0),"",INDEX($AP$2:$AU$31,($IH5-1)*3+1,1+IF(OR(AND($IF5="Longe",INDEX($AH$2:$AH$11,$IH5)&lt;&gt;2),AND($IF5="Maior",INDEX($AH$2:$AH$11,$IH5)&gt;=2)),1,0))&amp;INDEX($AV$2:$BA$31,($IH5-1)*3+1,1+IF(AND($IF5="Longe",INDEX($AI$2:$AI$11,$IH5)=1),1,0)))</f>
        <v/>
      </c>
      <c r="IM5" s="143" t="inlineStr">
        <is>
          <t>Classe 0</t>
        </is>
      </c>
      <c r="IN5" s="145">
        <f>ADDRESS(ROW('FICHA AMALDIÇOADA'!G7),COLUMN('FICHA AMALDIÇOADA'!G7),4)</f>
        <v/>
      </c>
      <c r="IO5" s="145">
        <f>ADDRESS(ROW('FICHA AMALDIÇOADA'!D307),COLUMN('FICHA AMALDIÇOADA'!D307),4)</f>
        <v/>
      </c>
      <c r="IP5" s="143" t="inlineStr">
        <is>
          <t>DADOS_AM!$IM$5</t>
        </is>
      </c>
      <c r="IR5" s="143" t="inlineStr">
        <is>
          <t>Caminho 23</t>
        </is>
      </c>
      <c r="IS5" s="145" t="n">
        <v>23</v>
      </c>
      <c r="IT5" s="145">
        <f>IF($HI$2&gt;=23,"Nível 23","Abre no 23")</f>
        <v/>
      </c>
      <c r="IU5" s="145">
        <f>ADDRESS(ROW(FICHA!G110),COLUMN(FICHA!G110),4)</f>
        <v/>
      </c>
      <c r="IV5" s="145">
        <f>ADDRESS(ROW(FICHA!D111),COLUMN(FICHA!D111),4)</f>
        <v/>
      </c>
      <c r="JD5" s="145" t="n">
        <v>4</v>
      </c>
      <c r="JE5" s="145">
        <f>IFERROR(MATCH(4,$HF$2:$HF$37,0),0)</f>
        <v/>
      </c>
      <c r="JF5" s="145">
        <f>IF($JE5=0,"",INDEX($DY$2:$DY$37,$JE5))</f>
        <v/>
      </c>
      <c r="JG5" s="145">
        <f>IF($JE5=0,"",INDEX($DZ$2:$DZ$37,$JE5))</f>
        <v/>
      </c>
      <c r="JH5" s="145">
        <f>IF($JE5=0,"",INDEX($GN$2:$GN$37,$JE5))</f>
        <v/>
      </c>
      <c r="JI5" s="145">
        <f>IF($JE5=0,"",INDEX($EA$2:$EA$37,$JE5))</f>
        <v/>
      </c>
      <c r="JJ5" s="145">
        <f>IF($JE5=0,"",INDEX($GP$2:$GP$37,$JE5))</f>
        <v/>
      </c>
      <c r="JK5" s="145">
        <f>IF($JE5=0,"",INDEX($HE$2:$HE$37,$JE5))</f>
        <v/>
      </c>
      <c r="KB5" s="143" t="inlineStr">
        <is>
          <t>Talento 2</t>
        </is>
      </c>
      <c r="KC5" s="145">
        <f>IFERROR(MATCH(2,$HS$2:$HS$13,0),0)</f>
        <v/>
      </c>
      <c r="KD5" s="145">
        <f>IF($KC5=0,"",IF(INDEX($HM$2:$HM$13,$KC5)=0,"","CE "&amp;INDEX($HM$2:$HM$13,$KC5)))</f>
        <v/>
      </c>
      <c r="KE5" s="145">
        <f>IF($KC5=0,"",INDEX($HL$2:$HL$13,$KC5))</f>
        <v/>
      </c>
      <c r="KF5" s="145">
        <f>IF($KC5=0,"",IF(INDEX($HR$2:$HR$13,$KC5)&lt;&gt;"",INDEX($HR$2:$HR$13,$KC5),IF(IFERROR(VLOOKUP(INDEX($HL$2:$HL$13,$KC5),$BR$2:$BX$24,7,FALSE),"")&lt;&gt;"","Do livro: "&amp;IFERROR(VLOOKUP(INDEX($HL$2:$HL$13,$KC5),$BR$2:$BX$24,7,FALSE),""),"")))</f>
        <v/>
      </c>
      <c r="KH5" s="143" t="inlineStr">
        <is>
          <t>Aptidão 2</t>
        </is>
      </c>
      <c r="KI5" s="145">
        <f>IFERROR(MATCH(2,$IB$2:$IB$13,0),0)</f>
        <v/>
      </c>
      <c r="KJ5" s="145">
        <f>IF($KI5=0,"",INDEX($HX$2:$HX$13,$KI5))</f>
        <v/>
      </c>
      <c r="KK5" s="145">
        <f>IF($KI5=0,"",INDEX($HV$2:$HV$13,$KI5))</f>
        <v/>
      </c>
      <c r="KL5" s="145">
        <f>IF($KI5=0,"",IF(INDEX($IA$2:$IA$13,$KI5)&lt;&gt;"",INDEX($IA$2:$IA$13,$KI5),IF(IFERROR(VLOOKUP(INDEX($HV$2:$HV$13,$KI5),$CC$2:$CL$33,10,FALSE),"")&lt;&gt;"","Do livro: "&amp;IFERROR(VLOOKUP(INDEX($HV$2:$HV$13,$KI5),$CC$2:$CL$33,10,FALSE),""),"")))</f>
        <v/>
      </c>
      <c r="KN5" s="143" t="inlineStr">
        <is>
          <t>passivas</t>
        </is>
      </c>
      <c r="KO5" s="145">
        <f>"TALENTOS  ·  "&amp;(COUNTIF($KE$2:$KE$15,"?*")-2)&amp;" de 12, mais a Expressão e a Regra Própria"</f>
        <v/>
      </c>
      <c r="KQ5" s="143" t="inlineStr">
        <is>
          <t>R12</t>
        </is>
      </c>
      <c r="KR5" s="145">
        <f>IF(DADOS_AM!$HI$41=1,IF(DADOS_AM!$HI$48=0,"—",IF(DADOS_AM!$HI$48=1,(8+DADOS_AM!$HI$3+IF(DADOS_AM!$HI$42&lt;&gt;"",DADOS_AM!$HI$45,IF(DADOS_AM!$HI$43&lt;&gt;"",DADOS_AM!$HI$46,DADOS_AM!$HI$47))+IFERROR(VALUE(FICHA!$L$47&amp;""),0)),"Por grupo")),FICHA!$D$47)</f>
        <v/>
      </c>
    </row>
    <row r="6">
      <c r="C6" s="143" t="inlineStr">
        <is>
          <t>aptidões</t>
        </is>
      </c>
      <c r="D6" s="143" t="inlineStr">
        <is>
          <t>Aptidões</t>
        </is>
      </c>
      <c r="E6" s="143" t="inlineStr">
        <is>
          <t>Aptidões</t>
        </is>
      </c>
      <c r="F6" s="143" t="inlineStr">
        <is>
          <t>Aptidões</t>
        </is>
      </c>
      <c r="G6" s="143" t="inlineStr">
        <is>
          <t>Bênçãos</t>
        </is>
      </c>
      <c r="I6" s="143" t="inlineStr">
        <is>
          <t>Auxiliares</t>
        </is>
      </c>
      <c r="J6" s="145">
        <f>'FICHA AMALDIÇOADA'!$J$37&amp;""</f>
        <v/>
      </c>
      <c r="K6" s="145">
        <f>IF($J6="Livre",1,0)</f>
        <v/>
      </c>
      <c r="L6" s="145">
        <f>IF($J6="Fechada",1,0)</f>
        <v/>
      </c>
      <c r="P6" s="145" t="n">
        <v>5</v>
      </c>
      <c r="Q6" s="145" t="n">
        <v>3</v>
      </c>
      <c r="R6" s="145" t="n">
        <v>5</v>
      </c>
      <c r="S6" s="145" t="n">
        <v>8</v>
      </c>
      <c r="T6" s="145" t="n">
        <v>1</v>
      </c>
      <c r="U6" s="145" t="n">
        <v>2</v>
      </c>
      <c r="V6" s="145" t="n">
        <v>5</v>
      </c>
      <c r="W6" s="145" t="n">
        <v>4</v>
      </c>
      <c r="Y6" s="143" t="inlineStr">
        <is>
          <t>Cone</t>
        </is>
      </c>
      <c r="Z6" s="143" t="inlineStr">
        <is>
          <t>Área</t>
        </is>
      </c>
      <c r="AA6" s="145" t="n">
        <v>1</v>
      </c>
      <c r="AB6" s="145">
        <f>IF($AA6=0,0,$AA6+3*IFERROR(VLOOKUP($Z6,$I$2:$L$10,3,FALSE),0))</f>
        <v/>
      </c>
      <c r="AC6" s="145">
        <f>IFERROR(VLOOKUP($Z6,$I$2:$L$10,4,FALSE),0)</f>
        <v/>
      </c>
      <c r="AD6" s="145" t="n">
        <v>0</v>
      </c>
      <c r="AE6" s="145" t="n">
        <v>0</v>
      </c>
      <c r="AF6" s="143" t="inlineStr">
        <is>
          <t>TR, metade</t>
        </is>
      </c>
      <c r="AG6" s="145" t="n">
        <v>1</v>
      </c>
      <c r="AH6" s="145" t="n">
        <v>3</v>
      </c>
      <c r="AI6" s="145" t="n">
        <v>0</v>
      </c>
      <c r="AJ6" s="145" t="n">
        <v>0</v>
      </c>
      <c r="AK6" s="145" t="n">
        <v>1</v>
      </c>
      <c r="AL6" s="145">
        <f>IF($AC6=1,"",$Y6)</f>
        <v/>
      </c>
      <c r="AM6" s="145">
        <f>IF(AND($AK6=1,$AC6=0),$Y6,"")</f>
        <v/>
      </c>
      <c r="AO6" s="143" t="inlineStr">
        <is>
          <t>Toque · classes 1 a 5</t>
        </is>
      </c>
      <c r="AP6" s="143" t="inlineStr">
        <is>
          <t>1,5 m, um alvo</t>
        </is>
      </c>
      <c r="AQ6" s="143" t="inlineStr">
        <is>
          <t>1,5 m, um alvo</t>
        </is>
      </c>
      <c r="AR6" s="143" t="inlineStr">
        <is>
          <t>1,5 m, um alvo</t>
        </is>
      </c>
      <c r="AS6" s="143" t="inlineStr">
        <is>
          <t>1,5 m, um alvo</t>
        </is>
      </c>
      <c r="AT6" s="143" t="inlineStr">
        <is>
          <t>1,5 m, um alvo</t>
        </is>
      </c>
      <c r="AU6" s="143" t="inlineStr">
        <is>
          <t>1,5 m, um alvo</t>
        </is>
      </c>
      <c r="AV6" s="143" t="inlineStr"/>
      <c r="AW6" s="143" t="inlineStr"/>
      <c r="AX6" s="143" t="inlineStr"/>
      <c r="AY6" s="143" t="inlineStr"/>
      <c r="AZ6" s="143" t="inlineStr"/>
      <c r="BA6" s="143" t="inlineStr"/>
      <c r="BC6" s="143" t="inlineStr">
        <is>
          <t>Passo</t>
        </is>
      </c>
      <c r="BD6" s="143" t="inlineStr">
        <is>
          <t>Alcance</t>
        </is>
      </c>
      <c r="BE6" s="145" t="n">
        <v>1</v>
      </c>
      <c r="BF6" s="145">
        <f>$BE6+3*IFERROR(VLOOKUP($BD6,$I$2:$L$10,3,FALSE),0)</f>
        <v/>
      </c>
      <c r="BG6" s="145">
        <f>IFERROR(VLOOKUP($BD6,$I$2:$L$10,4,FALSE),0)</f>
        <v/>
      </c>
      <c r="BH6" s="145" t="n">
        <v>0</v>
      </c>
      <c r="BI6" s="145">
        <f>IF($BG6=1,"",$BC6)</f>
        <v/>
      </c>
      <c r="BJ6" s="145">
        <f>IF(AND($BE6=1,$BG6=0),$BC6,"")</f>
        <v/>
      </c>
      <c r="BL6" s="143" t="inlineStr">
        <is>
          <t>Carregar</t>
        </is>
      </c>
      <c r="BM6" s="143" t="inlineStr">
        <is>
          <t>Carregar</t>
        </is>
      </c>
      <c r="BN6" s="145" t="n">
        <v>2</v>
      </c>
      <c r="BO6" s="145" t="n">
        <v>0</v>
      </c>
      <c r="BP6" s="143" t="inlineStr"/>
      <c r="BR6" s="143" t="inlineStr">
        <is>
          <t>Farejador</t>
        </is>
      </c>
      <c r="BS6" s="145" t="n">
        <v>1</v>
      </c>
      <c r="BT6" s="143" t="inlineStr">
        <is>
          <t>Você sente se houve uma conjuração no local onde está nas últimas 24 horas, e identifica a Classe deixada por ela. Se houver vestígios de mais de uma Classe, reconhece essas Classes.</t>
        </is>
      </c>
      <c r="BU6" s="145" t="n">
        <v>1</v>
      </c>
      <c r="BV6" s="145" t="n">
        <v>0</v>
      </c>
      <c r="BW6" s="145">
        <f>IF(OR(AND($A$2&lt;=2,$BU6=1),AND($A$2&gt;=2,$BV6=1)),$BR6,"")</f>
        <v/>
      </c>
      <c r="BX6" s="143" t="inlineStr">
        <is>
          <t>Você sente se houve uma conjuração no local onde está nas últimas 24 horas, e identifica a Classe deixada por ela. Se houver vestígios de mais de uma Classe, reconhece essas Classes.</t>
        </is>
      </c>
      <c r="CC6" s="143" t="inlineStr">
        <is>
          <t>Circulação</t>
        </is>
      </c>
      <c r="CD6" s="143" t="inlineStr">
        <is>
          <t>Energia Reversa e Refino 8</t>
        </is>
      </c>
      <c r="CE6" s="145" t="n">
        <v>3</v>
      </c>
      <c r="CF6" s="143" t="inlineStr">
        <is>
          <t>—</t>
        </is>
      </c>
      <c r="CG6" s="14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45">
        <f>IF($CK6=1,"",IF($A$2=4,IF($CI6=1,$CC6,""),IF(OR($CI6=1,AND($A$2=3,$CJ6=1)),"",$CC6)))</f>
        <v/>
      </c>
      <c r="CI6" s="145" t="n">
        <v>0</v>
      </c>
      <c r="CJ6" s="145" t="n">
        <v>0</v>
      </c>
      <c r="CK6" s="145" t="n">
        <v>0</v>
      </c>
      <c r="CL6" s="143" t="inlineStr">
        <is>
          <t>Você melhora o uso de Energia Reversa e aprende a reconstruir partes perdidas do corpo.</t>
        </is>
      </c>
      <c r="CT6" s="143" t="inlineStr">
        <is>
          <t>Flexível</t>
        </is>
      </c>
      <c r="CU6" s="145" t="n">
        <v>1</v>
      </c>
      <c r="CV6" s="145" t="n">
        <v>0</v>
      </c>
      <c r="CW6" s="145">
        <f>IF(AND($A$2&gt;=3,'FICHA AMALDIÇOADA'!$J$16&amp;""="Três grupos de arma"),$CT6,"")</f>
        <v/>
      </c>
      <c r="CY6" s="145" t="n">
        <v>25</v>
      </c>
      <c r="CZ6" s="145" t="n">
        <v>5</v>
      </c>
      <c r="DA6" s="145" t="n">
        <v>6</v>
      </c>
      <c r="DE6" s="145" t="n">
        <v>7</v>
      </c>
      <c r="DV6" s="143" t="inlineStr">
        <is>
          <t>Feitiço 5</t>
        </is>
      </c>
      <c r="DW6" s="145" t="n">
        <v>0</v>
      </c>
      <c r="DX6" s="145" t="n">
        <v>5</v>
      </c>
      <c r="DY6" s="145">
        <f>MAX(1,MIN(7,N('FICHA AMALDIÇOADA'!$J$72)))</f>
        <v/>
      </c>
      <c r="DZ6" s="145">
        <f>'FICHA AMALDIÇOADA'!$K$72&amp;""</f>
        <v/>
      </c>
      <c r="EA6" s="145">
        <f>'FICHA AMALDIÇOADA'!$J$79&amp;""</f>
        <v/>
      </c>
      <c r="EB6" s="145">
        <f>'FICHA AMALDIÇOADA'!$K$81&amp;""</f>
        <v/>
      </c>
      <c r="EC6" s="145">
        <f>'FICHA AMALDIÇOADA'!$K$82&amp;""</f>
        <v/>
      </c>
      <c r="ED6" s="145">
        <f>'FICHA AMALDIÇOADA'!$K$83&amp;""</f>
        <v/>
      </c>
      <c r="EE6" s="145">
        <f>'FICHA AMALDIÇOADA'!$K$84&amp;""</f>
        <v/>
      </c>
      <c r="EF6" s="145">
        <f>'FICHA AMALDIÇOADA'!$K$85&amp;""</f>
        <v/>
      </c>
      <c r="EG6" s="145">
        <f>'FICHA AMALDIÇOADA'!$K$86&amp;""</f>
        <v/>
      </c>
      <c r="EH6" s="145">
        <f>IF($DZ6&lt;&gt;"",1,0)</f>
        <v/>
      </c>
      <c r="EI6" s="145">
        <f>IFERROR(MATCH($EA6,$Y$2:$Y$11,0),0)</f>
        <v/>
      </c>
      <c r="EJ6" s="145">
        <f>IF($EI6=0,0,INDEX($AB$2:$AB$11,$EI6))</f>
        <v/>
      </c>
      <c r="EK6" s="145">
        <f>IFERROR(VLOOKUP($EB6,$BC$2:$BJ$84,4,FALSE),0)</f>
        <v/>
      </c>
      <c r="EL6" s="145">
        <f>IFERROR(VLOOKUP($EC6,$BC$2:$BJ$84,4,FALSE),0)</f>
        <v/>
      </c>
      <c r="EM6" s="145">
        <f>IFERROR(VLOOKUP($ED6,$BC$2:$BJ$84,4,FALSE),0)</f>
        <v/>
      </c>
      <c r="EN6" s="145">
        <f>IFERROR(VLOOKUP($EE6,$BC$2:$BJ$84,4,FALSE),0)</f>
        <v/>
      </c>
      <c r="EO6" s="145">
        <f>IF($EI6=0,0,INDEX($AC$2:$AC$11,$EI6))</f>
        <v/>
      </c>
      <c r="EP6" s="145">
        <f>IFERROR(VLOOKUP($EB6,$BC$2:$BJ$84,5,FALSE),0)</f>
        <v/>
      </c>
      <c r="EQ6" s="145">
        <f>IFERROR(VLOOKUP($EC6,$BC$2:$BJ$84,5,FALSE),0)</f>
        <v/>
      </c>
      <c r="ER6" s="145">
        <f>IFERROR(VLOOKUP($ED6,$BC$2:$BJ$84,5,FALSE),0)</f>
        <v/>
      </c>
      <c r="ES6" s="145">
        <f>IFERROR(VLOOKUP($EE6,$BC$2:$BJ$84,5,FALSE),0)</f>
        <v/>
      </c>
      <c r="ET6" s="145">
        <f>IFERROR(VLOOKUP($EB6,$BC$2:$BJ$84,6,FALSE),0)+IFERROR(VLOOKUP($EC6,$BC$2:$BJ$84,6,FALSE),0)+IFERROR(VLOOKUP($ED6,$BC$2:$BJ$84,6,FALSE),0)+IFERROR(VLOOKUP($EE6,$BC$2:$BJ$84,6,FALSE),0)</f>
        <v/>
      </c>
      <c r="EU6" s="145">
        <f>IF($EI6=0,0,INDEX($AD$2:$AD$11,$EI6))</f>
        <v/>
      </c>
      <c r="EV6" s="145">
        <f>IF($EI6=0,0,INDEX($AE$2:$AE$11,$EI6))</f>
        <v/>
      </c>
      <c r="EW6" s="145">
        <f>IF($EI6=0,0,INDEX($AG$2:$AG$11,$EI6))</f>
        <v/>
      </c>
      <c r="EX6" s="145">
        <f>IFERROR(VLOOKUP($EF6,$BL$2:$BP$24,3,FALSE),0)</f>
        <v/>
      </c>
      <c r="EY6" s="145">
        <f>IFERROR(VLOOKUP($EG6,$BL$2:$BP$24,3,FALSE),0)</f>
        <v/>
      </c>
      <c r="EZ6" s="145">
        <f>IFERROR(VLOOKUP($EF6,$BL$2:$BP$24,2,FALSE),"")</f>
        <v/>
      </c>
      <c r="FA6" s="145">
        <f>IFERROR(VLOOKUP($EG6,$BL$2:$BP$24,2,FALSE),"")</f>
        <v/>
      </c>
      <c r="FB6" s="145">
        <f>COUNTIF($EJ6:$EN6,1)</f>
        <v/>
      </c>
      <c r="FC6" s="145">
        <f>COUNTIF($EJ6:$EN6,2)</f>
        <v/>
      </c>
      <c r="FD6" s="145">
        <f>COUNTIF($EJ6:$EN6,3)</f>
        <v/>
      </c>
      <c r="FE6" s="145">
        <f>COUNTIF($EJ6:$EN6,4)</f>
        <v/>
      </c>
      <c r="FF6" s="145">
        <f>COUNTIF($EJ6:$EN6,5)</f>
        <v/>
      </c>
      <c r="FG6" s="145">
        <f>COUNTIF($EJ6:$EN6,6)</f>
        <v/>
      </c>
      <c r="FH6" s="145">
        <f>COUNTIF($EX6:$EY6,1)</f>
        <v/>
      </c>
      <c r="FI6" s="145">
        <f>COUNTIF($EX6:$EY6,2)+$EU6</f>
        <v/>
      </c>
      <c r="FJ6" s="145">
        <f>COUNTIF($EB6:$EE6,"?*")</f>
        <v/>
      </c>
      <c r="FK6" s="145">
        <f>COUNTIF($EF6:$EG6,"?*")+$EU6</f>
        <v/>
      </c>
      <c r="FL6" s="145">
        <f>SUMPRODUCT($FB6:$FG6,INDEX($Q$2:$V$8,$DY6,0))</f>
        <v/>
      </c>
      <c r="FM6" s="145">
        <f>$FH6*CEILING($DY6/2,1)+$FI6*$DY6</f>
        <v/>
      </c>
      <c r="FN6" s="145">
        <f>MIN(2*$DY6,$FM6)</f>
        <v/>
      </c>
      <c r="FO6" s="145">
        <f>MIN($FN6,$FL6)</f>
        <v/>
      </c>
      <c r="FP6" s="145">
        <f>$FN6-$FO6</f>
        <v/>
      </c>
      <c r="FQ6" s="145">
        <f>3*$DY6-$FL6+$FO6</f>
        <v/>
      </c>
      <c r="FR6" s="145">
        <f>MAX(0,$FQ6)+$DW6*$DY6</f>
        <v/>
      </c>
      <c r="FS6" s="145">
        <f>(IF(COUNTIF($EB6:$EE6,"Salto")&gt;0,1,0)+IF(COUNTIF($EB6:$EE6,"Queima")&gt;0,1,0)+IF(COUNTIF($EB6:$EE6,"Estilhaço")&gt;0,1,0))*FLOOR($FR6/2,1)</f>
        <v/>
      </c>
      <c r="FT6" s="145">
        <f>MAX(0,3-SUMPRODUCT($FB6:$FG6,$Q$2:$V$2)+MIN(2,$FH6*1+$FI6*1,SUMPRODUCT($FB6:$FG6,$Q$2:$V$2)))+$DW6*1</f>
        <v/>
      </c>
      <c r="FU6" s="145">
        <f>MAX(0,6-SUMPRODUCT($FB6:$FG6,$Q$3:$V$3)+MIN(4,$FH6*1+$FI6*2,SUMPRODUCT($FB6:$FG6,$Q$3:$V$3)))+$DW6*2</f>
        <v/>
      </c>
      <c r="FV6" s="145">
        <f>MAX(0,9-SUMPRODUCT($FB6:$FG6,$Q$4:$V$4)+MIN(6,$FH6*2+$FI6*3,SUMPRODUCT($FB6:$FG6,$Q$4:$V$4)))+$DW6*3</f>
        <v/>
      </c>
      <c r="FW6" s="145">
        <f>MAX(0,12-SUMPRODUCT($FB6:$FG6,$Q$5:$V$5)+MIN(8,$FH6*2+$FI6*4,SUMPRODUCT($FB6:$FG6,$Q$5:$V$5)))+$DW6*4</f>
        <v/>
      </c>
      <c r="FX6" s="145">
        <f>MAX(0,15-SUMPRODUCT($FB6:$FG6,$Q$6:$V$6)+MIN(10,$FH6*3+$FI6*5,SUMPRODUCT($FB6:$FG6,$Q$6:$V$6)))+$DW6*5</f>
        <v/>
      </c>
      <c r="FY6" s="145">
        <f>MAX(0,18-SUMPRODUCT($FB6:$FG6,$Q$7:$V$7)+MIN(12,$FH6*3+$FI6*6,SUMPRODUCT($FB6:$FG6,$Q$7:$V$7)))+$DW6*6</f>
        <v/>
      </c>
      <c r="FZ6" s="145">
        <f>MAX(0,21-SUMPRODUCT($FB6:$FG6,$Q$8:$V$8)+MIN(14,$FH6*4+$FI6*7,SUMPRODUCT($FB6:$FG6,$Q$8:$V$8)))+$DW6*7</f>
        <v/>
      </c>
      <c r="GA6" s="145">
        <f>IF($EV6=2,3*$FT6&amp;" de vida temp.",IF($EV6=3,"sem dano",IF($FT6=0,IF($EV6=1,"sem cura","sem dano"),IF($EV6=1,"cura ","")&amp;$FT6&amp;"d8")))</f>
        <v/>
      </c>
      <c r="GB6" s="145">
        <f>IF($EV6=2,3*$FU6&amp;" de vida temp.",IF($EV6=3,"sem dano",IF($FU6=0,IF($EV6=1,"sem cura","sem dano"),IF($EV6=1,"cura ","")&amp;$FU6&amp;"d8")))</f>
        <v/>
      </c>
      <c r="GC6" s="145">
        <f>IF($EV6=2,3*$FV6&amp;" de vida temp.",IF($EV6=3,"sem dano",IF($FV6=0,IF($EV6=1,"sem cura","sem dano"),IF($EV6=1,"cura ","")&amp;$FV6&amp;"d8")))</f>
        <v/>
      </c>
      <c r="GD6" s="145">
        <f>IF($EV6=2,3*$FW6&amp;" de vida temp.",IF($EV6=3,"sem dano",IF($FW6=0,IF($EV6=1,"sem cura","sem dano"),IF($EV6=1,"cura ","")&amp;$FW6&amp;"d8")))</f>
        <v/>
      </c>
      <c r="GE6" s="145">
        <f>IF($EV6=2,3*$FX6&amp;" de vida temp.",IF($EV6=3,"sem dano",IF($FX6=0,IF($EV6=1,"sem cura","sem dano"),IF($EV6=1,"cura ","")&amp;$FX6&amp;"d8")))</f>
        <v/>
      </c>
      <c r="GF6" s="145">
        <f>IF($EV6=2,3*$FY6&amp;" de vida temp.",IF($EV6=3,"sem dano",IF($FY6=0,IF($EV6=1,"sem cura","sem dano"),IF($EV6=1,"cura ","")&amp;$FY6&amp;"d8")))</f>
        <v/>
      </c>
      <c r="GG6" s="145">
        <f>IF($EV6=2,3*$FZ6&amp;" de vida temp.",IF($EV6=3,"sem dano",IF($FZ6=0,IF($EV6=1,"sem cura","sem dano"),IF($EV6=1,"cura ","")&amp;$FZ6&amp;"d8")))</f>
        <v/>
      </c>
      <c r="GH6" s="145">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45">
        <f>IF($GH6="",0,(LEN($GH6)-LEN(SUBSTITUTE($GH6," · ","")))/3+1)</f>
        <v/>
      </c>
      <c r="GJ6" s="145">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45">
        <f>IF($GJ6="",0,(LEN($GJ6)-LEN(SUBSTITUTE($GJ6," · ","")))/3+1)</f>
        <v/>
      </c>
      <c r="GL6" s="145">
        <f>IF($EH6=0,IF($FJ6+$FK6-$EU6&gt;0,"Dê um nome",""),IF($GI6&gt;0,"⚠ "&amp;$GI6&amp;IF($GI6&gt;1," erros"," erro"),IF($GK6&gt;0,"! "&amp;$GK6&amp;IF($GK6&gt;1," avisos"," aviso"),"Na regra")))</f>
        <v/>
      </c>
      <c r="GM6" s="145">
        <f>IF($EH6=0,"",IF($GI6+$GK6=0,"Dentro das regras que a ficha confere",$GH6&amp;IF(AND($GI6&gt;0,$GK6&gt;0)," · ","")&amp;$GJ6))</f>
        <v/>
      </c>
      <c r="GN6" s="145">
        <f>IF($EH6=0,"",IF($DW6=1,CEILING(4.5*$DY6,1),3*$DY6)&amp;" PE")</f>
        <v/>
      </c>
      <c r="GO6" s="145">
        <f>IF($EH6=0,"",IF($DW6=1,"Rodada inteira",IF(COUNTIF($EZ6:$FA6,"Atrasar")&gt;0,IF(COUNTIF($EZ6:$FA6,"Carregar")&gt;0,"Rodada +1 turno","Rodada inteira"),IF(COUNTIF($EB6:$EE6,"Rápido")&gt;0,"Bônus",IF(COUNTIF($EB6:$EE6,"Reação")&gt;0,"Reação","Padrão"))&amp;IF(COUNTIF($EZ6:$FA6,"Carregar")&gt;0," +1 turno",""))))</f>
        <v/>
      </c>
      <c r="GP6" s="145">
        <f>IF(OR($EH6=0,$EI6=0),"",IF(COUNTIF($EB6:$EE6,"Inescapável")&gt;0,"Automático",IF(COUNTIF($EB6:$EE6,"Certeiro")&gt;0,"TR para metade",INDEX($AF$2:$AF$11,$EI6))))</f>
        <v/>
      </c>
      <c r="GQ6" s="145">
        <f>IF(OR($EH6=0,$EI6=0),"",IF(OR($EV6&gt;=2,$FR6=0),UPPER(LEFT(INDEX($GA6:$GG6,1,$DY6),1))&amp;MID(INDEX($GA6:$GG6,1,$DY6),2,99),UPPER(LEFT(INDEX($GA6:$GG6,1,$DY6),1))&amp;MID(INDEX($GA6:$GG6,1,$DY6),2,99)&amp;" = "&amp;FLOOR($FR6*4.5,1)&amp;IF($FS6&gt;0," · +"&amp;$FS6&amp;"d8","")))</f>
        <v/>
      </c>
      <c r="GR6" s="145">
        <f>COUNTIF($EB6:$EE6,"Longe")+3*COUNTIF($EB6:$EE6,"Muito Longe")</f>
        <v/>
      </c>
      <c r="GS6" s="145">
        <f>COUNTIF($EB6:$EE6,"Maior")+3*COUNTIF($EB6:$EE6,"Muito Maior")</f>
        <v/>
      </c>
      <c r="GT6" s="145">
        <f>IF($EI6=0,0,CHOOSE(1+INDEX($AH$2:$AH$11,$EI6),0,$GR6,$GS6,$GR6+$GS6))</f>
        <v/>
      </c>
      <c r="GU6" s="145">
        <f>IF($EI6=0,0,CHOOSE(1+INDEX($AI$2:$AI$11,$EI6),0,$GR6,$GS6,$GR6+$GS6))</f>
        <v/>
      </c>
      <c r="GV6" s="145">
        <f>IF(OR($EH6=0,$EI6=0),"",INDEX($AP$2:$AU$31,($EI6-1)*3+IF($DY6&gt;=6,3,2),1+MIN(5,$GT6))&amp;INDEX($AV$2:$BA$31,($EI6-1)*3+IF($DY6&gt;=6,3,2),1+MIN(5,$GU6))&amp;IF(INDEX($AJ$2:$AJ$11,$EI6)=1,IF(COUNTIF($EB6:$EE6,"Mais Um")&gt;0," · +"&amp;COUNTIF($EB6:$EE6,"Mais Um")&amp;IF(COUNTIF($EB6:$EE6,"Mais Um")&gt;1," alvos"," alvo"),"")&amp;IF(COUNTIF($EB6:$EE6,"Rajada")&gt;0," · "&amp;($DY6+1)&amp;" tiros",""),""))</f>
        <v/>
      </c>
      <c r="GW6" s="145">
        <f>IF($EH6=0,"",3*$DY6&amp;" − "&amp;$FL6&amp;" + "&amp;$FO6&amp;IF($DW6=1," + "&amp;$DY6,"")&amp;" = "&amp;$FR6&amp;"d8 · teto "&amp;4*$DY6&amp;IF($EU6=1," · a Forma devolve "&amp;$DY6,"")&amp;IF($FP6&gt;0," · perde "&amp;$FP6,""))</f>
        <v/>
      </c>
      <c r="GX6" s="145">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5">
        <f>IF(OR($EH6=0,$EK6=0),"","−"&amp;INDEX($Q$2:$V$8,$DY6,$EK6)&amp;" · "&amp;CHOOSE($EK6,"Leve","Média","Pesada","Leve · Livre","Média · Livre","Pesada · Livre"))</f>
        <v/>
      </c>
      <c r="GZ6" s="145">
        <f>IF(OR($EH6=0,$EL6=0),"","−"&amp;INDEX($Q$2:$V$8,$DY6,$EL6)&amp;" · "&amp;CHOOSE($EL6,"Leve","Média","Pesada","Leve · Livre","Média · Livre","Pesada · Livre"))</f>
        <v/>
      </c>
      <c r="HA6" s="145">
        <f>IF(OR($EH6=0,$EM6=0),"","−"&amp;INDEX($Q$2:$V$8,$DY6,$EM6)&amp;" · "&amp;CHOOSE($EM6,"Leve","Média","Pesada","Leve · Livre","Média · Livre","Pesada · Livre"))</f>
        <v/>
      </c>
      <c r="HB6" s="145">
        <f>IF(OR($EH6=0,$EN6=0),"","−"&amp;INDEX($Q$2:$V$8,$DY6,$EN6)&amp;" · "&amp;CHOOSE($EN6,"Leve","Média","Pesada","Leve · Livre","Média · Livre","Pesada · Livre"))</f>
        <v/>
      </c>
      <c r="HC6" s="145">
        <f>IF(OR($EH6=0,$EF6=""),"","+"&amp;IF($EX6=1,CEILING($DY6/2,1),$DY6))</f>
        <v/>
      </c>
      <c r="HD6" s="145">
        <f>IF(OR($EH6=0,$EG6=""),"","+"&amp;IF($EY6=1,CEILING($DY6/2,1),$DY6))</f>
        <v/>
      </c>
      <c r="HE6" s="145">
        <f>'FICHA AMALDIÇOADA'!$J$74&amp;""</f>
        <v/>
      </c>
      <c r="HF6" s="145">
        <f>IF(AND($EH6=1,$DW6=0),COUNTIFS($EH$2:$EH6,1,$DW$2:$DW6,0),"")</f>
        <v/>
      </c>
      <c r="HH6" s="143" t="inlineStr">
        <is>
          <t>refino</t>
        </is>
      </c>
      <c r="HI6" s="145">
        <f>MAX(1,N(DADOS!$AK$34))</f>
        <v/>
      </c>
      <c r="HK6" s="143" t="inlineStr">
        <is>
          <t>Talento 5</t>
        </is>
      </c>
      <c r="HL6" s="145">
        <f>'FICHA AMALDIÇOADA'!$J$387&amp;""</f>
        <v/>
      </c>
      <c r="HM6" s="145">
        <f>IFERROR(VLOOKUP($HL6,$BR$2:$BX$24,2,FALSE),0)</f>
        <v/>
      </c>
      <c r="HN6" s="145">
        <f>IFERROR(VLOOKUP($HM6,$BZ$2:$CA$4,2,FALSE),0)</f>
        <v/>
      </c>
      <c r="HO6" s="145">
        <f>IFERROR(VLOOKUP($HL6,$BR$2:$BX$24,3,FALSE),"")</f>
        <v/>
      </c>
      <c r="HP6" s="145">
        <f>IF($HM6=0,"",IF($HN6&gt;$HI$2,"⚠ Nível "&amp;$HN6,"CE "&amp;$HM6))</f>
        <v/>
      </c>
      <c r="HQ6" s="145">
        <f>IF($HM6=0,"",$HM6&amp;" esp.")</f>
        <v/>
      </c>
      <c r="HR6" s="145">
        <f>'FICHA AMALDIÇOADA'!$K$392&amp;""</f>
        <v/>
      </c>
      <c r="HS6" s="145">
        <f>IF($HL6="","",COUNTIF($HL$2:$HL6,"?*"))</f>
        <v/>
      </c>
      <c r="HU6" s="143" t="inlineStr">
        <is>
          <t>Aptidão 5</t>
        </is>
      </c>
      <c r="HV6" s="145">
        <f>'FICHA AMALDIÇOADA'!$J$450&amp;""</f>
        <v/>
      </c>
      <c r="HW6" s="145">
        <f>IF($HV6="","","Requisito: "&amp;IFERROR(VLOOKUP($HV6,$CC$2:$CL$33,2,FALSE),""))</f>
        <v/>
      </c>
      <c r="HX6" s="145">
        <f>IF($HV6="","",IFERROR(IF(ISNUMBER(VLOOKUP($HV6,$CC$2:$CL$33,3,FALSE)),"CE "&amp;VLOOKUP($HV6,$CC$2:$CL$33,3,FALSE),VLOOKUP($HV6,$CC$2:$CL$33,3,FALSE)),""))</f>
        <v/>
      </c>
      <c r="HY6" s="145">
        <f>IF($HV6="","",IFERROR(VLOOKUP($HV6,$CC$2:$CL$33,4,FALSE),""))</f>
        <v/>
      </c>
      <c r="HZ6" s="145">
        <f>IF($HV6="","",IFERROR(VLOOKUP($HV6,$CC$2:$CL$33,5,FALSE),""))</f>
        <v/>
      </c>
      <c r="IA6" s="145">
        <f>'FICHA AMALDIÇOADA'!$K$467&amp;""</f>
        <v/>
      </c>
      <c r="IB6" s="145">
        <f>IF($HV6="","",COUNTIF($HV$2:$HV6,"?*"))</f>
        <v/>
      </c>
      <c r="ID6" s="143" t="inlineStr">
        <is>
          <t>Classe 0 · 5</t>
        </is>
      </c>
      <c r="IE6" s="145">
        <f>'FICHA AMALDIÇOADA'!$F$314&amp;""</f>
        <v/>
      </c>
      <c r="IF6" s="145">
        <f>'FICHA AMALDIÇOADA'!$J$314&amp;""</f>
        <v/>
      </c>
      <c r="IG6" s="145">
        <f>'FICHA AMALDIÇOADA'!$L$314&amp;""</f>
        <v/>
      </c>
      <c r="IH6" s="145">
        <f>IFERROR(MATCH($IE6,$Y$2:$Y$11,0),0)</f>
        <v/>
      </c>
      <c r="II6" s="145">
        <f>$HI$11-IF($IF6&lt;&gt;"",1,0)</f>
        <v/>
      </c>
      <c r="IJ6" s="145">
        <f>IF(5&gt;$HI$10,"Nível 17",IF($IH6=0,"",IF(INDEX($AE$2:$AE$11,$IH6)&gt;=2,"—",$II6&amp;"d8 = "&amp;FLOOR($II6*4.5,1))))</f>
        <v/>
      </c>
      <c r="IK6" s="145">
        <f>IF(OR(5&gt;$HI$10,$IH6=0),"",INDEX($AP$2:$AU$31,($IH6-1)*3+1,1+IF(OR(AND($IF6="Longe",INDEX($AH$2:$AH$11,$IH6)&lt;&gt;2),AND($IF6="Maior",INDEX($AH$2:$AH$11,$IH6)&gt;=2)),1,0))&amp;INDEX($AV$2:$BA$31,($IH6-1)*3+1,1+IF(AND($IF6="Longe",INDEX($AI$2:$AI$11,$IH6)=1),1,0)))</f>
        <v/>
      </c>
      <c r="IM6" s="145">
        <f>IF($A$2&gt;=3,INDEX($D$4:$G$4,1,$A$2),"Liberação")</f>
        <v/>
      </c>
      <c r="IN6" s="145">
        <f>ADDRESS(ROW('FICHA AMALDIÇOADA'!J7),COLUMN('FICHA AMALDIÇOADA'!J7),4)</f>
        <v/>
      </c>
      <c r="IO6" s="145">
        <f>ADDRESS(ROW('FICHA AMALDIÇOADA'!D316),COLUMN('FICHA AMALDIÇOADA'!D316),4)</f>
        <v/>
      </c>
      <c r="IP6" s="143" t="inlineStr">
        <is>
          <t>DADOS_AM!$IM$6</t>
        </is>
      </c>
      <c r="IR6" s="143" t="inlineStr">
        <is>
          <t>Caminho 30</t>
        </is>
      </c>
      <c r="IS6" s="145" t="n">
        <v>30</v>
      </c>
      <c r="IT6" s="145">
        <f>IF($HI$2&gt;=30,"Nível 30","Abre no 30")</f>
        <v/>
      </c>
      <c r="IU6" s="145">
        <f>ADDRESS(ROW(FICHA!G116),COLUMN(FICHA!G116),4)</f>
        <v/>
      </c>
      <c r="IV6" s="145">
        <f>ADDRESS(ROW(FICHA!D117),COLUMN(FICHA!D117),4)</f>
        <v/>
      </c>
      <c r="JD6" s="145" t="n">
        <v>5</v>
      </c>
      <c r="JE6" s="145">
        <f>IFERROR(MATCH(5,$HF$2:$HF$37,0),0)</f>
        <v/>
      </c>
      <c r="JF6" s="145">
        <f>IF($JE6=0,"",INDEX($DY$2:$DY$37,$JE6))</f>
        <v/>
      </c>
      <c r="JG6" s="145">
        <f>IF($JE6=0,"",INDEX($DZ$2:$DZ$37,$JE6))</f>
        <v/>
      </c>
      <c r="JH6" s="145">
        <f>IF($JE6=0,"",INDEX($GN$2:$GN$37,$JE6))</f>
        <v/>
      </c>
      <c r="JI6" s="145">
        <f>IF($JE6=0,"",INDEX($EA$2:$EA$37,$JE6))</f>
        <v/>
      </c>
      <c r="JJ6" s="145">
        <f>IF($JE6=0,"",INDEX($GP$2:$GP$37,$JE6))</f>
        <v/>
      </c>
      <c r="JK6" s="145">
        <f>IF($JE6=0,"",INDEX($HE$2:$HE$37,$JE6))</f>
        <v/>
      </c>
      <c r="KB6" s="143" t="inlineStr">
        <is>
          <t>Talento 3</t>
        </is>
      </c>
      <c r="KC6" s="145">
        <f>IFERROR(MATCH(3,$HS$2:$HS$13,0),0)</f>
        <v/>
      </c>
      <c r="KD6" s="145">
        <f>IF($KC6=0,"",IF(INDEX($HM$2:$HM$13,$KC6)=0,"","CE "&amp;INDEX($HM$2:$HM$13,$KC6)))</f>
        <v/>
      </c>
      <c r="KE6" s="145">
        <f>IF($KC6=0,"",INDEX($HL$2:$HL$13,$KC6))</f>
        <v/>
      </c>
      <c r="KF6" s="145">
        <f>IF($KC6=0,"",IF(INDEX($HR$2:$HR$13,$KC6)&lt;&gt;"",INDEX($HR$2:$HR$13,$KC6),IF(IFERROR(VLOOKUP(INDEX($HL$2:$HL$13,$KC6),$BR$2:$BX$24,7,FALSE),"")&lt;&gt;"","Do livro: "&amp;IFERROR(VLOOKUP(INDEX($HL$2:$HL$13,$KC6),$BR$2:$BX$24,7,FALSE),""),"")))</f>
        <v/>
      </c>
      <c r="KH6" s="143" t="inlineStr">
        <is>
          <t>Aptidão 3</t>
        </is>
      </c>
      <c r="KI6" s="145">
        <f>IFERROR(MATCH(3,$IB$2:$IB$13,0),0)</f>
        <v/>
      </c>
      <c r="KJ6" s="145">
        <f>IF($KI6=0,"",INDEX($HX$2:$HX$13,$KI6))</f>
        <v/>
      </c>
      <c r="KK6" s="145">
        <f>IF($KI6=0,"",INDEX($HV$2:$HV$13,$KI6))</f>
        <v/>
      </c>
      <c r="KL6" s="145">
        <f>IF($KI6=0,"",IF(INDEX($IA$2:$IA$13,$KI6)&lt;&gt;"",INDEX($IA$2:$IA$13,$KI6),IF(IFERROR(VLOOKUP(INDEX($HV$2:$HV$13,$KI6),$CC$2:$CL$33,10,FALSE),"")&lt;&gt;"","Do livro: "&amp;IFERROR(VLOOKUP(INDEX($HV$2:$HV$13,$KI6),$CC$2:$CL$33,10,FALSE),""),"")))</f>
        <v/>
      </c>
      <c r="KN6" s="143" t="inlineStr">
        <is>
          <t>aptidões</t>
        </is>
      </c>
      <c r="KO6" s="145">
        <f>UPPER(INDEX($D$6:$G$6,1,$A$2))&amp;"  ·  "&amp;COUNTIF($KK$4:$KK$15,"?*")&amp;" de 12, mais as duas de graça"</f>
        <v/>
      </c>
      <c r="KQ6" s="143" t="inlineStr">
        <is>
          <t>J15</t>
        </is>
      </c>
      <c r="KR6" s="145">
        <f>UPPER(INDEX(DADOS_AM!$D$13:$G$13,1,DADOS_AM!$A$2))</f>
        <v/>
      </c>
    </row>
    <row r="7">
      <c r="C7" s="143" t="inlineStr">
        <is>
          <t>escala</t>
        </is>
      </c>
      <c r="D7" s="143" t="inlineStr">
        <is>
          <t>Refino</t>
        </is>
      </c>
      <c r="E7" s="143" t="inlineStr">
        <is>
          <t>Refino</t>
        </is>
      </c>
      <c r="F7" s="143" t="inlineStr">
        <is>
          <t>Refino</t>
        </is>
      </c>
      <c r="G7" s="143" t="inlineStr">
        <is>
          <t>Lapidação</t>
        </is>
      </c>
      <c r="I7" s="143" t="inlineStr">
        <is>
          <t>Castigo</t>
        </is>
      </c>
      <c r="J7" s="145">
        <f>'FICHA AMALDIÇOADA'!$K$37&amp;""</f>
        <v/>
      </c>
      <c r="K7" s="145">
        <f>IF($J7="Livre",1,0)</f>
        <v/>
      </c>
      <c r="L7" s="145">
        <f>IF($J7="Fechada",1,0)</f>
        <v/>
      </c>
      <c r="P7" s="145" t="n">
        <v>6</v>
      </c>
      <c r="Q7" s="145" t="n">
        <v>3</v>
      </c>
      <c r="R7" s="145" t="n">
        <v>6</v>
      </c>
      <c r="S7" s="145" t="n">
        <v>9</v>
      </c>
      <c r="T7" s="145" t="n">
        <v>1</v>
      </c>
      <c r="U7" s="145" t="n">
        <v>3</v>
      </c>
      <c r="V7" s="145" t="n">
        <v>6</v>
      </c>
      <c r="W7" s="145" t="n">
        <v>4</v>
      </c>
      <c r="Y7" s="143" t="inlineStr">
        <is>
          <t>Linha</t>
        </is>
      </c>
      <c r="Z7" s="143" t="inlineStr">
        <is>
          <t>Área</t>
        </is>
      </c>
      <c r="AA7" s="145" t="n">
        <v>1</v>
      </c>
      <c r="AB7" s="145">
        <f>IF($AA7=0,0,$AA7+3*IFERROR(VLOOKUP($Z7,$I$2:$L$10,3,FALSE),0))</f>
        <v/>
      </c>
      <c r="AC7" s="145">
        <f>IFERROR(VLOOKUP($Z7,$I$2:$L$10,4,FALSE),0)</f>
        <v/>
      </c>
      <c r="AD7" s="145" t="n">
        <v>0</v>
      </c>
      <c r="AE7" s="145" t="n">
        <v>0</v>
      </c>
      <c r="AF7" s="143" t="inlineStr">
        <is>
          <t>TR, metade</t>
        </is>
      </c>
      <c r="AG7" s="145" t="n">
        <v>1</v>
      </c>
      <c r="AH7" s="145" t="n">
        <v>3</v>
      </c>
      <c r="AI7" s="145" t="n">
        <v>0</v>
      </c>
      <c r="AJ7" s="145" t="n">
        <v>0</v>
      </c>
      <c r="AK7" s="145" t="n">
        <v>1</v>
      </c>
      <c r="AL7" s="145">
        <f>IF($AC7=1,"",$Y7)</f>
        <v/>
      </c>
      <c r="AM7" s="145">
        <f>IF(AND($AK7=1,$AC7=0),$Y7,"")</f>
        <v/>
      </c>
      <c r="AO7" s="143" t="inlineStr">
        <is>
          <t>Toque · classes 6 e 7</t>
        </is>
      </c>
      <c r="AP7" s="143" t="inlineStr">
        <is>
          <t>1,5 m, um alvo</t>
        </is>
      </c>
      <c r="AQ7" s="143" t="inlineStr">
        <is>
          <t>1,5 m, um alvo</t>
        </is>
      </c>
      <c r="AR7" s="143" t="inlineStr">
        <is>
          <t>1,5 m, um alvo</t>
        </is>
      </c>
      <c r="AS7" s="143" t="inlineStr">
        <is>
          <t>1,5 m, um alvo</t>
        </is>
      </c>
      <c r="AT7" s="143" t="inlineStr">
        <is>
          <t>1,5 m, um alvo</t>
        </is>
      </c>
      <c r="AU7" s="143" t="inlineStr">
        <is>
          <t>1,5 m, um alvo</t>
        </is>
      </c>
      <c r="AV7" s="143" t="inlineStr"/>
      <c r="AW7" s="143" t="inlineStr"/>
      <c r="AX7" s="143" t="inlineStr"/>
      <c r="AY7" s="143" t="inlineStr"/>
      <c r="AZ7" s="143" t="inlineStr"/>
      <c r="BA7" s="143" t="inlineStr"/>
      <c r="BC7" s="143" t="inlineStr">
        <is>
          <t>Empurrão</t>
        </is>
      </c>
      <c r="BD7" s="143" t="inlineStr">
        <is>
          <t>Alcance</t>
        </is>
      </c>
      <c r="BE7" s="145" t="n">
        <v>1</v>
      </c>
      <c r="BF7" s="145">
        <f>$BE7+3*IFERROR(VLOOKUP($BD7,$I$2:$L$10,3,FALSE),0)</f>
        <v/>
      </c>
      <c r="BG7" s="145">
        <f>IFERROR(VLOOKUP($BD7,$I$2:$L$10,4,FALSE),0)</f>
        <v/>
      </c>
      <c r="BH7" s="145" t="n">
        <v>0</v>
      </c>
      <c r="BI7" s="145">
        <f>IF($BG7=1,"",$BC7)</f>
        <v/>
      </c>
      <c r="BJ7" s="145">
        <f>IF(AND($BE7=1,$BG7=0),$BC7,"")</f>
        <v/>
      </c>
      <c r="BL7" s="143" t="inlineStr">
        <is>
          <t>Sangra</t>
        </is>
      </c>
      <c r="BM7" s="143" t="inlineStr">
        <is>
          <t>Sangra</t>
        </is>
      </c>
      <c r="BN7" s="145" t="n">
        <v>2</v>
      </c>
      <c r="BO7" s="145" t="n">
        <v>0</v>
      </c>
      <c r="BP7" s="143" t="inlineStr"/>
      <c r="BR7" s="143" t="inlineStr">
        <is>
          <t>Leitura de Feitiços</t>
        </is>
      </c>
      <c r="BS7" s="145" t="n">
        <v>1</v>
      </c>
      <c r="BT7" s="143" t="inlineStr">
        <is>
          <t>Ao ter um inimigo à vista, você sabe qual foi o último feitiço que ele usou, mesmo que não tenha presenciado aquela conjuração. Recebe o nome ou uma descrição suficiente para reconhecer a aplicação, não sua ficha completa.</t>
        </is>
      </c>
      <c r="BU7" s="145" t="n">
        <v>1</v>
      </c>
      <c r="BV7" s="145" t="n">
        <v>0</v>
      </c>
      <c r="BW7" s="145">
        <f>IF(OR(AND($A$2&lt;=2,$BU7=1),AND($A$2&gt;=2,$BV7=1)),$BR7,"")</f>
        <v/>
      </c>
      <c r="BX7" s="143" t="inlineStr">
        <is>
          <t>Ao ter um inimigo à vista, você sabe qual foi o último feitiço que ele usou, mesmo que não tenha presenciado aquela conjuração. Recebe o nome ou uma descrição suficiente para reconhecer a aplicação, não sua ficha completa.</t>
        </is>
      </c>
      <c r="CC7" s="143" t="inlineStr">
        <is>
          <t>Regravação</t>
        </is>
      </c>
      <c r="CD7" s="143" t="inlineStr">
        <is>
          <t>Circulação</t>
        </is>
      </c>
      <c r="CE7" s="145" t="n">
        <v>3</v>
      </c>
      <c r="CF7" s="143" t="inlineStr">
        <is>
          <t>—</t>
        </is>
      </c>
      <c r="CG7" s="14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45">
        <f>IF($CK7=1,"",IF($A$2=4,IF($CI7=1,$CC7,""),IF(OR($CI7=1,AND($A$2=3,$CJ7=1)),"",$CC7)))</f>
        <v/>
      </c>
      <c r="CI7" s="145" t="n">
        <v>0</v>
      </c>
      <c r="CJ7" s="145" t="n">
        <v>0</v>
      </c>
      <c r="CK7" s="145" t="n">
        <v>0</v>
      </c>
      <c r="CL7" s="143" t="inlineStr">
        <is>
          <t>Você pode encerrar o Rescaldo de sua técnica antes do fim da cena, mas usos repetidos impedem novas Expansões de Domínio naquele dia.</t>
        </is>
      </c>
      <c r="CT7" s="143" t="inlineStr">
        <is>
          <t>Yumi</t>
        </is>
      </c>
      <c r="CU7" s="145" t="n">
        <v>0</v>
      </c>
      <c r="CV7" s="145" t="n">
        <v>1</v>
      </c>
      <c r="CW7" s="145">
        <f>IF(AND($A$2&gt;=3,'FICHA AMALDIÇOADA'!$J$16&amp;""="Três grupos de arma"),$CT7,"")</f>
        <v/>
      </c>
      <c r="DV7" s="143" t="inlineStr">
        <is>
          <t>Feitiço 6</t>
        </is>
      </c>
      <c r="DW7" s="145" t="n">
        <v>0</v>
      </c>
      <c r="DX7" s="145" t="n">
        <v>6</v>
      </c>
      <c r="DY7" s="145">
        <f>MAX(1,MIN(7,N('FICHA AMALDIÇOADA'!$P$72)))</f>
        <v/>
      </c>
      <c r="DZ7" s="145">
        <f>'FICHA AMALDIÇOADA'!$Q$72&amp;""</f>
        <v/>
      </c>
      <c r="EA7" s="145">
        <f>'FICHA AMALDIÇOADA'!$P$79&amp;""</f>
        <v/>
      </c>
      <c r="EB7" s="145">
        <f>'FICHA AMALDIÇOADA'!$Q$81&amp;""</f>
        <v/>
      </c>
      <c r="EC7" s="145">
        <f>'FICHA AMALDIÇOADA'!$Q$82&amp;""</f>
        <v/>
      </c>
      <c r="ED7" s="145">
        <f>'FICHA AMALDIÇOADA'!$Q$83&amp;""</f>
        <v/>
      </c>
      <c r="EE7" s="145">
        <f>'FICHA AMALDIÇOADA'!$Q$84&amp;""</f>
        <v/>
      </c>
      <c r="EF7" s="145">
        <f>'FICHA AMALDIÇOADA'!$Q$85&amp;""</f>
        <v/>
      </c>
      <c r="EG7" s="145">
        <f>'FICHA AMALDIÇOADA'!$Q$86&amp;""</f>
        <v/>
      </c>
      <c r="EH7" s="145">
        <f>IF($DZ7&lt;&gt;"",1,0)</f>
        <v/>
      </c>
      <c r="EI7" s="145">
        <f>IFERROR(MATCH($EA7,$Y$2:$Y$11,0),0)</f>
        <v/>
      </c>
      <c r="EJ7" s="145">
        <f>IF($EI7=0,0,INDEX($AB$2:$AB$11,$EI7))</f>
        <v/>
      </c>
      <c r="EK7" s="145">
        <f>IFERROR(VLOOKUP($EB7,$BC$2:$BJ$84,4,FALSE),0)</f>
        <v/>
      </c>
      <c r="EL7" s="145">
        <f>IFERROR(VLOOKUP($EC7,$BC$2:$BJ$84,4,FALSE),0)</f>
        <v/>
      </c>
      <c r="EM7" s="145">
        <f>IFERROR(VLOOKUP($ED7,$BC$2:$BJ$84,4,FALSE),0)</f>
        <v/>
      </c>
      <c r="EN7" s="145">
        <f>IFERROR(VLOOKUP($EE7,$BC$2:$BJ$84,4,FALSE),0)</f>
        <v/>
      </c>
      <c r="EO7" s="145">
        <f>IF($EI7=0,0,INDEX($AC$2:$AC$11,$EI7))</f>
        <v/>
      </c>
      <c r="EP7" s="145">
        <f>IFERROR(VLOOKUP($EB7,$BC$2:$BJ$84,5,FALSE),0)</f>
        <v/>
      </c>
      <c r="EQ7" s="145">
        <f>IFERROR(VLOOKUP($EC7,$BC$2:$BJ$84,5,FALSE),0)</f>
        <v/>
      </c>
      <c r="ER7" s="145">
        <f>IFERROR(VLOOKUP($ED7,$BC$2:$BJ$84,5,FALSE),0)</f>
        <v/>
      </c>
      <c r="ES7" s="145">
        <f>IFERROR(VLOOKUP($EE7,$BC$2:$BJ$84,5,FALSE),0)</f>
        <v/>
      </c>
      <c r="ET7" s="145">
        <f>IFERROR(VLOOKUP($EB7,$BC$2:$BJ$84,6,FALSE),0)+IFERROR(VLOOKUP($EC7,$BC$2:$BJ$84,6,FALSE),0)+IFERROR(VLOOKUP($ED7,$BC$2:$BJ$84,6,FALSE),0)+IFERROR(VLOOKUP($EE7,$BC$2:$BJ$84,6,FALSE),0)</f>
        <v/>
      </c>
      <c r="EU7" s="145">
        <f>IF($EI7=0,0,INDEX($AD$2:$AD$11,$EI7))</f>
        <v/>
      </c>
      <c r="EV7" s="145">
        <f>IF($EI7=0,0,INDEX($AE$2:$AE$11,$EI7))</f>
        <v/>
      </c>
      <c r="EW7" s="145">
        <f>IF($EI7=0,0,INDEX($AG$2:$AG$11,$EI7))</f>
        <v/>
      </c>
      <c r="EX7" s="145">
        <f>IFERROR(VLOOKUP($EF7,$BL$2:$BP$24,3,FALSE),0)</f>
        <v/>
      </c>
      <c r="EY7" s="145">
        <f>IFERROR(VLOOKUP($EG7,$BL$2:$BP$24,3,FALSE),0)</f>
        <v/>
      </c>
      <c r="EZ7" s="145">
        <f>IFERROR(VLOOKUP($EF7,$BL$2:$BP$24,2,FALSE),"")</f>
        <v/>
      </c>
      <c r="FA7" s="145">
        <f>IFERROR(VLOOKUP($EG7,$BL$2:$BP$24,2,FALSE),"")</f>
        <v/>
      </c>
      <c r="FB7" s="145">
        <f>COUNTIF($EJ7:$EN7,1)</f>
        <v/>
      </c>
      <c r="FC7" s="145">
        <f>COUNTIF($EJ7:$EN7,2)</f>
        <v/>
      </c>
      <c r="FD7" s="145">
        <f>COUNTIF($EJ7:$EN7,3)</f>
        <v/>
      </c>
      <c r="FE7" s="145">
        <f>COUNTIF($EJ7:$EN7,4)</f>
        <v/>
      </c>
      <c r="FF7" s="145">
        <f>COUNTIF($EJ7:$EN7,5)</f>
        <v/>
      </c>
      <c r="FG7" s="145">
        <f>COUNTIF($EJ7:$EN7,6)</f>
        <v/>
      </c>
      <c r="FH7" s="145">
        <f>COUNTIF($EX7:$EY7,1)</f>
        <v/>
      </c>
      <c r="FI7" s="145">
        <f>COUNTIF($EX7:$EY7,2)+$EU7</f>
        <v/>
      </c>
      <c r="FJ7" s="145">
        <f>COUNTIF($EB7:$EE7,"?*")</f>
        <v/>
      </c>
      <c r="FK7" s="145">
        <f>COUNTIF($EF7:$EG7,"?*")+$EU7</f>
        <v/>
      </c>
      <c r="FL7" s="145">
        <f>SUMPRODUCT($FB7:$FG7,INDEX($Q$2:$V$8,$DY7,0))</f>
        <v/>
      </c>
      <c r="FM7" s="145">
        <f>$FH7*CEILING($DY7/2,1)+$FI7*$DY7</f>
        <v/>
      </c>
      <c r="FN7" s="145">
        <f>MIN(2*$DY7,$FM7)</f>
        <v/>
      </c>
      <c r="FO7" s="145">
        <f>MIN($FN7,$FL7)</f>
        <v/>
      </c>
      <c r="FP7" s="145">
        <f>$FN7-$FO7</f>
        <v/>
      </c>
      <c r="FQ7" s="145">
        <f>3*$DY7-$FL7+$FO7</f>
        <v/>
      </c>
      <c r="FR7" s="145">
        <f>MAX(0,$FQ7)+$DW7*$DY7</f>
        <v/>
      </c>
      <c r="FS7" s="145">
        <f>(IF(COUNTIF($EB7:$EE7,"Salto")&gt;0,1,0)+IF(COUNTIF($EB7:$EE7,"Queima")&gt;0,1,0)+IF(COUNTIF($EB7:$EE7,"Estilhaço")&gt;0,1,0))*FLOOR($FR7/2,1)</f>
        <v/>
      </c>
      <c r="FT7" s="145">
        <f>MAX(0,3-SUMPRODUCT($FB7:$FG7,$Q$2:$V$2)+MIN(2,$FH7*1+$FI7*1,SUMPRODUCT($FB7:$FG7,$Q$2:$V$2)))+$DW7*1</f>
        <v/>
      </c>
      <c r="FU7" s="145">
        <f>MAX(0,6-SUMPRODUCT($FB7:$FG7,$Q$3:$V$3)+MIN(4,$FH7*1+$FI7*2,SUMPRODUCT($FB7:$FG7,$Q$3:$V$3)))+$DW7*2</f>
        <v/>
      </c>
      <c r="FV7" s="145">
        <f>MAX(0,9-SUMPRODUCT($FB7:$FG7,$Q$4:$V$4)+MIN(6,$FH7*2+$FI7*3,SUMPRODUCT($FB7:$FG7,$Q$4:$V$4)))+$DW7*3</f>
        <v/>
      </c>
      <c r="FW7" s="145">
        <f>MAX(0,12-SUMPRODUCT($FB7:$FG7,$Q$5:$V$5)+MIN(8,$FH7*2+$FI7*4,SUMPRODUCT($FB7:$FG7,$Q$5:$V$5)))+$DW7*4</f>
        <v/>
      </c>
      <c r="FX7" s="145">
        <f>MAX(0,15-SUMPRODUCT($FB7:$FG7,$Q$6:$V$6)+MIN(10,$FH7*3+$FI7*5,SUMPRODUCT($FB7:$FG7,$Q$6:$V$6)))+$DW7*5</f>
        <v/>
      </c>
      <c r="FY7" s="145">
        <f>MAX(0,18-SUMPRODUCT($FB7:$FG7,$Q$7:$V$7)+MIN(12,$FH7*3+$FI7*6,SUMPRODUCT($FB7:$FG7,$Q$7:$V$7)))+$DW7*6</f>
        <v/>
      </c>
      <c r="FZ7" s="145">
        <f>MAX(0,21-SUMPRODUCT($FB7:$FG7,$Q$8:$V$8)+MIN(14,$FH7*4+$FI7*7,SUMPRODUCT($FB7:$FG7,$Q$8:$V$8)))+$DW7*7</f>
        <v/>
      </c>
      <c r="GA7" s="145">
        <f>IF($EV7=2,3*$FT7&amp;" de vida temp.",IF($EV7=3,"sem dano",IF($FT7=0,IF($EV7=1,"sem cura","sem dano"),IF($EV7=1,"cura ","")&amp;$FT7&amp;"d8")))</f>
        <v/>
      </c>
      <c r="GB7" s="145">
        <f>IF($EV7=2,3*$FU7&amp;" de vida temp.",IF($EV7=3,"sem dano",IF($FU7=0,IF($EV7=1,"sem cura","sem dano"),IF($EV7=1,"cura ","")&amp;$FU7&amp;"d8")))</f>
        <v/>
      </c>
      <c r="GC7" s="145">
        <f>IF($EV7=2,3*$FV7&amp;" de vida temp.",IF($EV7=3,"sem dano",IF($FV7=0,IF($EV7=1,"sem cura","sem dano"),IF($EV7=1,"cura ","")&amp;$FV7&amp;"d8")))</f>
        <v/>
      </c>
      <c r="GD7" s="145">
        <f>IF($EV7=2,3*$FW7&amp;" de vida temp.",IF($EV7=3,"sem dano",IF($FW7=0,IF($EV7=1,"sem cura","sem dano"),IF($EV7=1,"cura ","")&amp;$FW7&amp;"d8")))</f>
        <v/>
      </c>
      <c r="GE7" s="145">
        <f>IF($EV7=2,3*$FX7&amp;" de vida temp.",IF($EV7=3,"sem dano",IF($FX7=0,IF($EV7=1,"sem cura","sem dano"),IF($EV7=1,"cura ","")&amp;$FX7&amp;"d8")))</f>
        <v/>
      </c>
      <c r="GF7" s="145">
        <f>IF($EV7=2,3*$FY7&amp;" de vida temp.",IF($EV7=3,"sem dano",IF($FY7=0,IF($EV7=1,"sem cura","sem dano"),IF($EV7=1,"cura ","")&amp;$FY7&amp;"d8")))</f>
        <v/>
      </c>
      <c r="GG7" s="145">
        <f>IF($EV7=2,3*$FZ7&amp;" de vida temp.",IF($EV7=3,"sem dano",IF($FZ7=0,IF($EV7=1,"sem cura","sem dano"),IF($EV7=1,"cura ","")&amp;$FZ7&amp;"d8")))</f>
        <v/>
      </c>
      <c r="GH7" s="145">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45">
        <f>IF($GH7="",0,(LEN($GH7)-LEN(SUBSTITUTE($GH7," · ","")))/3+1)</f>
        <v/>
      </c>
      <c r="GJ7" s="145">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45">
        <f>IF($GJ7="",0,(LEN($GJ7)-LEN(SUBSTITUTE($GJ7," · ","")))/3+1)</f>
        <v/>
      </c>
      <c r="GL7" s="145">
        <f>IF($EH7=0,IF($FJ7+$FK7-$EU7&gt;0,"Dê um nome",""),IF($GI7&gt;0,"⚠ "&amp;$GI7&amp;IF($GI7&gt;1," erros"," erro"),IF($GK7&gt;0,"! "&amp;$GK7&amp;IF($GK7&gt;1," avisos"," aviso"),"Na regra")))</f>
        <v/>
      </c>
      <c r="GM7" s="145">
        <f>IF($EH7=0,"",IF($GI7+$GK7=0,"Dentro das regras que a ficha confere",$GH7&amp;IF(AND($GI7&gt;0,$GK7&gt;0)," · ","")&amp;$GJ7))</f>
        <v/>
      </c>
      <c r="GN7" s="145">
        <f>IF($EH7=0,"",IF($DW7=1,CEILING(4.5*$DY7,1),3*$DY7)&amp;" PE")</f>
        <v/>
      </c>
      <c r="GO7" s="145">
        <f>IF($EH7=0,"",IF($DW7=1,"Rodada inteira",IF(COUNTIF($EZ7:$FA7,"Atrasar")&gt;0,IF(COUNTIF($EZ7:$FA7,"Carregar")&gt;0,"Rodada +1 turno","Rodada inteira"),IF(COUNTIF($EB7:$EE7,"Rápido")&gt;0,"Bônus",IF(COUNTIF($EB7:$EE7,"Reação")&gt;0,"Reação","Padrão"))&amp;IF(COUNTIF($EZ7:$FA7,"Carregar")&gt;0," +1 turno",""))))</f>
        <v/>
      </c>
      <c r="GP7" s="145">
        <f>IF(OR($EH7=0,$EI7=0),"",IF(COUNTIF($EB7:$EE7,"Inescapável")&gt;0,"Automático",IF(COUNTIF($EB7:$EE7,"Certeiro")&gt;0,"TR para metade",INDEX($AF$2:$AF$11,$EI7))))</f>
        <v/>
      </c>
      <c r="GQ7" s="145">
        <f>IF(OR($EH7=0,$EI7=0),"",IF(OR($EV7&gt;=2,$FR7=0),UPPER(LEFT(INDEX($GA7:$GG7,1,$DY7),1))&amp;MID(INDEX($GA7:$GG7,1,$DY7),2,99),UPPER(LEFT(INDEX($GA7:$GG7,1,$DY7),1))&amp;MID(INDEX($GA7:$GG7,1,$DY7),2,99)&amp;" = "&amp;FLOOR($FR7*4.5,1)&amp;IF($FS7&gt;0," · +"&amp;$FS7&amp;"d8","")))</f>
        <v/>
      </c>
      <c r="GR7" s="145">
        <f>COUNTIF($EB7:$EE7,"Longe")+3*COUNTIF($EB7:$EE7,"Muito Longe")</f>
        <v/>
      </c>
      <c r="GS7" s="145">
        <f>COUNTIF($EB7:$EE7,"Maior")+3*COUNTIF($EB7:$EE7,"Muito Maior")</f>
        <v/>
      </c>
      <c r="GT7" s="145">
        <f>IF($EI7=0,0,CHOOSE(1+INDEX($AH$2:$AH$11,$EI7),0,$GR7,$GS7,$GR7+$GS7))</f>
        <v/>
      </c>
      <c r="GU7" s="145">
        <f>IF($EI7=0,0,CHOOSE(1+INDEX($AI$2:$AI$11,$EI7),0,$GR7,$GS7,$GR7+$GS7))</f>
        <v/>
      </c>
      <c r="GV7" s="145">
        <f>IF(OR($EH7=0,$EI7=0),"",INDEX($AP$2:$AU$31,($EI7-1)*3+IF($DY7&gt;=6,3,2),1+MIN(5,$GT7))&amp;INDEX($AV$2:$BA$31,($EI7-1)*3+IF($DY7&gt;=6,3,2),1+MIN(5,$GU7))&amp;IF(INDEX($AJ$2:$AJ$11,$EI7)=1,IF(COUNTIF($EB7:$EE7,"Mais Um")&gt;0," · +"&amp;COUNTIF($EB7:$EE7,"Mais Um")&amp;IF(COUNTIF($EB7:$EE7,"Mais Um")&gt;1," alvos"," alvo"),"")&amp;IF(COUNTIF($EB7:$EE7,"Rajada")&gt;0," · "&amp;($DY7+1)&amp;" tiros",""),""))</f>
        <v/>
      </c>
      <c r="GW7" s="145">
        <f>IF($EH7=0,"",3*$DY7&amp;" − "&amp;$FL7&amp;" + "&amp;$FO7&amp;IF($DW7=1," + "&amp;$DY7,"")&amp;" = "&amp;$FR7&amp;"d8 · teto "&amp;4*$DY7&amp;IF($EU7=1," · a Forma devolve "&amp;$DY7,"")&amp;IF($FP7&gt;0," · perde "&amp;$FP7,""))</f>
        <v/>
      </c>
      <c r="GX7" s="145">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5">
        <f>IF(OR($EH7=0,$EK7=0),"","−"&amp;INDEX($Q$2:$V$8,$DY7,$EK7)&amp;" · "&amp;CHOOSE($EK7,"Leve","Média","Pesada","Leve · Livre","Média · Livre","Pesada · Livre"))</f>
        <v/>
      </c>
      <c r="GZ7" s="145">
        <f>IF(OR($EH7=0,$EL7=0),"","−"&amp;INDEX($Q$2:$V$8,$DY7,$EL7)&amp;" · "&amp;CHOOSE($EL7,"Leve","Média","Pesada","Leve · Livre","Média · Livre","Pesada · Livre"))</f>
        <v/>
      </c>
      <c r="HA7" s="145">
        <f>IF(OR($EH7=0,$EM7=0),"","−"&amp;INDEX($Q$2:$V$8,$DY7,$EM7)&amp;" · "&amp;CHOOSE($EM7,"Leve","Média","Pesada","Leve · Livre","Média · Livre","Pesada · Livre"))</f>
        <v/>
      </c>
      <c r="HB7" s="145">
        <f>IF(OR($EH7=0,$EN7=0),"","−"&amp;INDEX($Q$2:$V$8,$DY7,$EN7)&amp;" · "&amp;CHOOSE($EN7,"Leve","Média","Pesada","Leve · Livre","Média · Livre","Pesada · Livre"))</f>
        <v/>
      </c>
      <c r="HC7" s="145">
        <f>IF(OR($EH7=0,$EF7=""),"","+"&amp;IF($EX7=1,CEILING($DY7/2,1),$DY7))</f>
        <v/>
      </c>
      <c r="HD7" s="145">
        <f>IF(OR($EH7=0,$EG7=""),"","+"&amp;IF($EY7=1,CEILING($DY7/2,1),$DY7))</f>
        <v/>
      </c>
      <c r="HE7" s="145">
        <f>'FICHA AMALDIÇOADA'!$P$74&amp;""</f>
        <v/>
      </c>
      <c r="HF7" s="145">
        <f>IF(AND($EH7=1,$DW7=0),COUNTIFS($EH$2:$EH7,1,$DW$2:$DW7,0),"")</f>
        <v/>
      </c>
      <c r="HH7" s="143" t="inlineStr">
        <is>
          <t>essência</t>
        </is>
      </c>
      <c r="HI7" s="145">
        <f>N(FICHA!$AJ$19)</f>
        <v/>
      </c>
      <c r="HK7" s="143" t="inlineStr">
        <is>
          <t>Talento 6 · Leque</t>
        </is>
      </c>
      <c r="HL7" s="145">
        <f>'FICHA AMALDIÇOADA'!$D$397&amp;""</f>
        <v/>
      </c>
      <c r="HM7" s="145">
        <f>IFERROR(VLOOKUP($HL7,$BR$2:$BX$24,2,FALSE),0)</f>
        <v/>
      </c>
      <c r="HN7" s="145">
        <f>IFERROR(VLOOKUP($HM7,$BZ$2:$CA$4,2,FALSE),0)</f>
        <v/>
      </c>
      <c r="HO7" s="145">
        <f>IFERROR(VLOOKUP($HL7,$BR$2:$BX$24,3,FALSE),"")</f>
        <v/>
      </c>
      <c r="HP7" s="145">
        <f>IF($HM7=0,"",IF($HN7&gt;$HI$2,"⚠ Nível "&amp;$HN7,"CE "&amp;$HM7))</f>
        <v/>
      </c>
      <c r="HQ7" s="145">
        <f>IF($HM7=0,"",IF(1&gt;$HI$8,"⚠ Vaga","Grátis"))</f>
        <v/>
      </c>
      <c r="HR7" s="145">
        <f>'FICHA AMALDIÇOADA'!$E$402&amp;""</f>
        <v/>
      </c>
      <c r="HS7" s="145">
        <f>IF($HL7="","",COUNTIF($HL$2:$HL7,"?*"))</f>
        <v/>
      </c>
      <c r="HU7" s="143" t="inlineStr">
        <is>
          <t>Aptidão 6</t>
        </is>
      </c>
      <c r="HV7" s="145">
        <f>'FICHA AMALDIÇOADA'!$P$450&amp;""</f>
        <v/>
      </c>
      <c r="HW7" s="145">
        <f>IF($HV7="","","Requisito: "&amp;IFERROR(VLOOKUP($HV7,$CC$2:$CL$33,2,FALSE),""))</f>
        <v/>
      </c>
      <c r="HX7" s="145">
        <f>IF($HV7="","",IFERROR(IF(ISNUMBER(VLOOKUP($HV7,$CC$2:$CL$33,3,FALSE)),"CE "&amp;VLOOKUP($HV7,$CC$2:$CL$33,3,FALSE),VLOOKUP($HV7,$CC$2:$CL$33,3,FALSE)),""))</f>
        <v/>
      </c>
      <c r="HY7" s="145">
        <f>IF($HV7="","",IFERROR(VLOOKUP($HV7,$CC$2:$CL$33,4,FALSE),""))</f>
        <v/>
      </c>
      <c r="HZ7" s="145">
        <f>IF($HV7="","",IFERROR(VLOOKUP($HV7,$CC$2:$CL$33,5,FALSE),""))</f>
        <v/>
      </c>
      <c r="IA7" s="145">
        <f>'FICHA AMALDIÇOADA'!$Q$467&amp;""</f>
        <v/>
      </c>
      <c r="IB7" s="145">
        <f>IF($HV7="","",COUNTIF($HV$2:$HV7,"?*"))</f>
        <v/>
      </c>
      <c r="IM7" s="145">
        <f>IF($A$2=1,"T. Máxima",INDEX($D$5:$G$5,1,$A$2))</f>
        <v/>
      </c>
      <c r="IN7" s="145">
        <f>ADDRESS(ROW('FICHA AMALDIÇOADA'!K7),COLUMN('FICHA AMALDIÇOADA'!K7),4)</f>
        <v/>
      </c>
      <c r="IO7" s="145">
        <f>ADDRESS(ROW('FICHA AMALDIÇOADA'!D340),COLUMN('FICHA AMALDIÇOADA'!D340),4)</f>
        <v/>
      </c>
      <c r="IP7" s="143" t="inlineStr">
        <is>
          <t>DADOS_AM!$IM$7</t>
        </is>
      </c>
      <c r="IR7" s="143" t="inlineStr">
        <is>
          <t>Trilha 2</t>
        </is>
      </c>
      <c r="IS7" s="145" t="n">
        <v>2</v>
      </c>
      <c r="IT7" s="145">
        <f>IF($HI$2&gt;=2,"Nível 2","Abre no 2")</f>
        <v/>
      </c>
      <c r="IU7" s="145">
        <f>ADDRESS(ROW(FICHA!G129),COLUMN(FICHA!G129),4)</f>
        <v/>
      </c>
      <c r="IV7" s="145">
        <f>ADDRESS(ROW(FICHA!D130),COLUMN(FICHA!D130),4)</f>
        <v/>
      </c>
      <c r="JD7" s="145" t="n">
        <v>6</v>
      </c>
      <c r="JE7" s="145">
        <f>IFERROR(MATCH(6,$HF$2:$HF$37,0),0)</f>
        <v/>
      </c>
      <c r="JF7" s="145">
        <f>IF($JE7=0,"",INDEX($DY$2:$DY$37,$JE7))</f>
        <v/>
      </c>
      <c r="JG7" s="145">
        <f>IF($JE7=0,"",INDEX($DZ$2:$DZ$37,$JE7))</f>
        <v/>
      </c>
      <c r="JH7" s="145">
        <f>IF($JE7=0,"",INDEX($GN$2:$GN$37,$JE7))</f>
        <v/>
      </c>
      <c r="JI7" s="145">
        <f>IF($JE7=0,"",INDEX($EA$2:$EA$37,$JE7))</f>
        <v/>
      </c>
      <c r="JJ7" s="145">
        <f>IF($JE7=0,"",INDEX($GP$2:$GP$37,$JE7))</f>
        <v/>
      </c>
      <c r="JK7" s="145">
        <f>IF($JE7=0,"",INDEX($HE$2:$HE$37,$JE7))</f>
        <v/>
      </c>
      <c r="KB7" s="143" t="inlineStr">
        <is>
          <t>Talento 4</t>
        </is>
      </c>
      <c r="KC7" s="145">
        <f>IFERROR(MATCH(4,$HS$2:$HS$13,0),0)</f>
        <v/>
      </c>
      <c r="KD7" s="145">
        <f>IF($KC7=0,"",IF(INDEX($HM$2:$HM$13,$KC7)=0,"","CE "&amp;INDEX($HM$2:$HM$13,$KC7)))</f>
        <v/>
      </c>
      <c r="KE7" s="145">
        <f>IF($KC7=0,"",INDEX($HL$2:$HL$13,$KC7))</f>
        <v/>
      </c>
      <c r="KF7" s="145">
        <f>IF($KC7=0,"",IF(INDEX($HR$2:$HR$13,$KC7)&lt;&gt;"",INDEX($HR$2:$HR$13,$KC7),IF(IFERROR(VLOOKUP(INDEX($HL$2:$HL$13,$KC7),$BR$2:$BX$24,7,FALSE),"")&lt;&gt;"","Do livro: "&amp;IFERROR(VLOOKUP(INDEX($HL$2:$HL$13,$KC7),$BR$2:$BX$24,7,FALSE),""),"")))</f>
        <v/>
      </c>
      <c r="KH7" s="143" t="inlineStr">
        <is>
          <t>Aptidão 4</t>
        </is>
      </c>
      <c r="KI7" s="145">
        <f>IFERROR(MATCH(4,$IB$2:$IB$13,0),0)</f>
        <v/>
      </c>
      <c r="KJ7" s="145">
        <f>IF($KI7=0,"",INDEX($HX$2:$HX$13,$KI7))</f>
        <v/>
      </c>
      <c r="KK7" s="145">
        <f>IF($KI7=0,"",INDEX($HV$2:$HV$13,$KI7))</f>
        <v/>
      </c>
      <c r="KL7" s="145">
        <f>IF($KI7=0,"",IF(INDEX($IA$2:$IA$13,$KI7)&lt;&gt;"",INDEX($IA$2:$IA$13,$KI7),IF(IFERROR(VLOOKUP(INDEX($HV$2:$HV$13,$KI7),$CC$2:$CL$33,10,FALSE),"")&lt;&gt;"","Do livro: "&amp;IFERROR(VLOOKUP(INDEX($HV$2:$HV$13,$KI7),$CC$2:$CL$33,10,FALSE),""),"")))</f>
        <v/>
      </c>
      <c r="KN7" s="143" t="inlineStr">
        <is>
          <t>tag lib</t>
        </is>
      </c>
      <c r="KO7" s="145">
        <f>IF(DADOS_AM!$A$2&gt;=3,"Rup","Lib")</f>
        <v/>
      </c>
      <c r="KQ7" s="143" t="inlineStr">
        <is>
          <t>P15</t>
        </is>
      </c>
      <c r="KR7" s="145">
        <f>UPPER(INDEX(DADOS_AM!$D$14:$G$14,1,DADOS_AM!$A$2))</f>
        <v/>
      </c>
    </row>
    <row r="8">
      <c r="C8" s="143" t="inlineStr">
        <is>
          <t>o que escala</t>
        </is>
      </c>
      <c r="D8" s="143" t="inlineStr">
        <is>
          <t>O refino escala</t>
        </is>
      </c>
      <c r="E8" s="143" t="inlineStr">
        <is>
          <t>O refino escala</t>
        </is>
      </c>
      <c r="F8" s="143" t="inlineStr">
        <is>
          <t>O refino escala</t>
        </is>
      </c>
      <c r="G8" s="143" t="inlineStr">
        <is>
          <t>A Lapidação escala</t>
        </is>
      </c>
      <c r="I8" s="143" t="inlineStr">
        <is>
          <t>Tempo</t>
        </is>
      </c>
      <c r="J8" s="145">
        <f>'FICHA AMALDIÇOADA'!$L$37&amp;""</f>
        <v/>
      </c>
      <c r="K8" s="145">
        <f>IF($J8="Livre",1,0)</f>
        <v/>
      </c>
      <c r="L8" s="145">
        <f>IF($J8="Fechada",1,0)</f>
        <v/>
      </c>
      <c r="P8" s="145" t="n">
        <v>7</v>
      </c>
      <c r="Q8" s="145" t="n">
        <v>4</v>
      </c>
      <c r="R8" s="145" t="n">
        <v>7</v>
      </c>
      <c r="S8" s="145" t="n">
        <v>11</v>
      </c>
      <c r="T8" s="145" t="n">
        <v>1</v>
      </c>
      <c r="U8" s="145" t="n">
        <v>3</v>
      </c>
      <c r="V8" s="145" t="n">
        <v>7</v>
      </c>
      <c r="W8" s="145" t="n">
        <v>4</v>
      </c>
      <c r="Y8" s="143" t="inlineStr">
        <is>
          <t>Cura</t>
        </is>
      </c>
      <c r="Z8" s="143" t="inlineStr">
        <is>
          <t>Amparo</t>
        </is>
      </c>
      <c r="AA8" s="145" t="n">
        <v>2</v>
      </c>
      <c r="AB8" s="145">
        <f>IF($AA8=0,0,$AA8+3*IFERROR(VLOOKUP($Z8,$I$2:$L$10,3,FALSE),0))</f>
        <v/>
      </c>
      <c r="AC8" s="145">
        <f>IFERROR(VLOOKUP($Z8,$I$2:$L$10,4,FALSE),0)</f>
        <v/>
      </c>
      <c r="AD8" s="145" t="n">
        <v>0</v>
      </c>
      <c r="AE8" s="145" t="n">
        <v>1</v>
      </c>
      <c r="AF8" s="143" t="inlineStr">
        <is>
          <t>Automático</t>
        </is>
      </c>
      <c r="AG8" s="145" t="n">
        <v>0</v>
      </c>
      <c r="AH8" s="145" t="n">
        <v>1</v>
      </c>
      <c r="AI8" s="145" t="n">
        <v>0</v>
      </c>
      <c r="AJ8" s="145" t="n">
        <v>0</v>
      </c>
      <c r="AK8" s="145" t="n">
        <v>0</v>
      </c>
      <c r="AL8" s="145">
        <f>IF($AC8=1,"",$Y8)</f>
        <v/>
      </c>
      <c r="AM8" s="145">
        <f>IF(AND($AK8=1,$AC8=0),$Y8,"")</f>
        <v/>
      </c>
      <c r="AO8" s="143" t="inlineStr">
        <is>
          <t>Explosão · classe 0</t>
        </is>
      </c>
      <c r="AP8" s="143" t="inlineStr">
        <is>
          <t>Raio 3 m</t>
        </is>
      </c>
      <c r="AQ8" s="143" t="inlineStr">
        <is>
          <t>Raio 4,5 m</t>
        </is>
      </c>
      <c r="AR8" s="143" t="inlineStr">
        <is>
          <t>Raio 6 m</t>
        </is>
      </c>
      <c r="AS8" s="143" t="inlineStr">
        <is>
          <t>Raio 9 m</t>
        </is>
      </c>
      <c r="AT8" s="143" t="inlineStr">
        <is>
          <t>Raio 15 m</t>
        </is>
      </c>
      <c r="AU8" s="143" t="inlineStr">
        <is>
          <t>Raio 15 m</t>
        </is>
      </c>
      <c r="AV8" s="143" t="inlineStr">
        <is>
          <t>, a 9 m</t>
        </is>
      </c>
      <c r="AW8" s="143" t="inlineStr">
        <is>
          <t>, a 18 m</t>
        </is>
      </c>
      <c r="AX8" s="143" t="inlineStr">
        <is>
          <t>, a 36 m</t>
        </is>
      </c>
      <c r="AY8" s="143" t="inlineStr">
        <is>
          <t>, a 90 m</t>
        </is>
      </c>
      <c r="AZ8" s="143" t="inlineStr">
        <is>
          <t>, a visão a olho nu</t>
        </is>
      </c>
      <c r="BA8" s="143" t="inlineStr">
        <is>
          <t>, a visão a olho nu</t>
        </is>
      </c>
      <c r="BC8" s="143" t="inlineStr">
        <is>
          <t>Troca</t>
        </is>
      </c>
      <c r="BD8" s="143" t="inlineStr">
        <is>
          <t>Alcance</t>
        </is>
      </c>
      <c r="BE8" s="145" t="n">
        <v>2</v>
      </c>
      <c r="BF8" s="145">
        <f>$BE8+3*IFERROR(VLOOKUP($BD8,$I$2:$L$10,3,FALSE),0)</f>
        <v/>
      </c>
      <c r="BG8" s="145">
        <f>IFERROR(VLOOKUP($BD8,$I$2:$L$10,4,FALSE),0)</f>
        <v/>
      </c>
      <c r="BH8" s="145" t="n">
        <v>0</v>
      </c>
      <c r="BI8" s="145">
        <f>IF($BG8=1,"",$BC8)</f>
        <v/>
      </c>
      <c r="BJ8" s="145">
        <f>IF(AND($BE8=1,$BG8=0),$BC8,"")</f>
        <v/>
      </c>
      <c r="BL8" s="143" t="inlineStr">
        <is>
          <t>Recuo (Leve)</t>
        </is>
      </c>
      <c r="BM8" s="143" t="inlineStr">
        <is>
          <t>Recuo</t>
        </is>
      </c>
      <c r="BN8" s="145" t="n">
        <v>1</v>
      </c>
      <c r="BO8" s="145" t="n">
        <v>0</v>
      </c>
      <c r="BP8" s="143" t="inlineStr">
        <is>
          <t>Recuo (Leve)</t>
        </is>
      </c>
      <c r="BR8" s="143" t="inlineStr">
        <is>
          <t>Fluxo</t>
        </is>
      </c>
      <c r="BS8" s="145" t="n">
        <v>2</v>
      </c>
      <c r="BT8" s="143" t="inlineStr">
        <is>
          <t>Ao conjurar um feitiço de Classe 3 ou maior, você recebe 2 × a Classe usada em pontos de vida temporária. Uma conjuração concede a reserva uma vez, mesmo que alcance vários alvos ou produza vários ataques.</t>
        </is>
      </c>
      <c r="BU8" s="145" t="n">
        <v>1</v>
      </c>
      <c r="BV8" s="145" t="n">
        <v>0</v>
      </c>
      <c r="BW8" s="145">
        <f>IF(OR(AND($A$2&lt;=2,$BU8=1),AND($A$2&gt;=2,$BV8=1)),$BR8,"")</f>
        <v/>
      </c>
      <c r="BX8" s="143" t="inlineStr">
        <is>
          <t>Ao conjurar um feitiço de Classe 3 ou maior, você recebe 2 × a Classe usada em pontos de vida temporária. Uma conjuração concede a reserva uma vez, mesmo que alcance vários alvos ou produza vários ataques.</t>
        </is>
      </c>
      <c r="CC8" s="143" t="inlineStr">
        <is>
          <t>Kokusen Melhorado</t>
        </is>
      </c>
      <c r="CD8" s="143" t="inlineStr">
        <is>
          <t>Refino 5 e nível 14</t>
        </is>
      </c>
      <c r="CE8" s="143" t="inlineStr">
        <is>
          <t>—</t>
        </is>
      </c>
      <c r="CF8" s="143" t="inlineStr">
        <is>
          <t>—</t>
        </is>
      </c>
      <c r="CG8" s="143" t="inlineStr">
        <is>
          <t>Em cada teste de Kokusen, role dois d100 e use o menor. Se os dois resultados falharem, acrescente +2 ao bônus acumulado uma vez, não duas.</t>
        </is>
      </c>
      <c r="CH8" s="145">
        <f>IF($CK8=1,"",IF($A$2=4,IF($CI8=1,$CC8,""),IF(OR($CI8=1,AND($A$2=3,$CJ8=1)),"",$CC8)))</f>
        <v/>
      </c>
      <c r="CI8" s="145" t="n">
        <v>0</v>
      </c>
      <c r="CJ8" s="145" t="n">
        <v>0</v>
      </c>
      <c r="CK8" s="145" t="n">
        <v>0</v>
      </c>
      <c r="CL8" s="143" t="inlineStr">
        <is>
          <t>Em cada teste de Kokusen, role dois d100 e use o menor. Se os dois resultados falharem, acrescente +2 ao bônus acumulado uma vez, não duas.</t>
        </is>
      </c>
      <c r="CT8" s="143" t="inlineStr">
        <is>
          <t>Lâmina Longa</t>
        </is>
      </c>
      <c r="CU8" s="145" t="n">
        <v>1</v>
      </c>
      <c r="CV8" s="145" t="n">
        <v>1</v>
      </c>
      <c r="CW8" s="145">
        <f>IF(AND($A$2&gt;=3,'FICHA AMALDIÇOADA'!$J$16&amp;""="Três grupos de arma"),$CT8,"")</f>
        <v/>
      </c>
      <c r="DV8" s="143" t="inlineStr">
        <is>
          <t>Feitiço 7</t>
        </is>
      </c>
      <c r="DW8" s="145" t="n">
        <v>0</v>
      </c>
      <c r="DX8" s="145" t="n">
        <v>7</v>
      </c>
      <c r="DY8" s="145">
        <f>MAX(1,MIN(7,N('FICHA AMALDIÇOADA'!$D$93)))</f>
        <v/>
      </c>
      <c r="DZ8" s="145">
        <f>'FICHA AMALDIÇOADA'!$E$93&amp;""</f>
        <v/>
      </c>
      <c r="EA8" s="145">
        <f>'FICHA AMALDIÇOADA'!$D$100&amp;""</f>
        <v/>
      </c>
      <c r="EB8" s="145">
        <f>'FICHA AMALDIÇOADA'!$E$102&amp;""</f>
        <v/>
      </c>
      <c r="EC8" s="145">
        <f>'FICHA AMALDIÇOADA'!$E$103&amp;""</f>
        <v/>
      </c>
      <c r="ED8" s="145">
        <f>'FICHA AMALDIÇOADA'!$E$104&amp;""</f>
        <v/>
      </c>
      <c r="EE8" s="145">
        <f>'FICHA AMALDIÇOADA'!$E$105&amp;""</f>
        <v/>
      </c>
      <c r="EF8" s="145">
        <f>'FICHA AMALDIÇOADA'!$E$106&amp;""</f>
        <v/>
      </c>
      <c r="EG8" s="145">
        <f>'FICHA AMALDIÇOADA'!$E$107&amp;""</f>
        <v/>
      </c>
      <c r="EH8" s="145">
        <f>IF($DZ8&lt;&gt;"",1,0)</f>
        <v/>
      </c>
      <c r="EI8" s="145">
        <f>IFERROR(MATCH($EA8,$Y$2:$Y$11,0),0)</f>
        <v/>
      </c>
      <c r="EJ8" s="145">
        <f>IF($EI8=0,0,INDEX($AB$2:$AB$11,$EI8))</f>
        <v/>
      </c>
      <c r="EK8" s="145">
        <f>IFERROR(VLOOKUP($EB8,$BC$2:$BJ$84,4,FALSE),0)</f>
        <v/>
      </c>
      <c r="EL8" s="145">
        <f>IFERROR(VLOOKUP($EC8,$BC$2:$BJ$84,4,FALSE),0)</f>
        <v/>
      </c>
      <c r="EM8" s="145">
        <f>IFERROR(VLOOKUP($ED8,$BC$2:$BJ$84,4,FALSE),0)</f>
        <v/>
      </c>
      <c r="EN8" s="145">
        <f>IFERROR(VLOOKUP($EE8,$BC$2:$BJ$84,4,FALSE),0)</f>
        <v/>
      </c>
      <c r="EO8" s="145">
        <f>IF($EI8=0,0,INDEX($AC$2:$AC$11,$EI8))</f>
        <v/>
      </c>
      <c r="EP8" s="145">
        <f>IFERROR(VLOOKUP($EB8,$BC$2:$BJ$84,5,FALSE),0)</f>
        <v/>
      </c>
      <c r="EQ8" s="145">
        <f>IFERROR(VLOOKUP($EC8,$BC$2:$BJ$84,5,FALSE),0)</f>
        <v/>
      </c>
      <c r="ER8" s="145">
        <f>IFERROR(VLOOKUP($ED8,$BC$2:$BJ$84,5,FALSE),0)</f>
        <v/>
      </c>
      <c r="ES8" s="145">
        <f>IFERROR(VLOOKUP($EE8,$BC$2:$BJ$84,5,FALSE),0)</f>
        <v/>
      </c>
      <c r="ET8" s="145">
        <f>IFERROR(VLOOKUP($EB8,$BC$2:$BJ$84,6,FALSE),0)+IFERROR(VLOOKUP($EC8,$BC$2:$BJ$84,6,FALSE),0)+IFERROR(VLOOKUP($ED8,$BC$2:$BJ$84,6,FALSE),0)+IFERROR(VLOOKUP($EE8,$BC$2:$BJ$84,6,FALSE),0)</f>
        <v/>
      </c>
      <c r="EU8" s="145">
        <f>IF($EI8=0,0,INDEX($AD$2:$AD$11,$EI8))</f>
        <v/>
      </c>
      <c r="EV8" s="145">
        <f>IF($EI8=0,0,INDEX($AE$2:$AE$11,$EI8))</f>
        <v/>
      </c>
      <c r="EW8" s="145">
        <f>IF($EI8=0,0,INDEX($AG$2:$AG$11,$EI8))</f>
        <v/>
      </c>
      <c r="EX8" s="145">
        <f>IFERROR(VLOOKUP($EF8,$BL$2:$BP$24,3,FALSE),0)</f>
        <v/>
      </c>
      <c r="EY8" s="145">
        <f>IFERROR(VLOOKUP($EG8,$BL$2:$BP$24,3,FALSE),0)</f>
        <v/>
      </c>
      <c r="EZ8" s="145">
        <f>IFERROR(VLOOKUP($EF8,$BL$2:$BP$24,2,FALSE),"")</f>
        <v/>
      </c>
      <c r="FA8" s="145">
        <f>IFERROR(VLOOKUP($EG8,$BL$2:$BP$24,2,FALSE),"")</f>
        <v/>
      </c>
      <c r="FB8" s="145">
        <f>COUNTIF($EJ8:$EN8,1)</f>
        <v/>
      </c>
      <c r="FC8" s="145">
        <f>COUNTIF($EJ8:$EN8,2)</f>
        <v/>
      </c>
      <c r="FD8" s="145">
        <f>COUNTIF($EJ8:$EN8,3)</f>
        <v/>
      </c>
      <c r="FE8" s="145">
        <f>COUNTIF($EJ8:$EN8,4)</f>
        <v/>
      </c>
      <c r="FF8" s="145">
        <f>COUNTIF($EJ8:$EN8,5)</f>
        <v/>
      </c>
      <c r="FG8" s="145">
        <f>COUNTIF($EJ8:$EN8,6)</f>
        <v/>
      </c>
      <c r="FH8" s="145">
        <f>COUNTIF($EX8:$EY8,1)</f>
        <v/>
      </c>
      <c r="FI8" s="145">
        <f>COUNTIF($EX8:$EY8,2)+$EU8</f>
        <v/>
      </c>
      <c r="FJ8" s="145">
        <f>COUNTIF($EB8:$EE8,"?*")</f>
        <v/>
      </c>
      <c r="FK8" s="145">
        <f>COUNTIF($EF8:$EG8,"?*")+$EU8</f>
        <v/>
      </c>
      <c r="FL8" s="145">
        <f>SUMPRODUCT($FB8:$FG8,INDEX($Q$2:$V$8,$DY8,0))</f>
        <v/>
      </c>
      <c r="FM8" s="145">
        <f>$FH8*CEILING($DY8/2,1)+$FI8*$DY8</f>
        <v/>
      </c>
      <c r="FN8" s="145">
        <f>MIN(2*$DY8,$FM8)</f>
        <v/>
      </c>
      <c r="FO8" s="145">
        <f>MIN($FN8,$FL8)</f>
        <v/>
      </c>
      <c r="FP8" s="145">
        <f>$FN8-$FO8</f>
        <v/>
      </c>
      <c r="FQ8" s="145">
        <f>3*$DY8-$FL8+$FO8</f>
        <v/>
      </c>
      <c r="FR8" s="145">
        <f>MAX(0,$FQ8)+$DW8*$DY8</f>
        <v/>
      </c>
      <c r="FS8" s="145">
        <f>(IF(COUNTIF($EB8:$EE8,"Salto")&gt;0,1,0)+IF(COUNTIF($EB8:$EE8,"Queima")&gt;0,1,0)+IF(COUNTIF($EB8:$EE8,"Estilhaço")&gt;0,1,0))*FLOOR($FR8/2,1)</f>
        <v/>
      </c>
      <c r="FT8" s="145">
        <f>MAX(0,3-SUMPRODUCT($FB8:$FG8,$Q$2:$V$2)+MIN(2,$FH8*1+$FI8*1,SUMPRODUCT($FB8:$FG8,$Q$2:$V$2)))+$DW8*1</f>
        <v/>
      </c>
      <c r="FU8" s="145">
        <f>MAX(0,6-SUMPRODUCT($FB8:$FG8,$Q$3:$V$3)+MIN(4,$FH8*1+$FI8*2,SUMPRODUCT($FB8:$FG8,$Q$3:$V$3)))+$DW8*2</f>
        <v/>
      </c>
      <c r="FV8" s="145">
        <f>MAX(0,9-SUMPRODUCT($FB8:$FG8,$Q$4:$V$4)+MIN(6,$FH8*2+$FI8*3,SUMPRODUCT($FB8:$FG8,$Q$4:$V$4)))+$DW8*3</f>
        <v/>
      </c>
      <c r="FW8" s="145">
        <f>MAX(0,12-SUMPRODUCT($FB8:$FG8,$Q$5:$V$5)+MIN(8,$FH8*2+$FI8*4,SUMPRODUCT($FB8:$FG8,$Q$5:$V$5)))+$DW8*4</f>
        <v/>
      </c>
      <c r="FX8" s="145">
        <f>MAX(0,15-SUMPRODUCT($FB8:$FG8,$Q$6:$V$6)+MIN(10,$FH8*3+$FI8*5,SUMPRODUCT($FB8:$FG8,$Q$6:$V$6)))+$DW8*5</f>
        <v/>
      </c>
      <c r="FY8" s="145">
        <f>MAX(0,18-SUMPRODUCT($FB8:$FG8,$Q$7:$V$7)+MIN(12,$FH8*3+$FI8*6,SUMPRODUCT($FB8:$FG8,$Q$7:$V$7)))+$DW8*6</f>
        <v/>
      </c>
      <c r="FZ8" s="145">
        <f>MAX(0,21-SUMPRODUCT($FB8:$FG8,$Q$8:$V$8)+MIN(14,$FH8*4+$FI8*7,SUMPRODUCT($FB8:$FG8,$Q$8:$V$8)))+$DW8*7</f>
        <v/>
      </c>
      <c r="GA8" s="145">
        <f>IF($EV8=2,3*$FT8&amp;" de vida temp.",IF($EV8=3,"sem dano",IF($FT8=0,IF($EV8=1,"sem cura","sem dano"),IF($EV8=1,"cura ","")&amp;$FT8&amp;"d8")))</f>
        <v/>
      </c>
      <c r="GB8" s="145">
        <f>IF($EV8=2,3*$FU8&amp;" de vida temp.",IF($EV8=3,"sem dano",IF($FU8=0,IF($EV8=1,"sem cura","sem dano"),IF($EV8=1,"cura ","")&amp;$FU8&amp;"d8")))</f>
        <v/>
      </c>
      <c r="GC8" s="145">
        <f>IF($EV8=2,3*$FV8&amp;" de vida temp.",IF($EV8=3,"sem dano",IF($FV8=0,IF($EV8=1,"sem cura","sem dano"),IF($EV8=1,"cura ","")&amp;$FV8&amp;"d8")))</f>
        <v/>
      </c>
      <c r="GD8" s="145">
        <f>IF($EV8=2,3*$FW8&amp;" de vida temp.",IF($EV8=3,"sem dano",IF($FW8=0,IF($EV8=1,"sem cura","sem dano"),IF($EV8=1,"cura ","")&amp;$FW8&amp;"d8")))</f>
        <v/>
      </c>
      <c r="GE8" s="145">
        <f>IF($EV8=2,3*$FX8&amp;" de vida temp.",IF($EV8=3,"sem dano",IF($FX8=0,IF($EV8=1,"sem cura","sem dano"),IF($EV8=1,"cura ","")&amp;$FX8&amp;"d8")))</f>
        <v/>
      </c>
      <c r="GF8" s="145">
        <f>IF($EV8=2,3*$FY8&amp;" de vida temp.",IF($EV8=3,"sem dano",IF($FY8=0,IF($EV8=1,"sem cura","sem dano"),IF($EV8=1,"cura ","")&amp;$FY8&amp;"d8")))</f>
        <v/>
      </c>
      <c r="GG8" s="145">
        <f>IF($EV8=2,3*$FZ8&amp;" de vida temp.",IF($EV8=3,"sem dano",IF($FZ8=0,IF($EV8=1,"sem cura","sem dano"),IF($EV8=1,"cura ","")&amp;$FZ8&amp;"d8")))</f>
        <v/>
      </c>
      <c r="GH8" s="145">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45">
        <f>IF($GH8="",0,(LEN($GH8)-LEN(SUBSTITUTE($GH8," · ","")))/3+1)</f>
        <v/>
      </c>
      <c r="GJ8" s="145">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45">
        <f>IF($GJ8="",0,(LEN($GJ8)-LEN(SUBSTITUTE($GJ8," · ","")))/3+1)</f>
        <v/>
      </c>
      <c r="GL8" s="145">
        <f>IF($EH8=0,IF($FJ8+$FK8-$EU8&gt;0,"Dê um nome",""),IF($GI8&gt;0,"⚠ "&amp;$GI8&amp;IF($GI8&gt;1," erros"," erro"),IF($GK8&gt;0,"! "&amp;$GK8&amp;IF($GK8&gt;1," avisos"," aviso"),"Na regra")))</f>
        <v/>
      </c>
      <c r="GM8" s="145">
        <f>IF($EH8=0,"",IF($GI8+$GK8=0,"Dentro das regras que a ficha confere",$GH8&amp;IF(AND($GI8&gt;0,$GK8&gt;0)," · ","")&amp;$GJ8))</f>
        <v/>
      </c>
      <c r="GN8" s="145">
        <f>IF($EH8=0,"",IF($DW8=1,CEILING(4.5*$DY8,1),3*$DY8)&amp;" PE")</f>
        <v/>
      </c>
      <c r="GO8" s="145">
        <f>IF($EH8=0,"",IF($DW8=1,"Rodada inteira",IF(COUNTIF($EZ8:$FA8,"Atrasar")&gt;0,IF(COUNTIF($EZ8:$FA8,"Carregar")&gt;0,"Rodada +1 turno","Rodada inteira"),IF(COUNTIF($EB8:$EE8,"Rápido")&gt;0,"Bônus",IF(COUNTIF($EB8:$EE8,"Reação")&gt;0,"Reação","Padrão"))&amp;IF(COUNTIF($EZ8:$FA8,"Carregar")&gt;0," +1 turno",""))))</f>
        <v/>
      </c>
      <c r="GP8" s="145">
        <f>IF(OR($EH8=0,$EI8=0),"",IF(COUNTIF($EB8:$EE8,"Inescapável")&gt;0,"Automático",IF(COUNTIF($EB8:$EE8,"Certeiro")&gt;0,"TR para metade",INDEX($AF$2:$AF$11,$EI8))))</f>
        <v/>
      </c>
      <c r="GQ8" s="145">
        <f>IF(OR($EH8=0,$EI8=0),"",IF(OR($EV8&gt;=2,$FR8=0),UPPER(LEFT(INDEX($GA8:$GG8,1,$DY8),1))&amp;MID(INDEX($GA8:$GG8,1,$DY8),2,99),UPPER(LEFT(INDEX($GA8:$GG8,1,$DY8),1))&amp;MID(INDEX($GA8:$GG8,1,$DY8),2,99)&amp;" = "&amp;FLOOR($FR8*4.5,1)&amp;IF($FS8&gt;0," · +"&amp;$FS8&amp;"d8","")))</f>
        <v/>
      </c>
      <c r="GR8" s="145">
        <f>COUNTIF($EB8:$EE8,"Longe")+3*COUNTIF($EB8:$EE8,"Muito Longe")</f>
        <v/>
      </c>
      <c r="GS8" s="145">
        <f>COUNTIF($EB8:$EE8,"Maior")+3*COUNTIF($EB8:$EE8,"Muito Maior")</f>
        <v/>
      </c>
      <c r="GT8" s="145">
        <f>IF($EI8=0,0,CHOOSE(1+INDEX($AH$2:$AH$11,$EI8),0,$GR8,$GS8,$GR8+$GS8))</f>
        <v/>
      </c>
      <c r="GU8" s="145">
        <f>IF($EI8=0,0,CHOOSE(1+INDEX($AI$2:$AI$11,$EI8),0,$GR8,$GS8,$GR8+$GS8))</f>
        <v/>
      </c>
      <c r="GV8" s="145">
        <f>IF(OR($EH8=0,$EI8=0),"",INDEX($AP$2:$AU$31,($EI8-1)*3+IF($DY8&gt;=6,3,2),1+MIN(5,$GT8))&amp;INDEX($AV$2:$BA$31,($EI8-1)*3+IF($DY8&gt;=6,3,2),1+MIN(5,$GU8))&amp;IF(INDEX($AJ$2:$AJ$11,$EI8)=1,IF(COUNTIF($EB8:$EE8,"Mais Um")&gt;0," · +"&amp;COUNTIF($EB8:$EE8,"Mais Um")&amp;IF(COUNTIF($EB8:$EE8,"Mais Um")&gt;1," alvos"," alvo"),"")&amp;IF(COUNTIF($EB8:$EE8,"Rajada")&gt;0," · "&amp;($DY8+1)&amp;" tiros",""),""))</f>
        <v/>
      </c>
      <c r="GW8" s="145">
        <f>IF($EH8=0,"",3*$DY8&amp;" − "&amp;$FL8&amp;" + "&amp;$FO8&amp;IF($DW8=1," + "&amp;$DY8,"")&amp;" = "&amp;$FR8&amp;"d8 · teto "&amp;4*$DY8&amp;IF($EU8=1," · a Forma devolve "&amp;$DY8,"")&amp;IF($FP8&gt;0," · perde "&amp;$FP8,""))</f>
        <v/>
      </c>
      <c r="GX8" s="145">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5">
        <f>IF(OR($EH8=0,$EK8=0),"","−"&amp;INDEX($Q$2:$V$8,$DY8,$EK8)&amp;" · "&amp;CHOOSE($EK8,"Leve","Média","Pesada","Leve · Livre","Média · Livre","Pesada · Livre"))</f>
        <v/>
      </c>
      <c r="GZ8" s="145">
        <f>IF(OR($EH8=0,$EL8=0),"","−"&amp;INDEX($Q$2:$V$8,$DY8,$EL8)&amp;" · "&amp;CHOOSE($EL8,"Leve","Média","Pesada","Leve · Livre","Média · Livre","Pesada · Livre"))</f>
        <v/>
      </c>
      <c r="HA8" s="145">
        <f>IF(OR($EH8=0,$EM8=0),"","−"&amp;INDEX($Q$2:$V$8,$DY8,$EM8)&amp;" · "&amp;CHOOSE($EM8,"Leve","Média","Pesada","Leve · Livre","Média · Livre","Pesada · Livre"))</f>
        <v/>
      </c>
      <c r="HB8" s="145">
        <f>IF(OR($EH8=0,$EN8=0),"","−"&amp;INDEX($Q$2:$V$8,$DY8,$EN8)&amp;" · "&amp;CHOOSE($EN8,"Leve","Média","Pesada","Leve · Livre","Média · Livre","Pesada · Livre"))</f>
        <v/>
      </c>
      <c r="HC8" s="145">
        <f>IF(OR($EH8=0,$EF8=""),"","+"&amp;IF($EX8=1,CEILING($DY8/2,1),$DY8))</f>
        <v/>
      </c>
      <c r="HD8" s="145">
        <f>IF(OR($EH8=0,$EG8=""),"","+"&amp;IF($EY8=1,CEILING($DY8/2,1),$DY8))</f>
        <v/>
      </c>
      <c r="HE8" s="145">
        <f>'FICHA AMALDIÇOADA'!$D$95&amp;""</f>
        <v/>
      </c>
      <c r="HF8" s="145">
        <f>IF(AND($EH8=1,$DW8=0),COUNTIFS($EH$2:$EH8,1,$DW$2:$DW8,0),"")</f>
        <v/>
      </c>
      <c r="HH8" s="143" t="inlineStr">
        <is>
          <t>escolhas de Leque</t>
        </is>
      </c>
      <c r="HI8" s="145">
        <f>MIN(N(DADOS!$AK$38),$HI$5)</f>
        <v/>
      </c>
      <c r="HK8" s="143" t="inlineStr">
        <is>
          <t>Talento 7 · Leque</t>
        </is>
      </c>
      <c r="HL8" s="145">
        <f>'FICHA AMALDIÇOADA'!$J$397&amp;""</f>
        <v/>
      </c>
      <c r="HM8" s="145">
        <f>IFERROR(VLOOKUP($HL8,$BR$2:$BX$24,2,FALSE),0)</f>
        <v/>
      </c>
      <c r="HN8" s="145">
        <f>IFERROR(VLOOKUP($HM8,$BZ$2:$CA$4,2,FALSE),0)</f>
        <v/>
      </c>
      <c r="HO8" s="145">
        <f>IFERROR(VLOOKUP($HL8,$BR$2:$BX$24,3,FALSE),"")</f>
        <v/>
      </c>
      <c r="HP8" s="145">
        <f>IF($HM8=0,"",IF($HN8&gt;$HI$2,"⚠ Nível "&amp;$HN8,"CE "&amp;$HM8))</f>
        <v/>
      </c>
      <c r="HQ8" s="145">
        <f>IF($HM8=0,"",IF(2&gt;$HI$8,"⚠ Vaga","Grátis"))</f>
        <v/>
      </c>
      <c r="HR8" s="145">
        <f>'FICHA AMALDIÇOADA'!$K$402&amp;""</f>
        <v/>
      </c>
      <c r="HS8" s="145">
        <f>IF($HL8="","",COUNTIF($HL$2:$HL8,"?*"))</f>
        <v/>
      </c>
      <c r="HU8" s="143" t="inlineStr">
        <is>
          <t>Aptidão 7</t>
        </is>
      </c>
      <c r="HV8" s="145">
        <f>'FICHA AMALDIÇOADA'!$D$472&amp;""</f>
        <v/>
      </c>
      <c r="HW8" s="145">
        <f>IF($HV8="","","Requisito: "&amp;IFERROR(VLOOKUP($HV8,$CC$2:$CL$33,2,FALSE),""))</f>
        <v/>
      </c>
      <c r="HX8" s="145">
        <f>IF($HV8="","",IFERROR(IF(ISNUMBER(VLOOKUP($HV8,$CC$2:$CL$33,3,FALSE)),"CE "&amp;VLOOKUP($HV8,$CC$2:$CL$33,3,FALSE),VLOOKUP($HV8,$CC$2:$CL$33,3,FALSE)),""))</f>
        <v/>
      </c>
      <c r="HY8" s="145">
        <f>IF($HV8="","",IFERROR(VLOOKUP($HV8,$CC$2:$CL$33,4,FALSE),""))</f>
        <v/>
      </c>
      <c r="HZ8" s="145">
        <f>IF($HV8="","",IFERROR(VLOOKUP($HV8,$CC$2:$CL$33,5,FALSE),""))</f>
        <v/>
      </c>
      <c r="IA8" s="145">
        <f>'FICHA AMALDIÇOADA'!$E$489&amp;""</f>
        <v/>
      </c>
      <c r="IB8" s="145">
        <f>IF($HV8="","",COUNTIF($HV$2:$HV8,"?*"))</f>
        <v/>
      </c>
      <c r="IM8" s="143" t="inlineStr">
        <is>
          <t>Domínio</t>
        </is>
      </c>
      <c r="IN8" s="145">
        <f>ADDRESS(ROW('FICHA AMALDIÇOADA'!L7),COLUMN('FICHA AMALDIÇOADA'!L7),4)</f>
        <v/>
      </c>
      <c r="IO8" s="145">
        <f>ADDRESS(ROW('FICHA AMALDIÇOADA'!D354),COLUMN('FICHA AMALDIÇOADA'!D354),4)</f>
        <v/>
      </c>
      <c r="IP8" s="143" t="inlineStr">
        <is>
          <t>DADOS_AM!$IM$8</t>
        </is>
      </c>
      <c r="IR8" s="143" t="inlineStr">
        <is>
          <t>Trilha 11</t>
        </is>
      </c>
      <c r="IS8" s="145" t="n">
        <v>11</v>
      </c>
      <c r="IT8" s="145">
        <f>IF($HI$2&gt;=11,"Nível 11","Abre no 11")</f>
        <v/>
      </c>
      <c r="IU8" s="145">
        <f>ADDRESS(ROW(FICHA!G135),COLUMN(FICHA!G135),4)</f>
        <v/>
      </c>
      <c r="IV8" s="145">
        <f>ADDRESS(ROW(FICHA!D136),COLUMN(FICHA!D136),4)</f>
        <v/>
      </c>
      <c r="JD8" s="145" t="n">
        <v>7</v>
      </c>
      <c r="JE8" s="145">
        <f>IFERROR(MATCH(7,$HF$2:$HF$37,0),0)</f>
        <v/>
      </c>
      <c r="JF8" s="145">
        <f>IF($JE8=0,"",INDEX($DY$2:$DY$37,$JE8))</f>
        <v/>
      </c>
      <c r="JG8" s="145">
        <f>IF($JE8=0,"",INDEX($DZ$2:$DZ$37,$JE8))</f>
        <v/>
      </c>
      <c r="JH8" s="145">
        <f>IF($JE8=0,"",INDEX($GN$2:$GN$37,$JE8))</f>
        <v/>
      </c>
      <c r="JI8" s="145">
        <f>IF($JE8=0,"",INDEX($EA$2:$EA$37,$JE8))</f>
        <v/>
      </c>
      <c r="JJ8" s="145">
        <f>IF($JE8=0,"",INDEX($GP$2:$GP$37,$JE8))</f>
        <v/>
      </c>
      <c r="JK8" s="145">
        <f>IF($JE8=0,"",INDEX($HE$2:$HE$37,$JE8))</f>
        <v/>
      </c>
      <c r="KB8" s="143" t="inlineStr">
        <is>
          <t>Talento 5</t>
        </is>
      </c>
      <c r="KC8" s="145">
        <f>IFERROR(MATCH(5,$HS$2:$HS$13,0),0)</f>
        <v/>
      </c>
      <c r="KD8" s="145">
        <f>IF($KC8=0,"",IF(INDEX($HM$2:$HM$13,$KC8)=0,"","CE "&amp;INDEX($HM$2:$HM$13,$KC8)))</f>
        <v/>
      </c>
      <c r="KE8" s="145">
        <f>IF($KC8=0,"",INDEX($HL$2:$HL$13,$KC8))</f>
        <v/>
      </c>
      <c r="KF8" s="145">
        <f>IF($KC8=0,"",IF(INDEX($HR$2:$HR$13,$KC8)&lt;&gt;"",INDEX($HR$2:$HR$13,$KC8),IF(IFERROR(VLOOKUP(INDEX($HL$2:$HL$13,$KC8),$BR$2:$BX$24,7,FALSE),"")&lt;&gt;"","Do livro: "&amp;IFERROR(VLOOKUP(INDEX($HL$2:$HL$13,$KC8),$BR$2:$BX$24,7,FALSE),""),"")))</f>
        <v/>
      </c>
      <c r="KH8" s="143" t="inlineStr">
        <is>
          <t>Aptidão 5</t>
        </is>
      </c>
      <c r="KI8" s="145">
        <f>IFERROR(MATCH(5,$IB$2:$IB$13,0),0)</f>
        <v/>
      </c>
      <c r="KJ8" s="145">
        <f>IF($KI8=0,"",INDEX($HX$2:$HX$13,$KI8))</f>
        <v/>
      </c>
      <c r="KK8" s="145">
        <f>IF($KI8=0,"",INDEX($HV$2:$HV$13,$KI8))</f>
        <v/>
      </c>
      <c r="KL8" s="145">
        <f>IF($KI8=0,"",IF(INDEX($IA$2:$IA$13,$KI8)&lt;&gt;"",INDEX($IA$2:$IA$13,$KI8),IF(IFERROR(VLOOKUP(INDEX($HV$2:$HV$13,$KI8),$CC$2:$CL$33,10,FALSE),"")&lt;&gt;"","Do livro: "&amp;IFERROR(VLOOKUP(INDEX($HV$2:$HV$13,$KI8),$CC$2:$CL$33,10,FALSE),""),"")))</f>
        <v/>
      </c>
      <c r="KN8" s="143" t="inlineStr">
        <is>
          <t>tag tm</t>
        </is>
      </c>
      <c r="KO8" s="145">
        <f>IF(DADOS_AM!$A$2=1,"Máx",IF(DADOS_AM!$A$2=2,"Auge","Ōgi"))</f>
        <v/>
      </c>
      <c r="KQ8" s="143" t="inlineStr">
        <is>
          <t>D16</t>
        </is>
      </c>
      <c r="KR8" s="145">
        <f>INDEX(DADOS_AM!$D$17:$G$17,1,DADOS_AM!$A$2)</f>
        <v/>
      </c>
    </row>
    <row r="9">
      <c r="C9" s="143" t="inlineStr">
        <is>
          <t>graça 1</t>
        </is>
      </c>
      <c r="D9" s="143" t="inlineStr">
        <is>
          <t>Cobrir-se de Energia</t>
        </is>
      </c>
      <c r="E9" s="143" t="inlineStr">
        <is>
          <t>Cobrir-se de Energia</t>
        </is>
      </c>
      <c r="F9" s="143" t="inlineStr">
        <is>
          <t>Cobrir-se de Energia</t>
        </is>
      </c>
      <c r="G9" s="143" t="inlineStr">
        <is>
          <t>Defesa sem Armadura</t>
        </is>
      </c>
      <c r="I9" s="143" t="inlineStr">
        <is>
          <t>Marca</t>
        </is>
      </c>
      <c r="J9" s="145">
        <f>'FICHA AMALDIÇOADA'!$M$37&amp;""</f>
        <v/>
      </c>
      <c r="K9" s="145">
        <f>IF($J9="Livre",1,0)</f>
        <v/>
      </c>
      <c r="L9" s="145">
        <f>IF($J9="Fechada",1,0)</f>
        <v/>
      </c>
      <c r="Y9" s="143" t="inlineStr">
        <is>
          <t>Apoio</t>
        </is>
      </c>
      <c r="Z9" s="143" t="inlineStr">
        <is>
          <t>Amparo</t>
        </is>
      </c>
      <c r="AA9" s="145" t="n">
        <v>0</v>
      </c>
      <c r="AB9" s="145">
        <f>IF($AA9=0,0,$AA9+3*IFERROR(VLOOKUP($Z9,$I$2:$L$10,3,FALSE),0))</f>
        <v/>
      </c>
      <c r="AC9" s="145">
        <f>IFERROR(VLOOKUP($Z9,$I$2:$L$10,4,FALSE),0)</f>
        <v/>
      </c>
      <c r="AD9" s="145" t="n">
        <v>0</v>
      </c>
      <c r="AE9" s="145" t="n">
        <v>2</v>
      </c>
      <c r="AF9" s="143" t="inlineStr">
        <is>
          <t>Automático</t>
        </is>
      </c>
      <c r="AG9" s="145" t="n">
        <v>0</v>
      </c>
      <c r="AH9" s="145" t="n">
        <v>1</v>
      </c>
      <c r="AI9" s="145" t="n">
        <v>0</v>
      </c>
      <c r="AJ9" s="145" t="n">
        <v>0</v>
      </c>
      <c r="AK9" s="145" t="n">
        <v>1</v>
      </c>
      <c r="AL9" s="145">
        <f>IF($AC9=1,"",$Y9)</f>
        <v/>
      </c>
      <c r="AM9" s="145">
        <f>IF(AND($AK9=1,$AC9=0),$Y9,"")</f>
        <v/>
      </c>
      <c r="AO9" s="143" t="inlineStr">
        <is>
          <t>Explosão · classes 1 a 5</t>
        </is>
      </c>
      <c r="AP9" s="143" t="inlineStr">
        <is>
          <t>Raio 3 m</t>
        </is>
      </c>
      <c r="AQ9" s="143" t="inlineStr">
        <is>
          <t>Raio 4,5 m</t>
        </is>
      </c>
      <c r="AR9" s="143" t="inlineStr">
        <is>
          <t>Raio 6 m</t>
        </is>
      </c>
      <c r="AS9" s="143" t="inlineStr">
        <is>
          <t>Raio 9 m</t>
        </is>
      </c>
      <c r="AT9" s="143" t="inlineStr">
        <is>
          <t>Raio 15 m</t>
        </is>
      </c>
      <c r="AU9" s="143" t="inlineStr">
        <is>
          <t>Raio 15 m</t>
        </is>
      </c>
      <c r="AV9" s="143" t="inlineStr">
        <is>
          <t>, a 18 m</t>
        </is>
      </c>
      <c r="AW9" s="143" t="inlineStr">
        <is>
          <t>, a 36 m</t>
        </is>
      </c>
      <c r="AX9" s="143" t="inlineStr">
        <is>
          <t>, a 90 m</t>
        </is>
      </c>
      <c r="AY9" s="143" t="inlineStr">
        <is>
          <t>, a visão a olho nu</t>
        </is>
      </c>
      <c r="AZ9" s="143" t="inlineStr">
        <is>
          <t>, a visão a olho nu</t>
        </is>
      </c>
      <c r="BA9" s="143" t="inlineStr">
        <is>
          <t>, a visão a olho nu</t>
        </is>
      </c>
      <c r="BC9" s="143" t="inlineStr">
        <is>
          <t>Maior</t>
        </is>
      </c>
      <c r="BD9" s="143" t="inlineStr">
        <is>
          <t>Área</t>
        </is>
      </c>
      <c r="BE9" s="145" t="n">
        <v>1</v>
      </c>
      <c r="BF9" s="145">
        <f>$BE9+3*IFERROR(VLOOKUP($BD9,$I$2:$L$10,3,FALSE),0)</f>
        <v/>
      </c>
      <c r="BG9" s="145">
        <f>IFERROR(VLOOKUP($BD9,$I$2:$L$10,4,FALSE),0)</f>
        <v/>
      </c>
      <c r="BH9" s="145" t="n">
        <v>0</v>
      </c>
      <c r="BI9" s="145">
        <f>IF($BG9=1,"",$BC9)</f>
        <v/>
      </c>
      <c r="BJ9" s="145">
        <f>IF(AND($BE9=1,$BG9=0),$BC9,"")</f>
        <v/>
      </c>
      <c r="BL9" s="143" t="inlineStr">
        <is>
          <t>Recuo (Média)</t>
        </is>
      </c>
      <c r="BM9" s="143" t="inlineStr">
        <is>
          <t>Recuo</t>
        </is>
      </c>
      <c r="BN9" s="145" t="n">
        <v>2</v>
      </c>
      <c r="BO9" s="145" t="n">
        <v>0</v>
      </c>
      <c r="BP9" s="143" t="inlineStr"/>
      <c r="BR9" s="143" t="inlineStr">
        <is>
          <t>Recomposição</t>
        </is>
      </c>
      <c r="BS9" s="145" t="n">
        <v>2</v>
      </c>
      <c r="BT9" s="143" t="inlineStr">
        <is>
          <t>Uma vez por descanso curto, use Ação Padrão para recuperar 5 × sua maior Classe em pontos de vida, até sua vida máxima. Não gasta PE. Recuperar vida não remove condições por conta própria.</t>
        </is>
      </c>
      <c r="BU9" s="145" t="n">
        <v>1</v>
      </c>
      <c r="BV9" s="145" t="n">
        <v>0</v>
      </c>
      <c r="BW9" s="145">
        <f>IF(OR(AND($A$2&lt;=2,$BU9=1),AND($A$2&gt;=2,$BV9=1)),$BR9,"")</f>
        <v/>
      </c>
      <c r="BX9" s="143" t="inlineStr">
        <is>
          <t>Uma vez por descanso curto, use Ação Padrão para recuperar 5 × sua maior Classe em pontos de vida, até sua vida máxima. Não gasta PE. Recuperar vida não remove condições por conta própria.</t>
        </is>
      </c>
      <c r="CC9" s="143" t="inlineStr">
        <is>
          <t>Kokusen Constante</t>
        </is>
      </c>
      <c r="CD9" s="143" t="inlineStr">
        <is>
          <t>Refino 5</t>
        </is>
      </c>
      <c r="CE9" s="143" t="inlineStr">
        <is>
          <t>—</t>
        </is>
      </c>
      <c r="CF9" s="143" t="inlineStr">
        <is>
          <t>—</t>
        </is>
      </c>
      <c r="CG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45">
        <f>IF($CK9=1,"",IF($A$2=4,IF($CI9=1,$CC9,""),IF(OR($CI9=1,AND($A$2=3,$CJ9=1)),"",$CC9)))</f>
        <v/>
      </c>
      <c r="CI9" s="145" t="n">
        <v>0</v>
      </c>
      <c r="CJ9" s="145" t="n">
        <v>0</v>
      </c>
      <c r="CK9" s="145" t="n">
        <v>0</v>
      </c>
      <c r="CL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43" t="inlineStr">
        <is>
          <t>Arma de Fogo</t>
        </is>
      </c>
      <c r="CU9" s="145" t="n">
        <v>0</v>
      </c>
      <c r="CV9" s="145" t="n">
        <v>1</v>
      </c>
      <c r="CW9" s="145">
        <f>IF(AND($A$2&gt;=3,'FICHA AMALDIÇOADA'!$J$16&amp;""="Três grupos de arma"),$CT9,"")</f>
        <v/>
      </c>
      <c r="DV9" s="143" t="inlineStr">
        <is>
          <t>Feitiço 8</t>
        </is>
      </c>
      <c r="DW9" s="145" t="n">
        <v>0</v>
      </c>
      <c r="DX9" s="145" t="n">
        <v>8</v>
      </c>
      <c r="DY9" s="145">
        <f>MAX(1,MIN(7,N('FICHA AMALDIÇOADA'!$J$93)))</f>
        <v/>
      </c>
      <c r="DZ9" s="145">
        <f>'FICHA AMALDIÇOADA'!$K$93&amp;""</f>
        <v/>
      </c>
      <c r="EA9" s="145">
        <f>'FICHA AMALDIÇOADA'!$J$100&amp;""</f>
        <v/>
      </c>
      <c r="EB9" s="145">
        <f>'FICHA AMALDIÇOADA'!$K$102&amp;""</f>
        <v/>
      </c>
      <c r="EC9" s="145">
        <f>'FICHA AMALDIÇOADA'!$K$103&amp;""</f>
        <v/>
      </c>
      <c r="ED9" s="145">
        <f>'FICHA AMALDIÇOADA'!$K$104&amp;""</f>
        <v/>
      </c>
      <c r="EE9" s="145">
        <f>'FICHA AMALDIÇOADA'!$K$105&amp;""</f>
        <v/>
      </c>
      <c r="EF9" s="145">
        <f>'FICHA AMALDIÇOADA'!$K$106&amp;""</f>
        <v/>
      </c>
      <c r="EG9" s="145">
        <f>'FICHA AMALDIÇOADA'!$K$107&amp;""</f>
        <v/>
      </c>
      <c r="EH9" s="145">
        <f>IF($DZ9&lt;&gt;"",1,0)</f>
        <v/>
      </c>
      <c r="EI9" s="145">
        <f>IFERROR(MATCH($EA9,$Y$2:$Y$11,0),0)</f>
        <v/>
      </c>
      <c r="EJ9" s="145">
        <f>IF($EI9=0,0,INDEX($AB$2:$AB$11,$EI9))</f>
        <v/>
      </c>
      <c r="EK9" s="145">
        <f>IFERROR(VLOOKUP($EB9,$BC$2:$BJ$84,4,FALSE),0)</f>
        <v/>
      </c>
      <c r="EL9" s="145">
        <f>IFERROR(VLOOKUP($EC9,$BC$2:$BJ$84,4,FALSE),0)</f>
        <v/>
      </c>
      <c r="EM9" s="145">
        <f>IFERROR(VLOOKUP($ED9,$BC$2:$BJ$84,4,FALSE),0)</f>
        <v/>
      </c>
      <c r="EN9" s="145">
        <f>IFERROR(VLOOKUP($EE9,$BC$2:$BJ$84,4,FALSE),0)</f>
        <v/>
      </c>
      <c r="EO9" s="145">
        <f>IF($EI9=0,0,INDEX($AC$2:$AC$11,$EI9))</f>
        <v/>
      </c>
      <c r="EP9" s="145">
        <f>IFERROR(VLOOKUP($EB9,$BC$2:$BJ$84,5,FALSE),0)</f>
        <v/>
      </c>
      <c r="EQ9" s="145">
        <f>IFERROR(VLOOKUP($EC9,$BC$2:$BJ$84,5,FALSE),0)</f>
        <v/>
      </c>
      <c r="ER9" s="145">
        <f>IFERROR(VLOOKUP($ED9,$BC$2:$BJ$84,5,FALSE),0)</f>
        <v/>
      </c>
      <c r="ES9" s="145">
        <f>IFERROR(VLOOKUP($EE9,$BC$2:$BJ$84,5,FALSE),0)</f>
        <v/>
      </c>
      <c r="ET9" s="145">
        <f>IFERROR(VLOOKUP($EB9,$BC$2:$BJ$84,6,FALSE),0)+IFERROR(VLOOKUP($EC9,$BC$2:$BJ$84,6,FALSE),0)+IFERROR(VLOOKUP($ED9,$BC$2:$BJ$84,6,FALSE),0)+IFERROR(VLOOKUP($EE9,$BC$2:$BJ$84,6,FALSE),0)</f>
        <v/>
      </c>
      <c r="EU9" s="145">
        <f>IF($EI9=0,0,INDEX($AD$2:$AD$11,$EI9))</f>
        <v/>
      </c>
      <c r="EV9" s="145">
        <f>IF($EI9=0,0,INDEX($AE$2:$AE$11,$EI9))</f>
        <v/>
      </c>
      <c r="EW9" s="145">
        <f>IF($EI9=0,0,INDEX($AG$2:$AG$11,$EI9))</f>
        <v/>
      </c>
      <c r="EX9" s="145">
        <f>IFERROR(VLOOKUP($EF9,$BL$2:$BP$24,3,FALSE),0)</f>
        <v/>
      </c>
      <c r="EY9" s="145">
        <f>IFERROR(VLOOKUP($EG9,$BL$2:$BP$24,3,FALSE),0)</f>
        <v/>
      </c>
      <c r="EZ9" s="145">
        <f>IFERROR(VLOOKUP($EF9,$BL$2:$BP$24,2,FALSE),"")</f>
        <v/>
      </c>
      <c r="FA9" s="145">
        <f>IFERROR(VLOOKUP($EG9,$BL$2:$BP$24,2,FALSE),"")</f>
        <v/>
      </c>
      <c r="FB9" s="145">
        <f>COUNTIF($EJ9:$EN9,1)</f>
        <v/>
      </c>
      <c r="FC9" s="145">
        <f>COUNTIF($EJ9:$EN9,2)</f>
        <v/>
      </c>
      <c r="FD9" s="145">
        <f>COUNTIF($EJ9:$EN9,3)</f>
        <v/>
      </c>
      <c r="FE9" s="145">
        <f>COUNTIF($EJ9:$EN9,4)</f>
        <v/>
      </c>
      <c r="FF9" s="145">
        <f>COUNTIF($EJ9:$EN9,5)</f>
        <v/>
      </c>
      <c r="FG9" s="145">
        <f>COUNTIF($EJ9:$EN9,6)</f>
        <v/>
      </c>
      <c r="FH9" s="145">
        <f>COUNTIF($EX9:$EY9,1)</f>
        <v/>
      </c>
      <c r="FI9" s="145">
        <f>COUNTIF($EX9:$EY9,2)+$EU9</f>
        <v/>
      </c>
      <c r="FJ9" s="145">
        <f>COUNTIF($EB9:$EE9,"?*")</f>
        <v/>
      </c>
      <c r="FK9" s="145">
        <f>COUNTIF($EF9:$EG9,"?*")+$EU9</f>
        <v/>
      </c>
      <c r="FL9" s="145">
        <f>SUMPRODUCT($FB9:$FG9,INDEX($Q$2:$V$8,$DY9,0))</f>
        <v/>
      </c>
      <c r="FM9" s="145">
        <f>$FH9*CEILING($DY9/2,1)+$FI9*$DY9</f>
        <v/>
      </c>
      <c r="FN9" s="145">
        <f>MIN(2*$DY9,$FM9)</f>
        <v/>
      </c>
      <c r="FO9" s="145">
        <f>MIN($FN9,$FL9)</f>
        <v/>
      </c>
      <c r="FP9" s="145">
        <f>$FN9-$FO9</f>
        <v/>
      </c>
      <c r="FQ9" s="145">
        <f>3*$DY9-$FL9+$FO9</f>
        <v/>
      </c>
      <c r="FR9" s="145">
        <f>MAX(0,$FQ9)+$DW9*$DY9</f>
        <v/>
      </c>
      <c r="FS9" s="145">
        <f>(IF(COUNTIF($EB9:$EE9,"Salto")&gt;0,1,0)+IF(COUNTIF($EB9:$EE9,"Queima")&gt;0,1,0)+IF(COUNTIF($EB9:$EE9,"Estilhaço")&gt;0,1,0))*FLOOR($FR9/2,1)</f>
        <v/>
      </c>
      <c r="FT9" s="145">
        <f>MAX(0,3-SUMPRODUCT($FB9:$FG9,$Q$2:$V$2)+MIN(2,$FH9*1+$FI9*1,SUMPRODUCT($FB9:$FG9,$Q$2:$V$2)))+$DW9*1</f>
        <v/>
      </c>
      <c r="FU9" s="145">
        <f>MAX(0,6-SUMPRODUCT($FB9:$FG9,$Q$3:$V$3)+MIN(4,$FH9*1+$FI9*2,SUMPRODUCT($FB9:$FG9,$Q$3:$V$3)))+$DW9*2</f>
        <v/>
      </c>
      <c r="FV9" s="145">
        <f>MAX(0,9-SUMPRODUCT($FB9:$FG9,$Q$4:$V$4)+MIN(6,$FH9*2+$FI9*3,SUMPRODUCT($FB9:$FG9,$Q$4:$V$4)))+$DW9*3</f>
        <v/>
      </c>
      <c r="FW9" s="145">
        <f>MAX(0,12-SUMPRODUCT($FB9:$FG9,$Q$5:$V$5)+MIN(8,$FH9*2+$FI9*4,SUMPRODUCT($FB9:$FG9,$Q$5:$V$5)))+$DW9*4</f>
        <v/>
      </c>
      <c r="FX9" s="145">
        <f>MAX(0,15-SUMPRODUCT($FB9:$FG9,$Q$6:$V$6)+MIN(10,$FH9*3+$FI9*5,SUMPRODUCT($FB9:$FG9,$Q$6:$V$6)))+$DW9*5</f>
        <v/>
      </c>
      <c r="FY9" s="145">
        <f>MAX(0,18-SUMPRODUCT($FB9:$FG9,$Q$7:$V$7)+MIN(12,$FH9*3+$FI9*6,SUMPRODUCT($FB9:$FG9,$Q$7:$V$7)))+$DW9*6</f>
        <v/>
      </c>
      <c r="FZ9" s="145">
        <f>MAX(0,21-SUMPRODUCT($FB9:$FG9,$Q$8:$V$8)+MIN(14,$FH9*4+$FI9*7,SUMPRODUCT($FB9:$FG9,$Q$8:$V$8)))+$DW9*7</f>
        <v/>
      </c>
      <c r="GA9" s="145">
        <f>IF($EV9=2,3*$FT9&amp;" de vida temp.",IF($EV9=3,"sem dano",IF($FT9=0,IF($EV9=1,"sem cura","sem dano"),IF($EV9=1,"cura ","")&amp;$FT9&amp;"d8")))</f>
        <v/>
      </c>
      <c r="GB9" s="145">
        <f>IF($EV9=2,3*$FU9&amp;" de vida temp.",IF($EV9=3,"sem dano",IF($FU9=0,IF($EV9=1,"sem cura","sem dano"),IF($EV9=1,"cura ","")&amp;$FU9&amp;"d8")))</f>
        <v/>
      </c>
      <c r="GC9" s="145">
        <f>IF($EV9=2,3*$FV9&amp;" de vida temp.",IF($EV9=3,"sem dano",IF($FV9=0,IF($EV9=1,"sem cura","sem dano"),IF($EV9=1,"cura ","")&amp;$FV9&amp;"d8")))</f>
        <v/>
      </c>
      <c r="GD9" s="145">
        <f>IF($EV9=2,3*$FW9&amp;" de vida temp.",IF($EV9=3,"sem dano",IF($FW9=0,IF($EV9=1,"sem cura","sem dano"),IF($EV9=1,"cura ","")&amp;$FW9&amp;"d8")))</f>
        <v/>
      </c>
      <c r="GE9" s="145">
        <f>IF($EV9=2,3*$FX9&amp;" de vida temp.",IF($EV9=3,"sem dano",IF($FX9=0,IF($EV9=1,"sem cura","sem dano"),IF($EV9=1,"cura ","")&amp;$FX9&amp;"d8")))</f>
        <v/>
      </c>
      <c r="GF9" s="145">
        <f>IF($EV9=2,3*$FY9&amp;" de vida temp.",IF($EV9=3,"sem dano",IF($FY9=0,IF($EV9=1,"sem cura","sem dano"),IF($EV9=1,"cura ","")&amp;$FY9&amp;"d8")))</f>
        <v/>
      </c>
      <c r="GG9" s="145">
        <f>IF($EV9=2,3*$FZ9&amp;" de vida temp.",IF($EV9=3,"sem dano",IF($FZ9=0,IF($EV9=1,"sem cura","sem dano"),IF($EV9=1,"cura ","")&amp;$FZ9&amp;"d8")))</f>
        <v/>
      </c>
      <c r="GH9" s="145">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45">
        <f>IF($GH9="",0,(LEN($GH9)-LEN(SUBSTITUTE($GH9," · ","")))/3+1)</f>
        <v/>
      </c>
      <c r="GJ9" s="145">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45">
        <f>IF($GJ9="",0,(LEN($GJ9)-LEN(SUBSTITUTE($GJ9," · ","")))/3+1)</f>
        <v/>
      </c>
      <c r="GL9" s="145">
        <f>IF($EH9=0,IF($FJ9+$FK9-$EU9&gt;0,"Dê um nome",""),IF($GI9&gt;0,"⚠ "&amp;$GI9&amp;IF($GI9&gt;1," erros"," erro"),IF($GK9&gt;0,"! "&amp;$GK9&amp;IF($GK9&gt;1," avisos"," aviso"),"Na regra")))</f>
        <v/>
      </c>
      <c r="GM9" s="145">
        <f>IF($EH9=0,"",IF($GI9+$GK9=0,"Dentro das regras que a ficha confere",$GH9&amp;IF(AND($GI9&gt;0,$GK9&gt;0)," · ","")&amp;$GJ9))</f>
        <v/>
      </c>
      <c r="GN9" s="145">
        <f>IF($EH9=0,"",IF($DW9=1,CEILING(4.5*$DY9,1),3*$DY9)&amp;" PE")</f>
        <v/>
      </c>
      <c r="GO9" s="145">
        <f>IF($EH9=0,"",IF($DW9=1,"Rodada inteira",IF(COUNTIF($EZ9:$FA9,"Atrasar")&gt;0,IF(COUNTIF($EZ9:$FA9,"Carregar")&gt;0,"Rodada +1 turno","Rodada inteira"),IF(COUNTIF($EB9:$EE9,"Rápido")&gt;0,"Bônus",IF(COUNTIF($EB9:$EE9,"Reação")&gt;0,"Reação","Padrão"))&amp;IF(COUNTIF($EZ9:$FA9,"Carregar")&gt;0," +1 turno",""))))</f>
        <v/>
      </c>
      <c r="GP9" s="145">
        <f>IF(OR($EH9=0,$EI9=0),"",IF(COUNTIF($EB9:$EE9,"Inescapável")&gt;0,"Automático",IF(COUNTIF($EB9:$EE9,"Certeiro")&gt;0,"TR para metade",INDEX($AF$2:$AF$11,$EI9))))</f>
        <v/>
      </c>
      <c r="GQ9" s="145">
        <f>IF(OR($EH9=0,$EI9=0),"",IF(OR($EV9&gt;=2,$FR9=0),UPPER(LEFT(INDEX($GA9:$GG9,1,$DY9),1))&amp;MID(INDEX($GA9:$GG9,1,$DY9),2,99),UPPER(LEFT(INDEX($GA9:$GG9,1,$DY9),1))&amp;MID(INDEX($GA9:$GG9,1,$DY9),2,99)&amp;" = "&amp;FLOOR($FR9*4.5,1)&amp;IF($FS9&gt;0," · +"&amp;$FS9&amp;"d8","")))</f>
        <v/>
      </c>
      <c r="GR9" s="145">
        <f>COUNTIF($EB9:$EE9,"Longe")+3*COUNTIF($EB9:$EE9,"Muito Longe")</f>
        <v/>
      </c>
      <c r="GS9" s="145">
        <f>COUNTIF($EB9:$EE9,"Maior")+3*COUNTIF($EB9:$EE9,"Muito Maior")</f>
        <v/>
      </c>
      <c r="GT9" s="145">
        <f>IF($EI9=0,0,CHOOSE(1+INDEX($AH$2:$AH$11,$EI9),0,$GR9,$GS9,$GR9+$GS9))</f>
        <v/>
      </c>
      <c r="GU9" s="145">
        <f>IF($EI9=0,0,CHOOSE(1+INDEX($AI$2:$AI$11,$EI9),0,$GR9,$GS9,$GR9+$GS9))</f>
        <v/>
      </c>
      <c r="GV9" s="145">
        <f>IF(OR($EH9=0,$EI9=0),"",INDEX($AP$2:$AU$31,($EI9-1)*3+IF($DY9&gt;=6,3,2),1+MIN(5,$GT9))&amp;INDEX($AV$2:$BA$31,($EI9-1)*3+IF($DY9&gt;=6,3,2),1+MIN(5,$GU9))&amp;IF(INDEX($AJ$2:$AJ$11,$EI9)=1,IF(COUNTIF($EB9:$EE9,"Mais Um")&gt;0," · +"&amp;COUNTIF($EB9:$EE9,"Mais Um")&amp;IF(COUNTIF($EB9:$EE9,"Mais Um")&gt;1," alvos"," alvo"),"")&amp;IF(COUNTIF($EB9:$EE9,"Rajada")&gt;0," · "&amp;($DY9+1)&amp;" tiros",""),""))</f>
        <v/>
      </c>
      <c r="GW9" s="145">
        <f>IF($EH9=0,"",3*$DY9&amp;" − "&amp;$FL9&amp;" + "&amp;$FO9&amp;IF($DW9=1," + "&amp;$DY9,"")&amp;" = "&amp;$FR9&amp;"d8 · teto "&amp;4*$DY9&amp;IF($EU9=1," · a Forma devolve "&amp;$DY9,"")&amp;IF($FP9&gt;0," · perde "&amp;$FP9,""))</f>
        <v/>
      </c>
      <c r="GX9" s="145">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5">
        <f>IF(OR($EH9=0,$EK9=0),"","−"&amp;INDEX($Q$2:$V$8,$DY9,$EK9)&amp;" · "&amp;CHOOSE($EK9,"Leve","Média","Pesada","Leve · Livre","Média · Livre","Pesada · Livre"))</f>
        <v/>
      </c>
      <c r="GZ9" s="145">
        <f>IF(OR($EH9=0,$EL9=0),"","−"&amp;INDEX($Q$2:$V$8,$DY9,$EL9)&amp;" · "&amp;CHOOSE($EL9,"Leve","Média","Pesada","Leve · Livre","Média · Livre","Pesada · Livre"))</f>
        <v/>
      </c>
      <c r="HA9" s="145">
        <f>IF(OR($EH9=0,$EM9=0),"","−"&amp;INDEX($Q$2:$V$8,$DY9,$EM9)&amp;" · "&amp;CHOOSE($EM9,"Leve","Média","Pesada","Leve · Livre","Média · Livre","Pesada · Livre"))</f>
        <v/>
      </c>
      <c r="HB9" s="145">
        <f>IF(OR($EH9=0,$EN9=0),"","−"&amp;INDEX($Q$2:$V$8,$DY9,$EN9)&amp;" · "&amp;CHOOSE($EN9,"Leve","Média","Pesada","Leve · Livre","Média · Livre","Pesada · Livre"))</f>
        <v/>
      </c>
      <c r="HC9" s="145">
        <f>IF(OR($EH9=0,$EF9=""),"","+"&amp;IF($EX9=1,CEILING($DY9/2,1),$DY9))</f>
        <v/>
      </c>
      <c r="HD9" s="145">
        <f>IF(OR($EH9=0,$EG9=""),"","+"&amp;IF($EY9=1,CEILING($DY9/2,1),$DY9))</f>
        <v/>
      </c>
      <c r="HE9" s="145">
        <f>'FICHA AMALDIÇOADA'!$J$95&amp;""</f>
        <v/>
      </c>
      <c r="HF9" s="145">
        <f>IF(AND($EH9=1,$DW9=0),COUNTIFS($EH$2:$EH9,1,$DW$2:$DW9,0),"")</f>
        <v/>
      </c>
      <c r="HH9" s="143" t="inlineStr">
        <is>
          <t>liberações</t>
        </is>
      </c>
      <c r="HI9" s="145">
        <f>COUNTIF($DC$2:$DC$4,"&lt;="&amp;$HI$2)</f>
        <v/>
      </c>
      <c r="HK9" s="143" t="inlineStr">
        <is>
          <t>Talento 8 · Leque</t>
        </is>
      </c>
      <c r="HL9" s="145">
        <f>'FICHA AMALDIÇOADA'!$P$397&amp;""</f>
        <v/>
      </c>
      <c r="HM9" s="145">
        <f>IFERROR(VLOOKUP($HL9,$BR$2:$BX$24,2,FALSE),0)</f>
        <v/>
      </c>
      <c r="HN9" s="145">
        <f>IFERROR(VLOOKUP($HM9,$BZ$2:$CA$4,2,FALSE),0)</f>
        <v/>
      </c>
      <c r="HO9" s="145">
        <f>IFERROR(VLOOKUP($HL9,$BR$2:$BX$24,3,FALSE),"")</f>
        <v/>
      </c>
      <c r="HP9" s="145">
        <f>IF($HM9=0,"",IF($HN9&gt;$HI$2,"⚠ Nível "&amp;$HN9,"CE "&amp;$HM9))</f>
        <v/>
      </c>
      <c r="HQ9" s="145">
        <f>IF($HM9=0,"",IF(3&gt;$HI$8,"⚠ Vaga","Grátis"))</f>
        <v/>
      </c>
      <c r="HR9" s="145">
        <f>'FICHA AMALDIÇOADA'!$Q$402&amp;""</f>
        <v/>
      </c>
      <c r="HS9" s="145">
        <f>IF($HL9="","",COUNTIF($HL$2:$HL9,"?*"))</f>
        <v/>
      </c>
      <c r="HU9" s="143" t="inlineStr">
        <is>
          <t>Aptidão 8</t>
        </is>
      </c>
      <c r="HV9" s="145">
        <f>'FICHA AMALDIÇOADA'!$J$472&amp;""</f>
        <v/>
      </c>
      <c r="HW9" s="145">
        <f>IF($HV9="","","Requisito: "&amp;IFERROR(VLOOKUP($HV9,$CC$2:$CL$33,2,FALSE),""))</f>
        <v/>
      </c>
      <c r="HX9" s="145">
        <f>IF($HV9="","",IFERROR(IF(ISNUMBER(VLOOKUP($HV9,$CC$2:$CL$33,3,FALSE)),"CE "&amp;VLOOKUP($HV9,$CC$2:$CL$33,3,FALSE),VLOOKUP($HV9,$CC$2:$CL$33,3,FALSE)),""))</f>
        <v/>
      </c>
      <c r="HY9" s="145">
        <f>IF($HV9="","",IFERROR(VLOOKUP($HV9,$CC$2:$CL$33,4,FALSE),""))</f>
        <v/>
      </c>
      <c r="HZ9" s="145">
        <f>IF($HV9="","",IFERROR(VLOOKUP($HV9,$CC$2:$CL$33,5,FALSE),""))</f>
        <v/>
      </c>
      <c r="IA9" s="145">
        <f>'FICHA AMALDIÇOADA'!$K$489&amp;""</f>
        <v/>
      </c>
      <c r="IB9" s="145">
        <f>IF($HV9="","",COUNTIF($HV$2:$HV9,"?*"))</f>
        <v/>
      </c>
      <c r="IM9" s="143" t="inlineStr">
        <is>
          <t>Talentos</t>
        </is>
      </c>
      <c r="IN9" s="145">
        <f>ADDRESS(ROW('FICHA AMALDIÇOADA'!M7),COLUMN('FICHA AMALDIÇOADA'!M7),4)</f>
        <v/>
      </c>
      <c r="IO9" s="145">
        <f>ADDRESS(ROW('FICHA AMALDIÇOADA'!D376),COLUMN('FICHA AMALDIÇOADA'!D376),4)</f>
        <v/>
      </c>
      <c r="IP9" s="143" t="inlineStr">
        <is>
          <t>DADOS_AM!$IM$9</t>
        </is>
      </c>
      <c r="IR9" s="143" t="inlineStr">
        <is>
          <t>Trilha 19</t>
        </is>
      </c>
      <c r="IS9" s="145" t="n">
        <v>19</v>
      </c>
      <c r="IT9" s="145">
        <f>IF($HI$2&gt;=19,"Nível 19","Abre no 19")</f>
        <v/>
      </c>
      <c r="IU9" s="145">
        <f>ADDRESS(ROW(FICHA!G141),COLUMN(FICHA!G141),4)</f>
        <v/>
      </c>
      <c r="IV9" s="145">
        <f>ADDRESS(ROW(FICHA!D142),COLUMN(FICHA!D142),4)</f>
        <v/>
      </c>
      <c r="JD9" s="145" t="n">
        <v>8</v>
      </c>
      <c r="JE9" s="145">
        <f>IFERROR(MATCH(8,$HF$2:$HF$37,0),0)</f>
        <v/>
      </c>
      <c r="JF9" s="145">
        <f>IF($JE9=0,"",INDEX($DY$2:$DY$37,$JE9))</f>
        <v/>
      </c>
      <c r="JG9" s="145">
        <f>IF($JE9=0,"",INDEX($DZ$2:$DZ$37,$JE9))</f>
        <v/>
      </c>
      <c r="JH9" s="145">
        <f>IF($JE9=0,"",INDEX($GN$2:$GN$37,$JE9))</f>
        <v/>
      </c>
      <c r="JI9" s="145">
        <f>IF($JE9=0,"",INDEX($EA$2:$EA$37,$JE9))</f>
        <v/>
      </c>
      <c r="JJ9" s="145">
        <f>IF($JE9=0,"",INDEX($GP$2:$GP$37,$JE9))</f>
        <v/>
      </c>
      <c r="JK9" s="145">
        <f>IF($JE9=0,"",INDEX($HE$2:$HE$37,$JE9))</f>
        <v/>
      </c>
      <c r="KB9" s="143" t="inlineStr">
        <is>
          <t>Talento 6</t>
        </is>
      </c>
      <c r="KC9" s="145">
        <f>IFERROR(MATCH(6,$HS$2:$HS$13,0),0)</f>
        <v/>
      </c>
      <c r="KD9" s="145">
        <f>IF($KC9=0,"",IF(INDEX($HM$2:$HM$13,$KC9)=0,"","CE "&amp;INDEX($HM$2:$HM$13,$KC9)))</f>
        <v/>
      </c>
      <c r="KE9" s="145">
        <f>IF($KC9=0,"",INDEX($HL$2:$HL$13,$KC9))</f>
        <v/>
      </c>
      <c r="KF9" s="145">
        <f>IF($KC9=0,"",IF(INDEX($HR$2:$HR$13,$KC9)&lt;&gt;"",INDEX($HR$2:$HR$13,$KC9),IF(IFERROR(VLOOKUP(INDEX($HL$2:$HL$13,$KC9),$BR$2:$BX$24,7,FALSE),"")&lt;&gt;"","Do livro: "&amp;IFERROR(VLOOKUP(INDEX($HL$2:$HL$13,$KC9),$BR$2:$BX$24,7,FALSE),""),"")))</f>
        <v/>
      </c>
      <c r="KH9" s="143" t="inlineStr">
        <is>
          <t>Aptidão 6</t>
        </is>
      </c>
      <c r="KI9" s="145">
        <f>IFERROR(MATCH(6,$IB$2:$IB$13,0),0)</f>
        <v/>
      </c>
      <c r="KJ9" s="145">
        <f>IF($KI9=0,"",INDEX($HX$2:$HX$13,$KI9))</f>
        <v/>
      </c>
      <c r="KK9" s="145">
        <f>IF($KI9=0,"",INDEX($HV$2:$HV$13,$KI9))</f>
        <v/>
      </c>
      <c r="KL9" s="145">
        <f>IF($KI9=0,"",IF(INDEX($IA$2:$IA$13,$KI9)&lt;&gt;"",INDEX($IA$2:$IA$13,$KI9),IF(IFERROR(VLOOKUP(INDEX($HV$2:$HV$13,$KI9),$CC$2:$CL$33,10,FALSE),"")&lt;&gt;"","Do livro: "&amp;IFERROR(VLOOKUP(INDEX($HV$2:$HV$13,$KI9),$CC$2:$CL$33,10,FALSE),""),"")))</f>
        <v/>
      </c>
      <c r="KN9" s="143" t="inlineStr">
        <is>
          <t>tag dom</t>
        </is>
      </c>
      <c r="KO9" s="145">
        <f>"Dom"</f>
        <v/>
      </c>
      <c r="KQ9" s="143" t="inlineStr">
        <is>
          <t>P16</t>
        </is>
      </c>
      <c r="KR9" s="145">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10">
      <c r="C10" s="143" t="inlineStr">
        <is>
          <t>graça 2</t>
        </is>
      </c>
      <c r="D10" s="143" t="inlineStr">
        <is>
          <t>Canalizar Energia</t>
        </is>
      </c>
      <c r="E10" s="143" t="inlineStr">
        <is>
          <t>Canalizar Energia</t>
        </is>
      </c>
      <c r="F10" s="143" t="inlineStr">
        <is>
          <t>Canalizar Energia</t>
        </is>
      </c>
      <c r="G10" s="143" t="inlineStr">
        <is>
          <t>Estímulo Muscular</t>
        </is>
      </c>
      <c r="I10" s="143" t="inlineStr">
        <is>
          <t>Amparo</t>
        </is>
      </c>
      <c r="J10" s="145">
        <f>'FICHA AMALDIÇOADA'!$P$37&amp;""</f>
        <v/>
      </c>
      <c r="K10" s="145">
        <f>IF($J10="Livre",1,0)</f>
        <v/>
      </c>
      <c r="L10" s="145">
        <f>IF($J10="Fechada",1,0)</f>
        <v/>
      </c>
      <c r="Y10" s="143" t="inlineStr">
        <is>
          <t>Onda</t>
        </is>
      </c>
      <c r="Z10" s="143" t="inlineStr">
        <is>
          <t>Amparo</t>
        </is>
      </c>
      <c r="AA10" s="145" t="n">
        <v>3</v>
      </c>
      <c r="AB10" s="145">
        <f>IF($AA10=0,0,$AA10+3*IFERROR(VLOOKUP($Z10,$I$2:$L$10,3,FALSE),0))</f>
        <v/>
      </c>
      <c r="AC10" s="145">
        <f>IFERROR(VLOOKUP($Z10,$I$2:$L$10,4,FALSE),0)</f>
        <v/>
      </c>
      <c r="AD10" s="145" t="n">
        <v>0</v>
      </c>
      <c r="AE10" s="145" t="n">
        <v>1</v>
      </c>
      <c r="AF10" s="143" t="inlineStr">
        <is>
          <t>Automático</t>
        </is>
      </c>
      <c r="AG10" s="145" t="n">
        <v>0</v>
      </c>
      <c r="AH10" s="145" t="n">
        <v>2</v>
      </c>
      <c r="AI10" s="145" t="n">
        <v>0</v>
      </c>
      <c r="AJ10" s="145" t="n">
        <v>0</v>
      </c>
      <c r="AK10" s="145" t="n">
        <v>0</v>
      </c>
      <c r="AL10" s="145">
        <f>IF($AC10=1,"",$Y10)</f>
        <v/>
      </c>
      <c r="AM10" s="145">
        <f>IF(AND($AK10=1,$AC10=0),$Y10,"")</f>
        <v/>
      </c>
      <c r="AO10" s="143" t="inlineStr">
        <is>
          <t>Explosão · classes 6 e 7</t>
        </is>
      </c>
      <c r="AP10" s="143" t="inlineStr">
        <is>
          <t>Raio 4,5 m</t>
        </is>
      </c>
      <c r="AQ10" s="143" t="inlineStr">
        <is>
          <t>Raio 6 m</t>
        </is>
      </c>
      <c r="AR10" s="143" t="inlineStr">
        <is>
          <t>Raio 9 m</t>
        </is>
      </c>
      <c r="AS10" s="143" t="inlineStr">
        <is>
          <t>Raio 15 m</t>
        </is>
      </c>
      <c r="AT10" s="143" t="inlineStr">
        <is>
          <t>Raio 15 m</t>
        </is>
      </c>
      <c r="AU10" s="143" t="inlineStr">
        <is>
          <t>Raio 15 m</t>
        </is>
      </c>
      <c r="AV10" s="143" t="inlineStr">
        <is>
          <t>, a 36 m</t>
        </is>
      </c>
      <c r="AW10" s="143" t="inlineStr">
        <is>
          <t>, a 90 m</t>
        </is>
      </c>
      <c r="AX10" s="143" t="inlineStr">
        <is>
          <t>, a visão a olho nu</t>
        </is>
      </c>
      <c r="AY10" s="143" t="inlineStr">
        <is>
          <t>, a visão a olho nu</t>
        </is>
      </c>
      <c r="AZ10" s="143" t="inlineStr">
        <is>
          <t>, a visão a olho nu</t>
        </is>
      </c>
      <c r="BA10" s="143" t="inlineStr">
        <is>
          <t>, a visão a olho nu</t>
        </is>
      </c>
      <c r="BC10" s="143" t="inlineStr">
        <is>
          <t>Muito Maior</t>
        </is>
      </c>
      <c r="BD10" s="143" t="inlineStr">
        <is>
          <t>Área</t>
        </is>
      </c>
      <c r="BE10" s="145" t="n">
        <v>3</v>
      </c>
      <c r="BF10" s="145">
        <f>$BE10+3*IFERROR(VLOOKUP($BD10,$I$2:$L$10,3,FALSE),0)</f>
        <v/>
      </c>
      <c r="BG10" s="145">
        <f>IFERROR(VLOOKUP($BD10,$I$2:$L$10,4,FALSE),0)</f>
        <v/>
      </c>
      <c r="BH10" s="145" t="n">
        <v>0</v>
      </c>
      <c r="BI10" s="145">
        <f>IF($BG10=1,"",$BC10)</f>
        <v/>
      </c>
      <c r="BJ10" s="145">
        <f>IF(AND($BE10=1,$BG10=0),$BC10,"")</f>
        <v/>
      </c>
      <c r="BL10" s="143" t="inlineStr">
        <is>
          <t>Fraqueza (Leve)</t>
        </is>
      </c>
      <c r="BM10" s="143" t="inlineStr">
        <is>
          <t>Fraqueza</t>
        </is>
      </c>
      <c r="BN10" s="145" t="n">
        <v>1</v>
      </c>
      <c r="BO10" s="145" t="n">
        <v>0</v>
      </c>
      <c r="BP10" s="143" t="inlineStr">
        <is>
          <t>Fraqueza (Leve)</t>
        </is>
      </c>
      <c r="BR10" s="143" t="inlineStr">
        <is>
          <t>Segunda Natureza</t>
        </is>
      </c>
      <c r="BS10" s="145" t="n">
        <v>2</v>
      </c>
      <c r="BT10" s="143" t="inlineStr">
        <is>
          <t>Uma vez por dia, você pode conjurar um feitiço conhecido de Classe até metade da sua maior Classe, arredondada para baixo, sem pagar seu custo normal de PE. Declare o uso antes de conjurar.</t>
        </is>
      </c>
      <c r="BU10" s="145" t="n">
        <v>1</v>
      </c>
      <c r="BV10" s="145" t="n">
        <v>0</v>
      </c>
      <c r="BW10" s="145">
        <f>IF(OR(AND($A$2&lt;=2,$BU10=1),AND($A$2&gt;=2,$BV10=1)),$BR10,"")</f>
        <v/>
      </c>
      <c r="BX10" s="143" t="inlineStr">
        <is>
          <t>Uma vez por dia, você pode conjurar um feitiço conhecido de Classe até metade da sua maior Classe, arredondada para baixo, sem pagar seu custo normal de PE. Declare o uso antes de conjurar.</t>
        </is>
      </c>
      <c r="CC10" s="143" t="inlineStr">
        <is>
          <t>Cesta Oca de Vime</t>
        </is>
      </c>
      <c r="CD10" s="143" t="inlineStr">
        <is>
          <t>Ser Encarnado ou treinado em História</t>
        </is>
      </c>
      <c r="CE10" s="145" t="n">
        <v>1</v>
      </c>
      <c r="CF10" s="143" t="inlineStr">
        <is>
          <t>—</t>
        </is>
      </c>
      <c r="CG10" s="14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45">
        <f>IF($CK10=1,"",IF($A$2=4,IF($CI10=1,$CC10,""),IF(OR($CI10=1,AND($A$2=3,$CJ10=1)),"",$CC10)))</f>
        <v/>
      </c>
      <c r="CI10" s="145" t="n">
        <v>0</v>
      </c>
      <c r="CJ10" s="145" t="n">
        <v>0</v>
      </c>
      <c r="CK10" s="145" t="n">
        <v>0</v>
      </c>
      <c r="CL10" s="143" t="inlineStr">
        <is>
          <t>Você forma um símbolo com as duas mãos e cria uma barreira em volta de si.</t>
        </is>
      </c>
      <c r="CT10" s="143" t="inlineStr">
        <is>
          <t>Ceifa</t>
        </is>
      </c>
      <c r="CU10" s="145" t="n">
        <v>1</v>
      </c>
      <c r="CV10" s="145" t="n">
        <v>1</v>
      </c>
      <c r="CW10" s="145">
        <f>IF(AND($A$2&gt;=3,'FICHA AMALDIÇOADA'!$J$16&amp;""="Três grupos de arma"),$CT10,"")</f>
        <v/>
      </c>
      <c r="DV10" s="143" t="inlineStr">
        <is>
          <t>Feitiço 9</t>
        </is>
      </c>
      <c r="DW10" s="145" t="n">
        <v>0</v>
      </c>
      <c r="DX10" s="145" t="n">
        <v>9</v>
      </c>
      <c r="DY10" s="145">
        <f>MAX(1,MIN(7,N('FICHA AMALDIÇOADA'!$P$93)))</f>
        <v/>
      </c>
      <c r="DZ10" s="145">
        <f>'FICHA AMALDIÇOADA'!$Q$93&amp;""</f>
        <v/>
      </c>
      <c r="EA10" s="145">
        <f>'FICHA AMALDIÇOADA'!$P$100&amp;""</f>
        <v/>
      </c>
      <c r="EB10" s="145">
        <f>'FICHA AMALDIÇOADA'!$Q$102&amp;""</f>
        <v/>
      </c>
      <c r="EC10" s="145">
        <f>'FICHA AMALDIÇOADA'!$Q$103&amp;""</f>
        <v/>
      </c>
      <c r="ED10" s="145">
        <f>'FICHA AMALDIÇOADA'!$Q$104&amp;""</f>
        <v/>
      </c>
      <c r="EE10" s="145">
        <f>'FICHA AMALDIÇOADA'!$Q$105&amp;""</f>
        <v/>
      </c>
      <c r="EF10" s="145">
        <f>'FICHA AMALDIÇOADA'!$Q$106&amp;""</f>
        <v/>
      </c>
      <c r="EG10" s="145">
        <f>'FICHA AMALDIÇOADA'!$Q$107&amp;""</f>
        <v/>
      </c>
      <c r="EH10" s="145">
        <f>IF($DZ10&lt;&gt;"",1,0)</f>
        <v/>
      </c>
      <c r="EI10" s="145">
        <f>IFERROR(MATCH($EA10,$Y$2:$Y$11,0),0)</f>
        <v/>
      </c>
      <c r="EJ10" s="145">
        <f>IF($EI10=0,0,INDEX($AB$2:$AB$11,$EI10))</f>
        <v/>
      </c>
      <c r="EK10" s="145">
        <f>IFERROR(VLOOKUP($EB10,$BC$2:$BJ$84,4,FALSE),0)</f>
        <v/>
      </c>
      <c r="EL10" s="145">
        <f>IFERROR(VLOOKUP($EC10,$BC$2:$BJ$84,4,FALSE),0)</f>
        <v/>
      </c>
      <c r="EM10" s="145">
        <f>IFERROR(VLOOKUP($ED10,$BC$2:$BJ$84,4,FALSE),0)</f>
        <v/>
      </c>
      <c r="EN10" s="145">
        <f>IFERROR(VLOOKUP($EE10,$BC$2:$BJ$84,4,FALSE),0)</f>
        <v/>
      </c>
      <c r="EO10" s="145">
        <f>IF($EI10=0,0,INDEX($AC$2:$AC$11,$EI10))</f>
        <v/>
      </c>
      <c r="EP10" s="145">
        <f>IFERROR(VLOOKUP($EB10,$BC$2:$BJ$84,5,FALSE),0)</f>
        <v/>
      </c>
      <c r="EQ10" s="145">
        <f>IFERROR(VLOOKUP($EC10,$BC$2:$BJ$84,5,FALSE),0)</f>
        <v/>
      </c>
      <c r="ER10" s="145">
        <f>IFERROR(VLOOKUP($ED10,$BC$2:$BJ$84,5,FALSE),0)</f>
        <v/>
      </c>
      <c r="ES10" s="145">
        <f>IFERROR(VLOOKUP($EE10,$BC$2:$BJ$84,5,FALSE),0)</f>
        <v/>
      </c>
      <c r="ET10" s="145">
        <f>IFERROR(VLOOKUP($EB10,$BC$2:$BJ$84,6,FALSE),0)+IFERROR(VLOOKUP($EC10,$BC$2:$BJ$84,6,FALSE),0)+IFERROR(VLOOKUP($ED10,$BC$2:$BJ$84,6,FALSE),0)+IFERROR(VLOOKUP($EE10,$BC$2:$BJ$84,6,FALSE),0)</f>
        <v/>
      </c>
      <c r="EU10" s="145">
        <f>IF($EI10=0,0,INDEX($AD$2:$AD$11,$EI10))</f>
        <v/>
      </c>
      <c r="EV10" s="145">
        <f>IF($EI10=0,0,INDEX($AE$2:$AE$11,$EI10))</f>
        <v/>
      </c>
      <c r="EW10" s="145">
        <f>IF($EI10=0,0,INDEX($AG$2:$AG$11,$EI10))</f>
        <v/>
      </c>
      <c r="EX10" s="145">
        <f>IFERROR(VLOOKUP($EF10,$BL$2:$BP$24,3,FALSE),0)</f>
        <v/>
      </c>
      <c r="EY10" s="145">
        <f>IFERROR(VLOOKUP($EG10,$BL$2:$BP$24,3,FALSE),0)</f>
        <v/>
      </c>
      <c r="EZ10" s="145">
        <f>IFERROR(VLOOKUP($EF10,$BL$2:$BP$24,2,FALSE),"")</f>
        <v/>
      </c>
      <c r="FA10" s="145">
        <f>IFERROR(VLOOKUP($EG10,$BL$2:$BP$24,2,FALSE),"")</f>
        <v/>
      </c>
      <c r="FB10" s="145">
        <f>COUNTIF($EJ10:$EN10,1)</f>
        <v/>
      </c>
      <c r="FC10" s="145">
        <f>COUNTIF($EJ10:$EN10,2)</f>
        <v/>
      </c>
      <c r="FD10" s="145">
        <f>COUNTIF($EJ10:$EN10,3)</f>
        <v/>
      </c>
      <c r="FE10" s="145">
        <f>COUNTIF($EJ10:$EN10,4)</f>
        <v/>
      </c>
      <c r="FF10" s="145">
        <f>COUNTIF($EJ10:$EN10,5)</f>
        <v/>
      </c>
      <c r="FG10" s="145">
        <f>COUNTIF($EJ10:$EN10,6)</f>
        <v/>
      </c>
      <c r="FH10" s="145">
        <f>COUNTIF($EX10:$EY10,1)</f>
        <v/>
      </c>
      <c r="FI10" s="145">
        <f>COUNTIF($EX10:$EY10,2)+$EU10</f>
        <v/>
      </c>
      <c r="FJ10" s="145">
        <f>COUNTIF($EB10:$EE10,"?*")</f>
        <v/>
      </c>
      <c r="FK10" s="145">
        <f>COUNTIF($EF10:$EG10,"?*")+$EU10</f>
        <v/>
      </c>
      <c r="FL10" s="145">
        <f>SUMPRODUCT($FB10:$FG10,INDEX($Q$2:$V$8,$DY10,0))</f>
        <v/>
      </c>
      <c r="FM10" s="145">
        <f>$FH10*CEILING($DY10/2,1)+$FI10*$DY10</f>
        <v/>
      </c>
      <c r="FN10" s="145">
        <f>MIN(2*$DY10,$FM10)</f>
        <v/>
      </c>
      <c r="FO10" s="145">
        <f>MIN($FN10,$FL10)</f>
        <v/>
      </c>
      <c r="FP10" s="145">
        <f>$FN10-$FO10</f>
        <v/>
      </c>
      <c r="FQ10" s="145">
        <f>3*$DY10-$FL10+$FO10</f>
        <v/>
      </c>
      <c r="FR10" s="145">
        <f>MAX(0,$FQ10)+$DW10*$DY10</f>
        <v/>
      </c>
      <c r="FS10" s="145">
        <f>(IF(COUNTIF($EB10:$EE10,"Salto")&gt;0,1,0)+IF(COUNTIF($EB10:$EE10,"Queima")&gt;0,1,0)+IF(COUNTIF($EB10:$EE10,"Estilhaço")&gt;0,1,0))*FLOOR($FR10/2,1)</f>
        <v/>
      </c>
      <c r="FT10" s="145">
        <f>MAX(0,3-SUMPRODUCT($FB10:$FG10,$Q$2:$V$2)+MIN(2,$FH10*1+$FI10*1,SUMPRODUCT($FB10:$FG10,$Q$2:$V$2)))+$DW10*1</f>
        <v/>
      </c>
      <c r="FU10" s="145">
        <f>MAX(0,6-SUMPRODUCT($FB10:$FG10,$Q$3:$V$3)+MIN(4,$FH10*1+$FI10*2,SUMPRODUCT($FB10:$FG10,$Q$3:$V$3)))+$DW10*2</f>
        <v/>
      </c>
      <c r="FV10" s="145">
        <f>MAX(0,9-SUMPRODUCT($FB10:$FG10,$Q$4:$V$4)+MIN(6,$FH10*2+$FI10*3,SUMPRODUCT($FB10:$FG10,$Q$4:$V$4)))+$DW10*3</f>
        <v/>
      </c>
      <c r="FW10" s="145">
        <f>MAX(0,12-SUMPRODUCT($FB10:$FG10,$Q$5:$V$5)+MIN(8,$FH10*2+$FI10*4,SUMPRODUCT($FB10:$FG10,$Q$5:$V$5)))+$DW10*4</f>
        <v/>
      </c>
      <c r="FX10" s="145">
        <f>MAX(0,15-SUMPRODUCT($FB10:$FG10,$Q$6:$V$6)+MIN(10,$FH10*3+$FI10*5,SUMPRODUCT($FB10:$FG10,$Q$6:$V$6)))+$DW10*5</f>
        <v/>
      </c>
      <c r="FY10" s="145">
        <f>MAX(0,18-SUMPRODUCT($FB10:$FG10,$Q$7:$V$7)+MIN(12,$FH10*3+$FI10*6,SUMPRODUCT($FB10:$FG10,$Q$7:$V$7)))+$DW10*6</f>
        <v/>
      </c>
      <c r="FZ10" s="145">
        <f>MAX(0,21-SUMPRODUCT($FB10:$FG10,$Q$8:$V$8)+MIN(14,$FH10*4+$FI10*7,SUMPRODUCT($FB10:$FG10,$Q$8:$V$8)))+$DW10*7</f>
        <v/>
      </c>
      <c r="GA10" s="145">
        <f>IF($EV10=2,3*$FT10&amp;" de vida temp.",IF($EV10=3,"sem dano",IF($FT10=0,IF($EV10=1,"sem cura","sem dano"),IF($EV10=1,"cura ","")&amp;$FT10&amp;"d8")))</f>
        <v/>
      </c>
      <c r="GB10" s="145">
        <f>IF($EV10=2,3*$FU10&amp;" de vida temp.",IF($EV10=3,"sem dano",IF($FU10=0,IF($EV10=1,"sem cura","sem dano"),IF($EV10=1,"cura ","")&amp;$FU10&amp;"d8")))</f>
        <v/>
      </c>
      <c r="GC10" s="145">
        <f>IF($EV10=2,3*$FV10&amp;" de vida temp.",IF($EV10=3,"sem dano",IF($FV10=0,IF($EV10=1,"sem cura","sem dano"),IF($EV10=1,"cura ","")&amp;$FV10&amp;"d8")))</f>
        <v/>
      </c>
      <c r="GD10" s="145">
        <f>IF($EV10=2,3*$FW10&amp;" de vida temp.",IF($EV10=3,"sem dano",IF($FW10=0,IF($EV10=1,"sem cura","sem dano"),IF($EV10=1,"cura ","")&amp;$FW10&amp;"d8")))</f>
        <v/>
      </c>
      <c r="GE10" s="145">
        <f>IF($EV10=2,3*$FX10&amp;" de vida temp.",IF($EV10=3,"sem dano",IF($FX10=0,IF($EV10=1,"sem cura","sem dano"),IF($EV10=1,"cura ","")&amp;$FX10&amp;"d8")))</f>
        <v/>
      </c>
      <c r="GF10" s="145">
        <f>IF($EV10=2,3*$FY10&amp;" de vida temp.",IF($EV10=3,"sem dano",IF($FY10=0,IF($EV10=1,"sem cura","sem dano"),IF($EV10=1,"cura ","")&amp;$FY10&amp;"d8")))</f>
        <v/>
      </c>
      <c r="GG10" s="145">
        <f>IF($EV10=2,3*$FZ10&amp;" de vida temp.",IF($EV10=3,"sem dano",IF($FZ10=0,IF($EV10=1,"sem cura","sem dano"),IF($EV10=1,"cura ","")&amp;$FZ10&amp;"d8")))</f>
        <v/>
      </c>
      <c r="GH10" s="145">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45">
        <f>IF($GH10="",0,(LEN($GH10)-LEN(SUBSTITUTE($GH10," · ","")))/3+1)</f>
        <v/>
      </c>
      <c r="GJ10" s="145">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45">
        <f>IF($GJ10="",0,(LEN($GJ10)-LEN(SUBSTITUTE($GJ10," · ","")))/3+1)</f>
        <v/>
      </c>
      <c r="GL10" s="145">
        <f>IF($EH10=0,IF($FJ10+$FK10-$EU10&gt;0,"Dê um nome",""),IF($GI10&gt;0,"⚠ "&amp;$GI10&amp;IF($GI10&gt;1," erros"," erro"),IF($GK10&gt;0,"! "&amp;$GK10&amp;IF($GK10&gt;1," avisos"," aviso"),"Na regra")))</f>
        <v/>
      </c>
      <c r="GM10" s="145">
        <f>IF($EH10=0,"",IF($GI10+$GK10=0,"Dentro das regras que a ficha confere",$GH10&amp;IF(AND($GI10&gt;0,$GK10&gt;0)," · ","")&amp;$GJ10))</f>
        <v/>
      </c>
      <c r="GN10" s="145">
        <f>IF($EH10=0,"",IF($DW10=1,CEILING(4.5*$DY10,1),3*$DY10)&amp;" PE")</f>
        <v/>
      </c>
      <c r="GO10" s="145">
        <f>IF($EH10=0,"",IF($DW10=1,"Rodada inteira",IF(COUNTIF($EZ10:$FA10,"Atrasar")&gt;0,IF(COUNTIF($EZ10:$FA10,"Carregar")&gt;0,"Rodada +1 turno","Rodada inteira"),IF(COUNTIF($EB10:$EE10,"Rápido")&gt;0,"Bônus",IF(COUNTIF($EB10:$EE10,"Reação")&gt;0,"Reação","Padrão"))&amp;IF(COUNTIF($EZ10:$FA10,"Carregar")&gt;0," +1 turno",""))))</f>
        <v/>
      </c>
      <c r="GP10" s="145">
        <f>IF(OR($EH10=0,$EI10=0),"",IF(COUNTIF($EB10:$EE10,"Inescapável")&gt;0,"Automático",IF(COUNTIF($EB10:$EE10,"Certeiro")&gt;0,"TR para metade",INDEX($AF$2:$AF$11,$EI10))))</f>
        <v/>
      </c>
      <c r="GQ10" s="145">
        <f>IF(OR($EH10=0,$EI10=0),"",IF(OR($EV10&gt;=2,$FR10=0),UPPER(LEFT(INDEX($GA10:$GG10,1,$DY10),1))&amp;MID(INDEX($GA10:$GG10,1,$DY10),2,99),UPPER(LEFT(INDEX($GA10:$GG10,1,$DY10),1))&amp;MID(INDEX($GA10:$GG10,1,$DY10),2,99)&amp;" = "&amp;FLOOR($FR10*4.5,1)&amp;IF($FS10&gt;0," · +"&amp;$FS10&amp;"d8","")))</f>
        <v/>
      </c>
      <c r="GR10" s="145">
        <f>COUNTIF($EB10:$EE10,"Longe")+3*COUNTIF($EB10:$EE10,"Muito Longe")</f>
        <v/>
      </c>
      <c r="GS10" s="145">
        <f>COUNTIF($EB10:$EE10,"Maior")+3*COUNTIF($EB10:$EE10,"Muito Maior")</f>
        <v/>
      </c>
      <c r="GT10" s="145">
        <f>IF($EI10=0,0,CHOOSE(1+INDEX($AH$2:$AH$11,$EI10),0,$GR10,$GS10,$GR10+$GS10))</f>
        <v/>
      </c>
      <c r="GU10" s="145">
        <f>IF($EI10=0,0,CHOOSE(1+INDEX($AI$2:$AI$11,$EI10),0,$GR10,$GS10,$GR10+$GS10))</f>
        <v/>
      </c>
      <c r="GV10" s="145">
        <f>IF(OR($EH10=0,$EI10=0),"",INDEX($AP$2:$AU$31,($EI10-1)*3+IF($DY10&gt;=6,3,2),1+MIN(5,$GT10))&amp;INDEX($AV$2:$BA$31,($EI10-1)*3+IF($DY10&gt;=6,3,2),1+MIN(5,$GU10))&amp;IF(INDEX($AJ$2:$AJ$11,$EI10)=1,IF(COUNTIF($EB10:$EE10,"Mais Um")&gt;0," · +"&amp;COUNTIF($EB10:$EE10,"Mais Um")&amp;IF(COUNTIF($EB10:$EE10,"Mais Um")&gt;1," alvos"," alvo"),"")&amp;IF(COUNTIF($EB10:$EE10,"Rajada")&gt;0," · "&amp;($DY10+1)&amp;" tiros",""),""))</f>
        <v/>
      </c>
      <c r="GW10" s="145">
        <f>IF($EH10=0,"",3*$DY10&amp;" − "&amp;$FL10&amp;" + "&amp;$FO10&amp;IF($DW10=1," + "&amp;$DY10,"")&amp;" = "&amp;$FR10&amp;"d8 · teto "&amp;4*$DY10&amp;IF($EU10=1," · a Forma devolve "&amp;$DY10,"")&amp;IF($FP10&gt;0," · perde "&amp;$FP10,""))</f>
        <v/>
      </c>
      <c r="GX10" s="145">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5">
        <f>IF(OR($EH10=0,$EK10=0),"","−"&amp;INDEX($Q$2:$V$8,$DY10,$EK10)&amp;" · "&amp;CHOOSE($EK10,"Leve","Média","Pesada","Leve · Livre","Média · Livre","Pesada · Livre"))</f>
        <v/>
      </c>
      <c r="GZ10" s="145">
        <f>IF(OR($EH10=0,$EL10=0),"","−"&amp;INDEX($Q$2:$V$8,$DY10,$EL10)&amp;" · "&amp;CHOOSE($EL10,"Leve","Média","Pesada","Leve · Livre","Média · Livre","Pesada · Livre"))</f>
        <v/>
      </c>
      <c r="HA10" s="145">
        <f>IF(OR($EH10=0,$EM10=0),"","−"&amp;INDEX($Q$2:$V$8,$DY10,$EM10)&amp;" · "&amp;CHOOSE($EM10,"Leve","Média","Pesada","Leve · Livre","Média · Livre","Pesada · Livre"))</f>
        <v/>
      </c>
      <c r="HB10" s="145">
        <f>IF(OR($EH10=0,$EN10=0),"","−"&amp;INDEX($Q$2:$V$8,$DY10,$EN10)&amp;" · "&amp;CHOOSE($EN10,"Leve","Média","Pesada","Leve · Livre","Média · Livre","Pesada · Livre"))</f>
        <v/>
      </c>
      <c r="HC10" s="145">
        <f>IF(OR($EH10=0,$EF10=""),"","+"&amp;IF($EX10=1,CEILING($DY10/2,1),$DY10))</f>
        <v/>
      </c>
      <c r="HD10" s="145">
        <f>IF(OR($EH10=0,$EG10=""),"","+"&amp;IF($EY10=1,CEILING($DY10/2,1),$DY10))</f>
        <v/>
      </c>
      <c r="HE10" s="145">
        <f>'FICHA AMALDIÇOADA'!$P$95&amp;""</f>
        <v/>
      </c>
      <c r="HF10" s="145">
        <f>IF(AND($EH10=1,$DW10=0),COUNTIFS($EH$2:$EH10,1,$DW$2:$DW10,0),"")</f>
        <v/>
      </c>
      <c r="HH10" s="143" t="inlineStr">
        <is>
          <t>classe 0 quantos</t>
        </is>
      </c>
      <c r="HI10" s="145">
        <f>IFERROR(INDEX($CZ$2:$CZ$6,MATCH($HI$2,$CY$2:$CY$6,1)),0)</f>
        <v/>
      </c>
      <c r="HK10" s="143" t="inlineStr">
        <is>
          <t>Talento 9 · Leque</t>
        </is>
      </c>
      <c r="HL10" s="145">
        <f>'FICHA AMALDIÇOADA'!$D$405&amp;""</f>
        <v/>
      </c>
      <c r="HM10" s="145">
        <f>IFERROR(VLOOKUP($HL10,$BR$2:$BX$24,2,FALSE),0)</f>
        <v/>
      </c>
      <c r="HN10" s="145">
        <f>IFERROR(VLOOKUP($HM10,$BZ$2:$CA$4,2,FALSE),0)</f>
        <v/>
      </c>
      <c r="HO10" s="145">
        <f>IFERROR(VLOOKUP($HL10,$BR$2:$BX$24,3,FALSE),"")</f>
        <v/>
      </c>
      <c r="HP10" s="145">
        <f>IF($HM10=0,"",IF($HN10&gt;$HI$2,"⚠ Nível "&amp;$HN10,"CE "&amp;$HM10))</f>
        <v/>
      </c>
      <c r="HQ10" s="145">
        <f>IF($HM10=0,"",IF(4&gt;$HI$8,"⚠ Vaga","Grátis"))</f>
        <v/>
      </c>
      <c r="HR10" s="145">
        <f>'FICHA AMALDIÇOADA'!$E$410&amp;""</f>
        <v/>
      </c>
      <c r="HS10" s="145">
        <f>IF($HL10="","",COUNTIF($HL$2:$HL10,"?*"))</f>
        <v/>
      </c>
      <c r="HU10" s="143" t="inlineStr">
        <is>
          <t>Aptidão 9</t>
        </is>
      </c>
      <c r="HV10" s="145">
        <f>'FICHA AMALDIÇOADA'!$P$472&amp;""</f>
        <v/>
      </c>
      <c r="HW10" s="145">
        <f>IF($HV10="","","Requisito: "&amp;IFERROR(VLOOKUP($HV10,$CC$2:$CL$33,2,FALSE),""))</f>
        <v/>
      </c>
      <c r="HX10" s="145">
        <f>IF($HV10="","",IFERROR(IF(ISNUMBER(VLOOKUP($HV10,$CC$2:$CL$33,3,FALSE)),"CE "&amp;VLOOKUP($HV10,$CC$2:$CL$33,3,FALSE),VLOOKUP($HV10,$CC$2:$CL$33,3,FALSE)),""))</f>
        <v/>
      </c>
      <c r="HY10" s="145">
        <f>IF($HV10="","",IFERROR(VLOOKUP($HV10,$CC$2:$CL$33,4,FALSE),""))</f>
        <v/>
      </c>
      <c r="HZ10" s="145">
        <f>IF($HV10="","",IFERROR(VLOOKUP($HV10,$CC$2:$CL$33,5,FALSE),""))</f>
        <v/>
      </c>
      <c r="IA10" s="145">
        <f>'FICHA AMALDIÇOADA'!$Q$489&amp;""</f>
        <v/>
      </c>
      <c r="IB10" s="145">
        <f>IF($HV10="","",COUNTIF($HV$2:$HV10,"?*"))</f>
        <v/>
      </c>
      <c r="IM10" s="145">
        <f>INDEX($D$6:$G$6,1,$A$2)</f>
        <v/>
      </c>
      <c r="IN10" s="145">
        <f>ADDRESS(ROW('FICHA AMALDIÇOADA'!P7),COLUMN('FICHA AMALDIÇOADA'!P7),4)</f>
        <v/>
      </c>
      <c r="IO10" s="145">
        <f>ADDRESS(ROW('FICHA AMALDIÇOADA'!D421),COLUMN('FICHA AMALDIÇOADA'!D421),4)</f>
        <v/>
      </c>
      <c r="IP10" s="143" t="inlineStr">
        <is>
          <t>DADOS_AM!$IM$10</t>
        </is>
      </c>
      <c r="IR10" s="143" t="inlineStr">
        <is>
          <t>Trilha 27</t>
        </is>
      </c>
      <c r="IS10" s="145" t="n">
        <v>27</v>
      </c>
      <c r="IT10" s="145">
        <f>IF($HI$2&gt;=27,"Nível 27","Abre no 27")</f>
        <v/>
      </c>
      <c r="IU10" s="145">
        <f>ADDRESS(ROW(FICHA!G147),COLUMN(FICHA!G147),4)</f>
        <v/>
      </c>
      <c r="IV10" s="145">
        <f>ADDRESS(ROW(FICHA!D148),COLUMN(FICHA!D148),4)</f>
        <v/>
      </c>
      <c r="JD10" s="145" t="n">
        <v>9</v>
      </c>
      <c r="JE10" s="145">
        <f>IFERROR(MATCH(9,$HF$2:$HF$37,0),0)</f>
        <v/>
      </c>
      <c r="JF10" s="145">
        <f>IF($JE10=0,"",INDEX($DY$2:$DY$37,$JE10))</f>
        <v/>
      </c>
      <c r="JG10" s="145">
        <f>IF($JE10=0,"",INDEX($DZ$2:$DZ$37,$JE10))</f>
        <v/>
      </c>
      <c r="JH10" s="145">
        <f>IF($JE10=0,"",INDEX($GN$2:$GN$37,$JE10))</f>
        <v/>
      </c>
      <c r="JI10" s="145">
        <f>IF($JE10=0,"",INDEX($EA$2:$EA$37,$JE10))</f>
        <v/>
      </c>
      <c r="JJ10" s="145">
        <f>IF($JE10=0,"",INDEX($GP$2:$GP$37,$JE10))</f>
        <v/>
      </c>
      <c r="JK10" s="145">
        <f>IF($JE10=0,"",INDEX($HE$2:$HE$37,$JE10))</f>
        <v/>
      </c>
      <c r="KB10" s="143" t="inlineStr">
        <is>
          <t>Talento 7</t>
        </is>
      </c>
      <c r="KC10" s="145">
        <f>IFERROR(MATCH(7,$HS$2:$HS$13,0),0)</f>
        <v/>
      </c>
      <c r="KD10" s="145">
        <f>IF($KC10=0,"",IF(INDEX($HM$2:$HM$13,$KC10)=0,"","CE "&amp;INDEX($HM$2:$HM$13,$KC10)))</f>
        <v/>
      </c>
      <c r="KE10" s="145">
        <f>IF($KC10=0,"",INDEX($HL$2:$HL$13,$KC10))</f>
        <v/>
      </c>
      <c r="KF10" s="145">
        <f>IF($KC10=0,"",IF(INDEX($HR$2:$HR$13,$KC10)&lt;&gt;"",INDEX($HR$2:$HR$13,$KC10),IF(IFERROR(VLOOKUP(INDEX($HL$2:$HL$13,$KC10),$BR$2:$BX$24,7,FALSE),"")&lt;&gt;"","Do livro: "&amp;IFERROR(VLOOKUP(INDEX($HL$2:$HL$13,$KC10),$BR$2:$BX$24,7,FALSE),""),"")))</f>
        <v/>
      </c>
      <c r="KH10" s="143" t="inlineStr">
        <is>
          <t>Aptidão 7</t>
        </is>
      </c>
      <c r="KI10" s="145">
        <f>IFERROR(MATCH(7,$IB$2:$IB$13,0),0)</f>
        <v/>
      </c>
      <c r="KJ10" s="145">
        <f>IF($KI10=0,"",INDEX($HX$2:$HX$13,$KI10))</f>
        <v/>
      </c>
      <c r="KK10" s="145">
        <f>IF($KI10=0,"",INDEX($HV$2:$HV$13,$KI10))</f>
        <v/>
      </c>
      <c r="KL10" s="145">
        <f>IF($KI10=0,"",IF(INDEX($IA$2:$IA$13,$KI10)&lt;&gt;"",INDEX($IA$2:$IA$13,$KI10),IF(IFERROR(VLOOKUP(INDEX($HV$2:$HV$13,$KI10),$CC$2:$CL$33,10,FALSE),"")&lt;&gt;"","Do livro: "&amp;IFERROR(VLOOKUP(INDEX($HV$2:$HV$13,$KI10),$CC$2:$CL$33,10,FALSE),""),"")))</f>
        <v/>
      </c>
      <c r="KN10" s="143" t="inlineStr">
        <is>
          <t>par 2</t>
        </is>
      </c>
      <c r="KO10" s="145">
        <f>UPPER(INDEX($D$3:$G$3,1,$A$2))&amp;" 7 A 12"</f>
        <v/>
      </c>
      <c r="KQ10" s="143" t="inlineStr">
        <is>
          <t>D17</t>
        </is>
      </c>
      <c r="KR10" s="145">
        <f>IF(DADOS_AM!$HI$41=1,"GRUPO 1","—")</f>
        <v/>
      </c>
    </row>
    <row r="11">
      <c r="C11" s="143" t="inlineStr">
        <is>
          <t>reação</t>
        </is>
      </c>
      <c r="D11" s="143" t="inlineStr">
        <is>
          <t>Reação de Cobrir-se</t>
        </is>
      </c>
      <c r="E11" s="143" t="inlineStr">
        <is>
          <t>Reação de Cobrir-se</t>
        </is>
      </c>
      <c r="F11" s="143" t="inlineStr">
        <is>
          <t>Reação de Cobrir-se</t>
        </is>
      </c>
      <c r="G11" s="143" t="inlineStr">
        <is>
          <t>Reação da Defesa</t>
        </is>
      </c>
      <c r="Y11" s="143" t="inlineStr">
        <is>
          <t>Efeito</t>
        </is>
      </c>
      <c r="Z11" s="143" t="inlineStr"/>
      <c r="AA11" s="145" t="n">
        <v>0</v>
      </c>
      <c r="AB11" s="145">
        <f>IF($AA11=0,0,$AA11+3*IFERROR(VLOOKUP($Z11,$I$2:$L$10,3,FALSE),0))</f>
        <v/>
      </c>
      <c r="AC11" s="145">
        <f>IFERROR(VLOOKUP($Z11,$I$2:$L$10,4,FALSE),0)</f>
        <v/>
      </c>
      <c r="AD11" s="145" t="n">
        <v>0</v>
      </c>
      <c r="AE11" s="145" t="n">
        <v>3</v>
      </c>
      <c r="AF11" s="143" t="inlineStr">
        <is>
          <t>Automático</t>
        </is>
      </c>
      <c r="AG11" s="145" t="n">
        <v>0</v>
      </c>
      <c r="AH11" s="145" t="n">
        <v>0</v>
      </c>
      <c r="AI11" s="145" t="n">
        <v>0</v>
      </c>
      <c r="AJ11" s="145" t="n">
        <v>0</v>
      </c>
      <c r="AK11" s="145" t="n">
        <v>1</v>
      </c>
      <c r="AL11" s="145">
        <f>IF($AC11=1,"",$Y11)</f>
        <v/>
      </c>
      <c r="AM11" s="145">
        <f>IF(AND($AK11=1,$AC11=0),$Y11,"")</f>
        <v/>
      </c>
      <c r="AO11" s="143" t="inlineStr">
        <is>
          <t>Aura · classe 0</t>
        </is>
      </c>
      <c r="AP11" s="143" t="inlineStr">
        <is>
          <t>Raio 3 m, em você</t>
        </is>
      </c>
      <c r="AQ11" s="143" t="inlineStr">
        <is>
          <t>Raio 4,5 m, em você</t>
        </is>
      </c>
      <c r="AR11" s="143" t="inlineStr">
        <is>
          <t>Raio 6 m, em você</t>
        </is>
      </c>
      <c r="AS11" s="143" t="inlineStr">
        <is>
          <t>Raio 9 m, em você</t>
        </is>
      </c>
      <c r="AT11" s="143" t="inlineStr">
        <is>
          <t>Raio 15 m, em você</t>
        </is>
      </c>
      <c r="AU11" s="143" t="inlineStr">
        <is>
          <t>Raio 15 m, em você</t>
        </is>
      </c>
      <c r="AV11" s="143" t="inlineStr"/>
      <c r="AW11" s="143" t="inlineStr"/>
      <c r="AX11" s="143" t="inlineStr"/>
      <c r="AY11" s="143" t="inlineStr"/>
      <c r="AZ11" s="143" t="inlineStr"/>
      <c r="BA11" s="143" t="inlineStr"/>
      <c r="BC11" s="143" t="inlineStr">
        <is>
          <t>Escolher</t>
        </is>
      </c>
      <c r="BD11" s="143" t="inlineStr">
        <is>
          <t>Área</t>
        </is>
      </c>
      <c r="BE11" s="145" t="n">
        <v>2</v>
      </c>
      <c r="BF11" s="145">
        <f>$BE11+3*IFERROR(VLOOKUP($BD11,$I$2:$L$10,3,FALSE),0)</f>
        <v/>
      </c>
      <c r="BG11" s="145">
        <f>IFERROR(VLOOKUP($BD11,$I$2:$L$10,4,FALSE),0)</f>
        <v/>
      </c>
      <c r="BH11" s="145" t="n">
        <v>0</v>
      </c>
      <c r="BI11" s="145">
        <f>IF($BG11=1,"",$BC11)</f>
        <v/>
      </c>
      <c r="BJ11" s="145">
        <f>IF(AND($BE11=1,$BG11=0),$BC11,"")</f>
        <v/>
      </c>
      <c r="BL11" s="143" t="inlineStr">
        <is>
          <t>Fraqueza (Média)</t>
        </is>
      </c>
      <c r="BM11" s="143" t="inlineStr">
        <is>
          <t>Fraqueza</t>
        </is>
      </c>
      <c r="BN11" s="145" t="n">
        <v>2</v>
      </c>
      <c r="BO11" s="145" t="n">
        <v>0</v>
      </c>
      <c r="BP11" s="143" t="inlineStr"/>
      <c r="BR11" s="143" t="inlineStr">
        <is>
          <t>Eco</t>
        </is>
      </c>
      <c r="BS11" s="145" t="n">
        <v>2</v>
      </c>
      <c r="BT11" s="143" t="inlineStr">
        <is>
          <t>Quando um feitiço seu reduzir um inimigo a 0 pontos de vida, o próximo feitiço que você conjurar nesta cena custa metade do seu PE normal, arredondada para cima. Derrubado, a condição, não ativa Eco.</t>
        </is>
      </c>
      <c r="BU11" s="145" t="n">
        <v>1</v>
      </c>
      <c r="BV11" s="145" t="n">
        <v>0</v>
      </c>
      <c r="BW11" s="145">
        <f>IF(OR(AND($A$2&lt;=2,$BU11=1),AND($A$2&gt;=2,$BV11=1)),$BR11,"")</f>
        <v/>
      </c>
      <c r="BX11" s="143" t="inlineStr">
        <is>
          <t>Quando um feitiço seu reduzir um inimigo a 0 pontos de vida, o próximo feitiço que você conjurar nesta cena custa metade do seu PE normal, arredondada para cima. Derrubado, a condição, não ativa Eco.</t>
        </is>
      </c>
      <c r="CC11" s="143" t="inlineStr">
        <is>
          <t>Domínio Simples</t>
        </is>
      </c>
      <c r="CD11" s="143" t="inlineStr">
        <is>
          <t>Refino 5, ou 4 com o voto do iniciante; aprendizado registrado</t>
        </is>
      </c>
      <c r="CE11" s="145" t="n">
        <v>2</v>
      </c>
      <c r="CF11" s="143" t="inlineStr">
        <is>
          <t>Raio</t>
        </is>
      </c>
      <c r="CG11" s="14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45">
        <f>IF($CK11=1,"",IF($A$2=4,IF($CI11=1,$CC11,""),IF(OR($CI11=1,AND($A$2=3,$CJ11=1)),"",$CC11)))</f>
        <v/>
      </c>
      <c r="CI11" s="145" t="n">
        <v>0</v>
      </c>
      <c r="CJ11" s="145" t="n">
        <v>0</v>
      </c>
      <c r="CK11" s="145" t="n">
        <v>0</v>
      </c>
      <c r="CL11" s="143" t="inlineStr">
        <is>
          <t>Você precisa ter visto um Domínio Simples sendo usado ou ter aprendido com alguém.</t>
        </is>
      </c>
      <c r="CT11" s="143" t="inlineStr">
        <is>
          <t>Massa</t>
        </is>
      </c>
      <c r="CU11" s="145" t="n">
        <v>1</v>
      </c>
      <c r="CV11" s="145" t="n">
        <v>0</v>
      </c>
      <c r="CW11" s="145">
        <f>IF(AND($A$2&gt;=3,'FICHA AMALDIÇOADA'!$J$16&amp;""="Três grupos de arma"),$CT11,"")</f>
        <v/>
      </c>
      <c r="DV11" s="143" t="inlineStr">
        <is>
          <t>Feitiço 10</t>
        </is>
      </c>
      <c r="DW11" s="145" t="n">
        <v>0</v>
      </c>
      <c r="DX11" s="145" t="n">
        <v>10</v>
      </c>
      <c r="DY11" s="145">
        <f>MAX(1,MIN(7,N('FICHA AMALDIÇOADA'!$D$114)))</f>
        <v/>
      </c>
      <c r="DZ11" s="145">
        <f>'FICHA AMALDIÇOADA'!$E$114&amp;""</f>
        <v/>
      </c>
      <c r="EA11" s="145">
        <f>'FICHA AMALDIÇOADA'!$D$121&amp;""</f>
        <v/>
      </c>
      <c r="EB11" s="145">
        <f>'FICHA AMALDIÇOADA'!$E$123&amp;""</f>
        <v/>
      </c>
      <c r="EC11" s="145">
        <f>'FICHA AMALDIÇOADA'!$E$124&amp;""</f>
        <v/>
      </c>
      <c r="ED11" s="145">
        <f>'FICHA AMALDIÇOADA'!$E$125&amp;""</f>
        <v/>
      </c>
      <c r="EE11" s="145">
        <f>'FICHA AMALDIÇOADA'!$E$126&amp;""</f>
        <v/>
      </c>
      <c r="EF11" s="145">
        <f>'FICHA AMALDIÇOADA'!$E$127&amp;""</f>
        <v/>
      </c>
      <c r="EG11" s="145">
        <f>'FICHA AMALDIÇOADA'!$E$128&amp;""</f>
        <v/>
      </c>
      <c r="EH11" s="145">
        <f>IF($DZ11&lt;&gt;"",1,0)</f>
        <v/>
      </c>
      <c r="EI11" s="145">
        <f>IFERROR(MATCH($EA11,$Y$2:$Y$11,0),0)</f>
        <v/>
      </c>
      <c r="EJ11" s="145">
        <f>IF($EI11=0,0,INDEX($AB$2:$AB$11,$EI11))</f>
        <v/>
      </c>
      <c r="EK11" s="145">
        <f>IFERROR(VLOOKUP($EB11,$BC$2:$BJ$84,4,FALSE),0)</f>
        <v/>
      </c>
      <c r="EL11" s="145">
        <f>IFERROR(VLOOKUP($EC11,$BC$2:$BJ$84,4,FALSE),0)</f>
        <v/>
      </c>
      <c r="EM11" s="145">
        <f>IFERROR(VLOOKUP($ED11,$BC$2:$BJ$84,4,FALSE),0)</f>
        <v/>
      </c>
      <c r="EN11" s="145">
        <f>IFERROR(VLOOKUP($EE11,$BC$2:$BJ$84,4,FALSE),0)</f>
        <v/>
      </c>
      <c r="EO11" s="145">
        <f>IF($EI11=0,0,INDEX($AC$2:$AC$11,$EI11))</f>
        <v/>
      </c>
      <c r="EP11" s="145">
        <f>IFERROR(VLOOKUP($EB11,$BC$2:$BJ$84,5,FALSE),0)</f>
        <v/>
      </c>
      <c r="EQ11" s="145">
        <f>IFERROR(VLOOKUP($EC11,$BC$2:$BJ$84,5,FALSE),0)</f>
        <v/>
      </c>
      <c r="ER11" s="145">
        <f>IFERROR(VLOOKUP($ED11,$BC$2:$BJ$84,5,FALSE),0)</f>
        <v/>
      </c>
      <c r="ES11" s="145">
        <f>IFERROR(VLOOKUP($EE11,$BC$2:$BJ$84,5,FALSE),0)</f>
        <v/>
      </c>
      <c r="ET11" s="145">
        <f>IFERROR(VLOOKUP($EB11,$BC$2:$BJ$84,6,FALSE),0)+IFERROR(VLOOKUP($EC11,$BC$2:$BJ$84,6,FALSE),0)+IFERROR(VLOOKUP($ED11,$BC$2:$BJ$84,6,FALSE),0)+IFERROR(VLOOKUP($EE11,$BC$2:$BJ$84,6,FALSE),0)</f>
        <v/>
      </c>
      <c r="EU11" s="145">
        <f>IF($EI11=0,0,INDEX($AD$2:$AD$11,$EI11))</f>
        <v/>
      </c>
      <c r="EV11" s="145">
        <f>IF($EI11=0,0,INDEX($AE$2:$AE$11,$EI11))</f>
        <v/>
      </c>
      <c r="EW11" s="145">
        <f>IF($EI11=0,0,INDEX($AG$2:$AG$11,$EI11))</f>
        <v/>
      </c>
      <c r="EX11" s="145">
        <f>IFERROR(VLOOKUP($EF11,$BL$2:$BP$24,3,FALSE),0)</f>
        <v/>
      </c>
      <c r="EY11" s="145">
        <f>IFERROR(VLOOKUP($EG11,$BL$2:$BP$24,3,FALSE),0)</f>
        <v/>
      </c>
      <c r="EZ11" s="145">
        <f>IFERROR(VLOOKUP($EF11,$BL$2:$BP$24,2,FALSE),"")</f>
        <v/>
      </c>
      <c r="FA11" s="145">
        <f>IFERROR(VLOOKUP($EG11,$BL$2:$BP$24,2,FALSE),"")</f>
        <v/>
      </c>
      <c r="FB11" s="145">
        <f>COUNTIF($EJ11:$EN11,1)</f>
        <v/>
      </c>
      <c r="FC11" s="145">
        <f>COUNTIF($EJ11:$EN11,2)</f>
        <v/>
      </c>
      <c r="FD11" s="145">
        <f>COUNTIF($EJ11:$EN11,3)</f>
        <v/>
      </c>
      <c r="FE11" s="145">
        <f>COUNTIF($EJ11:$EN11,4)</f>
        <v/>
      </c>
      <c r="FF11" s="145">
        <f>COUNTIF($EJ11:$EN11,5)</f>
        <v/>
      </c>
      <c r="FG11" s="145">
        <f>COUNTIF($EJ11:$EN11,6)</f>
        <v/>
      </c>
      <c r="FH11" s="145">
        <f>COUNTIF($EX11:$EY11,1)</f>
        <v/>
      </c>
      <c r="FI11" s="145">
        <f>COUNTIF($EX11:$EY11,2)+$EU11</f>
        <v/>
      </c>
      <c r="FJ11" s="145">
        <f>COUNTIF($EB11:$EE11,"?*")</f>
        <v/>
      </c>
      <c r="FK11" s="145">
        <f>COUNTIF($EF11:$EG11,"?*")+$EU11</f>
        <v/>
      </c>
      <c r="FL11" s="145">
        <f>SUMPRODUCT($FB11:$FG11,INDEX($Q$2:$V$8,$DY11,0))</f>
        <v/>
      </c>
      <c r="FM11" s="145">
        <f>$FH11*CEILING($DY11/2,1)+$FI11*$DY11</f>
        <v/>
      </c>
      <c r="FN11" s="145">
        <f>MIN(2*$DY11,$FM11)</f>
        <v/>
      </c>
      <c r="FO11" s="145">
        <f>MIN($FN11,$FL11)</f>
        <v/>
      </c>
      <c r="FP11" s="145">
        <f>$FN11-$FO11</f>
        <v/>
      </c>
      <c r="FQ11" s="145">
        <f>3*$DY11-$FL11+$FO11</f>
        <v/>
      </c>
      <c r="FR11" s="145">
        <f>MAX(0,$FQ11)+$DW11*$DY11</f>
        <v/>
      </c>
      <c r="FS11" s="145">
        <f>(IF(COUNTIF($EB11:$EE11,"Salto")&gt;0,1,0)+IF(COUNTIF($EB11:$EE11,"Queima")&gt;0,1,0)+IF(COUNTIF($EB11:$EE11,"Estilhaço")&gt;0,1,0))*FLOOR($FR11/2,1)</f>
        <v/>
      </c>
      <c r="FT11" s="145">
        <f>MAX(0,3-SUMPRODUCT($FB11:$FG11,$Q$2:$V$2)+MIN(2,$FH11*1+$FI11*1,SUMPRODUCT($FB11:$FG11,$Q$2:$V$2)))+$DW11*1</f>
        <v/>
      </c>
      <c r="FU11" s="145">
        <f>MAX(0,6-SUMPRODUCT($FB11:$FG11,$Q$3:$V$3)+MIN(4,$FH11*1+$FI11*2,SUMPRODUCT($FB11:$FG11,$Q$3:$V$3)))+$DW11*2</f>
        <v/>
      </c>
      <c r="FV11" s="145">
        <f>MAX(0,9-SUMPRODUCT($FB11:$FG11,$Q$4:$V$4)+MIN(6,$FH11*2+$FI11*3,SUMPRODUCT($FB11:$FG11,$Q$4:$V$4)))+$DW11*3</f>
        <v/>
      </c>
      <c r="FW11" s="145">
        <f>MAX(0,12-SUMPRODUCT($FB11:$FG11,$Q$5:$V$5)+MIN(8,$FH11*2+$FI11*4,SUMPRODUCT($FB11:$FG11,$Q$5:$V$5)))+$DW11*4</f>
        <v/>
      </c>
      <c r="FX11" s="145">
        <f>MAX(0,15-SUMPRODUCT($FB11:$FG11,$Q$6:$V$6)+MIN(10,$FH11*3+$FI11*5,SUMPRODUCT($FB11:$FG11,$Q$6:$V$6)))+$DW11*5</f>
        <v/>
      </c>
      <c r="FY11" s="145">
        <f>MAX(0,18-SUMPRODUCT($FB11:$FG11,$Q$7:$V$7)+MIN(12,$FH11*3+$FI11*6,SUMPRODUCT($FB11:$FG11,$Q$7:$V$7)))+$DW11*6</f>
        <v/>
      </c>
      <c r="FZ11" s="145">
        <f>MAX(0,21-SUMPRODUCT($FB11:$FG11,$Q$8:$V$8)+MIN(14,$FH11*4+$FI11*7,SUMPRODUCT($FB11:$FG11,$Q$8:$V$8)))+$DW11*7</f>
        <v/>
      </c>
      <c r="GA11" s="145">
        <f>IF($EV11=2,3*$FT11&amp;" de vida temp.",IF($EV11=3,"sem dano",IF($FT11=0,IF($EV11=1,"sem cura","sem dano"),IF($EV11=1,"cura ","")&amp;$FT11&amp;"d8")))</f>
        <v/>
      </c>
      <c r="GB11" s="145">
        <f>IF($EV11=2,3*$FU11&amp;" de vida temp.",IF($EV11=3,"sem dano",IF($FU11=0,IF($EV11=1,"sem cura","sem dano"),IF($EV11=1,"cura ","")&amp;$FU11&amp;"d8")))</f>
        <v/>
      </c>
      <c r="GC11" s="145">
        <f>IF($EV11=2,3*$FV11&amp;" de vida temp.",IF($EV11=3,"sem dano",IF($FV11=0,IF($EV11=1,"sem cura","sem dano"),IF($EV11=1,"cura ","")&amp;$FV11&amp;"d8")))</f>
        <v/>
      </c>
      <c r="GD11" s="145">
        <f>IF($EV11=2,3*$FW11&amp;" de vida temp.",IF($EV11=3,"sem dano",IF($FW11=0,IF($EV11=1,"sem cura","sem dano"),IF($EV11=1,"cura ","")&amp;$FW11&amp;"d8")))</f>
        <v/>
      </c>
      <c r="GE11" s="145">
        <f>IF($EV11=2,3*$FX11&amp;" de vida temp.",IF($EV11=3,"sem dano",IF($FX11=0,IF($EV11=1,"sem cura","sem dano"),IF($EV11=1,"cura ","")&amp;$FX11&amp;"d8")))</f>
        <v/>
      </c>
      <c r="GF11" s="145">
        <f>IF($EV11=2,3*$FY11&amp;" de vida temp.",IF($EV11=3,"sem dano",IF($FY11=0,IF($EV11=1,"sem cura","sem dano"),IF($EV11=1,"cura ","")&amp;$FY11&amp;"d8")))</f>
        <v/>
      </c>
      <c r="GG11" s="145">
        <f>IF($EV11=2,3*$FZ11&amp;" de vida temp.",IF($EV11=3,"sem dano",IF($FZ11=0,IF($EV11=1,"sem cura","sem dano"),IF($EV11=1,"cura ","")&amp;$FZ11&amp;"d8")))</f>
        <v/>
      </c>
      <c r="GH11" s="145">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45">
        <f>IF($GH11="",0,(LEN($GH11)-LEN(SUBSTITUTE($GH11," · ","")))/3+1)</f>
        <v/>
      </c>
      <c r="GJ11" s="145">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45">
        <f>IF($GJ11="",0,(LEN($GJ11)-LEN(SUBSTITUTE($GJ11," · ","")))/3+1)</f>
        <v/>
      </c>
      <c r="GL11" s="145">
        <f>IF($EH11=0,IF($FJ11+$FK11-$EU11&gt;0,"Dê um nome",""),IF($GI11&gt;0,"⚠ "&amp;$GI11&amp;IF($GI11&gt;1," erros"," erro"),IF($GK11&gt;0,"! "&amp;$GK11&amp;IF($GK11&gt;1," avisos"," aviso"),"Na regra")))</f>
        <v/>
      </c>
      <c r="GM11" s="145">
        <f>IF($EH11=0,"",IF($GI11+$GK11=0,"Dentro das regras que a ficha confere",$GH11&amp;IF(AND($GI11&gt;0,$GK11&gt;0)," · ","")&amp;$GJ11))</f>
        <v/>
      </c>
      <c r="GN11" s="145">
        <f>IF($EH11=0,"",IF($DW11=1,CEILING(4.5*$DY11,1),3*$DY11)&amp;" PE")</f>
        <v/>
      </c>
      <c r="GO11" s="145">
        <f>IF($EH11=0,"",IF($DW11=1,"Rodada inteira",IF(COUNTIF($EZ11:$FA11,"Atrasar")&gt;0,IF(COUNTIF($EZ11:$FA11,"Carregar")&gt;0,"Rodada +1 turno","Rodada inteira"),IF(COUNTIF($EB11:$EE11,"Rápido")&gt;0,"Bônus",IF(COUNTIF($EB11:$EE11,"Reação")&gt;0,"Reação","Padrão"))&amp;IF(COUNTIF($EZ11:$FA11,"Carregar")&gt;0," +1 turno",""))))</f>
        <v/>
      </c>
      <c r="GP11" s="145">
        <f>IF(OR($EH11=0,$EI11=0),"",IF(COUNTIF($EB11:$EE11,"Inescapável")&gt;0,"Automático",IF(COUNTIF($EB11:$EE11,"Certeiro")&gt;0,"TR para metade",INDEX($AF$2:$AF$11,$EI11))))</f>
        <v/>
      </c>
      <c r="GQ11" s="145">
        <f>IF(OR($EH11=0,$EI11=0),"",IF(OR($EV11&gt;=2,$FR11=0),UPPER(LEFT(INDEX($GA11:$GG11,1,$DY11),1))&amp;MID(INDEX($GA11:$GG11,1,$DY11),2,99),UPPER(LEFT(INDEX($GA11:$GG11,1,$DY11),1))&amp;MID(INDEX($GA11:$GG11,1,$DY11),2,99)&amp;" = "&amp;FLOOR($FR11*4.5,1)&amp;IF($FS11&gt;0," · +"&amp;$FS11&amp;"d8","")))</f>
        <v/>
      </c>
      <c r="GR11" s="145">
        <f>COUNTIF($EB11:$EE11,"Longe")+3*COUNTIF($EB11:$EE11,"Muito Longe")</f>
        <v/>
      </c>
      <c r="GS11" s="145">
        <f>COUNTIF($EB11:$EE11,"Maior")+3*COUNTIF($EB11:$EE11,"Muito Maior")</f>
        <v/>
      </c>
      <c r="GT11" s="145">
        <f>IF($EI11=0,0,CHOOSE(1+INDEX($AH$2:$AH$11,$EI11),0,$GR11,$GS11,$GR11+$GS11))</f>
        <v/>
      </c>
      <c r="GU11" s="145">
        <f>IF($EI11=0,0,CHOOSE(1+INDEX($AI$2:$AI$11,$EI11),0,$GR11,$GS11,$GR11+$GS11))</f>
        <v/>
      </c>
      <c r="GV11" s="145">
        <f>IF(OR($EH11=0,$EI11=0),"",INDEX($AP$2:$AU$31,($EI11-1)*3+IF($DY11&gt;=6,3,2),1+MIN(5,$GT11))&amp;INDEX($AV$2:$BA$31,($EI11-1)*3+IF($DY11&gt;=6,3,2),1+MIN(5,$GU11))&amp;IF(INDEX($AJ$2:$AJ$11,$EI11)=1,IF(COUNTIF($EB11:$EE11,"Mais Um")&gt;0," · +"&amp;COUNTIF($EB11:$EE11,"Mais Um")&amp;IF(COUNTIF($EB11:$EE11,"Mais Um")&gt;1," alvos"," alvo"),"")&amp;IF(COUNTIF($EB11:$EE11,"Rajada")&gt;0," · "&amp;($DY11+1)&amp;" tiros",""),""))</f>
        <v/>
      </c>
      <c r="GW11" s="145">
        <f>IF($EH11=0,"",3*$DY11&amp;" − "&amp;$FL11&amp;" + "&amp;$FO11&amp;IF($DW11=1," + "&amp;$DY11,"")&amp;" = "&amp;$FR11&amp;"d8 · teto "&amp;4*$DY11&amp;IF($EU11=1," · a Forma devolve "&amp;$DY11,"")&amp;IF($FP11&gt;0," · perde "&amp;$FP11,""))</f>
        <v/>
      </c>
      <c r="GX11" s="145">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5">
        <f>IF(OR($EH11=0,$EK11=0),"","−"&amp;INDEX($Q$2:$V$8,$DY11,$EK11)&amp;" · "&amp;CHOOSE($EK11,"Leve","Média","Pesada","Leve · Livre","Média · Livre","Pesada · Livre"))</f>
        <v/>
      </c>
      <c r="GZ11" s="145">
        <f>IF(OR($EH11=0,$EL11=0),"","−"&amp;INDEX($Q$2:$V$8,$DY11,$EL11)&amp;" · "&amp;CHOOSE($EL11,"Leve","Média","Pesada","Leve · Livre","Média · Livre","Pesada · Livre"))</f>
        <v/>
      </c>
      <c r="HA11" s="145">
        <f>IF(OR($EH11=0,$EM11=0),"","−"&amp;INDEX($Q$2:$V$8,$DY11,$EM11)&amp;" · "&amp;CHOOSE($EM11,"Leve","Média","Pesada","Leve · Livre","Média · Livre","Pesada · Livre"))</f>
        <v/>
      </c>
      <c r="HB11" s="145">
        <f>IF(OR($EH11=0,$EN11=0),"","−"&amp;INDEX($Q$2:$V$8,$DY11,$EN11)&amp;" · "&amp;CHOOSE($EN11,"Leve","Média","Pesada","Leve · Livre","Média · Livre","Pesada · Livre"))</f>
        <v/>
      </c>
      <c r="HC11" s="145">
        <f>IF(OR($EH11=0,$EF11=""),"","+"&amp;IF($EX11=1,CEILING($DY11/2,1),$DY11))</f>
        <v/>
      </c>
      <c r="HD11" s="145">
        <f>IF(OR($EH11=0,$EG11=""),"","+"&amp;IF($EY11=1,CEILING($DY11/2,1),$DY11))</f>
        <v/>
      </c>
      <c r="HE11" s="145">
        <f>'FICHA AMALDIÇOADA'!$D$116&amp;""</f>
        <v/>
      </c>
      <c r="HF11" s="145">
        <f>IF(AND($EH11=1,$DW11=0),COUNTIFS($EH$2:$EH11,1,$DW$2:$DW11,0),"")</f>
        <v/>
      </c>
      <c r="HH11" s="143" t="inlineStr">
        <is>
          <t>classe 0 dados</t>
        </is>
      </c>
      <c r="HI11" s="145">
        <f>IFERROR(INDEX($DA$2:$DA$6,MATCH($HI$2,$CY$2:$CY$6,1)),0)</f>
        <v/>
      </c>
      <c r="HK11" s="143" t="inlineStr">
        <is>
          <t>Talento 10 · Leque</t>
        </is>
      </c>
      <c r="HL11" s="145">
        <f>'FICHA AMALDIÇOADA'!$J$405&amp;""</f>
        <v/>
      </c>
      <c r="HM11" s="145">
        <f>IFERROR(VLOOKUP($HL11,$BR$2:$BX$24,2,FALSE),0)</f>
        <v/>
      </c>
      <c r="HN11" s="145">
        <f>IFERROR(VLOOKUP($HM11,$BZ$2:$CA$4,2,FALSE),0)</f>
        <v/>
      </c>
      <c r="HO11" s="145">
        <f>IFERROR(VLOOKUP($HL11,$BR$2:$BX$24,3,FALSE),"")</f>
        <v/>
      </c>
      <c r="HP11" s="145">
        <f>IF($HM11=0,"",IF($HN11&gt;$HI$2,"⚠ Nível "&amp;$HN11,"CE "&amp;$HM11))</f>
        <v/>
      </c>
      <c r="HQ11" s="145">
        <f>IF($HM11=0,"",IF(5&gt;$HI$8,"⚠ Vaga","Grátis"))</f>
        <v/>
      </c>
      <c r="HR11" s="145">
        <f>'FICHA AMALDIÇOADA'!$K$410&amp;""</f>
        <v/>
      </c>
      <c r="HS11" s="145">
        <f>IF($HL11="","",COUNTIF($HL$2:$HL11,"?*"))</f>
        <v/>
      </c>
      <c r="HU11" s="143" t="inlineStr">
        <is>
          <t>Aptidão 10</t>
        </is>
      </c>
      <c r="HV11" s="145">
        <f>'FICHA AMALDIÇOADA'!$D$492&amp;""</f>
        <v/>
      </c>
      <c r="HW11" s="145">
        <f>IF($HV11="","","Requisito: "&amp;IFERROR(VLOOKUP($HV11,$CC$2:$CL$33,2,FALSE),""))</f>
        <v/>
      </c>
      <c r="HX11" s="145">
        <f>IF($HV11="","",IFERROR(IF(ISNUMBER(VLOOKUP($HV11,$CC$2:$CL$33,3,FALSE)),"CE "&amp;VLOOKUP($HV11,$CC$2:$CL$33,3,FALSE),VLOOKUP($HV11,$CC$2:$CL$33,3,FALSE)),""))</f>
        <v/>
      </c>
      <c r="HY11" s="145">
        <f>IF($HV11="","",IFERROR(VLOOKUP($HV11,$CC$2:$CL$33,4,FALSE),""))</f>
        <v/>
      </c>
      <c r="HZ11" s="145">
        <f>IF($HV11="","",IFERROR(VLOOKUP($HV11,$CC$2:$CL$33,5,FALSE),""))</f>
        <v/>
      </c>
      <c r="IA11" s="145">
        <f>'FICHA AMALDIÇOADA'!$E$509&amp;""</f>
        <v/>
      </c>
      <c r="IB11" s="145">
        <f>IF($HV11="","",COUNTIF($HV$2:$HV11,"?*"))</f>
        <v/>
      </c>
      <c r="IM11" s="143" t="inlineStr">
        <is>
          <t>Pactos</t>
        </is>
      </c>
      <c r="IN11" s="145">
        <f>ADDRESS(ROW('FICHA AMALDIÇOADA'!Q7),COLUMN('FICHA AMALDIÇOADA'!Q7),4)</f>
        <v/>
      </c>
      <c r="IO11" s="145">
        <f>ADDRESS(ROW('FICHA AMALDIÇOADA'!D512),COLUMN('FICHA AMALDIÇOADA'!D512),4)</f>
        <v/>
      </c>
      <c r="IP11" s="143" t="inlineStr">
        <is>
          <t>DADOS_AM!$IM$11</t>
        </is>
      </c>
      <c r="JD11" s="145" t="n">
        <v>10</v>
      </c>
      <c r="JE11" s="145">
        <f>IFERROR(MATCH(10,$HF$2:$HF$37,0),0)</f>
        <v/>
      </c>
      <c r="JF11" s="145">
        <f>IF($JE11=0,"",INDEX($DY$2:$DY$37,$JE11))</f>
        <v/>
      </c>
      <c r="JG11" s="145">
        <f>IF($JE11=0,"",INDEX($DZ$2:$DZ$37,$JE11))</f>
        <v/>
      </c>
      <c r="JH11" s="145">
        <f>IF($JE11=0,"",INDEX($GN$2:$GN$37,$JE11))</f>
        <v/>
      </c>
      <c r="JI11" s="145">
        <f>IF($JE11=0,"",INDEX($EA$2:$EA$37,$JE11))</f>
        <v/>
      </c>
      <c r="JJ11" s="145">
        <f>IF($JE11=0,"",INDEX($GP$2:$GP$37,$JE11))</f>
        <v/>
      </c>
      <c r="JK11" s="145">
        <f>IF($JE11=0,"",INDEX($HE$2:$HE$37,$JE11))</f>
        <v/>
      </c>
      <c r="KB11" s="143" t="inlineStr">
        <is>
          <t>Talento 8</t>
        </is>
      </c>
      <c r="KC11" s="145">
        <f>IFERROR(MATCH(8,$HS$2:$HS$13,0),0)</f>
        <v/>
      </c>
      <c r="KD11" s="145">
        <f>IF($KC11=0,"",IF(INDEX($HM$2:$HM$13,$KC11)=0,"","CE "&amp;INDEX($HM$2:$HM$13,$KC11)))</f>
        <v/>
      </c>
      <c r="KE11" s="145">
        <f>IF($KC11=0,"",INDEX($HL$2:$HL$13,$KC11))</f>
        <v/>
      </c>
      <c r="KF11" s="145">
        <f>IF($KC11=0,"",IF(INDEX($HR$2:$HR$13,$KC11)&lt;&gt;"",INDEX($HR$2:$HR$13,$KC11),IF(IFERROR(VLOOKUP(INDEX($HL$2:$HL$13,$KC11),$BR$2:$BX$24,7,FALSE),"")&lt;&gt;"","Do livro: "&amp;IFERROR(VLOOKUP(INDEX($HL$2:$HL$13,$KC11),$BR$2:$BX$24,7,FALSE),""),"")))</f>
        <v/>
      </c>
      <c r="KH11" s="143" t="inlineStr">
        <is>
          <t>Aptidão 8</t>
        </is>
      </c>
      <c r="KI11" s="145">
        <f>IFERROR(MATCH(8,$IB$2:$IB$13,0),0)</f>
        <v/>
      </c>
      <c r="KJ11" s="145">
        <f>IF($KI11=0,"",INDEX($HX$2:$HX$13,$KI11))</f>
        <v/>
      </c>
      <c r="KK11" s="145">
        <f>IF($KI11=0,"",INDEX($HV$2:$HV$13,$KI11))</f>
        <v/>
      </c>
      <c r="KL11" s="145">
        <f>IF($KI11=0,"",IF(INDEX($IA$2:$IA$13,$KI11)&lt;&gt;"",INDEX($IA$2:$IA$13,$KI11),IF(IFERROR(VLOOKUP(INDEX($HV$2:$HV$13,$KI11),$CC$2:$CL$33,10,FALSE),"")&lt;&gt;"","Do livro: "&amp;IFERROR(VLOOKUP(INDEX($HV$2:$HV$13,$KI11),$CC$2:$CL$33,10,FALSE),""),"")))</f>
        <v/>
      </c>
      <c r="KN11" s="143" t="inlineStr">
        <is>
          <t>par 4</t>
        </is>
      </c>
      <c r="KO11" s="145">
        <f>UPPER(INDEX($D$3:$G$3,1,$A$2))&amp;" 13 A 18"</f>
        <v/>
      </c>
      <c r="KQ11" s="143" t="inlineStr">
        <is>
          <t>D19</t>
        </is>
      </c>
      <c r="KR11" s="145">
        <f>IF(DADOS_AM!$HI$42="","",DADOS_AM!$HI$42&amp;" · "&amp;"d20 + "&amp;(DADOS_AM!$HI$3+DADOS_AM!$HI$45+IFERROR(VALUE(FICHA!$W$47&amp;""),0))&amp;" · CD "&amp;(8+DADOS_AM!$HI$3+DADOS_AM!$HI$45+IFERROR(VALUE(FICHA!$L$47&amp;""),0)))</f>
        <v/>
      </c>
    </row>
    <row r="12">
      <c r="C12" s="143" t="inlineStr">
        <is>
          <t>selo</t>
        </is>
      </c>
      <c r="D12" s="143" t="inlineStr">
        <is>
          <t>Selo</t>
        </is>
      </c>
      <c r="E12" s="143" t="inlineStr">
        <is>
          <t>Selo</t>
        </is>
      </c>
      <c r="F12" s="143" t="inlineStr">
        <is>
          <t>Selo · ter o equipamento em uso</t>
        </is>
      </c>
      <c r="G12" s="143" t="inlineStr">
        <is>
          <t>Selo · ter o equipamento em uso</t>
        </is>
      </c>
      <c r="AO12" s="143" t="inlineStr">
        <is>
          <t>Aura · classes 1 a 5</t>
        </is>
      </c>
      <c r="AP12" s="143" t="inlineStr">
        <is>
          <t>Raio 3 m, em você</t>
        </is>
      </c>
      <c r="AQ12" s="143" t="inlineStr">
        <is>
          <t>Raio 4,5 m, em você</t>
        </is>
      </c>
      <c r="AR12" s="143" t="inlineStr">
        <is>
          <t>Raio 6 m, em você</t>
        </is>
      </c>
      <c r="AS12" s="143" t="inlineStr">
        <is>
          <t>Raio 9 m, em você</t>
        </is>
      </c>
      <c r="AT12" s="143" t="inlineStr">
        <is>
          <t>Raio 15 m, em você</t>
        </is>
      </c>
      <c r="AU12" s="143" t="inlineStr">
        <is>
          <t>Raio 15 m, em você</t>
        </is>
      </c>
      <c r="AV12" s="143" t="inlineStr"/>
      <c r="AW12" s="143" t="inlineStr"/>
      <c r="AX12" s="143" t="inlineStr"/>
      <c r="AY12" s="143" t="inlineStr"/>
      <c r="AZ12" s="143" t="inlineStr"/>
      <c r="BA12" s="143" t="inlineStr"/>
      <c r="BC12" s="143" t="inlineStr">
        <is>
          <t>Mais Um</t>
        </is>
      </c>
      <c r="BD12" s="143" t="inlineStr">
        <is>
          <t>Área</t>
        </is>
      </c>
      <c r="BE12" s="145" t="n">
        <v>1</v>
      </c>
      <c r="BF12" s="145">
        <f>$BE12+3*IFERROR(VLOOKUP($BD12,$I$2:$L$10,3,FALSE),0)</f>
        <v/>
      </c>
      <c r="BG12" s="145">
        <f>IFERROR(VLOOKUP($BD12,$I$2:$L$10,4,FALSE),0)</f>
        <v/>
      </c>
      <c r="BH12" s="145" t="n">
        <v>0</v>
      </c>
      <c r="BI12" s="145">
        <f>IF($BG12=1,"",$BC12)</f>
        <v/>
      </c>
      <c r="BJ12" s="145">
        <f>IF(AND($BE12=1,$BG12=0),$BC12,"")</f>
        <v/>
      </c>
      <c r="BL12" s="143" t="inlineStr">
        <is>
          <t>Peso Morto</t>
        </is>
      </c>
      <c r="BM12" s="143" t="inlineStr">
        <is>
          <t>Peso Morto</t>
        </is>
      </c>
      <c r="BN12" s="145" t="n">
        <v>1</v>
      </c>
      <c r="BO12" s="145" t="n">
        <v>0</v>
      </c>
      <c r="BP12" s="143" t="inlineStr">
        <is>
          <t>Peso Morto</t>
        </is>
      </c>
      <c r="BR12" s="143" t="inlineStr">
        <is>
          <t>Costura</t>
        </is>
      </c>
      <c r="BS12" s="145" t="n">
        <v>2</v>
      </c>
      <c r="BT12" s="143" t="inlineStr">
        <is>
          <t>Uma vez por cena, quando um aliado a até 9 m sofreria uma redução de seus pontos de vida a 0, você pode fazer com que ele permaneça com 1 ponto de vida. Não exige ação nem Reação.</t>
        </is>
      </c>
      <c r="BU12" s="145" t="n">
        <v>1</v>
      </c>
      <c r="BV12" s="145" t="n">
        <v>0</v>
      </c>
      <c r="BW12" s="145">
        <f>IF(OR(AND($A$2&lt;=2,$BU12=1),AND($A$2&gt;=2,$BV12=1)),$BR12,"")</f>
        <v/>
      </c>
      <c r="BX12" s="143" t="inlineStr">
        <is>
          <t>Uma vez por cena, quando um aliado a até 9 m sofreria uma redução de seus pontos de vida a 0, você pode fazer com que ele permaneça com 1 ponto de vida. Não exige ação nem Reação.</t>
        </is>
      </c>
      <c r="CC12" s="143" t="inlineStr">
        <is>
          <t>Pétala</t>
        </is>
      </c>
      <c r="CD12" s="143" t="inlineStr">
        <is>
          <t>Refino 4 e nível 10; ser Descendente ou aprendizado com alguém de um clã</t>
        </is>
      </c>
      <c r="CE12" s="145" t="n">
        <v>2</v>
      </c>
      <c r="CF12" s="143" t="inlineStr">
        <is>
          <t>—</t>
        </is>
      </c>
      <c r="CG12" s="14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45">
        <f>IF($CK12=1,"",IF($A$2=4,IF($CI12=1,$CC12,""),IF(OR($CI12=1,AND($A$2=3,$CJ12=1)),"",$CC12)))</f>
        <v/>
      </c>
      <c r="CI12" s="145" t="n">
        <v>0</v>
      </c>
      <c r="CJ12" s="145" t="n">
        <v>0</v>
      </c>
      <c r="CK12" s="145" t="n">
        <v>0</v>
      </c>
      <c r="CL12" s="143" t="inlineStr">
        <is>
          <t>Sua energia reage ao contato do Acerto de uma Expansão.</t>
        </is>
      </c>
      <c r="CT12" s="143" t="inlineStr">
        <is>
          <t>Armas Longas</t>
        </is>
      </c>
      <c r="CU12" s="145" t="n">
        <v>1</v>
      </c>
      <c r="CV12" s="145" t="n">
        <v>1</v>
      </c>
      <c r="CW12" s="145">
        <f>IF(AND($A$2&gt;=3,'FICHA AMALDIÇOADA'!$J$16&amp;""="Três grupos de arma"),$CT12,"")</f>
        <v/>
      </c>
      <c r="DV12" s="143" t="inlineStr">
        <is>
          <t>Feitiço 11</t>
        </is>
      </c>
      <c r="DW12" s="145" t="n">
        <v>0</v>
      </c>
      <c r="DX12" s="145" t="n">
        <v>11</v>
      </c>
      <c r="DY12" s="145">
        <f>MAX(1,MIN(7,N('FICHA AMALDIÇOADA'!$J$114)))</f>
        <v/>
      </c>
      <c r="DZ12" s="145">
        <f>'FICHA AMALDIÇOADA'!$K$114&amp;""</f>
        <v/>
      </c>
      <c r="EA12" s="145">
        <f>'FICHA AMALDIÇOADA'!$J$121&amp;""</f>
        <v/>
      </c>
      <c r="EB12" s="145">
        <f>'FICHA AMALDIÇOADA'!$K$123&amp;""</f>
        <v/>
      </c>
      <c r="EC12" s="145">
        <f>'FICHA AMALDIÇOADA'!$K$124&amp;""</f>
        <v/>
      </c>
      <c r="ED12" s="145">
        <f>'FICHA AMALDIÇOADA'!$K$125&amp;""</f>
        <v/>
      </c>
      <c r="EE12" s="145">
        <f>'FICHA AMALDIÇOADA'!$K$126&amp;""</f>
        <v/>
      </c>
      <c r="EF12" s="145">
        <f>'FICHA AMALDIÇOADA'!$K$127&amp;""</f>
        <v/>
      </c>
      <c r="EG12" s="145">
        <f>'FICHA AMALDIÇOADA'!$K$128&amp;""</f>
        <v/>
      </c>
      <c r="EH12" s="145">
        <f>IF($DZ12&lt;&gt;"",1,0)</f>
        <v/>
      </c>
      <c r="EI12" s="145">
        <f>IFERROR(MATCH($EA12,$Y$2:$Y$11,0),0)</f>
        <v/>
      </c>
      <c r="EJ12" s="145">
        <f>IF($EI12=0,0,INDEX($AB$2:$AB$11,$EI12))</f>
        <v/>
      </c>
      <c r="EK12" s="145">
        <f>IFERROR(VLOOKUP($EB12,$BC$2:$BJ$84,4,FALSE),0)</f>
        <v/>
      </c>
      <c r="EL12" s="145">
        <f>IFERROR(VLOOKUP($EC12,$BC$2:$BJ$84,4,FALSE),0)</f>
        <v/>
      </c>
      <c r="EM12" s="145">
        <f>IFERROR(VLOOKUP($ED12,$BC$2:$BJ$84,4,FALSE),0)</f>
        <v/>
      </c>
      <c r="EN12" s="145">
        <f>IFERROR(VLOOKUP($EE12,$BC$2:$BJ$84,4,FALSE),0)</f>
        <v/>
      </c>
      <c r="EO12" s="145">
        <f>IF($EI12=0,0,INDEX($AC$2:$AC$11,$EI12))</f>
        <v/>
      </c>
      <c r="EP12" s="145">
        <f>IFERROR(VLOOKUP($EB12,$BC$2:$BJ$84,5,FALSE),0)</f>
        <v/>
      </c>
      <c r="EQ12" s="145">
        <f>IFERROR(VLOOKUP($EC12,$BC$2:$BJ$84,5,FALSE),0)</f>
        <v/>
      </c>
      <c r="ER12" s="145">
        <f>IFERROR(VLOOKUP($ED12,$BC$2:$BJ$84,5,FALSE),0)</f>
        <v/>
      </c>
      <c r="ES12" s="145">
        <f>IFERROR(VLOOKUP($EE12,$BC$2:$BJ$84,5,FALSE),0)</f>
        <v/>
      </c>
      <c r="ET12" s="145">
        <f>IFERROR(VLOOKUP($EB12,$BC$2:$BJ$84,6,FALSE),0)+IFERROR(VLOOKUP($EC12,$BC$2:$BJ$84,6,FALSE),0)+IFERROR(VLOOKUP($ED12,$BC$2:$BJ$84,6,FALSE),0)+IFERROR(VLOOKUP($EE12,$BC$2:$BJ$84,6,FALSE),0)</f>
        <v/>
      </c>
      <c r="EU12" s="145">
        <f>IF($EI12=0,0,INDEX($AD$2:$AD$11,$EI12))</f>
        <v/>
      </c>
      <c r="EV12" s="145">
        <f>IF($EI12=0,0,INDEX($AE$2:$AE$11,$EI12))</f>
        <v/>
      </c>
      <c r="EW12" s="145">
        <f>IF($EI12=0,0,INDEX($AG$2:$AG$11,$EI12))</f>
        <v/>
      </c>
      <c r="EX12" s="145">
        <f>IFERROR(VLOOKUP($EF12,$BL$2:$BP$24,3,FALSE),0)</f>
        <v/>
      </c>
      <c r="EY12" s="145">
        <f>IFERROR(VLOOKUP($EG12,$BL$2:$BP$24,3,FALSE),0)</f>
        <v/>
      </c>
      <c r="EZ12" s="145">
        <f>IFERROR(VLOOKUP($EF12,$BL$2:$BP$24,2,FALSE),"")</f>
        <v/>
      </c>
      <c r="FA12" s="145">
        <f>IFERROR(VLOOKUP($EG12,$BL$2:$BP$24,2,FALSE),"")</f>
        <v/>
      </c>
      <c r="FB12" s="145">
        <f>COUNTIF($EJ12:$EN12,1)</f>
        <v/>
      </c>
      <c r="FC12" s="145">
        <f>COUNTIF($EJ12:$EN12,2)</f>
        <v/>
      </c>
      <c r="FD12" s="145">
        <f>COUNTIF($EJ12:$EN12,3)</f>
        <v/>
      </c>
      <c r="FE12" s="145">
        <f>COUNTIF($EJ12:$EN12,4)</f>
        <v/>
      </c>
      <c r="FF12" s="145">
        <f>COUNTIF($EJ12:$EN12,5)</f>
        <v/>
      </c>
      <c r="FG12" s="145">
        <f>COUNTIF($EJ12:$EN12,6)</f>
        <v/>
      </c>
      <c r="FH12" s="145">
        <f>COUNTIF($EX12:$EY12,1)</f>
        <v/>
      </c>
      <c r="FI12" s="145">
        <f>COUNTIF($EX12:$EY12,2)+$EU12</f>
        <v/>
      </c>
      <c r="FJ12" s="145">
        <f>COUNTIF($EB12:$EE12,"?*")</f>
        <v/>
      </c>
      <c r="FK12" s="145">
        <f>COUNTIF($EF12:$EG12,"?*")+$EU12</f>
        <v/>
      </c>
      <c r="FL12" s="145">
        <f>SUMPRODUCT($FB12:$FG12,INDEX($Q$2:$V$8,$DY12,0))</f>
        <v/>
      </c>
      <c r="FM12" s="145">
        <f>$FH12*CEILING($DY12/2,1)+$FI12*$DY12</f>
        <v/>
      </c>
      <c r="FN12" s="145">
        <f>MIN(2*$DY12,$FM12)</f>
        <v/>
      </c>
      <c r="FO12" s="145">
        <f>MIN($FN12,$FL12)</f>
        <v/>
      </c>
      <c r="FP12" s="145">
        <f>$FN12-$FO12</f>
        <v/>
      </c>
      <c r="FQ12" s="145">
        <f>3*$DY12-$FL12+$FO12</f>
        <v/>
      </c>
      <c r="FR12" s="145">
        <f>MAX(0,$FQ12)+$DW12*$DY12</f>
        <v/>
      </c>
      <c r="FS12" s="145">
        <f>(IF(COUNTIF($EB12:$EE12,"Salto")&gt;0,1,0)+IF(COUNTIF($EB12:$EE12,"Queima")&gt;0,1,0)+IF(COUNTIF($EB12:$EE12,"Estilhaço")&gt;0,1,0))*FLOOR($FR12/2,1)</f>
        <v/>
      </c>
      <c r="FT12" s="145">
        <f>MAX(0,3-SUMPRODUCT($FB12:$FG12,$Q$2:$V$2)+MIN(2,$FH12*1+$FI12*1,SUMPRODUCT($FB12:$FG12,$Q$2:$V$2)))+$DW12*1</f>
        <v/>
      </c>
      <c r="FU12" s="145">
        <f>MAX(0,6-SUMPRODUCT($FB12:$FG12,$Q$3:$V$3)+MIN(4,$FH12*1+$FI12*2,SUMPRODUCT($FB12:$FG12,$Q$3:$V$3)))+$DW12*2</f>
        <v/>
      </c>
      <c r="FV12" s="145">
        <f>MAX(0,9-SUMPRODUCT($FB12:$FG12,$Q$4:$V$4)+MIN(6,$FH12*2+$FI12*3,SUMPRODUCT($FB12:$FG12,$Q$4:$V$4)))+$DW12*3</f>
        <v/>
      </c>
      <c r="FW12" s="145">
        <f>MAX(0,12-SUMPRODUCT($FB12:$FG12,$Q$5:$V$5)+MIN(8,$FH12*2+$FI12*4,SUMPRODUCT($FB12:$FG12,$Q$5:$V$5)))+$DW12*4</f>
        <v/>
      </c>
      <c r="FX12" s="145">
        <f>MAX(0,15-SUMPRODUCT($FB12:$FG12,$Q$6:$V$6)+MIN(10,$FH12*3+$FI12*5,SUMPRODUCT($FB12:$FG12,$Q$6:$V$6)))+$DW12*5</f>
        <v/>
      </c>
      <c r="FY12" s="145">
        <f>MAX(0,18-SUMPRODUCT($FB12:$FG12,$Q$7:$V$7)+MIN(12,$FH12*3+$FI12*6,SUMPRODUCT($FB12:$FG12,$Q$7:$V$7)))+$DW12*6</f>
        <v/>
      </c>
      <c r="FZ12" s="145">
        <f>MAX(0,21-SUMPRODUCT($FB12:$FG12,$Q$8:$V$8)+MIN(14,$FH12*4+$FI12*7,SUMPRODUCT($FB12:$FG12,$Q$8:$V$8)))+$DW12*7</f>
        <v/>
      </c>
      <c r="GA12" s="145">
        <f>IF($EV12=2,3*$FT12&amp;" de vida temp.",IF($EV12=3,"sem dano",IF($FT12=0,IF($EV12=1,"sem cura","sem dano"),IF($EV12=1,"cura ","")&amp;$FT12&amp;"d8")))</f>
        <v/>
      </c>
      <c r="GB12" s="145">
        <f>IF($EV12=2,3*$FU12&amp;" de vida temp.",IF($EV12=3,"sem dano",IF($FU12=0,IF($EV12=1,"sem cura","sem dano"),IF($EV12=1,"cura ","")&amp;$FU12&amp;"d8")))</f>
        <v/>
      </c>
      <c r="GC12" s="145">
        <f>IF($EV12=2,3*$FV12&amp;" de vida temp.",IF($EV12=3,"sem dano",IF($FV12=0,IF($EV12=1,"sem cura","sem dano"),IF($EV12=1,"cura ","")&amp;$FV12&amp;"d8")))</f>
        <v/>
      </c>
      <c r="GD12" s="145">
        <f>IF($EV12=2,3*$FW12&amp;" de vida temp.",IF($EV12=3,"sem dano",IF($FW12=0,IF($EV12=1,"sem cura","sem dano"),IF($EV12=1,"cura ","")&amp;$FW12&amp;"d8")))</f>
        <v/>
      </c>
      <c r="GE12" s="145">
        <f>IF($EV12=2,3*$FX12&amp;" de vida temp.",IF($EV12=3,"sem dano",IF($FX12=0,IF($EV12=1,"sem cura","sem dano"),IF($EV12=1,"cura ","")&amp;$FX12&amp;"d8")))</f>
        <v/>
      </c>
      <c r="GF12" s="145">
        <f>IF($EV12=2,3*$FY12&amp;" de vida temp.",IF($EV12=3,"sem dano",IF($FY12=0,IF($EV12=1,"sem cura","sem dano"),IF($EV12=1,"cura ","")&amp;$FY12&amp;"d8")))</f>
        <v/>
      </c>
      <c r="GG12" s="145">
        <f>IF($EV12=2,3*$FZ12&amp;" de vida temp.",IF($EV12=3,"sem dano",IF($FZ12=0,IF($EV12=1,"sem cura","sem dano"),IF($EV12=1,"cura ","")&amp;$FZ12&amp;"d8")))</f>
        <v/>
      </c>
      <c r="GH12" s="145">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45">
        <f>IF($GH12="",0,(LEN($GH12)-LEN(SUBSTITUTE($GH12," · ","")))/3+1)</f>
        <v/>
      </c>
      <c r="GJ12" s="145">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45">
        <f>IF($GJ12="",0,(LEN($GJ12)-LEN(SUBSTITUTE($GJ12," · ","")))/3+1)</f>
        <v/>
      </c>
      <c r="GL12" s="145">
        <f>IF($EH12=0,IF($FJ12+$FK12-$EU12&gt;0,"Dê um nome",""),IF($GI12&gt;0,"⚠ "&amp;$GI12&amp;IF($GI12&gt;1," erros"," erro"),IF($GK12&gt;0,"! "&amp;$GK12&amp;IF($GK12&gt;1," avisos"," aviso"),"Na regra")))</f>
        <v/>
      </c>
      <c r="GM12" s="145">
        <f>IF($EH12=0,"",IF($GI12+$GK12=0,"Dentro das regras que a ficha confere",$GH12&amp;IF(AND($GI12&gt;0,$GK12&gt;0)," · ","")&amp;$GJ12))</f>
        <v/>
      </c>
      <c r="GN12" s="145">
        <f>IF($EH12=0,"",IF($DW12=1,CEILING(4.5*$DY12,1),3*$DY12)&amp;" PE")</f>
        <v/>
      </c>
      <c r="GO12" s="145">
        <f>IF($EH12=0,"",IF($DW12=1,"Rodada inteira",IF(COUNTIF($EZ12:$FA12,"Atrasar")&gt;0,IF(COUNTIF($EZ12:$FA12,"Carregar")&gt;0,"Rodada +1 turno","Rodada inteira"),IF(COUNTIF($EB12:$EE12,"Rápido")&gt;0,"Bônus",IF(COUNTIF($EB12:$EE12,"Reação")&gt;0,"Reação","Padrão"))&amp;IF(COUNTIF($EZ12:$FA12,"Carregar")&gt;0," +1 turno",""))))</f>
        <v/>
      </c>
      <c r="GP12" s="145">
        <f>IF(OR($EH12=0,$EI12=0),"",IF(COUNTIF($EB12:$EE12,"Inescapável")&gt;0,"Automático",IF(COUNTIF($EB12:$EE12,"Certeiro")&gt;0,"TR para metade",INDEX($AF$2:$AF$11,$EI12))))</f>
        <v/>
      </c>
      <c r="GQ12" s="145">
        <f>IF(OR($EH12=0,$EI12=0),"",IF(OR($EV12&gt;=2,$FR12=0),UPPER(LEFT(INDEX($GA12:$GG12,1,$DY12),1))&amp;MID(INDEX($GA12:$GG12,1,$DY12),2,99),UPPER(LEFT(INDEX($GA12:$GG12,1,$DY12),1))&amp;MID(INDEX($GA12:$GG12,1,$DY12),2,99)&amp;" = "&amp;FLOOR($FR12*4.5,1)&amp;IF($FS12&gt;0," · +"&amp;$FS12&amp;"d8","")))</f>
        <v/>
      </c>
      <c r="GR12" s="145">
        <f>COUNTIF($EB12:$EE12,"Longe")+3*COUNTIF($EB12:$EE12,"Muito Longe")</f>
        <v/>
      </c>
      <c r="GS12" s="145">
        <f>COUNTIF($EB12:$EE12,"Maior")+3*COUNTIF($EB12:$EE12,"Muito Maior")</f>
        <v/>
      </c>
      <c r="GT12" s="145">
        <f>IF($EI12=0,0,CHOOSE(1+INDEX($AH$2:$AH$11,$EI12),0,$GR12,$GS12,$GR12+$GS12))</f>
        <v/>
      </c>
      <c r="GU12" s="145">
        <f>IF($EI12=0,0,CHOOSE(1+INDEX($AI$2:$AI$11,$EI12),0,$GR12,$GS12,$GR12+$GS12))</f>
        <v/>
      </c>
      <c r="GV12" s="145">
        <f>IF(OR($EH12=0,$EI12=0),"",INDEX($AP$2:$AU$31,($EI12-1)*3+IF($DY12&gt;=6,3,2),1+MIN(5,$GT12))&amp;INDEX($AV$2:$BA$31,($EI12-1)*3+IF($DY12&gt;=6,3,2),1+MIN(5,$GU12))&amp;IF(INDEX($AJ$2:$AJ$11,$EI12)=1,IF(COUNTIF($EB12:$EE12,"Mais Um")&gt;0," · +"&amp;COUNTIF($EB12:$EE12,"Mais Um")&amp;IF(COUNTIF($EB12:$EE12,"Mais Um")&gt;1," alvos"," alvo"),"")&amp;IF(COUNTIF($EB12:$EE12,"Rajada")&gt;0," · "&amp;($DY12+1)&amp;" tiros",""),""))</f>
        <v/>
      </c>
      <c r="GW12" s="145">
        <f>IF($EH12=0,"",3*$DY12&amp;" − "&amp;$FL12&amp;" + "&amp;$FO12&amp;IF($DW12=1," + "&amp;$DY12,"")&amp;" = "&amp;$FR12&amp;"d8 · teto "&amp;4*$DY12&amp;IF($EU12=1," · a Forma devolve "&amp;$DY12,"")&amp;IF($FP12&gt;0," · perde "&amp;$FP12,""))</f>
        <v/>
      </c>
      <c r="GX12" s="145">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5">
        <f>IF(OR($EH12=0,$EK12=0),"","−"&amp;INDEX($Q$2:$V$8,$DY12,$EK12)&amp;" · "&amp;CHOOSE($EK12,"Leve","Média","Pesada","Leve · Livre","Média · Livre","Pesada · Livre"))</f>
        <v/>
      </c>
      <c r="GZ12" s="145">
        <f>IF(OR($EH12=0,$EL12=0),"","−"&amp;INDEX($Q$2:$V$8,$DY12,$EL12)&amp;" · "&amp;CHOOSE($EL12,"Leve","Média","Pesada","Leve · Livre","Média · Livre","Pesada · Livre"))</f>
        <v/>
      </c>
      <c r="HA12" s="145">
        <f>IF(OR($EH12=0,$EM12=0),"","−"&amp;INDEX($Q$2:$V$8,$DY12,$EM12)&amp;" · "&amp;CHOOSE($EM12,"Leve","Média","Pesada","Leve · Livre","Média · Livre","Pesada · Livre"))</f>
        <v/>
      </c>
      <c r="HB12" s="145">
        <f>IF(OR($EH12=0,$EN12=0),"","−"&amp;INDEX($Q$2:$V$8,$DY12,$EN12)&amp;" · "&amp;CHOOSE($EN12,"Leve","Média","Pesada","Leve · Livre","Média · Livre","Pesada · Livre"))</f>
        <v/>
      </c>
      <c r="HC12" s="145">
        <f>IF(OR($EH12=0,$EF12=""),"","+"&amp;IF($EX12=1,CEILING($DY12/2,1),$DY12))</f>
        <v/>
      </c>
      <c r="HD12" s="145">
        <f>IF(OR($EH12=0,$EG12=""),"","+"&amp;IF($EY12=1,CEILING($DY12/2,1),$DY12))</f>
        <v/>
      </c>
      <c r="HE12" s="145">
        <f>'FICHA AMALDIÇOADA'!$J$116&amp;""</f>
        <v/>
      </c>
      <c r="HF12" s="145">
        <f>IF(AND($EH12=1,$DW12=0),COUNTIFS($EH$2:$EH12,1,$DW$2:$DW12,0),"")</f>
        <v/>
      </c>
      <c r="HH12" s="143" t="inlineStr">
        <is>
          <t>espaços do nível</t>
        </is>
      </c>
      <c r="HI12" s="145">
        <f>2+INT($HI$2/2)+$HI$5</f>
        <v/>
      </c>
      <c r="HK12" s="143" t="inlineStr">
        <is>
          <t>Talento 11 · Leque</t>
        </is>
      </c>
      <c r="HL12" s="145">
        <f>'FICHA AMALDIÇOADA'!$P$405&amp;""</f>
        <v/>
      </c>
      <c r="HM12" s="145">
        <f>IFERROR(VLOOKUP($HL12,$BR$2:$BX$24,2,FALSE),0)</f>
        <v/>
      </c>
      <c r="HN12" s="145">
        <f>IFERROR(VLOOKUP($HM12,$BZ$2:$CA$4,2,FALSE),0)</f>
        <v/>
      </c>
      <c r="HO12" s="145">
        <f>IFERROR(VLOOKUP($HL12,$BR$2:$BX$24,3,FALSE),"")</f>
        <v/>
      </c>
      <c r="HP12" s="145">
        <f>IF($HM12=0,"",IF($HN12&gt;$HI$2,"⚠ Nível "&amp;$HN12,"CE "&amp;$HM12))</f>
        <v/>
      </c>
      <c r="HQ12" s="145">
        <f>IF($HM12=0,"",IF(6&gt;$HI$8,"⚠ Vaga","Grátis"))</f>
        <v/>
      </c>
      <c r="HR12" s="145">
        <f>'FICHA AMALDIÇOADA'!$Q$410&amp;""</f>
        <v/>
      </c>
      <c r="HS12" s="145">
        <f>IF($HL12="","",COUNTIF($HL$2:$HL12,"?*"))</f>
        <v/>
      </c>
      <c r="HU12" s="143" t="inlineStr">
        <is>
          <t>Aptidão 11</t>
        </is>
      </c>
      <c r="HV12" s="145">
        <f>'FICHA AMALDIÇOADA'!$J$492&amp;""</f>
        <v/>
      </c>
      <c r="HW12" s="145">
        <f>IF($HV12="","","Requisito: "&amp;IFERROR(VLOOKUP($HV12,$CC$2:$CL$33,2,FALSE),""))</f>
        <v/>
      </c>
      <c r="HX12" s="145">
        <f>IF($HV12="","",IFERROR(IF(ISNUMBER(VLOOKUP($HV12,$CC$2:$CL$33,3,FALSE)),"CE "&amp;VLOOKUP($HV12,$CC$2:$CL$33,3,FALSE),VLOOKUP($HV12,$CC$2:$CL$33,3,FALSE)),""))</f>
        <v/>
      </c>
      <c r="HY12" s="145">
        <f>IF($HV12="","",IFERROR(VLOOKUP($HV12,$CC$2:$CL$33,4,FALSE),""))</f>
        <v/>
      </c>
      <c r="HZ12" s="145">
        <f>IF($HV12="","",IFERROR(VLOOKUP($HV12,$CC$2:$CL$33,5,FALSE),""))</f>
        <v/>
      </c>
      <c r="IA12" s="145">
        <f>'FICHA AMALDIÇOADA'!$K$509&amp;""</f>
        <v/>
      </c>
      <c r="IB12" s="145">
        <f>IF($HV12="","",COUNTIF($HV$2:$HV12,"?*"))</f>
        <v/>
      </c>
      <c r="JD12" s="145" t="n">
        <v>11</v>
      </c>
      <c r="JE12" s="145">
        <f>IFERROR(MATCH(11,$HF$2:$HF$37,0),0)</f>
        <v/>
      </c>
      <c r="JF12" s="145">
        <f>IF($JE12=0,"",INDEX($DY$2:$DY$37,$JE12))</f>
        <v/>
      </c>
      <c r="JG12" s="145">
        <f>IF($JE12=0,"",INDEX($DZ$2:$DZ$37,$JE12))</f>
        <v/>
      </c>
      <c r="JH12" s="145">
        <f>IF($JE12=0,"",INDEX($GN$2:$GN$37,$JE12))</f>
        <v/>
      </c>
      <c r="JI12" s="145">
        <f>IF($JE12=0,"",INDEX($EA$2:$EA$37,$JE12))</f>
        <v/>
      </c>
      <c r="JJ12" s="145">
        <f>IF($JE12=0,"",INDEX($GP$2:$GP$37,$JE12))</f>
        <v/>
      </c>
      <c r="JK12" s="145">
        <f>IF($JE12=0,"",INDEX($HE$2:$HE$37,$JE12))</f>
        <v/>
      </c>
      <c r="KB12" s="143" t="inlineStr">
        <is>
          <t>Talento 9</t>
        </is>
      </c>
      <c r="KC12" s="145">
        <f>IFERROR(MATCH(9,$HS$2:$HS$13,0),0)</f>
        <v/>
      </c>
      <c r="KD12" s="145">
        <f>IF($KC12=0,"",IF(INDEX($HM$2:$HM$13,$KC12)=0,"","CE "&amp;INDEX($HM$2:$HM$13,$KC12)))</f>
        <v/>
      </c>
      <c r="KE12" s="145">
        <f>IF($KC12=0,"",INDEX($HL$2:$HL$13,$KC12))</f>
        <v/>
      </c>
      <c r="KF12" s="145">
        <f>IF($KC12=0,"",IF(INDEX($HR$2:$HR$13,$KC12)&lt;&gt;"",INDEX($HR$2:$HR$13,$KC12),IF(IFERROR(VLOOKUP(INDEX($HL$2:$HL$13,$KC12),$BR$2:$BX$24,7,FALSE),"")&lt;&gt;"","Do livro: "&amp;IFERROR(VLOOKUP(INDEX($HL$2:$HL$13,$KC12),$BR$2:$BX$24,7,FALSE),""),"")))</f>
        <v/>
      </c>
      <c r="KH12" s="143" t="inlineStr">
        <is>
          <t>Aptidão 9</t>
        </is>
      </c>
      <c r="KI12" s="145">
        <f>IFERROR(MATCH(9,$IB$2:$IB$13,0),0)</f>
        <v/>
      </c>
      <c r="KJ12" s="145">
        <f>IF($KI12=0,"",INDEX($HX$2:$HX$13,$KI12))</f>
        <v/>
      </c>
      <c r="KK12" s="145">
        <f>IF($KI12=0,"",INDEX($HV$2:$HV$13,$KI12))</f>
        <v/>
      </c>
      <c r="KL12" s="145">
        <f>IF($KI12=0,"",IF(INDEX($IA$2:$IA$13,$KI12)&lt;&gt;"",INDEX($IA$2:$IA$13,$KI12),IF(IFERROR(VLOOKUP(INDEX($HV$2:$HV$13,$KI12),$CC$2:$CL$33,10,FALSE),"")&lt;&gt;"","Do livro: "&amp;IFERROR(VLOOKUP(INDEX($HV$2:$HV$13,$KI12),$CC$2:$CL$33,10,FALSE),""),"")))</f>
        <v/>
      </c>
      <c r="KN12" s="143" t="inlineStr">
        <is>
          <t>par 6</t>
        </is>
      </c>
      <c r="KO12" s="145">
        <f>UPPER(INDEX($D$3:$G$3,1,$A$2))&amp;" 19 A 24"</f>
        <v/>
      </c>
      <c r="KQ12" s="143" t="inlineStr">
        <is>
          <t>J17</t>
        </is>
      </c>
      <c r="KR12" s="145">
        <f>IF(DADOS_AM!$HI$41=1,"GRUPO 2","—")</f>
        <v/>
      </c>
    </row>
    <row r="13">
      <c r="C13" s="143" t="inlineStr">
        <is>
          <t>peça da rota</t>
        </is>
      </c>
      <c r="D13" s="143" t="inlineStr">
        <is>
          <t>—</t>
        </is>
      </c>
      <c r="E13" s="143" t="inlineStr">
        <is>
          <t>Semente</t>
        </is>
      </c>
      <c r="F13" s="143" t="inlineStr">
        <is>
          <t>Equipamento</t>
        </is>
      </c>
      <c r="G13" s="143" t="inlineStr">
        <is>
          <t>Equipamento</t>
        </is>
      </c>
      <c r="AO13" s="143" t="inlineStr">
        <is>
          <t>Aura · classes 6 e 7</t>
        </is>
      </c>
      <c r="AP13" s="143" t="inlineStr">
        <is>
          <t>Raio 4,5 m, em você</t>
        </is>
      </c>
      <c r="AQ13" s="143" t="inlineStr">
        <is>
          <t>Raio 6 m, em você</t>
        </is>
      </c>
      <c r="AR13" s="143" t="inlineStr">
        <is>
          <t>Raio 9 m, em você</t>
        </is>
      </c>
      <c r="AS13" s="143" t="inlineStr">
        <is>
          <t>Raio 15 m, em você</t>
        </is>
      </c>
      <c r="AT13" s="143" t="inlineStr">
        <is>
          <t>Raio 15 m, em você</t>
        </is>
      </c>
      <c r="AU13" s="143" t="inlineStr">
        <is>
          <t>Raio 15 m, em você</t>
        </is>
      </c>
      <c r="AV13" s="143" t="inlineStr"/>
      <c r="AW13" s="143" t="inlineStr"/>
      <c r="AX13" s="143" t="inlineStr"/>
      <c r="AY13" s="143" t="inlineStr"/>
      <c r="AZ13" s="143" t="inlineStr"/>
      <c r="BA13" s="143" t="inlineStr"/>
      <c r="BC13" s="143" t="inlineStr">
        <is>
          <t>Rajada</t>
        </is>
      </c>
      <c r="BD13" s="143" t="inlineStr">
        <is>
          <t>Área</t>
        </is>
      </c>
      <c r="BE13" s="145" t="n">
        <v>1</v>
      </c>
      <c r="BF13" s="145">
        <f>$BE13+3*IFERROR(VLOOKUP($BD13,$I$2:$L$10,3,FALSE),0)</f>
        <v/>
      </c>
      <c r="BG13" s="145">
        <f>IFERROR(VLOOKUP($BD13,$I$2:$L$10,4,FALSE),0)</f>
        <v/>
      </c>
      <c r="BH13" s="145" t="n">
        <v>0</v>
      </c>
      <c r="BI13" s="145">
        <f>IF($BG13=1,"",$BC13)</f>
        <v/>
      </c>
      <c r="BJ13" s="145">
        <f>IF(AND($BE13=1,$BG13=0),$BC13,"")</f>
        <v/>
      </c>
      <c r="BL13" s="143" t="inlineStr">
        <is>
          <t>Frágil</t>
        </is>
      </c>
      <c r="BM13" s="143" t="inlineStr">
        <is>
          <t>Frágil</t>
        </is>
      </c>
      <c r="BN13" s="145" t="n">
        <v>1</v>
      </c>
      <c r="BO13" s="145" t="n">
        <v>0</v>
      </c>
      <c r="BP13" s="143" t="inlineStr">
        <is>
          <t>Frágil</t>
        </is>
      </c>
      <c r="BR13" s="143" t="inlineStr">
        <is>
          <t>Contramedida</t>
        </is>
      </c>
      <c r="BS13" s="145" t="n">
        <v>2</v>
      </c>
      <c r="BT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45" t="n">
        <v>1</v>
      </c>
      <c r="BV13" s="145" t="n">
        <v>0</v>
      </c>
      <c r="BW13" s="145">
        <f>IF(OR(AND($A$2&lt;=2,$BU13=1),AND($A$2&gt;=2,$BV13=1)),$BR13,"")</f>
        <v/>
      </c>
      <c r="BX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43" t="inlineStr">
        <is>
          <t>Extensão de Domínio</t>
        </is>
      </c>
      <c r="CD13" s="143" t="inlineStr">
        <is>
          <t>Refino 7 e nível 18; aprendizado registrado; indisponível ao Corpo Amaldiçoado</t>
        </is>
      </c>
      <c r="CE13" s="145" t="n">
        <v>3</v>
      </c>
      <c r="CF13" s="143" t="inlineStr">
        <is>
          <t>—</t>
        </is>
      </c>
      <c r="CG13" s="14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45">
        <f>IF($CK13=1,"",IF($A$2=4,IF($CI13=1,$CC13,""),IF(OR($CI13=1,AND($A$2=3,$CJ13=1)),"",$CC13)))</f>
        <v/>
      </c>
      <c r="CI13" s="145" t="n">
        <v>0</v>
      </c>
      <c r="CJ13" s="145" t="n">
        <v>1</v>
      </c>
      <c r="CK13" s="145" t="n">
        <v>0</v>
      </c>
      <c r="CL13" s="143" t="inlineStr">
        <is>
          <t>Você precisa ter visto uma Extensão em uso, estudado seu funcionamento ou aprendido com alguém.</t>
        </is>
      </c>
      <c r="CT13" s="143" t="inlineStr">
        <is>
          <t>Machado</t>
        </is>
      </c>
      <c r="CU13" s="145" t="n">
        <v>1</v>
      </c>
      <c r="CV13" s="145" t="n">
        <v>1</v>
      </c>
      <c r="CW13" s="145">
        <f>IF(AND($A$2&gt;=3,'FICHA AMALDIÇOADA'!$J$16&amp;""="Três grupos de arma"),$CT13,"")</f>
        <v/>
      </c>
      <c r="DV13" s="143" t="inlineStr">
        <is>
          <t>Feitiço 12</t>
        </is>
      </c>
      <c r="DW13" s="145" t="n">
        <v>0</v>
      </c>
      <c r="DX13" s="145" t="n">
        <v>12</v>
      </c>
      <c r="DY13" s="145">
        <f>MAX(1,MIN(7,N('FICHA AMALDIÇOADA'!$P$114)))</f>
        <v/>
      </c>
      <c r="DZ13" s="145">
        <f>'FICHA AMALDIÇOADA'!$Q$114&amp;""</f>
        <v/>
      </c>
      <c r="EA13" s="145">
        <f>'FICHA AMALDIÇOADA'!$P$121&amp;""</f>
        <v/>
      </c>
      <c r="EB13" s="145">
        <f>'FICHA AMALDIÇOADA'!$Q$123&amp;""</f>
        <v/>
      </c>
      <c r="EC13" s="145">
        <f>'FICHA AMALDIÇOADA'!$Q$124&amp;""</f>
        <v/>
      </c>
      <c r="ED13" s="145">
        <f>'FICHA AMALDIÇOADA'!$Q$125&amp;""</f>
        <v/>
      </c>
      <c r="EE13" s="145">
        <f>'FICHA AMALDIÇOADA'!$Q$126&amp;""</f>
        <v/>
      </c>
      <c r="EF13" s="145">
        <f>'FICHA AMALDIÇOADA'!$Q$127&amp;""</f>
        <v/>
      </c>
      <c r="EG13" s="145">
        <f>'FICHA AMALDIÇOADA'!$Q$128&amp;""</f>
        <v/>
      </c>
      <c r="EH13" s="145">
        <f>IF($DZ13&lt;&gt;"",1,0)</f>
        <v/>
      </c>
      <c r="EI13" s="145">
        <f>IFERROR(MATCH($EA13,$Y$2:$Y$11,0),0)</f>
        <v/>
      </c>
      <c r="EJ13" s="145">
        <f>IF($EI13=0,0,INDEX($AB$2:$AB$11,$EI13))</f>
        <v/>
      </c>
      <c r="EK13" s="145">
        <f>IFERROR(VLOOKUP($EB13,$BC$2:$BJ$84,4,FALSE),0)</f>
        <v/>
      </c>
      <c r="EL13" s="145">
        <f>IFERROR(VLOOKUP($EC13,$BC$2:$BJ$84,4,FALSE),0)</f>
        <v/>
      </c>
      <c r="EM13" s="145">
        <f>IFERROR(VLOOKUP($ED13,$BC$2:$BJ$84,4,FALSE),0)</f>
        <v/>
      </c>
      <c r="EN13" s="145">
        <f>IFERROR(VLOOKUP($EE13,$BC$2:$BJ$84,4,FALSE),0)</f>
        <v/>
      </c>
      <c r="EO13" s="145">
        <f>IF($EI13=0,0,INDEX($AC$2:$AC$11,$EI13))</f>
        <v/>
      </c>
      <c r="EP13" s="145">
        <f>IFERROR(VLOOKUP($EB13,$BC$2:$BJ$84,5,FALSE),0)</f>
        <v/>
      </c>
      <c r="EQ13" s="145">
        <f>IFERROR(VLOOKUP($EC13,$BC$2:$BJ$84,5,FALSE),0)</f>
        <v/>
      </c>
      <c r="ER13" s="145">
        <f>IFERROR(VLOOKUP($ED13,$BC$2:$BJ$84,5,FALSE),0)</f>
        <v/>
      </c>
      <c r="ES13" s="145">
        <f>IFERROR(VLOOKUP($EE13,$BC$2:$BJ$84,5,FALSE),0)</f>
        <v/>
      </c>
      <c r="ET13" s="145">
        <f>IFERROR(VLOOKUP($EB13,$BC$2:$BJ$84,6,FALSE),0)+IFERROR(VLOOKUP($EC13,$BC$2:$BJ$84,6,FALSE),0)+IFERROR(VLOOKUP($ED13,$BC$2:$BJ$84,6,FALSE),0)+IFERROR(VLOOKUP($EE13,$BC$2:$BJ$84,6,FALSE),0)</f>
        <v/>
      </c>
      <c r="EU13" s="145">
        <f>IF($EI13=0,0,INDEX($AD$2:$AD$11,$EI13))</f>
        <v/>
      </c>
      <c r="EV13" s="145">
        <f>IF($EI13=0,0,INDEX($AE$2:$AE$11,$EI13))</f>
        <v/>
      </c>
      <c r="EW13" s="145">
        <f>IF($EI13=0,0,INDEX($AG$2:$AG$11,$EI13))</f>
        <v/>
      </c>
      <c r="EX13" s="145">
        <f>IFERROR(VLOOKUP($EF13,$BL$2:$BP$24,3,FALSE),0)</f>
        <v/>
      </c>
      <c r="EY13" s="145">
        <f>IFERROR(VLOOKUP($EG13,$BL$2:$BP$24,3,FALSE),0)</f>
        <v/>
      </c>
      <c r="EZ13" s="145">
        <f>IFERROR(VLOOKUP($EF13,$BL$2:$BP$24,2,FALSE),"")</f>
        <v/>
      </c>
      <c r="FA13" s="145">
        <f>IFERROR(VLOOKUP($EG13,$BL$2:$BP$24,2,FALSE),"")</f>
        <v/>
      </c>
      <c r="FB13" s="145">
        <f>COUNTIF($EJ13:$EN13,1)</f>
        <v/>
      </c>
      <c r="FC13" s="145">
        <f>COUNTIF($EJ13:$EN13,2)</f>
        <v/>
      </c>
      <c r="FD13" s="145">
        <f>COUNTIF($EJ13:$EN13,3)</f>
        <v/>
      </c>
      <c r="FE13" s="145">
        <f>COUNTIF($EJ13:$EN13,4)</f>
        <v/>
      </c>
      <c r="FF13" s="145">
        <f>COUNTIF($EJ13:$EN13,5)</f>
        <v/>
      </c>
      <c r="FG13" s="145">
        <f>COUNTIF($EJ13:$EN13,6)</f>
        <v/>
      </c>
      <c r="FH13" s="145">
        <f>COUNTIF($EX13:$EY13,1)</f>
        <v/>
      </c>
      <c r="FI13" s="145">
        <f>COUNTIF($EX13:$EY13,2)+$EU13</f>
        <v/>
      </c>
      <c r="FJ13" s="145">
        <f>COUNTIF($EB13:$EE13,"?*")</f>
        <v/>
      </c>
      <c r="FK13" s="145">
        <f>COUNTIF($EF13:$EG13,"?*")+$EU13</f>
        <v/>
      </c>
      <c r="FL13" s="145">
        <f>SUMPRODUCT($FB13:$FG13,INDEX($Q$2:$V$8,$DY13,0))</f>
        <v/>
      </c>
      <c r="FM13" s="145">
        <f>$FH13*CEILING($DY13/2,1)+$FI13*$DY13</f>
        <v/>
      </c>
      <c r="FN13" s="145">
        <f>MIN(2*$DY13,$FM13)</f>
        <v/>
      </c>
      <c r="FO13" s="145">
        <f>MIN($FN13,$FL13)</f>
        <v/>
      </c>
      <c r="FP13" s="145">
        <f>$FN13-$FO13</f>
        <v/>
      </c>
      <c r="FQ13" s="145">
        <f>3*$DY13-$FL13+$FO13</f>
        <v/>
      </c>
      <c r="FR13" s="145">
        <f>MAX(0,$FQ13)+$DW13*$DY13</f>
        <v/>
      </c>
      <c r="FS13" s="145">
        <f>(IF(COUNTIF($EB13:$EE13,"Salto")&gt;0,1,0)+IF(COUNTIF($EB13:$EE13,"Queima")&gt;0,1,0)+IF(COUNTIF($EB13:$EE13,"Estilhaço")&gt;0,1,0))*FLOOR($FR13/2,1)</f>
        <v/>
      </c>
      <c r="FT13" s="145">
        <f>MAX(0,3-SUMPRODUCT($FB13:$FG13,$Q$2:$V$2)+MIN(2,$FH13*1+$FI13*1,SUMPRODUCT($FB13:$FG13,$Q$2:$V$2)))+$DW13*1</f>
        <v/>
      </c>
      <c r="FU13" s="145">
        <f>MAX(0,6-SUMPRODUCT($FB13:$FG13,$Q$3:$V$3)+MIN(4,$FH13*1+$FI13*2,SUMPRODUCT($FB13:$FG13,$Q$3:$V$3)))+$DW13*2</f>
        <v/>
      </c>
      <c r="FV13" s="145">
        <f>MAX(0,9-SUMPRODUCT($FB13:$FG13,$Q$4:$V$4)+MIN(6,$FH13*2+$FI13*3,SUMPRODUCT($FB13:$FG13,$Q$4:$V$4)))+$DW13*3</f>
        <v/>
      </c>
      <c r="FW13" s="145">
        <f>MAX(0,12-SUMPRODUCT($FB13:$FG13,$Q$5:$V$5)+MIN(8,$FH13*2+$FI13*4,SUMPRODUCT($FB13:$FG13,$Q$5:$V$5)))+$DW13*4</f>
        <v/>
      </c>
      <c r="FX13" s="145">
        <f>MAX(0,15-SUMPRODUCT($FB13:$FG13,$Q$6:$V$6)+MIN(10,$FH13*3+$FI13*5,SUMPRODUCT($FB13:$FG13,$Q$6:$V$6)))+$DW13*5</f>
        <v/>
      </c>
      <c r="FY13" s="145">
        <f>MAX(0,18-SUMPRODUCT($FB13:$FG13,$Q$7:$V$7)+MIN(12,$FH13*3+$FI13*6,SUMPRODUCT($FB13:$FG13,$Q$7:$V$7)))+$DW13*6</f>
        <v/>
      </c>
      <c r="FZ13" s="145">
        <f>MAX(0,21-SUMPRODUCT($FB13:$FG13,$Q$8:$V$8)+MIN(14,$FH13*4+$FI13*7,SUMPRODUCT($FB13:$FG13,$Q$8:$V$8)))+$DW13*7</f>
        <v/>
      </c>
      <c r="GA13" s="145">
        <f>IF($EV13=2,3*$FT13&amp;" de vida temp.",IF($EV13=3,"sem dano",IF($FT13=0,IF($EV13=1,"sem cura","sem dano"),IF($EV13=1,"cura ","")&amp;$FT13&amp;"d8")))</f>
        <v/>
      </c>
      <c r="GB13" s="145">
        <f>IF($EV13=2,3*$FU13&amp;" de vida temp.",IF($EV13=3,"sem dano",IF($FU13=0,IF($EV13=1,"sem cura","sem dano"),IF($EV13=1,"cura ","")&amp;$FU13&amp;"d8")))</f>
        <v/>
      </c>
      <c r="GC13" s="145">
        <f>IF($EV13=2,3*$FV13&amp;" de vida temp.",IF($EV13=3,"sem dano",IF($FV13=0,IF($EV13=1,"sem cura","sem dano"),IF($EV13=1,"cura ","")&amp;$FV13&amp;"d8")))</f>
        <v/>
      </c>
      <c r="GD13" s="145">
        <f>IF($EV13=2,3*$FW13&amp;" de vida temp.",IF($EV13=3,"sem dano",IF($FW13=0,IF($EV13=1,"sem cura","sem dano"),IF($EV13=1,"cura ","")&amp;$FW13&amp;"d8")))</f>
        <v/>
      </c>
      <c r="GE13" s="145">
        <f>IF($EV13=2,3*$FX13&amp;" de vida temp.",IF($EV13=3,"sem dano",IF($FX13=0,IF($EV13=1,"sem cura","sem dano"),IF($EV13=1,"cura ","")&amp;$FX13&amp;"d8")))</f>
        <v/>
      </c>
      <c r="GF13" s="145">
        <f>IF($EV13=2,3*$FY13&amp;" de vida temp.",IF($EV13=3,"sem dano",IF($FY13=0,IF($EV13=1,"sem cura","sem dano"),IF($EV13=1,"cura ","")&amp;$FY13&amp;"d8")))</f>
        <v/>
      </c>
      <c r="GG13" s="145">
        <f>IF($EV13=2,3*$FZ13&amp;" de vida temp.",IF($EV13=3,"sem dano",IF($FZ13=0,IF($EV13=1,"sem cura","sem dano"),IF($EV13=1,"cura ","")&amp;$FZ13&amp;"d8")))</f>
        <v/>
      </c>
      <c r="GH13" s="145">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45">
        <f>IF($GH13="",0,(LEN($GH13)-LEN(SUBSTITUTE($GH13," · ","")))/3+1)</f>
        <v/>
      </c>
      <c r="GJ13" s="145">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45">
        <f>IF($GJ13="",0,(LEN($GJ13)-LEN(SUBSTITUTE($GJ13," · ","")))/3+1)</f>
        <v/>
      </c>
      <c r="GL13" s="145">
        <f>IF($EH13=0,IF($FJ13+$FK13-$EU13&gt;0,"Dê um nome",""),IF($GI13&gt;0,"⚠ "&amp;$GI13&amp;IF($GI13&gt;1," erros"," erro"),IF($GK13&gt;0,"! "&amp;$GK13&amp;IF($GK13&gt;1," avisos"," aviso"),"Na regra")))</f>
        <v/>
      </c>
      <c r="GM13" s="145">
        <f>IF($EH13=0,"",IF($GI13+$GK13=0,"Dentro das regras que a ficha confere",$GH13&amp;IF(AND($GI13&gt;0,$GK13&gt;0)," · ","")&amp;$GJ13))</f>
        <v/>
      </c>
      <c r="GN13" s="145">
        <f>IF($EH13=0,"",IF($DW13=1,CEILING(4.5*$DY13,1),3*$DY13)&amp;" PE")</f>
        <v/>
      </c>
      <c r="GO13" s="145">
        <f>IF($EH13=0,"",IF($DW13=1,"Rodada inteira",IF(COUNTIF($EZ13:$FA13,"Atrasar")&gt;0,IF(COUNTIF($EZ13:$FA13,"Carregar")&gt;0,"Rodada +1 turno","Rodada inteira"),IF(COUNTIF($EB13:$EE13,"Rápido")&gt;0,"Bônus",IF(COUNTIF($EB13:$EE13,"Reação")&gt;0,"Reação","Padrão"))&amp;IF(COUNTIF($EZ13:$FA13,"Carregar")&gt;0," +1 turno",""))))</f>
        <v/>
      </c>
      <c r="GP13" s="145">
        <f>IF(OR($EH13=0,$EI13=0),"",IF(COUNTIF($EB13:$EE13,"Inescapável")&gt;0,"Automático",IF(COUNTIF($EB13:$EE13,"Certeiro")&gt;0,"TR para metade",INDEX($AF$2:$AF$11,$EI13))))</f>
        <v/>
      </c>
      <c r="GQ13" s="145">
        <f>IF(OR($EH13=0,$EI13=0),"",IF(OR($EV13&gt;=2,$FR13=0),UPPER(LEFT(INDEX($GA13:$GG13,1,$DY13),1))&amp;MID(INDEX($GA13:$GG13,1,$DY13),2,99),UPPER(LEFT(INDEX($GA13:$GG13,1,$DY13),1))&amp;MID(INDEX($GA13:$GG13,1,$DY13),2,99)&amp;" = "&amp;FLOOR($FR13*4.5,1)&amp;IF($FS13&gt;0," · +"&amp;$FS13&amp;"d8","")))</f>
        <v/>
      </c>
      <c r="GR13" s="145">
        <f>COUNTIF($EB13:$EE13,"Longe")+3*COUNTIF($EB13:$EE13,"Muito Longe")</f>
        <v/>
      </c>
      <c r="GS13" s="145">
        <f>COUNTIF($EB13:$EE13,"Maior")+3*COUNTIF($EB13:$EE13,"Muito Maior")</f>
        <v/>
      </c>
      <c r="GT13" s="145">
        <f>IF($EI13=0,0,CHOOSE(1+INDEX($AH$2:$AH$11,$EI13),0,$GR13,$GS13,$GR13+$GS13))</f>
        <v/>
      </c>
      <c r="GU13" s="145">
        <f>IF($EI13=0,0,CHOOSE(1+INDEX($AI$2:$AI$11,$EI13),0,$GR13,$GS13,$GR13+$GS13))</f>
        <v/>
      </c>
      <c r="GV13" s="145">
        <f>IF(OR($EH13=0,$EI13=0),"",INDEX($AP$2:$AU$31,($EI13-1)*3+IF($DY13&gt;=6,3,2),1+MIN(5,$GT13))&amp;INDEX($AV$2:$BA$31,($EI13-1)*3+IF($DY13&gt;=6,3,2),1+MIN(5,$GU13))&amp;IF(INDEX($AJ$2:$AJ$11,$EI13)=1,IF(COUNTIF($EB13:$EE13,"Mais Um")&gt;0," · +"&amp;COUNTIF($EB13:$EE13,"Mais Um")&amp;IF(COUNTIF($EB13:$EE13,"Mais Um")&gt;1," alvos"," alvo"),"")&amp;IF(COUNTIF($EB13:$EE13,"Rajada")&gt;0," · "&amp;($DY13+1)&amp;" tiros",""),""))</f>
        <v/>
      </c>
      <c r="GW13" s="145">
        <f>IF($EH13=0,"",3*$DY13&amp;" − "&amp;$FL13&amp;" + "&amp;$FO13&amp;IF($DW13=1," + "&amp;$DY13,"")&amp;" = "&amp;$FR13&amp;"d8 · teto "&amp;4*$DY13&amp;IF($EU13=1," · a Forma devolve "&amp;$DY13,"")&amp;IF($FP13&gt;0," · perde "&amp;$FP13,""))</f>
        <v/>
      </c>
      <c r="GX13" s="145">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5">
        <f>IF(OR($EH13=0,$EK13=0),"","−"&amp;INDEX($Q$2:$V$8,$DY13,$EK13)&amp;" · "&amp;CHOOSE($EK13,"Leve","Média","Pesada","Leve · Livre","Média · Livre","Pesada · Livre"))</f>
        <v/>
      </c>
      <c r="GZ13" s="145">
        <f>IF(OR($EH13=0,$EL13=0),"","−"&amp;INDEX($Q$2:$V$8,$DY13,$EL13)&amp;" · "&amp;CHOOSE($EL13,"Leve","Média","Pesada","Leve · Livre","Média · Livre","Pesada · Livre"))</f>
        <v/>
      </c>
      <c r="HA13" s="145">
        <f>IF(OR($EH13=0,$EM13=0),"","−"&amp;INDEX($Q$2:$V$8,$DY13,$EM13)&amp;" · "&amp;CHOOSE($EM13,"Leve","Média","Pesada","Leve · Livre","Média · Livre","Pesada · Livre"))</f>
        <v/>
      </c>
      <c r="HB13" s="145">
        <f>IF(OR($EH13=0,$EN13=0),"","−"&amp;INDEX($Q$2:$V$8,$DY13,$EN13)&amp;" · "&amp;CHOOSE($EN13,"Leve","Média","Pesada","Leve · Livre","Média · Livre","Pesada · Livre"))</f>
        <v/>
      </c>
      <c r="HC13" s="145">
        <f>IF(OR($EH13=0,$EF13=""),"","+"&amp;IF($EX13=1,CEILING($DY13/2,1),$DY13))</f>
        <v/>
      </c>
      <c r="HD13" s="145">
        <f>IF(OR($EH13=0,$EG13=""),"","+"&amp;IF($EY13=1,CEILING($DY13/2,1),$DY13))</f>
        <v/>
      </c>
      <c r="HE13" s="145">
        <f>'FICHA AMALDIÇOADA'!$P$116&amp;""</f>
        <v/>
      </c>
      <c r="HF13" s="145">
        <f>IF(AND($EH13=1,$DW13=0),COUNTIFS($EH$2:$EH13,1,$DW$2:$DW13,0),"")</f>
        <v/>
      </c>
      <c r="HH13" s="143" t="inlineStr">
        <is>
          <t>espaços de pacto</t>
        </is>
      </c>
      <c r="HI13" s="145">
        <f>IF(AND('FICHA AMALDIÇOADA'!$L$518="Permanente",'FICHA AMALDIÇOADA'!$P$518="Um espaço conhecido"),1,0)+IF(AND('FICHA AMALDIÇOADA'!$L$528="Permanente",'FICHA AMALDIÇOADA'!$P$528="Um espaço conhecido"),1,0)+IF(AND('FICHA AMALDIÇOADA'!$L$538="Permanente",'FICHA AMALDIÇOADA'!$P$538="Um espaço conhecido"),1,0)</f>
        <v/>
      </c>
      <c r="HK13" s="143" t="inlineStr">
        <is>
          <t>Talento 12 · Leque</t>
        </is>
      </c>
      <c r="HL13" s="145">
        <f>'FICHA AMALDIÇOADA'!$D$413&amp;""</f>
        <v/>
      </c>
      <c r="HM13" s="145">
        <f>IFERROR(VLOOKUP($HL13,$BR$2:$BX$24,2,FALSE),0)</f>
        <v/>
      </c>
      <c r="HN13" s="145">
        <f>IFERROR(VLOOKUP($HM13,$BZ$2:$CA$4,2,FALSE),0)</f>
        <v/>
      </c>
      <c r="HO13" s="145">
        <f>IFERROR(VLOOKUP($HL13,$BR$2:$BX$24,3,FALSE),"")</f>
        <v/>
      </c>
      <c r="HP13" s="145">
        <f>IF($HM13=0,"",IF($HN13&gt;$HI$2,"⚠ Nível "&amp;$HN13,"CE "&amp;$HM13))</f>
        <v/>
      </c>
      <c r="HQ13" s="145">
        <f>IF($HM13=0,"",IF(7&gt;$HI$8,"⚠ Vaga","Grátis"))</f>
        <v/>
      </c>
      <c r="HR13" s="145">
        <f>'FICHA AMALDIÇOADA'!$E$418&amp;""</f>
        <v/>
      </c>
      <c r="HS13" s="145">
        <f>IF($HL13="","",COUNTIF($HL$2:$HL13,"?*"))</f>
        <v/>
      </c>
      <c r="HU13" s="143" t="inlineStr">
        <is>
          <t>Aptidão 12</t>
        </is>
      </c>
      <c r="HV13" s="145">
        <f>'FICHA AMALDIÇOADA'!$P$492&amp;""</f>
        <v/>
      </c>
      <c r="HW13" s="145">
        <f>IF($HV13="","","Requisito: "&amp;IFERROR(VLOOKUP($HV13,$CC$2:$CL$33,2,FALSE),""))</f>
        <v/>
      </c>
      <c r="HX13" s="145">
        <f>IF($HV13="","",IFERROR(IF(ISNUMBER(VLOOKUP($HV13,$CC$2:$CL$33,3,FALSE)),"CE "&amp;VLOOKUP($HV13,$CC$2:$CL$33,3,FALSE),VLOOKUP($HV13,$CC$2:$CL$33,3,FALSE)),""))</f>
        <v/>
      </c>
      <c r="HY13" s="145">
        <f>IF($HV13="","",IFERROR(VLOOKUP($HV13,$CC$2:$CL$33,4,FALSE),""))</f>
        <v/>
      </c>
      <c r="HZ13" s="145">
        <f>IF($HV13="","",IFERROR(VLOOKUP($HV13,$CC$2:$CL$33,5,FALSE),""))</f>
        <v/>
      </c>
      <c r="IA13" s="145">
        <f>'FICHA AMALDIÇOADA'!$Q$509&amp;""</f>
        <v/>
      </c>
      <c r="IB13" s="145">
        <f>IF($HV13="","",COUNTIF($HV$2:$HV13,"?*"))</f>
        <v/>
      </c>
      <c r="JD13" s="145" t="n">
        <v>12</v>
      </c>
      <c r="JE13" s="145">
        <f>IFERROR(MATCH(12,$HF$2:$HF$37,0),0)</f>
        <v/>
      </c>
      <c r="JF13" s="145">
        <f>IF($JE13=0,"",INDEX($DY$2:$DY$37,$JE13))</f>
        <v/>
      </c>
      <c r="JG13" s="145">
        <f>IF($JE13=0,"",INDEX($DZ$2:$DZ$37,$JE13))</f>
        <v/>
      </c>
      <c r="JH13" s="145">
        <f>IF($JE13=0,"",INDEX($GN$2:$GN$37,$JE13))</f>
        <v/>
      </c>
      <c r="JI13" s="145">
        <f>IF($JE13=0,"",INDEX($EA$2:$EA$37,$JE13))</f>
        <v/>
      </c>
      <c r="JJ13" s="145">
        <f>IF($JE13=0,"",INDEX($GP$2:$GP$37,$JE13))</f>
        <v/>
      </c>
      <c r="JK13" s="145">
        <f>IF($JE13=0,"",INDEX($HE$2:$HE$37,$JE13))</f>
        <v/>
      </c>
      <c r="KB13" s="143" t="inlineStr">
        <is>
          <t>Talento 10</t>
        </is>
      </c>
      <c r="KC13" s="145">
        <f>IFERROR(MATCH(10,$HS$2:$HS$13,0),0)</f>
        <v/>
      </c>
      <c r="KD13" s="145">
        <f>IF($KC13=0,"",IF(INDEX($HM$2:$HM$13,$KC13)=0,"","CE "&amp;INDEX($HM$2:$HM$13,$KC13)))</f>
        <v/>
      </c>
      <c r="KE13" s="145">
        <f>IF($KC13=0,"",INDEX($HL$2:$HL$13,$KC13))</f>
        <v/>
      </c>
      <c r="KF13" s="145">
        <f>IF($KC13=0,"",IF(INDEX($HR$2:$HR$13,$KC13)&lt;&gt;"",INDEX($HR$2:$HR$13,$KC13),IF(IFERROR(VLOOKUP(INDEX($HL$2:$HL$13,$KC13),$BR$2:$BX$24,7,FALSE),"")&lt;&gt;"","Do livro: "&amp;IFERROR(VLOOKUP(INDEX($HL$2:$HL$13,$KC13),$BR$2:$BX$24,7,FALSE),""),"")))</f>
        <v/>
      </c>
      <c r="KH13" s="143" t="inlineStr">
        <is>
          <t>Aptidão 10</t>
        </is>
      </c>
      <c r="KI13" s="145">
        <f>IFERROR(MATCH(10,$IB$2:$IB$13,0),0)</f>
        <v/>
      </c>
      <c r="KJ13" s="145">
        <f>IF($KI13=0,"",INDEX($HX$2:$HX$13,$KI13))</f>
        <v/>
      </c>
      <c r="KK13" s="145">
        <f>IF($KI13=0,"",INDEX($HV$2:$HV$13,$KI13))</f>
        <v/>
      </c>
      <c r="KL13" s="145">
        <f>IF($KI13=0,"",IF(INDEX($IA$2:$IA$13,$KI13)&lt;&gt;"",INDEX($IA$2:$IA$13,$KI13),IF(IFERROR(VLOOKUP(INDEX($HV$2:$HV$13,$KI13),$CC$2:$CL$33,10,FALSE),"")&lt;&gt;"","Do livro: "&amp;IFERROR(VLOOKUP(INDEX($HV$2:$HV$13,$KI13),$CC$2:$CL$33,10,FALSE),""),"")))</f>
        <v/>
      </c>
      <c r="KN13" s="143" t="inlineStr">
        <is>
          <t>par 8</t>
        </is>
      </c>
      <c r="KO13" s="145">
        <f>UPPER(INDEX($D$3:$G$3,1,$A$2))&amp;" 25 A 30"</f>
        <v/>
      </c>
      <c r="KQ13" s="143" t="inlineStr">
        <is>
          <t>J19</t>
        </is>
      </c>
      <c r="KR13" s="145">
        <f>IF(DADOS_AM!$HI$43="","",DADOS_AM!$HI$43&amp;" · "&amp;"d20 + "&amp;(DADOS_AM!$HI$3+DADOS_AM!$HI$46+IFERROR(VALUE(FICHA!$W$47&amp;""),0))&amp;" · CD "&amp;(8+DADOS_AM!$HI$3+DADOS_AM!$HI$46+IFERROR(VALUE(FICHA!$L$47&amp;""),0)))</f>
        <v/>
      </c>
    </row>
    <row r="14">
      <c r="C14" s="143" t="inlineStr">
        <is>
          <t>o que ela dá</t>
        </is>
      </c>
      <c r="D14" s="143" t="inlineStr">
        <is>
          <t>—</t>
        </is>
      </c>
      <c r="E14" s="143" t="inlineStr">
        <is>
          <t>O que a semente dá</t>
        </is>
      </c>
      <c r="F14" s="143" t="inlineStr">
        <is>
          <t>Golpe simples</t>
        </is>
      </c>
      <c r="G14" s="143" t="inlineStr">
        <is>
          <t>Golpe simples</t>
        </is>
      </c>
      <c r="AO14" s="143" t="inlineStr">
        <is>
          <t>Cone · classe 0</t>
        </is>
      </c>
      <c r="AP14" s="143" t="inlineStr">
        <is>
          <t>Cone de 3 m</t>
        </is>
      </c>
      <c r="AQ14" s="143" t="inlineStr">
        <is>
          <t>Cone de 4,5 m</t>
        </is>
      </c>
      <c r="AR14" s="143" t="inlineStr">
        <is>
          <t>Cone de 9 m</t>
        </is>
      </c>
      <c r="AS14" s="143" t="inlineStr">
        <is>
          <t>Cone de 18 m</t>
        </is>
      </c>
      <c r="AT14" s="143" t="inlineStr">
        <is>
          <t>Cone de 30 m</t>
        </is>
      </c>
      <c r="AU14" s="143" t="inlineStr">
        <is>
          <t>Cone de 60 m</t>
        </is>
      </c>
      <c r="AV14" s="143" t="inlineStr"/>
      <c r="AW14" s="143" t="inlineStr"/>
      <c r="AX14" s="143" t="inlineStr"/>
      <c r="AY14" s="143" t="inlineStr"/>
      <c r="AZ14" s="143" t="inlineStr"/>
      <c r="BA14" s="143" t="inlineStr"/>
      <c r="BC14" s="143" t="inlineStr">
        <is>
          <t>Fica</t>
        </is>
      </c>
      <c r="BD14" s="143" t="inlineStr">
        <is>
          <t>Área</t>
        </is>
      </c>
      <c r="BE14" s="145" t="n">
        <v>2</v>
      </c>
      <c r="BF14" s="145">
        <f>$BE14+3*IFERROR(VLOOKUP($BD14,$I$2:$L$10,3,FALSE),0)</f>
        <v/>
      </c>
      <c r="BG14" s="145">
        <f>IFERROR(VLOOKUP($BD14,$I$2:$L$10,4,FALSE),0)</f>
        <v/>
      </c>
      <c r="BH14" s="145" t="n">
        <v>0</v>
      </c>
      <c r="BI14" s="145">
        <f>IF($BG14=1,"",$BC14)</f>
        <v/>
      </c>
      <c r="BJ14" s="145">
        <f>IF(AND($BE14=1,$BG14=0),$BC14,"")</f>
        <v/>
      </c>
      <c r="BL14" s="143" t="inlineStr">
        <is>
          <t>Sem Volta</t>
        </is>
      </c>
      <c r="BM14" s="143" t="inlineStr">
        <is>
          <t>Sem Volta</t>
        </is>
      </c>
      <c r="BN14" s="145" t="n">
        <v>2</v>
      </c>
      <c r="BO14" s="145" t="n">
        <v>0</v>
      </c>
      <c r="BP14" s="143" t="inlineStr"/>
      <c r="BR14" s="143" t="inlineStr">
        <is>
          <t>Peso da Presença</t>
        </is>
      </c>
      <c r="BS14" s="145" t="n">
        <v>2</v>
      </c>
      <c r="BT14" s="14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45" t="n">
        <v>1</v>
      </c>
      <c r="BV14" s="145" t="n">
        <v>0</v>
      </c>
      <c r="BW14" s="145">
        <f>IF(OR(AND($A$2&lt;=2,$BU14=1),AND($A$2&gt;=2,$BV14=1)),$BR14,"")</f>
        <v/>
      </c>
      <c r="BX14" s="143" t="inlineStr">
        <is>
          <t>Um inimigo da categoria Capanga que comece o turno a até 6 m de você faz um TR Espírito contra a CD da sua técnica.</t>
        </is>
      </c>
      <c r="CC14" s="143" t="inlineStr">
        <is>
          <t>Barreira Simples</t>
        </is>
      </c>
      <c r="CD14" s="143" t="inlineStr">
        <is>
          <t>Uma escolha de aptidão</t>
        </is>
      </c>
      <c r="CE14" s="143" t="inlineStr">
        <is>
          <t>—</t>
        </is>
      </c>
      <c r="CF14" s="143" t="inlineStr">
        <is>
          <t>—</t>
        </is>
      </c>
      <c r="CG14" s="14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45">
        <f>IF($CK14=1,"",IF($A$2=4,IF($CI14=1,$CC14,""),IF(OR($CI14=1,AND($A$2=3,$CJ14=1)),"",$CC14)))</f>
        <v/>
      </c>
      <c r="CI14" s="145" t="n">
        <v>0</v>
      </c>
      <c r="CJ14" s="145" t="n">
        <v>0</v>
      </c>
      <c r="CK14" s="145" t="n">
        <v>0</v>
      </c>
      <c r="CL14" s="143" t="inlineStr">
        <is>
          <t>Você ergue um domo fixo para impedir a passagem por um lugar.</t>
        </is>
      </c>
      <c r="CT14" s="143" t="inlineStr">
        <is>
          <t>Manopla</t>
        </is>
      </c>
      <c r="CU14" s="145" t="n">
        <v>1</v>
      </c>
      <c r="CV14" s="145" t="n">
        <v>0</v>
      </c>
      <c r="CW14" s="145">
        <f>IF(AND($A$2&gt;=3,'FICHA AMALDIÇOADA'!$J$16&amp;""="Três grupos de arma"),$CT14,"")</f>
        <v/>
      </c>
      <c r="DV14" s="143" t="inlineStr">
        <is>
          <t>Feitiço 13</t>
        </is>
      </c>
      <c r="DW14" s="145" t="n">
        <v>0</v>
      </c>
      <c r="DX14" s="145" t="n">
        <v>13</v>
      </c>
      <c r="DY14" s="145">
        <f>MAX(1,MIN(7,N('FICHA AMALDIÇOADA'!$D$137)))</f>
        <v/>
      </c>
      <c r="DZ14" s="145">
        <f>'FICHA AMALDIÇOADA'!$E$137&amp;""</f>
        <v/>
      </c>
      <c r="EA14" s="145">
        <f>'FICHA AMALDIÇOADA'!$D$144&amp;""</f>
        <v/>
      </c>
      <c r="EB14" s="145">
        <f>'FICHA AMALDIÇOADA'!$E$146&amp;""</f>
        <v/>
      </c>
      <c r="EC14" s="145">
        <f>'FICHA AMALDIÇOADA'!$E$147&amp;""</f>
        <v/>
      </c>
      <c r="ED14" s="145">
        <f>'FICHA AMALDIÇOADA'!$E$148&amp;""</f>
        <v/>
      </c>
      <c r="EE14" s="145">
        <f>'FICHA AMALDIÇOADA'!$E$149&amp;""</f>
        <v/>
      </c>
      <c r="EF14" s="145">
        <f>'FICHA AMALDIÇOADA'!$E$150&amp;""</f>
        <v/>
      </c>
      <c r="EG14" s="145">
        <f>'FICHA AMALDIÇOADA'!$E$151&amp;""</f>
        <v/>
      </c>
      <c r="EH14" s="145">
        <f>IF($DZ14&lt;&gt;"",1,0)</f>
        <v/>
      </c>
      <c r="EI14" s="145">
        <f>IFERROR(MATCH($EA14,$Y$2:$Y$11,0),0)</f>
        <v/>
      </c>
      <c r="EJ14" s="145">
        <f>IF($EI14=0,0,INDEX($AB$2:$AB$11,$EI14))</f>
        <v/>
      </c>
      <c r="EK14" s="145">
        <f>IFERROR(VLOOKUP($EB14,$BC$2:$BJ$84,4,FALSE),0)</f>
        <v/>
      </c>
      <c r="EL14" s="145">
        <f>IFERROR(VLOOKUP($EC14,$BC$2:$BJ$84,4,FALSE),0)</f>
        <v/>
      </c>
      <c r="EM14" s="145">
        <f>IFERROR(VLOOKUP($ED14,$BC$2:$BJ$84,4,FALSE),0)</f>
        <v/>
      </c>
      <c r="EN14" s="145">
        <f>IFERROR(VLOOKUP($EE14,$BC$2:$BJ$84,4,FALSE),0)</f>
        <v/>
      </c>
      <c r="EO14" s="145">
        <f>IF($EI14=0,0,INDEX($AC$2:$AC$11,$EI14))</f>
        <v/>
      </c>
      <c r="EP14" s="145">
        <f>IFERROR(VLOOKUP($EB14,$BC$2:$BJ$84,5,FALSE),0)</f>
        <v/>
      </c>
      <c r="EQ14" s="145">
        <f>IFERROR(VLOOKUP($EC14,$BC$2:$BJ$84,5,FALSE),0)</f>
        <v/>
      </c>
      <c r="ER14" s="145">
        <f>IFERROR(VLOOKUP($ED14,$BC$2:$BJ$84,5,FALSE),0)</f>
        <v/>
      </c>
      <c r="ES14" s="145">
        <f>IFERROR(VLOOKUP($EE14,$BC$2:$BJ$84,5,FALSE),0)</f>
        <v/>
      </c>
      <c r="ET14" s="145">
        <f>IFERROR(VLOOKUP($EB14,$BC$2:$BJ$84,6,FALSE),0)+IFERROR(VLOOKUP($EC14,$BC$2:$BJ$84,6,FALSE),0)+IFERROR(VLOOKUP($ED14,$BC$2:$BJ$84,6,FALSE),0)+IFERROR(VLOOKUP($EE14,$BC$2:$BJ$84,6,FALSE),0)</f>
        <v/>
      </c>
      <c r="EU14" s="145">
        <f>IF($EI14=0,0,INDEX($AD$2:$AD$11,$EI14))</f>
        <v/>
      </c>
      <c r="EV14" s="145">
        <f>IF($EI14=0,0,INDEX($AE$2:$AE$11,$EI14))</f>
        <v/>
      </c>
      <c r="EW14" s="145">
        <f>IF($EI14=0,0,INDEX($AG$2:$AG$11,$EI14))</f>
        <v/>
      </c>
      <c r="EX14" s="145">
        <f>IFERROR(VLOOKUP($EF14,$BL$2:$BP$24,3,FALSE),0)</f>
        <v/>
      </c>
      <c r="EY14" s="145">
        <f>IFERROR(VLOOKUP($EG14,$BL$2:$BP$24,3,FALSE),0)</f>
        <v/>
      </c>
      <c r="EZ14" s="145">
        <f>IFERROR(VLOOKUP($EF14,$BL$2:$BP$24,2,FALSE),"")</f>
        <v/>
      </c>
      <c r="FA14" s="145">
        <f>IFERROR(VLOOKUP($EG14,$BL$2:$BP$24,2,FALSE),"")</f>
        <v/>
      </c>
      <c r="FB14" s="145">
        <f>COUNTIF($EJ14:$EN14,1)</f>
        <v/>
      </c>
      <c r="FC14" s="145">
        <f>COUNTIF($EJ14:$EN14,2)</f>
        <v/>
      </c>
      <c r="FD14" s="145">
        <f>COUNTIF($EJ14:$EN14,3)</f>
        <v/>
      </c>
      <c r="FE14" s="145">
        <f>COUNTIF($EJ14:$EN14,4)</f>
        <v/>
      </c>
      <c r="FF14" s="145">
        <f>COUNTIF($EJ14:$EN14,5)</f>
        <v/>
      </c>
      <c r="FG14" s="145">
        <f>COUNTIF($EJ14:$EN14,6)</f>
        <v/>
      </c>
      <c r="FH14" s="145">
        <f>COUNTIF($EX14:$EY14,1)</f>
        <v/>
      </c>
      <c r="FI14" s="145">
        <f>COUNTIF($EX14:$EY14,2)+$EU14</f>
        <v/>
      </c>
      <c r="FJ14" s="145">
        <f>COUNTIF($EB14:$EE14,"?*")</f>
        <v/>
      </c>
      <c r="FK14" s="145">
        <f>COUNTIF($EF14:$EG14,"?*")+$EU14</f>
        <v/>
      </c>
      <c r="FL14" s="145">
        <f>SUMPRODUCT($FB14:$FG14,INDEX($Q$2:$V$8,$DY14,0))</f>
        <v/>
      </c>
      <c r="FM14" s="145">
        <f>$FH14*CEILING($DY14/2,1)+$FI14*$DY14</f>
        <v/>
      </c>
      <c r="FN14" s="145">
        <f>MIN(2*$DY14,$FM14)</f>
        <v/>
      </c>
      <c r="FO14" s="145">
        <f>MIN($FN14,$FL14)</f>
        <v/>
      </c>
      <c r="FP14" s="145">
        <f>$FN14-$FO14</f>
        <v/>
      </c>
      <c r="FQ14" s="145">
        <f>3*$DY14-$FL14+$FO14</f>
        <v/>
      </c>
      <c r="FR14" s="145">
        <f>MAX(0,$FQ14)+$DW14*$DY14</f>
        <v/>
      </c>
      <c r="FS14" s="145">
        <f>(IF(COUNTIF($EB14:$EE14,"Salto")&gt;0,1,0)+IF(COUNTIF($EB14:$EE14,"Queima")&gt;0,1,0)+IF(COUNTIF($EB14:$EE14,"Estilhaço")&gt;0,1,0))*FLOOR($FR14/2,1)</f>
        <v/>
      </c>
      <c r="FT14" s="145">
        <f>MAX(0,3-SUMPRODUCT($FB14:$FG14,$Q$2:$V$2)+MIN(2,$FH14*1+$FI14*1,SUMPRODUCT($FB14:$FG14,$Q$2:$V$2)))+$DW14*1</f>
        <v/>
      </c>
      <c r="FU14" s="145">
        <f>MAX(0,6-SUMPRODUCT($FB14:$FG14,$Q$3:$V$3)+MIN(4,$FH14*1+$FI14*2,SUMPRODUCT($FB14:$FG14,$Q$3:$V$3)))+$DW14*2</f>
        <v/>
      </c>
      <c r="FV14" s="145">
        <f>MAX(0,9-SUMPRODUCT($FB14:$FG14,$Q$4:$V$4)+MIN(6,$FH14*2+$FI14*3,SUMPRODUCT($FB14:$FG14,$Q$4:$V$4)))+$DW14*3</f>
        <v/>
      </c>
      <c r="FW14" s="145">
        <f>MAX(0,12-SUMPRODUCT($FB14:$FG14,$Q$5:$V$5)+MIN(8,$FH14*2+$FI14*4,SUMPRODUCT($FB14:$FG14,$Q$5:$V$5)))+$DW14*4</f>
        <v/>
      </c>
      <c r="FX14" s="145">
        <f>MAX(0,15-SUMPRODUCT($FB14:$FG14,$Q$6:$V$6)+MIN(10,$FH14*3+$FI14*5,SUMPRODUCT($FB14:$FG14,$Q$6:$V$6)))+$DW14*5</f>
        <v/>
      </c>
      <c r="FY14" s="145">
        <f>MAX(0,18-SUMPRODUCT($FB14:$FG14,$Q$7:$V$7)+MIN(12,$FH14*3+$FI14*6,SUMPRODUCT($FB14:$FG14,$Q$7:$V$7)))+$DW14*6</f>
        <v/>
      </c>
      <c r="FZ14" s="145">
        <f>MAX(0,21-SUMPRODUCT($FB14:$FG14,$Q$8:$V$8)+MIN(14,$FH14*4+$FI14*7,SUMPRODUCT($FB14:$FG14,$Q$8:$V$8)))+$DW14*7</f>
        <v/>
      </c>
      <c r="GA14" s="145">
        <f>IF($EV14=2,3*$FT14&amp;" de vida temp.",IF($EV14=3,"sem dano",IF($FT14=0,IF($EV14=1,"sem cura","sem dano"),IF($EV14=1,"cura ","")&amp;$FT14&amp;"d8")))</f>
        <v/>
      </c>
      <c r="GB14" s="145">
        <f>IF($EV14=2,3*$FU14&amp;" de vida temp.",IF($EV14=3,"sem dano",IF($FU14=0,IF($EV14=1,"sem cura","sem dano"),IF($EV14=1,"cura ","")&amp;$FU14&amp;"d8")))</f>
        <v/>
      </c>
      <c r="GC14" s="145">
        <f>IF($EV14=2,3*$FV14&amp;" de vida temp.",IF($EV14=3,"sem dano",IF($FV14=0,IF($EV14=1,"sem cura","sem dano"),IF($EV14=1,"cura ","")&amp;$FV14&amp;"d8")))</f>
        <v/>
      </c>
      <c r="GD14" s="145">
        <f>IF($EV14=2,3*$FW14&amp;" de vida temp.",IF($EV14=3,"sem dano",IF($FW14=0,IF($EV14=1,"sem cura","sem dano"),IF($EV14=1,"cura ","")&amp;$FW14&amp;"d8")))</f>
        <v/>
      </c>
      <c r="GE14" s="145">
        <f>IF($EV14=2,3*$FX14&amp;" de vida temp.",IF($EV14=3,"sem dano",IF($FX14=0,IF($EV14=1,"sem cura","sem dano"),IF($EV14=1,"cura ","")&amp;$FX14&amp;"d8")))</f>
        <v/>
      </c>
      <c r="GF14" s="145">
        <f>IF($EV14=2,3*$FY14&amp;" de vida temp.",IF($EV14=3,"sem dano",IF($FY14=0,IF($EV14=1,"sem cura","sem dano"),IF($EV14=1,"cura ","")&amp;$FY14&amp;"d8")))</f>
        <v/>
      </c>
      <c r="GG14" s="145">
        <f>IF($EV14=2,3*$FZ14&amp;" de vida temp.",IF($EV14=3,"sem dano",IF($FZ14=0,IF($EV14=1,"sem cura","sem dano"),IF($EV14=1,"cura ","")&amp;$FZ14&amp;"d8")))</f>
        <v/>
      </c>
      <c r="GH14" s="145">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45">
        <f>IF($GH14="",0,(LEN($GH14)-LEN(SUBSTITUTE($GH14," · ","")))/3+1)</f>
        <v/>
      </c>
      <c r="GJ14" s="145">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45">
        <f>IF($GJ14="",0,(LEN($GJ14)-LEN(SUBSTITUTE($GJ14," · ","")))/3+1)</f>
        <v/>
      </c>
      <c r="GL14" s="145">
        <f>IF($EH14=0,IF($FJ14+$FK14-$EU14&gt;0,"Dê um nome",""),IF($GI14&gt;0,"⚠ "&amp;$GI14&amp;IF($GI14&gt;1," erros"," erro"),IF($GK14&gt;0,"! "&amp;$GK14&amp;IF($GK14&gt;1," avisos"," aviso"),"Na regra")))</f>
        <v/>
      </c>
      <c r="GM14" s="145">
        <f>IF($EH14=0,"",IF($GI14+$GK14=0,"Dentro das regras que a ficha confere",$GH14&amp;IF(AND($GI14&gt;0,$GK14&gt;0)," · ","")&amp;$GJ14))</f>
        <v/>
      </c>
      <c r="GN14" s="145">
        <f>IF($EH14=0,"",IF($DW14=1,CEILING(4.5*$DY14,1),3*$DY14)&amp;" PE")</f>
        <v/>
      </c>
      <c r="GO14" s="145">
        <f>IF($EH14=0,"",IF($DW14=1,"Rodada inteira",IF(COUNTIF($EZ14:$FA14,"Atrasar")&gt;0,IF(COUNTIF($EZ14:$FA14,"Carregar")&gt;0,"Rodada +1 turno","Rodada inteira"),IF(COUNTIF($EB14:$EE14,"Rápido")&gt;0,"Bônus",IF(COUNTIF($EB14:$EE14,"Reação")&gt;0,"Reação","Padrão"))&amp;IF(COUNTIF($EZ14:$FA14,"Carregar")&gt;0," +1 turno",""))))</f>
        <v/>
      </c>
      <c r="GP14" s="145">
        <f>IF(OR($EH14=0,$EI14=0),"",IF(COUNTIF($EB14:$EE14,"Inescapável")&gt;0,"Automático",IF(COUNTIF($EB14:$EE14,"Certeiro")&gt;0,"TR para metade",INDEX($AF$2:$AF$11,$EI14))))</f>
        <v/>
      </c>
      <c r="GQ14" s="145">
        <f>IF(OR($EH14=0,$EI14=0),"",IF(OR($EV14&gt;=2,$FR14=0),UPPER(LEFT(INDEX($GA14:$GG14,1,$DY14),1))&amp;MID(INDEX($GA14:$GG14,1,$DY14),2,99),UPPER(LEFT(INDEX($GA14:$GG14,1,$DY14),1))&amp;MID(INDEX($GA14:$GG14,1,$DY14),2,99)&amp;" = "&amp;FLOOR($FR14*4.5,1)&amp;IF($FS14&gt;0," · +"&amp;$FS14&amp;"d8","")))</f>
        <v/>
      </c>
      <c r="GR14" s="145">
        <f>COUNTIF($EB14:$EE14,"Longe")+3*COUNTIF($EB14:$EE14,"Muito Longe")</f>
        <v/>
      </c>
      <c r="GS14" s="145">
        <f>COUNTIF($EB14:$EE14,"Maior")+3*COUNTIF($EB14:$EE14,"Muito Maior")</f>
        <v/>
      </c>
      <c r="GT14" s="145">
        <f>IF($EI14=0,0,CHOOSE(1+INDEX($AH$2:$AH$11,$EI14),0,$GR14,$GS14,$GR14+$GS14))</f>
        <v/>
      </c>
      <c r="GU14" s="145">
        <f>IF($EI14=0,0,CHOOSE(1+INDEX($AI$2:$AI$11,$EI14),0,$GR14,$GS14,$GR14+$GS14))</f>
        <v/>
      </c>
      <c r="GV14" s="145">
        <f>IF(OR($EH14=0,$EI14=0),"",INDEX($AP$2:$AU$31,($EI14-1)*3+IF($DY14&gt;=6,3,2),1+MIN(5,$GT14))&amp;INDEX($AV$2:$BA$31,($EI14-1)*3+IF($DY14&gt;=6,3,2),1+MIN(5,$GU14))&amp;IF(INDEX($AJ$2:$AJ$11,$EI14)=1,IF(COUNTIF($EB14:$EE14,"Mais Um")&gt;0," · +"&amp;COUNTIF($EB14:$EE14,"Mais Um")&amp;IF(COUNTIF($EB14:$EE14,"Mais Um")&gt;1," alvos"," alvo"),"")&amp;IF(COUNTIF($EB14:$EE14,"Rajada")&gt;0," · "&amp;($DY14+1)&amp;" tiros",""),""))</f>
        <v/>
      </c>
      <c r="GW14" s="145">
        <f>IF($EH14=0,"",3*$DY14&amp;" − "&amp;$FL14&amp;" + "&amp;$FO14&amp;IF($DW14=1," + "&amp;$DY14,"")&amp;" = "&amp;$FR14&amp;"d8 · teto "&amp;4*$DY14&amp;IF($EU14=1," · a Forma devolve "&amp;$DY14,"")&amp;IF($FP14&gt;0," · perde "&amp;$FP14,""))</f>
        <v/>
      </c>
      <c r="GX14" s="145">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5">
        <f>IF(OR($EH14=0,$EK14=0),"","−"&amp;INDEX($Q$2:$V$8,$DY14,$EK14)&amp;" · "&amp;CHOOSE($EK14,"Leve","Média","Pesada","Leve · Livre","Média · Livre","Pesada · Livre"))</f>
        <v/>
      </c>
      <c r="GZ14" s="145">
        <f>IF(OR($EH14=0,$EL14=0),"","−"&amp;INDEX($Q$2:$V$8,$DY14,$EL14)&amp;" · "&amp;CHOOSE($EL14,"Leve","Média","Pesada","Leve · Livre","Média · Livre","Pesada · Livre"))</f>
        <v/>
      </c>
      <c r="HA14" s="145">
        <f>IF(OR($EH14=0,$EM14=0),"","−"&amp;INDEX($Q$2:$V$8,$DY14,$EM14)&amp;" · "&amp;CHOOSE($EM14,"Leve","Média","Pesada","Leve · Livre","Média · Livre","Pesada · Livre"))</f>
        <v/>
      </c>
      <c r="HB14" s="145">
        <f>IF(OR($EH14=0,$EN14=0),"","−"&amp;INDEX($Q$2:$V$8,$DY14,$EN14)&amp;" · "&amp;CHOOSE($EN14,"Leve","Média","Pesada","Leve · Livre","Média · Livre","Pesada · Livre"))</f>
        <v/>
      </c>
      <c r="HC14" s="145">
        <f>IF(OR($EH14=0,$EF14=""),"","+"&amp;IF($EX14=1,CEILING($DY14/2,1),$DY14))</f>
        <v/>
      </c>
      <c r="HD14" s="145">
        <f>IF(OR($EH14=0,$EG14=""),"","+"&amp;IF($EY14=1,CEILING($DY14/2,1),$DY14))</f>
        <v/>
      </c>
      <c r="HE14" s="145">
        <f>'FICHA AMALDIÇOADA'!$D$139&amp;""</f>
        <v/>
      </c>
      <c r="HF14" s="145">
        <f>IF(AND($EH14=1,$DW14=0),COUNTIFS($EH$2:$EH14,1,$DW$2:$DW14,0),"")</f>
        <v/>
      </c>
      <c r="HH14" s="143" t="inlineStr">
        <is>
          <t>espaços</t>
        </is>
      </c>
      <c r="HI14" s="145">
        <f>$HI$12+$HI$13</f>
        <v/>
      </c>
      <c r="JD14" s="145" t="n">
        <v>13</v>
      </c>
      <c r="JE14" s="145">
        <f>IFERROR(MATCH(13,$HF$2:$HF$37,0),0)</f>
        <v/>
      </c>
      <c r="JF14" s="145">
        <f>IF($JE14=0,"",INDEX($DY$2:$DY$37,$JE14))</f>
        <v/>
      </c>
      <c r="JG14" s="145">
        <f>IF($JE14=0,"",INDEX($DZ$2:$DZ$37,$JE14))</f>
        <v/>
      </c>
      <c r="JH14" s="145">
        <f>IF($JE14=0,"",INDEX($GN$2:$GN$37,$JE14))</f>
        <v/>
      </c>
      <c r="JI14" s="145">
        <f>IF($JE14=0,"",INDEX($EA$2:$EA$37,$JE14))</f>
        <v/>
      </c>
      <c r="JJ14" s="145">
        <f>IF($JE14=0,"",INDEX($GP$2:$GP$37,$JE14))</f>
        <v/>
      </c>
      <c r="JK14" s="145">
        <f>IF($JE14=0,"",INDEX($HE$2:$HE$37,$JE14))</f>
        <v/>
      </c>
      <c r="KB14" s="143" t="inlineStr">
        <is>
          <t>Talento 11</t>
        </is>
      </c>
      <c r="KC14" s="145">
        <f>IFERROR(MATCH(11,$HS$2:$HS$13,0),0)</f>
        <v/>
      </c>
      <c r="KD14" s="145">
        <f>IF($KC14=0,"",IF(INDEX($HM$2:$HM$13,$KC14)=0,"","CE "&amp;INDEX($HM$2:$HM$13,$KC14)))</f>
        <v/>
      </c>
      <c r="KE14" s="145">
        <f>IF($KC14=0,"",INDEX($HL$2:$HL$13,$KC14))</f>
        <v/>
      </c>
      <c r="KF14" s="145">
        <f>IF($KC14=0,"",IF(INDEX($HR$2:$HR$13,$KC14)&lt;&gt;"",INDEX($HR$2:$HR$13,$KC14),IF(IFERROR(VLOOKUP(INDEX($HL$2:$HL$13,$KC14),$BR$2:$BX$24,7,FALSE),"")&lt;&gt;"","Do livro: "&amp;IFERROR(VLOOKUP(INDEX($HL$2:$HL$13,$KC14),$BR$2:$BX$24,7,FALSE),""),"")))</f>
        <v/>
      </c>
      <c r="KH14" s="143" t="inlineStr">
        <is>
          <t>Aptidão 11</t>
        </is>
      </c>
      <c r="KI14" s="145">
        <f>IFERROR(MATCH(11,$IB$2:$IB$13,0),0)</f>
        <v/>
      </c>
      <c r="KJ14" s="145">
        <f>IF($KI14=0,"",INDEX($HX$2:$HX$13,$KI14))</f>
        <v/>
      </c>
      <c r="KK14" s="145">
        <f>IF($KI14=0,"",INDEX($HV$2:$HV$13,$KI14))</f>
        <v/>
      </c>
      <c r="KL14" s="145">
        <f>IF($KI14=0,"",IF(INDEX($IA$2:$IA$13,$KI14)&lt;&gt;"",INDEX($IA$2:$IA$13,$KI14),IF(IFERROR(VLOOKUP(INDEX($HV$2:$HV$13,$KI14),$CC$2:$CL$33,10,FALSE),"")&lt;&gt;"","Do livro: "&amp;IFERROR(VLOOKUP(INDEX($HV$2:$HV$13,$KI14),$CC$2:$CL$33,10,FALSE),""),"")))</f>
        <v/>
      </c>
      <c r="KN14" s="143" t="inlineStr">
        <is>
          <t>par 10</t>
        </is>
      </c>
      <c r="KO14" s="145">
        <f>UPPER(INDEX($D$3:$G$3,1,$A$2))&amp;" 31 A 36"</f>
        <v/>
      </c>
      <c r="KQ14" s="143" t="inlineStr">
        <is>
          <t>P17</t>
        </is>
      </c>
      <c r="KR14" s="145">
        <f>IF(DADOS_AM!$HI$41=1,"GRUPO 3","—")</f>
        <v/>
      </c>
    </row>
    <row r="15">
      <c r="C15" s="143" t="inlineStr">
        <is>
          <t>grupo</t>
        </is>
      </c>
      <c r="D15" s="143" t="inlineStr">
        <is>
          <t>—</t>
        </is>
      </c>
      <c r="E15" s="143" t="inlineStr">
        <is>
          <t>—</t>
        </is>
      </c>
      <c r="F15" s="143" t="inlineStr">
        <is>
          <t>Grupo</t>
        </is>
      </c>
      <c r="G15" s="143" t="inlineStr">
        <is>
          <t>Grupo</t>
        </is>
      </c>
      <c r="AO15" s="143" t="inlineStr">
        <is>
          <t>Cone · classes 1 a 5</t>
        </is>
      </c>
      <c r="AP15" s="143" t="inlineStr">
        <is>
          <t>Cone de 4,5 m</t>
        </is>
      </c>
      <c r="AQ15" s="143" t="inlineStr">
        <is>
          <t>Cone de 9 m</t>
        </is>
      </c>
      <c r="AR15" s="143" t="inlineStr">
        <is>
          <t>Cone de 18 m</t>
        </is>
      </c>
      <c r="AS15" s="143" t="inlineStr">
        <is>
          <t>Cone de 30 m</t>
        </is>
      </c>
      <c r="AT15" s="143" t="inlineStr">
        <is>
          <t>Cone de 60 m</t>
        </is>
      </c>
      <c r="AU15" s="143" t="inlineStr">
        <is>
          <t>Cone de 60 m</t>
        </is>
      </c>
      <c r="AV15" s="143" t="inlineStr"/>
      <c r="AW15" s="143" t="inlineStr"/>
      <c r="AX15" s="143" t="inlineStr"/>
      <c r="AY15" s="143" t="inlineStr"/>
      <c r="AZ15" s="143" t="inlineStr"/>
      <c r="BA15" s="143" t="inlineStr"/>
      <c r="BC15" s="143" t="inlineStr">
        <is>
          <t>Salto</t>
        </is>
      </c>
      <c r="BD15" s="143" t="inlineStr">
        <is>
          <t>Área</t>
        </is>
      </c>
      <c r="BE15" s="145" t="n">
        <v>2</v>
      </c>
      <c r="BF15" s="145">
        <f>$BE15+3*IFERROR(VLOOKUP($BD15,$I$2:$L$10,3,FALSE),0)</f>
        <v/>
      </c>
      <c r="BG15" s="145">
        <f>IFERROR(VLOOKUP($BD15,$I$2:$L$10,4,FALSE),0)</f>
        <v/>
      </c>
      <c r="BH15" s="145" t="n">
        <v>0</v>
      </c>
      <c r="BI15" s="145">
        <f>IF($BG15=1,"",$BC15)</f>
        <v/>
      </c>
      <c r="BJ15" s="145">
        <f>IF(AND($BE15=1,$BG15=0),$BC15,"")</f>
        <v/>
      </c>
      <c r="BL15" s="143" t="inlineStr">
        <is>
          <t>Uma Vez</t>
        </is>
      </c>
      <c r="BM15" s="143" t="inlineStr">
        <is>
          <t>Uma Vez</t>
        </is>
      </c>
      <c r="BN15" s="145" t="n">
        <v>1</v>
      </c>
      <c r="BO15" s="145" t="n">
        <v>1</v>
      </c>
      <c r="BP15" s="143" t="inlineStr">
        <is>
          <t>Uma Vez</t>
        </is>
      </c>
      <c r="BR15" s="143" t="inlineStr">
        <is>
          <t>Escama</t>
        </is>
      </c>
      <c r="BS15" s="145" t="n">
        <v>3</v>
      </c>
      <c r="BT15" s="143" t="inlineStr">
        <is>
          <t>Escolha um tipo de dano que a Regra da sua técnica justifique. Você tem resistência a esse tipo: sofre metade do dano, com o arredondamento das regras de dano.</t>
        </is>
      </c>
      <c r="BU15" s="145" t="n">
        <v>1</v>
      </c>
      <c r="BV15" s="145" t="n">
        <v>0</v>
      </c>
      <c r="BW15" s="145">
        <f>IF(OR(AND($A$2&lt;=2,$BU15=1),AND($A$2&gt;=2,$BV15=1)),$BR15,"")</f>
        <v/>
      </c>
      <c r="BX15" s="143" t="inlineStr">
        <is>
          <t>Escolha um tipo de dano que a Regra da sua técnica justifique. Você tem resistência a esse tipo: sofre metade do dano, com o arredondamento das regras de dano.</t>
        </is>
      </c>
      <c r="CC15" s="143" t="inlineStr">
        <is>
          <t>Cortina</t>
        </is>
      </c>
      <c r="CD15" s="143" t="inlineStr">
        <is>
          <t>Barreira Simples</t>
        </is>
      </c>
      <c r="CE15" s="143" t="inlineStr">
        <is>
          <t>—</t>
        </is>
      </c>
      <c r="CF15" s="143" t="inlineStr">
        <is>
          <t>—</t>
        </is>
      </c>
      <c r="CG15" s="14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45">
        <f>IF($CK15=1,"",IF($A$2=4,IF($CI15=1,$CC15,""),IF(OR($CI15=1,AND($A$2=3,$CJ15=1)),"",$CC15)))</f>
        <v/>
      </c>
      <c r="CI15" s="145" t="n">
        <v>0</v>
      </c>
      <c r="CJ15" s="145" t="n">
        <v>0</v>
      </c>
      <c r="CK15" s="145" t="n">
        <v>0</v>
      </c>
      <c r="CL15" s="143" t="inlineStr">
        <is>
          <t>Você delimita uma área para esconder seu interior de pessoas que não são feiticeiras e controlar a passagem por suas bordas.</t>
        </is>
      </c>
      <c r="DV15" s="143" t="inlineStr">
        <is>
          <t>Feitiço 14</t>
        </is>
      </c>
      <c r="DW15" s="145" t="n">
        <v>0</v>
      </c>
      <c r="DX15" s="145" t="n">
        <v>14</v>
      </c>
      <c r="DY15" s="145">
        <f>MAX(1,MIN(7,N('FICHA AMALDIÇOADA'!$J$137)))</f>
        <v/>
      </c>
      <c r="DZ15" s="145">
        <f>'FICHA AMALDIÇOADA'!$K$137&amp;""</f>
        <v/>
      </c>
      <c r="EA15" s="145">
        <f>'FICHA AMALDIÇOADA'!$J$144&amp;""</f>
        <v/>
      </c>
      <c r="EB15" s="145">
        <f>'FICHA AMALDIÇOADA'!$K$146&amp;""</f>
        <v/>
      </c>
      <c r="EC15" s="145">
        <f>'FICHA AMALDIÇOADA'!$K$147&amp;""</f>
        <v/>
      </c>
      <c r="ED15" s="145">
        <f>'FICHA AMALDIÇOADA'!$K$148&amp;""</f>
        <v/>
      </c>
      <c r="EE15" s="145">
        <f>'FICHA AMALDIÇOADA'!$K$149&amp;""</f>
        <v/>
      </c>
      <c r="EF15" s="145">
        <f>'FICHA AMALDIÇOADA'!$K$150&amp;""</f>
        <v/>
      </c>
      <c r="EG15" s="145">
        <f>'FICHA AMALDIÇOADA'!$K$151&amp;""</f>
        <v/>
      </c>
      <c r="EH15" s="145">
        <f>IF($DZ15&lt;&gt;"",1,0)</f>
        <v/>
      </c>
      <c r="EI15" s="145">
        <f>IFERROR(MATCH($EA15,$Y$2:$Y$11,0),0)</f>
        <v/>
      </c>
      <c r="EJ15" s="145">
        <f>IF($EI15=0,0,INDEX($AB$2:$AB$11,$EI15))</f>
        <v/>
      </c>
      <c r="EK15" s="145">
        <f>IFERROR(VLOOKUP($EB15,$BC$2:$BJ$84,4,FALSE),0)</f>
        <v/>
      </c>
      <c r="EL15" s="145">
        <f>IFERROR(VLOOKUP($EC15,$BC$2:$BJ$84,4,FALSE),0)</f>
        <v/>
      </c>
      <c r="EM15" s="145">
        <f>IFERROR(VLOOKUP($ED15,$BC$2:$BJ$84,4,FALSE),0)</f>
        <v/>
      </c>
      <c r="EN15" s="145">
        <f>IFERROR(VLOOKUP($EE15,$BC$2:$BJ$84,4,FALSE),0)</f>
        <v/>
      </c>
      <c r="EO15" s="145">
        <f>IF($EI15=0,0,INDEX($AC$2:$AC$11,$EI15))</f>
        <v/>
      </c>
      <c r="EP15" s="145">
        <f>IFERROR(VLOOKUP($EB15,$BC$2:$BJ$84,5,FALSE),0)</f>
        <v/>
      </c>
      <c r="EQ15" s="145">
        <f>IFERROR(VLOOKUP($EC15,$BC$2:$BJ$84,5,FALSE),0)</f>
        <v/>
      </c>
      <c r="ER15" s="145">
        <f>IFERROR(VLOOKUP($ED15,$BC$2:$BJ$84,5,FALSE),0)</f>
        <v/>
      </c>
      <c r="ES15" s="145">
        <f>IFERROR(VLOOKUP($EE15,$BC$2:$BJ$84,5,FALSE),0)</f>
        <v/>
      </c>
      <c r="ET15" s="145">
        <f>IFERROR(VLOOKUP($EB15,$BC$2:$BJ$84,6,FALSE),0)+IFERROR(VLOOKUP($EC15,$BC$2:$BJ$84,6,FALSE),0)+IFERROR(VLOOKUP($ED15,$BC$2:$BJ$84,6,FALSE),0)+IFERROR(VLOOKUP($EE15,$BC$2:$BJ$84,6,FALSE),0)</f>
        <v/>
      </c>
      <c r="EU15" s="145">
        <f>IF($EI15=0,0,INDEX($AD$2:$AD$11,$EI15))</f>
        <v/>
      </c>
      <c r="EV15" s="145">
        <f>IF($EI15=0,0,INDEX($AE$2:$AE$11,$EI15))</f>
        <v/>
      </c>
      <c r="EW15" s="145">
        <f>IF($EI15=0,0,INDEX($AG$2:$AG$11,$EI15))</f>
        <v/>
      </c>
      <c r="EX15" s="145">
        <f>IFERROR(VLOOKUP($EF15,$BL$2:$BP$24,3,FALSE),0)</f>
        <v/>
      </c>
      <c r="EY15" s="145">
        <f>IFERROR(VLOOKUP($EG15,$BL$2:$BP$24,3,FALSE),0)</f>
        <v/>
      </c>
      <c r="EZ15" s="145">
        <f>IFERROR(VLOOKUP($EF15,$BL$2:$BP$24,2,FALSE),"")</f>
        <v/>
      </c>
      <c r="FA15" s="145">
        <f>IFERROR(VLOOKUP($EG15,$BL$2:$BP$24,2,FALSE),"")</f>
        <v/>
      </c>
      <c r="FB15" s="145">
        <f>COUNTIF($EJ15:$EN15,1)</f>
        <v/>
      </c>
      <c r="FC15" s="145">
        <f>COUNTIF($EJ15:$EN15,2)</f>
        <v/>
      </c>
      <c r="FD15" s="145">
        <f>COUNTIF($EJ15:$EN15,3)</f>
        <v/>
      </c>
      <c r="FE15" s="145">
        <f>COUNTIF($EJ15:$EN15,4)</f>
        <v/>
      </c>
      <c r="FF15" s="145">
        <f>COUNTIF($EJ15:$EN15,5)</f>
        <v/>
      </c>
      <c r="FG15" s="145">
        <f>COUNTIF($EJ15:$EN15,6)</f>
        <v/>
      </c>
      <c r="FH15" s="145">
        <f>COUNTIF($EX15:$EY15,1)</f>
        <v/>
      </c>
      <c r="FI15" s="145">
        <f>COUNTIF($EX15:$EY15,2)+$EU15</f>
        <v/>
      </c>
      <c r="FJ15" s="145">
        <f>COUNTIF($EB15:$EE15,"?*")</f>
        <v/>
      </c>
      <c r="FK15" s="145">
        <f>COUNTIF($EF15:$EG15,"?*")+$EU15</f>
        <v/>
      </c>
      <c r="FL15" s="145">
        <f>SUMPRODUCT($FB15:$FG15,INDEX($Q$2:$V$8,$DY15,0))</f>
        <v/>
      </c>
      <c r="FM15" s="145">
        <f>$FH15*CEILING($DY15/2,1)+$FI15*$DY15</f>
        <v/>
      </c>
      <c r="FN15" s="145">
        <f>MIN(2*$DY15,$FM15)</f>
        <v/>
      </c>
      <c r="FO15" s="145">
        <f>MIN($FN15,$FL15)</f>
        <v/>
      </c>
      <c r="FP15" s="145">
        <f>$FN15-$FO15</f>
        <v/>
      </c>
      <c r="FQ15" s="145">
        <f>3*$DY15-$FL15+$FO15</f>
        <v/>
      </c>
      <c r="FR15" s="145">
        <f>MAX(0,$FQ15)+$DW15*$DY15</f>
        <v/>
      </c>
      <c r="FS15" s="145">
        <f>(IF(COUNTIF($EB15:$EE15,"Salto")&gt;0,1,0)+IF(COUNTIF($EB15:$EE15,"Queima")&gt;0,1,0)+IF(COUNTIF($EB15:$EE15,"Estilhaço")&gt;0,1,0))*FLOOR($FR15/2,1)</f>
        <v/>
      </c>
      <c r="FT15" s="145">
        <f>MAX(0,3-SUMPRODUCT($FB15:$FG15,$Q$2:$V$2)+MIN(2,$FH15*1+$FI15*1,SUMPRODUCT($FB15:$FG15,$Q$2:$V$2)))+$DW15*1</f>
        <v/>
      </c>
      <c r="FU15" s="145">
        <f>MAX(0,6-SUMPRODUCT($FB15:$FG15,$Q$3:$V$3)+MIN(4,$FH15*1+$FI15*2,SUMPRODUCT($FB15:$FG15,$Q$3:$V$3)))+$DW15*2</f>
        <v/>
      </c>
      <c r="FV15" s="145">
        <f>MAX(0,9-SUMPRODUCT($FB15:$FG15,$Q$4:$V$4)+MIN(6,$FH15*2+$FI15*3,SUMPRODUCT($FB15:$FG15,$Q$4:$V$4)))+$DW15*3</f>
        <v/>
      </c>
      <c r="FW15" s="145">
        <f>MAX(0,12-SUMPRODUCT($FB15:$FG15,$Q$5:$V$5)+MIN(8,$FH15*2+$FI15*4,SUMPRODUCT($FB15:$FG15,$Q$5:$V$5)))+$DW15*4</f>
        <v/>
      </c>
      <c r="FX15" s="145">
        <f>MAX(0,15-SUMPRODUCT($FB15:$FG15,$Q$6:$V$6)+MIN(10,$FH15*3+$FI15*5,SUMPRODUCT($FB15:$FG15,$Q$6:$V$6)))+$DW15*5</f>
        <v/>
      </c>
      <c r="FY15" s="145">
        <f>MAX(0,18-SUMPRODUCT($FB15:$FG15,$Q$7:$V$7)+MIN(12,$FH15*3+$FI15*6,SUMPRODUCT($FB15:$FG15,$Q$7:$V$7)))+$DW15*6</f>
        <v/>
      </c>
      <c r="FZ15" s="145">
        <f>MAX(0,21-SUMPRODUCT($FB15:$FG15,$Q$8:$V$8)+MIN(14,$FH15*4+$FI15*7,SUMPRODUCT($FB15:$FG15,$Q$8:$V$8)))+$DW15*7</f>
        <v/>
      </c>
      <c r="GA15" s="145">
        <f>IF($EV15=2,3*$FT15&amp;" de vida temp.",IF($EV15=3,"sem dano",IF($FT15=0,IF($EV15=1,"sem cura","sem dano"),IF($EV15=1,"cura ","")&amp;$FT15&amp;"d8")))</f>
        <v/>
      </c>
      <c r="GB15" s="145">
        <f>IF($EV15=2,3*$FU15&amp;" de vida temp.",IF($EV15=3,"sem dano",IF($FU15=0,IF($EV15=1,"sem cura","sem dano"),IF($EV15=1,"cura ","")&amp;$FU15&amp;"d8")))</f>
        <v/>
      </c>
      <c r="GC15" s="145">
        <f>IF($EV15=2,3*$FV15&amp;" de vida temp.",IF($EV15=3,"sem dano",IF($FV15=0,IF($EV15=1,"sem cura","sem dano"),IF($EV15=1,"cura ","")&amp;$FV15&amp;"d8")))</f>
        <v/>
      </c>
      <c r="GD15" s="145">
        <f>IF($EV15=2,3*$FW15&amp;" de vida temp.",IF($EV15=3,"sem dano",IF($FW15=0,IF($EV15=1,"sem cura","sem dano"),IF($EV15=1,"cura ","")&amp;$FW15&amp;"d8")))</f>
        <v/>
      </c>
      <c r="GE15" s="145">
        <f>IF($EV15=2,3*$FX15&amp;" de vida temp.",IF($EV15=3,"sem dano",IF($FX15=0,IF($EV15=1,"sem cura","sem dano"),IF($EV15=1,"cura ","")&amp;$FX15&amp;"d8")))</f>
        <v/>
      </c>
      <c r="GF15" s="145">
        <f>IF($EV15=2,3*$FY15&amp;" de vida temp.",IF($EV15=3,"sem dano",IF($FY15=0,IF($EV15=1,"sem cura","sem dano"),IF($EV15=1,"cura ","")&amp;$FY15&amp;"d8")))</f>
        <v/>
      </c>
      <c r="GG15" s="145">
        <f>IF($EV15=2,3*$FZ15&amp;" de vida temp.",IF($EV15=3,"sem dano",IF($FZ15=0,IF($EV15=1,"sem cura","sem dano"),IF($EV15=1,"cura ","")&amp;$FZ15&amp;"d8")))</f>
        <v/>
      </c>
      <c r="GH15" s="145">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45">
        <f>IF($GH15="",0,(LEN($GH15)-LEN(SUBSTITUTE($GH15," · ","")))/3+1)</f>
        <v/>
      </c>
      <c r="GJ15" s="145">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45">
        <f>IF($GJ15="",0,(LEN($GJ15)-LEN(SUBSTITUTE($GJ15," · ","")))/3+1)</f>
        <v/>
      </c>
      <c r="GL15" s="145">
        <f>IF($EH15=0,IF($FJ15+$FK15-$EU15&gt;0,"Dê um nome",""),IF($GI15&gt;0,"⚠ "&amp;$GI15&amp;IF($GI15&gt;1," erros"," erro"),IF($GK15&gt;0,"! "&amp;$GK15&amp;IF($GK15&gt;1," avisos"," aviso"),"Na regra")))</f>
        <v/>
      </c>
      <c r="GM15" s="145">
        <f>IF($EH15=0,"",IF($GI15+$GK15=0,"Dentro das regras que a ficha confere",$GH15&amp;IF(AND($GI15&gt;0,$GK15&gt;0)," · ","")&amp;$GJ15))</f>
        <v/>
      </c>
      <c r="GN15" s="145">
        <f>IF($EH15=0,"",IF($DW15=1,CEILING(4.5*$DY15,1),3*$DY15)&amp;" PE")</f>
        <v/>
      </c>
      <c r="GO15" s="145">
        <f>IF($EH15=0,"",IF($DW15=1,"Rodada inteira",IF(COUNTIF($EZ15:$FA15,"Atrasar")&gt;0,IF(COUNTIF($EZ15:$FA15,"Carregar")&gt;0,"Rodada +1 turno","Rodada inteira"),IF(COUNTIF($EB15:$EE15,"Rápido")&gt;0,"Bônus",IF(COUNTIF($EB15:$EE15,"Reação")&gt;0,"Reação","Padrão"))&amp;IF(COUNTIF($EZ15:$FA15,"Carregar")&gt;0," +1 turno",""))))</f>
        <v/>
      </c>
      <c r="GP15" s="145">
        <f>IF(OR($EH15=0,$EI15=0),"",IF(COUNTIF($EB15:$EE15,"Inescapável")&gt;0,"Automático",IF(COUNTIF($EB15:$EE15,"Certeiro")&gt;0,"TR para metade",INDEX($AF$2:$AF$11,$EI15))))</f>
        <v/>
      </c>
      <c r="GQ15" s="145">
        <f>IF(OR($EH15=0,$EI15=0),"",IF(OR($EV15&gt;=2,$FR15=0),UPPER(LEFT(INDEX($GA15:$GG15,1,$DY15),1))&amp;MID(INDEX($GA15:$GG15,1,$DY15),2,99),UPPER(LEFT(INDEX($GA15:$GG15,1,$DY15),1))&amp;MID(INDEX($GA15:$GG15,1,$DY15),2,99)&amp;" = "&amp;FLOOR($FR15*4.5,1)&amp;IF($FS15&gt;0," · +"&amp;$FS15&amp;"d8","")))</f>
        <v/>
      </c>
      <c r="GR15" s="145">
        <f>COUNTIF($EB15:$EE15,"Longe")+3*COUNTIF($EB15:$EE15,"Muito Longe")</f>
        <v/>
      </c>
      <c r="GS15" s="145">
        <f>COUNTIF($EB15:$EE15,"Maior")+3*COUNTIF($EB15:$EE15,"Muito Maior")</f>
        <v/>
      </c>
      <c r="GT15" s="145">
        <f>IF($EI15=0,0,CHOOSE(1+INDEX($AH$2:$AH$11,$EI15),0,$GR15,$GS15,$GR15+$GS15))</f>
        <v/>
      </c>
      <c r="GU15" s="145">
        <f>IF($EI15=0,0,CHOOSE(1+INDEX($AI$2:$AI$11,$EI15),0,$GR15,$GS15,$GR15+$GS15))</f>
        <v/>
      </c>
      <c r="GV15" s="145">
        <f>IF(OR($EH15=0,$EI15=0),"",INDEX($AP$2:$AU$31,($EI15-1)*3+IF($DY15&gt;=6,3,2),1+MIN(5,$GT15))&amp;INDEX($AV$2:$BA$31,($EI15-1)*3+IF($DY15&gt;=6,3,2),1+MIN(5,$GU15))&amp;IF(INDEX($AJ$2:$AJ$11,$EI15)=1,IF(COUNTIF($EB15:$EE15,"Mais Um")&gt;0," · +"&amp;COUNTIF($EB15:$EE15,"Mais Um")&amp;IF(COUNTIF($EB15:$EE15,"Mais Um")&gt;1," alvos"," alvo"),"")&amp;IF(COUNTIF($EB15:$EE15,"Rajada")&gt;0," · "&amp;($DY15+1)&amp;" tiros",""),""))</f>
        <v/>
      </c>
      <c r="GW15" s="145">
        <f>IF($EH15=0,"",3*$DY15&amp;" − "&amp;$FL15&amp;" + "&amp;$FO15&amp;IF($DW15=1," + "&amp;$DY15,"")&amp;" = "&amp;$FR15&amp;"d8 · teto "&amp;4*$DY15&amp;IF($EU15=1," · a Forma devolve "&amp;$DY15,"")&amp;IF($FP15&gt;0," · perde "&amp;$FP15,""))</f>
        <v/>
      </c>
      <c r="GX15" s="145">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5">
        <f>IF(OR($EH15=0,$EK15=0),"","−"&amp;INDEX($Q$2:$V$8,$DY15,$EK15)&amp;" · "&amp;CHOOSE($EK15,"Leve","Média","Pesada","Leve · Livre","Média · Livre","Pesada · Livre"))</f>
        <v/>
      </c>
      <c r="GZ15" s="145">
        <f>IF(OR($EH15=0,$EL15=0),"","−"&amp;INDEX($Q$2:$V$8,$DY15,$EL15)&amp;" · "&amp;CHOOSE($EL15,"Leve","Média","Pesada","Leve · Livre","Média · Livre","Pesada · Livre"))</f>
        <v/>
      </c>
      <c r="HA15" s="145">
        <f>IF(OR($EH15=0,$EM15=0),"","−"&amp;INDEX($Q$2:$V$8,$DY15,$EM15)&amp;" · "&amp;CHOOSE($EM15,"Leve","Média","Pesada","Leve · Livre","Média · Livre","Pesada · Livre"))</f>
        <v/>
      </c>
      <c r="HB15" s="145">
        <f>IF(OR($EH15=0,$EN15=0),"","−"&amp;INDEX($Q$2:$V$8,$DY15,$EN15)&amp;" · "&amp;CHOOSE($EN15,"Leve","Média","Pesada","Leve · Livre","Média · Livre","Pesada · Livre"))</f>
        <v/>
      </c>
      <c r="HC15" s="145">
        <f>IF(OR($EH15=0,$EF15=""),"","+"&amp;IF($EX15=1,CEILING($DY15/2,1),$DY15))</f>
        <v/>
      </c>
      <c r="HD15" s="145">
        <f>IF(OR($EH15=0,$EG15=""),"","+"&amp;IF($EY15=1,CEILING($DY15/2,1),$DY15))</f>
        <v/>
      </c>
      <c r="HE15" s="145">
        <f>'FICHA AMALDIÇOADA'!$J$139&amp;""</f>
        <v/>
      </c>
      <c r="HF15" s="145">
        <f>IF(AND($EH15=1,$DW15=0),COUNTIFS($EH$2:$EH15,1,$DW$2:$DW15,0),"")</f>
        <v/>
      </c>
      <c r="HH15" s="143" t="inlineStr">
        <is>
          <t>feitiços montados</t>
        </is>
      </c>
      <c r="HI15" s="145">
        <f>SUM($EH$2:$EH$37)</f>
        <v/>
      </c>
      <c r="JD15" s="145" t="n">
        <v>14</v>
      </c>
      <c r="JE15" s="145">
        <f>IFERROR(MATCH(14,$HF$2:$HF$37,0),0)</f>
        <v/>
      </c>
      <c r="JF15" s="145">
        <f>IF($JE15=0,"",INDEX($DY$2:$DY$37,$JE15))</f>
        <v/>
      </c>
      <c r="JG15" s="145">
        <f>IF($JE15=0,"",INDEX($DZ$2:$DZ$37,$JE15))</f>
        <v/>
      </c>
      <c r="JH15" s="145">
        <f>IF($JE15=0,"",INDEX($GN$2:$GN$37,$JE15))</f>
        <v/>
      </c>
      <c r="JI15" s="145">
        <f>IF($JE15=0,"",INDEX($EA$2:$EA$37,$JE15))</f>
        <v/>
      </c>
      <c r="JJ15" s="145">
        <f>IF($JE15=0,"",INDEX($GP$2:$GP$37,$JE15))</f>
        <v/>
      </c>
      <c r="JK15" s="145">
        <f>IF($JE15=0,"",INDEX($HE$2:$HE$37,$JE15))</f>
        <v/>
      </c>
      <c r="KB15" s="143" t="inlineStr">
        <is>
          <t>Talento 12</t>
        </is>
      </c>
      <c r="KC15" s="145">
        <f>IFERROR(MATCH(12,$HS$2:$HS$13,0),0)</f>
        <v/>
      </c>
      <c r="KD15" s="145">
        <f>IF($KC15=0,"",IF(INDEX($HM$2:$HM$13,$KC15)=0,"","CE "&amp;INDEX($HM$2:$HM$13,$KC15)))</f>
        <v/>
      </c>
      <c r="KE15" s="145">
        <f>IF($KC15=0,"",INDEX($HL$2:$HL$13,$KC15))</f>
        <v/>
      </c>
      <c r="KF15" s="145">
        <f>IF($KC15=0,"",IF(INDEX($HR$2:$HR$13,$KC15)&lt;&gt;"",INDEX($HR$2:$HR$13,$KC15),IF(IFERROR(VLOOKUP(INDEX($HL$2:$HL$13,$KC15),$BR$2:$BX$24,7,FALSE),"")&lt;&gt;"","Do livro: "&amp;IFERROR(VLOOKUP(INDEX($HL$2:$HL$13,$KC15),$BR$2:$BX$24,7,FALSE),""),"")))</f>
        <v/>
      </c>
      <c r="KH15" s="143" t="inlineStr">
        <is>
          <t>Aptidão 12</t>
        </is>
      </c>
      <c r="KI15" s="145">
        <f>IFERROR(MATCH(12,$IB$2:$IB$13,0),0)</f>
        <v/>
      </c>
      <c r="KJ15" s="145">
        <f>IF($KI15=0,"",INDEX($HX$2:$HX$13,$KI15))</f>
        <v/>
      </c>
      <c r="KK15" s="145">
        <f>IF($KI15=0,"",INDEX($HV$2:$HV$13,$KI15))</f>
        <v/>
      </c>
      <c r="KL15" s="145">
        <f>IF($KI15=0,"",IF(INDEX($IA$2:$IA$13,$KI15)&lt;&gt;"",INDEX($IA$2:$IA$13,$KI15),IF(IFERROR(VLOOKUP(INDEX($HV$2:$HV$13,$KI15),$CC$2:$CL$33,10,FALSE),"")&lt;&gt;"","Do livro: "&amp;IFERROR(VLOOKUP(INDEX($HV$2:$HV$13,$KI15),$CC$2:$CL$33,10,FALSE),""),"")))</f>
        <v/>
      </c>
      <c r="KN15" s="143" t="inlineStr">
        <is>
          <t>par passivas 2</t>
        </is>
      </c>
      <c r="KO15" s="145">
        <f>"TALENTOS 7 A 12"</f>
        <v/>
      </c>
      <c r="KQ15" s="143" t="inlineStr">
        <is>
          <t>P19</t>
        </is>
      </c>
      <c r="KR15" s="145">
        <f>IF(DADOS_AM!$HI$44="","",DADOS_AM!$HI$44&amp;" · "&amp;"d20 + "&amp;(DADOS_AM!$HI$3+DADOS_AM!$HI$47+IFERROR(VALUE(FICHA!$W$47&amp;""),0))&amp;" · CD "&amp;(8+DADOS_AM!$HI$3+DADOS_AM!$HI$47+IFERROR(VALUE(FICHA!$L$47&amp;""),0)))</f>
        <v/>
      </c>
    </row>
    <row r="16">
      <c r="C16" s="143" t="inlineStr">
        <is>
          <t>estímulo</t>
        </is>
      </c>
      <c r="D16" s="143" t="inlineStr">
        <is>
          <t>—</t>
        </is>
      </c>
      <c r="E16" s="143" t="inlineStr">
        <is>
          <t>—</t>
        </is>
      </c>
      <c r="F16" s="143" t="inlineStr">
        <is>
          <t>—</t>
        </is>
      </c>
      <c r="G16" s="143" t="inlineStr">
        <is>
          <t>Estímulo Muscular</t>
        </is>
      </c>
      <c r="AO16" s="143" t="inlineStr">
        <is>
          <t>Cone · classes 6 e 7</t>
        </is>
      </c>
      <c r="AP16" s="143" t="inlineStr">
        <is>
          <t>Cone de 9 m</t>
        </is>
      </c>
      <c r="AQ16" s="143" t="inlineStr">
        <is>
          <t>Cone de 18 m</t>
        </is>
      </c>
      <c r="AR16" s="143" t="inlineStr">
        <is>
          <t>Cone de 30 m</t>
        </is>
      </c>
      <c r="AS16" s="143" t="inlineStr">
        <is>
          <t>Cone de 60 m</t>
        </is>
      </c>
      <c r="AT16" s="143" t="inlineStr">
        <is>
          <t>Cone de 60 m</t>
        </is>
      </c>
      <c r="AU16" s="143" t="inlineStr">
        <is>
          <t>Cone de 60 m</t>
        </is>
      </c>
      <c r="AV16" s="143" t="inlineStr"/>
      <c r="AW16" s="143" t="inlineStr"/>
      <c r="AX16" s="143" t="inlineStr"/>
      <c r="AY16" s="143" t="inlineStr"/>
      <c r="AZ16" s="143" t="inlineStr"/>
      <c r="BA16" s="143" t="inlineStr"/>
      <c r="BC16" s="143" t="inlineStr">
        <is>
          <t>Contorno</t>
        </is>
      </c>
      <c r="BD16" s="143" t="inlineStr">
        <is>
          <t>Área</t>
        </is>
      </c>
      <c r="BE16" s="145" t="n">
        <v>1</v>
      </c>
      <c r="BF16" s="145">
        <f>$BE16+3*IFERROR(VLOOKUP($BD16,$I$2:$L$10,3,FALSE),0)</f>
        <v/>
      </c>
      <c r="BG16" s="145">
        <f>IFERROR(VLOOKUP($BD16,$I$2:$L$10,4,FALSE),0)</f>
        <v/>
      </c>
      <c r="BH16" s="145" t="n">
        <v>0</v>
      </c>
      <c r="BI16" s="145">
        <f>IF($BG16=1,"",$BC16)</f>
        <v/>
      </c>
      <c r="BJ16" s="145">
        <f>IF(AND($BE16=1,$BG16=0),$BC16,"")</f>
        <v/>
      </c>
      <c r="BL16" s="143" t="inlineStr">
        <is>
          <t>Condicional (Leve)</t>
        </is>
      </c>
      <c r="BM16" s="143" t="inlineStr">
        <is>
          <t>Condicional</t>
        </is>
      </c>
      <c r="BN16" s="145" t="n">
        <v>1</v>
      </c>
      <c r="BO16" s="145" t="n">
        <v>1</v>
      </c>
      <c r="BP16" s="143" t="inlineStr">
        <is>
          <t>Condicional (Leve)</t>
        </is>
      </c>
      <c r="BR16" s="143" t="inlineStr">
        <is>
          <t>Afinidade</t>
        </is>
      </c>
      <c r="BS16" s="145" t="n">
        <v>3</v>
      </c>
      <c r="BT16" s="143" t="inlineStr">
        <is>
          <t>Escolha um tema presente na Regra da sua técnica. Seus feitiços desse tema ignoram cobertura Parcial e resistência ao tipo de dano que causam.</t>
        </is>
      </c>
      <c r="BU16" s="145" t="n">
        <v>1</v>
      </c>
      <c r="BV16" s="145" t="n">
        <v>0</v>
      </c>
      <c r="BW16" s="145">
        <f>IF(OR(AND($A$2&lt;=2,$BU16=1),AND($A$2&gt;=2,$BV16=1)),$BR16,"")</f>
        <v/>
      </c>
      <c r="BX16" s="143" t="inlineStr">
        <is>
          <t>Escolha um tema presente na Regra da sua técnica. Seus feitiços desse tema ignoram cobertura Parcial e resistência ao tipo de dano que causam.</t>
        </is>
      </c>
      <c r="CC16" s="143" t="inlineStr">
        <is>
          <t>Ritual</t>
        </is>
      </c>
      <c r="CD16" s="143" t="inlineStr">
        <is>
          <t>Inteligência 5, nível 10 e Técnica Inata. Regras em Ritual e Pactos</t>
        </is>
      </c>
      <c r="CE16" s="143" t="inlineStr">
        <is>
          <t>—</t>
        </is>
      </c>
      <c r="CF16" s="143" t="inlineStr">
        <is>
          <t>—</t>
        </is>
      </c>
      <c r="CG16" s="14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45">
        <f>IF($CK16=1,"",IF($A$2=4,IF($CI16=1,$CC16,""),IF(OR($CI16=1,AND($A$2=3,$CJ16=1)),"",$CC16)))</f>
        <v/>
      </c>
      <c r="CI16" s="145" t="n">
        <v>0</v>
      </c>
      <c r="CJ16" s="145" t="n">
        <v>0</v>
      </c>
      <c r="CK16" s="145" t="n">
        <v>0</v>
      </c>
      <c r="CL16" s="143" t="inlineStr">
        <is>
          <t>Um Ritual reforça um feitiço com gestos e recitação.</t>
        </is>
      </c>
      <c r="DV16" s="143" t="inlineStr">
        <is>
          <t>Feitiço 15</t>
        </is>
      </c>
      <c r="DW16" s="145" t="n">
        <v>0</v>
      </c>
      <c r="DX16" s="145" t="n">
        <v>15</v>
      </c>
      <c r="DY16" s="145">
        <f>MAX(1,MIN(7,N('FICHA AMALDIÇOADA'!$P$137)))</f>
        <v/>
      </c>
      <c r="DZ16" s="145">
        <f>'FICHA AMALDIÇOADA'!$Q$137&amp;""</f>
        <v/>
      </c>
      <c r="EA16" s="145">
        <f>'FICHA AMALDIÇOADA'!$P$144&amp;""</f>
        <v/>
      </c>
      <c r="EB16" s="145">
        <f>'FICHA AMALDIÇOADA'!$Q$146&amp;""</f>
        <v/>
      </c>
      <c r="EC16" s="145">
        <f>'FICHA AMALDIÇOADA'!$Q$147&amp;""</f>
        <v/>
      </c>
      <c r="ED16" s="145">
        <f>'FICHA AMALDIÇOADA'!$Q$148&amp;""</f>
        <v/>
      </c>
      <c r="EE16" s="145">
        <f>'FICHA AMALDIÇOADA'!$Q$149&amp;""</f>
        <v/>
      </c>
      <c r="EF16" s="145">
        <f>'FICHA AMALDIÇOADA'!$Q$150&amp;""</f>
        <v/>
      </c>
      <c r="EG16" s="145">
        <f>'FICHA AMALDIÇOADA'!$Q$151&amp;""</f>
        <v/>
      </c>
      <c r="EH16" s="145">
        <f>IF($DZ16&lt;&gt;"",1,0)</f>
        <v/>
      </c>
      <c r="EI16" s="145">
        <f>IFERROR(MATCH($EA16,$Y$2:$Y$11,0),0)</f>
        <v/>
      </c>
      <c r="EJ16" s="145">
        <f>IF($EI16=0,0,INDEX($AB$2:$AB$11,$EI16))</f>
        <v/>
      </c>
      <c r="EK16" s="145">
        <f>IFERROR(VLOOKUP($EB16,$BC$2:$BJ$84,4,FALSE),0)</f>
        <v/>
      </c>
      <c r="EL16" s="145">
        <f>IFERROR(VLOOKUP($EC16,$BC$2:$BJ$84,4,FALSE),0)</f>
        <v/>
      </c>
      <c r="EM16" s="145">
        <f>IFERROR(VLOOKUP($ED16,$BC$2:$BJ$84,4,FALSE),0)</f>
        <v/>
      </c>
      <c r="EN16" s="145">
        <f>IFERROR(VLOOKUP($EE16,$BC$2:$BJ$84,4,FALSE),0)</f>
        <v/>
      </c>
      <c r="EO16" s="145">
        <f>IF($EI16=0,0,INDEX($AC$2:$AC$11,$EI16))</f>
        <v/>
      </c>
      <c r="EP16" s="145">
        <f>IFERROR(VLOOKUP($EB16,$BC$2:$BJ$84,5,FALSE),0)</f>
        <v/>
      </c>
      <c r="EQ16" s="145">
        <f>IFERROR(VLOOKUP($EC16,$BC$2:$BJ$84,5,FALSE),0)</f>
        <v/>
      </c>
      <c r="ER16" s="145">
        <f>IFERROR(VLOOKUP($ED16,$BC$2:$BJ$84,5,FALSE),0)</f>
        <v/>
      </c>
      <c r="ES16" s="145">
        <f>IFERROR(VLOOKUP($EE16,$BC$2:$BJ$84,5,FALSE),0)</f>
        <v/>
      </c>
      <c r="ET16" s="145">
        <f>IFERROR(VLOOKUP($EB16,$BC$2:$BJ$84,6,FALSE),0)+IFERROR(VLOOKUP($EC16,$BC$2:$BJ$84,6,FALSE),0)+IFERROR(VLOOKUP($ED16,$BC$2:$BJ$84,6,FALSE),0)+IFERROR(VLOOKUP($EE16,$BC$2:$BJ$84,6,FALSE),0)</f>
        <v/>
      </c>
      <c r="EU16" s="145">
        <f>IF($EI16=0,0,INDEX($AD$2:$AD$11,$EI16))</f>
        <v/>
      </c>
      <c r="EV16" s="145">
        <f>IF($EI16=0,0,INDEX($AE$2:$AE$11,$EI16))</f>
        <v/>
      </c>
      <c r="EW16" s="145">
        <f>IF($EI16=0,0,INDEX($AG$2:$AG$11,$EI16))</f>
        <v/>
      </c>
      <c r="EX16" s="145">
        <f>IFERROR(VLOOKUP($EF16,$BL$2:$BP$24,3,FALSE),0)</f>
        <v/>
      </c>
      <c r="EY16" s="145">
        <f>IFERROR(VLOOKUP($EG16,$BL$2:$BP$24,3,FALSE),0)</f>
        <v/>
      </c>
      <c r="EZ16" s="145">
        <f>IFERROR(VLOOKUP($EF16,$BL$2:$BP$24,2,FALSE),"")</f>
        <v/>
      </c>
      <c r="FA16" s="145">
        <f>IFERROR(VLOOKUP($EG16,$BL$2:$BP$24,2,FALSE),"")</f>
        <v/>
      </c>
      <c r="FB16" s="145">
        <f>COUNTIF($EJ16:$EN16,1)</f>
        <v/>
      </c>
      <c r="FC16" s="145">
        <f>COUNTIF($EJ16:$EN16,2)</f>
        <v/>
      </c>
      <c r="FD16" s="145">
        <f>COUNTIF($EJ16:$EN16,3)</f>
        <v/>
      </c>
      <c r="FE16" s="145">
        <f>COUNTIF($EJ16:$EN16,4)</f>
        <v/>
      </c>
      <c r="FF16" s="145">
        <f>COUNTIF($EJ16:$EN16,5)</f>
        <v/>
      </c>
      <c r="FG16" s="145">
        <f>COUNTIF($EJ16:$EN16,6)</f>
        <v/>
      </c>
      <c r="FH16" s="145">
        <f>COUNTIF($EX16:$EY16,1)</f>
        <v/>
      </c>
      <c r="FI16" s="145">
        <f>COUNTIF($EX16:$EY16,2)+$EU16</f>
        <v/>
      </c>
      <c r="FJ16" s="145">
        <f>COUNTIF($EB16:$EE16,"?*")</f>
        <v/>
      </c>
      <c r="FK16" s="145">
        <f>COUNTIF($EF16:$EG16,"?*")+$EU16</f>
        <v/>
      </c>
      <c r="FL16" s="145">
        <f>SUMPRODUCT($FB16:$FG16,INDEX($Q$2:$V$8,$DY16,0))</f>
        <v/>
      </c>
      <c r="FM16" s="145">
        <f>$FH16*CEILING($DY16/2,1)+$FI16*$DY16</f>
        <v/>
      </c>
      <c r="FN16" s="145">
        <f>MIN(2*$DY16,$FM16)</f>
        <v/>
      </c>
      <c r="FO16" s="145">
        <f>MIN($FN16,$FL16)</f>
        <v/>
      </c>
      <c r="FP16" s="145">
        <f>$FN16-$FO16</f>
        <v/>
      </c>
      <c r="FQ16" s="145">
        <f>3*$DY16-$FL16+$FO16</f>
        <v/>
      </c>
      <c r="FR16" s="145">
        <f>MAX(0,$FQ16)+$DW16*$DY16</f>
        <v/>
      </c>
      <c r="FS16" s="145">
        <f>(IF(COUNTIF($EB16:$EE16,"Salto")&gt;0,1,0)+IF(COUNTIF($EB16:$EE16,"Queima")&gt;0,1,0)+IF(COUNTIF($EB16:$EE16,"Estilhaço")&gt;0,1,0))*FLOOR($FR16/2,1)</f>
        <v/>
      </c>
      <c r="FT16" s="145">
        <f>MAX(0,3-SUMPRODUCT($FB16:$FG16,$Q$2:$V$2)+MIN(2,$FH16*1+$FI16*1,SUMPRODUCT($FB16:$FG16,$Q$2:$V$2)))+$DW16*1</f>
        <v/>
      </c>
      <c r="FU16" s="145">
        <f>MAX(0,6-SUMPRODUCT($FB16:$FG16,$Q$3:$V$3)+MIN(4,$FH16*1+$FI16*2,SUMPRODUCT($FB16:$FG16,$Q$3:$V$3)))+$DW16*2</f>
        <v/>
      </c>
      <c r="FV16" s="145">
        <f>MAX(0,9-SUMPRODUCT($FB16:$FG16,$Q$4:$V$4)+MIN(6,$FH16*2+$FI16*3,SUMPRODUCT($FB16:$FG16,$Q$4:$V$4)))+$DW16*3</f>
        <v/>
      </c>
      <c r="FW16" s="145">
        <f>MAX(0,12-SUMPRODUCT($FB16:$FG16,$Q$5:$V$5)+MIN(8,$FH16*2+$FI16*4,SUMPRODUCT($FB16:$FG16,$Q$5:$V$5)))+$DW16*4</f>
        <v/>
      </c>
      <c r="FX16" s="145">
        <f>MAX(0,15-SUMPRODUCT($FB16:$FG16,$Q$6:$V$6)+MIN(10,$FH16*3+$FI16*5,SUMPRODUCT($FB16:$FG16,$Q$6:$V$6)))+$DW16*5</f>
        <v/>
      </c>
      <c r="FY16" s="145">
        <f>MAX(0,18-SUMPRODUCT($FB16:$FG16,$Q$7:$V$7)+MIN(12,$FH16*3+$FI16*6,SUMPRODUCT($FB16:$FG16,$Q$7:$V$7)))+$DW16*6</f>
        <v/>
      </c>
      <c r="FZ16" s="145">
        <f>MAX(0,21-SUMPRODUCT($FB16:$FG16,$Q$8:$V$8)+MIN(14,$FH16*4+$FI16*7,SUMPRODUCT($FB16:$FG16,$Q$8:$V$8)))+$DW16*7</f>
        <v/>
      </c>
      <c r="GA16" s="145">
        <f>IF($EV16=2,3*$FT16&amp;" de vida temp.",IF($EV16=3,"sem dano",IF($FT16=0,IF($EV16=1,"sem cura","sem dano"),IF($EV16=1,"cura ","")&amp;$FT16&amp;"d8")))</f>
        <v/>
      </c>
      <c r="GB16" s="145">
        <f>IF($EV16=2,3*$FU16&amp;" de vida temp.",IF($EV16=3,"sem dano",IF($FU16=0,IF($EV16=1,"sem cura","sem dano"),IF($EV16=1,"cura ","")&amp;$FU16&amp;"d8")))</f>
        <v/>
      </c>
      <c r="GC16" s="145">
        <f>IF($EV16=2,3*$FV16&amp;" de vida temp.",IF($EV16=3,"sem dano",IF($FV16=0,IF($EV16=1,"sem cura","sem dano"),IF($EV16=1,"cura ","")&amp;$FV16&amp;"d8")))</f>
        <v/>
      </c>
      <c r="GD16" s="145">
        <f>IF($EV16=2,3*$FW16&amp;" de vida temp.",IF($EV16=3,"sem dano",IF($FW16=0,IF($EV16=1,"sem cura","sem dano"),IF($EV16=1,"cura ","")&amp;$FW16&amp;"d8")))</f>
        <v/>
      </c>
      <c r="GE16" s="145">
        <f>IF($EV16=2,3*$FX16&amp;" de vida temp.",IF($EV16=3,"sem dano",IF($FX16=0,IF($EV16=1,"sem cura","sem dano"),IF($EV16=1,"cura ","")&amp;$FX16&amp;"d8")))</f>
        <v/>
      </c>
      <c r="GF16" s="145">
        <f>IF($EV16=2,3*$FY16&amp;" de vida temp.",IF($EV16=3,"sem dano",IF($FY16=0,IF($EV16=1,"sem cura","sem dano"),IF($EV16=1,"cura ","")&amp;$FY16&amp;"d8")))</f>
        <v/>
      </c>
      <c r="GG16" s="145">
        <f>IF($EV16=2,3*$FZ16&amp;" de vida temp.",IF($EV16=3,"sem dano",IF($FZ16=0,IF($EV16=1,"sem cura","sem dano"),IF($EV16=1,"cura ","")&amp;$FZ16&amp;"d8")))</f>
        <v/>
      </c>
      <c r="GH16" s="145">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45">
        <f>IF($GH16="",0,(LEN($GH16)-LEN(SUBSTITUTE($GH16," · ","")))/3+1)</f>
        <v/>
      </c>
      <c r="GJ16" s="145">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45">
        <f>IF($GJ16="",0,(LEN($GJ16)-LEN(SUBSTITUTE($GJ16," · ","")))/3+1)</f>
        <v/>
      </c>
      <c r="GL16" s="145">
        <f>IF($EH16=0,IF($FJ16+$FK16-$EU16&gt;0,"Dê um nome",""),IF($GI16&gt;0,"⚠ "&amp;$GI16&amp;IF($GI16&gt;1," erros"," erro"),IF($GK16&gt;0,"! "&amp;$GK16&amp;IF($GK16&gt;1," avisos"," aviso"),"Na regra")))</f>
        <v/>
      </c>
      <c r="GM16" s="145">
        <f>IF($EH16=0,"",IF($GI16+$GK16=0,"Dentro das regras que a ficha confere",$GH16&amp;IF(AND($GI16&gt;0,$GK16&gt;0)," · ","")&amp;$GJ16))</f>
        <v/>
      </c>
      <c r="GN16" s="145">
        <f>IF($EH16=0,"",IF($DW16=1,CEILING(4.5*$DY16,1),3*$DY16)&amp;" PE")</f>
        <v/>
      </c>
      <c r="GO16" s="145">
        <f>IF($EH16=0,"",IF($DW16=1,"Rodada inteira",IF(COUNTIF($EZ16:$FA16,"Atrasar")&gt;0,IF(COUNTIF($EZ16:$FA16,"Carregar")&gt;0,"Rodada +1 turno","Rodada inteira"),IF(COUNTIF($EB16:$EE16,"Rápido")&gt;0,"Bônus",IF(COUNTIF($EB16:$EE16,"Reação")&gt;0,"Reação","Padrão"))&amp;IF(COUNTIF($EZ16:$FA16,"Carregar")&gt;0," +1 turno",""))))</f>
        <v/>
      </c>
      <c r="GP16" s="145">
        <f>IF(OR($EH16=0,$EI16=0),"",IF(COUNTIF($EB16:$EE16,"Inescapável")&gt;0,"Automático",IF(COUNTIF($EB16:$EE16,"Certeiro")&gt;0,"TR para metade",INDEX($AF$2:$AF$11,$EI16))))</f>
        <v/>
      </c>
      <c r="GQ16" s="145">
        <f>IF(OR($EH16=0,$EI16=0),"",IF(OR($EV16&gt;=2,$FR16=0),UPPER(LEFT(INDEX($GA16:$GG16,1,$DY16),1))&amp;MID(INDEX($GA16:$GG16,1,$DY16),2,99),UPPER(LEFT(INDEX($GA16:$GG16,1,$DY16),1))&amp;MID(INDEX($GA16:$GG16,1,$DY16),2,99)&amp;" = "&amp;FLOOR($FR16*4.5,1)&amp;IF($FS16&gt;0," · +"&amp;$FS16&amp;"d8","")))</f>
        <v/>
      </c>
      <c r="GR16" s="145">
        <f>COUNTIF($EB16:$EE16,"Longe")+3*COUNTIF($EB16:$EE16,"Muito Longe")</f>
        <v/>
      </c>
      <c r="GS16" s="145">
        <f>COUNTIF($EB16:$EE16,"Maior")+3*COUNTIF($EB16:$EE16,"Muito Maior")</f>
        <v/>
      </c>
      <c r="GT16" s="145">
        <f>IF($EI16=0,0,CHOOSE(1+INDEX($AH$2:$AH$11,$EI16),0,$GR16,$GS16,$GR16+$GS16))</f>
        <v/>
      </c>
      <c r="GU16" s="145">
        <f>IF($EI16=0,0,CHOOSE(1+INDEX($AI$2:$AI$11,$EI16),0,$GR16,$GS16,$GR16+$GS16))</f>
        <v/>
      </c>
      <c r="GV16" s="145">
        <f>IF(OR($EH16=0,$EI16=0),"",INDEX($AP$2:$AU$31,($EI16-1)*3+IF($DY16&gt;=6,3,2),1+MIN(5,$GT16))&amp;INDEX($AV$2:$BA$31,($EI16-1)*3+IF($DY16&gt;=6,3,2),1+MIN(5,$GU16))&amp;IF(INDEX($AJ$2:$AJ$11,$EI16)=1,IF(COUNTIF($EB16:$EE16,"Mais Um")&gt;0," · +"&amp;COUNTIF($EB16:$EE16,"Mais Um")&amp;IF(COUNTIF($EB16:$EE16,"Mais Um")&gt;1," alvos"," alvo"),"")&amp;IF(COUNTIF($EB16:$EE16,"Rajada")&gt;0," · "&amp;($DY16+1)&amp;" tiros",""),""))</f>
        <v/>
      </c>
      <c r="GW16" s="145">
        <f>IF($EH16=0,"",3*$DY16&amp;" − "&amp;$FL16&amp;" + "&amp;$FO16&amp;IF($DW16=1," + "&amp;$DY16,"")&amp;" = "&amp;$FR16&amp;"d8 · teto "&amp;4*$DY16&amp;IF($EU16=1," · a Forma devolve "&amp;$DY16,"")&amp;IF($FP16&gt;0," · perde "&amp;$FP16,""))</f>
        <v/>
      </c>
      <c r="GX16" s="145">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5">
        <f>IF(OR($EH16=0,$EK16=0),"","−"&amp;INDEX($Q$2:$V$8,$DY16,$EK16)&amp;" · "&amp;CHOOSE($EK16,"Leve","Média","Pesada","Leve · Livre","Média · Livre","Pesada · Livre"))</f>
        <v/>
      </c>
      <c r="GZ16" s="145">
        <f>IF(OR($EH16=0,$EL16=0),"","−"&amp;INDEX($Q$2:$V$8,$DY16,$EL16)&amp;" · "&amp;CHOOSE($EL16,"Leve","Média","Pesada","Leve · Livre","Média · Livre","Pesada · Livre"))</f>
        <v/>
      </c>
      <c r="HA16" s="145">
        <f>IF(OR($EH16=0,$EM16=0),"","−"&amp;INDEX($Q$2:$V$8,$DY16,$EM16)&amp;" · "&amp;CHOOSE($EM16,"Leve","Média","Pesada","Leve · Livre","Média · Livre","Pesada · Livre"))</f>
        <v/>
      </c>
      <c r="HB16" s="145">
        <f>IF(OR($EH16=0,$EN16=0),"","−"&amp;INDEX($Q$2:$V$8,$DY16,$EN16)&amp;" · "&amp;CHOOSE($EN16,"Leve","Média","Pesada","Leve · Livre","Média · Livre","Pesada · Livre"))</f>
        <v/>
      </c>
      <c r="HC16" s="145">
        <f>IF(OR($EH16=0,$EF16=""),"","+"&amp;IF($EX16=1,CEILING($DY16/2,1),$DY16))</f>
        <v/>
      </c>
      <c r="HD16" s="145">
        <f>IF(OR($EH16=0,$EG16=""),"","+"&amp;IF($EY16=1,CEILING($DY16/2,1),$DY16))</f>
        <v/>
      </c>
      <c r="HE16" s="145">
        <f>'FICHA AMALDIÇOADA'!$P$139&amp;""</f>
        <v/>
      </c>
      <c r="HF16" s="145">
        <f>IF(AND($EH16=1,$DW16=0),COUNTIFS($EH$2:$EH16,1,$DW$2:$DW16,0),"")</f>
        <v/>
      </c>
      <c r="HH16" s="143" t="inlineStr">
        <is>
          <t>classe passiva da regra própria</t>
        </is>
      </c>
      <c r="HI16" s="145">
        <f>N('FICHA AMALDIÇOADA'!$P$33)</f>
        <v/>
      </c>
      <c r="JD16" s="145" t="n">
        <v>15</v>
      </c>
      <c r="JE16" s="145">
        <f>IFERROR(MATCH(15,$HF$2:$HF$37,0),0)</f>
        <v/>
      </c>
      <c r="JF16" s="145">
        <f>IF($JE16=0,"",INDEX($DY$2:$DY$37,$JE16))</f>
        <v/>
      </c>
      <c r="JG16" s="145">
        <f>IF($JE16=0,"",INDEX($DZ$2:$DZ$37,$JE16))</f>
        <v/>
      </c>
      <c r="JH16" s="145">
        <f>IF($JE16=0,"",INDEX($GN$2:$GN$37,$JE16))</f>
        <v/>
      </c>
      <c r="JI16" s="145">
        <f>IF($JE16=0,"",INDEX($EA$2:$EA$37,$JE16))</f>
        <v/>
      </c>
      <c r="JJ16" s="145">
        <f>IF($JE16=0,"",INDEX($GP$2:$GP$37,$JE16))</f>
        <v/>
      </c>
      <c r="JK16" s="145">
        <f>IF($JE16=0,"",INDEX($HE$2:$HE$37,$JE16))</f>
        <v/>
      </c>
      <c r="KN16" s="143" t="inlineStr">
        <is>
          <t>par passivas 4</t>
        </is>
      </c>
      <c r="KO16" s="145">
        <f>"TALENTOS 13 A 14"</f>
        <v/>
      </c>
      <c r="KQ16" s="143" t="inlineStr">
        <is>
          <t>L25</t>
        </is>
      </c>
      <c r="KR16" s="145">
        <f>UPPER(INDEX(DADOS_AM!$D$12:$G$12,1,DADOS_AM!$A$2))</f>
        <v/>
      </c>
    </row>
    <row r="17">
      <c r="C17" s="143" t="inlineStr">
        <is>
          <t>nome da rota</t>
        </is>
      </c>
      <c r="D17" s="143" t="inlineStr">
        <is>
          <t>Fundamento</t>
        </is>
      </c>
      <c r="E17" s="143" t="inlineStr">
        <is>
          <t>Sem Técnica</t>
        </is>
      </c>
      <c r="F17" s="143" t="inlineStr">
        <is>
          <t>Técnica Marcial com energia</t>
        </is>
      </c>
      <c r="G17" s="143" t="inlineStr">
        <is>
          <t>Técnica Marcial sem energia</t>
        </is>
      </c>
      <c r="AO17" s="143" t="inlineStr">
        <is>
          <t>Linha · classe 0</t>
        </is>
      </c>
      <c r="AP17" s="143" t="inlineStr">
        <is>
          <t>Linha de 9 m por 1,5 m</t>
        </is>
      </c>
      <c r="AQ17" s="143" t="inlineStr">
        <is>
          <t>Linha de 18 m por 1,5 m</t>
        </is>
      </c>
      <c r="AR17" s="143" t="inlineStr">
        <is>
          <t>Linha de 30 m por 1,5 m</t>
        </is>
      </c>
      <c r="AS17" s="143" t="inlineStr">
        <is>
          <t>Linha de 60 m por 1,5 m</t>
        </is>
      </c>
      <c r="AT17" s="143" t="inlineStr">
        <is>
          <t>Linha de 60 m por 1,5 m</t>
        </is>
      </c>
      <c r="AU17" s="143" t="inlineStr">
        <is>
          <t>Linha de 60 m por 1,5 m</t>
        </is>
      </c>
      <c r="AV17" s="143" t="inlineStr"/>
      <c r="AW17" s="143" t="inlineStr"/>
      <c r="AX17" s="143" t="inlineStr"/>
      <c r="AY17" s="143" t="inlineStr"/>
      <c r="AZ17" s="143" t="inlineStr"/>
      <c r="BA17" s="143" t="inlineStr"/>
      <c r="BC17" s="143" t="inlineStr">
        <is>
          <t>Precisão</t>
        </is>
      </c>
      <c r="BD17" s="143" t="inlineStr">
        <is>
          <t>Mira</t>
        </is>
      </c>
      <c r="BE17" s="145" t="n">
        <v>1</v>
      </c>
      <c r="BF17" s="145">
        <f>$BE17+3*IFERROR(VLOOKUP($BD17,$I$2:$L$10,3,FALSE),0)</f>
        <v/>
      </c>
      <c r="BG17" s="145">
        <f>IFERROR(VLOOKUP($BD17,$I$2:$L$10,4,FALSE),0)</f>
        <v/>
      </c>
      <c r="BH17" s="145" t="n">
        <v>0</v>
      </c>
      <c r="BI17" s="145">
        <f>IF($BG17=1,"",$BC17)</f>
        <v/>
      </c>
      <c r="BJ17" s="145">
        <f>IF(AND($BE17=1,$BG17=0),$BC17,"")</f>
        <v/>
      </c>
      <c r="BL17" s="143" t="inlineStr">
        <is>
          <t>Condicional (Média)</t>
        </is>
      </c>
      <c r="BM17" s="143" t="inlineStr">
        <is>
          <t>Condicional</t>
        </is>
      </c>
      <c r="BN17" s="145" t="n">
        <v>2</v>
      </c>
      <c r="BO17" s="145" t="n">
        <v>1</v>
      </c>
      <c r="BP17" s="143" t="inlineStr"/>
      <c r="BR17" s="143" t="inlineStr">
        <is>
          <t>Reserva Profunda</t>
        </is>
      </c>
      <c r="BS17" s="145" t="n">
        <v>3</v>
      </c>
      <c r="BT17" s="143" t="inlineStr">
        <is>
          <t>Seu PE máximo aumenta em 3 × sua maior Classe. Atualize esse acréscimo quando sua maior Classe aumentar.</t>
        </is>
      </c>
      <c r="BU17" s="145" t="n">
        <v>1</v>
      </c>
      <c r="BV17" s="145" t="n">
        <v>0</v>
      </c>
      <c r="BW17" s="145">
        <f>IF(OR(AND($A$2&lt;=2,$BU17=1),AND($A$2&gt;=2,$BV17=1)),$BR17,"")</f>
        <v/>
      </c>
      <c r="BX17" s="143" t="inlineStr">
        <is>
          <t>Seu PE máximo aumenta em 3 × sua maior Classe. Atualize esse acréscimo quando sua maior Classe aumentar.</t>
        </is>
      </c>
      <c r="CC17" s="143" t="inlineStr">
        <is>
          <t>Aptidão Própria (CE 1)</t>
        </is>
      </c>
      <c r="CD17" s="143" t="inlineStr">
        <is>
          <t>Uma única vez na ficha</t>
        </is>
      </c>
      <c r="CE17" s="145" t="n">
        <v>1</v>
      </c>
      <c r="CF17" s="143" t="inlineStr">
        <is>
          <t>—</t>
        </is>
      </c>
      <c r="CG17"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45">
        <f>IF($CK17=1,"",IF($A$2=4,IF($CI17=1,$CC17,""),IF(OR($CI17=1,AND($A$2=3,$CJ17=1)),"",$CC17)))</f>
        <v/>
      </c>
      <c r="CI17" s="145" t="n">
        <v>0</v>
      </c>
      <c r="CJ17" s="145" t="n">
        <v>0</v>
      </c>
      <c r="CK17" s="145" t="n">
        <v>0</v>
      </c>
      <c r="CL17" s="143" t="inlineStr">
        <is>
          <t>Você cria uma aptidão com o mestre antes da sessão.</t>
        </is>
      </c>
      <c r="DV17" s="143" t="inlineStr">
        <is>
          <t>Feitiço 16</t>
        </is>
      </c>
      <c r="DW17" s="145" t="n">
        <v>0</v>
      </c>
      <c r="DX17" s="145" t="n">
        <v>16</v>
      </c>
      <c r="DY17" s="145">
        <f>MAX(1,MIN(7,N('FICHA AMALDIÇOADA'!$D$158)))</f>
        <v/>
      </c>
      <c r="DZ17" s="145">
        <f>'FICHA AMALDIÇOADA'!$E$158&amp;""</f>
        <v/>
      </c>
      <c r="EA17" s="145">
        <f>'FICHA AMALDIÇOADA'!$D$165&amp;""</f>
        <v/>
      </c>
      <c r="EB17" s="145">
        <f>'FICHA AMALDIÇOADA'!$E$167&amp;""</f>
        <v/>
      </c>
      <c r="EC17" s="145">
        <f>'FICHA AMALDIÇOADA'!$E$168&amp;""</f>
        <v/>
      </c>
      <c r="ED17" s="145">
        <f>'FICHA AMALDIÇOADA'!$E$169&amp;""</f>
        <v/>
      </c>
      <c r="EE17" s="145">
        <f>'FICHA AMALDIÇOADA'!$E$170&amp;""</f>
        <v/>
      </c>
      <c r="EF17" s="145">
        <f>'FICHA AMALDIÇOADA'!$E$171&amp;""</f>
        <v/>
      </c>
      <c r="EG17" s="145">
        <f>'FICHA AMALDIÇOADA'!$E$172&amp;""</f>
        <v/>
      </c>
      <c r="EH17" s="145">
        <f>IF($DZ17&lt;&gt;"",1,0)</f>
        <v/>
      </c>
      <c r="EI17" s="145">
        <f>IFERROR(MATCH($EA17,$Y$2:$Y$11,0),0)</f>
        <v/>
      </c>
      <c r="EJ17" s="145">
        <f>IF($EI17=0,0,INDEX($AB$2:$AB$11,$EI17))</f>
        <v/>
      </c>
      <c r="EK17" s="145">
        <f>IFERROR(VLOOKUP($EB17,$BC$2:$BJ$84,4,FALSE),0)</f>
        <v/>
      </c>
      <c r="EL17" s="145">
        <f>IFERROR(VLOOKUP($EC17,$BC$2:$BJ$84,4,FALSE),0)</f>
        <v/>
      </c>
      <c r="EM17" s="145">
        <f>IFERROR(VLOOKUP($ED17,$BC$2:$BJ$84,4,FALSE),0)</f>
        <v/>
      </c>
      <c r="EN17" s="145">
        <f>IFERROR(VLOOKUP($EE17,$BC$2:$BJ$84,4,FALSE),0)</f>
        <v/>
      </c>
      <c r="EO17" s="145">
        <f>IF($EI17=0,0,INDEX($AC$2:$AC$11,$EI17))</f>
        <v/>
      </c>
      <c r="EP17" s="145">
        <f>IFERROR(VLOOKUP($EB17,$BC$2:$BJ$84,5,FALSE),0)</f>
        <v/>
      </c>
      <c r="EQ17" s="145">
        <f>IFERROR(VLOOKUP($EC17,$BC$2:$BJ$84,5,FALSE),0)</f>
        <v/>
      </c>
      <c r="ER17" s="145">
        <f>IFERROR(VLOOKUP($ED17,$BC$2:$BJ$84,5,FALSE),0)</f>
        <v/>
      </c>
      <c r="ES17" s="145">
        <f>IFERROR(VLOOKUP($EE17,$BC$2:$BJ$84,5,FALSE),0)</f>
        <v/>
      </c>
      <c r="ET17" s="145">
        <f>IFERROR(VLOOKUP($EB17,$BC$2:$BJ$84,6,FALSE),0)+IFERROR(VLOOKUP($EC17,$BC$2:$BJ$84,6,FALSE),0)+IFERROR(VLOOKUP($ED17,$BC$2:$BJ$84,6,FALSE),0)+IFERROR(VLOOKUP($EE17,$BC$2:$BJ$84,6,FALSE),0)</f>
        <v/>
      </c>
      <c r="EU17" s="145">
        <f>IF($EI17=0,0,INDEX($AD$2:$AD$11,$EI17))</f>
        <v/>
      </c>
      <c r="EV17" s="145">
        <f>IF($EI17=0,0,INDEX($AE$2:$AE$11,$EI17))</f>
        <v/>
      </c>
      <c r="EW17" s="145">
        <f>IF($EI17=0,0,INDEX($AG$2:$AG$11,$EI17))</f>
        <v/>
      </c>
      <c r="EX17" s="145">
        <f>IFERROR(VLOOKUP($EF17,$BL$2:$BP$24,3,FALSE),0)</f>
        <v/>
      </c>
      <c r="EY17" s="145">
        <f>IFERROR(VLOOKUP($EG17,$BL$2:$BP$24,3,FALSE),0)</f>
        <v/>
      </c>
      <c r="EZ17" s="145">
        <f>IFERROR(VLOOKUP($EF17,$BL$2:$BP$24,2,FALSE),"")</f>
        <v/>
      </c>
      <c r="FA17" s="145">
        <f>IFERROR(VLOOKUP($EG17,$BL$2:$BP$24,2,FALSE),"")</f>
        <v/>
      </c>
      <c r="FB17" s="145">
        <f>COUNTIF($EJ17:$EN17,1)</f>
        <v/>
      </c>
      <c r="FC17" s="145">
        <f>COUNTIF($EJ17:$EN17,2)</f>
        <v/>
      </c>
      <c r="FD17" s="145">
        <f>COUNTIF($EJ17:$EN17,3)</f>
        <v/>
      </c>
      <c r="FE17" s="145">
        <f>COUNTIF($EJ17:$EN17,4)</f>
        <v/>
      </c>
      <c r="FF17" s="145">
        <f>COUNTIF($EJ17:$EN17,5)</f>
        <v/>
      </c>
      <c r="FG17" s="145">
        <f>COUNTIF($EJ17:$EN17,6)</f>
        <v/>
      </c>
      <c r="FH17" s="145">
        <f>COUNTIF($EX17:$EY17,1)</f>
        <v/>
      </c>
      <c r="FI17" s="145">
        <f>COUNTIF($EX17:$EY17,2)+$EU17</f>
        <v/>
      </c>
      <c r="FJ17" s="145">
        <f>COUNTIF($EB17:$EE17,"?*")</f>
        <v/>
      </c>
      <c r="FK17" s="145">
        <f>COUNTIF($EF17:$EG17,"?*")+$EU17</f>
        <v/>
      </c>
      <c r="FL17" s="145">
        <f>SUMPRODUCT($FB17:$FG17,INDEX($Q$2:$V$8,$DY17,0))</f>
        <v/>
      </c>
      <c r="FM17" s="145">
        <f>$FH17*CEILING($DY17/2,1)+$FI17*$DY17</f>
        <v/>
      </c>
      <c r="FN17" s="145">
        <f>MIN(2*$DY17,$FM17)</f>
        <v/>
      </c>
      <c r="FO17" s="145">
        <f>MIN($FN17,$FL17)</f>
        <v/>
      </c>
      <c r="FP17" s="145">
        <f>$FN17-$FO17</f>
        <v/>
      </c>
      <c r="FQ17" s="145">
        <f>3*$DY17-$FL17+$FO17</f>
        <v/>
      </c>
      <c r="FR17" s="145">
        <f>MAX(0,$FQ17)+$DW17*$DY17</f>
        <v/>
      </c>
      <c r="FS17" s="145">
        <f>(IF(COUNTIF($EB17:$EE17,"Salto")&gt;0,1,0)+IF(COUNTIF($EB17:$EE17,"Queima")&gt;0,1,0)+IF(COUNTIF($EB17:$EE17,"Estilhaço")&gt;0,1,0))*FLOOR($FR17/2,1)</f>
        <v/>
      </c>
      <c r="FT17" s="145">
        <f>MAX(0,3-SUMPRODUCT($FB17:$FG17,$Q$2:$V$2)+MIN(2,$FH17*1+$FI17*1,SUMPRODUCT($FB17:$FG17,$Q$2:$V$2)))+$DW17*1</f>
        <v/>
      </c>
      <c r="FU17" s="145">
        <f>MAX(0,6-SUMPRODUCT($FB17:$FG17,$Q$3:$V$3)+MIN(4,$FH17*1+$FI17*2,SUMPRODUCT($FB17:$FG17,$Q$3:$V$3)))+$DW17*2</f>
        <v/>
      </c>
      <c r="FV17" s="145">
        <f>MAX(0,9-SUMPRODUCT($FB17:$FG17,$Q$4:$V$4)+MIN(6,$FH17*2+$FI17*3,SUMPRODUCT($FB17:$FG17,$Q$4:$V$4)))+$DW17*3</f>
        <v/>
      </c>
      <c r="FW17" s="145">
        <f>MAX(0,12-SUMPRODUCT($FB17:$FG17,$Q$5:$V$5)+MIN(8,$FH17*2+$FI17*4,SUMPRODUCT($FB17:$FG17,$Q$5:$V$5)))+$DW17*4</f>
        <v/>
      </c>
      <c r="FX17" s="145">
        <f>MAX(0,15-SUMPRODUCT($FB17:$FG17,$Q$6:$V$6)+MIN(10,$FH17*3+$FI17*5,SUMPRODUCT($FB17:$FG17,$Q$6:$V$6)))+$DW17*5</f>
        <v/>
      </c>
      <c r="FY17" s="145">
        <f>MAX(0,18-SUMPRODUCT($FB17:$FG17,$Q$7:$V$7)+MIN(12,$FH17*3+$FI17*6,SUMPRODUCT($FB17:$FG17,$Q$7:$V$7)))+$DW17*6</f>
        <v/>
      </c>
      <c r="FZ17" s="145">
        <f>MAX(0,21-SUMPRODUCT($FB17:$FG17,$Q$8:$V$8)+MIN(14,$FH17*4+$FI17*7,SUMPRODUCT($FB17:$FG17,$Q$8:$V$8)))+$DW17*7</f>
        <v/>
      </c>
      <c r="GA17" s="145">
        <f>IF($EV17=2,3*$FT17&amp;" de vida temp.",IF($EV17=3,"sem dano",IF($FT17=0,IF($EV17=1,"sem cura","sem dano"),IF($EV17=1,"cura ","")&amp;$FT17&amp;"d8")))</f>
        <v/>
      </c>
      <c r="GB17" s="145">
        <f>IF($EV17=2,3*$FU17&amp;" de vida temp.",IF($EV17=3,"sem dano",IF($FU17=0,IF($EV17=1,"sem cura","sem dano"),IF($EV17=1,"cura ","")&amp;$FU17&amp;"d8")))</f>
        <v/>
      </c>
      <c r="GC17" s="145">
        <f>IF($EV17=2,3*$FV17&amp;" de vida temp.",IF($EV17=3,"sem dano",IF($FV17=0,IF($EV17=1,"sem cura","sem dano"),IF($EV17=1,"cura ","")&amp;$FV17&amp;"d8")))</f>
        <v/>
      </c>
      <c r="GD17" s="145">
        <f>IF($EV17=2,3*$FW17&amp;" de vida temp.",IF($EV17=3,"sem dano",IF($FW17=0,IF($EV17=1,"sem cura","sem dano"),IF($EV17=1,"cura ","")&amp;$FW17&amp;"d8")))</f>
        <v/>
      </c>
      <c r="GE17" s="145">
        <f>IF($EV17=2,3*$FX17&amp;" de vida temp.",IF($EV17=3,"sem dano",IF($FX17=0,IF($EV17=1,"sem cura","sem dano"),IF($EV17=1,"cura ","")&amp;$FX17&amp;"d8")))</f>
        <v/>
      </c>
      <c r="GF17" s="145">
        <f>IF($EV17=2,3*$FY17&amp;" de vida temp.",IF($EV17=3,"sem dano",IF($FY17=0,IF($EV17=1,"sem cura","sem dano"),IF($EV17=1,"cura ","")&amp;$FY17&amp;"d8")))</f>
        <v/>
      </c>
      <c r="GG17" s="145">
        <f>IF($EV17=2,3*$FZ17&amp;" de vida temp.",IF($EV17=3,"sem dano",IF($FZ17=0,IF($EV17=1,"sem cura","sem dano"),IF($EV17=1,"cura ","")&amp;$FZ17&amp;"d8")))</f>
        <v/>
      </c>
      <c r="GH17" s="145">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45">
        <f>IF($GH17="",0,(LEN($GH17)-LEN(SUBSTITUTE($GH17," · ","")))/3+1)</f>
        <v/>
      </c>
      <c r="GJ17" s="145">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45">
        <f>IF($GJ17="",0,(LEN($GJ17)-LEN(SUBSTITUTE($GJ17," · ","")))/3+1)</f>
        <v/>
      </c>
      <c r="GL17" s="145">
        <f>IF($EH17=0,IF($FJ17+$FK17-$EU17&gt;0,"Dê um nome",""),IF($GI17&gt;0,"⚠ "&amp;$GI17&amp;IF($GI17&gt;1," erros"," erro"),IF($GK17&gt;0,"! "&amp;$GK17&amp;IF($GK17&gt;1," avisos"," aviso"),"Na regra")))</f>
        <v/>
      </c>
      <c r="GM17" s="145">
        <f>IF($EH17=0,"",IF($GI17+$GK17=0,"Dentro das regras que a ficha confere",$GH17&amp;IF(AND($GI17&gt;0,$GK17&gt;0)," · ","")&amp;$GJ17))</f>
        <v/>
      </c>
      <c r="GN17" s="145">
        <f>IF($EH17=0,"",IF($DW17=1,CEILING(4.5*$DY17,1),3*$DY17)&amp;" PE")</f>
        <v/>
      </c>
      <c r="GO17" s="145">
        <f>IF($EH17=0,"",IF($DW17=1,"Rodada inteira",IF(COUNTIF($EZ17:$FA17,"Atrasar")&gt;0,IF(COUNTIF($EZ17:$FA17,"Carregar")&gt;0,"Rodada +1 turno","Rodada inteira"),IF(COUNTIF($EB17:$EE17,"Rápido")&gt;0,"Bônus",IF(COUNTIF($EB17:$EE17,"Reação")&gt;0,"Reação","Padrão"))&amp;IF(COUNTIF($EZ17:$FA17,"Carregar")&gt;0," +1 turno",""))))</f>
        <v/>
      </c>
      <c r="GP17" s="145">
        <f>IF(OR($EH17=0,$EI17=0),"",IF(COUNTIF($EB17:$EE17,"Inescapável")&gt;0,"Automático",IF(COUNTIF($EB17:$EE17,"Certeiro")&gt;0,"TR para metade",INDEX($AF$2:$AF$11,$EI17))))</f>
        <v/>
      </c>
      <c r="GQ17" s="145">
        <f>IF(OR($EH17=0,$EI17=0),"",IF(OR($EV17&gt;=2,$FR17=0),UPPER(LEFT(INDEX($GA17:$GG17,1,$DY17),1))&amp;MID(INDEX($GA17:$GG17,1,$DY17),2,99),UPPER(LEFT(INDEX($GA17:$GG17,1,$DY17),1))&amp;MID(INDEX($GA17:$GG17,1,$DY17),2,99)&amp;" = "&amp;FLOOR($FR17*4.5,1)&amp;IF($FS17&gt;0," · +"&amp;$FS17&amp;"d8","")))</f>
        <v/>
      </c>
      <c r="GR17" s="145">
        <f>COUNTIF($EB17:$EE17,"Longe")+3*COUNTIF($EB17:$EE17,"Muito Longe")</f>
        <v/>
      </c>
      <c r="GS17" s="145">
        <f>COUNTIF($EB17:$EE17,"Maior")+3*COUNTIF($EB17:$EE17,"Muito Maior")</f>
        <v/>
      </c>
      <c r="GT17" s="145">
        <f>IF($EI17=0,0,CHOOSE(1+INDEX($AH$2:$AH$11,$EI17),0,$GR17,$GS17,$GR17+$GS17))</f>
        <v/>
      </c>
      <c r="GU17" s="145">
        <f>IF($EI17=0,0,CHOOSE(1+INDEX($AI$2:$AI$11,$EI17),0,$GR17,$GS17,$GR17+$GS17))</f>
        <v/>
      </c>
      <c r="GV17" s="145">
        <f>IF(OR($EH17=0,$EI17=0),"",INDEX($AP$2:$AU$31,($EI17-1)*3+IF($DY17&gt;=6,3,2),1+MIN(5,$GT17))&amp;INDEX($AV$2:$BA$31,($EI17-1)*3+IF($DY17&gt;=6,3,2),1+MIN(5,$GU17))&amp;IF(INDEX($AJ$2:$AJ$11,$EI17)=1,IF(COUNTIF($EB17:$EE17,"Mais Um")&gt;0," · +"&amp;COUNTIF($EB17:$EE17,"Mais Um")&amp;IF(COUNTIF($EB17:$EE17,"Mais Um")&gt;1," alvos"," alvo"),"")&amp;IF(COUNTIF($EB17:$EE17,"Rajada")&gt;0," · "&amp;($DY17+1)&amp;" tiros",""),""))</f>
        <v/>
      </c>
      <c r="GW17" s="145">
        <f>IF($EH17=0,"",3*$DY17&amp;" − "&amp;$FL17&amp;" + "&amp;$FO17&amp;IF($DW17=1," + "&amp;$DY17,"")&amp;" = "&amp;$FR17&amp;"d8 · teto "&amp;4*$DY17&amp;IF($EU17=1," · a Forma devolve "&amp;$DY17,"")&amp;IF($FP17&gt;0," · perde "&amp;$FP17,""))</f>
        <v/>
      </c>
      <c r="GX17" s="145">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5">
        <f>IF(OR($EH17=0,$EK17=0),"","−"&amp;INDEX($Q$2:$V$8,$DY17,$EK17)&amp;" · "&amp;CHOOSE($EK17,"Leve","Média","Pesada","Leve · Livre","Média · Livre","Pesada · Livre"))</f>
        <v/>
      </c>
      <c r="GZ17" s="145">
        <f>IF(OR($EH17=0,$EL17=0),"","−"&amp;INDEX($Q$2:$V$8,$DY17,$EL17)&amp;" · "&amp;CHOOSE($EL17,"Leve","Média","Pesada","Leve · Livre","Média · Livre","Pesada · Livre"))</f>
        <v/>
      </c>
      <c r="HA17" s="145">
        <f>IF(OR($EH17=0,$EM17=0),"","−"&amp;INDEX($Q$2:$V$8,$DY17,$EM17)&amp;" · "&amp;CHOOSE($EM17,"Leve","Média","Pesada","Leve · Livre","Média · Livre","Pesada · Livre"))</f>
        <v/>
      </c>
      <c r="HB17" s="145">
        <f>IF(OR($EH17=0,$EN17=0),"","−"&amp;INDEX($Q$2:$V$8,$DY17,$EN17)&amp;" · "&amp;CHOOSE($EN17,"Leve","Média","Pesada","Leve · Livre","Média · Livre","Pesada · Livre"))</f>
        <v/>
      </c>
      <c r="HC17" s="145">
        <f>IF(OR($EH17=0,$EF17=""),"","+"&amp;IF($EX17=1,CEILING($DY17/2,1),$DY17))</f>
        <v/>
      </c>
      <c r="HD17" s="145">
        <f>IF(OR($EH17=0,$EG17=""),"","+"&amp;IF($EY17=1,CEILING($DY17/2,1),$DY17))</f>
        <v/>
      </c>
      <c r="HE17" s="145">
        <f>'FICHA AMALDIÇOADA'!$D$160&amp;""</f>
        <v/>
      </c>
      <c r="HF17" s="145">
        <f>IF(AND($EH17=1,$DW17=0),COUNTIFS($EH$2:$EH17,1,$DW$2:$DW17,0),"")</f>
        <v/>
      </c>
      <c r="HH17" s="143" t="inlineStr">
        <is>
          <t>espaços da regra própria</t>
        </is>
      </c>
      <c r="HI17" s="145">
        <f>MAX(0,$HI$16-1)</f>
        <v/>
      </c>
      <c r="JD17" s="145" t="n">
        <v>16</v>
      </c>
      <c r="JE17" s="145">
        <f>IFERROR(MATCH(16,$HF$2:$HF$37,0),0)</f>
        <v/>
      </c>
      <c r="JF17" s="145">
        <f>IF($JE17=0,"",INDEX($DY$2:$DY$37,$JE17))</f>
        <v/>
      </c>
      <c r="JG17" s="145">
        <f>IF($JE17=0,"",INDEX($DZ$2:$DZ$37,$JE17))</f>
        <v/>
      </c>
      <c r="JH17" s="145">
        <f>IF($JE17=0,"",INDEX($GN$2:$GN$37,$JE17))</f>
        <v/>
      </c>
      <c r="JI17" s="145">
        <f>IF($JE17=0,"",INDEX($EA$2:$EA$37,$JE17))</f>
        <v/>
      </c>
      <c r="JJ17" s="145">
        <f>IF($JE17=0,"",INDEX($GP$2:$GP$37,$JE17))</f>
        <v/>
      </c>
      <c r="JK17" s="145">
        <f>IF($JE17=0,"",INDEX($HE$2:$HE$37,$JE17))</f>
        <v/>
      </c>
      <c r="KN17" s="143" t="inlineStr">
        <is>
          <t>par aptidões 2</t>
        </is>
      </c>
      <c r="KO17" s="145">
        <f>UPPER(INDEX($D$6:$G$6,1,$A$2))&amp;" 7 A 12"</f>
        <v/>
      </c>
      <c r="KQ17" s="143" t="inlineStr">
        <is>
          <t>R33</t>
        </is>
      </c>
      <c r="KR17" s="145">
        <f>IF(DADOS_AM!$HI$16=0,"—",IF(IFERROR(VLOOKUP(DADOS_AM!$HI$16,DADOS_AM!$BZ$2:$CA$4,2,FALSE),0)&gt;DADOS_AM!$HI$2,"⚠ Nível "&amp;VLOOKUP(DADOS_AM!$HI$16,DADOS_AM!$BZ$2:$CA$4,2,FALSE),IF(DADOS_AM!$HI$16&gt;1,DADOS_AM!$HI$16-1,"De graça")))</f>
        <v/>
      </c>
    </row>
    <row r="18">
      <c r="AO18" s="143" t="inlineStr">
        <is>
          <t>Linha · classes 1 a 5</t>
        </is>
      </c>
      <c r="AP18" s="143" t="inlineStr">
        <is>
          <t>Linha de 18 m por 1,5 m</t>
        </is>
      </c>
      <c r="AQ18" s="143" t="inlineStr">
        <is>
          <t>Linha de 30 m por 1,5 m</t>
        </is>
      </c>
      <c r="AR18" s="143" t="inlineStr">
        <is>
          <t>Linha de 60 m por 1,5 m</t>
        </is>
      </c>
      <c r="AS18" s="143" t="inlineStr">
        <is>
          <t>Linha de 60 m por 1,5 m</t>
        </is>
      </c>
      <c r="AT18" s="143" t="inlineStr">
        <is>
          <t>Linha de 60 m por 1,5 m</t>
        </is>
      </c>
      <c r="AU18" s="143" t="inlineStr">
        <is>
          <t>Linha de 60 m por 1,5 m</t>
        </is>
      </c>
      <c r="AV18" s="143" t="inlineStr"/>
      <c r="AW18" s="143" t="inlineStr"/>
      <c r="AX18" s="143" t="inlineStr"/>
      <c r="AY18" s="143" t="inlineStr"/>
      <c r="AZ18" s="143" t="inlineStr"/>
      <c r="BA18" s="143" t="inlineStr"/>
      <c r="BC18" s="143" t="inlineStr">
        <is>
          <t>Certeiro</t>
        </is>
      </c>
      <c r="BD18" s="143" t="inlineStr">
        <is>
          <t>Mira</t>
        </is>
      </c>
      <c r="BE18" s="145" t="n">
        <v>2</v>
      </c>
      <c r="BF18" s="145">
        <f>$BE18+3*IFERROR(VLOOKUP($BD18,$I$2:$L$10,3,FALSE),0)</f>
        <v/>
      </c>
      <c r="BG18" s="145">
        <f>IFERROR(VLOOKUP($BD18,$I$2:$L$10,4,FALSE),0)</f>
        <v/>
      </c>
      <c r="BH18" s="145" t="n">
        <v>0</v>
      </c>
      <c r="BI18" s="145">
        <f>IF($BG18=1,"",$BC18)</f>
        <v/>
      </c>
      <c r="BJ18" s="145">
        <f>IF(AND($BE18=1,$BG18=0),$BC18,"")</f>
        <v/>
      </c>
      <c r="BL18" s="143" t="inlineStr">
        <is>
          <t>Aquecer</t>
        </is>
      </c>
      <c r="BM18" s="143" t="inlineStr">
        <is>
          <t>Aquecer</t>
        </is>
      </c>
      <c r="BN18" s="145" t="n">
        <v>1</v>
      </c>
      <c r="BO18" s="145" t="n">
        <v>1</v>
      </c>
      <c r="BP18" s="143" t="inlineStr">
        <is>
          <t>Aquecer</t>
        </is>
      </c>
      <c r="BR18" s="143" t="inlineStr">
        <is>
          <t>Talento Próprio (CE 1)</t>
        </is>
      </c>
      <c r="BS18" s="145" t="n">
        <v>1</v>
      </c>
      <c r="BT18"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45" t="n">
        <v>1</v>
      </c>
      <c r="BV18" s="145" t="n">
        <v>1</v>
      </c>
      <c r="BW18" s="145">
        <f>IF(OR(AND($A$2&lt;=2,$BU18=1),AND($A$2&gt;=2,$BV18=1)),$BR18,"")</f>
        <v/>
      </c>
      <c r="BX18" s="143" t="inlineStr">
        <is>
          <t>Categoria de Efeito 1, 2 ou 3. Custos e níveis da Categoria escolhida. Se o catálogo não representar a ideia, escreva o efeito com o mestre antes da sessão. Ele ocupa os espaços correspondentes e conta no máximo de cinco Talentos pagos.</t>
        </is>
      </c>
      <c r="CC18" s="143" t="inlineStr">
        <is>
          <t>Aptidão Própria (CE 2)</t>
        </is>
      </c>
      <c r="CD18" s="143" t="inlineStr">
        <is>
          <t>Uma única vez na ficha</t>
        </is>
      </c>
      <c r="CE18" s="145" t="n">
        <v>2</v>
      </c>
      <c r="CF18" s="143" t="inlineStr">
        <is>
          <t>—</t>
        </is>
      </c>
      <c r="CG18"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45">
        <f>IF($CK18=1,"",IF($A$2=4,IF($CI18=1,$CC18,""),IF(OR($CI18=1,AND($A$2=3,$CJ18=1)),"",$CC18)))</f>
        <v/>
      </c>
      <c r="CI18" s="145" t="n">
        <v>0</v>
      </c>
      <c r="CJ18" s="145" t="n">
        <v>0</v>
      </c>
      <c r="CK18" s="145" t="n">
        <v>0</v>
      </c>
      <c r="CL18" s="143" t="inlineStr">
        <is>
          <t>Você cria uma aptidão com o mestre antes da sessão.</t>
        </is>
      </c>
      <c r="DV18" s="143" t="inlineStr">
        <is>
          <t>Feitiço 17</t>
        </is>
      </c>
      <c r="DW18" s="145" t="n">
        <v>0</v>
      </c>
      <c r="DX18" s="145" t="n">
        <v>17</v>
      </c>
      <c r="DY18" s="145">
        <f>MAX(1,MIN(7,N('FICHA AMALDIÇOADA'!$J$158)))</f>
        <v/>
      </c>
      <c r="DZ18" s="145">
        <f>'FICHA AMALDIÇOADA'!$K$158&amp;""</f>
        <v/>
      </c>
      <c r="EA18" s="145">
        <f>'FICHA AMALDIÇOADA'!$J$165&amp;""</f>
        <v/>
      </c>
      <c r="EB18" s="145">
        <f>'FICHA AMALDIÇOADA'!$K$167&amp;""</f>
        <v/>
      </c>
      <c r="EC18" s="145">
        <f>'FICHA AMALDIÇOADA'!$K$168&amp;""</f>
        <v/>
      </c>
      <c r="ED18" s="145">
        <f>'FICHA AMALDIÇOADA'!$K$169&amp;""</f>
        <v/>
      </c>
      <c r="EE18" s="145">
        <f>'FICHA AMALDIÇOADA'!$K$170&amp;""</f>
        <v/>
      </c>
      <c r="EF18" s="145">
        <f>'FICHA AMALDIÇOADA'!$K$171&amp;""</f>
        <v/>
      </c>
      <c r="EG18" s="145">
        <f>'FICHA AMALDIÇOADA'!$K$172&amp;""</f>
        <v/>
      </c>
      <c r="EH18" s="145">
        <f>IF($DZ18&lt;&gt;"",1,0)</f>
        <v/>
      </c>
      <c r="EI18" s="145">
        <f>IFERROR(MATCH($EA18,$Y$2:$Y$11,0),0)</f>
        <v/>
      </c>
      <c r="EJ18" s="145">
        <f>IF($EI18=0,0,INDEX($AB$2:$AB$11,$EI18))</f>
        <v/>
      </c>
      <c r="EK18" s="145">
        <f>IFERROR(VLOOKUP($EB18,$BC$2:$BJ$84,4,FALSE),0)</f>
        <v/>
      </c>
      <c r="EL18" s="145">
        <f>IFERROR(VLOOKUP($EC18,$BC$2:$BJ$84,4,FALSE),0)</f>
        <v/>
      </c>
      <c r="EM18" s="145">
        <f>IFERROR(VLOOKUP($ED18,$BC$2:$BJ$84,4,FALSE),0)</f>
        <v/>
      </c>
      <c r="EN18" s="145">
        <f>IFERROR(VLOOKUP($EE18,$BC$2:$BJ$84,4,FALSE),0)</f>
        <v/>
      </c>
      <c r="EO18" s="145">
        <f>IF($EI18=0,0,INDEX($AC$2:$AC$11,$EI18))</f>
        <v/>
      </c>
      <c r="EP18" s="145">
        <f>IFERROR(VLOOKUP($EB18,$BC$2:$BJ$84,5,FALSE),0)</f>
        <v/>
      </c>
      <c r="EQ18" s="145">
        <f>IFERROR(VLOOKUP($EC18,$BC$2:$BJ$84,5,FALSE),0)</f>
        <v/>
      </c>
      <c r="ER18" s="145">
        <f>IFERROR(VLOOKUP($ED18,$BC$2:$BJ$84,5,FALSE),0)</f>
        <v/>
      </c>
      <c r="ES18" s="145">
        <f>IFERROR(VLOOKUP($EE18,$BC$2:$BJ$84,5,FALSE),0)</f>
        <v/>
      </c>
      <c r="ET18" s="145">
        <f>IFERROR(VLOOKUP($EB18,$BC$2:$BJ$84,6,FALSE),0)+IFERROR(VLOOKUP($EC18,$BC$2:$BJ$84,6,FALSE),0)+IFERROR(VLOOKUP($ED18,$BC$2:$BJ$84,6,FALSE),0)+IFERROR(VLOOKUP($EE18,$BC$2:$BJ$84,6,FALSE),0)</f>
        <v/>
      </c>
      <c r="EU18" s="145">
        <f>IF($EI18=0,0,INDEX($AD$2:$AD$11,$EI18))</f>
        <v/>
      </c>
      <c r="EV18" s="145">
        <f>IF($EI18=0,0,INDEX($AE$2:$AE$11,$EI18))</f>
        <v/>
      </c>
      <c r="EW18" s="145">
        <f>IF($EI18=0,0,INDEX($AG$2:$AG$11,$EI18))</f>
        <v/>
      </c>
      <c r="EX18" s="145">
        <f>IFERROR(VLOOKUP($EF18,$BL$2:$BP$24,3,FALSE),0)</f>
        <v/>
      </c>
      <c r="EY18" s="145">
        <f>IFERROR(VLOOKUP($EG18,$BL$2:$BP$24,3,FALSE),0)</f>
        <v/>
      </c>
      <c r="EZ18" s="145">
        <f>IFERROR(VLOOKUP($EF18,$BL$2:$BP$24,2,FALSE),"")</f>
        <v/>
      </c>
      <c r="FA18" s="145">
        <f>IFERROR(VLOOKUP($EG18,$BL$2:$BP$24,2,FALSE),"")</f>
        <v/>
      </c>
      <c r="FB18" s="145">
        <f>COUNTIF($EJ18:$EN18,1)</f>
        <v/>
      </c>
      <c r="FC18" s="145">
        <f>COUNTIF($EJ18:$EN18,2)</f>
        <v/>
      </c>
      <c r="FD18" s="145">
        <f>COUNTIF($EJ18:$EN18,3)</f>
        <v/>
      </c>
      <c r="FE18" s="145">
        <f>COUNTIF($EJ18:$EN18,4)</f>
        <v/>
      </c>
      <c r="FF18" s="145">
        <f>COUNTIF($EJ18:$EN18,5)</f>
        <v/>
      </c>
      <c r="FG18" s="145">
        <f>COUNTIF($EJ18:$EN18,6)</f>
        <v/>
      </c>
      <c r="FH18" s="145">
        <f>COUNTIF($EX18:$EY18,1)</f>
        <v/>
      </c>
      <c r="FI18" s="145">
        <f>COUNTIF($EX18:$EY18,2)+$EU18</f>
        <v/>
      </c>
      <c r="FJ18" s="145">
        <f>COUNTIF($EB18:$EE18,"?*")</f>
        <v/>
      </c>
      <c r="FK18" s="145">
        <f>COUNTIF($EF18:$EG18,"?*")+$EU18</f>
        <v/>
      </c>
      <c r="FL18" s="145">
        <f>SUMPRODUCT($FB18:$FG18,INDEX($Q$2:$V$8,$DY18,0))</f>
        <v/>
      </c>
      <c r="FM18" s="145">
        <f>$FH18*CEILING($DY18/2,1)+$FI18*$DY18</f>
        <v/>
      </c>
      <c r="FN18" s="145">
        <f>MIN(2*$DY18,$FM18)</f>
        <v/>
      </c>
      <c r="FO18" s="145">
        <f>MIN($FN18,$FL18)</f>
        <v/>
      </c>
      <c r="FP18" s="145">
        <f>$FN18-$FO18</f>
        <v/>
      </c>
      <c r="FQ18" s="145">
        <f>3*$DY18-$FL18+$FO18</f>
        <v/>
      </c>
      <c r="FR18" s="145">
        <f>MAX(0,$FQ18)+$DW18*$DY18</f>
        <v/>
      </c>
      <c r="FS18" s="145">
        <f>(IF(COUNTIF($EB18:$EE18,"Salto")&gt;0,1,0)+IF(COUNTIF($EB18:$EE18,"Queima")&gt;0,1,0)+IF(COUNTIF($EB18:$EE18,"Estilhaço")&gt;0,1,0))*FLOOR($FR18/2,1)</f>
        <v/>
      </c>
      <c r="FT18" s="145">
        <f>MAX(0,3-SUMPRODUCT($FB18:$FG18,$Q$2:$V$2)+MIN(2,$FH18*1+$FI18*1,SUMPRODUCT($FB18:$FG18,$Q$2:$V$2)))+$DW18*1</f>
        <v/>
      </c>
      <c r="FU18" s="145">
        <f>MAX(0,6-SUMPRODUCT($FB18:$FG18,$Q$3:$V$3)+MIN(4,$FH18*1+$FI18*2,SUMPRODUCT($FB18:$FG18,$Q$3:$V$3)))+$DW18*2</f>
        <v/>
      </c>
      <c r="FV18" s="145">
        <f>MAX(0,9-SUMPRODUCT($FB18:$FG18,$Q$4:$V$4)+MIN(6,$FH18*2+$FI18*3,SUMPRODUCT($FB18:$FG18,$Q$4:$V$4)))+$DW18*3</f>
        <v/>
      </c>
      <c r="FW18" s="145">
        <f>MAX(0,12-SUMPRODUCT($FB18:$FG18,$Q$5:$V$5)+MIN(8,$FH18*2+$FI18*4,SUMPRODUCT($FB18:$FG18,$Q$5:$V$5)))+$DW18*4</f>
        <v/>
      </c>
      <c r="FX18" s="145">
        <f>MAX(0,15-SUMPRODUCT($FB18:$FG18,$Q$6:$V$6)+MIN(10,$FH18*3+$FI18*5,SUMPRODUCT($FB18:$FG18,$Q$6:$V$6)))+$DW18*5</f>
        <v/>
      </c>
      <c r="FY18" s="145">
        <f>MAX(0,18-SUMPRODUCT($FB18:$FG18,$Q$7:$V$7)+MIN(12,$FH18*3+$FI18*6,SUMPRODUCT($FB18:$FG18,$Q$7:$V$7)))+$DW18*6</f>
        <v/>
      </c>
      <c r="FZ18" s="145">
        <f>MAX(0,21-SUMPRODUCT($FB18:$FG18,$Q$8:$V$8)+MIN(14,$FH18*4+$FI18*7,SUMPRODUCT($FB18:$FG18,$Q$8:$V$8)))+$DW18*7</f>
        <v/>
      </c>
      <c r="GA18" s="145">
        <f>IF($EV18=2,3*$FT18&amp;" de vida temp.",IF($EV18=3,"sem dano",IF($FT18=0,IF($EV18=1,"sem cura","sem dano"),IF($EV18=1,"cura ","")&amp;$FT18&amp;"d8")))</f>
        <v/>
      </c>
      <c r="GB18" s="145">
        <f>IF($EV18=2,3*$FU18&amp;" de vida temp.",IF($EV18=3,"sem dano",IF($FU18=0,IF($EV18=1,"sem cura","sem dano"),IF($EV18=1,"cura ","")&amp;$FU18&amp;"d8")))</f>
        <v/>
      </c>
      <c r="GC18" s="145">
        <f>IF($EV18=2,3*$FV18&amp;" de vida temp.",IF($EV18=3,"sem dano",IF($FV18=0,IF($EV18=1,"sem cura","sem dano"),IF($EV18=1,"cura ","")&amp;$FV18&amp;"d8")))</f>
        <v/>
      </c>
      <c r="GD18" s="145">
        <f>IF($EV18=2,3*$FW18&amp;" de vida temp.",IF($EV18=3,"sem dano",IF($FW18=0,IF($EV18=1,"sem cura","sem dano"),IF($EV18=1,"cura ","")&amp;$FW18&amp;"d8")))</f>
        <v/>
      </c>
      <c r="GE18" s="145">
        <f>IF($EV18=2,3*$FX18&amp;" de vida temp.",IF($EV18=3,"sem dano",IF($FX18=0,IF($EV18=1,"sem cura","sem dano"),IF($EV18=1,"cura ","")&amp;$FX18&amp;"d8")))</f>
        <v/>
      </c>
      <c r="GF18" s="145">
        <f>IF($EV18=2,3*$FY18&amp;" de vida temp.",IF($EV18=3,"sem dano",IF($FY18=0,IF($EV18=1,"sem cura","sem dano"),IF($EV18=1,"cura ","")&amp;$FY18&amp;"d8")))</f>
        <v/>
      </c>
      <c r="GG18" s="145">
        <f>IF($EV18=2,3*$FZ18&amp;" de vida temp.",IF($EV18=3,"sem dano",IF($FZ18=0,IF($EV18=1,"sem cura","sem dano"),IF($EV18=1,"cura ","")&amp;$FZ18&amp;"d8")))</f>
        <v/>
      </c>
      <c r="GH18" s="145">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45">
        <f>IF($GH18="",0,(LEN($GH18)-LEN(SUBSTITUTE($GH18," · ","")))/3+1)</f>
        <v/>
      </c>
      <c r="GJ18" s="145">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45">
        <f>IF($GJ18="",0,(LEN($GJ18)-LEN(SUBSTITUTE($GJ18," · ","")))/3+1)</f>
        <v/>
      </c>
      <c r="GL18" s="145">
        <f>IF($EH18=0,IF($FJ18+$FK18-$EU18&gt;0,"Dê um nome",""),IF($GI18&gt;0,"⚠ "&amp;$GI18&amp;IF($GI18&gt;1," erros"," erro"),IF($GK18&gt;0,"! "&amp;$GK18&amp;IF($GK18&gt;1," avisos"," aviso"),"Na regra")))</f>
        <v/>
      </c>
      <c r="GM18" s="145">
        <f>IF($EH18=0,"",IF($GI18+$GK18=0,"Dentro das regras que a ficha confere",$GH18&amp;IF(AND($GI18&gt;0,$GK18&gt;0)," · ","")&amp;$GJ18))</f>
        <v/>
      </c>
      <c r="GN18" s="145">
        <f>IF($EH18=0,"",IF($DW18=1,CEILING(4.5*$DY18,1),3*$DY18)&amp;" PE")</f>
        <v/>
      </c>
      <c r="GO18" s="145">
        <f>IF($EH18=0,"",IF($DW18=1,"Rodada inteira",IF(COUNTIF($EZ18:$FA18,"Atrasar")&gt;0,IF(COUNTIF($EZ18:$FA18,"Carregar")&gt;0,"Rodada +1 turno","Rodada inteira"),IF(COUNTIF($EB18:$EE18,"Rápido")&gt;0,"Bônus",IF(COUNTIF($EB18:$EE18,"Reação")&gt;0,"Reação","Padrão"))&amp;IF(COUNTIF($EZ18:$FA18,"Carregar")&gt;0," +1 turno",""))))</f>
        <v/>
      </c>
      <c r="GP18" s="145">
        <f>IF(OR($EH18=0,$EI18=0),"",IF(COUNTIF($EB18:$EE18,"Inescapável")&gt;0,"Automático",IF(COUNTIF($EB18:$EE18,"Certeiro")&gt;0,"TR para metade",INDEX($AF$2:$AF$11,$EI18))))</f>
        <v/>
      </c>
      <c r="GQ18" s="145">
        <f>IF(OR($EH18=0,$EI18=0),"",IF(OR($EV18&gt;=2,$FR18=0),UPPER(LEFT(INDEX($GA18:$GG18,1,$DY18),1))&amp;MID(INDEX($GA18:$GG18,1,$DY18),2,99),UPPER(LEFT(INDEX($GA18:$GG18,1,$DY18),1))&amp;MID(INDEX($GA18:$GG18,1,$DY18),2,99)&amp;" = "&amp;FLOOR($FR18*4.5,1)&amp;IF($FS18&gt;0," · +"&amp;$FS18&amp;"d8","")))</f>
        <v/>
      </c>
      <c r="GR18" s="145">
        <f>COUNTIF($EB18:$EE18,"Longe")+3*COUNTIF($EB18:$EE18,"Muito Longe")</f>
        <v/>
      </c>
      <c r="GS18" s="145">
        <f>COUNTIF($EB18:$EE18,"Maior")+3*COUNTIF($EB18:$EE18,"Muito Maior")</f>
        <v/>
      </c>
      <c r="GT18" s="145">
        <f>IF($EI18=0,0,CHOOSE(1+INDEX($AH$2:$AH$11,$EI18),0,$GR18,$GS18,$GR18+$GS18))</f>
        <v/>
      </c>
      <c r="GU18" s="145">
        <f>IF($EI18=0,0,CHOOSE(1+INDEX($AI$2:$AI$11,$EI18),0,$GR18,$GS18,$GR18+$GS18))</f>
        <v/>
      </c>
      <c r="GV18" s="145">
        <f>IF(OR($EH18=0,$EI18=0),"",INDEX($AP$2:$AU$31,($EI18-1)*3+IF($DY18&gt;=6,3,2),1+MIN(5,$GT18))&amp;INDEX($AV$2:$BA$31,($EI18-1)*3+IF($DY18&gt;=6,3,2),1+MIN(5,$GU18))&amp;IF(INDEX($AJ$2:$AJ$11,$EI18)=1,IF(COUNTIF($EB18:$EE18,"Mais Um")&gt;0," · +"&amp;COUNTIF($EB18:$EE18,"Mais Um")&amp;IF(COUNTIF($EB18:$EE18,"Mais Um")&gt;1," alvos"," alvo"),"")&amp;IF(COUNTIF($EB18:$EE18,"Rajada")&gt;0," · "&amp;($DY18+1)&amp;" tiros",""),""))</f>
        <v/>
      </c>
      <c r="GW18" s="145">
        <f>IF($EH18=0,"",3*$DY18&amp;" − "&amp;$FL18&amp;" + "&amp;$FO18&amp;IF($DW18=1," + "&amp;$DY18,"")&amp;" = "&amp;$FR18&amp;"d8 · teto "&amp;4*$DY18&amp;IF($EU18=1," · a Forma devolve "&amp;$DY18,"")&amp;IF($FP18&gt;0," · perde "&amp;$FP18,""))</f>
        <v/>
      </c>
      <c r="GX18" s="145">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5">
        <f>IF(OR($EH18=0,$EK18=0),"","−"&amp;INDEX($Q$2:$V$8,$DY18,$EK18)&amp;" · "&amp;CHOOSE($EK18,"Leve","Média","Pesada","Leve · Livre","Média · Livre","Pesada · Livre"))</f>
        <v/>
      </c>
      <c r="GZ18" s="145">
        <f>IF(OR($EH18=0,$EL18=0),"","−"&amp;INDEX($Q$2:$V$8,$DY18,$EL18)&amp;" · "&amp;CHOOSE($EL18,"Leve","Média","Pesada","Leve · Livre","Média · Livre","Pesada · Livre"))</f>
        <v/>
      </c>
      <c r="HA18" s="145">
        <f>IF(OR($EH18=0,$EM18=0),"","−"&amp;INDEX($Q$2:$V$8,$DY18,$EM18)&amp;" · "&amp;CHOOSE($EM18,"Leve","Média","Pesada","Leve · Livre","Média · Livre","Pesada · Livre"))</f>
        <v/>
      </c>
      <c r="HB18" s="145">
        <f>IF(OR($EH18=0,$EN18=0),"","−"&amp;INDEX($Q$2:$V$8,$DY18,$EN18)&amp;" · "&amp;CHOOSE($EN18,"Leve","Média","Pesada","Leve · Livre","Média · Livre","Pesada · Livre"))</f>
        <v/>
      </c>
      <c r="HC18" s="145">
        <f>IF(OR($EH18=0,$EF18=""),"","+"&amp;IF($EX18=1,CEILING($DY18/2,1),$DY18))</f>
        <v/>
      </c>
      <c r="HD18" s="145">
        <f>IF(OR($EH18=0,$EG18=""),"","+"&amp;IF($EY18=1,CEILING($DY18/2,1),$DY18))</f>
        <v/>
      </c>
      <c r="HE18" s="145">
        <f>'FICHA AMALDIÇOADA'!$J$160&amp;""</f>
        <v/>
      </c>
      <c r="HF18" s="145">
        <f>IF(AND($EH18=1,$DW18=0),COUNTIFS($EH$2:$EH18,1,$DW$2:$DW18,0),"")</f>
        <v/>
      </c>
      <c r="HH18" s="143" t="inlineStr">
        <is>
          <t>espaços em passivas</t>
        </is>
      </c>
      <c r="HI18" s="145">
        <f>IFERROR(VLOOKUP('FICHA AMALDIÇOADA'!$D$379,$BR$2:$BX$24,2,FALSE),0)+IFERROR(VLOOKUP('FICHA AMALDIÇOADA'!$J$379,$BR$2:$BX$24,2,FALSE),0)+IFERROR(VLOOKUP('FICHA AMALDIÇOADA'!$P$379,$BR$2:$BX$24,2,FALSE),0)+IFERROR(VLOOKUP('FICHA AMALDIÇOADA'!$D$387,$BR$2:$BX$24,2,FALSE),0)+IFERROR(VLOOKUP('FICHA AMALDIÇOADA'!$J$387,$BR$2:$BX$24,2,FALSE),0)+$HI$17</f>
        <v/>
      </c>
      <c r="JD18" s="145" t="n">
        <v>17</v>
      </c>
      <c r="JE18" s="145">
        <f>IFERROR(MATCH(17,$HF$2:$HF$37,0),0)</f>
        <v/>
      </c>
      <c r="JF18" s="145">
        <f>IF($JE18=0,"",INDEX($DY$2:$DY$37,$JE18))</f>
        <v/>
      </c>
      <c r="JG18" s="145">
        <f>IF($JE18=0,"",INDEX($DZ$2:$DZ$37,$JE18))</f>
        <v/>
      </c>
      <c r="JH18" s="145">
        <f>IF($JE18=0,"",INDEX($GN$2:$GN$37,$JE18))</f>
        <v/>
      </c>
      <c r="JI18" s="145">
        <f>IF($JE18=0,"",INDEX($EA$2:$EA$37,$JE18))</f>
        <v/>
      </c>
      <c r="JJ18" s="145">
        <f>IF($JE18=0,"",INDEX($GP$2:$GP$37,$JE18))</f>
        <v/>
      </c>
      <c r="JK18" s="145">
        <f>IF($JE18=0,"",INDEX($HE$2:$HE$37,$JE18))</f>
        <v/>
      </c>
      <c r="KN18" s="143" t="inlineStr">
        <is>
          <t>par aptidões 4</t>
        </is>
      </c>
      <c r="KO18" s="145">
        <f>UPPER(INDEX($D$6:$G$6,1,$A$2))&amp;" 13 A 14"</f>
        <v/>
      </c>
      <c r="KQ18" s="143" t="inlineStr">
        <is>
          <t>Q37</t>
        </is>
      </c>
      <c r="KR18" s="145">
        <f>IF(OR(DADOS_AM!$HI$30&lt;&gt;2,DADOS_AM!$HI$31&lt;&gt;3),"⚠ ","")&amp;DADOS_AM!$HI$30&amp;" de 2 · "&amp;DADOS_AM!$HI$31&amp;" de 3"</f>
        <v/>
      </c>
    </row>
    <row r="19">
      <c r="AO19" s="143" t="inlineStr">
        <is>
          <t>Linha · classes 6 e 7</t>
        </is>
      </c>
      <c r="AP19" s="143" t="inlineStr">
        <is>
          <t>Linha de 30 m por 1,5 m</t>
        </is>
      </c>
      <c r="AQ19" s="143" t="inlineStr">
        <is>
          <t>Linha de 60 m por 1,5 m</t>
        </is>
      </c>
      <c r="AR19" s="143" t="inlineStr">
        <is>
          <t>Linha de 60 m por 1,5 m</t>
        </is>
      </c>
      <c r="AS19" s="143" t="inlineStr">
        <is>
          <t>Linha de 60 m por 1,5 m</t>
        </is>
      </c>
      <c r="AT19" s="143" t="inlineStr">
        <is>
          <t>Linha de 60 m por 1,5 m</t>
        </is>
      </c>
      <c r="AU19" s="143" t="inlineStr">
        <is>
          <t>Linha de 60 m por 1,5 m</t>
        </is>
      </c>
      <c r="AV19" s="143" t="inlineStr"/>
      <c r="AW19" s="143" t="inlineStr"/>
      <c r="AX19" s="143" t="inlineStr"/>
      <c r="AY19" s="143" t="inlineStr"/>
      <c r="AZ19" s="143" t="inlineStr"/>
      <c r="BA19" s="143" t="inlineStr"/>
      <c r="BC19" s="143" t="inlineStr">
        <is>
          <t>Inescapável</t>
        </is>
      </c>
      <c r="BD19" s="143" t="inlineStr">
        <is>
          <t>Mira</t>
        </is>
      </c>
      <c r="BE19" s="145" t="n">
        <v>2</v>
      </c>
      <c r="BF19" s="145">
        <f>$BE19+3*IFERROR(VLOOKUP($BD19,$I$2:$L$10,3,FALSE),0)</f>
        <v/>
      </c>
      <c r="BG19" s="145">
        <f>IFERROR(VLOOKUP($BD19,$I$2:$L$10,4,FALSE),0)</f>
        <v/>
      </c>
      <c r="BH19" s="145" t="n">
        <v>0</v>
      </c>
      <c r="BI19" s="145">
        <f>IF($BG19=1,"",$BC19)</f>
        <v/>
      </c>
      <c r="BJ19" s="145">
        <f>IF(AND($BE19=1,$BG19=0),$BC19,"")</f>
        <v/>
      </c>
      <c r="BL19" s="143" t="inlineStr">
        <is>
          <t>Dívida</t>
        </is>
      </c>
      <c r="BM19" s="143" t="inlineStr">
        <is>
          <t>Dívida</t>
        </is>
      </c>
      <c r="BN19" s="145" t="n">
        <v>2</v>
      </c>
      <c r="BO19" s="145" t="n">
        <v>1</v>
      </c>
      <c r="BP19" s="143" t="inlineStr"/>
      <c r="BR19" s="143" t="inlineStr">
        <is>
          <t>Talento Próprio (CE 2)</t>
        </is>
      </c>
      <c r="BS19" s="145" t="n">
        <v>2</v>
      </c>
      <c r="BT19"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45" t="n">
        <v>1</v>
      </c>
      <c r="BV19" s="145" t="n">
        <v>1</v>
      </c>
      <c r="BW19" s="145">
        <f>IF(OR(AND($A$2&lt;=2,$BU19=1),AND($A$2&gt;=2,$BV19=1)),$BR19,"")</f>
        <v/>
      </c>
      <c r="BX19" s="143" t="inlineStr">
        <is>
          <t>Categoria de Efeito 1, 2 ou 3. Custos e níveis da Categoria escolhida. Se o catálogo não representar a ideia, escreva o efeito com o mestre antes da sessão. Ele ocupa os espaços correspondentes e conta no máximo de cinco Talentos pagos.</t>
        </is>
      </c>
      <c r="CC19" s="143" t="inlineStr">
        <is>
          <t>Defesa sem Armadura</t>
        </is>
      </c>
      <c r="CD19" s="143" t="inlineStr">
        <is>
          <t>Gratuita na Lapidação 1</t>
        </is>
      </c>
      <c r="CE19" s="143" t="inlineStr">
        <is>
          <t>—</t>
        </is>
      </c>
      <c r="CF19" s="143" t="inlineStr">
        <is>
          <t>Proteção</t>
        </is>
      </c>
      <c r="CG19" s="14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45">
        <f>IF($CK19=1,"",IF($A$2=4,IF($CI19=1,$CC19,""),IF(OR($CI19=1,AND($A$2=3,$CJ19=1)),"",$CC19)))</f>
        <v/>
      </c>
      <c r="CI19" s="145" t="n">
        <v>1</v>
      </c>
      <c r="CJ19" s="145" t="n">
        <v>0</v>
      </c>
      <c r="CK19" s="145" t="n">
        <v>1</v>
      </c>
      <c r="CL19" s="143" t="inlineStr">
        <is>
          <t>Enquanto não usar Traje nem Revestimento, você recebe proteção igual a um terço da Lapidação, arredondado para baixo, +1.</t>
        </is>
      </c>
      <c r="DV19" s="143" t="inlineStr">
        <is>
          <t>Feitiço 18</t>
        </is>
      </c>
      <c r="DW19" s="145" t="n">
        <v>0</v>
      </c>
      <c r="DX19" s="145" t="n">
        <v>18</v>
      </c>
      <c r="DY19" s="145">
        <f>MAX(1,MIN(7,N('FICHA AMALDIÇOADA'!$P$158)))</f>
        <v/>
      </c>
      <c r="DZ19" s="145">
        <f>'FICHA AMALDIÇOADA'!$Q$158&amp;""</f>
        <v/>
      </c>
      <c r="EA19" s="145">
        <f>'FICHA AMALDIÇOADA'!$P$165&amp;""</f>
        <v/>
      </c>
      <c r="EB19" s="145">
        <f>'FICHA AMALDIÇOADA'!$Q$167&amp;""</f>
        <v/>
      </c>
      <c r="EC19" s="145">
        <f>'FICHA AMALDIÇOADA'!$Q$168&amp;""</f>
        <v/>
      </c>
      <c r="ED19" s="145">
        <f>'FICHA AMALDIÇOADA'!$Q$169&amp;""</f>
        <v/>
      </c>
      <c r="EE19" s="145">
        <f>'FICHA AMALDIÇOADA'!$Q$170&amp;""</f>
        <v/>
      </c>
      <c r="EF19" s="145">
        <f>'FICHA AMALDIÇOADA'!$Q$171&amp;""</f>
        <v/>
      </c>
      <c r="EG19" s="145">
        <f>'FICHA AMALDIÇOADA'!$Q$172&amp;""</f>
        <v/>
      </c>
      <c r="EH19" s="145">
        <f>IF($DZ19&lt;&gt;"",1,0)</f>
        <v/>
      </c>
      <c r="EI19" s="145">
        <f>IFERROR(MATCH($EA19,$Y$2:$Y$11,0),0)</f>
        <v/>
      </c>
      <c r="EJ19" s="145">
        <f>IF($EI19=0,0,INDEX($AB$2:$AB$11,$EI19))</f>
        <v/>
      </c>
      <c r="EK19" s="145">
        <f>IFERROR(VLOOKUP($EB19,$BC$2:$BJ$84,4,FALSE),0)</f>
        <v/>
      </c>
      <c r="EL19" s="145">
        <f>IFERROR(VLOOKUP($EC19,$BC$2:$BJ$84,4,FALSE),0)</f>
        <v/>
      </c>
      <c r="EM19" s="145">
        <f>IFERROR(VLOOKUP($ED19,$BC$2:$BJ$84,4,FALSE),0)</f>
        <v/>
      </c>
      <c r="EN19" s="145">
        <f>IFERROR(VLOOKUP($EE19,$BC$2:$BJ$84,4,FALSE),0)</f>
        <v/>
      </c>
      <c r="EO19" s="145">
        <f>IF($EI19=0,0,INDEX($AC$2:$AC$11,$EI19))</f>
        <v/>
      </c>
      <c r="EP19" s="145">
        <f>IFERROR(VLOOKUP($EB19,$BC$2:$BJ$84,5,FALSE),0)</f>
        <v/>
      </c>
      <c r="EQ19" s="145">
        <f>IFERROR(VLOOKUP($EC19,$BC$2:$BJ$84,5,FALSE),0)</f>
        <v/>
      </c>
      <c r="ER19" s="145">
        <f>IFERROR(VLOOKUP($ED19,$BC$2:$BJ$84,5,FALSE),0)</f>
        <v/>
      </c>
      <c r="ES19" s="145">
        <f>IFERROR(VLOOKUP($EE19,$BC$2:$BJ$84,5,FALSE),0)</f>
        <v/>
      </c>
      <c r="ET19" s="145">
        <f>IFERROR(VLOOKUP($EB19,$BC$2:$BJ$84,6,FALSE),0)+IFERROR(VLOOKUP($EC19,$BC$2:$BJ$84,6,FALSE),0)+IFERROR(VLOOKUP($ED19,$BC$2:$BJ$84,6,FALSE),0)+IFERROR(VLOOKUP($EE19,$BC$2:$BJ$84,6,FALSE),0)</f>
        <v/>
      </c>
      <c r="EU19" s="145">
        <f>IF($EI19=0,0,INDEX($AD$2:$AD$11,$EI19))</f>
        <v/>
      </c>
      <c r="EV19" s="145">
        <f>IF($EI19=0,0,INDEX($AE$2:$AE$11,$EI19))</f>
        <v/>
      </c>
      <c r="EW19" s="145">
        <f>IF($EI19=0,0,INDEX($AG$2:$AG$11,$EI19))</f>
        <v/>
      </c>
      <c r="EX19" s="145">
        <f>IFERROR(VLOOKUP($EF19,$BL$2:$BP$24,3,FALSE),0)</f>
        <v/>
      </c>
      <c r="EY19" s="145">
        <f>IFERROR(VLOOKUP($EG19,$BL$2:$BP$24,3,FALSE),0)</f>
        <v/>
      </c>
      <c r="EZ19" s="145">
        <f>IFERROR(VLOOKUP($EF19,$BL$2:$BP$24,2,FALSE),"")</f>
        <v/>
      </c>
      <c r="FA19" s="145">
        <f>IFERROR(VLOOKUP($EG19,$BL$2:$BP$24,2,FALSE),"")</f>
        <v/>
      </c>
      <c r="FB19" s="145">
        <f>COUNTIF($EJ19:$EN19,1)</f>
        <v/>
      </c>
      <c r="FC19" s="145">
        <f>COUNTIF($EJ19:$EN19,2)</f>
        <v/>
      </c>
      <c r="FD19" s="145">
        <f>COUNTIF($EJ19:$EN19,3)</f>
        <v/>
      </c>
      <c r="FE19" s="145">
        <f>COUNTIF($EJ19:$EN19,4)</f>
        <v/>
      </c>
      <c r="FF19" s="145">
        <f>COUNTIF($EJ19:$EN19,5)</f>
        <v/>
      </c>
      <c r="FG19" s="145">
        <f>COUNTIF($EJ19:$EN19,6)</f>
        <v/>
      </c>
      <c r="FH19" s="145">
        <f>COUNTIF($EX19:$EY19,1)</f>
        <v/>
      </c>
      <c r="FI19" s="145">
        <f>COUNTIF($EX19:$EY19,2)+$EU19</f>
        <v/>
      </c>
      <c r="FJ19" s="145">
        <f>COUNTIF($EB19:$EE19,"?*")</f>
        <v/>
      </c>
      <c r="FK19" s="145">
        <f>COUNTIF($EF19:$EG19,"?*")+$EU19</f>
        <v/>
      </c>
      <c r="FL19" s="145">
        <f>SUMPRODUCT($FB19:$FG19,INDEX($Q$2:$V$8,$DY19,0))</f>
        <v/>
      </c>
      <c r="FM19" s="145">
        <f>$FH19*CEILING($DY19/2,1)+$FI19*$DY19</f>
        <v/>
      </c>
      <c r="FN19" s="145">
        <f>MIN(2*$DY19,$FM19)</f>
        <v/>
      </c>
      <c r="FO19" s="145">
        <f>MIN($FN19,$FL19)</f>
        <v/>
      </c>
      <c r="FP19" s="145">
        <f>$FN19-$FO19</f>
        <v/>
      </c>
      <c r="FQ19" s="145">
        <f>3*$DY19-$FL19+$FO19</f>
        <v/>
      </c>
      <c r="FR19" s="145">
        <f>MAX(0,$FQ19)+$DW19*$DY19</f>
        <v/>
      </c>
      <c r="FS19" s="145">
        <f>(IF(COUNTIF($EB19:$EE19,"Salto")&gt;0,1,0)+IF(COUNTIF($EB19:$EE19,"Queima")&gt;0,1,0)+IF(COUNTIF($EB19:$EE19,"Estilhaço")&gt;0,1,0))*FLOOR($FR19/2,1)</f>
        <v/>
      </c>
      <c r="FT19" s="145">
        <f>MAX(0,3-SUMPRODUCT($FB19:$FG19,$Q$2:$V$2)+MIN(2,$FH19*1+$FI19*1,SUMPRODUCT($FB19:$FG19,$Q$2:$V$2)))+$DW19*1</f>
        <v/>
      </c>
      <c r="FU19" s="145">
        <f>MAX(0,6-SUMPRODUCT($FB19:$FG19,$Q$3:$V$3)+MIN(4,$FH19*1+$FI19*2,SUMPRODUCT($FB19:$FG19,$Q$3:$V$3)))+$DW19*2</f>
        <v/>
      </c>
      <c r="FV19" s="145">
        <f>MAX(0,9-SUMPRODUCT($FB19:$FG19,$Q$4:$V$4)+MIN(6,$FH19*2+$FI19*3,SUMPRODUCT($FB19:$FG19,$Q$4:$V$4)))+$DW19*3</f>
        <v/>
      </c>
      <c r="FW19" s="145">
        <f>MAX(0,12-SUMPRODUCT($FB19:$FG19,$Q$5:$V$5)+MIN(8,$FH19*2+$FI19*4,SUMPRODUCT($FB19:$FG19,$Q$5:$V$5)))+$DW19*4</f>
        <v/>
      </c>
      <c r="FX19" s="145">
        <f>MAX(0,15-SUMPRODUCT($FB19:$FG19,$Q$6:$V$6)+MIN(10,$FH19*3+$FI19*5,SUMPRODUCT($FB19:$FG19,$Q$6:$V$6)))+$DW19*5</f>
        <v/>
      </c>
      <c r="FY19" s="145">
        <f>MAX(0,18-SUMPRODUCT($FB19:$FG19,$Q$7:$V$7)+MIN(12,$FH19*3+$FI19*6,SUMPRODUCT($FB19:$FG19,$Q$7:$V$7)))+$DW19*6</f>
        <v/>
      </c>
      <c r="FZ19" s="145">
        <f>MAX(0,21-SUMPRODUCT($FB19:$FG19,$Q$8:$V$8)+MIN(14,$FH19*4+$FI19*7,SUMPRODUCT($FB19:$FG19,$Q$8:$V$8)))+$DW19*7</f>
        <v/>
      </c>
      <c r="GA19" s="145">
        <f>IF($EV19=2,3*$FT19&amp;" de vida temp.",IF($EV19=3,"sem dano",IF($FT19=0,IF($EV19=1,"sem cura","sem dano"),IF($EV19=1,"cura ","")&amp;$FT19&amp;"d8")))</f>
        <v/>
      </c>
      <c r="GB19" s="145">
        <f>IF($EV19=2,3*$FU19&amp;" de vida temp.",IF($EV19=3,"sem dano",IF($FU19=0,IF($EV19=1,"sem cura","sem dano"),IF($EV19=1,"cura ","")&amp;$FU19&amp;"d8")))</f>
        <v/>
      </c>
      <c r="GC19" s="145">
        <f>IF($EV19=2,3*$FV19&amp;" de vida temp.",IF($EV19=3,"sem dano",IF($FV19=0,IF($EV19=1,"sem cura","sem dano"),IF($EV19=1,"cura ","")&amp;$FV19&amp;"d8")))</f>
        <v/>
      </c>
      <c r="GD19" s="145">
        <f>IF($EV19=2,3*$FW19&amp;" de vida temp.",IF($EV19=3,"sem dano",IF($FW19=0,IF($EV19=1,"sem cura","sem dano"),IF($EV19=1,"cura ","")&amp;$FW19&amp;"d8")))</f>
        <v/>
      </c>
      <c r="GE19" s="145">
        <f>IF($EV19=2,3*$FX19&amp;" de vida temp.",IF($EV19=3,"sem dano",IF($FX19=0,IF($EV19=1,"sem cura","sem dano"),IF($EV19=1,"cura ","")&amp;$FX19&amp;"d8")))</f>
        <v/>
      </c>
      <c r="GF19" s="145">
        <f>IF($EV19=2,3*$FY19&amp;" de vida temp.",IF($EV19=3,"sem dano",IF($FY19=0,IF($EV19=1,"sem cura","sem dano"),IF($EV19=1,"cura ","")&amp;$FY19&amp;"d8")))</f>
        <v/>
      </c>
      <c r="GG19" s="145">
        <f>IF($EV19=2,3*$FZ19&amp;" de vida temp.",IF($EV19=3,"sem dano",IF($FZ19=0,IF($EV19=1,"sem cura","sem dano"),IF($EV19=1,"cura ","")&amp;$FZ19&amp;"d8")))</f>
        <v/>
      </c>
      <c r="GH19" s="145">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45">
        <f>IF($GH19="",0,(LEN($GH19)-LEN(SUBSTITUTE($GH19," · ","")))/3+1)</f>
        <v/>
      </c>
      <c r="GJ19" s="145">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45">
        <f>IF($GJ19="",0,(LEN($GJ19)-LEN(SUBSTITUTE($GJ19," · ","")))/3+1)</f>
        <v/>
      </c>
      <c r="GL19" s="145">
        <f>IF($EH19=0,IF($FJ19+$FK19-$EU19&gt;0,"Dê um nome",""),IF($GI19&gt;0,"⚠ "&amp;$GI19&amp;IF($GI19&gt;1," erros"," erro"),IF($GK19&gt;0,"! "&amp;$GK19&amp;IF($GK19&gt;1," avisos"," aviso"),"Na regra")))</f>
        <v/>
      </c>
      <c r="GM19" s="145">
        <f>IF($EH19=0,"",IF($GI19+$GK19=0,"Dentro das regras que a ficha confere",$GH19&amp;IF(AND($GI19&gt;0,$GK19&gt;0)," · ","")&amp;$GJ19))</f>
        <v/>
      </c>
      <c r="GN19" s="145">
        <f>IF($EH19=0,"",IF($DW19=1,CEILING(4.5*$DY19,1),3*$DY19)&amp;" PE")</f>
        <v/>
      </c>
      <c r="GO19" s="145">
        <f>IF($EH19=0,"",IF($DW19=1,"Rodada inteira",IF(COUNTIF($EZ19:$FA19,"Atrasar")&gt;0,IF(COUNTIF($EZ19:$FA19,"Carregar")&gt;0,"Rodada +1 turno","Rodada inteira"),IF(COUNTIF($EB19:$EE19,"Rápido")&gt;0,"Bônus",IF(COUNTIF($EB19:$EE19,"Reação")&gt;0,"Reação","Padrão"))&amp;IF(COUNTIF($EZ19:$FA19,"Carregar")&gt;0," +1 turno",""))))</f>
        <v/>
      </c>
      <c r="GP19" s="145">
        <f>IF(OR($EH19=0,$EI19=0),"",IF(COUNTIF($EB19:$EE19,"Inescapável")&gt;0,"Automático",IF(COUNTIF($EB19:$EE19,"Certeiro")&gt;0,"TR para metade",INDEX($AF$2:$AF$11,$EI19))))</f>
        <v/>
      </c>
      <c r="GQ19" s="145">
        <f>IF(OR($EH19=0,$EI19=0),"",IF(OR($EV19&gt;=2,$FR19=0),UPPER(LEFT(INDEX($GA19:$GG19,1,$DY19),1))&amp;MID(INDEX($GA19:$GG19,1,$DY19),2,99),UPPER(LEFT(INDEX($GA19:$GG19,1,$DY19),1))&amp;MID(INDEX($GA19:$GG19,1,$DY19),2,99)&amp;" = "&amp;FLOOR($FR19*4.5,1)&amp;IF($FS19&gt;0," · +"&amp;$FS19&amp;"d8","")))</f>
        <v/>
      </c>
      <c r="GR19" s="145">
        <f>COUNTIF($EB19:$EE19,"Longe")+3*COUNTIF($EB19:$EE19,"Muito Longe")</f>
        <v/>
      </c>
      <c r="GS19" s="145">
        <f>COUNTIF($EB19:$EE19,"Maior")+3*COUNTIF($EB19:$EE19,"Muito Maior")</f>
        <v/>
      </c>
      <c r="GT19" s="145">
        <f>IF($EI19=0,0,CHOOSE(1+INDEX($AH$2:$AH$11,$EI19),0,$GR19,$GS19,$GR19+$GS19))</f>
        <v/>
      </c>
      <c r="GU19" s="145">
        <f>IF($EI19=0,0,CHOOSE(1+INDEX($AI$2:$AI$11,$EI19),0,$GR19,$GS19,$GR19+$GS19))</f>
        <v/>
      </c>
      <c r="GV19" s="145">
        <f>IF(OR($EH19=0,$EI19=0),"",INDEX($AP$2:$AU$31,($EI19-1)*3+IF($DY19&gt;=6,3,2),1+MIN(5,$GT19))&amp;INDEX($AV$2:$BA$31,($EI19-1)*3+IF($DY19&gt;=6,3,2),1+MIN(5,$GU19))&amp;IF(INDEX($AJ$2:$AJ$11,$EI19)=1,IF(COUNTIF($EB19:$EE19,"Mais Um")&gt;0," · +"&amp;COUNTIF($EB19:$EE19,"Mais Um")&amp;IF(COUNTIF($EB19:$EE19,"Mais Um")&gt;1," alvos"," alvo"),"")&amp;IF(COUNTIF($EB19:$EE19,"Rajada")&gt;0," · "&amp;($DY19+1)&amp;" tiros",""),""))</f>
        <v/>
      </c>
      <c r="GW19" s="145">
        <f>IF($EH19=0,"",3*$DY19&amp;" − "&amp;$FL19&amp;" + "&amp;$FO19&amp;IF($DW19=1," + "&amp;$DY19,"")&amp;" = "&amp;$FR19&amp;"d8 · teto "&amp;4*$DY19&amp;IF($EU19=1," · a Forma devolve "&amp;$DY19,"")&amp;IF($FP19&gt;0," · perde "&amp;$FP19,""))</f>
        <v/>
      </c>
      <c r="GX19" s="145">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5">
        <f>IF(OR($EH19=0,$EK19=0),"","−"&amp;INDEX($Q$2:$V$8,$DY19,$EK19)&amp;" · "&amp;CHOOSE($EK19,"Leve","Média","Pesada","Leve · Livre","Média · Livre","Pesada · Livre"))</f>
        <v/>
      </c>
      <c r="GZ19" s="145">
        <f>IF(OR($EH19=0,$EL19=0),"","−"&amp;INDEX($Q$2:$V$8,$DY19,$EL19)&amp;" · "&amp;CHOOSE($EL19,"Leve","Média","Pesada","Leve · Livre","Média · Livre","Pesada · Livre"))</f>
        <v/>
      </c>
      <c r="HA19" s="145">
        <f>IF(OR($EH19=0,$EM19=0),"","−"&amp;INDEX($Q$2:$V$8,$DY19,$EM19)&amp;" · "&amp;CHOOSE($EM19,"Leve","Média","Pesada","Leve · Livre","Média · Livre","Pesada · Livre"))</f>
        <v/>
      </c>
      <c r="HB19" s="145">
        <f>IF(OR($EH19=0,$EN19=0),"","−"&amp;INDEX($Q$2:$V$8,$DY19,$EN19)&amp;" · "&amp;CHOOSE($EN19,"Leve","Média","Pesada","Leve · Livre","Média · Livre","Pesada · Livre"))</f>
        <v/>
      </c>
      <c r="HC19" s="145">
        <f>IF(OR($EH19=0,$EF19=""),"","+"&amp;IF($EX19=1,CEILING($DY19/2,1),$DY19))</f>
        <v/>
      </c>
      <c r="HD19" s="145">
        <f>IF(OR($EH19=0,$EG19=""),"","+"&amp;IF($EY19=1,CEILING($DY19/2,1),$DY19))</f>
        <v/>
      </c>
      <c r="HE19" s="145">
        <f>'FICHA AMALDIÇOADA'!$P$160&amp;""</f>
        <v/>
      </c>
      <c r="HF19" s="145">
        <f>IF(AND($EH19=1,$DW19=0),COUNTIFS($EH$2:$EH19,1,$DW$2:$DW19,0),"")</f>
        <v/>
      </c>
      <c r="HH19" s="143" t="inlineStr">
        <is>
          <t>espaços no domínio</t>
        </is>
      </c>
      <c r="HI19" s="145">
        <f>IF($A$2&lt;&gt;1,0,IFERROR(VLOOKUP($HI$34,$DK$2:$DO$4,2,FALSE),0))</f>
        <v/>
      </c>
      <c r="JD19" s="145" t="n">
        <v>18</v>
      </c>
      <c r="JE19" s="145">
        <f>IFERROR(MATCH(18,$HF$2:$HF$37,0),0)</f>
        <v/>
      </c>
      <c r="JF19" s="145">
        <f>IF($JE19=0,"",INDEX($DY$2:$DY$37,$JE19))</f>
        <v/>
      </c>
      <c r="JG19" s="145">
        <f>IF($JE19=0,"",INDEX($DZ$2:$DZ$37,$JE19))</f>
        <v/>
      </c>
      <c r="JH19" s="145">
        <f>IF($JE19=0,"",INDEX($GN$2:$GN$37,$JE19))</f>
        <v/>
      </c>
      <c r="JI19" s="145">
        <f>IF($JE19=0,"",INDEX($EA$2:$EA$37,$JE19))</f>
        <v/>
      </c>
      <c r="JJ19" s="145">
        <f>IF($JE19=0,"",INDEX($GP$2:$GP$37,$JE19))</f>
        <v/>
      </c>
      <c r="JK19" s="145">
        <f>IF($JE19=0,"",INDEX($HE$2:$HE$37,$JE19))</f>
        <v/>
      </c>
      <c r="KQ19" s="143" t="inlineStr">
        <is>
          <t>J42</t>
        </is>
      </c>
      <c r="KR19" s="145">
        <f>"+"&amp;DADOS_AM!$HI$8</f>
        <v/>
      </c>
    </row>
    <row r="20">
      <c r="AO20" s="143" t="inlineStr">
        <is>
          <t>Cura · classe 0</t>
        </is>
      </c>
      <c r="AP20" s="143" t="inlineStr">
        <is>
          <t>—</t>
        </is>
      </c>
      <c r="AQ20" s="143" t="inlineStr">
        <is>
          <t>—</t>
        </is>
      </c>
      <c r="AR20" s="143" t="inlineStr">
        <is>
          <t>—</t>
        </is>
      </c>
      <c r="AS20" s="143" t="inlineStr">
        <is>
          <t>—</t>
        </is>
      </c>
      <c r="AT20" s="143" t="inlineStr">
        <is>
          <t>—</t>
        </is>
      </c>
      <c r="AU20" s="143" t="inlineStr">
        <is>
          <t>—</t>
        </is>
      </c>
      <c r="AV20" s="143" t="inlineStr"/>
      <c r="AW20" s="143" t="inlineStr"/>
      <c r="AX20" s="143" t="inlineStr"/>
      <c r="AY20" s="143" t="inlineStr"/>
      <c r="AZ20" s="143" t="inlineStr"/>
      <c r="BA20" s="143" t="inlineStr"/>
      <c r="BC20" s="143" t="inlineStr">
        <is>
          <t>De Novo</t>
        </is>
      </c>
      <c r="BD20" s="143" t="inlineStr">
        <is>
          <t>Mira</t>
        </is>
      </c>
      <c r="BE20" s="145" t="n">
        <v>2</v>
      </c>
      <c r="BF20" s="145">
        <f>$BE20+3*IFERROR(VLOOKUP($BD20,$I$2:$L$10,3,FALSE),0)</f>
        <v/>
      </c>
      <c r="BG20" s="145">
        <f>IFERROR(VLOOKUP($BD20,$I$2:$L$10,4,FALSE),0)</f>
        <v/>
      </c>
      <c r="BH20" s="145" t="n">
        <v>0</v>
      </c>
      <c r="BI20" s="145">
        <f>IF($BG20=1,"",$BC20)</f>
        <v/>
      </c>
      <c r="BJ20" s="145">
        <f>IF(AND($BE20=1,$BG20=0),$BC20,"")</f>
        <v/>
      </c>
      <c r="BL20" s="143" t="inlineStr">
        <is>
          <t>Tudo ou Nada</t>
        </is>
      </c>
      <c r="BM20" s="143" t="inlineStr">
        <is>
          <t>Tudo ou Nada</t>
        </is>
      </c>
      <c r="BN20" s="145" t="n">
        <v>1</v>
      </c>
      <c r="BO20" s="145" t="n">
        <v>0</v>
      </c>
      <c r="BP20" s="143" t="inlineStr">
        <is>
          <t>Tudo ou Nada</t>
        </is>
      </c>
      <c r="BR20" s="143" t="inlineStr">
        <is>
          <t>Talento Próprio (CE 3)</t>
        </is>
      </c>
      <c r="BS20" s="145" t="n">
        <v>3</v>
      </c>
      <c r="BT20"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45" t="n">
        <v>1</v>
      </c>
      <c r="BV20" s="145" t="n">
        <v>1</v>
      </c>
      <c r="BW20" s="145">
        <f>IF(OR(AND($A$2&lt;=2,$BU20=1),AND($A$2&gt;=2,$BV20=1)),$BR20,"")</f>
        <v/>
      </c>
      <c r="BX20" s="143" t="inlineStr">
        <is>
          <t>Categoria de Efeito 1, 2 ou 3. Custos e níveis da Categoria escolhida. Se o catálogo não representar a ideia, escreva o efeito com o mestre antes da sessão. Ele ocupa os espaços correspondentes e conta no máximo de cinco Talentos pagos.</t>
        </is>
      </c>
      <c r="CC20" s="143" t="inlineStr">
        <is>
          <t>Estímulo Muscular</t>
        </is>
      </c>
      <c r="CD20" s="143" t="inlineStr">
        <is>
          <t>Gratuita na Lapidação 1</t>
        </is>
      </c>
      <c r="CE20" s="143" t="inlineStr">
        <is>
          <t>—</t>
        </is>
      </c>
      <c r="CF20" s="143" t="inlineStr">
        <is>
          <t>Dano adicional</t>
        </is>
      </c>
      <c r="CG20" s="14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45">
        <f>IF($CK20=1,"",IF($A$2=4,IF($CI20=1,$CC20,""),IF(OR($CI20=1,AND($A$2=3,$CJ20=1)),"",$CC20)))</f>
        <v/>
      </c>
      <c r="CI20" s="145" t="n">
        <v>1</v>
      </c>
      <c r="CJ20" s="145" t="n">
        <v>0</v>
      </c>
      <c r="CK20" s="145" t="n">
        <v>1</v>
      </c>
      <c r="CL20" s="143" t="inlineStr">
        <is>
          <t>Escolha uma perícia e um Teste de Resistência na criação.</t>
        </is>
      </c>
      <c r="DV20" s="143" t="inlineStr">
        <is>
          <t>Feitiço 19</t>
        </is>
      </c>
      <c r="DW20" s="145" t="n">
        <v>0</v>
      </c>
      <c r="DX20" s="145" t="n">
        <v>19</v>
      </c>
      <c r="DY20" s="145">
        <f>MAX(1,MIN(7,N('FICHA AMALDIÇOADA'!$D$179)))</f>
        <v/>
      </c>
      <c r="DZ20" s="145">
        <f>'FICHA AMALDIÇOADA'!$E$179&amp;""</f>
        <v/>
      </c>
      <c r="EA20" s="145">
        <f>'FICHA AMALDIÇOADA'!$D$186&amp;""</f>
        <v/>
      </c>
      <c r="EB20" s="145">
        <f>'FICHA AMALDIÇOADA'!$E$188&amp;""</f>
        <v/>
      </c>
      <c r="EC20" s="145">
        <f>'FICHA AMALDIÇOADA'!$E$189&amp;""</f>
        <v/>
      </c>
      <c r="ED20" s="145">
        <f>'FICHA AMALDIÇOADA'!$E$190&amp;""</f>
        <v/>
      </c>
      <c r="EE20" s="145">
        <f>'FICHA AMALDIÇOADA'!$E$191&amp;""</f>
        <v/>
      </c>
      <c r="EF20" s="145">
        <f>'FICHA AMALDIÇOADA'!$E$192&amp;""</f>
        <v/>
      </c>
      <c r="EG20" s="145">
        <f>'FICHA AMALDIÇOADA'!$E$193&amp;""</f>
        <v/>
      </c>
      <c r="EH20" s="145">
        <f>IF($DZ20&lt;&gt;"",1,0)</f>
        <v/>
      </c>
      <c r="EI20" s="145">
        <f>IFERROR(MATCH($EA20,$Y$2:$Y$11,0),0)</f>
        <v/>
      </c>
      <c r="EJ20" s="145">
        <f>IF($EI20=0,0,INDEX($AB$2:$AB$11,$EI20))</f>
        <v/>
      </c>
      <c r="EK20" s="145">
        <f>IFERROR(VLOOKUP($EB20,$BC$2:$BJ$84,4,FALSE),0)</f>
        <v/>
      </c>
      <c r="EL20" s="145">
        <f>IFERROR(VLOOKUP($EC20,$BC$2:$BJ$84,4,FALSE),0)</f>
        <v/>
      </c>
      <c r="EM20" s="145">
        <f>IFERROR(VLOOKUP($ED20,$BC$2:$BJ$84,4,FALSE),0)</f>
        <v/>
      </c>
      <c r="EN20" s="145">
        <f>IFERROR(VLOOKUP($EE20,$BC$2:$BJ$84,4,FALSE),0)</f>
        <v/>
      </c>
      <c r="EO20" s="145">
        <f>IF($EI20=0,0,INDEX($AC$2:$AC$11,$EI20))</f>
        <v/>
      </c>
      <c r="EP20" s="145">
        <f>IFERROR(VLOOKUP($EB20,$BC$2:$BJ$84,5,FALSE),0)</f>
        <v/>
      </c>
      <c r="EQ20" s="145">
        <f>IFERROR(VLOOKUP($EC20,$BC$2:$BJ$84,5,FALSE),0)</f>
        <v/>
      </c>
      <c r="ER20" s="145">
        <f>IFERROR(VLOOKUP($ED20,$BC$2:$BJ$84,5,FALSE),0)</f>
        <v/>
      </c>
      <c r="ES20" s="145">
        <f>IFERROR(VLOOKUP($EE20,$BC$2:$BJ$84,5,FALSE),0)</f>
        <v/>
      </c>
      <c r="ET20" s="145">
        <f>IFERROR(VLOOKUP($EB20,$BC$2:$BJ$84,6,FALSE),0)+IFERROR(VLOOKUP($EC20,$BC$2:$BJ$84,6,FALSE),0)+IFERROR(VLOOKUP($ED20,$BC$2:$BJ$84,6,FALSE),0)+IFERROR(VLOOKUP($EE20,$BC$2:$BJ$84,6,FALSE),0)</f>
        <v/>
      </c>
      <c r="EU20" s="145">
        <f>IF($EI20=0,0,INDEX($AD$2:$AD$11,$EI20))</f>
        <v/>
      </c>
      <c r="EV20" s="145">
        <f>IF($EI20=0,0,INDEX($AE$2:$AE$11,$EI20))</f>
        <v/>
      </c>
      <c r="EW20" s="145">
        <f>IF($EI20=0,0,INDEX($AG$2:$AG$11,$EI20))</f>
        <v/>
      </c>
      <c r="EX20" s="145">
        <f>IFERROR(VLOOKUP($EF20,$BL$2:$BP$24,3,FALSE),0)</f>
        <v/>
      </c>
      <c r="EY20" s="145">
        <f>IFERROR(VLOOKUP($EG20,$BL$2:$BP$24,3,FALSE),0)</f>
        <v/>
      </c>
      <c r="EZ20" s="145">
        <f>IFERROR(VLOOKUP($EF20,$BL$2:$BP$24,2,FALSE),"")</f>
        <v/>
      </c>
      <c r="FA20" s="145">
        <f>IFERROR(VLOOKUP($EG20,$BL$2:$BP$24,2,FALSE),"")</f>
        <v/>
      </c>
      <c r="FB20" s="145">
        <f>COUNTIF($EJ20:$EN20,1)</f>
        <v/>
      </c>
      <c r="FC20" s="145">
        <f>COUNTIF($EJ20:$EN20,2)</f>
        <v/>
      </c>
      <c r="FD20" s="145">
        <f>COUNTIF($EJ20:$EN20,3)</f>
        <v/>
      </c>
      <c r="FE20" s="145">
        <f>COUNTIF($EJ20:$EN20,4)</f>
        <v/>
      </c>
      <c r="FF20" s="145">
        <f>COUNTIF($EJ20:$EN20,5)</f>
        <v/>
      </c>
      <c r="FG20" s="145">
        <f>COUNTIF($EJ20:$EN20,6)</f>
        <v/>
      </c>
      <c r="FH20" s="145">
        <f>COUNTIF($EX20:$EY20,1)</f>
        <v/>
      </c>
      <c r="FI20" s="145">
        <f>COUNTIF($EX20:$EY20,2)+$EU20</f>
        <v/>
      </c>
      <c r="FJ20" s="145">
        <f>COUNTIF($EB20:$EE20,"?*")</f>
        <v/>
      </c>
      <c r="FK20" s="145">
        <f>COUNTIF($EF20:$EG20,"?*")+$EU20</f>
        <v/>
      </c>
      <c r="FL20" s="145">
        <f>SUMPRODUCT($FB20:$FG20,INDEX($Q$2:$V$8,$DY20,0))</f>
        <v/>
      </c>
      <c r="FM20" s="145">
        <f>$FH20*CEILING($DY20/2,1)+$FI20*$DY20</f>
        <v/>
      </c>
      <c r="FN20" s="145">
        <f>MIN(2*$DY20,$FM20)</f>
        <v/>
      </c>
      <c r="FO20" s="145">
        <f>MIN($FN20,$FL20)</f>
        <v/>
      </c>
      <c r="FP20" s="145">
        <f>$FN20-$FO20</f>
        <v/>
      </c>
      <c r="FQ20" s="145">
        <f>3*$DY20-$FL20+$FO20</f>
        <v/>
      </c>
      <c r="FR20" s="145">
        <f>MAX(0,$FQ20)+$DW20*$DY20</f>
        <v/>
      </c>
      <c r="FS20" s="145">
        <f>(IF(COUNTIF($EB20:$EE20,"Salto")&gt;0,1,0)+IF(COUNTIF($EB20:$EE20,"Queima")&gt;0,1,0)+IF(COUNTIF($EB20:$EE20,"Estilhaço")&gt;0,1,0))*FLOOR($FR20/2,1)</f>
        <v/>
      </c>
      <c r="FT20" s="145">
        <f>MAX(0,3-SUMPRODUCT($FB20:$FG20,$Q$2:$V$2)+MIN(2,$FH20*1+$FI20*1,SUMPRODUCT($FB20:$FG20,$Q$2:$V$2)))+$DW20*1</f>
        <v/>
      </c>
      <c r="FU20" s="145">
        <f>MAX(0,6-SUMPRODUCT($FB20:$FG20,$Q$3:$V$3)+MIN(4,$FH20*1+$FI20*2,SUMPRODUCT($FB20:$FG20,$Q$3:$V$3)))+$DW20*2</f>
        <v/>
      </c>
      <c r="FV20" s="145">
        <f>MAX(0,9-SUMPRODUCT($FB20:$FG20,$Q$4:$V$4)+MIN(6,$FH20*2+$FI20*3,SUMPRODUCT($FB20:$FG20,$Q$4:$V$4)))+$DW20*3</f>
        <v/>
      </c>
      <c r="FW20" s="145">
        <f>MAX(0,12-SUMPRODUCT($FB20:$FG20,$Q$5:$V$5)+MIN(8,$FH20*2+$FI20*4,SUMPRODUCT($FB20:$FG20,$Q$5:$V$5)))+$DW20*4</f>
        <v/>
      </c>
      <c r="FX20" s="145">
        <f>MAX(0,15-SUMPRODUCT($FB20:$FG20,$Q$6:$V$6)+MIN(10,$FH20*3+$FI20*5,SUMPRODUCT($FB20:$FG20,$Q$6:$V$6)))+$DW20*5</f>
        <v/>
      </c>
      <c r="FY20" s="145">
        <f>MAX(0,18-SUMPRODUCT($FB20:$FG20,$Q$7:$V$7)+MIN(12,$FH20*3+$FI20*6,SUMPRODUCT($FB20:$FG20,$Q$7:$V$7)))+$DW20*6</f>
        <v/>
      </c>
      <c r="FZ20" s="145">
        <f>MAX(0,21-SUMPRODUCT($FB20:$FG20,$Q$8:$V$8)+MIN(14,$FH20*4+$FI20*7,SUMPRODUCT($FB20:$FG20,$Q$8:$V$8)))+$DW20*7</f>
        <v/>
      </c>
      <c r="GA20" s="145">
        <f>IF($EV20=2,3*$FT20&amp;" de vida temp.",IF($EV20=3,"sem dano",IF($FT20=0,IF($EV20=1,"sem cura","sem dano"),IF($EV20=1,"cura ","")&amp;$FT20&amp;"d8")))</f>
        <v/>
      </c>
      <c r="GB20" s="145">
        <f>IF($EV20=2,3*$FU20&amp;" de vida temp.",IF($EV20=3,"sem dano",IF($FU20=0,IF($EV20=1,"sem cura","sem dano"),IF($EV20=1,"cura ","")&amp;$FU20&amp;"d8")))</f>
        <v/>
      </c>
      <c r="GC20" s="145">
        <f>IF($EV20=2,3*$FV20&amp;" de vida temp.",IF($EV20=3,"sem dano",IF($FV20=0,IF($EV20=1,"sem cura","sem dano"),IF($EV20=1,"cura ","")&amp;$FV20&amp;"d8")))</f>
        <v/>
      </c>
      <c r="GD20" s="145">
        <f>IF($EV20=2,3*$FW20&amp;" de vida temp.",IF($EV20=3,"sem dano",IF($FW20=0,IF($EV20=1,"sem cura","sem dano"),IF($EV20=1,"cura ","")&amp;$FW20&amp;"d8")))</f>
        <v/>
      </c>
      <c r="GE20" s="145">
        <f>IF($EV20=2,3*$FX20&amp;" de vida temp.",IF($EV20=3,"sem dano",IF($FX20=0,IF($EV20=1,"sem cura","sem dano"),IF($EV20=1,"cura ","")&amp;$FX20&amp;"d8")))</f>
        <v/>
      </c>
      <c r="GF20" s="145">
        <f>IF($EV20=2,3*$FY20&amp;" de vida temp.",IF($EV20=3,"sem dano",IF($FY20=0,IF($EV20=1,"sem cura","sem dano"),IF($EV20=1,"cura ","")&amp;$FY20&amp;"d8")))</f>
        <v/>
      </c>
      <c r="GG20" s="145">
        <f>IF($EV20=2,3*$FZ20&amp;" de vida temp.",IF($EV20=3,"sem dano",IF($FZ20=0,IF($EV20=1,"sem cura","sem dano"),IF($EV20=1,"cura ","")&amp;$FZ20&amp;"d8")))</f>
        <v/>
      </c>
      <c r="GH20" s="145">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45">
        <f>IF($GH20="",0,(LEN($GH20)-LEN(SUBSTITUTE($GH20," · ","")))/3+1)</f>
        <v/>
      </c>
      <c r="GJ20" s="145">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45">
        <f>IF($GJ20="",0,(LEN($GJ20)-LEN(SUBSTITUTE($GJ20," · ","")))/3+1)</f>
        <v/>
      </c>
      <c r="GL20" s="145">
        <f>IF($EH20=0,IF($FJ20+$FK20-$EU20&gt;0,"Dê um nome",""),IF($GI20&gt;0,"⚠ "&amp;$GI20&amp;IF($GI20&gt;1," erros"," erro"),IF($GK20&gt;0,"! "&amp;$GK20&amp;IF($GK20&gt;1," avisos"," aviso"),"Na regra")))</f>
        <v/>
      </c>
      <c r="GM20" s="145">
        <f>IF($EH20=0,"",IF($GI20+$GK20=0,"Dentro das regras que a ficha confere",$GH20&amp;IF(AND($GI20&gt;0,$GK20&gt;0)," · ","")&amp;$GJ20))</f>
        <v/>
      </c>
      <c r="GN20" s="145">
        <f>IF($EH20=0,"",IF($DW20=1,CEILING(4.5*$DY20,1),3*$DY20)&amp;" PE")</f>
        <v/>
      </c>
      <c r="GO20" s="145">
        <f>IF($EH20=0,"",IF($DW20=1,"Rodada inteira",IF(COUNTIF($EZ20:$FA20,"Atrasar")&gt;0,IF(COUNTIF($EZ20:$FA20,"Carregar")&gt;0,"Rodada +1 turno","Rodada inteira"),IF(COUNTIF($EB20:$EE20,"Rápido")&gt;0,"Bônus",IF(COUNTIF($EB20:$EE20,"Reação")&gt;0,"Reação","Padrão"))&amp;IF(COUNTIF($EZ20:$FA20,"Carregar")&gt;0," +1 turno",""))))</f>
        <v/>
      </c>
      <c r="GP20" s="145">
        <f>IF(OR($EH20=0,$EI20=0),"",IF(COUNTIF($EB20:$EE20,"Inescapável")&gt;0,"Automático",IF(COUNTIF($EB20:$EE20,"Certeiro")&gt;0,"TR para metade",INDEX($AF$2:$AF$11,$EI20))))</f>
        <v/>
      </c>
      <c r="GQ20" s="145">
        <f>IF(OR($EH20=0,$EI20=0),"",IF(OR($EV20&gt;=2,$FR20=0),UPPER(LEFT(INDEX($GA20:$GG20,1,$DY20),1))&amp;MID(INDEX($GA20:$GG20,1,$DY20),2,99),UPPER(LEFT(INDEX($GA20:$GG20,1,$DY20),1))&amp;MID(INDEX($GA20:$GG20,1,$DY20),2,99)&amp;" = "&amp;FLOOR($FR20*4.5,1)&amp;IF($FS20&gt;0," · +"&amp;$FS20&amp;"d8","")))</f>
        <v/>
      </c>
      <c r="GR20" s="145">
        <f>COUNTIF($EB20:$EE20,"Longe")+3*COUNTIF($EB20:$EE20,"Muito Longe")</f>
        <v/>
      </c>
      <c r="GS20" s="145">
        <f>COUNTIF($EB20:$EE20,"Maior")+3*COUNTIF($EB20:$EE20,"Muito Maior")</f>
        <v/>
      </c>
      <c r="GT20" s="145">
        <f>IF($EI20=0,0,CHOOSE(1+INDEX($AH$2:$AH$11,$EI20),0,$GR20,$GS20,$GR20+$GS20))</f>
        <v/>
      </c>
      <c r="GU20" s="145">
        <f>IF($EI20=0,0,CHOOSE(1+INDEX($AI$2:$AI$11,$EI20),0,$GR20,$GS20,$GR20+$GS20))</f>
        <v/>
      </c>
      <c r="GV20" s="145">
        <f>IF(OR($EH20=0,$EI20=0),"",INDEX($AP$2:$AU$31,($EI20-1)*3+IF($DY20&gt;=6,3,2),1+MIN(5,$GT20))&amp;INDEX($AV$2:$BA$31,($EI20-1)*3+IF($DY20&gt;=6,3,2),1+MIN(5,$GU20))&amp;IF(INDEX($AJ$2:$AJ$11,$EI20)=1,IF(COUNTIF($EB20:$EE20,"Mais Um")&gt;0," · +"&amp;COUNTIF($EB20:$EE20,"Mais Um")&amp;IF(COUNTIF($EB20:$EE20,"Mais Um")&gt;1," alvos"," alvo"),"")&amp;IF(COUNTIF($EB20:$EE20,"Rajada")&gt;0," · "&amp;($DY20+1)&amp;" tiros",""),""))</f>
        <v/>
      </c>
      <c r="GW20" s="145">
        <f>IF($EH20=0,"",3*$DY20&amp;" − "&amp;$FL20&amp;" + "&amp;$FO20&amp;IF($DW20=1," + "&amp;$DY20,"")&amp;" = "&amp;$FR20&amp;"d8 · teto "&amp;4*$DY20&amp;IF($EU20=1," · a Forma devolve "&amp;$DY20,"")&amp;IF($FP20&gt;0," · perde "&amp;$FP20,""))</f>
        <v/>
      </c>
      <c r="GX20" s="145">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5">
        <f>IF(OR($EH20=0,$EK20=0),"","−"&amp;INDEX($Q$2:$V$8,$DY20,$EK20)&amp;" · "&amp;CHOOSE($EK20,"Leve","Média","Pesada","Leve · Livre","Média · Livre","Pesada · Livre"))</f>
        <v/>
      </c>
      <c r="GZ20" s="145">
        <f>IF(OR($EH20=0,$EL20=0),"","−"&amp;INDEX($Q$2:$V$8,$DY20,$EL20)&amp;" · "&amp;CHOOSE($EL20,"Leve","Média","Pesada","Leve · Livre","Média · Livre","Pesada · Livre"))</f>
        <v/>
      </c>
      <c r="HA20" s="145">
        <f>IF(OR($EH20=0,$EM20=0),"","−"&amp;INDEX($Q$2:$V$8,$DY20,$EM20)&amp;" · "&amp;CHOOSE($EM20,"Leve","Média","Pesada","Leve · Livre","Média · Livre","Pesada · Livre"))</f>
        <v/>
      </c>
      <c r="HB20" s="145">
        <f>IF(OR($EH20=0,$EN20=0),"","−"&amp;INDEX($Q$2:$V$8,$DY20,$EN20)&amp;" · "&amp;CHOOSE($EN20,"Leve","Média","Pesada","Leve · Livre","Média · Livre","Pesada · Livre"))</f>
        <v/>
      </c>
      <c r="HC20" s="145">
        <f>IF(OR($EH20=0,$EF20=""),"","+"&amp;IF($EX20=1,CEILING($DY20/2,1),$DY20))</f>
        <v/>
      </c>
      <c r="HD20" s="145">
        <f>IF(OR($EH20=0,$EG20=""),"","+"&amp;IF($EY20=1,CEILING($DY20/2,1),$DY20))</f>
        <v/>
      </c>
      <c r="HE20" s="145">
        <f>'FICHA AMALDIÇOADA'!$D$181&amp;""</f>
        <v/>
      </c>
      <c r="HF20" s="145">
        <f>IF(AND($EH20=1,$DW20=0),COUNTIFS($EH$2:$EH20,1,$DW$2:$DW20,0),"")</f>
        <v/>
      </c>
      <c r="HH20" s="143" t="inlineStr">
        <is>
          <t>sem espaço</t>
        </is>
      </c>
      <c r="HI20" s="145">
        <f>IF($HI$18+$HI$19&gt;$HI$14,1,0)</f>
        <v/>
      </c>
      <c r="JD20" s="145" t="n">
        <v>19</v>
      </c>
      <c r="JE20" s="145">
        <f>IFERROR(MATCH(19,$HF$2:$HF$37,0),0)</f>
        <v/>
      </c>
      <c r="JF20" s="145">
        <f>IF($JE20=0,"",INDEX($DY$2:$DY$37,$JE20))</f>
        <v/>
      </c>
      <c r="JG20" s="145">
        <f>IF($JE20=0,"",INDEX($DZ$2:$DZ$37,$JE20))</f>
        <v/>
      </c>
      <c r="JH20" s="145">
        <f>IF($JE20=0,"",INDEX($GN$2:$GN$37,$JE20))</f>
        <v/>
      </c>
      <c r="JI20" s="145">
        <f>IF($JE20=0,"",INDEX($EA$2:$EA$37,$JE20))</f>
        <v/>
      </c>
      <c r="JJ20" s="145">
        <f>IF($JE20=0,"",INDEX($GP$2:$GP$37,$JE20))</f>
        <v/>
      </c>
      <c r="JK20" s="145">
        <f>IF($JE20=0,"",INDEX($HE$2:$HE$37,$JE20))</f>
        <v/>
      </c>
      <c r="KQ20" s="143" t="inlineStr">
        <is>
          <t>L41</t>
        </is>
      </c>
      <c r="KR20" s="145">
        <f>"EM "&amp;UPPER(INDEX(DADOS_AM!$D$3:$G$3,1,DADOS_AM!$A$2))</f>
        <v/>
      </c>
    </row>
    <row r="21">
      <c r="AO21" s="143" t="inlineStr">
        <is>
          <t>Cura · classes 1 a 5</t>
        </is>
      </c>
      <c r="AP21" s="143" t="inlineStr">
        <is>
          <t>Um aliado a 9 m</t>
        </is>
      </c>
      <c r="AQ21" s="143" t="inlineStr">
        <is>
          <t>Um aliado a 18 m</t>
        </is>
      </c>
      <c r="AR21" s="143" t="inlineStr">
        <is>
          <t>Um aliado a 36 m</t>
        </is>
      </c>
      <c r="AS21" s="143" t="inlineStr">
        <is>
          <t>Um aliado a 90 m</t>
        </is>
      </c>
      <c r="AT21" s="143" t="inlineStr">
        <is>
          <t>Um aliado a visão a olho nu</t>
        </is>
      </c>
      <c r="AU21" s="143" t="inlineStr">
        <is>
          <t>Um aliado a visão a olho nu</t>
        </is>
      </c>
      <c r="AV21" s="143" t="inlineStr"/>
      <c r="AW21" s="143" t="inlineStr"/>
      <c r="AX21" s="143" t="inlineStr"/>
      <c r="AY21" s="143" t="inlineStr"/>
      <c r="AZ21" s="143" t="inlineStr"/>
      <c r="BA21" s="143" t="inlineStr"/>
      <c r="BC21" s="143" t="inlineStr">
        <is>
          <t>Fura</t>
        </is>
      </c>
      <c r="BD21" s="143" t="inlineStr">
        <is>
          <t>Mira</t>
        </is>
      </c>
      <c r="BE21" s="145" t="n">
        <v>2</v>
      </c>
      <c r="BF21" s="145">
        <f>$BE21+3*IFERROR(VLOOKUP($BD21,$I$2:$L$10,3,FALSE),0)</f>
        <v/>
      </c>
      <c r="BG21" s="145">
        <f>IFERROR(VLOOKUP($BD21,$I$2:$L$10,4,FALSE),0)</f>
        <v/>
      </c>
      <c r="BH21" s="145" t="n">
        <v>0</v>
      </c>
      <c r="BI21" s="145">
        <f>IF($BG21=1,"",$BC21)</f>
        <v/>
      </c>
      <c r="BJ21" s="145">
        <f>IF(AND($BE21=1,$BG21=0),$BC21,"")</f>
        <v/>
      </c>
      <c r="BL21" s="143" t="inlineStr">
        <is>
          <t>Barulho</t>
        </is>
      </c>
      <c r="BM21" s="143" t="inlineStr">
        <is>
          <t>Barulho</t>
        </is>
      </c>
      <c r="BN21" s="145" t="n">
        <v>1</v>
      </c>
      <c r="BO21" s="145" t="n">
        <v>0</v>
      </c>
      <c r="BP21" s="143" t="inlineStr">
        <is>
          <t>Barulho</t>
        </is>
      </c>
      <c r="BR21" s="143" t="inlineStr">
        <is>
          <t>Maldição do Inventário</t>
        </is>
      </c>
      <c r="BS21" s="145" t="n">
        <v>1</v>
      </c>
      <c r="BT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45" t="n">
        <v>0</v>
      </c>
      <c r="BV21" s="145" t="n">
        <v>1</v>
      </c>
      <c r="BW21" s="145">
        <f>IF(OR(AND($A$2&lt;=2,$BU21=1),AND($A$2&gt;=2,$BV21=1)),$BR21,"")</f>
        <v/>
      </c>
      <c r="BX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43" t="inlineStr">
        <is>
          <t>Ímpeto</t>
        </is>
      </c>
      <c r="CD21" s="143" t="inlineStr">
        <is>
          <t>Lapidação 4 e Destreza 4</t>
        </is>
      </c>
      <c r="CE21" s="145" t="n">
        <v>2</v>
      </c>
      <c r="CF21" s="143" t="inlineStr">
        <is>
          <t>—</t>
        </is>
      </c>
      <c r="CG21" s="14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45">
        <f>IF($CK21=1,"",IF($A$2=4,IF($CI21=1,$CC21,""),IF(OR($CI21=1,AND($A$2=3,$CJ21=1)),"",$CC21)))</f>
        <v/>
      </c>
      <c r="CI21" s="145" t="n">
        <v>1</v>
      </c>
      <c r="CJ21" s="145" t="n">
        <v>0</v>
      </c>
      <c r="CK21" s="145" t="n">
        <v>0</v>
      </c>
      <c r="CL21" s="143" t="inlineStr">
        <is>
          <t>Como Ação Bônus, mova-se até seu deslocamento sem provocar ataques de oportunidade.</t>
        </is>
      </c>
      <c r="DV21" s="143" t="inlineStr">
        <is>
          <t>Feitiço 20</t>
        </is>
      </c>
      <c r="DW21" s="145" t="n">
        <v>0</v>
      </c>
      <c r="DX21" s="145" t="n">
        <v>20</v>
      </c>
      <c r="DY21" s="145">
        <f>MAX(1,MIN(7,N('FICHA AMALDIÇOADA'!$J$179)))</f>
        <v/>
      </c>
      <c r="DZ21" s="145">
        <f>'FICHA AMALDIÇOADA'!$K$179&amp;""</f>
        <v/>
      </c>
      <c r="EA21" s="145">
        <f>'FICHA AMALDIÇOADA'!$J$186&amp;""</f>
        <v/>
      </c>
      <c r="EB21" s="145">
        <f>'FICHA AMALDIÇOADA'!$K$188&amp;""</f>
        <v/>
      </c>
      <c r="EC21" s="145">
        <f>'FICHA AMALDIÇOADA'!$K$189&amp;""</f>
        <v/>
      </c>
      <c r="ED21" s="145">
        <f>'FICHA AMALDIÇOADA'!$K$190&amp;""</f>
        <v/>
      </c>
      <c r="EE21" s="145">
        <f>'FICHA AMALDIÇOADA'!$K$191&amp;""</f>
        <v/>
      </c>
      <c r="EF21" s="145">
        <f>'FICHA AMALDIÇOADA'!$K$192&amp;""</f>
        <v/>
      </c>
      <c r="EG21" s="145">
        <f>'FICHA AMALDIÇOADA'!$K$193&amp;""</f>
        <v/>
      </c>
      <c r="EH21" s="145">
        <f>IF($DZ21&lt;&gt;"",1,0)</f>
        <v/>
      </c>
      <c r="EI21" s="145">
        <f>IFERROR(MATCH($EA21,$Y$2:$Y$11,0),0)</f>
        <v/>
      </c>
      <c r="EJ21" s="145">
        <f>IF($EI21=0,0,INDEX($AB$2:$AB$11,$EI21))</f>
        <v/>
      </c>
      <c r="EK21" s="145">
        <f>IFERROR(VLOOKUP($EB21,$BC$2:$BJ$84,4,FALSE),0)</f>
        <v/>
      </c>
      <c r="EL21" s="145">
        <f>IFERROR(VLOOKUP($EC21,$BC$2:$BJ$84,4,FALSE),0)</f>
        <v/>
      </c>
      <c r="EM21" s="145">
        <f>IFERROR(VLOOKUP($ED21,$BC$2:$BJ$84,4,FALSE),0)</f>
        <v/>
      </c>
      <c r="EN21" s="145">
        <f>IFERROR(VLOOKUP($EE21,$BC$2:$BJ$84,4,FALSE),0)</f>
        <v/>
      </c>
      <c r="EO21" s="145">
        <f>IF($EI21=0,0,INDEX($AC$2:$AC$11,$EI21))</f>
        <v/>
      </c>
      <c r="EP21" s="145">
        <f>IFERROR(VLOOKUP($EB21,$BC$2:$BJ$84,5,FALSE),0)</f>
        <v/>
      </c>
      <c r="EQ21" s="145">
        <f>IFERROR(VLOOKUP($EC21,$BC$2:$BJ$84,5,FALSE),0)</f>
        <v/>
      </c>
      <c r="ER21" s="145">
        <f>IFERROR(VLOOKUP($ED21,$BC$2:$BJ$84,5,FALSE),0)</f>
        <v/>
      </c>
      <c r="ES21" s="145">
        <f>IFERROR(VLOOKUP($EE21,$BC$2:$BJ$84,5,FALSE),0)</f>
        <v/>
      </c>
      <c r="ET21" s="145">
        <f>IFERROR(VLOOKUP($EB21,$BC$2:$BJ$84,6,FALSE),0)+IFERROR(VLOOKUP($EC21,$BC$2:$BJ$84,6,FALSE),0)+IFERROR(VLOOKUP($ED21,$BC$2:$BJ$84,6,FALSE),0)+IFERROR(VLOOKUP($EE21,$BC$2:$BJ$84,6,FALSE),0)</f>
        <v/>
      </c>
      <c r="EU21" s="145">
        <f>IF($EI21=0,0,INDEX($AD$2:$AD$11,$EI21))</f>
        <v/>
      </c>
      <c r="EV21" s="145">
        <f>IF($EI21=0,0,INDEX($AE$2:$AE$11,$EI21))</f>
        <v/>
      </c>
      <c r="EW21" s="145">
        <f>IF($EI21=0,0,INDEX($AG$2:$AG$11,$EI21))</f>
        <v/>
      </c>
      <c r="EX21" s="145">
        <f>IFERROR(VLOOKUP($EF21,$BL$2:$BP$24,3,FALSE),0)</f>
        <v/>
      </c>
      <c r="EY21" s="145">
        <f>IFERROR(VLOOKUP($EG21,$BL$2:$BP$24,3,FALSE),0)</f>
        <v/>
      </c>
      <c r="EZ21" s="145">
        <f>IFERROR(VLOOKUP($EF21,$BL$2:$BP$24,2,FALSE),"")</f>
        <v/>
      </c>
      <c r="FA21" s="145">
        <f>IFERROR(VLOOKUP($EG21,$BL$2:$BP$24,2,FALSE),"")</f>
        <v/>
      </c>
      <c r="FB21" s="145">
        <f>COUNTIF($EJ21:$EN21,1)</f>
        <v/>
      </c>
      <c r="FC21" s="145">
        <f>COUNTIF($EJ21:$EN21,2)</f>
        <v/>
      </c>
      <c r="FD21" s="145">
        <f>COUNTIF($EJ21:$EN21,3)</f>
        <v/>
      </c>
      <c r="FE21" s="145">
        <f>COUNTIF($EJ21:$EN21,4)</f>
        <v/>
      </c>
      <c r="FF21" s="145">
        <f>COUNTIF($EJ21:$EN21,5)</f>
        <v/>
      </c>
      <c r="FG21" s="145">
        <f>COUNTIF($EJ21:$EN21,6)</f>
        <v/>
      </c>
      <c r="FH21" s="145">
        <f>COUNTIF($EX21:$EY21,1)</f>
        <v/>
      </c>
      <c r="FI21" s="145">
        <f>COUNTIF($EX21:$EY21,2)+$EU21</f>
        <v/>
      </c>
      <c r="FJ21" s="145">
        <f>COUNTIF($EB21:$EE21,"?*")</f>
        <v/>
      </c>
      <c r="FK21" s="145">
        <f>COUNTIF($EF21:$EG21,"?*")+$EU21</f>
        <v/>
      </c>
      <c r="FL21" s="145">
        <f>SUMPRODUCT($FB21:$FG21,INDEX($Q$2:$V$8,$DY21,0))</f>
        <v/>
      </c>
      <c r="FM21" s="145">
        <f>$FH21*CEILING($DY21/2,1)+$FI21*$DY21</f>
        <v/>
      </c>
      <c r="FN21" s="145">
        <f>MIN(2*$DY21,$FM21)</f>
        <v/>
      </c>
      <c r="FO21" s="145">
        <f>MIN($FN21,$FL21)</f>
        <v/>
      </c>
      <c r="FP21" s="145">
        <f>$FN21-$FO21</f>
        <v/>
      </c>
      <c r="FQ21" s="145">
        <f>3*$DY21-$FL21+$FO21</f>
        <v/>
      </c>
      <c r="FR21" s="145">
        <f>MAX(0,$FQ21)+$DW21*$DY21</f>
        <v/>
      </c>
      <c r="FS21" s="145">
        <f>(IF(COUNTIF($EB21:$EE21,"Salto")&gt;0,1,0)+IF(COUNTIF($EB21:$EE21,"Queima")&gt;0,1,0)+IF(COUNTIF($EB21:$EE21,"Estilhaço")&gt;0,1,0))*FLOOR($FR21/2,1)</f>
        <v/>
      </c>
      <c r="FT21" s="145">
        <f>MAX(0,3-SUMPRODUCT($FB21:$FG21,$Q$2:$V$2)+MIN(2,$FH21*1+$FI21*1,SUMPRODUCT($FB21:$FG21,$Q$2:$V$2)))+$DW21*1</f>
        <v/>
      </c>
      <c r="FU21" s="145">
        <f>MAX(0,6-SUMPRODUCT($FB21:$FG21,$Q$3:$V$3)+MIN(4,$FH21*1+$FI21*2,SUMPRODUCT($FB21:$FG21,$Q$3:$V$3)))+$DW21*2</f>
        <v/>
      </c>
      <c r="FV21" s="145">
        <f>MAX(0,9-SUMPRODUCT($FB21:$FG21,$Q$4:$V$4)+MIN(6,$FH21*2+$FI21*3,SUMPRODUCT($FB21:$FG21,$Q$4:$V$4)))+$DW21*3</f>
        <v/>
      </c>
      <c r="FW21" s="145">
        <f>MAX(0,12-SUMPRODUCT($FB21:$FG21,$Q$5:$V$5)+MIN(8,$FH21*2+$FI21*4,SUMPRODUCT($FB21:$FG21,$Q$5:$V$5)))+$DW21*4</f>
        <v/>
      </c>
      <c r="FX21" s="145">
        <f>MAX(0,15-SUMPRODUCT($FB21:$FG21,$Q$6:$V$6)+MIN(10,$FH21*3+$FI21*5,SUMPRODUCT($FB21:$FG21,$Q$6:$V$6)))+$DW21*5</f>
        <v/>
      </c>
      <c r="FY21" s="145">
        <f>MAX(0,18-SUMPRODUCT($FB21:$FG21,$Q$7:$V$7)+MIN(12,$FH21*3+$FI21*6,SUMPRODUCT($FB21:$FG21,$Q$7:$V$7)))+$DW21*6</f>
        <v/>
      </c>
      <c r="FZ21" s="145">
        <f>MAX(0,21-SUMPRODUCT($FB21:$FG21,$Q$8:$V$8)+MIN(14,$FH21*4+$FI21*7,SUMPRODUCT($FB21:$FG21,$Q$8:$V$8)))+$DW21*7</f>
        <v/>
      </c>
      <c r="GA21" s="145">
        <f>IF($EV21=2,3*$FT21&amp;" de vida temp.",IF($EV21=3,"sem dano",IF($FT21=0,IF($EV21=1,"sem cura","sem dano"),IF($EV21=1,"cura ","")&amp;$FT21&amp;"d8")))</f>
        <v/>
      </c>
      <c r="GB21" s="145">
        <f>IF($EV21=2,3*$FU21&amp;" de vida temp.",IF($EV21=3,"sem dano",IF($FU21=0,IF($EV21=1,"sem cura","sem dano"),IF($EV21=1,"cura ","")&amp;$FU21&amp;"d8")))</f>
        <v/>
      </c>
      <c r="GC21" s="145">
        <f>IF($EV21=2,3*$FV21&amp;" de vida temp.",IF($EV21=3,"sem dano",IF($FV21=0,IF($EV21=1,"sem cura","sem dano"),IF($EV21=1,"cura ","")&amp;$FV21&amp;"d8")))</f>
        <v/>
      </c>
      <c r="GD21" s="145">
        <f>IF($EV21=2,3*$FW21&amp;" de vida temp.",IF($EV21=3,"sem dano",IF($FW21=0,IF($EV21=1,"sem cura","sem dano"),IF($EV21=1,"cura ","")&amp;$FW21&amp;"d8")))</f>
        <v/>
      </c>
      <c r="GE21" s="145">
        <f>IF($EV21=2,3*$FX21&amp;" de vida temp.",IF($EV21=3,"sem dano",IF($FX21=0,IF($EV21=1,"sem cura","sem dano"),IF($EV21=1,"cura ","")&amp;$FX21&amp;"d8")))</f>
        <v/>
      </c>
      <c r="GF21" s="145">
        <f>IF($EV21=2,3*$FY21&amp;" de vida temp.",IF($EV21=3,"sem dano",IF($FY21=0,IF($EV21=1,"sem cura","sem dano"),IF($EV21=1,"cura ","")&amp;$FY21&amp;"d8")))</f>
        <v/>
      </c>
      <c r="GG21" s="145">
        <f>IF($EV21=2,3*$FZ21&amp;" de vida temp.",IF($EV21=3,"sem dano",IF($FZ21=0,IF($EV21=1,"sem cura","sem dano"),IF($EV21=1,"cura ","")&amp;$FZ21&amp;"d8")))</f>
        <v/>
      </c>
      <c r="GH21" s="145">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45">
        <f>IF($GH21="",0,(LEN($GH21)-LEN(SUBSTITUTE($GH21," · ","")))/3+1)</f>
        <v/>
      </c>
      <c r="GJ21" s="145">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45">
        <f>IF($GJ21="",0,(LEN($GJ21)-LEN(SUBSTITUTE($GJ21," · ","")))/3+1)</f>
        <v/>
      </c>
      <c r="GL21" s="145">
        <f>IF($EH21=0,IF($FJ21+$FK21-$EU21&gt;0,"Dê um nome",""),IF($GI21&gt;0,"⚠ "&amp;$GI21&amp;IF($GI21&gt;1," erros"," erro"),IF($GK21&gt;0,"! "&amp;$GK21&amp;IF($GK21&gt;1," avisos"," aviso"),"Na regra")))</f>
        <v/>
      </c>
      <c r="GM21" s="145">
        <f>IF($EH21=0,"",IF($GI21+$GK21=0,"Dentro das regras que a ficha confere",$GH21&amp;IF(AND($GI21&gt;0,$GK21&gt;0)," · ","")&amp;$GJ21))</f>
        <v/>
      </c>
      <c r="GN21" s="145">
        <f>IF($EH21=0,"",IF($DW21=1,CEILING(4.5*$DY21,1),3*$DY21)&amp;" PE")</f>
        <v/>
      </c>
      <c r="GO21" s="145">
        <f>IF($EH21=0,"",IF($DW21=1,"Rodada inteira",IF(COUNTIF($EZ21:$FA21,"Atrasar")&gt;0,IF(COUNTIF($EZ21:$FA21,"Carregar")&gt;0,"Rodada +1 turno","Rodada inteira"),IF(COUNTIF($EB21:$EE21,"Rápido")&gt;0,"Bônus",IF(COUNTIF($EB21:$EE21,"Reação")&gt;0,"Reação","Padrão"))&amp;IF(COUNTIF($EZ21:$FA21,"Carregar")&gt;0," +1 turno",""))))</f>
        <v/>
      </c>
      <c r="GP21" s="145">
        <f>IF(OR($EH21=0,$EI21=0),"",IF(COUNTIF($EB21:$EE21,"Inescapável")&gt;0,"Automático",IF(COUNTIF($EB21:$EE21,"Certeiro")&gt;0,"TR para metade",INDEX($AF$2:$AF$11,$EI21))))</f>
        <v/>
      </c>
      <c r="GQ21" s="145">
        <f>IF(OR($EH21=0,$EI21=0),"",IF(OR($EV21&gt;=2,$FR21=0),UPPER(LEFT(INDEX($GA21:$GG21,1,$DY21),1))&amp;MID(INDEX($GA21:$GG21,1,$DY21),2,99),UPPER(LEFT(INDEX($GA21:$GG21,1,$DY21),1))&amp;MID(INDEX($GA21:$GG21,1,$DY21),2,99)&amp;" = "&amp;FLOOR($FR21*4.5,1)&amp;IF($FS21&gt;0," · +"&amp;$FS21&amp;"d8","")))</f>
        <v/>
      </c>
      <c r="GR21" s="145">
        <f>COUNTIF($EB21:$EE21,"Longe")+3*COUNTIF($EB21:$EE21,"Muito Longe")</f>
        <v/>
      </c>
      <c r="GS21" s="145">
        <f>COUNTIF($EB21:$EE21,"Maior")+3*COUNTIF($EB21:$EE21,"Muito Maior")</f>
        <v/>
      </c>
      <c r="GT21" s="145">
        <f>IF($EI21=0,0,CHOOSE(1+INDEX($AH$2:$AH$11,$EI21),0,$GR21,$GS21,$GR21+$GS21))</f>
        <v/>
      </c>
      <c r="GU21" s="145">
        <f>IF($EI21=0,0,CHOOSE(1+INDEX($AI$2:$AI$11,$EI21),0,$GR21,$GS21,$GR21+$GS21))</f>
        <v/>
      </c>
      <c r="GV21" s="145">
        <f>IF(OR($EH21=0,$EI21=0),"",INDEX($AP$2:$AU$31,($EI21-1)*3+IF($DY21&gt;=6,3,2),1+MIN(5,$GT21))&amp;INDEX($AV$2:$BA$31,($EI21-1)*3+IF($DY21&gt;=6,3,2),1+MIN(5,$GU21))&amp;IF(INDEX($AJ$2:$AJ$11,$EI21)=1,IF(COUNTIF($EB21:$EE21,"Mais Um")&gt;0," · +"&amp;COUNTIF($EB21:$EE21,"Mais Um")&amp;IF(COUNTIF($EB21:$EE21,"Mais Um")&gt;1," alvos"," alvo"),"")&amp;IF(COUNTIF($EB21:$EE21,"Rajada")&gt;0," · "&amp;($DY21+1)&amp;" tiros",""),""))</f>
        <v/>
      </c>
      <c r="GW21" s="145">
        <f>IF($EH21=0,"",3*$DY21&amp;" − "&amp;$FL21&amp;" + "&amp;$FO21&amp;IF($DW21=1," + "&amp;$DY21,"")&amp;" = "&amp;$FR21&amp;"d8 · teto "&amp;4*$DY21&amp;IF($EU21=1," · a Forma devolve "&amp;$DY21,"")&amp;IF($FP21&gt;0," · perde "&amp;$FP21,""))</f>
        <v/>
      </c>
      <c r="GX21" s="145">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5">
        <f>IF(OR($EH21=0,$EK21=0),"","−"&amp;INDEX($Q$2:$V$8,$DY21,$EK21)&amp;" · "&amp;CHOOSE($EK21,"Leve","Média","Pesada","Leve · Livre","Média · Livre","Pesada · Livre"))</f>
        <v/>
      </c>
      <c r="GZ21" s="145">
        <f>IF(OR($EH21=0,$EL21=0),"","−"&amp;INDEX($Q$2:$V$8,$DY21,$EL21)&amp;" · "&amp;CHOOSE($EL21,"Leve","Média","Pesada","Leve · Livre","Média · Livre","Pesada · Livre"))</f>
        <v/>
      </c>
      <c r="HA21" s="145">
        <f>IF(OR($EH21=0,$EM21=0),"","−"&amp;INDEX($Q$2:$V$8,$DY21,$EM21)&amp;" · "&amp;CHOOSE($EM21,"Leve","Média","Pesada","Leve · Livre","Média · Livre","Pesada · Livre"))</f>
        <v/>
      </c>
      <c r="HB21" s="145">
        <f>IF(OR($EH21=0,$EN21=0),"","−"&amp;INDEX($Q$2:$V$8,$DY21,$EN21)&amp;" · "&amp;CHOOSE($EN21,"Leve","Média","Pesada","Leve · Livre","Média · Livre","Pesada · Livre"))</f>
        <v/>
      </c>
      <c r="HC21" s="145">
        <f>IF(OR($EH21=0,$EF21=""),"","+"&amp;IF($EX21=1,CEILING($DY21/2,1),$DY21))</f>
        <v/>
      </c>
      <c r="HD21" s="145">
        <f>IF(OR($EH21=0,$EG21=""),"","+"&amp;IF($EY21=1,CEILING($DY21/2,1),$DY21))</f>
        <v/>
      </c>
      <c r="HE21" s="145">
        <f>'FICHA AMALDIÇOADA'!$J$181&amp;""</f>
        <v/>
      </c>
      <c r="HF21" s="145">
        <f>IF(AND($EH21=1,$DW21=0),COUNTIFS($EH$2:$EH21,1,$DW$2:$DW21,0),"")</f>
        <v/>
      </c>
      <c r="HH21" s="143" t="inlineStr">
        <is>
          <t>cabem</t>
        </is>
      </c>
      <c r="HI21" s="145">
        <f>$HI$14+$HI$8-$HI$18-$HI$19</f>
        <v/>
      </c>
      <c r="JD21" s="145" t="n">
        <v>20</v>
      </c>
      <c r="JE21" s="145">
        <f>IFERROR(MATCH(20,$HF$2:$HF$37,0),0)</f>
        <v/>
      </c>
      <c r="JF21" s="145">
        <f>IF($JE21=0,"",INDEX($DY$2:$DY$37,$JE21))</f>
        <v/>
      </c>
      <c r="JG21" s="145">
        <f>IF($JE21=0,"",INDEX($DZ$2:$DZ$37,$JE21))</f>
        <v/>
      </c>
      <c r="JH21" s="145">
        <f>IF($JE21=0,"",INDEX($GN$2:$GN$37,$JE21))</f>
        <v/>
      </c>
      <c r="JI21" s="145">
        <f>IF($JE21=0,"",INDEX($EA$2:$EA$37,$JE21))</f>
        <v/>
      </c>
      <c r="JJ21" s="145">
        <f>IF($JE21=0,"",INDEX($GP$2:$GP$37,$JE21))</f>
        <v/>
      </c>
      <c r="JK21" s="145">
        <f>IF($JE21=0,"",INDEX($HE$2:$HE$37,$JE21))</f>
        <v/>
      </c>
      <c r="KQ21" s="143" t="inlineStr">
        <is>
          <t>P42</t>
        </is>
      </c>
      <c r="KR21" s="145">
        <f>IF(DADOS_AM!$HI$20=1,"⚠ ","")&amp;DADOS_AM!$HI$18</f>
        <v/>
      </c>
    </row>
    <row r="22">
      <c r="AO22" s="143" t="inlineStr">
        <is>
          <t>Cura · classes 6 e 7</t>
        </is>
      </c>
      <c r="AP22" s="143" t="inlineStr">
        <is>
          <t>Um aliado a 18 m</t>
        </is>
      </c>
      <c r="AQ22" s="143" t="inlineStr">
        <is>
          <t>Um aliado a 36 m</t>
        </is>
      </c>
      <c r="AR22" s="143" t="inlineStr">
        <is>
          <t>Um aliado a 90 m</t>
        </is>
      </c>
      <c r="AS22" s="143" t="inlineStr">
        <is>
          <t>Um aliado a visão a olho nu</t>
        </is>
      </c>
      <c r="AT22" s="143" t="inlineStr">
        <is>
          <t>Um aliado a visão a olho nu</t>
        </is>
      </c>
      <c r="AU22" s="143" t="inlineStr">
        <is>
          <t>Um aliado a visão a olho nu</t>
        </is>
      </c>
      <c r="AV22" s="143" t="inlineStr"/>
      <c r="AW22" s="143" t="inlineStr"/>
      <c r="AX22" s="143" t="inlineStr"/>
      <c r="AY22" s="143" t="inlineStr"/>
      <c r="AZ22" s="143" t="inlineStr"/>
      <c r="BA22" s="143" t="inlineStr"/>
      <c r="BC22" s="143" t="inlineStr">
        <is>
          <t>Corrói</t>
        </is>
      </c>
      <c r="BD22" s="143" t="inlineStr">
        <is>
          <t>Mira</t>
        </is>
      </c>
      <c r="BE22" s="145" t="n">
        <v>3</v>
      </c>
      <c r="BF22" s="145">
        <f>$BE22+3*IFERROR(VLOOKUP($BD22,$I$2:$L$10,3,FALSE),0)</f>
        <v/>
      </c>
      <c r="BG22" s="145">
        <f>IFERROR(VLOOKUP($BD22,$I$2:$L$10,4,FALSE),0)</f>
        <v/>
      </c>
      <c r="BH22" s="145" t="n">
        <v>0</v>
      </c>
      <c r="BI22" s="145">
        <f>IF($BG22=1,"",$BC22)</f>
        <v/>
      </c>
      <c r="BJ22" s="145">
        <f>IF(AND($BE22=1,$BG22=0),$BC22,"")</f>
        <v/>
      </c>
      <c r="BL22" s="143" t="inlineStr">
        <is>
          <t>Assinatura</t>
        </is>
      </c>
      <c r="BM22" s="143" t="inlineStr">
        <is>
          <t>Assinatura</t>
        </is>
      </c>
      <c r="BN22" s="145" t="n">
        <v>1</v>
      </c>
      <c r="BO22" s="145" t="n">
        <v>0</v>
      </c>
      <c r="BP22" s="143" t="inlineStr">
        <is>
          <t>Assinatura</t>
        </is>
      </c>
      <c r="BR22" s="143" t="inlineStr">
        <is>
          <t>Segundo Fôlego</t>
        </is>
      </c>
      <c r="BS22" s="145" t="n">
        <v>2</v>
      </c>
      <c r="BT22" s="143" t="inlineStr">
        <is>
          <t>Uma vez por descanso longo, ao escolher Insistir, você pode dispensar o primeiro custo de vida máxima, correspondente a 1/8 do máximo de referência daquela queda.</t>
        </is>
      </c>
      <c r="BU22" s="145" t="n">
        <v>0</v>
      </c>
      <c r="BV22" s="145" t="n">
        <v>1</v>
      </c>
      <c r="BW22" s="145">
        <f>IF(OR(AND($A$2&lt;=2,$BU22=1),AND($A$2&gt;=2,$BV22=1)),$BR22,"")</f>
        <v/>
      </c>
      <c r="BX22" s="143" t="inlineStr">
        <is>
          <t>Uma vez por descanso longo, ao escolher Insistir, você pode dispensar o primeiro custo de vida máxima, correspondente a 1/8 do máximo de referência daquela queda.</t>
        </is>
      </c>
      <c r="CC22" s="143" t="inlineStr">
        <is>
          <t>Casco</t>
        </is>
      </c>
      <c r="CD22" s="143" t="inlineStr">
        <is>
          <t>Lapidação 7 e Constituição 4</t>
        </is>
      </c>
      <c r="CE22" s="145" t="n">
        <v>3</v>
      </c>
      <c r="CF22" s="143" t="inlineStr">
        <is>
          <t>—</t>
        </is>
      </c>
      <c r="CG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45">
        <f>IF($CK22=1,"",IF($A$2=4,IF($CI22=1,$CC22,""),IF(OR($CI22=1,AND($A$2=3,$CJ22=1)),"",$CC22)))</f>
        <v/>
      </c>
      <c r="CI22" s="145" t="n">
        <v>1</v>
      </c>
      <c r="CJ22" s="145" t="n">
        <v>0</v>
      </c>
      <c r="CK22" s="145" t="n">
        <v>0</v>
      </c>
      <c r="CL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43" t="inlineStr">
        <is>
          <t>Feitiço 21</t>
        </is>
      </c>
      <c r="DW22" s="145" t="n">
        <v>0</v>
      </c>
      <c r="DX22" s="145" t="n">
        <v>21</v>
      </c>
      <c r="DY22" s="145">
        <f>MAX(1,MIN(7,N('FICHA AMALDIÇOADA'!$P$179)))</f>
        <v/>
      </c>
      <c r="DZ22" s="145">
        <f>'FICHA AMALDIÇOADA'!$Q$179&amp;""</f>
        <v/>
      </c>
      <c r="EA22" s="145">
        <f>'FICHA AMALDIÇOADA'!$P$186&amp;""</f>
        <v/>
      </c>
      <c r="EB22" s="145">
        <f>'FICHA AMALDIÇOADA'!$Q$188&amp;""</f>
        <v/>
      </c>
      <c r="EC22" s="145">
        <f>'FICHA AMALDIÇOADA'!$Q$189&amp;""</f>
        <v/>
      </c>
      <c r="ED22" s="145">
        <f>'FICHA AMALDIÇOADA'!$Q$190&amp;""</f>
        <v/>
      </c>
      <c r="EE22" s="145">
        <f>'FICHA AMALDIÇOADA'!$Q$191&amp;""</f>
        <v/>
      </c>
      <c r="EF22" s="145">
        <f>'FICHA AMALDIÇOADA'!$Q$192&amp;""</f>
        <v/>
      </c>
      <c r="EG22" s="145">
        <f>'FICHA AMALDIÇOADA'!$Q$193&amp;""</f>
        <v/>
      </c>
      <c r="EH22" s="145">
        <f>IF($DZ22&lt;&gt;"",1,0)</f>
        <v/>
      </c>
      <c r="EI22" s="145">
        <f>IFERROR(MATCH($EA22,$Y$2:$Y$11,0),0)</f>
        <v/>
      </c>
      <c r="EJ22" s="145">
        <f>IF($EI22=0,0,INDEX($AB$2:$AB$11,$EI22))</f>
        <v/>
      </c>
      <c r="EK22" s="145">
        <f>IFERROR(VLOOKUP($EB22,$BC$2:$BJ$84,4,FALSE),0)</f>
        <v/>
      </c>
      <c r="EL22" s="145">
        <f>IFERROR(VLOOKUP($EC22,$BC$2:$BJ$84,4,FALSE),0)</f>
        <v/>
      </c>
      <c r="EM22" s="145">
        <f>IFERROR(VLOOKUP($ED22,$BC$2:$BJ$84,4,FALSE),0)</f>
        <v/>
      </c>
      <c r="EN22" s="145">
        <f>IFERROR(VLOOKUP($EE22,$BC$2:$BJ$84,4,FALSE),0)</f>
        <v/>
      </c>
      <c r="EO22" s="145">
        <f>IF($EI22=0,0,INDEX($AC$2:$AC$11,$EI22))</f>
        <v/>
      </c>
      <c r="EP22" s="145">
        <f>IFERROR(VLOOKUP($EB22,$BC$2:$BJ$84,5,FALSE),0)</f>
        <v/>
      </c>
      <c r="EQ22" s="145">
        <f>IFERROR(VLOOKUP($EC22,$BC$2:$BJ$84,5,FALSE),0)</f>
        <v/>
      </c>
      <c r="ER22" s="145">
        <f>IFERROR(VLOOKUP($ED22,$BC$2:$BJ$84,5,FALSE),0)</f>
        <v/>
      </c>
      <c r="ES22" s="145">
        <f>IFERROR(VLOOKUP($EE22,$BC$2:$BJ$84,5,FALSE),0)</f>
        <v/>
      </c>
      <c r="ET22" s="145">
        <f>IFERROR(VLOOKUP($EB22,$BC$2:$BJ$84,6,FALSE),0)+IFERROR(VLOOKUP($EC22,$BC$2:$BJ$84,6,FALSE),0)+IFERROR(VLOOKUP($ED22,$BC$2:$BJ$84,6,FALSE),0)+IFERROR(VLOOKUP($EE22,$BC$2:$BJ$84,6,FALSE),0)</f>
        <v/>
      </c>
      <c r="EU22" s="145">
        <f>IF($EI22=0,0,INDEX($AD$2:$AD$11,$EI22))</f>
        <v/>
      </c>
      <c r="EV22" s="145">
        <f>IF($EI22=0,0,INDEX($AE$2:$AE$11,$EI22))</f>
        <v/>
      </c>
      <c r="EW22" s="145">
        <f>IF($EI22=0,0,INDEX($AG$2:$AG$11,$EI22))</f>
        <v/>
      </c>
      <c r="EX22" s="145">
        <f>IFERROR(VLOOKUP($EF22,$BL$2:$BP$24,3,FALSE),0)</f>
        <v/>
      </c>
      <c r="EY22" s="145">
        <f>IFERROR(VLOOKUP($EG22,$BL$2:$BP$24,3,FALSE),0)</f>
        <v/>
      </c>
      <c r="EZ22" s="145">
        <f>IFERROR(VLOOKUP($EF22,$BL$2:$BP$24,2,FALSE),"")</f>
        <v/>
      </c>
      <c r="FA22" s="145">
        <f>IFERROR(VLOOKUP($EG22,$BL$2:$BP$24,2,FALSE),"")</f>
        <v/>
      </c>
      <c r="FB22" s="145">
        <f>COUNTIF($EJ22:$EN22,1)</f>
        <v/>
      </c>
      <c r="FC22" s="145">
        <f>COUNTIF($EJ22:$EN22,2)</f>
        <v/>
      </c>
      <c r="FD22" s="145">
        <f>COUNTIF($EJ22:$EN22,3)</f>
        <v/>
      </c>
      <c r="FE22" s="145">
        <f>COUNTIF($EJ22:$EN22,4)</f>
        <v/>
      </c>
      <c r="FF22" s="145">
        <f>COUNTIF($EJ22:$EN22,5)</f>
        <v/>
      </c>
      <c r="FG22" s="145">
        <f>COUNTIF($EJ22:$EN22,6)</f>
        <v/>
      </c>
      <c r="FH22" s="145">
        <f>COUNTIF($EX22:$EY22,1)</f>
        <v/>
      </c>
      <c r="FI22" s="145">
        <f>COUNTIF($EX22:$EY22,2)+$EU22</f>
        <v/>
      </c>
      <c r="FJ22" s="145">
        <f>COUNTIF($EB22:$EE22,"?*")</f>
        <v/>
      </c>
      <c r="FK22" s="145">
        <f>COUNTIF($EF22:$EG22,"?*")+$EU22</f>
        <v/>
      </c>
      <c r="FL22" s="145">
        <f>SUMPRODUCT($FB22:$FG22,INDEX($Q$2:$V$8,$DY22,0))</f>
        <v/>
      </c>
      <c r="FM22" s="145">
        <f>$FH22*CEILING($DY22/2,1)+$FI22*$DY22</f>
        <v/>
      </c>
      <c r="FN22" s="145">
        <f>MIN(2*$DY22,$FM22)</f>
        <v/>
      </c>
      <c r="FO22" s="145">
        <f>MIN($FN22,$FL22)</f>
        <v/>
      </c>
      <c r="FP22" s="145">
        <f>$FN22-$FO22</f>
        <v/>
      </c>
      <c r="FQ22" s="145">
        <f>3*$DY22-$FL22+$FO22</f>
        <v/>
      </c>
      <c r="FR22" s="145">
        <f>MAX(0,$FQ22)+$DW22*$DY22</f>
        <v/>
      </c>
      <c r="FS22" s="145">
        <f>(IF(COUNTIF($EB22:$EE22,"Salto")&gt;0,1,0)+IF(COUNTIF($EB22:$EE22,"Queima")&gt;0,1,0)+IF(COUNTIF($EB22:$EE22,"Estilhaço")&gt;0,1,0))*FLOOR($FR22/2,1)</f>
        <v/>
      </c>
      <c r="FT22" s="145">
        <f>MAX(0,3-SUMPRODUCT($FB22:$FG22,$Q$2:$V$2)+MIN(2,$FH22*1+$FI22*1,SUMPRODUCT($FB22:$FG22,$Q$2:$V$2)))+$DW22*1</f>
        <v/>
      </c>
      <c r="FU22" s="145">
        <f>MAX(0,6-SUMPRODUCT($FB22:$FG22,$Q$3:$V$3)+MIN(4,$FH22*1+$FI22*2,SUMPRODUCT($FB22:$FG22,$Q$3:$V$3)))+$DW22*2</f>
        <v/>
      </c>
      <c r="FV22" s="145">
        <f>MAX(0,9-SUMPRODUCT($FB22:$FG22,$Q$4:$V$4)+MIN(6,$FH22*2+$FI22*3,SUMPRODUCT($FB22:$FG22,$Q$4:$V$4)))+$DW22*3</f>
        <v/>
      </c>
      <c r="FW22" s="145">
        <f>MAX(0,12-SUMPRODUCT($FB22:$FG22,$Q$5:$V$5)+MIN(8,$FH22*2+$FI22*4,SUMPRODUCT($FB22:$FG22,$Q$5:$V$5)))+$DW22*4</f>
        <v/>
      </c>
      <c r="FX22" s="145">
        <f>MAX(0,15-SUMPRODUCT($FB22:$FG22,$Q$6:$V$6)+MIN(10,$FH22*3+$FI22*5,SUMPRODUCT($FB22:$FG22,$Q$6:$V$6)))+$DW22*5</f>
        <v/>
      </c>
      <c r="FY22" s="145">
        <f>MAX(0,18-SUMPRODUCT($FB22:$FG22,$Q$7:$V$7)+MIN(12,$FH22*3+$FI22*6,SUMPRODUCT($FB22:$FG22,$Q$7:$V$7)))+$DW22*6</f>
        <v/>
      </c>
      <c r="FZ22" s="145">
        <f>MAX(0,21-SUMPRODUCT($FB22:$FG22,$Q$8:$V$8)+MIN(14,$FH22*4+$FI22*7,SUMPRODUCT($FB22:$FG22,$Q$8:$V$8)))+$DW22*7</f>
        <v/>
      </c>
      <c r="GA22" s="145">
        <f>IF($EV22=2,3*$FT22&amp;" de vida temp.",IF($EV22=3,"sem dano",IF($FT22=0,IF($EV22=1,"sem cura","sem dano"),IF($EV22=1,"cura ","")&amp;$FT22&amp;"d8")))</f>
        <v/>
      </c>
      <c r="GB22" s="145">
        <f>IF($EV22=2,3*$FU22&amp;" de vida temp.",IF($EV22=3,"sem dano",IF($FU22=0,IF($EV22=1,"sem cura","sem dano"),IF($EV22=1,"cura ","")&amp;$FU22&amp;"d8")))</f>
        <v/>
      </c>
      <c r="GC22" s="145">
        <f>IF($EV22=2,3*$FV22&amp;" de vida temp.",IF($EV22=3,"sem dano",IF($FV22=0,IF($EV22=1,"sem cura","sem dano"),IF($EV22=1,"cura ","")&amp;$FV22&amp;"d8")))</f>
        <v/>
      </c>
      <c r="GD22" s="145">
        <f>IF($EV22=2,3*$FW22&amp;" de vida temp.",IF($EV22=3,"sem dano",IF($FW22=0,IF($EV22=1,"sem cura","sem dano"),IF($EV22=1,"cura ","")&amp;$FW22&amp;"d8")))</f>
        <v/>
      </c>
      <c r="GE22" s="145">
        <f>IF($EV22=2,3*$FX22&amp;" de vida temp.",IF($EV22=3,"sem dano",IF($FX22=0,IF($EV22=1,"sem cura","sem dano"),IF($EV22=1,"cura ","")&amp;$FX22&amp;"d8")))</f>
        <v/>
      </c>
      <c r="GF22" s="145">
        <f>IF($EV22=2,3*$FY22&amp;" de vida temp.",IF($EV22=3,"sem dano",IF($FY22=0,IF($EV22=1,"sem cura","sem dano"),IF($EV22=1,"cura ","")&amp;$FY22&amp;"d8")))</f>
        <v/>
      </c>
      <c r="GG22" s="145">
        <f>IF($EV22=2,3*$FZ22&amp;" de vida temp.",IF($EV22=3,"sem dano",IF($FZ22=0,IF($EV22=1,"sem cura","sem dano"),IF($EV22=1,"cura ","")&amp;$FZ22&amp;"d8")))</f>
        <v/>
      </c>
      <c r="GH22" s="145">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45">
        <f>IF($GH22="",0,(LEN($GH22)-LEN(SUBSTITUTE($GH22," · ","")))/3+1)</f>
        <v/>
      </c>
      <c r="GJ22" s="145">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45">
        <f>IF($GJ22="",0,(LEN($GJ22)-LEN(SUBSTITUTE($GJ22," · ","")))/3+1)</f>
        <v/>
      </c>
      <c r="GL22" s="145">
        <f>IF($EH22=0,IF($FJ22+$FK22-$EU22&gt;0,"Dê um nome",""),IF($GI22&gt;0,"⚠ "&amp;$GI22&amp;IF($GI22&gt;1," erros"," erro"),IF($GK22&gt;0,"! "&amp;$GK22&amp;IF($GK22&gt;1," avisos"," aviso"),"Na regra")))</f>
        <v/>
      </c>
      <c r="GM22" s="145">
        <f>IF($EH22=0,"",IF($GI22+$GK22=0,"Dentro das regras que a ficha confere",$GH22&amp;IF(AND($GI22&gt;0,$GK22&gt;0)," · ","")&amp;$GJ22))</f>
        <v/>
      </c>
      <c r="GN22" s="145">
        <f>IF($EH22=0,"",IF($DW22=1,CEILING(4.5*$DY22,1),3*$DY22)&amp;" PE")</f>
        <v/>
      </c>
      <c r="GO22" s="145">
        <f>IF($EH22=0,"",IF($DW22=1,"Rodada inteira",IF(COUNTIF($EZ22:$FA22,"Atrasar")&gt;0,IF(COUNTIF($EZ22:$FA22,"Carregar")&gt;0,"Rodada +1 turno","Rodada inteira"),IF(COUNTIF($EB22:$EE22,"Rápido")&gt;0,"Bônus",IF(COUNTIF($EB22:$EE22,"Reação")&gt;0,"Reação","Padrão"))&amp;IF(COUNTIF($EZ22:$FA22,"Carregar")&gt;0," +1 turno",""))))</f>
        <v/>
      </c>
      <c r="GP22" s="145">
        <f>IF(OR($EH22=0,$EI22=0),"",IF(COUNTIF($EB22:$EE22,"Inescapável")&gt;0,"Automático",IF(COUNTIF($EB22:$EE22,"Certeiro")&gt;0,"TR para metade",INDEX($AF$2:$AF$11,$EI22))))</f>
        <v/>
      </c>
      <c r="GQ22" s="145">
        <f>IF(OR($EH22=0,$EI22=0),"",IF(OR($EV22&gt;=2,$FR22=0),UPPER(LEFT(INDEX($GA22:$GG22,1,$DY22),1))&amp;MID(INDEX($GA22:$GG22,1,$DY22),2,99),UPPER(LEFT(INDEX($GA22:$GG22,1,$DY22),1))&amp;MID(INDEX($GA22:$GG22,1,$DY22),2,99)&amp;" = "&amp;FLOOR($FR22*4.5,1)&amp;IF($FS22&gt;0," · +"&amp;$FS22&amp;"d8","")))</f>
        <v/>
      </c>
      <c r="GR22" s="145">
        <f>COUNTIF($EB22:$EE22,"Longe")+3*COUNTIF($EB22:$EE22,"Muito Longe")</f>
        <v/>
      </c>
      <c r="GS22" s="145">
        <f>COUNTIF($EB22:$EE22,"Maior")+3*COUNTIF($EB22:$EE22,"Muito Maior")</f>
        <v/>
      </c>
      <c r="GT22" s="145">
        <f>IF($EI22=0,0,CHOOSE(1+INDEX($AH$2:$AH$11,$EI22),0,$GR22,$GS22,$GR22+$GS22))</f>
        <v/>
      </c>
      <c r="GU22" s="145">
        <f>IF($EI22=0,0,CHOOSE(1+INDEX($AI$2:$AI$11,$EI22),0,$GR22,$GS22,$GR22+$GS22))</f>
        <v/>
      </c>
      <c r="GV22" s="145">
        <f>IF(OR($EH22=0,$EI22=0),"",INDEX($AP$2:$AU$31,($EI22-1)*3+IF($DY22&gt;=6,3,2),1+MIN(5,$GT22))&amp;INDEX($AV$2:$BA$31,($EI22-1)*3+IF($DY22&gt;=6,3,2),1+MIN(5,$GU22))&amp;IF(INDEX($AJ$2:$AJ$11,$EI22)=1,IF(COUNTIF($EB22:$EE22,"Mais Um")&gt;0," · +"&amp;COUNTIF($EB22:$EE22,"Mais Um")&amp;IF(COUNTIF($EB22:$EE22,"Mais Um")&gt;1," alvos"," alvo"),"")&amp;IF(COUNTIF($EB22:$EE22,"Rajada")&gt;0," · "&amp;($DY22+1)&amp;" tiros",""),""))</f>
        <v/>
      </c>
      <c r="GW22" s="145">
        <f>IF($EH22=0,"",3*$DY22&amp;" − "&amp;$FL22&amp;" + "&amp;$FO22&amp;IF($DW22=1," + "&amp;$DY22,"")&amp;" = "&amp;$FR22&amp;"d8 · teto "&amp;4*$DY22&amp;IF($EU22=1," · a Forma devolve "&amp;$DY22,"")&amp;IF($FP22&gt;0," · perde "&amp;$FP22,""))</f>
        <v/>
      </c>
      <c r="GX22" s="145">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5">
        <f>IF(OR($EH22=0,$EK22=0),"","−"&amp;INDEX($Q$2:$V$8,$DY22,$EK22)&amp;" · "&amp;CHOOSE($EK22,"Leve","Média","Pesada","Leve · Livre","Média · Livre","Pesada · Livre"))</f>
        <v/>
      </c>
      <c r="GZ22" s="145">
        <f>IF(OR($EH22=0,$EL22=0),"","−"&amp;INDEX($Q$2:$V$8,$DY22,$EL22)&amp;" · "&amp;CHOOSE($EL22,"Leve","Média","Pesada","Leve · Livre","Média · Livre","Pesada · Livre"))</f>
        <v/>
      </c>
      <c r="HA22" s="145">
        <f>IF(OR($EH22=0,$EM22=0),"","−"&amp;INDEX($Q$2:$V$8,$DY22,$EM22)&amp;" · "&amp;CHOOSE($EM22,"Leve","Média","Pesada","Leve · Livre","Média · Livre","Pesada · Livre"))</f>
        <v/>
      </c>
      <c r="HB22" s="145">
        <f>IF(OR($EH22=0,$EN22=0),"","−"&amp;INDEX($Q$2:$V$8,$DY22,$EN22)&amp;" · "&amp;CHOOSE($EN22,"Leve","Média","Pesada","Leve · Livre","Média · Livre","Pesada · Livre"))</f>
        <v/>
      </c>
      <c r="HC22" s="145">
        <f>IF(OR($EH22=0,$EF22=""),"","+"&amp;IF($EX22=1,CEILING($DY22/2,1),$DY22))</f>
        <v/>
      </c>
      <c r="HD22" s="145">
        <f>IF(OR($EH22=0,$EG22=""),"","+"&amp;IF($EY22=1,CEILING($DY22/2,1),$DY22))</f>
        <v/>
      </c>
      <c r="HE22" s="145">
        <f>'FICHA AMALDIÇOADA'!$P$181&amp;""</f>
        <v/>
      </c>
      <c r="HF22" s="145">
        <f>IF(AND($EH22=1,$DW22=0),COUNTIFS($EH$2:$EH22,1,$DW$2:$DW22,0),"")</f>
        <v/>
      </c>
      <c r="HH22" s="143" t="inlineStr">
        <is>
          <t>livres</t>
        </is>
      </c>
      <c r="HI22" s="145">
        <f>$HI$21-$HI$15</f>
        <v/>
      </c>
      <c r="JD22" s="145" t="n">
        <v>21</v>
      </c>
      <c r="JE22" s="145">
        <f>IFERROR(MATCH(21,$HF$2:$HF$37,0),0)</f>
        <v/>
      </c>
      <c r="JF22" s="145">
        <f>IF($JE22=0,"",INDEX($DY$2:$DY$37,$JE22))</f>
        <v/>
      </c>
      <c r="JG22" s="145">
        <f>IF($JE22=0,"",INDEX($DZ$2:$DZ$37,$JE22))</f>
        <v/>
      </c>
      <c r="JH22" s="145">
        <f>IF($JE22=0,"",INDEX($GN$2:$GN$37,$JE22))</f>
        <v/>
      </c>
      <c r="JI22" s="145">
        <f>IF($JE22=0,"",INDEX($EA$2:$EA$37,$JE22))</f>
        <v/>
      </c>
      <c r="JJ22" s="145">
        <f>IF($JE22=0,"",INDEX($GP$2:$GP$37,$JE22))</f>
        <v/>
      </c>
      <c r="JK22" s="145">
        <f>IF($JE22=0,"",INDEX($HE$2:$HE$37,$JE22))</f>
        <v/>
      </c>
      <c r="KQ22" s="143" t="inlineStr">
        <is>
          <t>Q42</t>
        </is>
      </c>
      <c r="KR22" s="145">
        <f>IF(DADOS_AM!$HI$20=1,"⚠ ","")&amp;DADOS_AM!$HI$19</f>
        <v/>
      </c>
    </row>
    <row r="23">
      <c r="AO23" s="143" t="inlineStr">
        <is>
          <t>Apoio · classe 0</t>
        </is>
      </c>
      <c r="AP23" s="143" t="inlineStr">
        <is>
          <t>Um aliado a 4,5 m</t>
        </is>
      </c>
      <c r="AQ23" s="143" t="inlineStr">
        <is>
          <t>Um aliado a 9 m</t>
        </is>
      </c>
      <c r="AR23" s="143" t="inlineStr">
        <is>
          <t>Um aliado a 18 m</t>
        </is>
      </c>
      <c r="AS23" s="143" t="inlineStr">
        <is>
          <t>Um aliado a 36 m</t>
        </is>
      </c>
      <c r="AT23" s="143" t="inlineStr">
        <is>
          <t>Um aliado a 90 m</t>
        </is>
      </c>
      <c r="AU23" s="143" t="inlineStr">
        <is>
          <t>Um aliado a visão a olho nu</t>
        </is>
      </c>
      <c r="AV23" s="143" t="inlineStr"/>
      <c r="AW23" s="143" t="inlineStr"/>
      <c r="AX23" s="143" t="inlineStr"/>
      <c r="AY23" s="143" t="inlineStr"/>
      <c r="AZ23" s="143" t="inlineStr"/>
      <c r="BA23" s="143" t="inlineStr"/>
      <c r="BC23" s="143" t="inlineStr">
        <is>
          <t>Sem Cobertura</t>
        </is>
      </c>
      <c r="BD23" s="143" t="inlineStr">
        <is>
          <t>Mira</t>
        </is>
      </c>
      <c r="BE23" s="145" t="n">
        <v>1</v>
      </c>
      <c r="BF23" s="145">
        <f>$BE23+3*IFERROR(VLOOKUP($BD23,$I$2:$L$10,3,FALSE),0)</f>
        <v/>
      </c>
      <c r="BG23" s="145">
        <f>IFERROR(VLOOKUP($BD23,$I$2:$L$10,4,FALSE),0)</f>
        <v/>
      </c>
      <c r="BH23" s="145" t="n">
        <v>0</v>
      </c>
      <c r="BI23" s="145">
        <f>IF($BG23=1,"",$BC23)</f>
        <v/>
      </c>
      <c r="BJ23" s="145">
        <f>IF(AND($BE23=1,$BG23=0),$BC23,"")</f>
        <v/>
      </c>
      <c r="BL23" s="143" t="inlineStr">
        <is>
          <t>Restrição Própria (Leve)</t>
        </is>
      </c>
      <c r="BM23" s="143" t="inlineStr">
        <is>
          <t>Restrição Própria</t>
        </is>
      </c>
      <c r="BN23" s="145" t="n">
        <v>1</v>
      </c>
      <c r="BO23" s="145" t="n">
        <v>0</v>
      </c>
      <c r="BP23" s="143" t="inlineStr">
        <is>
          <t>Restrição Própria (Leve)</t>
        </is>
      </c>
      <c r="BR23" s="143" t="inlineStr">
        <is>
          <t>Contragolpe</t>
        </is>
      </c>
      <c r="BS23" s="145" t="n">
        <v>2</v>
      </c>
      <c r="BT23" s="143" t="inlineStr">
        <is>
          <t>Quando uma criatura errar um ataque corpo a corpo contra você, pode guardar uma resposta contra ela. Sua próxima rolagem de ataque de uma Kata contra essa criatura tem vantagem. O benefício termina depois dessa rolagem ou ao fim da cena.</t>
        </is>
      </c>
      <c r="BU23" s="145" t="n">
        <v>0</v>
      </c>
      <c r="BV23" s="145" t="n">
        <v>1</v>
      </c>
      <c r="BW23" s="145">
        <f>IF(OR(AND($A$2&lt;=2,$BU23=1),AND($A$2&gt;=2,$BV23=1)),$BR23,"")</f>
        <v/>
      </c>
      <c r="BX23" s="143" t="inlineStr">
        <is>
          <t>Quando uma criatura errar um ataque corpo a corpo contra você, pode guardar uma resposta contra ela. Sua próxima rolagem de ataque de uma Kata contra essa criatura tem vantagem. O benefício termina depois dessa rolagem ou ao fim da cena.</t>
        </is>
      </c>
      <c r="CC23" s="143" t="inlineStr">
        <is>
          <t>Presilha</t>
        </is>
      </c>
      <c r="CD23" s="143" t="inlineStr">
        <is>
          <t>Lapidação 4 e Força 4</t>
        </is>
      </c>
      <c r="CE23" s="145" t="n">
        <v>2</v>
      </c>
      <c r="CF23" s="143" t="inlineStr">
        <is>
          <t>—</t>
        </is>
      </c>
      <c r="CG23" s="14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45">
        <f>IF($CK23=1,"",IF($A$2=4,IF($CI23=1,$CC23,""),IF(OR($CI23=1,AND($A$2=3,$CJ23=1)),"",$CC23)))</f>
        <v/>
      </c>
      <c r="CI23" s="145" t="n">
        <v>1</v>
      </c>
      <c r="CJ23" s="145" t="n">
        <v>0</v>
      </c>
      <c r="CK23" s="145" t="n">
        <v>0</v>
      </c>
      <c r="CL23" s="143" t="inlineStr">
        <is>
          <t>Uma vez por rodada, quando uma criatura passar num TR para evitar que você a agarre, derrube ou mova à força, pode obrigá-la a repetir esse TR.</t>
        </is>
      </c>
      <c r="DV23" s="143" t="inlineStr">
        <is>
          <t>Feitiço 22</t>
        </is>
      </c>
      <c r="DW23" s="145" t="n">
        <v>0</v>
      </c>
      <c r="DX23" s="145" t="n">
        <v>22</v>
      </c>
      <c r="DY23" s="145">
        <f>MAX(1,MIN(7,N('FICHA AMALDIÇOADA'!$D$200)))</f>
        <v/>
      </c>
      <c r="DZ23" s="145">
        <f>'FICHA AMALDIÇOADA'!$E$200&amp;""</f>
        <v/>
      </c>
      <c r="EA23" s="145">
        <f>'FICHA AMALDIÇOADA'!$D$207&amp;""</f>
        <v/>
      </c>
      <c r="EB23" s="145">
        <f>'FICHA AMALDIÇOADA'!$E$209&amp;""</f>
        <v/>
      </c>
      <c r="EC23" s="145">
        <f>'FICHA AMALDIÇOADA'!$E$210&amp;""</f>
        <v/>
      </c>
      <c r="ED23" s="145">
        <f>'FICHA AMALDIÇOADA'!$E$211&amp;""</f>
        <v/>
      </c>
      <c r="EE23" s="145">
        <f>'FICHA AMALDIÇOADA'!$E$212&amp;""</f>
        <v/>
      </c>
      <c r="EF23" s="145">
        <f>'FICHA AMALDIÇOADA'!$E$213&amp;""</f>
        <v/>
      </c>
      <c r="EG23" s="145">
        <f>'FICHA AMALDIÇOADA'!$E$214&amp;""</f>
        <v/>
      </c>
      <c r="EH23" s="145">
        <f>IF($DZ23&lt;&gt;"",1,0)</f>
        <v/>
      </c>
      <c r="EI23" s="145">
        <f>IFERROR(MATCH($EA23,$Y$2:$Y$11,0),0)</f>
        <v/>
      </c>
      <c r="EJ23" s="145">
        <f>IF($EI23=0,0,INDEX($AB$2:$AB$11,$EI23))</f>
        <v/>
      </c>
      <c r="EK23" s="145">
        <f>IFERROR(VLOOKUP($EB23,$BC$2:$BJ$84,4,FALSE),0)</f>
        <v/>
      </c>
      <c r="EL23" s="145">
        <f>IFERROR(VLOOKUP($EC23,$BC$2:$BJ$84,4,FALSE),0)</f>
        <v/>
      </c>
      <c r="EM23" s="145">
        <f>IFERROR(VLOOKUP($ED23,$BC$2:$BJ$84,4,FALSE),0)</f>
        <v/>
      </c>
      <c r="EN23" s="145">
        <f>IFERROR(VLOOKUP($EE23,$BC$2:$BJ$84,4,FALSE),0)</f>
        <v/>
      </c>
      <c r="EO23" s="145">
        <f>IF($EI23=0,0,INDEX($AC$2:$AC$11,$EI23))</f>
        <v/>
      </c>
      <c r="EP23" s="145">
        <f>IFERROR(VLOOKUP($EB23,$BC$2:$BJ$84,5,FALSE),0)</f>
        <v/>
      </c>
      <c r="EQ23" s="145">
        <f>IFERROR(VLOOKUP($EC23,$BC$2:$BJ$84,5,FALSE),0)</f>
        <v/>
      </c>
      <c r="ER23" s="145">
        <f>IFERROR(VLOOKUP($ED23,$BC$2:$BJ$84,5,FALSE),0)</f>
        <v/>
      </c>
      <c r="ES23" s="145">
        <f>IFERROR(VLOOKUP($EE23,$BC$2:$BJ$84,5,FALSE),0)</f>
        <v/>
      </c>
      <c r="ET23" s="145">
        <f>IFERROR(VLOOKUP($EB23,$BC$2:$BJ$84,6,FALSE),0)+IFERROR(VLOOKUP($EC23,$BC$2:$BJ$84,6,FALSE),0)+IFERROR(VLOOKUP($ED23,$BC$2:$BJ$84,6,FALSE),0)+IFERROR(VLOOKUP($EE23,$BC$2:$BJ$84,6,FALSE),0)</f>
        <v/>
      </c>
      <c r="EU23" s="145">
        <f>IF($EI23=0,0,INDEX($AD$2:$AD$11,$EI23))</f>
        <v/>
      </c>
      <c r="EV23" s="145">
        <f>IF($EI23=0,0,INDEX($AE$2:$AE$11,$EI23))</f>
        <v/>
      </c>
      <c r="EW23" s="145">
        <f>IF($EI23=0,0,INDEX($AG$2:$AG$11,$EI23))</f>
        <v/>
      </c>
      <c r="EX23" s="145">
        <f>IFERROR(VLOOKUP($EF23,$BL$2:$BP$24,3,FALSE),0)</f>
        <v/>
      </c>
      <c r="EY23" s="145">
        <f>IFERROR(VLOOKUP($EG23,$BL$2:$BP$24,3,FALSE),0)</f>
        <v/>
      </c>
      <c r="EZ23" s="145">
        <f>IFERROR(VLOOKUP($EF23,$BL$2:$BP$24,2,FALSE),"")</f>
        <v/>
      </c>
      <c r="FA23" s="145">
        <f>IFERROR(VLOOKUP($EG23,$BL$2:$BP$24,2,FALSE),"")</f>
        <v/>
      </c>
      <c r="FB23" s="145">
        <f>COUNTIF($EJ23:$EN23,1)</f>
        <v/>
      </c>
      <c r="FC23" s="145">
        <f>COUNTIF($EJ23:$EN23,2)</f>
        <v/>
      </c>
      <c r="FD23" s="145">
        <f>COUNTIF($EJ23:$EN23,3)</f>
        <v/>
      </c>
      <c r="FE23" s="145">
        <f>COUNTIF($EJ23:$EN23,4)</f>
        <v/>
      </c>
      <c r="FF23" s="145">
        <f>COUNTIF($EJ23:$EN23,5)</f>
        <v/>
      </c>
      <c r="FG23" s="145">
        <f>COUNTIF($EJ23:$EN23,6)</f>
        <v/>
      </c>
      <c r="FH23" s="145">
        <f>COUNTIF($EX23:$EY23,1)</f>
        <v/>
      </c>
      <c r="FI23" s="145">
        <f>COUNTIF($EX23:$EY23,2)+$EU23</f>
        <v/>
      </c>
      <c r="FJ23" s="145">
        <f>COUNTIF($EB23:$EE23,"?*")</f>
        <v/>
      </c>
      <c r="FK23" s="145">
        <f>COUNTIF($EF23:$EG23,"?*")+$EU23</f>
        <v/>
      </c>
      <c r="FL23" s="145">
        <f>SUMPRODUCT($FB23:$FG23,INDEX($Q$2:$V$8,$DY23,0))</f>
        <v/>
      </c>
      <c r="FM23" s="145">
        <f>$FH23*CEILING($DY23/2,1)+$FI23*$DY23</f>
        <v/>
      </c>
      <c r="FN23" s="145">
        <f>MIN(2*$DY23,$FM23)</f>
        <v/>
      </c>
      <c r="FO23" s="145">
        <f>MIN($FN23,$FL23)</f>
        <v/>
      </c>
      <c r="FP23" s="145">
        <f>$FN23-$FO23</f>
        <v/>
      </c>
      <c r="FQ23" s="145">
        <f>3*$DY23-$FL23+$FO23</f>
        <v/>
      </c>
      <c r="FR23" s="145">
        <f>MAX(0,$FQ23)+$DW23*$DY23</f>
        <v/>
      </c>
      <c r="FS23" s="145">
        <f>(IF(COUNTIF($EB23:$EE23,"Salto")&gt;0,1,0)+IF(COUNTIF($EB23:$EE23,"Queima")&gt;0,1,0)+IF(COUNTIF($EB23:$EE23,"Estilhaço")&gt;0,1,0))*FLOOR($FR23/2,1)</f>
        <v/>
      </c>
      <c r="FT23" s="145">
        <f>MAX(0,3-SUMPRODUCT($FB23:$FG23,$Q$2:$V$2)+MIN(2,$FH23*1+$FI23*1,SUMPRODUCT($FB23:$FG23,$Q$2:$V$2)))+$DW23*1</f>
        <v/>
      </c>
      <c r="FU23" s="145">
        <f>MAX(0,6-SUMPRODUCT($FB23:$FG23,$Q$3:$V$3)+MIN(4,$FH23*1+$FI23*2,SUMPRODUCT($FB23:$FG23,$Q$3:$V$3)))+$DW23*2</f>
        <v/>
      </c>
      <c r="FV23" s="145">
        <f>MAX(0,9-SUMPRODUCT($FB23:$FG23,$Q$4:$V$4)+MIN(6,$FH23*2+$FI23*3,SUMPRODUCT($FB23:$FG23,$Q$4:$V$4)))+$DW23*3</f>
        <v/>
      </c>
      <c r="FW23" s="145">
        <f>MAX(0,12-SUMPRODUCT($FB23:$FG23,$Q$5:$V$5)+MIN(8,$FH23*2+$FI23*4,SUMPRODUCT($FB23:$FG23,$Q$5:$V$5)))+$DW23*4</f>
        <v/>
      </c>
      <c r="FX23" s="145">
        <f>MAX(0,15-SUMPRODUCT($FB23:$FG23,$Q$6:$V$6)+MIN(10,$FH23*3+$FI23*5,SUMPRODUCT($FB23:$FG23,$Q$6:$V$6)))+$DW23*5</f>
        <v/>
      </c>
      <c r="FY23" s="145">
        <f>MAX(0,18-SUMPRODUCT($FB23:$FG23,$Q$7:$V$7)+MIN(12,$FH23*3+$FI23*6,SUMPRODUCT($FB23:$FG23,$Q$7:$V$7)))+$DW23*6</f>
        <v/>
      </c>
      <c r="FZ23" s="145">
        <f>MAX(0,21-SUMPRODUCT($FB23:$FG23,$Q$8:$V$8)+MIN(14,$FH23*4+$FI23*7,SUMPRODUCT($FB23:$FG23,$Q$8:$V$8)))+$DW23*7</f>
        <v/>
      </c>
      <c r="GA23" s="145">
        <f>IF($EV23=2,3*$FT23&amp;" de vida temp.",IF($EV23=3,"sem dano",IF($FT23=0,IF($EV23=1,"sem cura","sem dano"),IF($EV23=1,"cura ","")&amp;$FT23&amp;"d8")))</f>
        <v/>
      </c>
      <c r="GB23" s="145">
        <f>IF($EV23=2,3*$FU23&amp;" de vida temp.",IF($EV23=3,"sem dano",IF($FU23=0,IF($EV23=1,"sem cura","sem dano"),IF($EV23=1,"cura ","")&amp;$FU23&amp;"d8")))</f>
        <v/>
      </c>
      <c r="GC23" s="145">
        <f>IF($EV23=2,3*$FV23&amp;" de vida temp.",IF($EV23=3,"sem dano",IF($FV23=0,IF($EV23=1,"sem cura","sem dano"),IF($EV23=1,"cura ","")&amp;$FV23&amp;"d8")))</f>
        <v/>
      </c>
      <c r="GD23" s="145">
        <f>IF($EV23=2,3*$FW23&amp;" de vida temp.",IF($EV23=3,"sem dano",IF($FW23=0,IF($EV23=1,"sem cura","sem dano"),IF($EV23=1,"cura ","")&amp;$FW23&amp;"d8")))</f>
        <v/>
      </c>
      <c r="GE23" s="145">
        <f>IF($EV23=2,3*$FX23&amp;" de vida temp.",IF($EV23=3,"sem dano",IF($FX23=0,IF($EV23=1,"sem cura","sem dano"),IF($EV23=1,"cura ","")&amp;$FX23&amp;"d8")))</f>
        <v/>
      </c>
      <c r="GF23" s="145">
        <f>IF($EV23=2,3*$FY23&amp;" de vida temp.",IF($EV23=3,"sem dano",IF($FY23=0,IF($EV23=1,"sem cura","sem dano"),IF($EV23=1,"cura ","")&amp;$FY23&amp;"d8")))</f>
        <v/>
      </c>
      <c r="GG23" s="145">
        <f>IF($EV23=2,3*$FZ23&amp;" de vida temp.",IF($EV23=3,"sem dano",IF($FZ23=0,IF($EV23=1,"sem cura","sem dano"),IF($EV23=1,"cura ","")&amp;$FZ23&amp;"d8")))</f>
        <v/>
      </c>
      <c r="GH23" s="145">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45">
        <f>IF($GH23="",0,(LEN($GH23)-LEN(SUBSTITUTE($GH23," · ","")))/3+1)</f>
        <v/>
      </c>
      <c r="GJ23" s="145">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45">
        <f>IF($GJ23="",0,(LEN($GJ23)-LEN(SUBSTITUTE($GJ23," · ","")))/3+1)</f>
        <v/>
      </c>
      <c r="GL23" s="145">
        <f>IF($EH23=0,IF($FJ23+$FK23-$EU23&gt;0,"Dê um nome",""),IF($GI23&gt;0,"⚠ "&amp;$GI23&amp;IF($GI23&gt;1," erros"," erro"),IF($GK23&gt;0,"! "&amp;$GK23&amp;IF($GK23&gt;1," avisos"," aviso"),"Na regra")))</f>
        <v/>
      </c>
      <c r="GM23" s="145">
        <f>IF($EH23=0,"",IF($GI23+$GK23=0,"Dentro das regras que a ficha confere",$GH23&amp;IF(AND($GI23&gt;0,$GK23&gt;0)," · ","")&amp;$GJ23))</f>
        <v/>
      </c>
      <c r="GN23" s="145">
        <f>IF($EH23=0,"",IF($DW23=1,CEILING(4.5*$DY23,1),3*$DY23)&amp;" PE")</f>
        <v/>
      </c>
      <c r="GO23" s="145">
        <f>IF($EH23=0,"",IF($DW23=1,"Rodada inteira",IF(COUNTIF($EZ23:$FA23,"Atrasar")&gt;0,IF(COUNTIF($EZ23:$FA23,"Carregar")&gt;0,"Rodada +1 turno","Rodada inteira"),IF(COUNTIF($EB23:$EE23,"Rápido")&gt;0,"Bônus",IF(COUNTIF($EB23:$EE23,"Reação")&gt;0,"Reação","Padrão"))&amp;IF(COUNTIF($EZ23:$FA23,"Carregar")&gt;0," +1 turno",""))))</f>
        <v/>
      </c>
      <c r="GP23" s="145">
        <f>IF(OR($EH23=0,$EI23=0),"",IF(COUNTIF($EB23:$EE23,"Inescapável")&gt;0,"Automático",IF(COUNTIF($EB23:$EE23,"Certeiro")&gt;0,"TR para metade",INDEX($AF$2:$AF$11,$EI23))))</f>
        <v/>
      </c>
      <c r="GQ23" s="145">
        <f>IF(OR($EH23=0,$EI23=0),"",IF(OR($EV23&gt;=2,$FR23=0),UPPER(LEFT(INDEX($GA23:$GG23,1,$DY23),1))&amp;MID(INDEX($GA23:$GG23,1,$DY23),2,99),UPPER(LEFT(INDEX($GA23:$GG23,1,$DY23),1))&amp;MID(INDEX($GA23:$GG23,1,$DY23),2,99)&amp;" = "&amp;FLOOR($FR23*4.5,1)&amp;IF($FS23&gt;0," · +"&amp;$FS23&amp;"d8","")))</f>
        <v/>
      </c>
      <c r="GR23" s="145">
        <f>COUNTIF($EB23:$EE23,"Longe")+3*COUNTIF($EB23:$EE23,"Muito Longe")</f>
        <v/>
      </c>
      <c r="GS23" s="145">
        <f>COUNTIF($EB23:$EE23,"Maior")+3*COUNTIF($EB23:$EE23,"Muito Maior")</f>
        <v/>
      </c>
      <c r="GT23" s="145">
        <f>IF($EI23=0,0,CHOOSE(1+INDEX($AH$2:$AH$11,$EI23),0,$GR23,$GS23,$GR23+$GS23))</f>
        <v/>
      </c>
      <c r="GU23" s="145">
        <f>IF($EI23=0,0,CHOOSE(1+INDEX($AI$2:$AI$11,$EI23),0,$GR23,$GS23,$GR23+$GS23))</f>
        <v/>
      </c>
      <c r="GV23" s="145">
        <f>IF(OR($EH23=0,$EI23=0),"",INDEX($AP$2:$AU$31,($EI23-1)*3+IF($DY23&gt;=6,3,2),1+MIN(5,$GT23))&amp;INDEX($AV$2:$BA$31,($EI23-1)*3+IF($DY23&gt;=6,3,2),1+MIN(5,$GU23))&amp;IF(INDEX($AJ$2:$AJ$11,$EI23)=1,IF(COUNTIF($EB23:$EE23,"Mais Um")&gt;0," · +"&amp;COUNTIF($EB23:$EE23,"Mais Um")&amp;IF(COUNTIF($EB23:$EE23,"Mais Um")&gt;1," alvos"," alvo"),"")&amp;IF(COUNTIF($EB23:$EE23,"Rajada")&gt;0," · "&amp;($DY23+1)&amp;" tiros",""),""))</f>
        <v/>
      </c>
      <c r="GW23" s="145">
        <f>IF($EH23=0,"",3*$DY23&amp;" − "&amp;$FL23&amp;" + "&amp;$FO23&amp;IF($DW23=1," + "&amp;$DY23,"")&amp;" = "&amp;$FR23&amp;"d8 · teto "&amp;4*$DY23&amp;IF($EU23=1," · a Forma devolve "&amp;$DY23,"")&amp;IF($FP23&gt;0," · perde "&amp;$FP23,""))</f>
        <v/>
      </c>
      <c r="GX23" s="145">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5">
        <f>IF(OR($EH23=0,$EK23=0),"","−"&amp;INDEX($Q$2:$V$8,$DY23,$EK23)&amp;" · "&amp;CHOOSE($EK23,"Leve","Média","Pesada","Leve · Livre","Média · Livre","Pesada · Livre"))</f>
        <v/>
      </c>
      <c r="GZ23" s="145">
        <f>IF(OR($EH23=0,$EL23=0),"","−"&amp;INDEX($Q$2:$V$8,$DY23,$EL23)&amp;" · "&amp;CHOOSE($EL23,"Leve","Média","Pesada","Leve · Livre","Média · Livre","Pesada · Livre"))</f>
        <v/>
      </c>
      <c r="HA23" s="145">
        <f>IF(OR($EH23=0,$EM23=0),"","−"&amp;INDEX($Q$2:$V$8,$DY23,$EM23)&amp;" · "&amp;CHOOSE($EM23,"Leve","Média","Pesada","Leve · Livre","Média · Livre","Pesada · Livre"))</f>
        <v/>
      </c>
      <c r="HB23" s="145">
        <f>IF(OR($EH23=0,$EN23=0),"","−"&amp;INDEX($Q$2:$V$8,$DY23,$EN23)&amp;" · "&amp;CHOOSE($EN23,"Leve","Média","Pesada","Leve · Livre","Média · Livre","Pesada · Livre"))</f>
        <v/>
      </c>
      <c r="HC23" s="145">
        <f>IF(OR($EH23=0,$EF23=""),"","+"&amp;IF($EX23=1,CEILING($DY23/2,1),$DY23))</f>
        <v/>
      </c>
      <c r="HD23" s="145">
        <f>IF(OR($EH23=0,$EG23=""),"","+"&amp;IF($EY23=1,CEILING($DY23/2,1),$DY23))</f>
        <v/>
      </c>
      <c r="HE23" s="145">
        <f>'FICHA AMALDIÇOADA'!$D$202&amp;""</f>
        <v/>
      </c>
      <c r="HF23" s="145">
        <f>IF(AND($EH23=1,$DW23=0),COUNTIFS($EH$2:$EH23,1,$DW$2:$DW23,0),"")</f>
        <v/>
      </c>
      <c r="HH23" s="143" t="inlineStr">
        <is>
          <t>passivas pagas</t>
        </is>
      </c>
      <c r="HI23" s="145">
        <f>IF('FICHA AMALDIÇOADA'!$D$379&lt;&gt;"",1,0)+IF('FICHA AMALDIÇOADA'!$J$379&lt;&gt;"",1,0)+IF('FICHA AMALDIÇOADA'!$P$379&lt;&gt;"",1,0)+IF('FICHA AMALDIÇOADA'!$D$387&lt;&gt;"",1,0)+IF('FICHA AMALDIÇOADA'!$J$387&lt;&gt;"",1,0)</f>
        <v/>
      </c>
      <c r="JD23" s="145" t="n">
        <v>22</v>
      </c>
      <c r="JE23" s="145">
        <f>IFERROR(MATCH(22,$HF$2:$HF$37,0),0)</f>
        <v/>
      </c>
      <c r="JF23" s="145">
        <f>IF($JE23=0,"",INDEX($DY$2:$DY$37,$JE23))</f>
        <v/>
      </c>
      <c r="JG23" s="145">
        <f>IF($JE23=0,"",INDEX($DZ$2:$DZ$37,$JE23))</f>
        <v/>
      </c>
      <c r="JH23" s="145">
        <f>IF($JE23=0,"",INDEX($GN$2:$GN$37,$JE23))</f>
        <v/>
      </c>
      <c r="JI23" s="145">
        <f>IF($JE23=0,"",INDEX($EA$2:$EA$37,$JE23))</f>
        <v/>
      </c>
      <c r="JJ23" s="145">
        <f>IF($JE23=0,"",INDEX($GP$2:$GP$37,$JE23))</f>
        <v/>
      </c>
      <c r="JK23" s="145">
        <f>IF($JE23=0,"",INDEX($HE$2:$HE$37,$JE23))</f>
        <v/>
      </c>
      <c r="KQ23" s="143" t="inlineStr">
        <is>
          <t>R42</t>
        </is>
      </c>
      <c r="KR23" s="145">
        <f>IF(DADOS_AM!$HI$22&lt;0,"⚠ ","")&amp;DADOS_AM!$HI$22</f>
        <v/>
      </c>
    </row>
    <row r="24">
      <c r="AO24" s="143" t="inlineStr">
        <is>
          <t>Apoio · classes 1 a 5</t>
        </is>
      </c>
      <c r="AP24" s="143" t="inlineStr">
        <is>
          <t>Um aliado a 9 m</t>
        </is>
      </c>
      <c r="AQ24" s="143" t="inlineStr">
        <is>
          <t>Um aliado a 18 m</t>
        </is>
      </c>
      <c r="AR24" s="143" t="inlineStr">
        <is>
          <t>Um aliado a 36 m</t>
        </is>
      </c>
      <c r="AS24" s="143" t="inlineStr">
        <is>
          <t>Um aliado a 90 m</t>
        </is>
      </c>
      <c r="AT24" s="143" t="inlineStr">
        <is>
          <t>Um aliado a visão a olho nu</t>
        </is>
      </c>
      <c r="AU24" s="143" t="inlineStr">
        <is>
          <t>Um aliado a visão a olho nu</t>
        </is>
      </c>
      <c r="AV24" s="143" t="inlineStr"/>
      <c r="AW24" s="143" t="inlineStr"/>
      <c r="AX24" s="143" t="inlineStr"/>
      <c r="AY24" s="143" t="inlineStr"/>
      <c r="AZ24" s="143" t="inlineStr"/>
      <c r="BA24" s="143" t="inlineStr"/>
      <c r="BC24" s="143" t="inlineStr">
        <is>
          <t>Toca a Alma</t>
        </is>
      </c>
      <c r="BD24" s="143" t="inlineStr">
        <is>
          <t>Mira</t>
        </is>
      </c>
      <c r="BE24" s="145" t="n">
        <v>1</v>
      </c>
      <c r="BF24" s="145">
        <f>$BE24+3*IFERROR(VLOOKUP($BD24,$I$2:$L$10,3,FALSE),0)</f>
        <v/>
      </c>
      <c r="BG24" s="145">
        <f>IFERROR(VLOOKUP($BD24,$I$2:$L$10,4,FALSE),0)</f>
        <v/>
      </c>
      <c r="BH24" s="145" t="n">
        <v>0</v>
      </c>
      <c r="BI24" s="145">
        <f>IF($BG24=1,"",$BC24)</f>
        <v/>
      </c>
      <c r="BJ24" s="145">
        <f>IF(AND($BE24=1,$BG24=0),$BC24,"")</f>
        <v/>
      </c>
      <c r="BL24" s="143" t="inlineStr">
        <is>
          <t>Restrição Própria (Média)</t>
        </is>
      </c>
      <c r="BM24" s="143" t="inlineStr">
        <is>
          <t>Restrição Própria</t>
        </is>
      </c>
      <c r="BN24" s="145" t="n">
        <v>2</v>
      </c>
      <c r="BO24" s="145" t="n">
        <v>0</v>
      </c>
      <c r="BP24" s="143" t="inlineStr"/>
      <c r="BR24" s="143" t="inlineStr">
        <is>
          <t>Aliança</t>
        </is>
      </c>
      <c r="BS24" s="145" t="n">
        <v>3</v>
      </c>
      <c r="BT24" s="143" t="inlineStr">
        <is>
          <t>Escolha uma de suas armas ao adquirir este Talento. Ela não pode ser desarmada contra sua vontade e somente você pode empunhá-la para utilizá-la.</t>
        </is>
      </c>
      <c r="BU24" s="145" t="n">
        <v>0</v>
      </c>
      <c r="BV24" s="145" t="n">
        <v>1</v>
      </c>
      <c r="BW24" s="145">
        <f>IF(OR(AND($A$2&lt;=2,$BU24=1),AND($A$2&gt;=2,$BV24=1)),$BR24,"")</f>
        <v/>
      </c>
      <c r="BX24" s="143" t="inlineStr">
        <is>
          <t>Escolha uma de suas armas ao adquirir este Talento. Ela não pode ser desarmada contra sua vontade e somente você pode empunhá-la para utilizá-la.</t>
        </is>
      </c>
      <c r="CC24" s="143" t="inlineStr">
        <is>
          <t>Vigília</t>
        </is>
      </c>
      <c r="CD24" s="143" t="inlineStr">
        <is>
          <t>Lapidação 4</t>
        </is>
      </c>
      <c r="CE24" s="145" t="n">
        <v>2</v>
      </c>
      <c r="CF24" s="143" t="inlineStr">
        <is>
          <t>—</t>
        </is>
      </c>
      <c r="CG24" s="14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45">
        <f>IF($CK24=1,"",IF($A$2=4,IF($CI24=1,$CC24,""),IF(OR($CI24=1,AND($A$2=3,$CJ24=1)),"",$CC24)))</f>
        <v/>
      </c>
      <c r="CI24" s="145" t="n">
        <v>1</v>
      </c>
      <c r="CJ24" s="145" t="n">
        <v>0</v>
      </c>
      <c r="CK24" s="145" t="n">
        <v>0</v>
      </c>
      <c r="CL24" s="143" t="inlineStr">
        <is>
          <t>Ao aplicar as consequências de Exaustão, conte um estágio a menos, até o mínimo de zero.</t>
        </is>
      </c>
      <c r="DV24" s="143" t="inlineStr">
        <is>
          <t>Feitiço 23</t>
        </is>
      </c>
      <c r="DW24" s="145" t="n">
        <v>0</v>
      </c>
      <c r="DX24" s="145" t="n">
        <v>23</v>
      </c>
      <c r="DY24" s="145">
        <f>MAX(1,MIN(7,N('FICHA AMALDIÇOADA'!$J$200)))</f>
        <v/>
      </c>
      <c r="DZ24" s="145">
        <f>'FICHA AMALDIÇOADA'!$K$200&amp;""</f>
        <v/>
      </c>
      <c r="EA24" s="145">
        <f>'FICHA AMALDIÇOADA'!$J$207&amp;""</f>
        <v/>
      </c>
      <c r="EB24" s="145">
        <f>'FICHA AMALDIÇOADA'!$K$209&amp;""</f>
        <v/>
      </c>
      <c r="EC24" s="145">
        <f>'FICHA AMALDIÇOADA'!$K$210&amp;""</f>
        <v/>
      </c>
      <c r="ED24" s="145">
        <f>'FICHA AMALDIÇOADA'!$K$211&amp;""</f>
        <v/>
      </c>
      <c r="EE24" s="145">
        <f>'FICHA AMALDIÇOADA'!$K$212&amp;""</f>
        <v/>
      </c>
      <c r="EF24" s="145">
        <f>'FICHA AMALDIÇOADA'!$K$213&amp;""</f>
        <v/>
      </c>
      <c r="EG24" s="145">
        <f>'FICHA AMALDIÇOADA'!$K$214&amp;""</f>
        <v/>
      </c>
      <c r="EH24" s="145">
        <f>IF($DZ24&lt;&gt;"",1,0)</f>
        <v/>
      </c>
      <c r="EI24" s="145">
        <f>IFERROR(MATCH($EA24,$Y$2:$Y$11,0),0)</f>
        <v/>
      </c>
      <c r="EJ24" s="145">
        <f>IF($EI24=0,0,INDEX($AB$2:$AB$11,$EI24))</f>
        <v/>
      </c>
      <c r="EK24" s="145">
        <f>IFERROR(VLOOKUP($EB24,$BC$2:$BJ$84,4,FALSE),0)</f>
        <v/>
      </c>
      <c r="EL24" s="145">
        <f>IFERROR(VLOOKUP($EC24,$BC$2:$BJ$84,4,FALSE),0)</f>
        <v/>
      </c>
      <c r="EM24" s="145">
        <f>IFERROR(VLOOKUP($ED24,$BC$2:$BJ$84,4,FALSE),0)</f>
        <v/>
      </c>
      <c r="EN24" s="145">
        <f>IFERROR(VLOOKUP($EE24,$BC$2:$BJ$84,4,FALSE),0)</f>
        <v/>
      </c>
      <c r="EO24" s="145">
        <f>IF($EI24=0,0,INDEX($AC$2:$AC$11,$EI24))</f>
        <v/>
      </c>
      <c r="EP24" s="145">
        <f>IFERROR(VLOOKUP($EB24,$BC$2:$BJ$84,5,FALSE),0)</f>
        <v/>
      </c>
      <c r="EQ24" s="145">
        <f>IFERROR(VLOOKUP($EC24,$BC$2:$BJ$84,5,FALSE),0)</f>
        <v/>
      </c>
      <c r="ER24" s="145">
        <f>IFERROR(VLOOKUP($ED24,$BC$2:$BJ$84,5,FALSE),0)</f>
        <v/>
      </c>
      <c r="ES24" s="145">
        <f>IFERROR(VLOOKUP($EE24,$BC$2:$BJ$84,5,FALSE),0)</f>
        <v/>
      </c>
      <c r="ET24" s="145">
        <f>IFERROR(VLOOKUP($EB24,$BC$2:$BJ$84,6,FALSE),0)+IFERROR(VLOOKUP($EC24,$BC$2:$BJ$84,6,FALSE),0)+IFERROR(VLOOKUP($ED24,$BC$2:$BJ$84,6,FALSE),0)+IFERROR(VLOOKUP($EE24,$BC$2:$BJ$84,6,FALSE),0)</f>
        <v/>
      </c>
      <c r="EU24" s="145">
        <f>IF($EI24=0,0,INDEX($AD$2:$AD$11,$EI24))</f>
        <v/>
      </c>
      <c r="EV24" s="145">
        <f>IF($EI24=0,0,INDEX($AE$2:$AE$11,$EI24))</f>
        <v/>
      </c>
      <c r="EW24" s="145">
        <f>IF($EI24=0,0,INDEX($AG$2:$AG$11,$EI24))</f>
        <v/>
      </c>
      <c r="EX24" s="145">
        <f>IFERROR(VLOOKUP($EF24,$BL$2:$BP$24,3,FALSE),0)</f>
        <v/>
      </c>
      <c r="EY24" s="145">
        <f>IFERROR(VLOOKUP($EG24,$BL$2:$BP$24,3,FALSE),0)</f>
        <v/>
      </c>
      <c r="EZ24" s="145">
        <f>IFERROR(VLOOKUP($EF24,$BL$2:$BP$24,2,FALSE),"")</f>
        <v/>
      </c>
      <c r="FA24" s="145">
        <f>IFERROR(VLOOKUP($EG24,$BL$2:$BP$24,2,FALSE),"")</f>
        <v/>
      </c>
      <c r="FB24" s="145">
        <f>COUNTIF($EJ24:$EN24,1)</f>
        <v/>
      </c>
      <c r="FC24" s="145">
        <f>COUNTIF($EJ24:$EN24,2)</f>
        <v/>
      </c>
      <c r="FD24" s="145">
        <f>COUNTIF($EJ24:$EN24,3)</f>
        <v/>
      </c>
      <c r="FE24" s="145">
        <f>COUNTIF($EJ24:$EN24,4)</f>
        <v/>
      </c>
      <c r="FF24" s="145">
        <f>COUNTIF($EJ24:$EN24,5)</f>
        <v/>
      </c>
      <c r="FG24" s="145">
        <f>COUNTIF($EJ24:$EN24,6)</f>
        <v/>
      </c>
      <c r="FH24" s="145">
        <f>COUNTIF($EX24:$EY24,1)</f>
        <v/>
      </c>
      <c r="FI24" s="145">
        <f>COUNTIF($EX24:$EY24,2)+$EU24</f>
        <v/>
      </c>
      <c r="FJ24" s="145">
        <f>COUNTIF($EB24:$EE24,"?*")</f>
        <v/>
      </c>
      <c r="FK24" s="145">
        <f>COUNTIF($EF24:$EG24,"?*")+$EU24</f>
        <v/>
      </c>
      <c r="FL24" s="145">
        <f>SUMPRODUCT($FB24:$FG24,INDEX($Q$2:$V$8,$DY24,0))</f>
        <v/>
      </c>
      <c r="FM24" s="145">
        <f>$FH24*CEILING($DY24/2,1)+$FI24*$DY24</f>
        <v/>
      </c>
      <c r="FN24" s="145">
        <f>MIN(2*$DY24,$FM24)</f>
        <v/>
      </c>
      <c r="FO24" s="145">
        <f>MIN($FN24,$FL24)</f>
        <v/>
      </c>
      <c r="FP24" s="145">
        <f>$FN24-$FO24</f>
        <v/>
      </c>
      <c r="FQ24" s="145">
        <f>3*$DY24-$FL24+$FO24</f>
        <v/>
      </c>
      <c r="FR24" s="145">
        <f>MAX(0,$FQ24)+$DW24*$DY24</f>
        <v/>
      </c>
      <c r="FS24" s="145">
        <f>(IF(COUNTIF($EB24:$EE24,"Salto")&gt;0,1,0)+IF(COUNTIF($EB24:$EE24,"Queima")&gt;0,1,0)+IF(COUNTIF($EB24:$EE24,"Estilhaço")&gt;0,1,0))*FLOOR($FR24/2,1)</f>
        <v/>
      </c>
      <c r="FT24" s="145">
        <f>MAX(0,3-SUMPRODUCT($FB24:$FG24,$Q$2:$V$2)+MIN(2,$FH24*1+$FI24*1,SUMPRODUCT($FB24:$FG24,$Q$2:$V$2)))+$DW24*1</f>
        <v/>
      </c>
      <c r="FU24" s="145">
        <f>MAX(0,6-SUMPRODUCT($FB24:$FG24,$Q$3:$V$3)+MIN(4,$FH24*1+$FI24*2,SUMPRODUCT($FB24:$FG24,$Q$3:$V$3)))+$DW24*2</f>
        <v/>
      </c>
      <c r="FV24" s="145">
        <f>MAX(0,9-SUMPRODUCT($FB24:$FG24,$Q$4:$V$4)+MIN(6,$FH24*2+$FI24*3,SUMPRODUCT($FB24:$FG24,$Q$4:$V$4)))+$DW24*3</f>
        <v/>
      </c>
      <c r="FW24" s="145">
        <f>MAX(0,12-SUMPRODUCT($FB24:$FG24,$Q$5:$V$5)+MIN(8,$FH24*2+$FI24*4,SUMPRODUCT($FB24:$FG24,$Q$5:$V$5)))+$DW24*4</f>
        <v/>
      </c>
      <c r="FX24" s="145">
        <f>MAX(0,15-SUMPRODUCT($FB24:$FG24,$Q$6:$V$6)+MIN(10,$FH24*3+$FI24*5,SUMPRODUCT($FB24:$FG24,$Q$6:$V$6)))+$DW24*5</f>
        <v/>
      </c>
      <c r="FY24" s="145">
        <f>MAX(0,18-SUMPRODUCT($FB24:$FG24,$Q$7:$V$7)+MIN(12,$FH24*3+$FI24*6,SUMPRODUCT($FB24:$FG24,$Q$7:$V$7)))+$DW24*6</f>
        <v/>
      </c>
      <c r="FZ24" s="145">
        <f>MAX(0,21-SUMPRODUCT($FB24:$FG24,$Q$8:$V$8)+MIN(14,$FH24*4+$FI24*7,SUMPRODUCT($FB24:$FG24,$Q$8:$V$8)))+$DW24*7</f>
        <v/>
      </c>
      <c r="GA24" s="145">
        <f>IF($EV24=2,3*$FT24&amp;" de vida temp.",IF($EV24=3,"sem dano",IF($FT24=0,IF($EV24=1,"sem cura","sem dano"),IF($EV24=1,"cura ","")&amp;$FT24&amp;"d8")))</f>
        <v/>
      </c>
      <c r="GB24" s="145">
        <f>IF($EV24=2,3*$FU24&amp;" de vida temp.",IF($EV24=3,"sem dano",IF($FU24=0,IF($EV24=1,"sem cura","sem dano"),IF($EV24=1,"cura ","")&amp;$FU24&amp;"d8")))</f>
        <v/>
      </c>
      <c r="GC24" s="145">
        <f>IF($EV24=2,3*$FV24&amp;" de vida temp.",IF($EV24=3,"sem dano",IF($FV24=0,IF($EV24=1,"sem cura","sem dano"),IF($EV24=1,"cura ","")&amp;$FV24&amp;"d8")))</f>
        <v/>
      </c>
      <c r="GD24" s="145">
        <f>IF($EV24=2,3*$FW24&amp;" de vida temp.",IF($EV24=3,"sem dano",IF($FW24=0,IF($EV24=1,"sem cura","sem dano"),IF($EV24=1,"cura ","")&amp;$FW24&amp;"d8")))</f>
        <v/>
      </c>
      <c r="GE24" s="145">
        <f>IF($EV24=2,3*$FX24&amp;" de vida temp.",IF($EV24=3,"sem dano",IF($FX24=0,IF($EV24=1,"sem cura","sem dano"),IF($EV24=1,"cura ","")&amp;$FX24&amp;"d8")))</f>
        <v/>
      </c>
      <c r="GF24" s="145">
        <f>IF($EV24=2,3*$FY24&amp;" de vida temp.",IF($EV24=3,"sem dano",IF($FY24=0,IF($EV24=1,"sem cura","sem dano"),IF($EV24=1,"cura ","")&amp;$FY24&amp;"d8")))</f>
        <v/>
      </c>
      <c r="GG24" s="145">
        <f>IF($EV24=2,3*$FZ24&amp;" de vida temp.",IF($EV24=3,"sem dano",IF($FZ24=0,IF($EV24=1,"sem cura","sem dano"),IF($EV24=1,"cura ","")&amp;$FZ24&amp;"d8")))</f>
        <v/>
      </c>
      <c r="GH24" s="145">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45">
        <f>IF($GH24="",0,(LEN($GH24)-LEN(SUBSTITUTE($GH24," · ","")))/3+1)</f>
        <v/>
      </c>
      <c r="GJ24" s="145">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45">
        <f>IF($GJ24="",0,(LEN($GJ24)-LEN(SUBSTITUTE($GJ24," · ","")))/3+1)</f>
        <v/>
      </c>
      <c r="GL24" s="145">
        <f>IF($EH24=0,IF($FJ24+$FK24-$EU24&gt;0,"Dê um nome",""),IF($GI24&gt;0,"⚠ "&amp;$GI24&amp;IF($GI24&gt;1," erros"," erro"),IF($GK24&gt;0,"! "&amp;$GK24&amp;IF($GK24&gt;1," avisos"," aviso"),"Na regra")))</f>
        <v/>
      </c>
      <c r="GM24" s="145">
        <f>IF($EH24=0,"",IF($GI24+$GK24=0,"Dentro das regras que a ficha confere",$GH24&amp;IF(AND($GI24&gt;0,$GK24&gt;0)," · ","")&amp;$GJ24))</f>
        <v/>
      </c>
      <c r="GN24" s="145">
        <f>IF($EH24=0,"",IF($DW24=1,CEILING(4.5*$DY24,1),3*$DY24)&amp;" PE")</f>
        <v/>
      </c>
      <c r="GO24" s="145">
        <f>IF($EH24=0,"",IF($DW24=1,"Rodada inteira",IF(COUNTIF($EZ24:$FA24,"Atrasar")&gt;0,IF(COUNTIF($EZ24:$FA24,"Carregar")&gt;0,"Rodada +1 turno","Rodada inteira"),IF(COUNTIF($EB24:$EE24,"Rápido")&gt;0,"Bônus",IF(COUNTIF($EB24:$EE24,"Reação")&gt;0,"Reação","Padrão"))&amp;IF(COUNTIF($EZ24:$FA24,"Carregar")&gt;0," +1 turno",""))))</f>
        <v/>
      </c>
      <c r="GP24" s="145">
        <f>IF(OR($EH24=0,$EI24=0),"",IF(COUNTIF($EB24:$EE24,"Inescapável")&gt;0,"Automático",IF(COUNTIF($EB24:$EE24,"Certeiro")&gt;0,"TR para metade",INDEX($AF$2:$AF$11,$EI24))))</f>
        <v/>
      </c>
      <c r="GQ24" s="145">
        <f>IF(OR($EH24=0,$EI24=0),"",IF(OR($EV24&gt;=2,$FR24=0),UPPER(LEFT(INDEX($GA24:$GG24,1,$DY24),1))&amp;MID(INDEX($GA24:$GG24,1,$DY24),2,99),UPPER(LEFT(INDEX($GA24:$GG24,1,$DY24),1))&amp;MID(INDEX($GA24:$GG24,1,$DY24),2,99)&amp;" = "&amp;FLOOR($FR24*4.5,1)&amp;IF($FS24&gt;0," · +"&amp;$FS24&amp;"d8","")))</f>
        <v/>
      </c>
      <c r="GR24" s="145">
        <f>COUNTIF($EB24:$EE24,"Longe")+3*COUNTIF($EB24:$EE24,"Muito Longe")</f>
        <v/>
      </c>
      <c r="GS24" s="145">
        <f>COUNTIF($EB24:$EE24,"Maior")+3*COUNTIF($EB24:$EE24,"Muito Maior")</f>
        <v/>
      </c>
      <c r="GT24" s="145">
        <f>IF($EI24=0,0,CHOOSE(1+INDEX($AH$2:$AH$11,$EI24),0,$GR24,$GS24,$GR24+$GS24))</f>
        <v/>
      </c>
      <c r="GU24" s="145">
        <f>IF($EI24=0,0,CHOOSE(1+INDEX($AI$2:$AI$11,$EI24),0,$GR24,$GS24,$GR24+$GS24))</f>
        <v/>
      </c>
      <c r="GV24" s="145">
        <f>IF(OR($EH24=0,$EI24=0),"",INDEX($AP$2:$AU$31,($EI24-1)*3+IF($DY24&gt;=6,3,2),1+MIN(5,$GT24))&amp;INDEX($AV$2:$BA$31,($EI24-1)*3+IF($DY24&gt;=6,3,2),1+MIN(5,$GU24))&amp;IF(INDEX($AJ$2:$AJ$11,$EI24)=1,IF(COUNTIF($EB24:$EE24,"Mais Um")&gt;0," · +"&amp;COUNTIF($EB24:$EE24,"Mais Um")&amp;IF(COUNTIF($EB24:$EE24,"Mais Um")&gt;1," alvos"," alvo"),"")&amp;IF(COUNTIF($EB24:$EE24,"Rajada")&gt;0," · "&amp;($DY24+1)&amp;" tiros",""),""))</f>
        <v/>
      </c>
      <c r="GW24" s="145">
        <f>IF($EH24=0,"",3*$DY24&amp;" − "&amp;$FL24&amp;" + "&amp;$FO24&amp;IF($DW24=1," + "&amp;$DY24,"")&amp;" = "&amp;$FR24&amp;"d8 · teto "&amp;4*$DY24&amp;IF($EU24=1," · a Forma devolve "&amp;$DY24,"")&amp;IF($FP24&gt;0," · perde "&amp;$FP24,""))</f>
        <v/>
      </c>
      <c r="GX24" s="145">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5">
        <f>IF(OR($EH24=0,$EK24=0),"","−"&amp;INDEX($Q$2:$V$8,$DY24,$EK24)&amp;" · "&amp;CHOOSE($EK24,"Leve","Média","Pesada","Leve · Livre","Média · Livre","Pesada · Livre"))</f>
        <v/>
      </c>
      <c r="GZ24" s="145">
        <f>IF(OR($EH24=0,$EL24=0),"","−"&amp;INDEX($Q$2:$V$8,$DY24,$EL24)&amp;" · "&amp;CHOOSE($EL24,"Leve","Média","Pesada","Leve · Livre","Média · Livre","Pesada · Livre"))</f>
        <v/>
      </c>
      <c r="HA24" s="145">
        <f>IF(OR($EH24=0,$EM24=0),"","−"&amp;INDEX($Q$2:$V$8,$DY24,$EM24)&amp;" · "&amp;CHOOSE($EM24,"Leve","Média","Pesada","Leve · Livre","Média · Livre","Pesada · Livre"))</f>
        <v/>
      </c>
      <c r="HB24" s="145">
        <f>IF(OR($EH24=0,$EN24=0),"","−"&amp;INDEX($Q$2:$V$8,$DY24,$EN24)&amp;" · "&amp;CHOOSE($EN24,"Leve","Média","Pesada","Leve · Livre","Média · Livre","Pesada · Livre"))</f>
        <v/>
      </c>
      <c r="HC24" s="145">
        <f>IF(OR($EH24=0,$EF24=""),"","+"&amp;IF($EX24=1,CEILING($DY24/2,1),$DY24))</f>
        <v/>
      </c>
      <c r="HD24" s="145">
        <f>IF(OR($EH24=0,$EG24=""),"","+"&amp;IF($EY24=1,CEILING($DY24/2,1),$DY24))</f>
        <v/>
      </c>
      <c r="HE24" s="145">
        <f>'FICHA AMALDIÇOADA'!$J$202&amp;""</f>
        <v/>
      </c>
      <c r="HF24" s="145">
        <f>IF(AND($EH24=1,$DW24=0),COUNTIFS($EH$2:$EH24,1,$DW$2:$DW24,0),"")</f>
        <v/>
      </c>
      <c r="HH24" s="143" t="inlineStr">
        <is>
          <t>passivas do Leque</t>
        </is>
      </c>
      <c r="HI24" s="145">
        <f>IF('FICHA AMALDIÇOADA'!$D$397&lt;&gt;"",1,0)+IF('FICHA AMALDIÇOADA'!$J$397&lt;&gt;"",1,0)+IF('FICHA AMALDIÇOADA'!$P$397&lt;&gt;"",1,0)+IF('FICHA AMALDIÇOADA'!$D$405&lt;&gt;"",1,0)+IF('FICHA AMALDIÇOADA'!$J$405&lt;&gt;"",1,0)+IF('FICHA AMALDIÇOADA'!$P$405&lt;&gt;"",1,0)+IF('FICHA AMALDIÇOADA'!$D$413&lt;&gt;"",1,0)</f>
        <v/>
      </c>
      <c r="JD24" s="145" t="n">
        <v>23</v>
      </c>
      <c r="JE24" s="145">
        <f>IFERROR(MATCH(23,$HF$2:$HF$37,0),0)</f>
        <v/>
      </c>
      <c r="JF24" s="145">
        <f>IF($JE24=0,"",INDEX($DY$2:$DY$37,$JE24))</f>
        <v/>
      </c>
      <c r="JG24" s="145">
        <f>IF($JE24=0,"",INDEX($DZ$2:$DZ$37,$JE24))</f>
        <v/>
      </c>
      <c r="JH24" s="145">
        <f>IF($JE24=0,"",INDEX($GN$2:$GN$37,$JE24))</f>
        <v/>
      </c>
      <c r="JI24" s="145">
        <f>IF($JE24=0,"",INDEX($EA$2:$EA$37,$JE24))</f>
        <v/>
      </c>
      <c r="JJ24" s="145">
        <f>IF($JE24=0,"",INDEX($GP$2:$GP$37,$JE24))</f>
        <v/>
      </c>
      <c r="JK24" s="145">
        <f>IF($JE24=0,"",INDEX($HE$2:$HE$37,$JE24))</f>
        <v/>
      </c>
      <c r="KQ24" s="143" t="inlineStr">
        <is>
          <t>E46</t>
        </is>
      </c>
      <c r="KR24" s="145">
        <f>3*DADOS_AM!$HI$29</f>
        <v/>
      </c>
    </row>
    <row r="25">
      <c r="AO25" s="143" t="inlineStr">
        <is>
          <t>Apoio · classes 6 e 7</t>
        </is>
      </c>
      <c r="AP25" s="143" t="inlineStr">
        <is>
          <t>Um aliado a 18 m</t>
        </is>
      </c>
      <c r="AQ25" s="143" t="inlineStr">
        <is>
          <t>Um aliado a 36 m</t>
        </is>
      </c>
      <c r="AR25" s="143" t="inlineStr">
        <is>
          <t>Um aliado a 90 m</t>
        </is>
      </c>
      <c r="AS25" s="143" t="inlineStr">
        <is>
          <t>Um aliado a visão a olho nu</t>
        </is>
      </c>
      <c r="AT25" s="143" t="inlineStr">
        <is>
          <t>Um aliado a visão a olho nu</t>
        </is>
      </c>
      <c r="AU25" s="143" t="inlineStr">
        <is>
          <t>Um aliado a visão a olho nu</t>
        </is>
      </c>
      <c r="AV25" s="143" t="inlineStr"/>
      <c r="AW25" s="143" t="inlineStr"/>
      <c r="AX25" s="143" t="inlineStr"/>
      <c r="AY25" s="143" t="inlineStr"/>
      <c r="AZ25" s="143" t="inlineStr"/>
      <c r="BA25" s="143" t="inlineStr"/>
      <c r="BC25" s="143" t="inlineStr">
        <is>
          <t>Lento</t>
        </is>
      </c>
      <c r="BD25" s="143" t="inlineStr">
        <is>
          <t>Controle</t>
        </is>
      </c>
      <c r="BE25" s="145" t="n">
        <v>1</v>
      </c>
      <c r="BF25" s="145">
        <f>$BE25+3*IFERROR(VLOOKUP($BD25,$I$2:$L$10,3,FALSE),0)</f>
        <v/>
      </c>
      <c r="BG25" s="145">
        <f>IFERROR(VLOOKUP($BD25,$I$2:$L$10,4,FALSE),0)</f>
        <v/>
      </c>
      <c r="BH25" s="145" t="n">
        <v>1</v>
      </c>
      <c r="BI25" s="145">
        <f>IF($BG25=1,"",$BC25)</f>
        <v/>
      </c>
      <c r="BJ25" s="145">
        <f>IF(AND($BE25=1,$BG25=0),$BC25,"")</f>
        <v/>
      </c>
      <c r="CC25" s="143" t="inlineStr">
        <is>
          <t>Faro</t>
        </is>
      </c>
      <c r="CD25" s="143" t="inlineStr">
        <is>
          <t>Lapidação 1</t>
        </is>
      </c>
      <c r="CE25" s="145" t="n">
        <v>1</v>
      </c>
      <c r="CF25" s="143" t="inlineStr">
        <is>
          <t>—</t>
        </is>
      </c>
      <c r="CG25" s="14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45">
        <f>IF($CK25=1,"",IF($A$2=4,IF($CI25=1,$CC25,""),IF(OR($CI25=1,AND($A$2=3,$CJ25=1)),"",$CC25)))</f>
        <v/>
      </c>
      <c r="CI25" s="145" t="n">
        <v>1</v>
      </c>
      <c r="CJ25" s="145" t="n">
        <v>0</v>
      </c>
      <c r="CK25" s="145" t="n">
        <v>0</v>
      </c>
      <c r="CL25" s="143" t="inlineStr">
        <is>
          <t>Você pode seguir feiticeiros e maldições pelos vestígios físicos que deixaram: cheiro, marcas e objetos fora do lugar.</t>
        </is>
      </c>
      <c r="DV25" s="143" t="inlineStr">
        <is>
          <t>Feitiço 24</t>
        </is>
      </c>
      <c r="DW25" s="145" t="n">
        <v>0</v>
      </c>
      <c r="DX25" s="145" t="n">
        <v>24</v>
      </c>
      <c r="DY25" s="145">
        <f>MAX(1,MIN(7,N('FICHA AMALDIÇOADA'!$P$200)))</f>
        <v/>
      </c>
      <c r="DZ25" s="145">
        <f>'FICHA AMALDIÇOADA'!$Q$200&amp;""</f>
        <v/>
      </c>
      <c r="EA25" s="145">
        <f>'FICHA AMALDIÇOADA'!$P$207&amp;""</f>
        <v/>
      </c>
      <c r="EB25" s="145">
        <f>'FICHA AMALDIÇOADA'!$Q$209&amp;""</f>
        <v/>
      </c>
      <c r="EC25" s="145">
        <f>'FICHA AMALDIÇOADA'!$Q$210&amp;""</f>
        <v/>
      </c>
      <c r="ED25" s="145">
        <f>'FICHA AMALDIÇOADA'!$Q$211&amp;""</f>
        <v/>
      </c>
      <c r="EE25" s="145">
        <f>'FICHA AMALDIÇOADA'!$Q$212&amp;""</f>
        <v/>
      </c>
      <c r="EF25" s="145">
        <f>'FICHA AMALDIÇOADA'!$Q$213&amp;""</f>
        <v/>
      </c>
      <c r="EG25" s="145">
        <f>'FICHA AMALDIÇOADA'!$Q$214&amp;""</f>
        <v/>
      </c>
      <c r="EH25" s="145">
        <f>IF($DZ25&lt;&gt;"",1,0)</f>
        <v/>
      </c>
      <c r="EI25" s="145">
        <f>IFERROR(MATCH($EA25,$Y$2:$Y$11,0),0)</f>
        <v/>
      </c>
      <c r="EJ25" s="145">
        <f>IF($EI25=0,0,INDEX($AB$2:$AB$11,$EI25))</f>
        <v/>
      </c>
      <c r="EK25" s="145">
        <f>IFERROR(VLOOKUP($EB25,$BC$2:$BJ$84,4,FALSE),0)</f>
        <v/>
      </c>
      <c r="EL25" s="145">
        <f>IFERROR(VLOOKUP($EC25,$BC$2:$BJ$84,4,FALSE),0)</f>
        <v/>
      </c>
      <c r="EM25" s="145">
        <f>IFERROR(VLOOKUP($ED25,$BC$2:$BJ$84,4,FALSE),0)</f>
        <v/>
      </c>
      <c r="EN25" s="145">
        <f>IFERROR(VLOOKUP($EE25,$BC$2:$BJ$84,4,FALSE),0)</f>
        <v/>
      </c>
      <c r="EO25" s="145">
        <f>IF($EI25=0,0,INDEX($AC$2:$AC$11,$EI25))</f>
        <v/>
      </c>
      <c r="EP25" s="145">
        <f>IFERROR(VLOOKUP($EB25,$BC$2:$BJ$84,5,FALSE),0)</f>
        <v/>
      </c>
      <c r="EQ25" s="145">
        <f>IFERROR(VLOOKUP($EC25,$BC$2:$BJ$84,5,FALSE),0)</f>
        <v/>
      </c>
      <c r="ER25" s="145">
        <f>IFERROR(VLOOKUP($ED25,$BC$2:$BJ$84,5,FALSE),0)</f>
        <v/>
      </c>
      <c r="ES25" s="145">
        <f>IFERROR(VLOOKUP($EE25,$BC$2:$BJ$84,5,FALSE),0)</f>
        <v/>
      </c>
      <c r="ET25" s="145">
        <f>IFERROR(VLOOKUP($EB25,$BC$2:$BJ$84,6,FALSE),0)+IFERROR(VLOOKUP($EC25,$BC$2:$BJ$84,6,FALSE),0)+IFERROR(VLOOKUP($ED25,$BC$2:$BJ$84,6,FALSE),0)+IFERROR(VLOOKUP($EE25,$BC$2:$BJ$84,6,FALSE),0)</f>
        <v/>
      </c>
      <c r="EU25" s="145">
        <f>IF($EI25=0,0,INDEX($AD$2:$AD$11,$EI25))</f>
        <v/>
      </c>
      <c r="EV25" s="145">
        <f>IF($EI25=0,0,INDEX($AE$2:$AE$11,$EI25))</f>
        <v/>
      </c>
      <c r="EW25" s="145">
        <f>IF($EI25=0,0,INDEX($AG$2:$AG$11,$EI25))</f>
        <v/>
      </c>
      <c r="EX25" s="145">
        <f>IFERROR(VLOOKUP($EF25,$BL$2:$BP$24,3,FALSE),0)</f>
        <v/>
      </c>
      <c r="EY25" s="145">
        <f>IFERROR(VLOOKUP($EG25,$BL$2:$BP$24,3,FALSE),0)</f>
        <v/>
      </c>
      <c r="EZ25" s="145">
        <f>IFERROR(VLOOKUP($EF25,$BL$2:$BP$24,2,FALSE),"")</f>
        <v/>
      </c>
      <c r="FA25" s="145">
        <f>IFERROR(VLOOKUP($EG25,$BL$2:$BP$24,2,FALSE),"")</f>
        <v/>
      </c>
      <c r="FB25" s="145">
        <f>COUNTIF($EJ25:$EN25,1)</f>
        <v/>
      </c>
      <c r="FC25" s="145">
        <f>COUNTIF($EJ25:$EN25,2)</f>
        <v/>
      </c>
      <c r="FD25" s="145">
        <f>COUNTIF($EJ25:$EN25,3)</f>
        <v/>
      </c>
      <c r="FE25" s="145">
        <f>COUNTIF($EJ25:$EN25,4)</f>
        <v/>
      </c>
      <c r="FF25" s="145">
        <f>COUNTIF($EJ25:$EN25,5)</f>
        <v/>
      </c>
      <c r="FG25" s="145">
        <f>COUNTIF($EJ25:$EN25,6)</f>
        <v/>
      </c>
      <c r="FH25" s="145">
        <f>COUNTIF($EX25:$EY25,1)</f>
        <v/>
      </c>
      <c r="FI25" s="145">
        <f>COUNTIF($EX25:$EY25,2)+$EU25</f>
        <v/>
      </c>
      <c r="FJ25" s="145">
        <f>COUNTIF($EB25:$EE25,"?*")</f>
        <v/>
      </c>
      <c r="FK25" s="145">
        <f>COUNTIF($EF25:$EG25,"?*")+$EU25</f>
        <v/>
      </c>
      <c r="FL25" s="145">
        <f>SUMPRODUCT($FB25:$FG25,INDEX($Q$2:$V$8,$DY25,0))</f>
        <v/>
      </c>
      <c r="FM25" s="145">
        <f>$FH25*CEILING($DY25/2,1)+$FI25*$DY25</f>
        <v/>
      </c>
      <c r="FN25" s="145">
        <f>MIN(2*$DY25,$FM25)</f>
        <v/>
      </c>
      <c r="FO25" s="145">
        <f>MIN($FN25,$FL25)</f>
        <v/>
      </c>
      <c r="FP25" s="145">
        <f>$FN25-$FO25</f>
        <v/>
      </c>
      <c r="FQ25" s="145">
        <f>3*$DY25-$FL25+$FO25</f>
        <v/>
      </c>
      <c r="FR25" s="145">
        <f>MAX(0,$FQ25)+$DW25*$DY25</f>
        <v/>
      </c>
      <c r="FS25" s="145">
        <f>(IF(COUNTIF($EB25:$EE25,"Salto")&gt;0,1,0)+IF(COUNTIF($EB25:$EE25,"Queima")&gt;0,1,0)+IF(COUNTIF($EB25:$EE25,"Estilhaço")&gt;0,1,0))*FLOOR($FR25/2,1)</f>
        <v/>
      </c>
      <c r="FT25" s="145">
        <f>MAX(0,3-SUMPRODUCT($FB25:$FG25,$Q$2:$V$2)+MIN(2,$FH25*1+$FI25*1,SUMPRODUCT($FB25:$FG25,$Q$2:$V$2)))+$DW25*1</f>
        <v/>
      </c>
      <c r="FU25" s="145">
        <f>MAX(0,6-SUMPRODUCT($FB25:$FG25,$Q$3:$V$3)+MIN(4,$FH25*1+$FI25*2,SUMPRODUCT($FB25:$FG25,$Q$3:$V$3)))+$DW25*2</f>
        <v/>
      </c>
      <c r="FV25" s="145">
        <f>MAX(0,9-SUMPRODUCT($FB25:$FG25,$Q$4:$V$4)+MIN(6,$FH25*2+$FI25*3,SUMPRODUCT($FB25:$FG25,$Q$4:$V$4)))+$DW25*3</f>
        <v/>
      </c>
      <c r="FW25" s="145">
        <f>MAX(0,12-SUMPRODUCT($FB25:$FG25,$Q$5:$V$5)+MIN(8,$FH25*2+$FI25*4,SUMPRODUCT($FB25:$FG25,$Q$5:$V$5)))+$DW25*4</f>
        <v/>
      </c>
      <c r="FX25" s="145">
        <f>MAX(0,15-SUMPRODUCT($FB25:$FG25,$Q$6:$V$6)+MIN(10,$FH25*3+$FI25*5,SUMPRODUCT($FB25:$FG25,$Q$6:$V$6)))+$DW25*5</f>
        <v/>
      </c>
      <c r="FY25" s="145">
        <f>MAX(0,18-SUMPRODUCT($FB25:$FG25,$Q$7:$V$7)+MIN(12,$FH25*3+$FI25*6,SUMPRODUCT($FB25:$FG25,$Q$7:$V$7)))+$DW25*6</f>
        <v/>
      </c>
      <c r="FZ25" s="145">
        <f>MAX(0,21-SUMPRODUCT($FB25:$FG25,$Q$8:$V$8)+MIN(14,$FH25*4+$FI25*7,SUMPRODUCT($FB25:$FG25,$Q$8:$V$8)))+$DW25*7</f>
        <v/>
      </c>
      <c r="GA25" s="145">
        <f>IF($EV25=2,3*$FT25&amp;" de vida temp.",IF($EV25=3,"sem dano",IF($FT25=0,IF($EV25=1,"sem cura","sem dano"),IF($EV25=1,"cura ","")&amp;$FT25&amp;"d8")))</f>
        <v/>
      </c>
      <c r="GB25" s="145">
        <f>IF($EV25=2,3*$FU25&amp;" de vida temp.",IF($EV25=3,"sem dano",IF($FU25=0,IF($EV25=1,"sem cura","sem dano"),IF($EV25=1,"cura ","")&amp;$FU25&amp;"d8")))</f>
        <v/>
      </c>
      <c r="GC25" s="145">
        <f>IF($EV25=2,3*$FV25&amp;" de vida temp.",IF($EV25=3,"sem dano",IF($FV25=0,IF($EV25=1,"sem cura","sem dano"),IF($EV25=1,"cura ","")&amp;$FV25&amp;"d8")))</f>
        <v/>
      </c>
      <c r="GD25" s="145">
        <f>IF($EV25=2,3*$FW25&amp;" de vida temp.",IF($EV25=3,"sem dano",IF($FW25=0,IF($EV25=1,"sem cura","sem dano"),IF($EV25=1,"cura ","")&amp;$FW25&amp;"d8")))</f>
        <v/>
      </c>
      <c r="GE25" s="145">
        <f>IF($EV25=2,3*$FX25&amp;" de vida temp.",IF($EV25=3,"sem dano",IF($FX25=0,IF($EV25=1,"sem cura","sem dano"),IF($EV25=1,"cura ","")&amp;$FX25&amp;"d8")))</f>
        <v/>
      </c>
      <c r="GF25" s="145">
        <f>IF($EV25=2,3*$FY25&amp;" de vida temp.",IF($EV25=3,"sem dano",IF($FY25=0,IF($EV25=1,"sem cura","sem dano"),IF($EV25=1,"cura ","")&amp;$FY25&amp;"d8")))</f>
        <v/>
      </c>
      <c r="GG25" s="145">
        <f>IF($EV25=2,3*$FZ25&amp;" de vida temp.",IF($EV25=3,"sem dano",IF($FZ25=0,IF($EV25=1,"sem cura","sem dano"),IF($EV25=1,"cura ","")&amp;$FZ25&amp;"d8")))</f>
        <v/>
      </c>
      <c r="GH25" s="145">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45">
        <f>IF($GH25="",0,(LEN($GH25)-LEN(SUBSTITUTE($GH25," · ","")))/3+1)</f>
        <v/>
      </c>
      <c r="GJ25" s="145">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45">
        <f>IF($GJ25="",0,(LEN($GJ25)-LEN(SUBSTITUTE($GJ25," · ","")))/3+1)</f>
        <v/>
      </c>
      <c r="GL25" s="145">
        <f>IF($EH25=0,IF($FJ25+$FK25-$EU25&gt;0,"Dê um nome",""),IF($GI25&gt;0,"⚠ "&amp;$GI25&amp;IF($GI25&gt;1," erros"," erro"),IF($GK25&gt;0,"! "&amp;$GK25&amp;IF($GK25&gt;1," avisos"," aviso"),"Na regra")))</f>
        <v/>
      </c>
      <c r="GM25" s="145">
        <f>IF($EH25=0,"",IF($GI25+$GK25=0,"Dentro das regras que a ficha confere",$GH25&amp;IF(AND($GI25&gt;0,$GK25&gt;0)," · ","")&amp;$GJ25))</f>
        <v/>
      </c>
      <c r="GN25" s="145">
        <f>IF($EH25=0,"",IF($DW25=1,CEILING(4.5*$DY25,1),3*$DY25)&amp;" PE")</f>
        <v/>
      </c>
      <c r="GO25" s="145">
        <f>IF($EH25=0,"",IF($DW25=1,"Rodada inteira",IF(COUNTIF($EZ25:$FA25,"Atrasar")&gt;0,IF(COUNTIF($EZ25:$FA25,"Carregar")&gt;0,"Rodada +1 turno","Rodada inteira"),IF(COUNTIF($EB25:$EE25,"Rápido")&gt;0,"Bônus",IF(COUNTIF($EB25:$EE25,"Reação")&gt;0,"Reação","Padrão"))&amp;IF(COUNTIF($EZ25:$FA25,"Carregar")&gt;0," +1 turno",""))))</f>
        <v/>
      </c>
      <c r="GP25" s="145">
        <f>IF(OR($EH25=0,$EI25=0),"",IF(COUNTIF($EB25:$EE25,"Inescapável")&gt;0,"Automático",IF(COUNTIF($EB25:$EE25,"Certeiro")&gt;0,"TR para metade",INDEX($AF$2:$AF$11,$EI25))))</f>
        <v/>
      </c>
      <c r="GQ25" s="145">
        <f>IF(OR($EH25=0,$EI25=0),"",IF(OR($EV25&gt;=2,$FR25=0),UPPER(LEFT(INDEX($GA25:$GG25,1,$DY25),1))&amp;MID(INDEX($GA25:$GG25,1,$DY25),2,99),UPPER(LEFT(INDEX($GA25:$GG25,1,$DY25),1))&amp;MID(INDEX($GA25:$GG25,1,$DY25),2,99)&amp;" = "&amp;FLOOR($FR25*4.5,1)&amp;IF($FS25&gt;0," · +"&amp;$FS25&amp;"d8","")))</f>
        <v/>
      </c>
      <c r="GR25" s="145">
        <f>COUNTIF($EB25:$EE25,"Longe")+3*COUNTIF($EB25:$EE25,"Muito Longe")</f>
        <v/>
      </c>
      <c r="GS25" s="145">
        <f>COUNTIF($EB25:$EE25,"Maior")+3*COUNTIF($EB25:$EE25,"Muito Maior")</f>
        <v/>
      </c>
      <c r="GT25" s="145">
        <f>IF($EI25=0,0,CHOOSE(1+INDEX($AH$2:$AH$11,$EI25),0,$GR25,$GS25,$GR25+$GS25))</f>
        <v/>
      </c>
      <c r="GU25" s="145">
        <f>IF($EI25=0,0,CHOOSE(1+INDEX($AI$2:$AI$11,$EI25),0,$GR25,$GS25,$GR25+$GS25))</f>
        <v/>
      </c>
      <c r="GV25" s="145">
        <f>IF(OR($EH25=0,$EI25=0),"",INDEX($AP$2:$AU$31,($EI25-1)*3+IF($DY25&gt;=6,3,2),1+MIN(5,$GT25))&amp;INDEX($AV$2:$BA$31,($EI25-1)*3+IF($DY25&gt;=6,3,2),1+MIN(5,$GU25))&amp;IF(INDEX($AJ$2:$AJ$11,$EI25)=1,IF(COUNTIF($EB25:$EE25,"Mais Um")&gt;0," · +"&amp;COUNTIF($EB25:$EE25,"Mais Um")&amp;IF(COUNTIF($EB25:$EE25,"Mais Um")&gt;1," alvos"," alvo"),"")&amp;IF(COUNTIF($EB25:$EE25,"Rajada")&gt;0," · "&amp;($DY25+1)&amp;" tiros",""),""))</f>
        <v/>
      </c>
      <c r="GW25" s="145">
        <f>IF($EH25=0,"",3*$DY25&amp;" − "&amp;$FL25&amp;" + "&amp;$FO25&amp;IF($DW25=1," + "&amp;$DY25,"")&amp;" = "&amp;$FR25&amp;"d8 · teto "&amp;4*$DY25&amp;IF($EU25=1," · a Forma devolve "&amp;$DY25,"")&amp;IF($FP25&gt;0," · perde "&amp;$FP25,""))</f>
        <v/>
      </c>
      <c r="GX25" s="145">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5">
        <f>IF(OR($EH25=0,$EK25=0),"","−"&amp;INDEX($Q$2:$V$8,$DY25,$EK25)&amp;" · "&amp;CHOOSE($EK25,"Leve","Média","Pesada","Leve · Livre","Média · Livre","Pesada · Livre"))</f>
        <v/>
      </c>
      <c r="GZ25" s="145">
        <f>IF(OR($EH25=0,$EL25=0),"","−"&amp;INDEX($Q$2:$V$8,$DY25,$EL25)&amp;" · "&amp;CHOOSE($EL25,"Leve","Média","Pesada","Leve · Livre","Média · Livre","Pesada · Livre"))</f>
        <v/>
      </c>
      <c r="HA25" s="145">
        <f>IF(OR($EH25=0,$EM25=0),"","−"&amp;INDEX($Q$2:$V$8,$DY25,$EM25)&amp;" · "&amp;CHOOSE($EM25,"Leve","Média","Pesada","Leve · Livre","Média · Livre","Pesada · Livre"))</f>
        <v/>
      </c>
      <c r="HB25" s="145">
        <f>IF(OR($EH25=0,$EN25=0),"","−"&amp;INDEX($Q$2:$V$8,$DY25,$EN25)&amp;" · "&amp;CHOOSE($EN25,"Leve","Média","Pesada","Leve · Livre","Média · Livre","Pesada · Livre"))</f>
        <v/>
      </c>
      <c r="HC25" s="145">
        <f>IF(OR($EH25=0,$EF25=""),"","+"&amp;IF($EX25=1,CEILING($DY25/2,1),$DY25))</f>
        <v/>
      </c>
      <c r="HD25" s="145">
        <f>IF(OR($EH25=0,$EG25=""),"","+"&amp;IF($EY25=1,CEILING($DY25/2,1),$DY25))</f>
        <v/>
      </c>
      <c r="HE25" s="145">
        <f>'FICHA AMALDIÇOADA'!$P$202&amp;""</f>
        <v/>
      </c>
      <c r="HF25" s="145">
        <f>IF(AND($EH25=1,$DW25=0),COUNTIFS($EH$2:$EH25,1,$DW$2:$DW25,0),"")</f>
        <v/>
      </c>
      <c r="HH25" s="143" t="inlineStr">
        <is>
          <t>aptidões anotadas</t>
        </is>
      </c>
      <c r="HI25" s="14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D25" s="145" t="n">
        <v>24</v>
      </c>
      <c r="JE25" s="145">
        <f>IFERROR(MATCH(24,$HF$2:$HF$37,0),0)</f>
        <v/>
      </c>
      <c r="JF25" s="145">
        <f>IF($JE25=0,"",INDEX($DY$2:$DY$37,$JE25))</f>
        <v/>
      </c>
      <c r="JG25" s="145">
        <f>IF($JE25=0,"",INDEX($DZ$2:$DZ$37,$JE25))</f>
        <v/>
      </c>
      <c r="JH25" s="145">
        <f>IF($JE25=0,"",INDEX($GN$2:$GN$37,$JE25))</f>
        <v/>
      </c>
      <c r="JI25" s="145">
        <f>IF($JE25=0,"",INDEX($EA$2:$EA$37,$JE25))</f>
        <v/>
      </c>
      <c r="JJ25" s="145">
        <f>IF($JE25=0,"",INDEX($GP$2:$GP$37,$JE25))</f>
        <v/>
      </c>
      <c r="JK25" s="145">
        <f>IF($JE25=0,"",INDEX($HE$2:$HE$37,$JE25))</f>
        <v/>
      </c>
      <c r="KQ25" s="143" t="inlineStr">
        <is>
          <t>F46</t>
        </is>
      </c>
      <c r="KR25" s="145">
        <f>INDEX(DADOS_AM!$P$2:$W$8,DADOS_AM!$HI$29,2)</f>
        <v/>
      </c>
    </row>
    <row r="26">
      <c r="AO26" s="143" t="inlineStr">
        <is>
          <t>Onda · classe 0</t>
        </is>
      </c>
      <c r="AP26" s="143" t="inlineStr">
        <is>
          <t>—</t>
        </is>
      </c>
      <c r="AQ26" s="143" t="inlineStr">
        <is>
          <t>—</t>
        </is>
      </c>
      <c r="AR26" s="143" t="inlineStr">
        <is>
          <t>—</t>
        </is>
      </c>
      <c r="AS26" s="143" t="inlineStr">
        <is>
          <t>—</t>
        </is>
      </c>
      <c r="AT26" s="143" t="inlineStr">
        <is>
          <t>—</t>
        </is>
      </c>
      <c r="AU26" s="143" t="inlineStr">
        <is>
          <t>—</t>
        </is>
      </c>
      <c r="AV26" s="143" t="inlineStr"/>
      <c r="AW26" s="143" t="inlineStr"/>
      <c r="AX26" s="143" t="inlineStr"/>
      <c r="AY26" s="143" t="inlineStr"/>
      <c r="AZ26" s="143" t="inlineStr"/>
      <c r="BA26" s="143" t="inlineStr"/>
      <c r="BC26" s="143" t="inlineStr">
        <is>
          <t>Guarda Aberta</t>
        </is>
      </c>
      <c r="BD26" s="143" t="inlineStr">
        <is>
          <t>Controle</t>
        </is>
      </c>
      <c r="BE26" s="145" t="n">
        <v>1</v>
      </c>
      <c r="BF26" s="145">
        <f>$BE26+3*IFERROR(VLOOKUP($BD26,$I$2:$L$10,3,FALSE),0)</f>
        <v/>
      </c>
      <c r="BG26" s="145">
        <f>IFERROR(VLOOKUP($BD26,$I$2:$L$10,4,FALSE),0)</f>
        <v/>
      </c>
      <c r="BH26" s="145" t="n">
        <v>1</v>
      </c>
      <c r="BI26" s="145">
        <f>IF($BG26=1,"",$BC26)</f>
        <v/>
      </c>
      <c r="BJ26" s="145">
        <f>IF(AND($BE26=1,$BG26=0),$BC26,"")</f>
        <v/>
      </c>
      <c r="CC26" s="143" t="inlineStr">
        <is>
          <t>Sem Pegada</t>
        </is>
      </c>
      <c r="CD26" s="143" t="inlineStr">
        <is>
          <t>Lapidação 1</t>
        </is>
      </c>
      <c r="CE26" s="145" t="n">
        <v>1</v>
      </c>
      <c r="CF26" s="143" t="inlineStr">
        <is>
          <t>—</t>
        </is>
      </c>
      <c r="CG26" s="14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45">
        <f>IF($CK26=1,"",IF($A$2=4,IF($CI26=1,$CC26,""),IF(OR($CI26=1,AND($A$2=3,$CJ26=1)),"",$CC26)))</f>
        <v/>
      </c>
      <c r="CI26" s="145" t="n">
        <v>1</v>
      </c>
      <c r="CJ26" s="145" t="n">
        <v>0</v>
      </c>
      <c r="CK26" s="145" t="n">
        <v>0</v>
      </c>
      <c r="CL26" s="143" t="inlineStr">
        <is>
          <t>Sua passagem não deixa pegadas, cheiro, marcas ou som de passos que possam servir de rastro.</t>
        </is>
      </c>
      <c r="DV26" s="143" t="inlineStr">
        <is>
          <t>Feitiço 25</t>
        </is>
      </c>
      <c r="DW26" s="145" t="n">
        <v>0</v>
      </c>
      <c r="DX26" s="145" t="n">
        <v>25</v>
      </c>
      <c r="DY26" s="145">
        <f>MAX(1,MIN(7,N('FICHA AMALDIÇOADA'!$D$223)))</f>
        <v/>
      </c>
      <c r="DZ26" s="145">
        <f>'FICHA AMALDIÇOADA'!$E$223&amp;""</f>
        <v/>
      </c>
      <c r="EA26" s="145">
        <f>'FICHA AMALDIÇOADA'!$D$230&amp;""</f>
        <v/>
      </c>
      <c r="EB26" s="145">
        <f>'FICHA AMALDIÇOADA'!$E$232&amp;""</f>
        <v/>
      </c>
      <c r="EC26" s="145">
        <f>'FICHA AMALDIÇOADA'!$E$233&amp;""</f>
        <v/>
      </c>
      <c r="ED26" s="145">
        <f>'FICHA AMALDIÇOADA'!$E$234&amp;""</f>
        <v/>
      </c>
      <c r="EE26" s="145">
        <f>'FICHA AMALDIÇOADA'!$E$235&amp;""</f>
        <v/>
      </c>
      <c r="EF26" s="145">
        <f>'FICHA AMALDIÇOADA'!$E$236&amp;""</f>
        <v/>
      </c>
      <c r="EG26" s="145">
        <f>'FICHA AMALDIÇOADA'!$E$237&amp;""</f>
        <v/>
      </c>
      <c r="EH26" s="145">
        <f>IF($DZ26&lt;&gt;"",1,0)</f>
        <v/>
      </c>
      <c r="EI26" s="145">
        <f>IFERROR(MATCH($EA26,$Y$2:$Y$11,0),0)</f>
        <v/>
      </c>
      <c r="EJ26" s="145">
        <f>IF($EI26=0,0,INDEX($AB$2:$AB$11,$EI26))</f>
        <v/>
      </c>
      <c r="EK26" s="145">
        <f>IFERROR(VLOOKUP($EB26,$BC$2:$BJ$84,4,FALSE),0)</f>
        <v/>
      </c>
      <c r="EL26" s="145">
        <f>IFERROR(VLOOKUP($EC26,$BC$2:$BJ$84,4,FALSE),0)</f>
        <v/>
      </c>
      <c r="EM26" s="145">
        <f>IFERROR(VLOOKUP($ED26,$BC$2:$BJ$84,4,FALSE),0)</f>
        <v/>
      </c>
      <c r="EN26" s="145">
        <f>IFERROR(VLOOKUP($EE26,$BC$2:$BJ$84,4,FALSE),0)</f>
        <v/>
      </c>
      <c r="EO26" s="145">
        <f>IF($EI26=0,0,INDEX($AC$2:$AC$11,$EI26))</f>
        <v/>
      </c>
      <c r="EP26" s="145">
        <f>IFERROR(VLOOKUP($EB26,$BC$2:$BJ$84,5,FALSE),0)</f>
        <v/>
      </c>
      <c r="EQ26" s="145">
        <f>IFERROR(VLOOKUP($EC26,$BC$2:$BJ$84,5,FALSE),0)</f>
        <v/>
      </c>
      <c r="ER26" s="145">
        <f>IFERROR(VLOOKUP($ED26,$BC$2:$BJ$84,5,FALSE),0)</f>
        <v/>
      </c>
      <c r="ES26" s="145">
        <f>IFERROR(VLOOKUP($EE26,$BC$2:$BJ$84,5,FALSE),0)</f>
        <v/>
      </c>
      <c r="ET26" s="145">
        <f>IFERROR(VLOOKUP($EB26,$BC$2:$BJ$84,6,FALSE),0)+IFERROR(VLOOKUP($EC26,$BC$2:$BJ$84,6,FALSE),0)+IFERROR(VLOOKUP($ED26,$BC$2:$BJ$84,6,FALSE),0)+IFERROR(VLOOKUP($EE26,$BC$2:$BJ$84,6,FALSE),0)</f>
        <v/>
      </c>
      <c r="EU26" s="145">
        <f>IF($EI26=0,0,INDEX($AD$2:$AD$11,$EI26))</f>
        <v/>
      </c>
      <c r="EV26" s="145">
        <f>IF($EI26=0,0,INDEX($AE$2:$AE$11,$EI26))</f>
        <v/>
      </c>
      <c r="EW26" s="145">
        <f>IF($EI26=0,0,INDEX($AG$2:$AG$11,$EI26))</f>
        <v/>
      </c>
      <c r="EX26" s="145">
        <f>IFERROR(VLOOKUP($EF26,$BL$2:$BP$24,3,FALSE),0)</f>
        <v/>
      </c>
      <c r="EY26" s="145">
        <f>IFERROR(VLOOKUP($EG26,$BL$2:$BP$24,3,FALSE),0)</f>
        <v/>
      </c>
      <c r="EZ26" s="145">
        <f>IFERROR(VLOOKUP($EF26,$BL$2:$BP$24,2,FALSE),"")</f>
        <v/>
      </c>
      <c r="FA26" s="145">
        <f>IFERROR(VLOOKUP($EG26,$BL$2:$BP$24,2,FALSE),"")</f>
        <v/>
      </c>
      <c r="FB26" s="145">
        <f>COUNTIF($EJ26:$EN26,1)</f>
        <v/>
      </c>
      <c r="FC26" s="145">
        <f>COUNTIF($EJ26:$EN26,2)</f>
        <v/>
      </c>
      <c r="FD26" s="145">
        <f>COUNTIF($EJ26:$EN26,3)</f>
        <v/>
      </c>
      <c r="FE26" s="145">
        <f>COUNTIF($EJ26:$EN26,4)</f>
        <v/>
      </c>
      <c r="FF26" s="145">
        <f>COUNTIF($EJ26:$EN26,5)</f>
        <v/>
      </c>
      <c r="FG26" s="145">
        <f>COUNTIF($EJ26:$EN26,6)</f>
        <v/>
      </c>
      <c r="FH26" s="145">
        <f>COUNTIF($EX26:$EY26,1)</f>
        <v/>
      </c>
      <c r="FI26" s="145">
        <f>COUNTIF($EX26:$EY26,2)+$EU26</f>
        <v/>
      </c>
      <c r="FJ26" s="145">
        <f>COUNTIF($EB26:$EE26,"?*")</f>
        <v/>
      </c>
      <c r="FK26" s="145">
        <f>COUNTIF($EF26:$EG26,"?*")+$EU26</f>
        <v/>
      </c>
      <c r="FL26" s="145">
        <f>SUMPRODUCT($FB26:$FG26,INDEX($Q$2:$V$8,$DY26,0))</f>
        <v/>
      </c>
      <c r="FM26" s="145">
        <f>$FH26*CEILING($DY26/2,1)+$FI26*$DY26</f>
        <v/>
      </c>
      <c r="FN26" s="145">
        <f>MIN(2*$DY26,$FM26)</f>
        <v/>
      </c>
      <c r="FO26" s="145">
        <f>MIN($FN26,$FL26)</f>
        <v/>
      </c>
      <c r="FP26" s="145">
        <f>$FN26-$FO26</f>
        <v/>
      </c>
      <c r="FQ26" s="145">
        <f>3*$DY26-$FL26+$FO26</f>
        <v/>
      </c>
      <c r="FR26" s="145">
        <f>MAX(0,$FQ26)+$DW26*$DY26</f>
        <v/>
      </c>
      <c r="FS26" s="145">
        <f>(IF(COUNTIF($EB26:$EE26,"Salto")&gt;0,1,0)+IF(COUNTIF($EB26:$EE26,"Queima")&gt;0,1,0)+IF(COUNTIF($EB26:$EE26,"Estilhaço")&gt;0,1,0))*FLOOR($FR26/2,1)</f>
        <v/>
      </c>
      <c r="FT26" s="145">
        <f>MAX(0,3-SUMPRODUCT($FB26:$FG26,$Q$2:$V$2)+MIN(2,$FH26*1+$FI26*1,SUMPRODUCT($FB26:$FG26,$Q$2:$V$2)))+$DW26*1</f>
        <v/>
      </c>
      <c r="FU26" s="145">
        <f>MAX(0,6-SUMPRODUCT($FB26:$FG26,$Q$3:$V$3)+MIN(4,$FH26*1+$FI26*2,SUMPRODUCT($FB26:$FG26,$Q$3:$V$3)))+$DW26*2</f>
        <v/>
      </c>
      <c r="FV26" s="145">
        <f>MAX(0,9-SUMPRODUCT($FB26:$FG26,$Q$4:$V$4)+MIN(6,$FH26*2+$FI26*3,SUMPRODUCT($FB26:$FG26,$Q$4:$V$4)))+$DW26*3</f>
        <v/>
      </c>
      <c r="FW26" s="145">
        <f>MAX(0,12-SUMPRODUCT($FB26:$FG26,$Q$5:$V$5)+MIN(8,$FH26*2+$FI26*4,SUMPRODUCT($FB26:$FG26,$Q$5:$V$5)))+$DW26*4</f>
        <v/>
      </c>
      <c r="FX26" s="145">
        <f>MAX(0,15-SUMPRODUCT($FB26:$FG26,$Q$6:$V$6)+MIN(10,$FH26*3+$FI26*5,SUMPRODUCT($FB26:$FG26,$Q$6:$V$6)))+$DW26*5</f>
        <v/>
      </c>
      <c r="FY26" s="145">
        <f>MAX(0,18-SUMPRODUCT($FB26:$FG26,$Q$7:$V$7)+MIN(12,$FH26*3+$FI26*6,SUMPRODUCT($FB26:$FG26,$Q$7:$V$7)))+$DW26*6</f>
        <v/>
      </c>
      <c r="FZ26" s="145">
        <f>MAX(0,21-SUMPRODUCT($FB26:$FG26,$Q$8:$V$8)+MIN(14,$FH26*4+$FI26*7,SUMPRODUCT($FB26:$FG26,$Q$8:$V$8)))+$DW26*7</f>
        <v/>
      </c>
      <c r="GA26" s="145">
        <f>IF($EV26=2,3*$FT26&amp;" de vida temp.",IF($EV26=3,"sem dano",IF($FT26=0,IF($EV26=1,"sem cura","sem dano"),IF($EV26=1,"cura ","")&amp;$FT26&amp;"d8")))</f>
        <v/>
      </c>
      <c r="GB26" s="145">
        <f>IF($EV26=2,3*$FU26&amp;" de vida temp.",IF($EV26=3,"sem dano",IF($FU26=0,IF($EV26=1,"sem cura","sem dano"),IF($EV26=1,"cura ","")&amp;$FU26&amp;"d8")))</f>
        <v/>
      </c>
      <c r="GC26" s="145">
        <f>IF($EV26=2,3*$FV26&amp;" de vida temp.",IF($EV26=3,"sem dano",IF($FV26=0,IF($EV26=1,"sem cura","sem dano"),IF($EV26=1,"cura ","")&amp;$FV26&amp;"d8")))</f>
        <v/>
      </c>
      <c r="GD26" s="145">
        <f>IF($EV26=2,3*$FW26&amp;" de vida temp.",IF($EV26=3,"sem dano",IF($FW26=0,IF($EV26=1,"sem cura","sem dano"),IF($EV26=1,"cura ","")&amp;$FW26&amp;"d8")))</f>
        <v/>
      </c>
      <c r="GE26" s="145">
        <f>IF($EV26=2,3*$FX26&amp;" de vida temp.",IF($EV26=3,"sem dano",IF($FX26=0,IF($EV26=1,"sem cura","sem dano"),IF($EV26=1,"cura ","")&amp;$FX26&amp;"d8")))</f>
        <v/>
      </c>
      <c r="GF26" s="145">
        <f>IF($EV26=2,3*$FY26&amp;" de vida temp.",IF($EV26=3,"sem dano",IF($FY26=0,IF($EV26=1,"sem cura","sem dano"),IF($EV26=1,"cura ","")&amp;$FY26&amp;"d8")))</f>
        <v/>
      </c>
      <c r="GG26" s="145">
        <f>IF($EV26=2,3*$FZ26&amp;" de vida temp.",IF($EV26=3,"sem dano",IF($FZ26=0,IF($EV26=1,"sem cura","sem dano"),IF($EV26=1,"cura ","")&amp;$FZ26&amp;"d8")))</f>
        <v/>
      </c>
      <c r="GH26" s="145">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45">
        <f>IF($GH26="",0,(LEN($GH26)-LEN(SUBSTITUTE($GH26," · ","")))/3+1)</f>
        <v/>
      </c>
      <c r="GJ26" s="145">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45">
        <f>IF($GJ26="",0,(LEN($GJ26)-LEN(SUBSTITUTE($GJ26," · ","")))/3+1)</f>
        <v/>
      </c>
      <c r="GL26" s="145">
        <f>IF($EH26=0,IF($FJ26+$FK26-$EU26&gt;0,"Dê um nome",""),IF($GI26&gt;0,"⚠ "&amp;$GI26&amp;IF($GI26&gt;1," erros"," erro"),IF($GK26&gt;0,"! "&amp;$GK26&amp;IF($GK26&gt;1," avisos"," aviso"),"Na regra")))</f>
        <v/>
      </c>
      <c r="GM26" s="145">
        <f>IF($EH26=0,"",IF($GI26+$GK26=0,"Dentro das regras que a ficha confere",$GH26&amp;IF(AND($GI26&gt;0,$GK26&gt;0)," · ","")&amp;$GJ26))</f>
        <v/>
      </c>
      <c r="GN26" s="145">
        <f>IF($EH26=0,"",IF($DW26=1,CEILING(4.5*$DY26,1),3*$DY26)&amp;" PE")</f>
        <v/>
      </c>
      <c r="GO26" s="145">
        <f>IF($EH26=0,"",IF($DW26=1,"Rodada inteira",IF(COUNTIF($EZ26:$FA26,"Atrasar")&gt;0,IF(COUNTIF($EZ26:$FA26,"Carregar")&gt;0,"Rodada +1 turno","Rodada inteira"),IF(COUNTIF($EB26:$EE26,"Rápido")&gt;0,"Bônus",IF(COUNTIF($EB26:$EE26,"Reação")&gt;0,"Reação","Padrão"))&amp;IF(COUNTIF($EZ26:$FA26,"Carregar")&gt;0," +1 turno",""))))</f>
        <v/>
      </c>
      <c r="GP26" s="145">
        <f>IF(OR($EH26=0,$EI26=0),"",IF(COUNTIF($EB26:$EE26,"Inescapável")&gt;0,"Automático",IF(COUNTIF($EB26:$EE26,"Certeiro")&gt;0,"TR para metade",INDEX($AF$2:$AF$11,$EI26))))</f>
        <v/>
      </c>
      <c r="GQ26" s="145">
        <f>IF(OR($EH26=0,$EI26=0),"",IF(OR($EV26&gt;=2,$FR26=0),UPPER(LEFT(INDEX($GA26:$GG26,1,$DY26),1))&amp;MID(INDEX($GA26:$GG26,1,$DY26),2,99),UPPER(LEFT(INDEX($GA26:$GG26,1,$DY26),1))&amp;MID(INDEX($GA26:$GG26,1,$DY26),2,99)&amp;" = "&amp;FLOOR($FR26*4.5,1)&amp;IF($FS26&gt;0," · +"&amp;$FS26&amp;"d8","")))</f>
        <v/>
      </c>
      <c r="GR26" s="145">
        <f>COUNTIF($EB26:$EE26,"Longe")+3*COUNTIF($EB26:$EE26,"Muito Longe")</f>
        <v/>
      </c>
      <c r="GS26" s="145">
        <f>COUNTIF($EB26:$EE26,"Maior")+3*COUNTIF($EB26:$EE26,"Muito Maior")</f>
        <v/>
      </c>
      <c r="GT26" s="145">
        <f>IF($EI26=0,0,CHOOSE(1+INDEX($AH$2:$AH$11,$EI26),0,$GR26,$GS26,$GR26+$GS26))</f>
        <v/>
      </c>
      <c r="GU26" s="145">
        <f>IF($EI26=0,0,CHOOSE(1+INDEX($AI$2:$AI$11,$EI26),0,$GR26,$GS26,$GR26+$GS26))</f>
        <v/>
      </c>
      <c r="GV26" s="145">
        <f>IF(OR($EH26=0,$EI26=0),"",INDEX($AP$2:$AU$31,($EI26-1)*3+IF($DY26&gt;=6,3,2),1+MIN(5,$GT26))&amp;INDEX($AV$2:$BA$31,($EI26-1)*3+IF($DY26&gt;=6,3,2),1+MIN(5,$GU26))&amp;IF(INDEX($AJ$2:$AJ$11,$EI26)=1,IF(COUNTIF($EB26:$EE26,"Mais Um")&gt;0," · +"&amp;COUNTIF($EB26:$EE26,"Mais Um")&amp;IF(COUNTIF($EB26:$EE26,"Mais Um")&gt;1," alvos"," alvo"),"")&amp;IF(COUNTIF($EB26:$EE26,"Rajada")&gt;0," · "&amp;($DY26+1)&amp;" tiros",""),""))</f>
        <v/>
      </c>
      <c r="GW26" s="145">
        <f>IF($EH26=0,"",3*$DY26&amp;" − "&amp;$FL26&amp;" + "&amp;$FO26&amp;IF($DW26=1," + "&amp;$DY26,"")&amp;" = "&amp;$FR26&amp;"d8 · teto "&amp;4*$DY26&amp;IF($EU26=1," · a Forma devolve "&amp;$DY26,"")&amp;IF($FP26&gt;0," · perde "&amp;$FP26,""))</f>
        <v/>
      </c>
      <c r="GX26" s="145">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5">
        <f>IF(OR($EH26=0,$EK26=0),"","−"&amp;INDEX($Q$2:$V$8,$DY26,$EK26)&amp;" · "&amp;CHOOSE($EK26,"Leve","Média","Pesada","Leve · Livre","Média · Livre","Pesada · Livre"))</f>
        <v/>
      </c>
      <c r="GZ26" s="145">
        <f>IF(OR($EH26=0,$EL26=0),"","−"&amp;INDEX($Q$2:$V$8,$DY26,$EL26)&amp;" · "&amp;CHOOSE($EL26,"Leve","Média","Pesada","Leve · Livre","Média · Livre","Pesada · Livre"))</f>
        <v/>
      </c>
      <c r="HA26" s="145">
        <f>IF(OR($EH26=0,$EM26=0),"","−"&amp;INDEX($Q$2:$V$8,$DY26,$EM26)&amp;" · "&amp;CHOOSE($EM26,"Leve","Média","Pesada","Leve · Livre","Média · Livre","Pesada · Livre"))</f>
        <v/>
      </c>
      <c r="HB26" s="145">
        <f>IF(OR($EH26=0,$EN26=0),"","−"&amp;INDEX($Q$2:$V$8,$DY26,$EN26)&amp;" · "&amp;CHOOSE($EN26,"Leve","Média","Pesada","Leve · Livre","Média · Livre","Pesada · Livre"))</f>
        <v/>
      </c>
      <c r="HC26" s="145">
        <f>IF(OR($EH26=0,$EF26=""),"","+"&amp;IF($EX26=1,CEILING($DY26/2,1),$DY26))</f>
        <v/>
      </c>
      <c r="HD26" s="145">
        <f>IF(OR($EH26=0,$EG26=""),"","+"&amp;IF($EY26=1,CEILING($DY26/2,1),$DY26))</f>
        <v/>
      </c>
      <c r="HE26" s="145">
        <f>'FICHA AMALDIÇOADA'!$D$225&amp;""</f>
        <v/>
      </c>
      <c r="HF26" s="145">
        <f>IF(AND($EH26=1,$DW26=0),COUNTIFS($EH$2:$EH26,1,$DW$2:$DW26,0),"")</f>
        <v/>
      </c>
      <c r="HH26" s="143" t="inlineStr">
        <is>
          <t>aptidões compráveis</t>
        </is>
      </c>
      <c r="HI26" s="145">
        <f>MAX(0,N(DADOS!$AK$36)-2)</f>
        <v/>
      </c>
      <c r="JD26" s="145" t="n">
        <v>25</v>
      </c>
      <c r="JE26" s="145">
        <f>IFERROR(MATCH(25,$HF$2:$HF$37,0),0)</f>
        <v/>
      </c>
      <c r="JF26" s="145">
        <f>IF($JE26=0,"",INDEX($DY$2:$DY$37,$JE26))</f>
        <v/>
      </c>
      <c r="JG26" s="145">
        <f>IF($JE26=0,"",INDEX($DZ$2:$DZ$37,$JE26))</f>
        <v/>
      </c>
      <c r="JH26" s="145">
        <f>IF($JE26=0,"",INDEX($GN$2:$GN$37,$JE26))</f>
        <v/>
      </c>
      <c r="JI26" s="145">
        <f>IF($JE26=0,"",INDEX($EA$2:$EA$37,$JE26))</f>
        <v/>
      </c>
      <c r="JJ26" s="145">
        <f>IF($JE26=0,"",INDEX($GP$2:$GP$37,$JE26))</f>
        <v/>
      </c>
      <c r="JK26" s="145">
        <f>IF($JE26=0,"",INDEX($HE$2:$HE$37,$JE26))</f>
        <v/>
      </c>
      <c r="KQ26" s="143" t="inlineStr">
        <is>
          <t>G46</t>
        </is>
      </c>
      <c r="KR26" s="145">
        <f>INDEX(DADOS_AM!$P$2:$W$8,DADOS_AM!$HI$29,3)</f>
        <v/>
      </c>
    </row>
    <row r="27">
      <c r="AO27" s="143" t="inlineStr">
        <is>
          <t>Onda · classes 1 a 5</t>
        </is>
      </c>
      <c r="AP27" s="143" t="inlineStr">
        <is>
          <t>Raio 3 m, em você</t>
        </is>
      </c>
      <c r="AQ27" s="143" t="inlineStr">
        <is>
          <t>Raio 4,5 m, em você</t>
        </is>
      </c>
      <c r="AR27" s="143" t="inlineStr">
        <is>
          <t>Raio 6 m, em você</t>
        </is>
      </c>
      <c r="AS27" s="143" t="inlineStr">
        <is>
          <t>Raio 9 m, em você</t>
        </is>
      </c>
      <c r="AT27" s="143" t="inlineStr">
        <is>
          <t>Raio 15 m, em você</t>
        </is>
      </c>
      <c r="AU27" s="143" t="inlineStr">
        <is>
          <t>Raio 15 m, em você</t>
        </is>
      </c>
      <c r="AV27" s="143" t="inlineStr"/>
      <c r="AW27" s="143" t="inlineStr"/>
      <c r="AX27" s="143" t="inlineStr"/>
      <c r="AY27" s="143" t="inlineStr"/>
      <c r="AZ27" s="143" t="inlineStr"/>
      <c r="BA27" s="143" t="inlineStr"/>
      <c r="BC27" s="143" t="inlineStr">
        <is>
          <t>Derrubado</t>
        </is>
      </c>
      <c r="BD27" s="143" t="inlineStr">
        <is>
          <t>Controle</t>
        </is>
      </c>
      <c r="BE27" s="145" t="n">
        <v>1</v>
      </c>
      <c r="BF27" s="145">
        <f>$BE27+3*IFERROR(VLOOKUP($BD27,$I$2:$L$10,3,FALSE),0)</f>
        <v/>
      </c>
      <c r="BG27" s="145">
        <f>IFERROR(VLOOKUP($BD27,$I$2:$L$10,4,FALSE),0)</f>
        <v/>
      </c>
      <c r="BH27" s="145" t="n">
        <v>1</v>
      </c>
      <c r="BI27" s="145">
        <f>IF($BG27=1,"",$BC27)</f>
        <v/>
      </c>
      <c r="BJ27" s="145">
        <f>IF(AND($BE27=1,$BG27=0),$BC27,"")</f>
        <v/>
      </c>
      <c r="CC27" s="143" t="inlineStr">
        <is>
          <t>Vulto</t>
        </is>
      </c>
      <c r="CD27" s="143" t="inlineStr">
        <is>
          <t>Lapidação 4</t>
        </is>
      </c>
      <c r="CE27" s="145" t="n">
        <v>2</v>
      </c>
      <c r="CF27" s="143" t="inlineStr">
        <is>
          <t>—</t>
        </is>
      </c>
      <c r="CG27" s="14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45">
        <f>IF($CK27=1,"",IF($A$2=4,IF($CI27=1,$CC27,""),IF(OR($CI27=1,AND($A$2=3,$CJ27=1)),"",$CC27)))</f>
        <v/>
      </c>
      <c r="CI27" s="145" t="n">
        <v>1</v>
      </c>
      <c r="CJ27" s="145" t="n">
        <v>0</v>
      </c>
      <c r="CK27" s="145" t="n">
        <v>0</v>
      </c>
      <c r="CL27" s="143" t="inlineStr">
        <is>
          <t>Você possui visão às cegas a até 1,5 m × metade da Lapidação, arredondada para baixo.</t>
        </is>
      </c>
      <c r="DV27" s="143" t="inlineStr">
        <is>
          <t>Feitiço 26</t>
        </is>
      </c>
      <c r="DW27" s="145" t="n">
        <v>0</v>
      </c>
      <c r="DX27" s="145" t="n">
        <v>26</v>
      </c>
      <c r="DY27" s="145">
        <f>MAX(1,MIN(7,N('FICHA AMALDIÇOADA'!$J$223)))</f>
        <v/>
      </c>
      <c r="DZ27" s="145">
        <f>'FICHA AMALDIÇOADA'!$K$223&amp;""</f>
        <v/>
      </c>
      <c r="EA27" s="145">
        <f>'FICHA AMALDIÇOADA'!$J$230&amp;""</f>
        <v/>
      </c>
      <c r="EB27" s="145">
        <f>'FICHA AMALDIÇOADA'!$K$232&amp;""</f>
        <v/>
      </c>
      <c r="EC27" s="145">
        <f>'FICHA AMALDIÇOADA'!$K$233&amp;""</f>
        <v/>
      </c>
      <c r="ED27" s="145">
        <f>'FICHA AMALDIÇOADA'!$K$234&amp;""</f>
        <v/>
      </c>
      <c r="EE27" s="145">
        <f>'FICHA AMALDIÇOADA'!$K$235&amp;""</f>
        <v/>
      </c>
      <c r="EF27" s="145">
        <f>'FICHA AMALDIÇOADA'!$K$236&amp;""</f>
        <v/>
      </c>
      <c r="EG27" s="145">
        <f>'FICHA AMALDIÇOADA'!$K$237&amp;""</f>
        <v/>
      </c>
      <c r="EH27" s="145">
        <f>IF($DZ27&lt;&gt;"",1,0)</f>
        <v/>
      </c>
      <c r="EI27" s="145">
        <f>IFERROR(MATCH($EA27,$Y$2:$Y$11,0),0)</f>
        <v/>
      </c>
      <c r="EJ27" s="145">
        <f>IF($EI27=0,0,INDEX($AB$2:$AB$11,$EI27))</f>
        <v/>
      </c>
      <c r="EK27" s="145">
        <f>IFERROR(VLOOKUP($EB27,$BC$2:$BJ$84,4,FALSE),0)</f>
        <v/>
      </c>
      <c r="EL27" s="145">
        <f>IFERROR(VLOOKUP($EC27,$BC$2:$BJ$84,4,FALSE),0)</f>
        <v/>
      </c>
      <c r="EM27" s="145">
        <f>IFERROR(VLOOKUP($ED27,$BC$2:$BJ$84,4,FALSE),0)</f>
        <v/>
      </c>
      <c r="EN27" s="145">
        <f>IFERROR(VLOOKUP($EE27,$BC$2:$BJ$84,4,FALSE),0)</f>
        <v/>
      </c>
      <c r="EO27" s="145">
        <f>IF($EI27=0,0,INDEX($AC$2:$AC$11,$EI27))</f>
        <v/>
      </c>
      <c r="EP27" s="145">
        <f>IFERROR(VLOOKUP($EB27,$BC$2:$BJ$84,5,FALSE),0)</f>
        <v/>
      </c>
      <c r="EQ27" s="145">
        <f>IFERROR(VLOOKUP($EC27,$BC$2:$BJ$84,5,FALSE),0)</f>
        <v/>
      </c>
      <c r="ER27" s="145">
        <f>IFERROR(VLOOKUP($ED27,$BC$2:$BJ$84,5,FALSE),0)</f>
        <v/>
      </c>
      <c r="ES27" s="145">
        <f>IFERROR(VLOOKUP($EE27,$BC$2:$BJ$84,5,FALSE),0)</f>
        <v/>
      </c>
      <c r="ET27" s="145">
        <f>IFERROR(VLOOKUP($EB27,$BC$2:$BJ$84,6,FALSE),0)+IFERROR(VLOOKUP($EC27,$BC$2:$BJ$84,6,FALSE),0)+IFERROR(VLOOKUP($ED27,$BC$2:$BJ$84,6,FALSE),0)+IFERROR(VLOOKUP($EE27,$BC$2:$BJ$84,6,FALSE),0)</f>
        <v/>
      </c>
      <c r="EU27" s="145">
        <f>IF($EI27=0,0,INDEX($AD$2:$AD$11,$EI27))</f>
        <v/>
      </c>
      <c r="EV27" s="145">
        <f>IF($EI27=0,0,INDEX($AE$2:$AE$11,$EI27))</f>
        <v/>
      </c>
      <c r="EW27" s="145">
        <f>IF($EI27=0,0,INDEX($AG$2:$AG$11,$EI27))</f>
        <v/>
      </c>
      <c r="EX27" s="145">
        <f>IFERROR(VLOOKUP($EF27,$BL$2:$BP$24,3,FALSE),0)</f>
        <v/>
      </c>
      <c r="EY27" s="145">
        <f>IFERROR(VLOOKUP($EG27,$BL$2:$BP$24,3,FALSE),0)</f>
        <v/>
      </c>
      <c r="EZ27" s="145">
        <f>IFERROR(VLOOKUP($EF27,$BL$2:$BP$24,2,FALSE),"")</f>
        <v/>
      </c>
      <c r="FA27" s="145">
        <f>IFERROR(VLOOKUP($EG27,$BL$2:$BP$24,2,FALSE),"")</f>
        <v/>
      </c>
      <c r="FB27" s="145">
        <f>COUNTIF($EJ27:$EN27,1)</f>
        <v/>
      </c>
      <c r="FC27" s="145">
        <f>COUNTIF($EJ27:$EN27,2)</f>
        <v/>
      </c>
      <c r="FD27" s="145">
        <f>COUNTIF($EJ27:$EN27,3)</f>
        <v/>
      </c>
      <c r="FE27" s="145">
        <f>COUNTIF($EJ27:$EN27,4)</f>
        <v/>
      </c>
      <c r="FF27" s="145">
        <f>COUNTIF($EJ27:$EN27,5)</f>
        <v/>
      </c>
      <c r="FG27" s="145">
        <f>COUNTIF($EJ27:$EN27,6)</f>
        <v/>
      </c>
      <c r="FH27" s="145">
        <f>COUNTIF($EX27:$EY27,1)</f>
        <v/>
      </c>
      <c r="FI27" s="145">
        <f>COUNTIF($EX27:$EY27,2)+$EU27</f>
        <v/>
      </c>
      <c r="FJ27" s="145">
        <f>COUNTIF($EB27:$EE27,"?*")</f>
        <v/>
      </c>
      <c r="FK27" s="145">
        <f>COUNTIF($EF27:$EG27,"?*")+$EU27</f>
        <v/>
      </c>
      <c r="FL27" s="145">
        <f>SUMPRODUCT($FB27:$FG27,INDEX($Q$2:$V$8,$DY27,0))</f>
        <v/>
      </c>
      <c r="FM27" s="145">
        <f>$FH27*CEILING($DY27/2,1)+$FI27*$DY27</f>
        <v/>
      </c>
      <c r="FN27" s="145">
        <f>MIN(2*$DY27,$FM27)</f>
        <v/>
      </c>
      <c r="FO27" s="145">
        <f>MIN($FN27,$FL27)</f>
        <v/>
      </c>
      <c r="FP27" s="145">
        <f>$FN27-$FO27</f>
        <v/>
      </c>
      <c r="FQ27" s="145">
        <f>3*$DY27-$FL27+$FO27</f>
        <v/>
      </c>
      <c r="FR27" s="145">
        <f>MAX(0,$FQ27)+$DW27*$DY27</f>
        <v/>
      </c>
      <c r="FS27" s="145">
        <f>(IF(COUNTIF($EB27:$EE27,"Salto")&gt;0,1,0)+IF(COUNTIF($EB27:$EE27,"Queima")&gt;0,1,0)+IF(COUNTIF($EB27:$EE27,"Estilhaço")&gt;0,1,0))*FLOOR($FR27/2,1)</f>
        <v/>
      </c>
      <c r="FT27" s="145">
        <f>MAX(0,3-SUMPRODUCT($FB27:$FG27,$Q$2:$V$2)+MIN(2,$FH27*1+$FI27*1,SUMPRODUCT($FB27:$FG27,$Q$2:$V$2)))+$DW27*1</f>
        <v/>
      </c>
      <c r="FU27" s="145">
        <f>MAX(0,6-SUMPRODUCT($FB27:$FG27,$Q$3:$V$3)+MIN(4,$FH27*1+$FI27*2,SUMPRODUCT($FB27:$FG27,$Q$3:$V$3)))+$DW27*2</f>
        <v/>
      </c>
      <c r="FV27" s="145">
        <f>MAX(0,9-SUMPRODUCT($FB27:$FG27,$Q$4:$V$4)+MIN(6,$FH27*2+$FI27*3,SUMPRODUCT($FB27:$FG27,$Q$4:$V$4)))+$DW27*3</f>
        <v/>
      </c>
      <c r="FW27" s="145">
        <f>MAX(0,12-SUMPRODUCT($FB27:$FG27,$Q$5:$V$5)+MIN(8,$FH27*2+$FI27*4,SUMPRODUCT($FB27:$FG27,$Q$5:$V$5)))+$DW27*4</f>
        <v/>
      </c>
      <c r="FX27" s="145">
        <f>MAX(0,15-SUMPRODUCT($FB27:$FG27,$Q$6:$V$6)+MIN(10,$FH27*3+$FI27*5,SUMPRODUCT($FB27:$FG27,$Q$6:$V$6)))+$DW27*5</f>
        <v/>
      </c>
      <c r="FY27" s="145">
        <f>MAX(0,18-SUMPRODUCT($FB27:$FG27,$Q$7:$V$7)+MIN(12,$FH27*3+$FI27*6,SUMPRODUCT($FB27:$FG27,$Q$7:$V$7)))+$DW27*6</f>
        <v/>
      </c>
      <c r="FZ27" s="145">
        <f>MAX(0,21-SUMPRODUCT($FB27:$FG27,$Q$8:$V$8)+MIN(14,$FH27*4+$FI27*7,SUMPRODUCT($FB27:$FG27,$Q$8:$V$8)))+$DW27*7</f>
        <v/>
      </c>
      <c r="GA27" s="145">
        <f>IF($EV27=2,3*$FT27&amp;" de vida temp.",IF($EV27=3,"sem dano",IF($FT27=0,IF($EV27=1,"sem cura","sem dano"),IF($EV27=1,"cura ","")&amp;$FT27&amp;"d8")))</f>
        <v/>
      </c>
      <c r="GB27" s="145">
        <f>IF($EV27=2,3*$FU27&amp;" de vida temp.",IF($EV27=3,"sem dano",IF($FU27=0,IF($EV27=1,"sem cura","sem dano"),IF($EV27=1,"cura ","")&amp;$FU27&amp;"d8")))</f>
        <v/>
      </c>
      <c r="GC27" s="145">
        <f>IF($EV27=2,3*$FV27&amp;" de vida temp.",IF($EV27=3,"sem dano",IF($FV27=0,IF($EV27=1,"sem cura","sem dano"),IF($EV27=1,"cura ","")&amp;$FV27&amp;"d8")))</f>
        <v/>
      </c>
      <c r="GD27" s="145">
        <f>IF($EV27=2,3*$FW27&amp;" de vida temp.",IF($EV27=3,"sem dano",IF($FW27=0,IF($EV27=1,"sem cura","sem dano"),IF($EV27=1,"cura ","")&amp;$FW27&amp;"d8")))</f>
        <v/>
      </c>
      <c r="GE27" s="145">
        <f>IF($EV27=2,3*$FX27&amp;" de vida temp.",IF($EV27=3,"sem dano",IF($FX27=0,IF($EV27=1,"sem cura","sem dano"),IF($EV27=1,"cura ","")&amp;$FX27&amp;"d8")))</f>
        <v/>
      </c>
      <c r="GF27" s="145">
        <f>IF($EV27=2,3*$FY27&amp;" de vida temp.",IF($EV27=3,"sem dano",IF($FY27=0,IF($EV27=1,"sem cura","sem dano"),IF($EV27=1,"cura ","")&amp;$FY27&amp;"d8")))</f>
        <v/>
      </c>
      <c r="GG27" s="145">
        <f>IF($EV27=2,3*$FZ27&amp;" de vida temp.",IF($EV27=3,"sem dano",IF($FZ27=0,IF($EV27=1,"sem cura","sem dano"),IF($EV27=1,"cura ","")&amp;$FZ27&amp;"d8")))</f>
        <v/>
      </c>
      <c r="GH27" s="145">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45">
        <f>IF($GH27="",0,(LEN($GH27)-LEN(SUBSTITUTE($GH27," · ","")))/3+1)</f>
        <v/>
      </c>
      <c r="GJ27" s="145">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45">
        <f>IF($GJ27="",0,(LEN($GJ27)-LEN(SUBSTITUTE($GJ27," · ","")))/3+1)</f>
        <v/>
      </c>
      <c r="GL27" s="145">
        <f>IF($EH27=0,IF($FJ27+$FK27-$EU27&gt;0,"Dê um nome",""),IF($GI27&gt;0,"⚠ "&amp;$GI27&amp;IF($GI27&gt;1," erros"," erro"),IF($GK27&gt;0,"! "&amp;$GK27&amp;IF($GK27&gt;1," avisos"," aviso"),"Na regra")))</f>
        <v/>
      </c>
      <c r="GM27" s="145">
        <f>IF($EH27=0,"",IF($GI27+$GK27=0,"Dentro das regras que a ficha confere",$GH27&amp;IF(AND($GI27&gt;0,$GK27&gt;0)," · ","")&amp;$GJ27))</f>
        <v/>
      </c>
      <c r="GN27" s="145">
        <f>IF($EH27=0,"",IF($DW27=1,CEILING(4.5*$DY27,1),3*$DY27)&amp;" PE")</f>
        <v/>
      </c>
      <c r="GO27" s="145">
        <f>IF($EH27=0,"",IF($DW27=1,"Rodada inteira",IF(COUNTIF($EZ27:$FA27,"Atrasar")&gt;0,IF(COUNTIF($EZ27:$FA27,"Carregar")&gt;0,"Rodada +1 turno","Rodada inteira"),IF(COUNTIF($EB27:$EE27,"Rápido")&gt;0,"Bônus",IF(COUNTIF($EB27:$EE27,"Reação")&gt;0,"Reação","Padrão"))&amp;IF(COUNTIF($EZ27:$FA27,"Carregar")&gt;0," +1 turno",""))))</f>
        <v/>
      </c>
      <c r="GP27" s="145">
        <f>IF(OR($EH27=0,$EI27=0),"",IF(COUNTIF($EB27:$EE27,"Inescapável")&gt;0,"Automático",IF(COUNTIF($EB27:$EE27,"Certeiro")&gt;0,"TR para metade",INDEX($AF$2:$AF$11,$EI27))))</f>
        <v/>
      </c>
      <c r="GQ27" s="145">
        <f>IF(OR($EH27=0,$EI27=0),"",IF(OR($EV27&gt;=2,$FR27=0),UPPER(LEFT(INDEX($GA27:$GG27,1,$DY27),1))&amp;MID(INDEX($GA27:$GG27,1,$DY27),2,99),UPPER(LEFT(INDEX($GA27:$GG27,1,$DY27),1))&amp;MID(INDEX($GA27:$GG27,1,$DY27),2,99)&amp;" = "&amp;FLOOR($FR27*4.5,1)&amp;IF($FS27&gt;0," · +"&amp;$FS27&amp;"d8","")))</f>
        <v/>
      </c>
      <c r="GR27" s="145">
        <f>COUNTIF($EB27:$EE27,"Longe")+3*COUNTIF($EB27:$EE27,"Muito Longe")</f>
        <v/>
      </c>
      <c r="GS27" s="145">
        <f>COUNTIF($EB27:$EE27,"Maior")+3*COUNTIF($EB27:$EE27,"Muito Maior")</f>
        <v/>
      </c>
      <c r="GT27" s="145">
        <f>IF($EI27=0,0,CHOOSE(1+INDEX($AH$2:$AH$11,$EI27),0,$GR27,$GS27,$GR27+$GS27))</f>
        <v/>
      </c>
      <c r="GU27" s="145">
        <f>IF($EI27=0,0,CHOOSE(1+INDEX($AI$2:$AI$11,$EI27),0,$GR27,$GS27,$GR27+$GS27))</f>
        <v/>
      </c>
      <c r="GV27" s="145">
        <f>IF(OR($EH27=0,$EI27=0),"",INDEX($AP$2:$AU$31,($EI27-1)*3+IF($DY27&gt;=6,3,2),1+MIN(5,$GT27))&amp;INDEX($AV$2:$BA$31,($EI27-1)*3+IF($DY27&gt;=6,3,2),1+MIN(5,$GU27))&amp;IF(INDEX($AJ$2:$AJ$11,$EI27)=1,IF(COUNTIF($EB27:$EE27,"Mais Um")&gt;0," · +"&amp;COUNTIF($EB27:$EE27,"Mais Um")&amp;IF(COUNTIF($EB27:$EE27,"Mais Um")&gt;1," alvos"," alvo"),"")&amp;IF(COUNTIF($EB27:$EE27,"Rajada")&gt;0," · "&amp;($DY27+1)&amp;" tiros",""),""))</f>
        <v/>
      </c>
      <c r="GW27" s="145">
        <f>IF($EH27=0,"",3*$DY27&amp;" − "&amp;$FL27&amp;" + "&amp;$FO27&amp;IF($DW27=1," + "&amp;$DY27,"")&amp;" = "&amp;$FR27&amp;"d8 · teto "&amp;4*$DY27&amp;IF($EU27=1," · a Forma devolve "&amp;$DY27,"")&amp;IF($FP27&gt;0," · perde "&amp;$FP27,""))</f>
        <v/>
      </c>
      <c r="GX27" s="145">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5">
        <f>IF(OR($EH27=0,$EK27=0),"","−"&amp;INDEX($Q$2:$V$8,$DY27,$EK27)&amp;" · "&amp;CHOOSE($EK27,"Leve","Média","Pesada","Leve · Livre","Média · Livre","Pesada · Livre"))</f>
        <v/>
      </c>
      <c r="GZ27" s="145">
        <f>IF(OR($EH27=0,$EL27=0),"","−"&amp;INDEX($Q$2:$V$8,$DY27,$EL27)&amp;" · "&amp;CHOOSE($EL27,"Leve","Média","Pesada","Leve · Livre","Média · Livre","Pesada · Livre"))</f>
        <v/>
      </c>
      <c r="HA27" s="145">
        <f>IF(OR($EH27=0,$EM27=0),"","−"&amp;INDEX($Q$2:$V$8,$DY27,$EM27)&amp;" · "&amp;CHOOSE($EM27,"Leve","Média","Pesada","Leve · Livre","Média · Livre","Pesada · Livre"))</f>
        <v/>
      </c>
      <c r="HB27" s="145">
        <f>IF(OR($EH27=0,$EN27=0),"","−"&amp;INDEX($Q$2:$V$8,$DY27,$EN27)&amp;" · "&amp;CHOOSE($EN27,"Leve","Média","Pesada","Leve · Livre","Média · Livre","Pesada · Livre"))</f>
        <v/>
      </c>
      <c r="HC27" s="145">
        <f>IF(OR($EH27=0,$EF27=""),"","+"&amp;IF($EX27=1,CEILING($DY27/2,1),$DY27))</f>
        <v/>
      </c>
      <c r="HD27" s="145">
        <f>IF(OR($EH27=0,$EG27=""),"","+"&amp;IF($EY27=1,CEILING($DY27/2,1),$DY27))</f>
        <v/>
      </c>
      <c r="HE27" s="145">
        <f>'FICHA AMALDIÇOADA'!$J$225&amp;""</f>
        <v/>
      </c>
      <c r="HF27" s="145">
        <f>IF(AND($EH27=1,$DW27=0),COUNTIFS($EH$2:$EH27,1,$DW$2:$DW27,0),"")</f>
        <v/>
      </c>
      <c r="HH27" s="143" t="inlineStr">
        <is>
          <t>pactos permanentes</t>
        </is>
      </c>
      <c r="HI27" s="145">
        <f>IF('FICHA AMALDIÇOADA'!$L$518="Permanente",1,0)+IF('FICHA AMALDIÇOADA'!$L$528="Permanente",1,0)+IF('FICHA AMALDIÇOADA'!$L$538="Permanente",1,0)</f>
        <v/>
      </c>
      <c r="JD27" s="145" t="n">
        <v>26</v>
      </c>
      <c r="JE27" s="145">
        <f>IFERROR(MATCH(26,$HF$2:$HF$37,0),0)</f>
        <v/>
      </c>
      <c r="JF27" s="145">
        <f>IF($JE27=0,"",INDEX($DY$2:$DY$37,$JE27))</f>
        <v/>
      </c>
      <c r="JG27" s="145">
        <f>IF($JE27=0,"",INDEX($DZ$2:$DZ$37,$JE27))</f>
        <v/>
      </c>
      <c r="JH27" s="145">
        <f>IF($JE27=0,"",INDEX($GN$2:$GN$37,$JE27))</f>
        <v/>
      </c>
      <c r="JI27" s="145">
        <f>IF($JE27=0,"",INDEX($EA$2:$EA$37,$JE27))</f>
        <v/>
      </c>
      <c r="JJ27" s="145">
        <f>IF($JE27=0,"",INDEX($GP$2:$GP$37,$JE27))</f>
        <v/>
      </c>
      <c r="JK27" s="145">
        <f>IF($JE27=0,"",INDEX($HE$2:$HE$37,$JE27))</f>
        <v/>
      </c>
      <c r="KQ27" s="143" t="inlineStr">
        <is>
          <t>J46</t>
        </is>
      </c>
      <c r="KR27" s="145">
        <f>INDEX(DADOS_AM!$P$2:$W$8,DADOS_AM!$HI$29,4)</f>
        <v/>
      </c>
    </row>
    <row r="28">
      <c r="AO28" s="143" t="inlineStr">
        <is>
          <t>Onda · classes 6 e 7</t>
        </is>
      </c>
      <c r="AP28" s="143" t="inlineStr">
        <is>
          <t>Raio 4,5 m, em você</t>
        </is>
      </c>
      <c r="AQ28" s="143" t="inlineStr">
        <is>
          <t>Raio 6 m, em você</t>
        </is>
      </c>
      <c r="AR28" s="143" t="inlineStr">
        <is>
          <t>Raio 9 m, em você</t>
        </is>
      </c>
      <c r="AS28" s="143" t="inlineStr">
        <is>
          <t>Raio 15 m, em você</t>
        </is>
      </c>
      <c r="AT28" s="143" t="inlineStr">
        <is>
          <t>Raio 15 m, em você</t>
        </is>
      </c>
      <c r="AU28" s="143" t="inlineStr">
        <is>
          <t>Raio 15 m, em você</t>
        </is>
      </c>
      <c r="AV28" s="143" t="inlineStr"/>
      <c r="AW28" s="143" t="inlineStr"/>
      <c r="AX28" s="143" t="inlineStr"/>
      <c r="AY28" s="143" t="inlineStr"/>
      <c r="AZ28" s="143" t="inlineStr"/>
      <c r="BA28" s="143" t="inlineStr"/>
      <c r="BC28" s="143" t="inlineStr">
        <is>
          <t>Agarrado</t>
        </is>
      </c>
      <c r="BD28" s="143" t="inlineStr">
        <is>
          <t>Controle</t>
        </is>
      </c>
      <c r="BE28" s="145" t="n">
        <v>1</v>
      </c>
      <c r="BF28" s="145">
        <f>$BE28+3*IFERROR(VLOOKUP($BD28,$I$2:$L$10,3,FALSE),0)</f>
        <v/>
      </c>
      <c r="BG28" s="145">
        <f>IFERROR(VLOOKUP($BD28,$I$2:$L$10,4,FALSE),0)</f>
        <v/>
      </c>
      <c r="BH28" s="145" t="n">
        <v>1</v>
      </c>
      <c r="BI28" s="145">
        <f>IF($BG28=1,"",$BC28)</f>
        <v/>
      </c>
      <c r="BJ28" s="145">
        <f>IF(AND($BE28=1,$BG28=0),$BC28,"")</f>
        <v/>
      </c>
      <c r="CC28" s="143" t="inlineStr">
        <is>
          <t>Esteio</t>
        </is>
      </c>
      <c r="CD28" s="143" t="inlineStr">
        <is>
          <t>Lapidação 7</t>
        </is>
      </c>
      <c r="CE28" s="145" t="n">
        <v>3</v>
      </c>
      <c r="CF28" s="143" t="inlineStr">
        <is>
          <t>—</t>
        </is>
      </c>
      <c r="CG28" s="14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45">
        <f>IF($CK28=1,"",IF($A$2=4,IF($CI28=1,$CC28,""),IF(OR($CI28=1,AND($A$2=3,$CJ28=1)),"",$CC28)))</f>
        <v/>
      </c>
      <c r="CI28" s="145" t="n">
        <v>1</v>
      </c>
      <c r="CJ28" s="145" t="n">
        <v>0</v>
      </c>
      <c r="CK28" s="145" t="n">
        <v>0</v>
      </c>
      <c r="CL28" s="143" t="inlineStr">
        <is>
          <t>Ao adquirir a Bênção, escolha um TR: Físico, Vigor, Intelecto ou Espírito.</t>
        </is>
      </c>
      <c r="DV28" s="143" t="inlineStr">
        <is>
          <t>Feitiço 27</t>
        </is>
      </c>
      <c r="DW28" s="145" t="n">
        <v>0</v>
      </c>
      <c r="DX28" s="145" t="n">
        <v>27</v>
      </c>
      <c r="DY28" s="145">
        <f>MAX(1,MIN(7,N('FICHA AMALDIÇOADA'!$P$223)))</f>
        <v/>
      </c>
      <c r="DZ28" s="145">
        <f>'FICHA AMALDIÇOADA'!$Q$223&amp;""</f>
        <v/>
      </c>
      <c r="EA28" s="145">
        <f>'FICHA AMALDIÇOADA'!$P$230&amp;""</f>
        <v/>
      </c>
      <c r="EB28" s="145">
        <f>'FICHA AMALDIÇOADA'!$Q$232&amp;""</f>
        <v/>
      </c>
      <c r="EC28" s="145">
        <f>'FICHA AMALDIÇOADA'!$Q$233&amp;""</f>
        <v/>
      </c>
      <c r="ED28" s="145">
        <f>'FICHA AMALDIÇOADA'!$Q$234&amp;""</f>
        <v/>
      </c>
      <c r="EE28" s="145">
        <f>'FICHA AMALDIÇOADA'!$Q$235&amp;""</f>
        <v/>
      </c>
      <c r="EF28" s="145">
        <f>'FICHA AMALDIÇOADA'!$Q$236&amp;""</f>
        <v/>
      </c>
      <c r="EG28" s="145">
        <f>'FICHA AMALDIÇOADA'!$Q$237&amp;""</f>
        <v/>
      </c>
      <c r="EH28" s="145">
        <f>IF($DZ28&lt;&gt;"",1,0)</f>
        <v/>
      </c>
      <c r="EI28" s="145">
        <f>IFERROR(MATCH($EA28,$Y$2:$Y$11,0),0)</f>
        <v/>
      </c>
      <c r="EJ28" s="145">
        <f>IF($EI28=0,0,INDEX($AB$2:$AB$11,$EI28))</f>
        <v/>
      </c>
      <c r="EK28" s="145">
        <f>IFERROR(VLOOKUP($EB28,$BC$2:$BJ$84,4,FALSE),0)</f>
        <v/>
      </c>
      <c r="EL28" s="145">
        <f>IFERROR(VLOOKUP($EC28,$BC$2:$BJ$84,4,FALSE),0)</f>
        <v/>
      </c>
      <c r="EM28" s="145">
        <f>IFERROR(VLOOKUP($ED28,$BC$2:$BJ$84,4,FALSE),0)</f>
        <v/>
      </c>
      <c r="EN28" s="145">
        <f>IFERROR(VLOOKUP($EE28,$BC$2:$BJ$84,4,FALSE),0)</f>
        <v/>
      </c>
      <c r="EO28" s="145">
        <f>IF($EI28=0,0,INDEX($AC$2:$AC$11,$EI28))</f>
        <v/>
      </c>
      <c r="EP28" s="145">
        <f>IFERROR(VLOOKUP($EB28,$BC$2:$BJ$84,5,FALSE),0)</f>
        <v/>
      </c>
      <c r="EQ28" s="145">
        <f>IFERROR(VLOOKUP($EC28,$BC$2:$BJ$84,5,FALSE),0)</f>
        <v/>
      </c>
      <c r="ER28" s="145">
        <f>IFERROR(VLOOKUP($ED28,$BC$2:$BJ$84,5,FALSE),0)</f>
        <v/>
      </c>
      <c r="ES28" s="145">
        <f>IFERROR(VLOOKUP($EE28,$BC$2:$BJ$84,5,FALSE),0)</f>
        <v/>
      </c>
      <c r="ET28" s="145">
        <f>IFERROR(VLOOKUP($EB28,$BC$2:$BJ$84,6,FALSE),0)+IFERROR(VLOOKUP($EC28,$BC$2:$BJ$84,6,FALSE),0)+IFERROR(VLOOKUP($ED28,$BC$2:$BJ$84,6,FALSE),0)+IFERROR(VLOOKUP($EE28,$BC$2:$BJ$84,6,FALSE),0)</f>
        <v/>
      </c>
      <c r="EU28" s="145">
        <f>IF($EI28=0,0,INDEX($AD$2:$AD$11,$EI28))</f>
        <v/>
      </c>
      <c r="EV28" s="145">
        <f>IF($EI28=0,0,INDEX($AE$2:$AE$11,$EI28))</f>
        <v/>
      </c>
      <c r="EW28" s="145">
        <f>IF($EI28=0,0,INDEX($AG$2:$AG$11,$EI28))</f>
        <v/>
      </c>
      <c r="EX28" s="145">
        <f>IFERROR(VLOOKUP($EF28,$BL$2:$BP$24,3,FALSE),0)</f>
        <v/>
      </c>
      <c r="EY28" s="145">
        <f>IFERROR(VLOOKUP($EG28,$BL$2:$BP$24,3,FALSE),0)</f>
        <v/>
      </c>
      <c r="EZ28" s="145">
        <f>IFERROR(VLOOKUP($EF28,$BL$2:$BP$24,2,FALSE),"")</f>
        <v/>
      </c>
      <c r="FA28" s="145">
        <f>IFERROR(VLOOKUP($EG28,$BL$2:$BP$24,2,FALSE),"")</f>
        <v/>
      </c>
      <c r="FB28" s="145">
        <f>COUNTIF($EJ28:$EN28,1)</f>
        <v/>
      </c>
      <c r="FC28" s="145">
        <f>COUNTIF($EJ28:$EN28,2)</f>
        <v/>
      </c>
      <c r="FD28" s="145">
        <f>COUNTIF($EJ28:$EN28,3)</f>
        <v/>
      </c>
      <c r="FE28" s="145">
        <f>COUNTIF($EJ28:$EN28,4)</f>
        <v/>
      </c>
      <c r="FF28" s="145">
        <f>COUNTIF($EJ28:$EN28,5)</f>
        <v/>
      </c>
      <c r="FG28" s="145">
        <f>COUNTIF($EJ28:$EN28,6)</f>
        <v/>
      </c>
      <c r="FH28" s="145">
        <f>COUNTIF($EX28:$EY28,1)</f>
        <v/>
      </c>
      <c r="FI28" s="145">
        <f>COUNTIF($EX28:$EY28,2)+$EU28</f>
        <v/>
      </c>
      <c r="FJ28" s="145">
        <f>COUNTIF($EB28:$EE28,"?*")</f>
        <v/>
      </c>
      <c r="FK28" s="145">
        <f>COUNTIF($EF28:$EG28,"?*")+$EU28</f>
        <v/>
      </c>
      <c r="FL28" s="145">
        <f>SUMPRODUCT($FB28:$FG28,INDEX($Q$2:$V$8,$DY28,0))</f>
        <v/>
      </c>
      <c r="FM28" s="145">
        <f>$FH28*CEILING($DY28/2,1)+$FI28*$DY28</f>
        <v/>
      </c>
      <c r="FN28" s="145">
        <f>MIN(2*$DY28,$FM28)</f>
        <v/>
      </c>
      <c r="FO28" s="145">
        <f>MIN($FN28,$FL28)</f>
        <v/>
      </c>
      <c r="FP28" s="145">
        <f>$FN28-$FO28</f>
        <v/>
      </c>
      <c r="FQ28" s="145">
        <f>3*$DY28-$FL28+$FO28</f>
        <v/>
      </c>
      <c r="FR28" s="145">
        <f>MAX(0,$FQ28)+$DW28*$DY28</f>
        <v/>
      </c>
      <c r="FS28" s="145">
        <f>(IF(COUNTIF($EB28:$EE28,"Salto")&gt;0,1,0)+IF(COUNTIF($EB28:$EE28,"Queima")&gt;0,1,0)+IF(COUNTIF($EB28:$EE28,"Estilhaço")&gt;0,1,0))*FLOOR($FR28/2,1)</f>
        <v/>
      </c>
      <c r="FT28" s="145">
        <f>MAX(0,3-SUMPRODUCT($FB28:$FG28,$Q$2:$V$2)+MIN(2,$FH28*1+$FI28*1,SUMPRODUCT($FB28:$FG28,$Q$2:$V$2)))+$DW28*1</f>
        <v/>
      </c>
      <c r="FU28" s="145">
        <f>MAX(0,6-SUMPRODUCT($FB28:$FG28,$Q$3:$V$3)+MIN(4,$FH28*1+$FI28*2,SUMPRODUCT($FB28:$FG28,$Q$3:$V$3)))+$DW28*2</f>
        <v/>
      </c>
      <c r="FV28" s="145">
        <f>MAX(0,9-SUMPRODUCT($FB28:$FG28,$Q$4:$V$4)+MIN(6,$FH28*2+$FI28*3,SUMPRODUCT($FB28:$FG28,$Q$4:$V$4)))+$DW28*3</f>
        <v/>
      </c>
      <c r="FW28" s="145">
        <f>MAX(0,12-SUMPRODUCT($FB28:$FG28,$Q$5:$V$5)+MIN(8,$FH28*2+$FI28*4,SUMPRODUCT($FB28:$FG28,$Q$5:$V$5)))+$DW28*4</f>
        <v/>
      </c>
      <c r="FX28" s="145">
        <f>MAX(0,15-SUMPRODUCT($FB28:$FG28,$Q$6:$V$6)+MIN(10,$FH28*3+$FI28*5,SUMPRODUCT($FB28:$FG28,$Q$6:$V$6)))+$DW28*5</f>
        <v/>
      </c>
      <c r="FY28" s="145">
        <f>MAX(0,18-SUMPRODUCT($FB28:$FG28,$Q$7:$V$7)+MIN(12,$FH28*3+$FI28*6,SUMPRODUCT($FB28:$FG28,$Q$7:$V$7)))+$DW28*6</f>
        <v/>
      </c>
      <c r="FZ28" s="145">
        <f>MAX(0,21-SUMPRODUCT($FB28:$FG28,$Q$8:$V$8)+MIN(14,$FH28*4+$FI28*7,SUMPRODUCT($FB28:$FG28,$Q$8:$V$8)))+$DW28*7</f>
        <v/>
      </c>
      <c r="GA28" s="145">
        <f>IF($EV28=2,3*$FT28&amp;" de vida temp.",IF($EV28=3,"sem dano",IF($FT28=0,IF($EV28=1,"sem cura","sem dano"),IF($EV28=1,"cura ","")&amp;$FT28&amp;"d8")))</f>
        <v/>
      </c>
      <c r="GB28" s="145">
        <f>IF($EV28=2,3*$FU28&amp;" de vida temp.",IF($EV28=3,"sem dano",IF($FU28=0,IF($EV28=1,"sem cura","sem dano"),IF($EV28=1,"cura ","")&amp;$FU28&amp;"d8")))</f>
        <v/>
      </c>
      <c r="GC28" s="145">
        <f>IF($EV28=2,3*$FV28&amp;" de vida temp.",IF($EV28=3,"sem dano",IF($FV28=0,IF($EV28=1,"sem cura","sem dano"),IF($EV28=1,"cura ","")&amp;$FV28&amp;"d8")))</f>
        <v/>
      </c>
      <c r="GD28" s="145">
        <f>IF($EV28=2,3*$FW28&amp;" de vida temp.",IF($EV28=3,"sem dano",IF($FW28=0,IF($EV28=1,"sem cura","sem dano"),IF($EV28=1,"cura ","")&amp;$FW28&amp;"d8")))</f>
        <v/>
      </c>
      <c r="GE28" s="145">
        <f>IF($EV28=2,3*$FX28&amp;" de vida temp.",IF($EV28=3,"sem dano",IF($FX28=0,IF($EV28=1,"sem cura","sem dano"),IF($EV28=1,"cura ","")&amp;$FX28&amp;"d8")))</f>
        <v/>
      </c>
      <c r="GF28" s="145">
        <f>IF($EV28=2,3*$FY28&amp;" de vida temp.",IF($EV28=3,"sem dano",IF($FY28=0,IF($EV28=1,"sem cura","sem dano"),IF($EV28=1,"cura ","")&amp;$FY28&amp;"d8")))</f>
        <v/>
      </c>
      <c r="GG28" s="145">
        <f>IF($EV28=2,3*$FZ28&amp;" de vida temp.",IF($EV28=3,"sem dano",IF($FZ28=0,IF($EV28=1,"sem cura","sem dano"),IF($EV28=1,"cura ","")&amp;$FZ28&amp;"d8")))</f>
        <v/>
      </c>
      <c r="GH28" s="145">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45">
        <f>IF($GH28="",0,(LEN($GH28)-LEN(SUBSTITUTE($GH28," · ","")))/3+1)</f>
        <v/>
      </c>
      <c r="GJ28" s="145">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45">
        <f>IF($GJ28="",0,(LEN($GJ28)-LEN(SUBSTITUTE($GJ28," · ","")))/3+1)</f>
        <v/>
      </c>
      <c r="GL28" s="145">
        <f>IF($EH28=0,IF($FJ28+$FK28-$EU28&gt;0,"Dê um nome",""),IF($GI28&gt;0,"⚠ "&amp;$GI28&amp;IF($GI28&gt;1," erros"," erro"),IF($GK28&gt;0,"! "&amp;$GK28&amp;IF($GK28&gt;1," avisos"," aviso"),"Na regra")))</f>
        <v/>
      </c>
      <c r="GM28" s="145">
        <f>IF($EH28=0,"",IF($GI28+$GK28=0,"Dentro das regras que a ficha confere",$GH28&amp;IF(AND($GI28&gt;0,$GK28&gt;0)," · ","")&amp;$GJ28))</f>
        <v/>
      </c>
      <c r="GN28" s="145">
        <f>IF($EH28=0,"",IF($DW28=1,CEILING(4.5*$DY28,1),3*$DY28)&amp;" PE")</f>
        <v/>
      </c>
      <c r="GO28" s="145">
        <f>IF($EH28=0,"",IF($DW28=1,"Rodada inteira",IF(COUNTIF($EZ28:$FA28,"Atrasar")&gt;0,IF(COUNTIF($EZ28:$FA28,"Carregar")&gt;0,"Rodada +1 turno","Rodada inteira"),IF(COUNTIF($EB28:$EE28,"Rápido")&gt;0,"Bônus",IF(COUNTIF($EB28:$EE28,"Reação")&gt;0,"Reação","Padrão"))&amp;IF(COUNTIF($EZ28:$FA28,"Carregar")&gt;0," +1 turno",""))))</f>
        <v/>
      </c>
      <c r="GP28" s="145">
        <f>IF(OR($EH28=0,$EI28=0),"",IF(COUNTIF($EB28:$EE28,"Inescapável")&gt;0,"Automático",IF(COUNTIF($EB28:$EE28,"Certeiro")&gt;0,"TR para metade",INDEX($AF$2:$AF$11,$EI28))))</f>
        <v/>
      </c>
      <c r="GQ28" s="145">
        <f>IF(OR($EH28=0,$EI28=0),"",IF(OR($EV28&gt;=2,$FR28=0),UPPER(LEFT(INDEX($GA28:$GG28,1,$DY28),1))&amp;MID(INDEX($GA28:$GG28,1,$DY28),2,99),UPPER(LEFT(INDEX($GA28:$GG28,1,$DY28),1))&amp;MID(INDEX($GA28:$GG28,1,$DY28),2,99)&amp;" = "&amp;FLOOR($FR28*4.5,1)&amp;IF($FS28&gt;0," · +"&amp;$FS28&amp;"d8","")))</f>
        <v/>
      </c>
      <c r="GR28" s="145">
        <f>COUNTIF($EB28:$EE28,"Longe")+3*COUNTIF($EB28:$EE28,"Muito Longe")</f>
        <v/>
      </c>
      <c r="GS28" s="145">
        <f>COUNTIF($EB28:$EE28,"Maior")+3*COUNTIF($EB28:$EE28,"Muito Maior")</f>
        <v/>
      </c>
      <c r="GT28" s="145">
        <f>IF($EI28=0,0,CHOOSE(1+INDEX($AH$2:$AH$11,$EI28),0,$GR28,$GS28,$GR28+$GS28))</f>
        <v/>
      </c>
      <c r="GU28" s="145">
        <f>IF($EI28=0,0,CHOOSE(1+INDEX($AI$2:$AI$11,$EI28),0,$GR28,$GS28,$GR28+$GS28))</f>
        <v/>
      </c>
      <c r="GV28" s="145">
        <f>IF(OR($EH28=0,$EI28=0),"",INDEX($AP$2:$AU$31,($EI28-1)*3+IF($DY28&gt;=6,3,2),1+MIN(5,$GT28))&amp;INDEX($AV$2:$BA$31,($EI28-1)*3+IF($DY28&gt;=6,3,2),1+MIN(5,$GU28))&amp;IF(INDEX($AJ$2:$AJ$11,$EI28)=1,IF(COUNTIF($EB28:$EE28,"Mais Um")&gt;0," · +"&amp;COUNTIF($EB28:$EE28,"Mais Um")&amp;IF(COUNTIF($EB28:$EE28,"Mais Um")&gt;1," alvos"," alvo"),"")&amp;IF(COUNTIF($EB28:$EE28,"Rajada")&gt;0," · "&amp;($DY28+1)&amp;" tiros",""),""))</f>
        <v/>
      </c>
      <c r="GW28" s="145">
        <f>IF($EH28=0,"",3*$DY28&amp;" − "&amp;$FL28&amp;" + "&amp;$FO28&amp;IF($DW28=1," + "&amp;$DY28,"")&amp;" = "&amp;$FR28&amp;"d8 · teto "&amp;4*$DY28&amp;IF($EU28=1," · a Forma devolve "&amp;$DY28,"")&amp;IF($FP28&gt;0," · perde "&amp;$FP28,""))</f>
        <v/>
      </c>
      <c r="GX28" s="145">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5">
        <f>IF(OR($EH28=0,$EK28=0),"","−"&amp;INDEX($Q$2:$V$8,$DY28,$EK28)&amp;" · "&amp;CHOOSE($EK28,"Leve","Média","Pesada","Leve · Livre","Média · Livre","Pesada · Livre"))</f>
        <v/>
      </c>
      <c r="GZ28" s="145">
        <f>IF(OR($EH28=0,$EL28=0),"","−"&amp;INDEX($Q$2:$V$8,$DY28,$EL28)&amp;" · "&amp;CHOOSE($EL28,"Leve","Média","Pesada","Leve · Livre","Média · Livre","Pesada · Livre"))</f>
        <v/>
      </c>
      <c r="HA28" s="145">
        <f>IF(OR($EH28=0,$EM28=0),"","−"&amp;INDEX($Q$2:$V$8,$DY28,$EM28)&amp;" · "&amp;CHOOSE($EM28,"Leve","Média","Pesada","Leve · Livre","Média · Livre","Pesada · Livre"))</f>
        <v/>
      </c>
      <c r="HB28" s="145">
        <f>IF(OR($EH28=0,$EN28=0),"","−"&amp;INDEX($Q$2:$V$8,$DY28,$EN28)&amp;" · "&amp;CHOOSE($EN28,"Leve","Média","Pesada","Leve · Livre","Média · Livre","Pesada · Livre"))</f>
        <v/>
      </c>
      <c r="HC28" s="145">
        <f>IF(OR($EH28=0,$EF28=""),"","+"&amp;IF($EX28=1,CEILING($DY28/2,1),$DY28))</f>
        <v/>
      </c>
      <c r="HD28" s="145">
        <f>IF(OR($EH28=0,$EG28=""),"","+"&amp;IF($EY28=1,CEILING($DY28/2,1),$DY28))</f>
        <v/>
      </c>
      <c r="HE28" s="145">
        <f>'FICHA AMALDIÇOADA'!$P$225&amp;""</f>
        <v/>
      </c>
      <c r="HF28" s="145">
        <f>IF(AND($EH28=1,$DW28=0),COUNTIFS($EH$2:$EH28,1,$DW$2:$DW28,0),"")</f>
        <v/>
      </c>
      <c r="HH28" s="143" t="inlineStr">
        <is>
          <t>teto de pactos</t>
        </is>
      </c>
      <c r="HI28" s="145">
        <f>FLOOR($HI$7/2,1)</f>
        <v/>
      </c>
      <c r="JD28" s="145" t="n">
        <v>27</v>
      </c>
      <c r="JE28" s="145">
        <f>IFERROR(MATCH(27,$HF$2:$HF$37,0),0)</f>
        <v/>
      </c>
      <c r="JF28" s="145">
        <f>IF($JE28=0,"",INDEX($DY$2:$DY$37,$JE28))</f>
        <v/>
      </c>
      <c r="JG28" s="145">
        <f>IF($JE28=0,"",INDEX($DZ$2:$DZ$37,$JE28))</f>
        <v/>
      </c>
      <c r="JH28" s="145">
        <f>IF($JE28=0,"",INDEX($GN$2:$GN$37,$JE28))</f>
        <v/>
      </c>
      <c r="JI28" s="145">
        <f>IF($JE28=0,"",INDEX($EA$2:$EA$37,$JE28))</f>
        <v/>
      </c>
      <c r="JJ28" s="145">
        <f>IF($JE28=0,"",INDEX($GP$2:$GP$37,$JE28))</f>
        <v/>
      </c>
      <c r="JK28" s="145">
        <f>IF($JE28=0,"",INDEX($HE$2:$HE$37,$JE28))</f>
        <v/>
      </c>
      <c r="KQ28" s="143" t="inlineStr">
        <is>
          <t>K46</t>
        </is>
      </c>
      <c r="KR28" s="145">
        <f>2*DADOS_AM!$HI$29</f>
        <v/>
      </c>
    </row>
    <row r="29">
      <c r="AO29" s="143" t="inlineStr">
        <is>
          <t>Efeito · classe 0</t>
        </is>
      </c>
      <c r="AP29" s="143" t="inlineStr">
        <is>
          <t>Fora de combate</t>
        </is>
      </c>
      <c r="AQ29" s="143" t="inlineStr">
        <is>
          <t>Fora de combate</t>
        </is>
      </c>
      <c r="AR29" s="143" t="inlineStr">
        <is>
          <t>Fora de combate</t>
        </is>
      </c>
      <c r="AS29" s="143" t="inlineStr">
        <is>
          <t>Fora de combate</t>
        </is>
      </c>
      <c r="AT29" s="143" t="inlineStr">
        <is>
          <t>Fora de combate</t>
        </is>
      </c>
      <c r="AU29" s="143" t="inlineStr">
        <is>
          <t>Fora de combate</t>
        </is>
      </c>
      <c r="AV29" s="143" t="inlineStr"/>
      <c r="AW29" s="143" t="inlineStr"/>
      <c r="AX29" s="143" t="inlineStr"/>
      <c r="AY29" s="143" t="inlineStr"/>
      <c r="AZ29" s="143" t="inlineStr"/>
      <c r="BA29" s="143" t="inlineStr"/>
      <c r="BC29" s="143" t="inlineStr">
        <is>
          <t>Desarmado</t>
        </is>
      </c>
      <c r="BD29" s="143" t="inlineStr">
        <is>
          <t>Controle</t>
        </is>
      </c>
      <c r="BE29" s="145" t="n">
        <v>1</v>
      </c>
      <c r="BF29" s="145">
        <f>$BE29+3*IFERROR(VLOOKUP($BD29,$I$2:$L$10,3,FALSE),0)</f>
        <v/>
      </c>
      <c r="BG29" s="145">
        <f>IFERROR(VLOOKUP($BD29,$I$2:$L$10,4,FALSE),0)</f>
        <v/>
      </c>
      <c r="BH29" s="145" t="n">
        <v>1</v>
      </c>
      <c r="BI29" s="145">
        <f>IF($BG29=1,"",$BC29)</f>
        <v/>
      </c>
      <c r="BJ29" s="145">
        <f>IF(AND($BE29=1,$BG29=0),$BC29,"")</f>
        <v/>
      </c>
      <c r="CC29" s="143" t="inlineStr">
        <is>
          <t>Antecipar</t>
        </is>
      </c>
      <c r="CD29" s="143" t="inlineStr">
        <is>
          <t>Lapidação 4 e Inteligência 4</t>
        </is>
      </c>
      <c r="CE29" s="145" t="n">
        <v>2</v>
      </c>
      <c r="CF29" s="143" t="inlineStr">
        <is>
          <t>—</t>
        </is>
      </c>
      <c r="CG29" s="14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45">
        <f>IF($CK29=1,"",IF($A$2=4,IF($CI29=1,$CC29,""),IF(OR($CI29=1,AND($A$2=3,$CJ29=1)),"",$CC29)))</f>
        <v/>
      </c>
      <c r="CI29" s="145" t="n">
        <v>1</v>
      </c>
      <c r="CJ29" s="145" t="n">
        <v>0</v>
      </c>
      <c r="CK29" s="145" t="n">
        <v>0</v>
      </c>
      <c r="CL29" s="143" t="inlineStr">
        <is>
          <t>Depois de falhar num TR contra um efeito, você recebe vantagem nos próximos TRs contra esse mesmo efeito, produzido pela mesma fonte, até o fim da cena.</t>
        </is>
      </c>
      <c r="DV29" s="143" t="inlineStr">
        <is>
          <t>Feitiço 28</t>
        </is>
      </c>
      <c r="DW29" s="145" t="n">
        <v>0</v>
      </c>
      <c r="DX29" s="145" t="n">
        <v>28</v>
      </c>
      <c r="DY29" s="145">
        <f>MAX(1,MIN(7,N('FICHA AMALDIÇOADA'!$D$244)))</f>
        <v/>
      </c>
      <c r="DZ29" s="145">
        <f>'FICHA AMALDIÇOADA'!$E$244&amp;""</f>
        <v/>
      </c>
      <c r="EA29" s="145">
        <f>'FICHA AMALDIÇOADA'!$D$251&amp;""</f>
        <v/>
      </c>
      <c r="EB29" s="145">
        <f>'FICHA AMALDIÇOADA'!$E$253&amp;""</f>
        <v/>
      </c>
      <c r="EC29" s="145">
        <f>'FICHA AMALDIÇOADA'!$E$254&amp;""</f>
        <v/>
      </c>
      <c r="ED29" s="145">
        <f>'FICHA AMALDIÇOADA'!$E$255&amp;""</f>
        <v/>
      </c>
      <c r="EE29" s="145">
        <f>'FICHA AMALDIÇOADA'!$E$256&amp;""</f>
        <v/>
      </c>
      <c r="EF29" s="145">
        <f>'FICHA AMALDIÇOADA'!$E$257&amp;""</f>
        <v/>
      </c>
      <c r="EG29" s="145">
        <f>'FICHA AMALDIÇOADA'!$E$258&amp;""</f>
        <v/>
      </c>
      <c r="EH29" s="145">
        <f>IF($DZ29&lt;&gt;"",1,0)</f>
        <v/>
      </c>
      <c r="EI29" s="145">
        <f>IFERROR(MATCH($EA29,$Y$2:$Y$11,0),0)</f>
        <v/>
      </c>
      <c r="EJ29" s="145">
        <f>IF($EI29=0,0,INDEX($AB$2:$AB$11,$EI29))</f>
        <v/>
      </c>
      <c r="EK29" s="145">
        <f>IFERROR(VLOOKUP($EB29,$BC$2:$BJ$84,4,FALSE),0)</f>
        <v/>
      </c>
      <c r="EL29" s="145">
        <f>IFERROR(VLOOKUP($EC29,$BC$2:$BJ$84,4,FALSE),0)</f>
        <v/>
      </c>
      <c r="EM29" s="145">
        <f>IFERROR(VLOOKUP($ED29,$BC$2:$BJ$84,4,FALSE),0)</f>
        <v/>
      </c>
      <c r="EN29" s="145">
        <f>IFERROR(VLOOKUP($EE29,$BC$2:$BJ$84,4,FALSE),0)</f>
        <v/>
      </c>
      <c r="EO29" s="145">
        <f>IF($EI29=0,0,INDEX($AC$2:$AC$11,$EI29))</f>
        <v/>
      </c>
      <c r="EP29" s="145">
        <f>IFERROR(VLOOKUP($EB29,$BC$2:$BJ$84,5,FALSE),0)</f>
        <v/>
      </c>
      <c r="EQ29" s="145">
        <f>IFERROR(VLOOKUP($EC29,$BC$2:$BJ$84,5,FALSE),0)</f>
        <v/>
      </c>
      <c r="ER29" s="145">
        <f>IFERROR(VLOOKUP($ED29,$BC$2:$BJ$84,5,FALSE),0)</f>
        <v/>
      </c>
      <c r="ES29" s="145">
        <f>IFERROR(VLOOKUP($EE29,$BC$2:$BJ$84,5,FALSE),0)</f>
        <v/>
      </c>
      <c r="ET29" s="145">
        <f>IFERROR(VLOOKUP($EB29,$BC$2:$BJ$84,6,FALSE),0)+IFERROR(VLOOKUP($EC29,$BC$2:$BJ$84,6,FALSE),0)+IFERROR(VLOOKUP($ED29,$BC$2:$BJ$84,6,FALSE),0)+IFERROR(VLOOKUP($EE29,$BC$2:$BJ$84,6,FALSE),0)</f>
        <v/>
      </c>
      <c r="EU29" s="145">
        <f>IF($EI29=0,0,INDEX($AD$2:$AD$11,$EI29))</f>
        <v/>
      </c>
      <c r="EV29" s="145">
        <f>IF($EI29=0,0,INDEX($AE$2:$AE$11,$EI29))</f>
        <v/>
      </c>
      <c r="EW29" s="145">
        <f>IF($EI29=0,0,INDEX($AG$2:$AG$11,$EI29))</f>
        <v/>
      </c>
      <c r="EX29" s="145">
        <f>IFERROR(VLOOKUP($EF29,$BL$2:$BP$24,3,FALSE),0)</f>
        <v/>
      </c>
      <c r="EY29" s="145">
        <f>IFERROR(VLOOKUP($EG29,$BL$2:$BP$24,3,FALSE),0)</f>
        <v/>
      </c>
      <c r="EZ29" s="145">
        <f>IFERROR(VLOOKUP($EF29,$BL$2:$BP$24,2,FALSE),"")</f>
        <v/>
      </c>
      <c r="FA29" s="145">
        <f>IFERROR(VLOOKUP($EG29,$BL$2:$BP$24,2,FALSE),"")</f>
        <v/>
      </c>
      <c r="FB29" s="145">
        <f>COUNTIF($EJ29:$EN29,1)</f>
        <v/>
      </c>
      <c r="FC29" s="145">
        <f>COUNTIF($EJ29:$EN29,2)</f>
        <v/>
      </c>
      <c r="FD29" s="145">
        <f>COUNTIF($EJ29:$EN29,3)</f>
        <v/>
      </c>
      <c r="FE29" s="145">
        <f>COUNTIF($EJ29:$EN29,4)</f>
        <v/>
      </c>
      <c r="FF29" s="145">
        <f>COUNTIF($EJ29:$EN29,5)</f>
        <v/>
      </c>
      <c r="FG29" s="145">
        <f>COUNTIF($EJ29:$EN29,6)</f>
        <v/>
      </c>
      <c r="FH29" s="145">
        <f>COUNTIF($EX29:$EY29,1)</f>
        <v/>
      </c>
      <c r="FI29" s="145">
        <f>COUNTIF($EX29:$EY29,2)+$EU29</f>
        <v/>
      </c>
      <c r="FJ29" s="145">
        <f>COUNTIF($EB29:$EE29,"?*")</f>
        <v/>
      </c>
      <c r="FK29" s="145">
        <f>COUNTIF($EF29:$EG29,"?*")+$EU29</f>
        <v/>
      </c>
      <c r="FL29" s="145">
        <f>SUMPRODUCT($FB29:$FG29,INDEX($Q$2:$V$8,$DY29,0))</f>
        <v/>
      </c>
      <c r="FM29" s="145">
        <f>$FH29*CEILING($DY29/2,1)+$FI29*$DY29</f>
        <v/>
      </c>
      <c r="FN29" s="145">
        <f>MIN(2*$DY29,$FM29)</f>
        <v/>
      </c>
      <c r="FO29" s="145">
        <f>MIN($FN29,$FL29)</f>
        <v/>
      </c>
      <c r="FP29" s="145">
        <f>$FN29-$FO29</f>
        <v/>
      </c>
      <c r="FQ29" s="145">
        <f>3*$DY29-$FL29+$FO29</f>
        <v/>
      </c>
      <c r="FR29" s="145">
        <f>MAX(0,$FQ29)+$DW29*$DY29</f>
        <v/>
      </c>
      <c r="FS29" s="145">
        <f>(IF(COUNTIF($EB29:$EE29,"Salto")&gt;0,1,0)+IF(COUNTIF($EB29:$EE29,"Queima")&gt;0,1,0)+IF(COUNTIF($EB29:$EE29,"Estilhaço")&gt;0,1,0))*FLOOR($FR29/2,1)</f>
        <v/>
      </c>
      <c r="FT29" s="145">
        <f>MAX(0,3-SUMPRODUCT($FB29:$FG29,$Q$2:$V$2)+MIN(2,$FH29*1+$FI29*1,SUMPRODUCT($FB29:$FG29,$Q$2:$V$2)))+$DW29*1</f>
        <v/>
      </c>
      <c r="FU29" s="145">
        <f>MAX(0,6-SUMPRODUCT($FB29:$FG29,$Q$3:$V$3)+MIN(4,$FH29*1+$FI29*2,SUMPRODUCT($FB29:$FG29,$Q$3:$V$3)))+$DW29*2</f>
        <v/>
      </c>
      <c r="FV29" s="145">
        <f>MAX(0,9-SUMPRODUCT($FB29:$FG29,$Q$4:$V$4)+MIN(6,$FH29*2+$FI29*3,SUMPRODUCT($FB29:$FG29,$Q$4:$V$4)))+$DW29*3</f>
        <v/>
      </c>
      <c r="FW29" s="145">
        <f>MAX(0,12-SUMPRODUCT($FB29:$FG29,$Q$5:$V$5)+MIN(8,$FH29*2+$FI29*4,SUMPRODUCT($FB29:$FG29,$Q$5:$V$5)))+$DW29*4</f>
        <v/>
      </c>
      <c r="FX29" s="145">
        <f>MAX(0,15-SUMPRODUCT($FB29:$FG29,$Q$6:$V$6)+MIN(10,$FH29*3+$FI29*5,SUMPRODUCT($FB29:$FG29,$Q$6:$V$6)))+$DW29*5</f>
        <v/>
      </c>
      <c r="FY29" s="145">
        <f>MAX(0,18-SUMPRODUCT($FB29:$FG29,$Q$7:$V$7)+MIN(12,$FH29*3+$FI29*6,SUMPRODUCT($FB29:$FG29,$Q$7:$V$7)))+$DW29*6</f>
        <v/>
      </c>
      <c r="FZ29" s="145">
        <f>MAX(0,21-SUMPRODUCT($FB29:$FG29,$Q$8:$V$8)+MIN(14,$FH29*4+$FI29*7,SUMPRODUCT($FB29:$FG29,$Q$8:$V$8)))+$DW29*7</f>
        <v/>
      </c>
      <c r="GA29" s="145">
        <f>IF($EV29=2,3*$FT29&amp;" de vida temp.",IF($EV29=3,"sem dano",IF($FT29=0,IF($EV29=1,"sem cura","sem dano"),IF($EV29=1,"cura ","")&amp;$FT29&amp;"d8")))</f>
        <v/>
      </c>
      <c r="GB29" s="145">
        <f>IF($EV29=2,3*$FU29&amp;" de vida temp.",IF($EV29=3,"sem dano",IF($FU29=0,IF($EV29=1,"sem cura","sem dano"),IF($EV29=1,"cura ","")&amp;$FU29&amp;"d8")))</f>
        <v/>
      </c>
      <c r="GC29" s="145">
        <f>IF($EV29=2,3*$FV29&amp;" de vida temp.",IF($EV29=3,"sem dano",IF($FV29=0,IF($EV29=1,"sem cura","sem dano"),IF($EV29=1,"cura ","")&amp;$FV29&amp;"d8")))</f>
        <v/>
      </c>
      <c r="GD29" s="145">
        <f>IF($EV29=2,3*$FW29&amp;" de vida temp.",IF($EV29=3,"sem dano",IF($FW29=0,IF($EV29=1,"sem cura","sem dano"),IF($EV29=1,"cura ","")&amp;$FW29&amp;"d8")))</f>
        <v/>
      </c>
      <c r="GE29" s="145">
        <f>IF($EV29=2,3*$FX29&amp;" de vida temp.",IF($EV29=3,"sem dano",IF($FX29=0,IF($EV29=1,"sem cura","sem dano"),IF($EV29=1,"cura ","")&amp;$FX29&amp;"d8")))</f>
        <v/>
      </c>
      <c r="GF29" s="145">
        <f>IF($EV29=2,3*$FY29&amp;" de vida temp.",IF($EV29=3,"sem dano",IF($FY29=0,IF($EV29=1,"sem cura","sem dano"),IF($EV29=1,"cura ","")&amp;$FY29&amp;"d8")))</f>
        <v/>
      </c>
      <c r="GG29" s="145">
        <f>IF($EV29=2,3*$FZ29&amp;" de vida temp.",IF($EV29=3,"sem dano",IF($FZ29=0,IF($EV29=1,"sem cura","sem dano"),IF($EV29=1,"cura ","")&amp;$FZ29&amp;"d8")))</f>
        <v/>
      </c>
      <c r="GH29" s="145">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45">
        <f>IF($GH29="",0,(LEN($GH29)-LEN(SUBSTITUTE($GH29," · ","")))/3+1)</f>
        <v/>
      </c>
      <c r="GJ29" s="145">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45">
        <f>IF($GJ29="",0,(LEN($GJ29)-LEN(SUBSTITUTE($GJ29," · ","")))/3+1)</f>
        <v/>
      </c>
      <c r="GL29" s="145">
        <f>IF($EH29=0,IF($FJ29+$FK29-$EU29&gt;0,"Dê um nome",""),IF($GI29&gt;0,"⚠ "&amp;$GI29&amp;IF($GI29&gt;1," erros"," erro"),IF($GK29&gt;0,"! "&amp;$GK29&amp;IF($GK29&gt;1," avisos"," aviso"),"Na regra")))</f>
        <v/>
      </c>
      <c r="GM29" s="145">
        <f>IF($EH29=0,"",IF($GI29+$GK29=0,"Dentro das regras que a ficha confere",$GH29&amp;IF(AND($GI29&gt;0,$GK29&gt;0)," · ","")&amp;$GJ29))</f>
        <v/>
      </c>
      <c r="GN29" s="145">
        <f>IF($EH29=0,"",IF($DW29=1,CEILING(4.5*$DY29,1),3*$DY29)&amp;" PE")</f>
        <v/>
      </c>
      <c r="GO29" s="145">
        <f>IF($EH29=0,"",IF($DW29=1,"Rodada inteira",IF(COUNTIF($EZ29:$FA29,"Atrasar")&gt;0,IF(COUNTIF($EZ29:$FA29,"Carregar")&gt;0,"Rodada +1 turno","Rodada inteira"),IF(COUNTIF($EB29:$EE29,"Rápido")&gt;0,"Bônus",IF(COUNTIF($EB29:$EE29,"Reação")&gt;0,"Reação","Padrão"))&amp;IF(COUNTIF($EZ29:$FA29,"Carregar")&gt;0," +1 turno",""))))</f>
        <v/>
      </c>
      <c r="GP29" s="145">
        <f>IF(OR($EH29=0,$EI29=0),"",IF(COUNTIF($EB29:$EE29,"Inescapável")&gt;0,"Automático",IF(COUNTIF($EB29:$EE29,"Certeiro")&gt;0,"TR para metade",INDEX($AF$2:$AF$11,$EI29))))</f>
        <v/>
      </c>
      <c r="GQ29" s="145">
        <f>IF(OR($EH29=0,$EI29=0),"",IF(OR($EV29&gt;=2,$FR29=0),UPPER(LEFT(INDEX($GA29:$GG29,1,$DY29),1))&amp;MID(INDEX($GA29:$GG29,1,$DY29),2,99),UPPER(LEFT(INDEX($GA29:$GG29,1,$DY29),1))&amp;MID(INDEX($GA29:$GG29,1,$DY29),2,99)&amp;" = "&amp;FLOOR($FR29*4.5,1)&amp;IF($FS29&gt;0," · +"&amp;$FS29&amp;"d8","")))</f>
        <v/>
      </c>
      <c r="GR29" s="145">
        <f>COUNTIF($EB29:$EE29,"Longe")+3*COUNTIF($EB29:$EE29,"Muito Longe")</f>
        <v/>
      </c>
      <c r="GS29" s="145">
        <f>COUNTIF($EB29:$EE29,"Maior")+3*COUNTIF($EB29:$EE29,"Muito Maior")</f>
        <v/>
      </c>
      <c r="GT29" s="145">
        <f>IF($EI29=0,0,CHOOSE(1+INDEX($AH$2:$AH$11,$EI29),0,$GR29,$GS29,$GR29+$GS29))</f>
        <v/>
      </c>
      <c r="GU29" s="145">
        <f>IF($EI29=0,0,CHOOSE(1+INDEX($AI$2:$AI$11,$EI29),0,$GR29,$GS29,$GR29+$GS29))</f>
        <v/>
      </c>
      <c r="GV29" s="145">
        <f>IF(OR($EH29=0,$EI29=0),"",INDEX($AP$2:$AU$31,($EI29-1)*3+IF($DY29&gt;=6,3,2),1+MIN(5,$GT29))&amp;INDEX($AV$2:$BA$31,($EI29-1)*3+IF($DY29&gt;=6,3,2),1+MIN(5,$GU29))&amp;IF(INDEX($AJ$2:$AJ$11,$EI29)=1,IF(COUNTIF($EB29:$EE29,"Mais Um")&gt;0," · +"&amp;COUNTIF($EB29:$EE29,"Mais Um")&amp;IF(COUNTIF($EB29:$EE29,"Mais Um")&gt;1," alvos"," alvo"),"")&amp;IF(COUNTIF($EB29:$EE29,"Rajada")&gt;0," · "&amp;($DY29+1)&amp;" tiros",""),""))</f>
        <v/>
      </c>
      <c r="GW29" s="145">
        <f>IF($EH29=0,"",3*$DY29&amp;" − "&amp;$FL29&amp;" + "&amp;$FO29&amp;IF($DW29=1," + "&amp;$DY29,"")&amp;" = "&amp;$FR29&amp;"d8 · teto "&amp;4*$DY29&amp;IF($EU29=1," · a Forma devolve "&amp;$DY29,"")&amp;IF($FP29&gt;0," · perde "&amp;$FP29,""))</f>
        <v/>
      </c>
      <c r="GX29" s="145">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5">
        <f>IF(OR($EH29=0,$EK29=0),"","−"&amp;INDEX($Q$2:$V$8,$DY29,$EK29)&amp;" · "&amp;CHOOSE($EK29,"Leve","Média","Pesada","Leve · Livre","Média · Livre","Pesada · Livre"))</f>
        <v/>
      </c>
      <c r="GZ29" s="145">
        <f>IF(OR($EH29=0,$EL29=0),"","−"&amp;INDEX($Q$2:$V$8,$DY29,$EL29)&amp;" · "&amp;CHOOSE($EL29,"Leve","Média","Pesada","Leve · Livre","Média · Livre","Pesada · Livre"))</f>
        <v/>
      </c>
      <c r="HA29" s="145">
        <f>IF(OR($EH29=0,$EM29=0),"","−"&amp;INDEX($Q$2:$V$8,$DY29,$EM29)&amp;" · "&amp;CHOOSE($EM29,"Leve","Média","Pesada","Leve · Livre","Média · Livre","Pesada · Livre"))</f>
        <v/>
      </c>
      <c r="HB29" s="145">
        <f>IF(OR($EH29=0,$EN29=0),"","−"&amp;INDEX($Q$2:$V$8,$DY29,$EN29)&amp;" · "&amp;CHOOSE($EN29,"Leve","Média","Pesada","Leve · Livre","Média · Livre","Pesada · Livre"))</f>
        <v/>
      </c>
      <c r="HC29" s="145">
        <f>IF(OR($EH29=0,$EF29=""),"","+"&amp;IF($EX29=1,CEILING($DY29/2,1),$DY29))</f>
        <v/>
      </c>
      <c r="HD29" s="145">
        <f>IF(OR($EH29=0,$EG29=""),"","+"&amp;IF($EY29=1,CEILING($DY29/2,1),$DY29))</f>
        <v/>
      </c>
      <c r="HE29" s="145">
        <f>'FICHA AMALDIÇOADA'!$D$246&amp;""</f>
        <v/>
      </c>
      <c r="HF29" s="145">
        <f>IF(AND($EH29=1,$DW29=0),COUNTIFS($EH$2:$EH29,1,$DW$2:$DW29,0),"")</f>
        <v/>
      </c>
      <c r="HH29" s="143" t="inlineStr">
        <is>
          <t>classe do índice</t>
        </is>
      </c>
      <c r="HI29" s="145">
        <f>IF(N('FICHA AMALDIÇOADA'!$D$46)&lt;1,$HI$4,MIN(7,N('FICHA AMALDIÇOADA'!$D$46)))</f>
        <v/>
      </c>
      <c r="JD29" s="145" t="n">
        <v>28</v>
      </c>
      <c r="JE29" s="145">
        <f>IFERROR(MATCH(28,$HF$2:$HF$37,0),0)</f>
        <v/>
      </c>
      <c r="JF29" s="145">
        <f>IF($JE29=0,"",INDEX($DY$2:$DY$37,$JE29))</f>
        <v/>
      </c>
      <c r="JG29" s="145">
        <f>IF($JE29=0,"",INDEX($DZ$2:$DZ$37,$JE29))</f>
        <v/>
      </c>
      <c r="JH29" s="145">
        <f>IF($JE29=0,"",INDEX($GN$2:$GN$37,$JE29))</f>
        <v/>
      </c>
      <c r="JI29" s="145">
        <f>IF($JE29=0,"",INDEX($EA$2:$EA$37,$JE29))</f>
        <v/>
      </c>
      <c r="JJ29" s="145">
        <f>IF($JE29=0,"",INDEX($GP$2:$GP$37,$JE29))</f>
        <v/>
      </c>
      <c r="JK29" s="145">
        <f>IF($JE29=0,"",INDEX($HE$2:$HE$37,$JE29))</f>
        <v/>
      </c>
      <c r="KQ29" s="143" t="inlineStr">
        <is>
          <t>L46</t>
        </is>
      </c>
      <c r="KR29" s="145">
        <f>4*DADOS_AM!$HI$29</f>
        <v/>
      </c>
    </row>
    <row r="30">
      <c r="AO30" s="143" t="inlineStr">
        <is>
          <t>Efeito · classes 1 a 5</t>
        </is>
      </c>
      <c r="AP30" s="143" t="inlineStr">
        <is>
          <t>Fora de combate</t>
        </is>
      </c>
      <c r="AQ30" s="143" t="inlineStr">
        <is>
          <t>Fora de combate</t>
        </is>
      </c>
      <c r="AR30" s="143" t="inlineStr">
        <is>
          <t>Fora de combate</t>
        </is>
      </c>
      <c r="AS30" s="143" t="inlineStr">
        <is>
          <t>Fora de combate</t>
        </is>
      </c>
      <c r="AT30" s="143" t="inlineStr">
        <is>
          <t>Fora de combate</t>
        </is>
      </c>
      <c r="AU30" s="143" t="inlineStr">
        <is>
          <t>Fora de combate</t>
        </is>
      </c>
      <c r="AV30" s="143" t="inlineStr"/>
      <c r="AW30" s="143" t="inlineStr"/>
      <c r="AX30" s="143" t="inlineStr"/>
      <c r="AY30" s="143" t="inlineStr"/>
      <c r="AZ30" s="143" t="inlineStr"/>
      <c r="BA30" s="143" t="inlineStr"/>
      <c r="BC30" s="143" t="inlineStr">
        <is>
          <t>Surdo</t>
        </is>
      </c>
      <c r="BD30" s="143" t="inlineStr">
        <is>
          <t>Controle</t>
        </is>
      </c>
      <c r="BE30" s="145" t="n">
        <v>1</v>
      </c>
      <c r="BF30" s="145">
        <f>$BE30+3*IFERROR(VLOOKUP($BD30,$I$2:$L$10,3,FALSE),0)</f>
        <v/>
      </c>
      <c r="BG30" s="145">
        <f>IFERROR(VLOOKUP($BD30,$I$2:$L$10,4,FALSE),0)</f>
        <v/>
      </c>
      <c r="BH30" s="145" t="n">
        <v>1</v>
      </c>
      <c r="BI30" s="145">
        <f>IF($BG30=1,"",$BC30)</f>
        <v/>
      </c>
      <c r="BJ30" s="145">
        <f>IF(AND($BE30=1,$BG30=0),$BC30,"")</f>
        <v/>
      </c>
      <c r="CC30" s="143" t="inlineStr">
        <is>
          <t>Campo</t>
        </is>
      </c>
      <c r="CD30" s="143" t="inlineStr">
        <is>
          <t>Lapidação 1</t>
        </is>
      </c>
      <c r="CE30" s="145" t="n">
        <v>1</v>
      </c>
      <c r="CF30" s="143" t="inlineStr">
        <is>
          <t>—</t>
        </is>
      </c>
      <c r="CG30" s="143" t="inlineStr">
        <is>
          <t>Uma vez por cena, você pode realizar Estudar como Ação Bônus, em vez de Ação Padrão. Use a ação descrita em Ações — Estudar, com seus alvos, testes e informações disponíveis.</t>
        </is>
      </c>
      <c r="CH30" s="145">
        <f>IF($CK30=1,"",IF($A$2=4,IF($CI30=1,$CC30,""),IF(OR($CI30=1,AND($A$2=3,$CJ30=1)),"",$CC30)))</f>
        <v/>
      </c>
      <c r="CI30" s="145" t="n">
        <v>1</v>
      </c>
      <c r="CJ30" s="145" t="n">
        <v>0</v>
      </c>
      <c r="CK30" s="145" t="n">
        <v>0</v>
      </c>
      <c r="CL30" s="143" t="inlineStr">
        <is>
          <t>Uma vez por cena, você pode realizar Estudar como Ação Bônus, em vez de Ação Padrão. Use a ação descrita em Ações — Estudar, com seus alvos, testes e informações disponíveis.</t>
        </is>
      </c>
      <c r="DV30" s="143" t="inlineStr">
        <is>
          <t>Feitiço 29</t>
        </is>
      </c>
      <c r="DW30" s="145" t="n">
        <v>0</v>
      </c>
      <c r="DX30" s="145" t="n">
        <v>29</v>
      </c>
      <c r="DY30" s="145">
        <f>MAX(1,MIN(7,N('FICHA AMALDIÇOADA'!$J$244)))</f>
        <v/>
      </c>
      <c r="DZ30" s="145">
        <f>'FICHA AMALDIÇOADA'!$K$244&amp;""</f>
        <v/>
      </c>
      <c r="EA30" s="145">
        <f>'FICHA AMALDIÇOADA'!$J$251&amp;""</f>
        <v/>
      </c>
      <c r="EB30" s="145">
        <f>'FICHA AMALDIÇOADA'!$K$253&amp;""</f>
        <v/>
      </c>
      <c r="EC30" s="145">
        <f>'FICHA AMALDIÇOADA'!$K$254&amp;""</f>
        <v/>
      </c>
      <c r="ED30" s="145">
        <f>'FICHA AMALDIÇOADA'!$K$255&amp;""</f>
        <v/>
      </c>
      <c r="EE30" s="145">
        <f>'FICHA AMALDIÇOADA'!$K$256&amp;""</f>
        <v/>
      </c>
      <c r="EF30" s="145">
        <f>'FICHA AMALDIÇOADA'!$K$257&amp;""</f>
        <v/>
      </c>
      <c r="EG30" s="145">
        <f>'FICHA AMALDIÇOADA'!$K$258&amp;""</f>
        <v/>
      </c>
      <c r="EH30" s="145">
        <f>IF($DZ30&lt;&gt;"",1,0)</f>
        <v/>
      </c>
      <c r="EI30" s="145">
        <f>IFERROR(MATCH($EA30,$Y$2:$Y$11,0),0)</f>
        <v/>
      </c>
      <c r="EJ30" s="145">
        <f>IF($EI30=0,0,INDEX($AB$2:$AB$11,$EI30))</f>
        <v/>
      </c>
      <c r="EK30" s="145">
        <f>IFERROR(VLOOKUP($EB30,$BC$2:$BJ$84,4,FALSE),0)</f>
        <v/>
      </c>
      <c r="EL30" s="145">
        <f>IFERROR(VLOOKUP($EC30,$BC$2:$BJ$84,4,FALSE),0)</f>
        <v/>
      </c>
      <c r="EM30" s="145">
        <f>IFERROR(VLOOKUP($ED30,$BC$2:$BJ$84,4,FALSE),0)</f>
        <v/>
      </c>
      <c r="EN30" s="145">
        <f>IFERROR(VLOOKUP($EE30,$BC$2:$BJ$84,4,FALSE),0)</f>
        <v/>
      </c>
      <c r="EO30" s="145">
        <f>IF($EI30=0,0,INDEX($AC$2:$AC$11,$EI30))</f>
        <v/>
      </c>
      <c r="EP30" s="145">
        <f>IFERROR(VLOOKUP($EB30,$BC$2:$BJ$84,5,FALSE),0)</f>
        <v/>
      </c>
      <c r="EQ30" s="145">
        <f>IFERROR(VLOOKUP($EC30,$BC$2:$BJ$84,5,FALSE),0)</f>
        <v/>
      </c>
      <c r="ER30" s="145">
        <f>IFERROR(VLOOKUP($ED30,$BC$2:$BJ$84,5,FALSE),0)</f>
        <v/>
      </c>
      <c r="ES30" s="145">
        <f>IFERROR(VLOOKUP($EE30,$BC$2:$BJ$84,5,FALSE),0)</f>
        <v/>
      </c>
      <c r="ET30" s="145">
        <f>IFERROR(VLOOKUP($EB30,$BC$2:$BJ$84,6,FALSE),0)+IFERROR(VLOOKUP($EC30,$BC$2:$BJ$84,6,FALSE),0)+IFERROR(VLOOKUP($ED30,$BC$2:$BJ$84,6,FALSE),0)+IFERROR(VLOOKUP($EE30,$BC$2:$BJ$84,6,FALSE),0)</f>
        <v/>
      </c>
      <c r="EU30" s="145">
        <f>IF($EI30=0,0,INDEX($AD$2:$AD$11,$EI30))</f>
        <v/>
      </c>
      <c r="EV30" s="145">
        <f>IF($EI30=0,0,INDEX($AE$2:$AE$11,$EI30))</f>
        <v/>
      </c>
      <c r="EW30" s="145">
        <f>IF($EI30=0,0,INDEX($AG$2:$AG$11,$EI30))</f>
        <v/>
      </c>
      <c r="EX30" s="145">
        <f>IFERROR(VLOOKUP($EF30,$BL$2:$BP$24,3,FALSE),0)</f>
        <v/>
      </c>
      <c r="EY30" s="145">
        <f>IFERROR(VLOOKUP($EG30,$BL$2:$BP$24,3,FALSE),0)</f>
        <v/>
      </c>
      <c r="EZ30" s="145">
        <f>IFERROR(VLOOKUP($EF30,$BL$2:$BP$24,2,FALSE),"")</f>
        <v/>
      </c>
      <c r="FA30" s="145">
        <f>IFERROR(VLOOKUP($EG30,$BL$2:$BP$24,2,FALSE),"")</f>
        <v/>
      </c>
      <c r="FB30" s="145">
        <f>COUNTIF($EJ30:$EN30,1)</f>
        <v/>
      </c>
      <c r="FC30" s="145">
        <f>COUNTIF($EJ30:$EN30,2)</f>
        <v/>
      </c>
      <c r="FD30" s="145">
        <f>COUNTIF($EJ30:$EN30,3)</f>
        <v/>
      </c>
      <c r="FE30" s="145">
        <f>COUNTIF($EJ30:$EN30,4)</f>
        <v/>
      </c>
      <c r="FF30" s="145">
        <f>COUNTIF($EJ30:$EN30,5)</f>
        <v/>
      </c>
      <c r="FG30" s="145">
        <f>COUNTIF($EJ30:$EN30,6)</f>
        <v/>
      </c>
      <c r="FH30" s="145">
        <f>COUNTIF($EX30:$EY30,1)</f>
        <v/>
      </c>
      <c r="FI30" s="145">
        <f>COUNTIF($EX30:$EY30,2)+$EU30</f>
        <v/>
      </c>
      <c r="FJ30" s="145">
        <f>COUNTIF($EB30:$EE30,"?*")</f>
        <v/>
      </c>
      <c r="FK30" s="145">
        <f>COUNTIF($EF30:$EG30,"?*")+$EU30</f>
        <v/>
      </c>
      <c r="FL30" s="145">
        <f>SUMPRODUCT($FB30:$FG30,INDEX($Q$2:$V$8,$DY30,0))</f>
        <v/>
      </c>
      <c r="FM30" s="145">
        <f>$FH30*CEILING($DY30/2,1)+$FI30*$DY30</f>
        <v/>
      </c>
      <c r="FN30" s="145">
        <f>MIN(2*$DY30,$FM30)</f>
        <v/>
      </c>
      <c r="FO30" s="145">
        <f>MIN($FN30,$FL30)</f>
        <v/>
      </c>
      <c r="FP30" s="145">
        <f>$FN30-$FO30</f>
        <v/>
      </c>
      <c r="FQ30" s="145">
        <f>3*$DY30-$FL30+$FO30</f>
        <v/>
      </c>
      <c r="FR30" s="145">
        <f>MAX(0,$FQ30)+$DW30*$DY30</f>
        <v/>
      </c>
      <c r="FS30" s="145">
        <f>(IF(COUNTIF($EB30:$EE30,"Salto")&gt;0,1,0)+IF(COUNTIF($EB30:$EE30,"Queima")&gt;0,1,0)+IF(COUNTIF($EB30:$EE30,"Estilhaço")&gt;0,1,0))*FLOOR($FR30/2,1)</f>
        <v/>
      </c>
      <c r="FT30" s="145">
        <f>MAX(0,3-SUMPRODUCT($FB30:$FG30,$Q$2:$V$2)+MIN(2,$FH30*1+$FI30*1,SUMPRODUCT($FB30:$FG30,$Q$2:$V$2)))+$DW30*1</f>
        <v/>
      </c>
      <c r="FU30" s="145">
        <f>MAX(0,6-SUMPRODUCT($FB30:$FG30,$Q$3:$V$3)+MIN(4,$FH30*1+$FI30*2,SUMPRODUCT($FB30:$FG30,$Q$3:$V$3)))+$DW30*2</f>
        <v/>
      </c>
      <c r="FV30" s="145">
        <f>MAX(0,9-SUMPRODUCT($FB30:$FG30,$Q$4:$V$4)+MIN(6,$FH30*2+$FI30*3,SUMPRODUCT($FB30:$FG30,$Q$4:$V$4)))+$DW30*3</f>
        <v/>
      </c>
      <c r="FW30" s="145">
        <f>MAX(0,12-SUMPRODUCT($FB30:$FG30,$Q$5:$V$5)+MIN(8,$FH30*2+$FI30*4,SUMPRODUCT($FB30:$FG30,$Q$5:$V$5)))+$DW30*4</f>
        <v/>
      </c>
      <c r="FX30" s="145">
        <f>MAX(0,15-SUMPRODUCT($FB30:$FG30,$Q$6:$V$6)+MIN(10,$FH30*3+$FI30*5,SUMPRODUCT($FB30:$FG30,$Q$6:$V$6)))+$DW30*5</f>
        <v/>
      </c>
      <c r="FY30" s="145">
        <f>MAX(0,18-SUMPRODUCT($FB30:$FG30,$Q$7:$V$7)+MIN(12,$FH30*3+$FI30*6,SUMPRODUCT($FB30:$FG30,$Q$7:$V$7)))+$DW30*6</f>
        <v/>
      </c>
      <c r="FZ30" s="145">
        <f>MAX(0,21-SUMPRODUCT($FB30:$FG30,$Q$8:$V$8)+MIN(14,$FH30*4+$FI30*7,SUMPRODUCT($FB30:$FG30,$Q$8:$V$8)))+$DW30*7</f>
        <v/>
      </c>
      <c r="GA30" s="145">
        <f>IF($EV30=2,3*$FT30&amp;" de vida temp.",IF($EV30=3,"sem dano",IF($FT30=0,IF($EV30=1,"sem cura","sem dano"),IF($EV30=1,"cura ","")&amp;$FT30&amp;"d8")))</f>
        <v/>
      </c>
      <c r="GB30" s="145">
        <f>IF($EV30=2,3*$FU30&amp;" de vida temp.",IF($EV30=3,"sem dano",IF($FU30=0,IF($EV30=1,"sem cura","sem dano"),IF($EV30=1,"cura ","")&amp;$FU30&amp;"d8")))</f>
        <v/>
      </c>
      <c r="GC30" s="145">
        <f>IF($EV30=2,3*$FV30&amp;" de vida temp.",IF($EV30=3,"sem dano",IF($FV30=0,IF($EV30=1,"sem cura","sem dano"),IF($EV30=1,"cura ","")&amp;$FV30&amp;"d8")))</f>
        <v/>
      </c>
      <c r="GD30" s="145">
        <f>IF($EV30=2,3*$FW30&amp;" de vida temp.",IF($EV30=3,"sem dano",IF($FW30=0,IF($EV30=1,"sem cura","sem dano"),IF($EV30=1,"cura ","")&amp;$FW30&amp;"d8")))</f>
        <v/>
      </c>
      <c r="GE30" s="145">
        <f>IF($EV30=2,3*$FX30&amp;" de vida temp.",IF($EV30=3,"sem dano",IF($FX30=0,IF($EV30=1,"sem cura","sem dano"),IF($EV30=1,"cura ","")&amp;$FX30&amp;"d8")))</f>
        <v/>
      </c>
      <c r="GF30" s="145">
        <f>IF($EV30=2,3*$FY30&amp;" de vida temp.",IF($EV30=3,"sem dano",IF($FY30=0,IF($EV30=1,"sem cura","sem dano"),IF($EV30=1,"cura ","")&amp;$FY30&amp;"d8")))</f>
        <v/>
      </c>
      <c r="GG30" s="145">
        <f>IF($EV30=2,3*$FZ30&amp;" de vida temp.",IF($EV30=3,"sem dano",IF($FZ30=0,IF($EV30=1,"sem cura","sem dano"),IF($EV30=1,"cura ","")&amp;$FZ30&amp;"d8")))</f>
        <v/>
      </c>
      <c r="GH30" s="145">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45">
        <f>IF($GH30="",0,(LEN($GH30)-LEN(SUBSTITUTE($GH30," · ","")))/3+1)</f>
        <v/>
      </c>
      <c r="GJ30" s="145">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45">
        <f>IF($GJ30="",0,(LEN($GJ30)-LEN(SUBSTITUTE($GJ30," · ","")))/3+1)</f>
        <v/>
      </c>
      <c r="GL30" s="145">
        <f>IF($EH30=0,IF($FJ30+$FK30-$EU30&gt;0,"Dê um nome",""),IF($GI30&gt;0,"⚠ "&amp;$GI30&amp;IF($GI30&gt;1," erros"," erro"),IF($GK30&gt;0,"! "&amp;$GK30&amp;IF($GK30&gt;1," avisos"," aviso"),"Na regra")))</f>
        <v/>
      </c>
      <c r="GM30" s="145">
        <f>IF($EH30=0,"",IF($GI30+$GK30=0,"Dentro das regras que a ficha confere",$GH30&amp;IF(AND($GI30&gt;0,$GK30&gt;0)," · ","")&amp;$GJ30))</f>
        <v/>
      </c>
      <c r="GN30" s="145">
        <f>IF($EH30=0,"",IF($DW30=1,CEILING(4.5*$DY30,1),3*$DY30)&amp;" PE")</f>
        <v/>
      </c>
      <c r="GO30" s="145">
        <f>IF($EH30=0,"",IF($DW30=1,"Rodada inteira",IF(COUNTIF($EZ30:$FA30,"Atrasar")&gt;0,IF(COUNTIF($EZ30:$FA30,"Carregar")&gt;0,"Rodada +1 turno","Rodada inteira"),IF(COUNTIF($EB30:$EE30,"Rápido")&gt;0,"Bônus",IF(COUNTIF($EB30:$EE30,"Reação")&gt;0,"Reação","Padrão"))&amp;IF(COUNTIF($EZ30:$FA30,"Carregar")&gt;0," +1 turno",""))))</f>
        <v/>
      </c>
      <c r="GP30" s="145">
        <f>IF(OR($EH30=0,$EI30=0),"",IF(COUNTIF($EB30:$EE30,"Inescapável")&gt;0,"Automático",IF(COUNTIF($EB30:$EE30,"Certeiro")&gt;0,"TR para metade",INDEX($AF$2:$AF$11,$EI30))))</f>
        <v/>
      </c>
      <c r="GQ30" s="145">
        <f>IF(OR($EH30=0,$EI30=0),"",IF(OR($EV30&gt;=2,$FR30=0),UPPER(LEFT(INDEX($GA30:$GG30,1,$DY30),1))&amp;MID(INDEX($GA30:$GG30,1,$DY30),2,99),UPPER(LEFT(INDEX($GA30:$GG30,1,$DY30),1))&amp;MID(INDEX($GA30:$GG30,1,$DY30),2,99)&amp;" = "&amp;FLOOR($FR30*4.5,1)&amp;IF($FS30&gt;0," · +"&amp;$FS30&amp;"d8","")))</f>
        <v/>
      </c>
      <c r="GR30" s="145">
        <f>COUNTIF($EB30:$EE30,"Longe")+3*COUNTIF($EB30:$EE30,"Muito Longe")</f>
        <v/>
      </c>
      <c r="GS30" s="145">
        <f>COUNTIF($EB30:$EE30,"Maior")+3*COUNTIF($EB30:$EE30,"Muito Maior")</f>
        <v/>
      </c>
      <c r="GT30" s="145">
        <f>IF($EI30=0,0,CHOOSE(1+INDEX($AH$2:$AH$11,$EI30),0,$GR30,$GS30,$GR30+$GS30))</f>
        <v/>
      </c>
      <c r="GU30" s="145">
        <f>IF($EI30=0,0,CHOOSE(1+INDEX($AI$2:$AI$11,$EI30),0,$GR30,$GS30,$GR30+$GS30))</f>
        <v/>
      </c>
      <c r="GV30" s="145">
        <f>IF(OR($EH30=0,$EI30=0),"",INDEX($AP$2:$AU$31,($EI30-1)*3+IF($DY30&gt;=6,3,2),1+MIN(5,$GT30))&amp;INDEX($AV$2:$BA$31,($EI30-1)*3+IF($DY30&gt;=6,3,2),1+MIN(5,$GU30))&amp;IF(INDEX($AJ$2:$AJ$11,$EI30)=1,IF(COUNTIF($EB30:$EE30,"Mais Um")&gt;0," · +"&amp;COUNTIF($EB30:$EE30,"Mais Um")&amp;IF(COUNTIF($EB30:$EE30,"Mais Um")&gt;1," alvos"," alvo"),"")&amp;IF(COUNTIF($EB30:$EE30,"Rajada")&gt;0," · "&amp;($DY30+1)&amp;" tiros",""),""))</f>
        <v/>
      </c>
      <c r="GW30" s="145">
        <f>IF($EH30=0,"",3*$DY30&amp;" − "&amp;$FL30&amp;" + "&amp;$FO30&amp;IF($DW30=1," + "&amp;$DY30,"")&amp;" = "&amp;$FR30&amp;"d8 · teto "&amp;4*$DY30&amp;IF($EU30=1," · a Forma devolve "&amp;$DY30,"")&amp;IF($FP30&gt;0," · perde "&amp;$FP30,""))</f>
        <v/>
      </c>
      <c r="GX30" s="145">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5">
        <f>IF(OR($EH30=0,$EK30=0),"","−"&amp;INDEX($Q$2:$V$8,$DY30,$EK30)&amp;" · "&amp;CHOOSE($EK30,"Leve","Média","Pesada","Leve · Livre","Média · Livre","Pesada · Livre"))</f>
        <v/>
      </c>
      <c r="GZ30" s="145">
        <f>IF(OR($EH30=0,$EL30=0),"","−"&amp;INDEX($Q$2:$V$8,$DY30,$EL30)&amp;" · "&amp;CHOOSE($EL30,"Leve","Média","Pesada","Leve · Livre","Média · Livre","Pesada · Livre"))</f>
        <v/>
      </c>
      <c r="HA30" s="145">
        <f>IF(OR($EH30=0,$EM30=0),"","−"&amp;INDEX($Q$2:$V$8,$DY30,$EM30)&amp;" · "&amp;CHOOSE($EM30,"Leve","Média","Pesada","Leve · Livre","Média · Livre","Pesada · Livre"))</f>
        <v/>
      </c>
      <c r="HB30" s="145">
        <f>IF(OR($EH30=0,$EN30=0),"","−"&amp;INDEX($Q$2:$V$8,$DY30,$EN30)&amp;" · "&amp;CHOOSE($EN30,"Leve","Média","Pesada","Leve · Livre","Média · Livre","Pesada · Livre"))</f>
        <v/>
      </c>
      <c r="HC30" s="145">
        <f>IF(OR($EH30=0,$EF30=""),"","+"&amp;IF($EX30=1,CEILING($DY30/2,1),$DY30))</f>
        <v/>
      </c>
      <c r="HD30" s="145">
        <f>IF(OR($EH30=0,$EG30=""),"","+"&amp;IF($EY30=1,CEILING($DY30/2,1),$DY30))</f>
        <v/>
      </c>
      <c r="HE30" s="145">
        <f>'FICHA AMALDIÇOADA'!$J$246&amp;""</f>
        <v/>
      </c>
      <c r="HF30" s="145">
        <f>IF(AND($EH30=1,$DW30=0),COUNTIFS($EH$2:$EH30,1,$DW$2:$DW30,0),"")</f>
        <v/>
      </c>
      <c r="HH30" s="143" t="inlineStr">
        <is>
          <t>famílias livres</t>
        </is>
      </c>
      <c r="HI30" s="145">
        <f>COUNTIF($J$2:$J$10,"Livre")</f>
        <v/>
      </c>
      <c r="JD30" s="145" t="n">
        <v>29</v>
      </c>
      <c r="JE30" s="145">
        <f>IFERROR(MATCH(29,$HF$2:$HF$37,0),0)</f>
        <v/>
      </c>
      <c r="JF30" s="145">
        <f>IF($JE30=0,"",INDEX($DY$2:$DY$37,$JE30))</f>
        <v/>
      </c>
      <c r="JG30" s="145">
        <f>IF($JE30=0,"",INDEX($DZ$2:$DZ$37,$JE30))</f>
        <v/>
      </c>
      <c r="JH30" s="145">
        <f>IF($JE30=0,"",INDEX($GN$2:$GN$37,$JE30))</f>
        <v/>
      </c>
      <c r="JI30" s="145">
        <f>IF($JE30=0,"",INDEX($EA$2:$EA$37,$JE30))</f>
        <v/>
      </c>
      <c r="JJ30" s="145">
        <f>IF($JE30=0,"",INDEX($GP$2:$GP$37,$JE30))</f>
        <v/>
      </c>
      <c r="JK30" s="145">
        <f>IF($JE30=0,"",INDEX($HE$2:$HE$37,$JE30))</f>
        <v/>
      </c>
      <c r="KQ30" s="143" t="inlineStr">
        <is>
          <t>M46</t>
        </is>
      </c>
      <c r="KR30" s="145">
        <f>INDEX(DADOS_AM!$P$2:$W$8,DADOS_AM!$HI$29,8)</f>
        <v/>
      </c>
    </row>
    <row r="31">
      <c r="AO31" s="143" t="inlineStr">
        <is>
          <t>Efeito · classes 6 e 7</t>
        </is>
      </c>
      <c r="AP31" s="143" t="inlineStr">
        <is>
          <t>Fora de combate</t>
        </is>
      </c>
      <c r="AQ31" s="143" t="inlineStr">
        <is>
          <t>Fora de combate</t>
        </is>
      </c>
      <c r="AR31" s="143" t="inlineStr">
        <is>
          <t>Fora de combate</t>
        </is>
      </c>
      <c r="AS31" s="143" t="inlineStr">
        <is>
          <t>Fora de combate</t>
        </is>
      </c>
      <c r="AT31" s="143" t="inlineStr">
        <is>
          <t>Fora de combate</t>
        </is>
      </c>
      <c r="AU31" s="143" t="inlineStr">
        <is>
          <t>Fora de combate</t>
        </is>
      </c>
      <c r="AV31" s="143" t="inlineStr"/>
      <c r="AW31" s="143" t="inlineStr"/>
      <c r="AX31" s="143" t="inlineStr"/>
      <c r="AY31" s="143" t="inlineStr"/>
      <c r="AZ31" s="143" t="inlineStr"/>
      <c r="BA31" s="143" t="inlineStr"/>
      <c r="BC31" s="143" t="inlineStr">
        <is>
          <t>Calado</t>
        </is>
      </c>
      <c r="BD31" s="143" t="inlineStr">
        <is>
          <t>Controle</t>
        </is>
      </c>
      <c r="BE31" s="145" t="n">
        <v>2</v>
      </c>
      <c r="BF31" s="145">
        <f>$BE31+3*IFERROR(VLOOKUP($BD31,$I$2:$L$10,3,FALSE),0)</f>
        <v/>
      </c>
      <c r="BG31" s="145">
        <f>IFERROR(VLOOKUP($BD31,$I$2:$L$10,4,FALSE),0)</f>
        <v/>
      </c>
      <c r="BH31" s="145" t="n">
        <v>1</v>
      </c>
      <c r="BI31" s="145">
        <f>IF($BG31=1,"",$BC31)</f>
        <v/>
      </c>
      <c r="BJ31" s="145">
        <f>IF(AND($BE31=1,$BG31=0),$BC31,"")</f>
        <v/>
      </c>
      <c r="CC31" s="143" t="inlineStr">
        <is>
          <t>Assombro</t>
        </is>
      </c>
      <c r="CD31" s="143" t="inlineStr">
        <is>
          <t>Lapidação 1 e Essência 4</t>
        </is>
      </c>
      <c r="CE31" s="145" t="n">
        <v>1</v>
      </c>
      <c r="CF31" s="143" t="inlineStr">
        <is>
          <t>—</t>
        </is>
      </c>
      <c r="CG31" s="14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45">
        <f>IF($CK31=1,"",IF($A$2=4,IF($CI31=1,$CC31,""),IF(OR($CI31=1,AND($A$2=3,$CJ31=1)),"",$CC31)))</f>
        <v/>
      </c>
      <c r="CI31" s="145" t="n">
        <v>1</v>
      </c>
      <c r="CJ31" s="145" t="n">
        <v>0</v>
      </c>
      <c r="CK31" s="145" t="n">
        <v>0</v>
      </c>
      <c r="CL31" s="143" t="inlineStr">
        <is>
          <t>Uma vez por cena, ao entrar nela ou ser visto pela primeira vez, escolha até metade de sua Lapidação, arredondada para baixo, mínimo 1, entre as criaturas presentes que enxerguem você.</t>
        </is>
      </c>
      <c r="DV31" s="143" t="inlineStr">
        <is>
          <t>Feitiço 30</t>
        </is>
      </c>
      <c r="DW31" s="145" t="n">
        <v>0</v>
      </c>
      <c r="DX31" s="145" t="n">
        <v>30</v>
      </c>
      <c r="DY31" s="145">
        <f>MAX(1,MIN(7,N('FICHA AMALDIÇOADA'!$P$244)))</f>
        <v/>
      </c>
      <c r="DZ31" s="145">
        <f>'FICHA AMALDIÇOADA'!$Q$244&amp;""</f>
        <v/>
      </c>
      <c r="EA31" s="145">
        <f>'FICHA AMALDIÇOADA'!$P$251&amp;""</f>
        <v/>
      </c>
      <c r="EB31" s="145">
        <f>'FICHA AMALDIÇOADA'!$Q$253&amp;""</f>
        <v/>
      </c>
      <c r="EC31" s="145">
        <f>'FICHA AMALDIÇOADA'!$Q$254&amp;""</f>
        <v/>
      </c>
      <c r="ED31" s="145">
        <f>'FICHA AMALDIÇOADA'!$Q$255&amp;""</f>
        <v/>
      </c>
      <c r="EE31" s="145">
        <f>'FICHA AMALDIÇOADA'!$Q$256&amp;""</f>
        <v/>
      </c>
      <c r="EF31" s="145">
        <f>'FICHA AMALDIÇOADA'!$Q$257&amp;""</f>
        <v/>
      </c>
      <c r="EG31" s="145">
        <f>'FICHA AMALDIÇOADA'!$Q$258&amp;""</f>
        <v/>
      </c>
      <c r="EH31" s="145">
        <f>IF($DZ31&lt;&gt;"",1,0)</f>
        <v/>
      </c>
      <c r="EI31" s="145">
        <f>IFERROR(MATCH($EA31,$Y$2:$Y$11,0),0)</f>
        <v/>
      </c>
      <c r="EJ31" s="145">
        <f>IF($EI31=0,0,INDEX($AB$2:$AB$11,$EI31))</f>
        <v/>
      </c>
      <c r="EK31" s="145">
        <f>IFERROR(VLOOKUP($EB31,$BC$2:$BJ$84,4,FALSE),0)</f>
        <v/>
      </c>
      <c r="EL31" s="145">
        <f>IFERROR(VLOOKUP($EC31,$BC$2:$BJ$84,4,FALSE),0)</f>
        <v/>
      </c>
      <c r="EM31" s="145">
        <f>IFERROR(VLOOKUP($ED31,$BC$2:$BJ$84,4,FALSE),0)</f>
        <v/>
      </c>
      <c r="EN31" s="145">
        <f>IFERROR(VLOOKUP($EE31,$BC$2:$BJ$84,4,FALSE),0)</f>
        <v/>
      </c>
      <c r="EO31" s="145">
        <f>IF($EI31=0,0,INDEX($AC$2:$AC$11,$EI31))</f>
        <v/>
      </c>
      <c r="EP31" s="145">
        <f>IFERROR(VLOOKUP($EB31,$BC$2:$BJ$84,5,FALSE),0)</f>
        <v/>
      </c>
      <c r="EQ31" s="145">
        <f>IFERROR(VLOOKUP($EC31,$BC$2:$BJ$84,5,FALSE),0)</f>
        <v/>
      </c>
      <c r="ER31" s="145">
        <f>IFERROR(VLOOKUP($ED31,$BC$2:$BJ$84,5,FALSE),0)</f>
        <v/>
      </c>
      <c r="ES31" s="145">
        <f>IFERROR(VLOOKUP($EE31,$BC$2:$BJ$84,5,FALSE),0)</f>
        <v/>
      </c>
      <c r="ET31" s="145">
        <f>IFERROR(VLOOKUP($EB31,$BC$2:$BJ$84,6,FALSE),0)+IFERROR(VLOOKUP($EC31,$BC$2:$BJ$84,6,FALSE),0)+IFERROR(VLOOKUP($ED31,$BC$2:$BJ$84,6,FALSE),0)+IFERROR(VLOOKUP($EE31,$BC$2:$BJ$84,6,FALSE),0)</f>
        <v/>
      </c>
      <c r="EU31" s="145">
        <f>IF($EI31=0,0,INDEX($AD$2:$AD$11,$EI31))</f>
        <v/>
      </c>
      <c r="EV31" s="145">
        <f>IF($EI31=0,0,INDEX($AE$2:$AE$11,$EI31))</f>
        <v/>
      </c>
      <c r="EW31" s="145">
        <f>IF($EI31=0,0,INDEX($AG$2:$AG$11,$EI31))</f>
        <v/>
      </c>
      <c r="EX31" s="145">
        <f>IFERROR(VLOOKUP($EF31,$BL$2:$BP$24,3,FALSE),0)</f>
        <v/>
      </c>
      <c r="EY31" s="145">
        <f>IFERROR(VLOOKUP($EG31,$BL$2:$BP$24,3,FALSE),0)</f>
        <v/>
      </c>
      <c r="EZ31" s="145">
        <f>IFERROR(VLOOKUP($EF31,$BL$2:$BP$24,2,FALSE),"")</f>
        <v/>
      </c>
      <c r="FA31" s="145">
        <f>IFERROR(VLOOKUP($EG31,$BL$2:$BP$24,2,FALSE),"")</f>
        <v/>
      </c>
      <c r="FB31" s="145">
        <f>COUNTIF($EJ31:$EN31,1)</f>
        <v/>
      </c>
      <c r="FC31" s="145">
        <f>COUNTIF($EJ31:$EN31,2)</f>
        <v/>
      </c>
      <c r="FD31" s="145">
        <f>COUNTIF($EJ31:$EN31,3)</f>
        <v/>
      </c>
      <c r="FE31" s="145">
        <f>COUNTIF($EJ31:$EN31,4)</f>
        <v/>
      </c>
      <c r="FF31" s="145">
        <f>COUNTIF($EJ31:$EN31,5)</f>
        <v/>
      </c>
      <c r="FG31" s="145">
        <f>COUNTIF($EJ31:$EN31,6)</f>
        <v/>
      </c>
      <c r="FH31" s="145">
        <f>COUNTIF($EX31:$EY31,1)</f>
        <v/>
      </c>
      <c r="FI31" s="145">
        <f>COUNTIF($EX31:$EY31,2)+$EU31</f>
        <v/>
      </c>
      <c r="FJ31" s="145">
        <f>COUNTIF($EB31:$EE31,"?*")</f>
        <v/>
      </c>
      <c r="FK31" s="145">
        <f>COUNTIF($EF31:$EG31,"?*")+$EU31</f>
        <v/>
      </c>
      <c r="FL31" s="145">
        <f>SUMPRODUCT($FB31:$FG31,INDEX($Q$2:$V$8,$DY31,0))</f>
        <v/>
      </c>
      <c r="FM31" s="145">
        <f>$FH31*CEILING($DY31/2,1)+$FI31*$DY31</f>
        <v/>
      </c>
      <c r="FN31" s="145">
        <f>MIN(2*$DY31,$FM31)</f>
        <v/>
      </c>
      <c r="FO31" s="145">
        <f>MIN($FN31,$FL31)</f>
        <v/>
      </c>
      <c r="FP31" s="145">
        <f>$FN31-$FO31</f>
        <v/>
      </c>
      <c r="FQ31" s="145">
        <f>3*$DY31-$FL31+$FO31</f>
        <v/>
      </c>
      <c r="FR31" s="145">
        <f>MAX(0,$FQ31)+$DW31*$DY31</f>
        <v/>
      </c>
      <c r="FS31" s="145">
        <f>(IF(COUNTIF($EB31:$EE31,"Salto")&gt;0,1,0)+IF(COUNTIF($EB31:$EE31,"Queima")&gt;0,1,0)+IF(COUNTIF($EB31:$EE31,"Estilhaço")&gt;0,1,0))*FLOOR($FR31/2,1)</f>
        <v/>
      </c>
      <c r="FT31" s="145">
        <f>MAX(0,3-SUMPRODUCT($FB31:$FG31,$Q$2:$V$2)+MIN(2,$FH31*1+$FI31*1,SUMPRODUCT($FB31:$FG31,$Q$2:$V$2)))+$DW31*1</f>
        <v/>
      </c>
      <c r="FU31" s="145">
        <f>MAX(0,6-SUMPRODUCT($FB31:$FG31,$Q$3:$V$3)+MIN(4,$FH31*1+$FI31*2,SUMPRODUCT($FB31:$FG31,$Q$3:$V$3)))+$DW31*2</f>
        <v/>
      </c>
      <c r="FV31" s="145">
        <f>MAX(0,9-SUMPRODUCT($FB31:$FG31,$Q$4:$V$4)+MIN(6,$FH31*2+$FI31*3,SUMPRODUCT($FB31:$FG31,$Q$4:$V$4)))+$DW31*3</f>
        <v/>
      </c>
      <c r="FW31" s="145">
        <f>MAX(0,12-SUMPRODUCT($FB31:$FG31,$Q$5:$V$5)+MIN(8,$FH31*2+$FI31*4,SUMPRODUCT($FB31:$FG31,$Q$5:$V$5)))+$DW31*4</f>
        <v/>
      </c>
      <c r="FX31" s="145">
        <f>MAX(0,15-SUMPRODUCT($FB31:$FG31,$Q$6:$V$6)+MIN(10,$FH31*3+$FI31*5,SUMPRODUCT($FB31:$FG31,$Q$6:$V$6)))+$DW31*5</f>
        <v/>
      </c>
      <c r="FY31" s="145">
        <f>MAX(0,18-SUMPRODUCT($FB31:$FG31,$Q$7:$V$7)+MIN(12,$FH31*3+$FI31*6,SUMPRODUCT($FB31:$FG31,$Q$7:$V$7)))+$DW31*6</f>
        <v/>
      </c>
      <c r="FZ31" s="145">
        <f>MAX(0,21-SUMPRODUCT($FB31:$FG31,$Q$8:$V$8)+MIN(14,$FH31*4+$FI31*7,SUMPRODUCT($FB31:$FG31,$Q$8:$V$8)))+$DW31*7</f>
        <v/>
      </c>
      <c r="GA31" s="145">
        <f>IF($EV31=2,3*$FT31&amp;" de vida temp.",IF($EV31=3,"sem dano",IF($FT31=0,IF($EV31=1,"sem cura","sem dano"),IF($EV31=1,"cura ","")&amp;$FT31&amp;"d8")))</f>
        <v/>
      </c>
      <c r="GB31" s="145">
        <f>IF($EV31=2,3*$FU31&amp;" de vida temp.",IF($EV31=3,"sem dano",IF($FU31=0,IF($EV31=1,"sem cura","sem dano"),IF($EV31=1,"cura ","")&amp;$FU31&amp;"d8")))</f>
        <v/>
      </c>
      <c r="GC31" s="145">
        <f>IF($EV31=2,3*$FV31&amp;" de vida temp.",IF($EV31=3,"sem dano",IF($FV31=0,IF($EV31=1,"sem cura","sem dano"),IF($EV31=1,"cura ","")&amp;$FV31&amp;"d8")))</f>
        <v/>
      </c>
      <c r="GD31" s="145">
        <f>IF($EV31=2,3*$FW31&amp;" de vida temp.",IF($EV31=3,"sem dano",IF($FW31=0,IF($EV31=1,"sem cura","sem dano"),IF($EV31=1,"cura ","")&amp;$FW31&amp;"d8")))</f>
        <v/>
      </c>
      <c r="GE31" s="145">
        <f>IF($EV31=2,3*$FX31&amp;" de vida temp.",IF($EV31=3,"sem dano",IF($FX31=0,IF($EV31=1,"sem cura","sem dano"),IF($EV31=1,"cura ","")&amp;$FX31&amp;"d8")))</f>
        <v/>
      </c>
      <c r="GF31" s="145">
        <f>IF($EV31=2,3*$FY31&amp;" de vida temp.",IF($EV31=3,"sem dano",IF($FY31=0,IF($EV31=1,"sem cura","sem dano"),IF($EV31=1,"cura ","")&amp;$FY31&amp;"d8")))</f>
        <v/>
      </c>
      <c r="GG31" s="145">
        <f>IF($EV31=2,3*$FZ31&amp;" de vida temp.",IF($EV31=3,"sem dano",IF($FZ31=0,IF($EV31=1,"sem cura","sem dano"),IF($EV31=1,"cura ","")&amp;$FZ31&amp;"d8")))</f>
        <v/>
      </c>
      <c r="GH31" s="145">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45">
        <f>IF($GH31="",0,(LEN($GH31)-LEN(SUBSTITUTE($GH31," · ","")))/3+1)</f>
        <v/>
      </c>
      <c r="GJ31" s="145">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45">
        <f>IF($GJ31="",0,(LEN($GJ31)-LEN(SUBSTITUTE($GJ31," · ","")))/3+1)</f>
        <v/>
      </c>
      <c r="GL31" s="145">
        <f>IF($EH31=0,IF($FJ31+$FK31-$EU31&gt;0,"Dê um nome",""),IF($GI31&gt;0,"⚠ "&amp;$GI31&amp;IF($GI31&gt;1," erros"," erro"),IF($GK31&gt;0,"! "&amp;$GK31&amp;IF($GK31&gt;1," avisos"," aviso"),"Na regra")))</f>
        <v/>
      </c>
      <c r="GM31" s="145">
        <f>IF($EH31=0,"",IF($GI31+$GK31=0,"Dentro das regras que a ficha confere",$GH31&amp;IF(AND($GI31&gt;0,$GK31&gt;0)," · ","")&amp;$GJ31))</f>
        <v/>
      </c>
      <c r="GN31" s="145">
        <f>IF($EH31=0,"",IF($DW31=1,CEILING(4.5*$DY31,1),3*$DY31)&amp;" PE")</f>
        <v/>
      </c>
      <c r="GO31" s="145">
        <f>IF($EH31=0,"",IF($DW31=1,"Rodada inteira",IF(COUNTIF($EZ31:$FA31,"Atrasar")&gt;0,IF(COUNTIF($EZ31:$FA31,"Carregar")&gt;0,"Rodada +1 turno","Rodada inteira"),IF(COUNTIF($EB31:$EE31,"Rápido")&gt;0,"Bônus",IF(COUNTIF($EB31:$EE31,"Reação")&gt;0,"Reação","Padrão"))&amp;IF(COUNTIF($EZ31:$FA31,"Carregar")&gt;0," +1 turno",""))))</f>
        <v/>
      </c>
      <c r="GP31" s="145">
        <f>IF(OR($EH31=0,$EI31=0),"",IF(COUNTIF($EB31:$EE31,"Inescapável")&gt;0,"Automático",IF(COUNTIF($EB31:$EE31,"Certeiro")&gt;0,"TR para metade",INDEX($AF$2:$AF$11,$EI31))))</f>
        <v/>
      </c>
      <c r="GQ31" s="145">
        <f>IF(OR($EH31=0,$EI31=0),"",IF(OR($EV31&gt;=2,$FR31=0),UPPER(LEFT(INDEX($GA31:$GG31,1,$DY31),1))&amp;MID(INDEX($GA31:$GG31,1,$DY31),2,99),UPPER(LEFT(INDEX($GA31:$GG31,1,$DY31),1))&amp;MID(INDEX($GA31:$GG31,1,$DY31),2,99)&amp;" = "&amp;FLOOR($FR31*4.5,1)&amp;IF($FS31&gt;0," · +"&amp;$FS31&amp;"d8","")))</f>
        <v/>
      </c>
      <c r="GR31" s="145">
        <f>COUNTIF($EB31:$EE31,"Longe")+3*COUNTIF($EB31:$EE31,"Muito Longe")</f>
        <v/>
      </c>
      <c r="GS31" s="145">
        <f>COUNTIF($EB31:$EE31,"Maior")+3*COUNTIF($EB31:$EE31,"Muito Maior")</f>
        <v/>
      </c>
      <c r="GT31" s="145">
        <f>IF($EI31=0,0,CHOOSE(1+INDEX($AH$2:$AH$11,$EI31),0,$GR31,$GS31,$GR31+$GS31))</f>
        <v/>
      </c>
      <c r="GU31" s="145">
        <f>IF($EI31=0,0,CHOOSE(1+INDEX($AI$2:$AI$11,$EI31),0,$GR31,$GS31,$GR31+$GS31))</f>
        <v/>
      </c>
      <c r="GV31" s="145">
        <f>IF(OR($EH31=0,$EI31=0),"",INDEX($AP$2:$AU$31,($EI31-1)*3+IF($DY31&gt;=6,3,2),1+MIN(5,$GT31))&amp;INDEX($AV$2:$BA$31,($EI31-1)*3+IF($DY31&gt;=6,3,2),1+MIN(5,$GU31))&amp;IF(INDEX($AJ$2:$AJ$11,$EI31)=1,IF(COUNTIF($EB31:$EE31,"Mais Um")&gt;0," · +"&amp;COUNTIF($EB31:$EE31,"Mais Um")&amp;IF(COUNTIF($EB31:$EE31,"Mais Um")&gt;1," alvos"," alvo"),"")&amp;IF(COUNTIF($EB31:$EE31,"Rajada")&gt;0," · "&amp;($DY31+1)&amp;" tiros",""),""))</f>
        <v/>
      </c>
      <c r="GW31" s="145">
        <f>IF($EH31=0,"",3*$DY31&amp;" − "&amp;$FL31&amp;" + "&amp;$FO31&amp;IF($DW31=1," + "&amp;$DY31,"")&amp;" = "&amp;$FR31&amp;"d8 · teto "&amp;4*$DY31&amp;IF($EU31=1," · a Forma devolve "&amp;$DY31,"")&amp;IF($FP31&gt;0," · perde "&amp;$FP31,""))</f>
        <v/>
      </c>
      <c r="GX31" s="145">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5">
        <f>IF(OR($EH31=0,$EK31=0),"","−"&amp;INDEX($Q$2:$V$8,$DY31,$EK31)&amp;" · "&amp;CHOOSE($EK31,"Leve","Média","Pesada","Leve · Livre","Média · Livre","Pesada · Livre"))</f>
        <v/>
      </c>
      <c r="GZ31" s="145">
        <f>IF(OR($EH31=0,$EL31=0),"","−"&amp;INDEX($Q$2:$V$8,$DY31,$EL31)&amp;" · "&amp;CHOOSE($EL31,"Leve","Média","Pesada","Leve · Livre","Média · Livre","Pesada · Livre"))</f>
        <v/>
      </c>
      <c r="HA31" s="145">
        <f>IF(OR($EH31=0,$EM31=0),"","−"&amp;INDEX($Q$2:$V$8,$DY31,$EM31)&amp;" · "&amp;CHOOSE($EM31,"Leve","Média","Pesada","Leve · Livre","Média · Livre","Pesada · Livre"))</f>
        <v/>
      </c>
      <c r="HB31" s="145">
        <f>IF(OR($EH31=0,$EN31=0),"","−"&amp;INDEX($Q$2:$V$8,$DY31,$EN31)&amp;" · "&amp;CHOOSE($EN31,"Leve","Média","Pesada","Leve · Livre","Média · Livre","Pesada · Livre"))</f>
        <v/>
      </c>
      <c r="HC31" s="145">
        <f>IF(OR($EH31=0,$EF31=""),"","+"&amp;IF($EX31=1,CEILING($DY31/2,1),$DY31))</f>
        <v/>
      </c>
      <c r="HD31" s="145">
        <f>IF(OR($EH31=0,$EG31=""),"","+"&amp;IF($EY31=1,CEILING($DY31/2,1),$DY31))</f>
        <v/>
      </c>
      <c r="HE31" s="145">
        <f>'FICHA AMALDIÇOADA'!$P$246&amp;""</f>
        <v/>
      </c>
      <c r="HF31" s="145">
        <f>IF(AND($EH31=1,$DW31=0),COUNTIFS($EH$2:$EH31,1,$DW$2:$DW31,0),"")</f>
        <v/>
      </c>
      <c r="HH31" s="143" t="inlineStr">
        <is>
          <t>famílias fechadas</t>
        </is>
      </c>
      <c r="HI31" s="145">
        <f>COUNTIF($J$2:$J$10,"Fechada")</f>
        <v/>
      </c>
      <c r="JD31" s="145" t="n">
        <v>30</v>
      </c>
      <c r="JE31" s="145">
        <f>IFERROR(MATCH(30,$HF$2:$HF$37,0),0)</f>
        <v/>
      </c>
      <c r="JF31" s="145">
        <f>IF($JE31=0,"",INDEX($DY$2:$DY$37,$JE31))</f>
        <v/>
      </c>
      <c r="JG31" s="145">
        <f>IF($JE31=0,"",INDEX($DZ$2:$DZ$37,$JE31))</f>
        <v/>
      </c>
      <c r="JH31" s="145">
        <f>IF($JE31=0,"",INDEX($GN$2:$GN$37,$JE31))</f>
        <v/>
      </c>
      <c r="JI31" s="145">
        <f>IF($JE31=0,"",INDEX($EA$2:$EA$37,$JE31))</f>
        <v/>
      </c>
      <c r="JJ31" s="145">
        <f>IF($JE31=0,"",INDEX($GP$2:$GP$37,$JE31))</f>
        <v/>
      </c>
      <c r="JK31" s="145">
        <f>IF($JE31=0,"",INDEX($HE$2:$HE$37,$JE31))</f>
        <v/>
      </c>
      <c r="KQ31" s="143" t="inlineStr">
        <is>
          <t>P46</t>
        </is>
      </c>
      <c r="KR31" s="145">
        <f>DADOS_AM!$HI$10&amp;" feitiços grátis · "&amp;DADOS_AM!$HI$11&amp;"d8 cada"</f>
        <v/>
      </c>
    </row>
    <row r="32">
      <c r="BC32" s="143" t="inlineStr">
        <is>
          <t>Enfeitiçado</t>
        </is>
      </c>
      <c r="BD32" s="143" t="inlineStr">
        <is>
          <t>Controle</t>
        </is>
      </c>
      <c r="BE32" s="145" t="n">
        <v>2</v>
      </c>
      <c r="BF32" s="145">
        <f>$BE32+3*IFERROR(VLOOKUP($BD32,$I$2:$L$10,3,FALSE),0)</f>
        <v/>
      </c>
      <c r="BG32" s="145">
        <f>IFERROR(VLOOKUP($BD32,$I$2:$L$10,4,FALSE),0)</f>
        <v/>
      </c>
      <c r="BH32" s="145" t="n">
        <v>1</v>
      </c>
      <c r="BI32" s="145">
        <f>IF($BG32=1,"",$BC32)</f>
        <v/>
      </c>
      <c r="BJ32" s="145">
        <f>IF(AND($BE32=1,$BG32=0),$BC32,"")</f>
        <v/>
      </c>
      <c r="CC32" s="143" t="inlineStr">
        <is>
          <t>Bênção Própria (CE 1)</t>
        </is>
      </c>
      <c r="CD32" s="143" t="inlineStr">
        <is>
          <t>Uma por personagem</t>
        </is>
      </c>
      <c r="CE32" s="145" t="n">
        <v>1</v>
      </c>
      <c r="CF32" s="143" t="inlineStr">
        <is>
          <t>—</t>
        </is>
      </c>
      <c r="CG32"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45">
        <f>IF($CK32=1,"",IF($A$2=4,IF($CI32=1,$CC32,""),IF(OR($CI32=1,AND($A$2=3,$CJ32=1)),"",$CC32)))</f>
        <v/>
      </c>
      <c r="CI32" s="145" t="n">
        <v>1</v>
      </c>
      <c r="CJ32" s="145" t="n">
        <v>0</v>
      </c>
      <c r="CK32" s="145" t="n">
        <v>0</v>
      </c>
      <c r="CL32" s="143" t="inlineStr">
        <is>
          <t>Você pode desenvolver uma Bênção Própria por personagem, de Categoria de Efeito 1 ou 2.</t>
        </is>
      </c>
      <c r="DV32" s="143" t="inlineStr">
        <is>
          <t>Feitiço 31</t>
        </is>
      </c>
      <c r="DW32" s="145" t="n">
        <v>0</v>
      </c>
      <c r="DX32" s="145" t="n">
        <v>31</v>
      </c>
      <c r="DY32" s="145">
        <f>MAX(1,MIN(7,N('FICHA AMALDIÇOADA'!$D$265)))</f>
        <v/>
      </c>
      <c r="DZ32" s="145">
        <f>'FICHA AMALDIÇOADA'!$E$265&amp;""</f>
        <v/>
      </c>
      <c r="EA32" s="145">
        <f>'FICHA AMALDIÇOADA'!$D$272&amp;""</f>
        <v/>
      </c>
      <c r="EB32" s="145">
        <f>'FICHA AMALDIÇOADA'!$E$274&amp;""</f>
        <v/>
      </c>
      <c r="EC32" s="145">
        <f>'FICHA AMALDIÇOADA'!$E$275&amp;""</f>
        <v/>
      </c>
      <c r="ED32" s="145">
        <f>'FICHA AMALDIÇOADA'!$E$276&amp;""</f>
        <v/>
      </c>
      <c r="EE32" s="145">
        <f>'FICHA AMALDIÇOADA'!$E$277&amp;""</f>
        <v/>
      </c>
      <c r="EF32" s="145">
        <f>'FICHA AMALDIÇOADA'!$E$278&amp;""</f>
        <v/>
      </c>
      <c r="EG32" s="145">
        <f>'FICHA AMALDIÇOADA'!$E$279&amp;""</f>
        <v/>
      </c>
      <c r="EH32" s="145">
        <f>IF($DZ32&lt;&gt;"",1,0)</f>
        <v/>
      </c>
      <c r="EI32" s="145">
        <f>IFERROR(MATCH($EA32,$Y$2:$Y$11,0),0)</f>
        <v/>
      </c>
      <c r="EJ32" s="145">
        <f>IF($EI32=0,0,INDEX($AB$2:$AB$11,$EI32))</f>
        <v/>
      </c>
      <c r="EK32" s="145">
        <f>IFERROR(VLOOKUP($EB32,$BC$2:$BJ$84,4,FALSE),0)</f>
        <v/>
      </c>
      <c r="EL32" s="145">
        <f>IFERROR(VLOOKUP($EC32,$BC$2:$BJ$84,4,FALSE),0)</f>
        <v/>
      </c>
      <c r="EM32" s="145">
        <f>IFERROR(VLOOKUP($ED32,$BC$2:$BJ$84,4,FALSE),0)</f>
        <v/>
      </c>
      <c r="EN32" s="145">
        <f>IFERROR(VLOOKUP($EE32,$BC$2:$BJ$84,4,FALSE),0)</f>
        <v/>
      </c>
      <c r="EO32" s="145">
        <f>IF($EI32=0,0,INDEX($AC$2:$AC$11,$EI32))</f>
        <v/>
      </c>
      <c r="EP32" s="145">
        <f>IFERROR(VLOOKUP($EB32,$BC$2:$BJ$84,5,FALSE),0)</f>
        <v/>
      </c>
      <c r="EQ32" s="145">
        <f>IFERROR(VLOOKUP($EC32,$BC$2:$BJ$84,5,FALSE),0)</f>
        <v/>
      </c>
      <c r="ER32" s="145">
        <f>IFERROR(VLOOKUP($ED32,$BC$2:$BJ$84,5,FALSE),0)</f>
        <v/>
      </c>
      <c r="ES32" s="145">
        <f>IFERROR(VLOOKUP($EE32,$BC$2:$BJ$84,5,FALSE),0)</f>
        <v/>
      </c>
      <c r="ET32" s="145">
        <f>IFERROR(VLOOKUP($EB32,$BC$2:$BJ$84,6,FALSE),0)+IFERROR(VLOOKUP($EC32,$BC$2:$BJ$84,6,FALSE),0)+IFERROR(VLOOKUP($ED32,$BC$2:$BJ$84,6,FALSE),0)+IFERROR(VLOOKUP($EE32,$BC$2:$BJ$84,6,FALSE),0)</f>
        <v/>
      </c>
      <c r="EU32" s="145">
        <f>IF($EI32=0,0,INDEX($AD$2:$AD$11,$EI32))</f>
        <v/>
      </c>
      <c r="EV32" s="145">
        <f>IF($EI32=0,0,INDEX($AE$2:$AE$11,$EI32))</f>
        <v/>
      </c>
      <c r="EW32" s="145">
        <f>IF($EI32=0,0,INDEX($AG$2:$AG$11,$EI32))</f>
        <v/>
      </c>
      <c r="EX32" s="145">
        <f>IFERROR(VLOOKUP($EF32,$BL$2:$BP$24,3,FALSE),0)</f>
        <v/>
      </c>
      <c r="EY32" s="145">
        <f>IFERROR(VLOOKUP($EG32,$BL$2:$BP$24,3,FALSE),0)</f>
        <v/>
      </c>
      <c r="EZ32" s="145">
        <f>IFERROR(VLOOKUP($EF32,$BL$2:$BP$24,2,FALSE),"")</f>
        <v/>
      </c>
      <c r="FA32" s="145">
        <f>IFERROR(VLOOKUP($EG32,$BL$2:$BP$24,2,FALSE),"")</f>
        <v/>
      </c>
      <c r="FB32" s="145">
        <f>COUNTIF($EJ32:$EN32,1)</f>
        <v/>
      </c>
      <c r="FC32" s="145">
        <f>COUNTIF($EJ32:$EN32,2)</f>
        <v/>
      </c>
      <c r="FD32" s="145">
        <f>COUNTIF($EJ32:$EN32,3)</f>
        <v/>
      </c>
      <c r="FE32" s="145">
        <f>COUNTIF($EJ32:$EN32,4)</f>
        <v/>
      </c>
      <c r="FF32" s="145">
        <f>COUNTIF($EJ32:$EN32,5)</f>
        <v/>
      </c>
      <c r="FG32" s="145">
        <f>COUNTIF($EJ32:$EN32,6)</f>
        <v/>
      </c>
      <c r="FH32" s="145">
        <f>COUNTIF($EX32:$EY32,1)</f>
        <v/>
      </c>
      <c r="FI32" s="145">
        <f>COUNTIF($EX32:$EY32,2)+$EU32</f>
        <v/>
      </c>
      <c r="FJ32" s="145">
        <f>COUNTIF($EB32:$EE32,"?*")</f>
        <v/>
      </c>
      <c r="FK32" s="145">
        <f>COUNTIF($EF32:$EG32,"?*")+$EU32</f>
        <v/>
      </c>
      <c r="FL32" s="145">
        <f>SUMPRODUCT($FB32:$FG32,INDEX($Q$2:$V$8,$DY32,0))</f>
        <v/>
      </c>
      <c r="FM32" s="145">
        <f>$FH32*CEILING($DY32/2,1)+$FI32*$DY32</f>
        <v/>
      </c>
      <c r="FN32" s="145">
        <f>MIN(2*$DY32,$FM32)</f>
        <v/>
      </c>
      <c r="FO32" s="145">
        <f>MIN($FN32,$FL32)</f>
        <v/>
      </c>
      <c r="FP32" s="145">
        <f>$FN32-$FO32</f>
        <v/>
      </c>
      <c r="FQ32" s="145">
        <f>3*$DY32-$FL32+$FO32</f>
        <v/>
      </c>
      <c r="FR32" s="145">
        <f>MAX(0,$FQ32)+$DW32*$DY32</f>
        <v/>
      </c>
      <c r="FS32" s="145">
        <f>(IF(COUNTIF($EB32:$EE32,"Salto")&gt;0,1,0)+IF(COUNTIF($EB32:$EE32,"Queima")&gt;0,1,0)+IF(COUNTIF($EB32:$EE32,"Estilhaço")&gt;0,1,0))*FLOOR($FR32/2,1)</f>
        <v/>
      </c>
      <c r="FT32" s="145">
        <f>MAX(0,3-SUMPRODUCT($FB32:$FG32,$Q$2:$V$2)+MIN(2,$FH32*1+$FI32*1,SUMPRODUCT($FB32:$FG32,$Q$2:$V$2)))+$DW32*1</f>
        <v/>
      </c>
      <c r="FU32" s="145">
        <f>MAX(0,6-SUMPRODUCT($FB32:$FG32,$Q$3:$V$3)+MIN(4,$FH32*1+$FI32*2,SUMPRODUCT($FB32:$FG32,$Q$3:$V$3)))+$DW32*2</f>
        <v/>
      </c>
      <c r="FV32" s="145">
        <f>MAX(0,9-SUMPRODUCT($FB32:$FG32,$Q$4:$V$4)+MIN(6,$FH32*2+$FI32*3,SUMPRODUCT($FB32:$FG32,$Q$4:$V$4)))+$DW32*3</f>
        <v/>
      </c>
      <c r="FW32" s="145">
        <f>MAX(0,12-SUMPRODUCT($FB32:$FG32,$Q$5:$V$5)+MIN(8,$FH32*2+$FI32*4,SUMPRODUCT($FB32:$FG32,$Q$5:$V$5)))+$DW32*4</f>
        <v/>
      </c>
      <c r="FX32" s="145">
        <f>MAX(0,15-SUMPRODUCT($FB32:$FG32,$Q$6:$V$6)+MIN(10,$FH32*3+$FI32*5,SUMPRODUCT($FB32:$FG32,$Q$6:$V$6)))+$DW32*5</f>
        <v/>
      </c>
      <c r="FY32" s="145">
        <f>MAX(0,18-SUMPRODUCT($FB32:$FG32,$Q$7:$V$7)+MIN(12,$FH32*3+$FI32*6,SUMPRODUCT($FB32:$FG32,$Q$7:$V$7)))+$DW32*6</f>
        <v/>
      </c>
      <c r="FZ32" s="145">
        <f>MAX(0,21-SUMPRODUCT($FB32:$FG32,$Q$8:$V$8)+MIN(14,$FH32*4+$FI32*7,SUMPRODUCT($FB32:$FG32,$Q$8:$V$8)))+$DW32*7</f>
        <v/>
      </c>
      <c r="GA32" s="145">
        <f>IF($EV32=2,3*$FT32&amp;" de vida temp.",IF($EV32=3,"sem dano",IF($FT32=0,IF($EV32=1,"sem cura","sem dano"),IF($EV32=1,"cura ","")&amp;$FT32&amp;"d8")))</f>
        <v/>
      </c>
      <c r="GB32" s="145">
        <f>IF($EV32=2,3*$FU32&amp;" de vida temp.",IF($EV32=3,"sem dano",IF($FU32=0,IF($EV32=1,"sem cura","sem dano"),IF($EV32=1,"cura ","")&amp;$FU32&amp;"d8")))</f>
        <v/>
      </c>
      <c r="GC32" s="145">
        <f>IF($EV32=2,3*$FV32&amp;" de vida temp.",IF($EV32=3,"sem dano",IF($FV32=0,IF($EV32=1,"sem cura","sem dano"),IF($EV32=1,"cura ","")&amp;$FV32&amp;"d8")))</f>
        <v/>
      </c>
      <c r="GD32" s="145">
        <f>IF($EV32=2,3*$FW32&amp;" de vida temp.",IF($EV32=3,"sem dano",IF($FW32=0,IF($EV32=1,"sem cura","sem dano"),IF($EV32=1,"cura ","")&amp;$FW32&amp;"d8")))</f>
        <v/>
      </c>
      <c r="GE32" s="145">
        <f>IF($EV32=2,3*$FX32&amp;" de vida temp.",IF($EV32=3,"sem dano",IF($FX32=0,IF($EV32=1,"sem cura","sem dano"),IF($EV32=1,"cura ","")&amp;$FX32&amp;"d8")))</f>
        <v/>
      </c>
      <c r="GF32" s="145">
        <f>IF($EV32=2,3*$FY32&amp;" de vida temp.",IF($EV32=3,"sem dano",IF($FY32=0,IF($EV32=1,"sem cura","sem dano"),IF($EV32=1,"cura ","")&amp;$FY32&amp;"d8")))</f>
        <v/>
      </c>
      <c r="GG32" s="145">
        <f>IF($EV32=2,3*$FZ32&amp;" de vida temp.",IF($EV32=3,"sem dano",IF($FZ32=0,IF($EV32=1,"sem cura","sem dano"),IF($EV32=1,"cura ","")&amp;$FZ32&amp;"d8")))</f>
        <v/>
      </c>
      <c r="GH32" s="145">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45">
        <f>IF($GH32="",0,(LEN($GH32)-LEN(SUBSTITUTE($GH32," · ","")))/3+1)</f>
        <v/>
      </c>
      <c r="GJ32" s="145">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45">
        <f>IF($GJ32="",0,(LEN($GJ32)-LEN(SUBSTITUTE($GJ32," · ","")))/3+1)</f>
        <v/>
      </c>
      <c r="GL32" s="145">
        <f>IF($EH32=0,IF($FJ32+$FK32-$EU32&gt;0,"Dê um nome",""),IF($GI32&gt;0,"⚠ "&amp;$GI32&amp;IF($GI32&gt;1," erros"," erro"),IF($GK32&gt;0,"! "&amp;$GK32&amp;IF($GK32&gt;1," avisos"," aviso"),"Na regra")))</f>
        <v/>
      </c>
      <c r="GM32" s="145">
        <f>IF($EH32=0,"",IF($GI32+$GK32=0,"Dentro das regras que a ficha confere",$GH32&amp;IF(AND($GI32&gt;0,$GK32&gt;0)," · ","")&amp;$GJ32))</f>
        <v/>
      </c>
      <c r="GN32" s="145">
        <f>IF($EH32=0,"",IF($DW32=1,CEILING(4.5*$DY32,1),3*$DY32)&amp;" PE")</f>
        <v/>
      </c>
      <c r="GO32" s="145">
        <f>IF($EH32=0,"",IF($DW32=1,"Rodada inteira",IF(COUNTIF($EZ32:$FA32,"Atrasar")&gt;0,IF(COUNTIF($EZ32:$FA32,"Carregar")&gt;0,"Rodada +1 turno","Rodada inteira"),IF(COUNTIF($EB32:$EE32,"Rápido")&gt;0,"Bônus",IF(COUNTIF($EB32:$EE32,"Reação")&gt;0,"Reação","Padrão"))&amp;IF(COUNTIF($EZ32:$FA32,"Carregar")&gt;0," +1 turno",""))))</f>
        <v/>
      </c>
      <c r="GP32" s="145">
        <f>IF(OR($EH32=0,$EI32=0),"",IF(COUNTIF($EB32:$EE32,"Inescapável")&gt;0,"Automático",IF(COUNTIF($EB32:$EE32,"Certeiro")&gt;0,"TR para metade",INDEX($AF$2:$AF$11,$EI32))))</f>
        <v/>
      </c>
      <c r="GQ32" s="145">
        <f>IF(OR($EH32=0,$EI32=0),"",IF(OR($EV32&gt;=2,$FR32=0),UPPER(LEFT(INDEX($GA32:$GG32,1,$DY32),1))&amp;MID(INDEX($GA32:$GG32,1,$DY32),2,99),UPPER(LEFT(INDEX($GA32:$GG32,1,$DY32),1))&amp;MID(INDEX($GA32:$GG32,1,$DY32),2,99)&amp;" = "&amp;FLOOR($FR32*4.5,1)&amp;IF($FS32&gt;0," · +"&amp;$FS32&amp;"d8","")))</f>
        <v/>
      </c>
      <c r="GR32" s="145">
        <f>COUNTIF($EB32:$EE32,"Longe")+3*COUNTIF($EB32:$EE32,"Muito Longe")</f>
        <v/>
      </c>
      <c r="GS32" s="145">
        <f>COUNTIF($EB32:$EE32,"Maior")+3*COUNTIF($EB32:$EE32,"Muito Maior")</f>
        <v/>
      </c>
      <c r="GT32" s="145">
        <f>IF($EI32=0,0,CHOOSE(1+INDEX($AH$2:$AH$11,$EI32),0,$GR32,$GS32,$GR32+$GS32))</f>
        <v/>
      </c>
      <c r="GU32" s="145">
        <f>IF($EI32=0,0,CHOOSE(1+INDEX($AI$2:$AI$11,$EI32),0,$GR32,$GS32,$GR32+$GS32))</f>
        <v/>
      </c>
      <c r="GV32" s="145">
        <f>IF(OR($EH32=0,$EI32=0),"",INDEX($AP$2:$AU$31,($EI32-1)*3+IF($DY32&gt;=6,3,2),1+MIN(5,$GT32))&amp;INDEX($AV$2:$BA$31,($EI32-1)*3+IF($DY32&gt;=6,3,2),1+MIN(5,$GU32))&amp;IF(INDEX($AJ$2:$AJ$11,$EI32)=1,IF(COUNTIF($EB32:$EE32,"Mais Um")&gt;0," · +"&amp;COUNTIF($EB32:$EE32,"Mais Um")&amp;IF(COUNTIF($EB32:$EE32,"Mais Um")&gt;1," alvos"," alvo"),"")&amp;IF(COUNTIF($EB32:$EE32,"Rajada")&gt;0," · "&amp;($DY32+1)&amp;" tiros",""),""))</f>
        <v/>
      </c>
      <c r="GW32" s="145">
        <f>IF($EH32=0,"",3*$DY32&amp;" − "&amp;$FL32&amp;" + "&amp;$FO32&amp;IF($DW32=1," + "&amp;$DY32,"")&amp;" = "&amp;$FR32&amp;"d8 · teto "&amp;4*$DY32&amp;IF($EU32=1," · a Forma devolve "&amp;$DY32,"")&amp;IF($FP32&gt;0," · perde "&amp;$FP32,""))</f>
        <v/>
      </c>
      <c r="GX32" s="145">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5">
        <f>IF(OR($EH32=0,$EK32=0),"","−"&amp;INDEX($Q$2:$V$8,$DY32,$EK32)&amp;" · "&amp;CHOOSE($EK32,"Leve","Média","Pesada","Leve · Livre","Média · Livre","Pesada · Livre"))</f>
        <v/>
      </c>
      <c r="GZ32" s="145">
        <f>IF(OR($EH32=0,$EL32=0),"","−"&amp;INDEX($Q$2:$V$8,$DY32,$EL32)&amp;" · "&amp;CHOOSE($EL32,"Leve","Média","Pesada","Leve · Livre","Média · Livre","Pesada · Livre"))</f>
        <v/>
      </c>
      <c r="HA32" s="145">
        <f>IF(OR($EH32=0,$EM32=0),"","−"&amp;INDEX($Q$2:$V$8,$DY32,$EM32)&amp;" · "&amp;CHOOSE($EM32,"Leve","Média","Pesada","Leve · Livre","Média · Livre","Pesada · Livre"))</f>
        <v/>
      </c>
      <c r="HB32" s="145">
        <f>IF(OR($EH32=0,$EN32=0),"","−"&amp;INDEX($Q$2:$V$8,$DY32,$EN32)&amp;" · "&amp;CHOOSE($EN32,"Leve","Média","Pesada","Leve · Livre","Média · Livre","Pesada · Livre"))</f>
        <v/>
      </c>
      <c r="HC32" s="145">
        <f>IF(OR($EH32=0,$EF32=""),"","+"&amp;IF($EX32=1,CEILING($DY32/2,1),$DY32))</f>
        <v/>
      </c>
      <c r="HD32" s="145">
        <f>IF(OR($EH32=0,$EG32=""),"","+"&amp;IF($EY32=1,CEILING($DY32/2,1),$DY32))</f>
        <v/>
      </c>
      <c r="HE32" s="145">
        <f>'FICHA AMALDIÇOADA'!$D$267&amp;""</f>
        <v/>
      </c>
      <c r="HF32" s="145">
        <f>IF(AND($EH32=1,$DW32=0),COUNTIFS($EH$2:$EH32,1,$DW$2:$DW32,0),"")</f>
        <v/>
      </c>
      <c r="HH32" s="143" t="inlineStr">
        <is>
          <t>metade do refino</t>
        </is>
      </c>
      <c r="HI32" s="145">
        <f>MAX(1,FLOOR($HI$6/2,1))</f>
        <v/>
      </c>
      <c r="JD32" s="145" t="n">
        <v>31</v>
      </c>
      <c r="JE32" s="145">
        <f>IFERROR(MATCH(31,$HF$2:$HF$37,0),0)</f>
        <v/>
      </c>
      <c r="JF32" s="145">
        <f>IF($JE32=0,"",INDEX($DY$2:$DY$37,$JE32))</f>
        <v/>
      </c>
      <c r="JG32" s="145">
        <f>IF($JE32=0,"",INDEX($DZ$2:$DZ$37,$JE32))</f>
        <v/>
      </c>
      <c r="JH32" s="145">
        <f>IF($JE32=0,"",INDEX($GN$2:$GN$37,$JE32))</f>
        <v/>
      </c>
      <c r="JI32" s="145">
        <f>IF($JE32=0,"",INDEX($EA$2:$EA$37,$JE32))</f>
        <v/>
      </c>
      <c r="JJ32" s="145">
        <f>IF($JE32=0,"",INDEX($GP$2:$GP$37,$JE32))</f>
        <v/>
      </c>
      <c r="JK32" s="145">
        <f>IF($JE32=0,"",INDEX($HE$2:$HE$37,$JE32))</f>
        <v/>
      </c>
      <c r="KQ32" s="143" t="inlineStr">
        <is>
          <t>D48</t>
        </is>
      </c>
      <c r="KR32" s="145">
        <f>UPPER(INDEX(DADOS_AM!$D$3:$G$3,1,DADOS_AM!$A$2))</f>
        <v/>
      </c>
    </row>
    <row r="33">
      <c r="BC33" s="143" t="inlineStr">
        <is>
          <t>Impedido</t>
        </is>
      </c>
      <c r="BD33" s="143" t="inlineStr">
        <is>
          <t>Controle</t>
        </is>
      </c>
      <c r="BE33" s="145" t="n">
        <v>3</v>
      </c>
      <c r="BF33" s="145">
        <f>$BE33+3*IFERROR(VLOOKUP($BD33,$I$2:$L$10,3,FALSE),0)</f>
        <v/>
      </c>
      <c r="BG33" s="145">
        <f>IFERROR(VLOOKUP($BD33,$I$2:$L$10,4,FALSE),0)</f>
        <v/>
      </c>
      <c r="BH33" s="145" t="n">
        <v>1</v>
      </c>
      <c r="BI33" s="145">
        <f>IF($BG33=1,"",$BC33)</f>
        <v/>
      </c>
      <c r="BJ33" s="145">
        <f>IF(AND($BE33=1,$BG33=0),$BC33,"")</f>
        <v/>
      </c>
      <c r="CC33" s="143" t="inlineStr">
        <is>
          <t>Bênção Própria (CE 2)</t>
        </is>
      </c>
      <c r="CD33" s="143" t="inlineStr">
        <is>
          <t>Uma por personagem</t>
        </is>
      </c>
      <c r="CE33" s="145" t="n">
        <v>2</v>
      </c>
      <c r="CF33" s="143" t="inlineStr">
        <is>
          <t>—</t>
        </is>
      </c>
      <c r="CG33"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45">
        <f>IF($CK33=1,"",IF($A$2=4,IF($CI33=1,$CC33,""),IF(OR($CI33=1,AND($A$2=3,$CJ33=1)),"",$CC33)))</f>
        <v/>
      </c>
      <c r="CI33" s="145" t="n">
        <v>1</v>
      </c>
      <c r="CJ33" s="145" t="n">
        <v>0</v>
      </c>
      <c r="CK33" s="145" t="n">
        <v>0</v>
      </c>
      <c r="CL33" s="143" t="inlineStr">
        <is>
          <t>Você pode desenvolver uma Bênção Própria por personagem, de Categoria de Efeito 1 ou 2.</t>
        </is>
      </c>
      <c r="DV33" s="143" t="inlineStr">
        <is>
          <t>Feitiço 32</t>
        </is>
      </c>
      <c r="DW33" s="145" t="n">
        <v>0</v>
      </c>
      <c r="DX33" s="145" t="n">
        <v>32</v>
      </c>
      <c r="DY33" s="145">
        <f>MAX(1,MIN(7,N('FICHA AMALDIÇOADA'!$J$265)))</f>
        <v/>
      </c>
      <c r="DZ33" s="145">
        <f>'FICHA AMALDIÇOADA'!$K$265&amp;""</f>
        <v/>
      </c>
      <c r="EA33" s="145">
        <f>'FICHA AMALDIÇOADA'!$J$272&amp;""</f>
        <v/>
      </c>
      <c r="EB33" s="145">
        <f>'FICHA AMALDIÇOADA'!$K$274&amp;""</f>
        <v/>
      </c>
      <c r="EC33" s="145">
        <f>'FICHA AMALDIÇOADA'!$K$275&amp;""</f>
        <v/>
      </c>
      <c r="ED33" s="145">
        <f>'FICHA AMALDIÇOADA'!$K$276&amp;""</f>
        <v/>
      </c>
      <c r="EE33" s="145">
        <f>'FICHA AMALDIÇOADA'!$K$277&amp;""</f>
        <v/>
      </c>
      <c r="EF33" s="145">
        <f>'FICHA AMALDIÇOADA'!$K$278&amp;""</f>
        <v/>
      </c>
      <c r="EG33" s="145">
        <f>'FICHA AMALDIÇOADA'!$K$279&amp;""</f>
        <v/>
      </c>
      <c r="EH33" s="145">
        <f>IF($DZ33&lt;&gt;"",1,0)</f>
        <v/>
      </c>
      <c r="EI33" s="145">
        <f>IFERROR(MATCH($EA33,$Y$2:$Y$11,0),0)</f>
        <v/>
      </c>
      <c r="EJ33" s="145">
        <f>IF($EI33=0,0,INDEX($AB$2:$AB$11,$EI33))</f>
        <v/>
      </c>
      <c r="EK33" s="145">
        <f>IFERROR(VLOOKUP($EB33,$BC$2:$BJ$84,4,FALSE),0)</f>
        <v/>
      </c>
      <c r="EL33" s="145">
        <f>IFERROR(VLOOKUP($EC33,$BC$2:$BJ$84,4,FALSE),0)</f>
        <v/>
      </c>
      <c r="EM33" s="145">
        <f>IFERROR(VLOOKUP($ED33,$BC$2:$BJ$84,4,FALSE),0)</f>
        <v/>
      </c>
      <c r="EN33" s="145">
        <f>IFERROR(VLOOKUP($EE33,$BC$2:$BJ$84,4,FALSE),0)</f>
        <v/>
      </c>
      <c r="EO33" s="145">
        <f>IF($EI33=0,0,INDEX($AC$2:$AC$11,$EI33))</f>
        <v/>
      </c>
      <c r="EP33" s="145">
        <f>IFERROR(VLOOKUP($EB33,$BC$2:$BJ$84,5,FALSE),0)</f>
        <v/>
      </c>
      <c r="EQ33" s="145">
        <f>IFERROR(VLOOKUP($EC33,$BC$2:$BJ$84,5,FALSE),0)</f>
        <v/>
      </c>
      <c r="ER33" s="145">
        <f>IFERROR(VLOOKUP($ED33,$BC$2:$BJ$84,5,FALSE),0)</f>
        <v/>
      </c>
      <c r="ES33" s="145">
        <f>IFERROR(VLOOKUP($EE33,$BC$2:$BJ$84,5,FALSE),0)</f>
        <v/>
      </c>
      <c r="ET33" s="145">
        <f>IFERROR(VLOOKUP($EB33,$BC$2:$BJ$84,6,FALSE),0)+IFERROR(VLOOKUP($EC33,$BC$2:$BJ$84,6,FALSE),0)+IFERROR(VLOOKUP($ED33,$BC$2:$BJ$84,6,FALSE),0)+IFERROR(VLOOKUP($EE33,$BC$2:$BJ$84,6,FALSE),0)</f>
        <v/>
      </c>
      <c r="EU33" s="145">
        <f>IF($EI33=0,0,INDEX($AD$2:$AD$11,$EI33))</f>
        <v/>
      </c>
      <c r="EV33" s="145">
        <f>IF($EI33=0,0,INDEX($AE$2:$AE$11,$EI33))</f>
        <v/>
      </c>
      <c r="EW33" s="145">
        <f>IF($EI33=0,0,INDEX($AG$2:$AG$11,$EI33))</f>
        <v/>
      </c>
      <c r="EX33" s="145">
        <f>IFERROR(VLOOKUP($EF33,$BL$2:$BP$24,3,FALSE),0)</f>
        <v/>
      </c>
      <c r="EY33" s="145">
        <f>IFERROR(VLOOKUP($EG33,$BL$2:$BP$24,3,FALSE),0)</f>
        <v/>
      </c>
      <c r="EZ33" s="145">
        <f>IFERROR(VLOOKUP($EF33,$BL$2:$BP$24,2,FALSE),"")</f>
        <v/>
      </c>
      <c r="FA33" s="145">
        <f>IFERROR(VLOOKUP($EG33,$BL$2:$BP$24,2,FALSE),"")</f>
        <v/>
      </c>
      <c r="FB33" s="145">
        <f>COUNTIF($EJ33:$EN33,1)</f>
        <v/>
      </c>
      <c r="FC33" s="145">
        <f>COUNTIF($EJ33:$EN33,2)</f>
        <v/>
      </c>
      <c r="FD33" s="145">
        <f>COUNTIF($EJ33:$EN33,3)</f>
        <v/>
      </c>
      <c r="FE33" s="145">
        <f>COUNTIF($EJ33:$EN33,4)</f>
        <v/>
      </c>
      <c r="FF33" s="145">
        <f>COUNTIF($EJ33:$EN33,5)</f>
        <v/>
      </c>
      <c r="FG33" s="145">
        <f>COUNTIF($EJ33:$EN33,6)</f>
        <v/>
      </c>
      <c r="FH33" s="145">
        <f>COUNTIF($EX33:$EY33,1)</f>
        <v/>
      </c>
      <c r="FI33" s="145">
        <f>COUNTIF($EX33:$EY33,2)+$EU33</f>
        <v/>
      </c>
      <c r="FJ33" s="145">
        <f>COUNTIF($EB33:$EE33,"?*")</f>
        <v/>
      </c>
      <c r="FK33" s="145">
        <f>COUNTIF($EF33:$EG33,"?*")+$EU33</f>
        <v/>
      </c>
      <c r="FL33" s="145">
        <f>SUMPRODUCT($FB33:$FG33,INDEX($Q$2:$V$8,$DY33,0))</f>
        <v/>
      </c>
      <c r="FM33" s="145">
        <f>$FH33*CEILING($DY33/2,1)+$FI33*$DY33</f>
        <v/>
      </c>
      <c r="FN33" s="145">
        <f>MIN(2*$DY33,$FM33)</f>
        <v/>
      </c>
      <c r="FO33" s="145">
        <f>MIN($FN33,$FL33)</f>
        <v/>
      </c>
      <c r="FP33" s="145">
        <f>$FN33-$FO33</f>
        <v/>
      </c>
      <c r="FQ33" s="145">
        <f>3*$DY33-$FL33+$FO33</f>
        <v/>
      </c>
      <c r="FR33" s="145">
        <f>MAX(0,$FQ33)+$DW33*$DY33</f>
        <v/>
      </c>
      <c r="FS33" s="145">
        <f>(IF(COUNTIF($EB33:$EE33,"Salto")&gt;0,1,0)+IF(COUNTIF($EB33:$EE33,"Queima")&gt;0,1,0)+IF(COUNTIF($EB33:$EE33,"Estilhaço")&gt;0,1,0))*FLOOR($FR33/2,1)</f>
        <v/>
      </c>
      <c r="FT33" s="145">
        <f>MAX(0,3-SUMPRODUCT($FB33:$FG33,$Q$2:$V$2)+MIN(2,$FH33*1+$FI33*1,SUMPRODUCT($FB33:$FG33,$Q$2:$V$2)))+$DW33*1</f>
        <v/>
      </c>
      <c r="FU33" s="145">
        <f>MAX(0,6-SUMPRODUCT($FB33:$FG33,$Q$3:$V$3)+MIN(4,$FH33*1+$FI33*2,SUMPRODUCT($FB33:$FG33,$Q$3:$V$3)))+$DW33*2</f>
        <v/>
      </c>
      <c r="FV33" s="145">
        <f>MAX(0,9-SUMPRODUCT($FB33:$FG33,$Q$4:$V$4)+MIN(6,$FH33*2+$FI33*3,SUMPRODUCT($FB33:$FG33,$Q$4:$V$4)))+$DW33*3</f>
        <v/>
      </c>
      <c r="FW33" s="145">
        <f>MAX(0,12-SUMPRODUCT($FB33:$FG33,$Q$5:$V$5)+MIN(8,$FH33*2+$FI33*4,SUMPRODUCT($FB33:$FG33,$Q$5:$V$5)))+$DW33*4</f>
        <v/>
      </c>
      <c r="FX33" s="145">
        <f>MAX(0,15-SUMPRODUCT($FB33:$FG33,$Q$6:$V$6)+MIN(10,$FH33*3+$FI33*5,SUMPRODUCT($FB33:$FG33,$Q$6:$V$6)))+$DW33*5</f>
        <v/>
      </c>
      <c r="FY33" s="145">
        <f>MAX(0,18-SUMPRODUCT($FB33:$FG33,$Q$7:$V$7)+MIN(12,$FH33*3+$FI33*6,SUMPRODUCT($FB33:$FG33,$Q$7:$V$7)))+$DW33*6</f>
        <v/>
      </c>
      <c r="FZ33" s="145">
        <f>MAX(0,21-SUMPRODUCT($FB33:$FG33,$Q$8:$V$8)+MIN(14,$FH33*4+$FI33*7,SUMPRODUCT($FB33:$FG33,$Q$8:$V$8)))+$DW33*7</f>
        <v/>
      </c>
      <c r="GA33" s="145">
        <f>IF($EV33=2,3*$FT33&amp;" de vida temp.",IF($EV33=3,"sem dano",IF($FT33=0,IF($EV33=1,"sem cura","sem dano"),IF($EV33=1,"cura ","")&amp;$FT33&amp;"d8")))</f>
        <v/>
      </c>
      <c r="GB33" s="145">
        <f>IF($EV33=2,3*$FU33&amp;" de vida temp.",IF($EV33=3,"sem dano",IF($FU33=0,IF($EV33=1,"sem cura","sem dano"),IF($EV33=1,"cura ","")&amp;$FU33&amp;"d8")))</f>
        <v/>
      </c>
      <c r="GC33" s="145">
        <f>IF($EV33=2,3*$FV33&amp;" de vida temp.",IF($EV33=3,"sem dano",IF($FV33=0,IF($EV33=1,"sem cura","sem dano"),IF($EV33=1,"cura ","")&amp;$FV33&amp;"d8")))</f>
        <v/>
      </c>
      <c r="GD33" s="145">
        <f>IF($EV33=2,3*$FW33&amp;" de vida temp.",IF($EV33=3,"sem dano",IF($FW33=0,IF($EV33=1,"sem cura","sem dano"),IF($EV33=1,"cura ","")&amp;$FW33&amp;"d8")))</f>
        <v/>
      </c>
      <c r="GE33" s="145">
        <f>IF($EV33=2,3*$FX33&amp;" de vida temp.",IF($EV33=3,"sem dano",IF($FX33=0,IF($EV33=1,"sem cura","sem dano"),IF($EV33=1,"cura ","")&amp;$FX33&amp;"d8")))</f>
        <v/>
      </c>
      <c r="GF33" s="145">
        <f>IF($EV33=2,3*$FY33&amp;" de vida temp.",IF($EV33=3,"sem dano",IF($FY33=0,IF($EV33=1,"sem cura","sem dano"),IF($EV33=1,"cura ","")&amp;$FY33&amp;"d8")))</f>
        <v/>
      </c>
      <c r="GG33" s="145">
        <f>IF($EV33=2,3*$FZ33&amp;" de vida temp.",IF($EV33=3,"sem dano",IF($FZ33=0,IF($EV33=1,"sem cura","sem dano"),IF($EV33=1,"cura ","")&amp;$FZ33&amp;"d8")))</f>
        <v/>
      </c>
      <c r="GH33" s="145">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45">
        <f>IF($GH33="",0,(LEN($GH33)-LEN(SUBSTITUTE($GH33," · ","")))/3+1)</f>
        <v/>
      </c>
      <c r="GJ33" s="145">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45">
        <f>IF($GJ33="",0,(LEN($GJ33)-LEN(SUBSTITUTE($GJ33," · ","")))/3+1)</f>
        <v/>
      </c>
      <c r="GL33" s="145">
        <f>IF($EH33=0,IF($FJ33+$FK33-$EU33&gt;0,"Dê um nome",""),IF($GI33&gt;0,"⚠ "&amp;$GI33&amp;IF($GI33&gt;1," erros"," erro"),IF($GK33&gt;0,"! "&amp;$GK33&amp;IF($GK33&gt;1," avisos"," aviso"),"Na regra")))</f>
        <v/>
      </c>
      <c r="GM33" s="145">
        <f>IF($EH33=0,"",IF($GI33+$GK33=0,"Dentro das regras que a ficha confere",$GH33&amp;IF(AND($GI33&gt;0,$GK33&gt;0)," · ","")&amp;$GJ33))</f>
        <v/>
      </c>
      <c r="GN33" s="145">
        <f>IF($EH33=0,"",IF($DW33=1,CEILING(4.5*$DY33,1),3*$DY33)&amp;" PE")</f>
        <v/>
      </c>
      <c r="GO33" s="145">
        <f>IF($EH33=0,"",IF($DW33=1,"Rodada inteira",IF(COUNTIF($EZ33:$FA33,"Atrasar")&gt;0,IF(COUNTIF($EZ33:$FA33,"Carregar")&gt;0,"Rodada +1 turno","Rodada inteira"),IF(COUNTIF($EB33:$EE33,"Rápido")&gt;0,"Bônus",IF(COUNTIF($EB33:$EE33,"Reação")&gt;0,"Reação","Padrão"))&amp;IF(COUNTIF($EZ33:$FA33,"Carregar")&gt;0," +1 turno",""))))</f>
        <v/>
      </c>
      <c r="GP33" s="145">
        <f>IF(OR($EH33=0,$EI33=0),"",IF(COUNTIF($EB33:$EE33,"Inescapável")&gt;0,"Automático",IF(COUNTIF($EB33:$EE33,"Certeiro")&gt;0,"TR para metade",INDEX($AF$2:$AF$11,$EI33))))</f>
        <v/>
      </c>
      <c r="GQ33" s="145">
        <f>IF(OR($EH33=0,$EI33=0),"",IF(OR($EV33&gt;=2,$FR33=0),UPPER(LEFT(INDEX($GA33:$GG33,1,$DY33),1))&amp;MID(INDEX($GA33:$GG33,1,$DY33),2,99),UPPER(LEFT(INDEX($GA33:$GG33,1,$DY33),1))&amp;MID(INDEX($GA33:$GG33,1,$DY33),2,99)&amp;" = "&amp;FLOOR($FR33*4.5,1)&amp;IF($FS33&gt;0," · +"&amp;$FS33&amp;"d8","")))</f>
        <v/>
      </c>
      <c r="GR33" s="145">
        <f>COUNTIF($EB33:$EE33,"Longe")+3*COUNTIF($EB33:$EE33,"Muito Longe")</f>
        <v/>
      </c>
      <c r="GS33" s="145">
        <f>COUNTIF($EB33:$EE33,"Maior")+3*COUNTIF($EB33:$EE33,"Muito Maior")</f>
        <v/>
      </c>
      <c r="GT33" s="145">
        <f>IF($EI33=0,0,CHOOSE(1+INDEX($AH$2:$AH$11,$EI33),0,$GR33,$GS33,$GR33+$GS33))</f>
        <v/>
      </c>
      <c r="GU33" s="145">
        <f>IF($EI33=0,0,CHOOSE(1+INDEX($AI$2:$AI$11,$EI33),0,$GR33,$GS33,$GR33+$GS33))</f>
        <v/>
      </c>
      <c r="GV33" s="145">
        <f>IF(OR($EH33=0,$EI33=0),"",INDEX($AP$2:$AU$31,($EI33-1)*3+IF($DY33&gt;=6,3,2),1+MIN(5,$GT33))&amp;INDEX($AV$2:$BA$31,($EI33-1)*3+IF($DY33&gt;=6,3,2),1+MIN(5,$GU33))&amp;IF(INDEX($AJ$2:$AJ$11,$EI33)=1,IF(COUNTIF($EB33:$EE33,"Mais Um")&gt;0," · +"&amp;COUNTIF($EB33:$EE33,"Mais Um")&amp;IF(COUNTIF($EB33:$EE33,"Mais Um")&gt;1," alvos"," alvo"),"")&amp;IF(COUNTIF($EB33:$EE33,"Rajada")&gt;0," · "&amp;($DY33+1)&amp;" tiros",""),""))</f>
        <v/>
      </c>
      <c r="GW33" s="145">
        <f>IF($EH33=0,"",3*$DY33&amp;" − "&amp;$FL33&amp;" + "&amp;$FO33&amp;IF($DW33=1," + "&amp;$DY33,"")&amp;" = "&amp;$FR33&amp;"d8 · teto "&amp;4*$DY33&amp;IF($EU33=1," · a Forma devolve "&amp;$DY33,"")&amp;IF($FP33&gt;0," · perde "&amp;$FP33,""))</f>
        <v/>
      </c>
      <c r="GX33" s="145">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5">
        <f>IF(OR($EH33=0,$EK33=0),"","−"&amp;INDEX($Q$2:$V$8,$DY33,$EK33)&amp;" · "&amp;CHOOSE($EK33,"Leve","Média","Pesada","Leve · Livre","Média · Livre","Pesada · Livre"))</f>
        <v/>
      </c>
      <c r="GZ33" s="145">
        <f>IF(OR($EH33=0,$EL33=0),"","−"&amp;INDEX($Q$2:$V$8,$DY33,$EL33)&amp;" · "&amp;CHOOSE($EL33,"Leve","Média","Pesada","Leve · Livre","Média · Livre","Pesada · Livre"))</f>
        <v/>
      </c>
      <c r="HA33" s="145">
        <f>IF(OR($EH33=0,$EM33=0),"","−"&amp;INDEX($Q$2:$V$8,$DY33,$EM33)&amp;" · "&amp;CHOOSE($EM33,"Leve","Média","Pesada","Leve · Livre","Média · Livre","Pesada · Livre"))</f>
        <v/>
      </c>
      <c r="HB33" s="145">
        <f>IF(OR($EH33=0,$EN33=0),"","−"&amp;INDEX($Q$2:$V$8,$DY33,$EN33)&amp;" · "&amp;CHOOSE($EN33,"Leve","Média","Pesada","Leve · Livre","Média · Livre","Pesada · Livre"))</f>
        <v/>
      </c>
      <c r="HC33" s="145">
        <f>IF(OR($EH33=0,$EF33=""),"","+"&amp;IF($EX33=1,CEILING($DY33/2,1),$DY33))</f>
        <v/>
      </c>
      <c r="HD33" s="145">
        <f>IF(OR($EH33=0,$EG33=""),"","+"&amp;IF($EY33=1,CEILING($DY33/2,1),$DY33))</f>
        <v/>
      </c>
      <c r="HE33" s="145">
        <f>'FICHA AMALDIÇOADA'!$J$267&amp;""</f>
        <v/>
      </c>
      <c r="HF33" s="145">
        <f>IF(AND($EH33=1,$DW33=0),COUNTIFS($EH$2:$EH33,1,$DW$2:$DW33,0),"")</f>
        <v/>
      </c>
      <c r="HH33" s="143" t="inlineStr">
        <is>
          <t>terço do refino</t>
        </is>
      </c>
      <c r="HI33" s="145">
        <f>MAX(1,FLOOR($HI$6/3,1))</f>
        <v/>
      </c>
      <c r="JD33" s="145" t="n">
        <v>32</v>
      </c>
      <c r="JE33" s="145">
        <f>IFERROR(MATCH(32,$HF$2:$HF$37,0),0)</f>
        <v/>
      </c>
      <c r="JF33" s="145">
        <f>IF($JE33=0,"",INDEX($DY$2:$DY$37,$JE33))</f>
        <v/>
      </c>
      <c r="JG33" s="145">
        <f>IF($JE33=0,"",INDEX($DZ$2:$DZ$37,$JE33))</f>
        <v/>
      </c>
      <c r="JH33" s="145">
        <f>IF($JE33=0,"",INDEX($GN$2:$GN$37,$JE33))</f>
        <v/>
      </c>
      <c r="JI33" s="145">
        <f>IF($JE33=0,"",INDEX($EA$2:$EA$37,$JE33))</f>
        <v/>
      </c>
      <c r="JJ33" s="145">
        <f>IF($JE33=0,"",INDEX($GP$2:$GP$37,$JE33))</f>
        <v/>
      </c>
      <c r="JK33" s="145">
        <f>IF($JE33=0,"",INDEX($HE$2:$HE$37,$JE33))</f>
        <v/>
      </c>
      <c r="KQ33" s="143" t="inlineStr">
        <is>
          <t>D135</t>
        </is>
      </c>
      <c r="KR33" s="145">
        <f>UPPER(INDEX(DADOS_AM!$D$3:$G$3,1,DADOS_AM!$A$2))&amp;" 13 A 24 · abra quando faltar lugar"</f>
        <v/>
      </c>
    </row>
    <row r="34">
      <c r="BC34" s="143" t="inlineStr">
        <is>
          <t>Cego</t>
        </is>
      </c>
      <c r="BD34" s="143" t="inlineStr">
        <is>
          <t>Controle</t>
        </is>
      </c>
      <c r="BE34" s="145" t="n">
        <v>3</v>
      </c>
      <c r="BF34" s="145">
        <f>$BE34+3*IFERROR(VLOOKUP($BD34,$I$2:$L$10,3,FALSE),0)</f>
        <v/>
      </c>
      <c r="BG34" s="145">
        <f>IFERROR(VLOOKUP($BD34,$I$2:$L$10,4,FALSE),0)</f>
        <v/>
      </c>
      <c r="BH34" s="145" t="n">
        <v>1</v>
      </c>
      <c r="BI34" s="145">
        <f>IF($BG34=1,"",$BC34)</f>
        <v/>
      </c>
      <c r="BJ34" s="145">
        <f>IF(AND($BE34=1,$BG34=0),$BC34,"")</f>
        <v/>
      </c>
      <c r="DV34" s="143" t="inlineStr">
        <is>
          <t>Feitiço 33</t>
        </is>
      </c>
      <c r="DW34" s="145" t="n">
        <v>0</v>
      </c>
      <c r="DX34" s="145" t="n">
        <v>33</v>
      </c>
      <c r="DY34" s="145">
        <f>MAX(1,MIN(7,N('FICHA AMALDIÇOADA'!$P$265)))</f>
        <v/>
      </c>
      <c r="DZ34" s="145">
        <f>'FICHA AMALDIÇOADA'!$Q$265&amp;""</f>
        <v/>
      </c>
      <c r="EA34" s="145">
        <f>'FICHA AMALDIÇOADA'!$P$272&amp;""</f>
        <v/>
      </c>
      <c r="EB34" s="145">
        <f>'FICHA AMALDIÇOADA'!$Q$274&amp;""</f>
        <v/>
      </c>
      <c r="EC34" s="145">
        <f>'FICHA AMALDIÇOADA'!$Q$275&amp;""</f>
        <v/>
      </c>
      <c r="ED34" s="145">
        <f>'FICHA AMALDIÇOADA'!$Q$276&amp;""</f>
        <v/>
      </c>
      <c r="EE34" s="145">
        <f>'FICHA AMALDIÇOADA'!$Q$277&amp;""</f>
        <v/>
      </c>
      <c r="EF34" s="145">
        <f>'FICHA AMALDIÇOADA'!$Q$278&amp;""</f>
        <v/>
      </c>
      <c r="EG34" s="145">
        <f>'FICHA AMALDIÇOADA'!$Q$279&amp;""</f>
        <v/>
      </c>
      <c r="EH34" s="145">
        <f>IF($DZ34&lt;&gt;"",1,0)</f>
        <v/>
      </c>
      <c r="EI34" s="145">
        <f>IFERROR(MATCH($EA34,$Y$2:$Y$11,0),0)</f>
        <v/>
      </c>
      <c r="EJ34" s="145">
        <f>IF($EI34=0,0,INDEX($AB$2:$AB$11,$EI34))</f>
        <v/>
      </c>
      <c r="EK34" s="145">
        <f>IFERROR(VLOOKUP($EB34,$BC$2:$BJ$84,4,FALSE),0)</f>
        <v/>
      </c>
      <c r="EL34" s="145">
        <f>IFERROR(VLOOKUP($EC34,$BC$2:$BJ$84,4,FALSE),0)</f>
        <v/>
      </c>
      <c r="EM34" s="145">
        <f>IFERROR(VLOOKUP($ED34,$BC$2:$BJ$84,4,FALSE),0)</f>
        <v/>
      </c>
      <c r="EN34" s="145">
        <f>IFERROR(VLOOKUP($EE34,$BC$2:$BJ$84,4,FALSE),0)</f>
        <v/>
      </c>
      <c r="EO34" s="145">
        <f>IF($EI34=0,0,INDEX($AC$2:$AC$11,$EI34))</f>
        <v/>
      </c>
      <c r="EP34" s="145">
        <f>IFERROR(VLOOKUP($EB34,$BC$2:$BJ$84,5,FALSE),0)</f>
        <v/>
      </c>
      <c r="EQ34" s="145">
        <f>IFERROR(VLOOKUP($EC34,$BC$2:$BJ$84,5,FALSE),0)</f>
        <v/>
      </c>
      <c r="ER34" s="145">
        <f>IFERROR(VLOOKUP($ED34,$BC$2:$BJ$84,5,FALSE),0)</f>
        <v/>
      </c>
      <c r="ES34" s="145">
        <f>IFERROR(VLOOKUP($EE34,$BC$2:$BJ$84,5,FALSE),0)</f>
        <v/>
      </c>
      <c r="ET34" s="145">
        <f>IFERROR(VLOOKUP($EB34,$BC$2:$BJ$84,6,FALSE),0)+IFERROR(VLOOKUP($EC34,$BC$2:$BJ$84,6,FALSE),0)+IFERROR(VLOOKUP($ED34,$BC$2:$BJ$84,6,FALSE),0)+IFERROR(VLOOKUP($EE34,$BC$2:$BJ$84,6,FALSE),0)</f>
        <v/>
      </c>
      <c r="EU34" s="145">
        <f>IF($EI34=0,0,INDEX($AD$2:$AD$11,$EI34))</f>
        <v/>
      </c>
      <c r="EV34" s="145">
        <f>IF($EI34=0,0,INDEX($AE$2:$AE$11,$EI34))</f>
        <v/>
      </c>
      <c r="EW34" s="145">
        <f>IF($EI34=0,0,INDEX($AG$2:$AG$11,$EI34))</f>
        <v/>
      </c>
      <c r="EX34" s="145">
        <f>IFERROR(VLOOKUP($EF34,$BL$2:$BP$24,3,FALSE),0)</f>
        <v/>
      </c>
      <c r="EY34" s="145">
        <f>IFERROR(VLOOKUP($EG34,$BL$2:$BP$24,3,FALSE),0)</f>
        <v/>
      </c>
      <c r="EZ34" s="145">
        <f>IFERROR(VLOOKUP($EF34,$BL$2:$BP$24,2,FALSE),"")</f>
        <v/>
      </c>
      <c r="FA34" s="145">
        <f>IFERROR(VLOOKUP($EG34,$BL$2:$BP$24,2,FALSE),"")</f>
        <v/>
      </c>
      <c r="FB34" s="145">
        <f>COUNTIF($EJ34:$EN34,1)</f>
        <v/>
      </c>
      <c r="FC34" s="145">
        <f>COUNTIF($EJ34:$EN34,2)</f>
        <v/>
      </c>
      <c r="FD34" s="145">
        <f>COUNTIF($EJ34:$EN34,3)</f>
        <v/>
      </c>
      <c r="FE34" s="145">
        <f>COUNTIF($EJ34:$EN34,4)</f>
        <v/>
      </c>
      <c r="FF34" s="145">
        <f>COUNTIF($EJ34:$EN34,5)</f>
        <v/>
      </c>
      <c r="FG34" s="145">
        <f>COUNTIF($EJ34:$EN34,6)</f>
        <v/>
      </c>
      <c r="FH34" s="145">
        <f>COUNTIF($EX34:$EY34,1)</f>
        <v/>
      </c>
      <c r="FI34" s="145">
        <f>COUNTIF($EX34:$EY34,2)+$EU34</f>
        <v/>
      </c>
      <c r="FJ34" s="145">
        <f>COUNTIF($EB34:$EE34,"?*")</f>
        <v/>
      </c>
      <c r="FK34" s="145">
        <f>COUNTIF($EF34:$EG34,"?*")+$EU34</f>
        <v/>
      </c>
      <c r="FL34" s="145">
        <f>SUMPRODUCT($FB34:$FG34,INDEX($Q$2:$V$8,$DY34,0))</f>
        <v/>
      </c>
      <c r="FM34" s="145">
        <f>$FH34*CEILING($DY34/2,1)+$FI34*$DY34</f>
        <v/>
      </c>
      <c r="FN34" s="145">
        <f>MIN(2*$DY34,$FM34)</f>
        <v/>
      </c>
      <c r="FO34" s="145">
        <f>MIN($FN34,$FL34)</f>
        <v/>
      </c>
      <c r="FP34" s="145">
        <f>$FN34-$FO34</f>
        <v/>
      </c>
      <c r="FQ34" s="145">
        <f>3*$DY34-$FL34+$FO34</f>
        <v/>
      </c>
      <c r="FR34" s="145">
        <f>MAX(0,$FQ34)+$DW34*$DY34</f>
        <v/>
      </c>
      <c r="FS34" s="145">
        <f>(IF(COUNTIF($EB34:$EE34,"Salto")&gt;0,1,0)+IF(COUNTIF($EB34:$EE34,"Queima")&gt;0,1,0)+IF(COUNTIF($EB34:$EE34,"Estilhaço")&gt;0,1,0))*FLOOR($FR34/2,1)</f>
        <v/>
      </c>
      <c r="FT34" s="145">
        <f>MAX(0,3-SUMPRODUCT($FB34:$FG34,$Q$2:$V$2)+MIN(2,$FH34*1+$FI34*1,SUMPRODUCT($FB34:$FG34,$Q$2:$V$2)))+$DW34*1</f>
        <v/>
      </c>
      <c r="FU34" s="145">
        <f>MAX(0,6-SUMPRODUCT($FB34:$FG34,$Q$3:$V$3)+MIN(4,$FH34*1+$FI34*2,SUMPRODUCT($FB34:$FG34,$Q$3:$V$3)))+$DW34*2</f>
        <v/>
      </c>
      <c r="FV34" s="145">
        <f>MAX(0,9-SUMPRODUCT($FB34:$FG34,$Q$4:$V$4)+MIN(6,$FH34*2+$FI34*3,SUMPRODUCT($FB34:$FG34,$Q$4:$V$4)))+$DW34*3</f>
        <v/>
      </c>
      <c r="FW34" s="145">
        <f>MAX(0,12-SUMPRODUCT($FB34:$FG34,$Q$5:$V$5)+MIN(8,$FH34*2+$FI34*4,SUMPRODUCT($FB34:$FG34,$Q$5:$V$5)))+$DW34*4</f>
        <v/>
      </c>
      <c r="FX34" s="145">
        <f>MAX(0,15-SUMPRODUCT($FB34:$FG34,$Q$6:$V$6)+MIN(10,$FH34*3+$FI34*5,SUMPRODUCT($FB34:$FG34,$Q$6:$V$6)))+$DW34*5</f>
        <v/>
      </c>
      <c r="FY34" s="145">
        <f>MAX(0,18-SUMPRODUCT($FB34:$FG34,$Q$7:$V$7)+MIN(12,$FH34*3+$FI34*6,SUMPRODUCT($FB34:$FG34,$Q$7:$V$7)))+$DW34*6</f>
        <v/>
      </c>
      <c r="FZ34" s="145">
        <f>MAX(0,21-SUMPRODUCT($FB34:$FG34,$Q$8:$V$8)+MIN(14,$FH34*4+$FI34*7,SUMPRODUCT($FB34:$FG34,$Q$8:$V$8)))+$DW34*7</f>
        <v/>
      </c>
      <c r="GA34" s="145">
        <f>IF($EV34=2,3*$FT34&amp;" de vida temp.",IF($EV34=3,"sem dano",IF($FT34=0,IF($EV34=1,"sem cura","sem dano"),IF($EV34=1,"cura ","")&amp;$FT34&amp;"d8")))</f>
        <v/>
      </c>
      <c r="GB34" s="145">
        <f>IF($EV34=2,3*$FU34&amp;" de vida temp.",IF($EV34=3,"sem dano",IF($FU34=0,IF($EV34=1,"sem cura","sem dano"),IF($EV34=1,"cura ","")&amp;$FU34&amp;"d8")))</f>
        <v/>
      </c>
      <c r="GC34" s="145">
        <f>IF($EV34=2,3*$FV34&amp;" de vida temp.",IF($EV34=3,"sem dano",IF($FV34=0,IF($EV34=1,"sem cura","sem dano"),IF($EV34=1,"cura ","")&amp;$FV34&amp;"d8")))</f>
        <v/>
      </c>
      <c r="GD34" s="145">
        <f>IF($EV34=2,3*$FW34&amp;" de vida temp.",IF($EV34=3,"sem dano",IF($FW34=0,IF($EV34=1,"sem cura","sem dano"),IF($EV34=1,"cura ","")&amp;$FW34&amp;"d8")))</f>
        <v/>
      </c>
      <c r="GE34" s="145">
        <f>IF($EV34=2,3*$FX34&amp;" de vida temp.",IF($EV34=3,"sem dano",IF($FX34=0,IF($EV34=1,"sem cura","sem dano"),IF($EV34=1,"cura ","")&amp;$FX34&amp;"d8")))</f>
        <v/>
      </c>
      <c r="GF34" s="145">
        <f>IF($EV34=2,3*$FY34&amp;" de vida temp.",IF($EV34=3,"sem dano",IF($FY34=0,IF($EV34=1,"sem cura","sem dano"),IF($EV34=1,"cura ","")&amp;$FY34&amp;"d8")))</f>
        <v/>
      </c>
      <c r="GG34" s="145">
        <f>IF($EV34=2,3*$FZ34&amp;" de vida temp.",IF($EV34=3,"sem dano",IF($FZ34=0,IF($EV34=1,"sem cura","sem dano"),IF($EV34=1,"cura ","")&amp;$FZ34&amp;"d8")))</f>
        <v/>
      </c>
      <c r="GH34" s="145">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45">
        <f>IF($GH34="",0,(LEN($GH34)-LEN(SUBSTITUTE($GH34," · ","")))/3+1)</f>
        <v/>
      </c>
      <c r="GJ34" s="145">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45">
        <f>IF($GJ34="",0,(LEN($GJ34)-LEN(SUBSTITUTE($GJ34," · ","")))/3+1)</f>
        <v/>
      </c>
      <c r="GL34" s="145">
        <f>IF($EH34=0,IF($FJ34+$FK34-$EU34&gt;0,"Dê um nome",""),IF($GI34&gt;0,"⚠ "&amp;$GI34&amp;IF($GI34&gt;1," erros"," erro"),IF($GK34&gt;0,"! "&amp;$GK34&amp;IF($GK34&gt;1," avisos"," aviso"),"Na regra")))</f>
        <v/>
      </c>
      <c r="GM34" s="145">
        <f>IF($EH34=0,"",IF($GI34+$GK34=0,"Dentro das regras que a ficha confere",$GH34&amp;IF(AND($GI34&gt;0,$GK34&gt;0)," · ","")&amp;$GJ34))</f>
        <v/>
      </c>
      <c r="GN34" s="145">
        <f>IF($EH34=0,"",IF($DW34=1,CEILING(4.5*$DY34,1),3*$DY34)&amp;" PE")</f>
        <v/>
      </c>
      <c r="GO34" s="145">
        <f>IF($EH34=0,"",IF($DW34=1,"Rodada inteira",IF(COUNTIF($EZ34:$FA34,"Atrasar")&gt;0,IF(COUNTIF($EZ34:$FA34,"Carregar")&gt;0,"Rodada +1 turno","Rodada inteira"),IF(COUNTIF($EB34:$EE34,"Rápido")&gt;0,"Bônus",IF(COUNTIF($EB34:$EE34,"Reação")&gt;0,"Reação","Padrão"))&amp;IF(COUNTIF($EZ34:$FA34,"Carregar")&gt;0," +1 turno",""))))</f>
        <v/>
      </c>
      <c r="GP34" s="145">
        <f>IF(OR($EH34=0,$EI34=0),"",IF(COUNTIF($EB34:$EE34,"Inescapável")&gt;0,"Automático",IF(COUNTIF($EB34:$EE34,"Certeiro")&gt;0,"TR para metade",INDEX($AF$2:$AF$11,$EI34))))</f>
        <v/>
      </c>
      <c r="GQ34" s="145">
        <f>IF(OR($EH34=0,$EI34=0),"",IF(OR($EV34&gt;=2,$FR34=0),UPPER(LEFT(INDEX($GA34:$GG34,1,$DY34),1))&amp;MID(INDEX($GA34:$GG34,1,$DY34),2,99),UPPER(LEFT(INDEX($GA34:$GG34,1,$DY34),1))&amp;MID(INDEX($GA34:$GG34,1,$DY34),2,99)&amp;" = "&amp;FLOOR($FR34*4.5,1)&amp;IF($FS34&gt;0," · +"&amp;$FS34&amp;"d8","")))</f>
        <v/>
      </c>
      <c r="GR34" s="145">
        <f>COUNTIF($EB34:$EE34,"Longe")+3*COUNTIF($EB34:$EE34,"Muito Longe")</f>
        <v/>
      </c>
      <c r="GS34" s="145">
        <f>COUNTIF($EB34:$EE34,"Maior")+3*COUNTIF($EB34:$EE34,"Muito Maior")</f>
        <v/>
      </c>
      <c r="GT34" s="145">
        <f>IF($EI34=0,0,CHOOSE(1+INDEX($AH$2:$AH$11,$EI34),0,$GR34,$GS34,$GR34+$GS34))</f>
        <v/>
      </c>
      <c r="GU34" s="145">
        <f>IF($EI34=0,0,CHOOSE(1+INDEX($AI$2:$AI$11,$EI34),0,$GR34,$GS34,$GR34+$GS34))</f>
        <v/>
      </c>
      <c r="GV34" s="145">
        <f>IF(OR($EH34=0,$EI34=0),"",INDEX($AP$2:$AU$31,($EI34-1)*3+IF($DY34&gt;=6,3,2),1+MIN(5,$GT34))&amp;INDEX($AV$2:$BA$31,($EI34-1)*3+IF($DY34&gt;=6,3,2),1+MIN(5,$GU34))&amp;IF(INDEX($AJ$2:$AJ$11,$EI34)=1,IF(COUNTIF($EB34:$EE34,"Mais Um")&gt;0," · +"&amp;COUNTIF($EB34:$EE34,"Mais Um")&amp;IF(COUNTIF($EB34:$EE34,"Mais Um")&gt;1," alvos"," alvo"),"")&amp;IF(COUNTIF($EB34:$EE34,"Rajada")&gt;0," · "&amp;($DY34+1)&amp;" tiros",""),""))</f>
        <v/>
      </c>
      <c r="GW34" s="145">
        <f>IF($EH34=0,"",3*$DY34&amp;" − "&amp;$FL34&amp;" + "&amp;$FO34&amp;IF($DW34=1," + "&amp;$DY34,"")&amp;" = "&amp;$FR34&amp;"d8 · teto "&amp;4*$DY34&amp;IF($EU34=1," · a Forma devolve "&amp;$DY34,"")&amp;IF($FP34&gt;0," · perde "&amp;$FP34,""))</f>
        <v/>
      </c>
      <c r="GX34" s="145">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5">
        <f>IF(OR($EH34=0,$EK34=0),"","−"&amp;INDEX($Q$2:$V$8,$DY34,$EK34)&amp;" · "&amp;CHOOSE($EK34,"Leve","Média","Pesada","Leve · Livre","Média · Livre","Pesada · Livre"))</f>
        <v/>
      </c>
      <c r="GZ34" s="145">
        <f>IF(OR($EH34=0,$EL34=0),"","−"&amp;INDEX($Q$2:$V$8,$DY34,$EL34)&amp;" · "&amp;CHOOSE($EL34,"Leve","Média","Pesada","Leve · Livre","Média · Livre","Pesada · Livre"))</f>
        <v/>
      </c>
      <c r="HA34" s="145">
        <f>IF(OR($EH34=0,$EM34=0),"","−"&amp;INDEX($Q$2:$V$8,$DY34,$EM34)&amp;" · "&amp;CHOOSE($EM34,"Leve","Média","Pesada","Leve · Livre","Média · Livre","Pesada · Livre"))</f>
        <v/>
      </c>
      <c r="HB34" s="145">
        <f>IF(OR($EH34=0,$EN34=0),"","−"&amp;INDEX($Q$2:$V$8,$DY34,$EN34)&amp;" · "&amp;CHOOSE($EN34,"Leve","Média","Pesada","Leve · Livre","Média · Livre","Pesada · Livre"))</f>
        <v/>
      </c>
      <c r="HC34" s="145">
        <f>IF(OR($EH34=0,$EF34=""),"","+"&amp;IF($EX34=1,CEILING($DY34/2,1),$DY34))</f>
        <v/>
      </c>
      <c r="HD34" s="145">
        <f>IF(OR($EH34=0,$EG34=""),"","+"&amp;IF($EY34=1,CEILING($DY34/2,1),$DY34))</f>
        <v/>
      </c>
      <c r="HE34" s="145">
        <f>'FICHA AMALDIÇOADA'!$P$267&amp;""</f>
        <v/>
      </c>
      <c r="HF34" s="145">
        <f>IF(AND($EH34=1,$DW34=0),COUNTIFS($EH$2:$EH34,1,$DW$2:$DW34,0),"")</f>
        <v/>
      </c>
      <c r="HH34" s="143" t="inlineStr">
        <is>
          <t>degrau do domínio</t>
        </is>
      </c>
      <c r="HI34" s="145">
        <f>'FICHA AMALDIÇOADA'!$D$357&amp;""</f>
        <v/>
      </c>
      <c r="JD34" s="145" t="n">
        <v>33</v>
      </c>
      <c r="JE34" s="145">
        <f>IFERROR(MATCH(33,$HF$2:$HF$37,0),0)</f>
        <v/>
      </c>
      <c r="JF34" s="145">
        <f>IF($JE34=0,"",INDEX($DY$2:$DY$37,$JE34))</f>
        <v/>
      </c>
      <c r="JG34" s="145">
        <f>IF($JE34=0,"",INDEX($DZ$2:$DZ$37,$JE34))</f>
        <v/>
      </c>
      <c r="JH34" s="145">
        <f>IF($JE34=0,"",INDEX($GN$2:$GN$37,$JE34))</f>
        <v/>
      </c>
      <c r="JI34" s="145">
        <f>IF($JE34=0,"",INDEX($EA$2:$EA$37,$JE34))</f>
        <v/>
      </c>
      <c r="JJ34" s="145">
        <f>IF($JE34=0,"",INDEX($GP$2:$GP$37,$JE34))</f>
        <v/>
      </c>
      <c r="JK34" s="145">
        <f>IF($JE34=0,"",INDEX($HE$2:$HE$37,$JE34))</f>
        <v/>
      </c>
      <c r="KQ34" s="143" t="inlineStr">
        <is>
          <t>D221</t>
        </is>
      </c>
      <c r="KR34" s="145">
        <f>UPPER(INDEX(DADOS_AM!$D$3:$G$3,1,DADOS_AM!$A$2))&amp;" 25 A 36 · abra quando faltar lugar"</f>
        <v/>
      </c>
    </row>
    <row r="35">
      <c r="BC35" s="143" t="inlineStr">
        <is>
          <t>Amedrontado</t>
        </is>
      </c>
      <c r="BD35" s="143" t="inlineStr">
        <is>
          <t>Controle</t>
        </is>
      </c>
      <c r="BE35" s="145" t="n">
        <v>3</v>
      </c>
      <c r="BF35" s="145">
        <f>$BE35+3*IFERROR(VLOOKUP($BD35,$I$2:$L$10,3,FALSE),0)</f>
        <v/>
      </c>
      <c r="BG35" s="145">
        <f>IFERROR(VLOOKUP($BD35,$I$2:$L$10,4,FALSE),0)</f>
        <v/>
      </c>
      <c r="BH35" s="145" t="n">
        <v>1</v>
      </c>
      <c r="BI35" s="145">
        <f>IF($BG35=1,"",$BC35)</f>
        <v/>
      </c>
      <c r="BJ35" s="145">
        <f>IF(AND($BE35=1,$BG35=0),$BC35,"")</f>
        <v/>
      </c>
      <c r="DV35" s="143" t="inlineStr">
        <is>
          <t>Feitiço 34</t>
        </is>
      </c>
      <c r="DW35" s="145" t="n">
        <v>0</v>
      </c>
      <c r="DX35" s="145" t="n">
        <v>34</v>
      </c>
      <c r="DY35" s="145">
        <f>MAX(1,MIN(7,N('FICHA AMALDIÇOADA'!$D$286)))</f>
        <v/>
      </c>
      <c r="DZ35" s="145">
        <f>'FICHA AMALDIÇOADA'!$E$286&amp;""</f>
        <v/>
      </c>
      <c r="EA35" s="145">
        <f>'FICHA AMALDIÇOADA'!$D$293&amp;""</f>
        <v/>
      </c>
      <c r="EB35" s="145">
        <f>'FICHA AMALDIÇOADA'!$E$295&amp;""</f>
        <v/>
      </c>
      <c r="EC35" s="145">
        <f>'FICHA AMALDIÇOADA'!$E$296&amp;""</f>
        <v/>
      </c>
      <c r="ED35" s="145">
        <f>'FICHA AMALDIÇOADA'!$E$297&amp;""</f>
        <v/>
      </c>
      <c r="EE35" s="145">
        <f>'FICHA AMALDIÇOADA'!$E$298&amp;""</f>
        <v/>
      </c>
      <c r="EF35" s="145">
        <f>'FICHA AMALDIÇOADA'!$E$299&amp;""</f>
        <v/>
      </c>
      <c r="EG35" s="145">
        <f>'FICHA AMALDIÇOADA'!$E$300&amp;""</f>
        <v/>
      </c>
      <c r="EH35" s="145">
        <f>IF($DZ35&lt;&gt;"",1,0)</f>
        <v/>
      </c>
      <c r="EI35" s="145">
        <f>IFERROR(MATCH($EA35,$Y$2:$Y$11,0),0)</f>
        <v/>
      </c>
      <c r="EJ35" s="145">
        <f>IF($EI35=0,0,INDEX($AB$2:$AB$11,$EI35))</f>
        <v/>
      </c>
      <c r="EK35" s="145">
        <f>IFERROR(VLOOKUP($EB35,$BC$2:$BJ$84,4,FALSE),0)</f>
        <v/>
      </c>
      <c r="EL35" s="145">
        <f>IFERROR(VLOOKUP($EC35,$BC$2:$BJ$84,4,FALSE),0)</f>
        <v/>
      </c>
      <c r="EM35" s="145">
        <f>IFERROR(VLOOKUP($ED35,$BC$2:$BJ$84,4,FALSE),0)</f>
        <v/>
      </c>
      <c r="EN35" s="145">
        <f>IFERROR(VLOOKUP($EE35,$BC$2:$BJ$84,4,FALSE),0)</f>
        <v/>
      </c>
      <c r="EO35" s="145">
        <f>IF($EI35=0,0,INDEX($AC$2:$AC$11,$EI35))</f>
        <v/>
      </c>
      <c r="EP35" s="145">
        <f>IFERROR(VLOOKUP($EB35,$BC$2:$BJ$84,5,FALSE),0)</f>
        <v/>
      </c>
      <c r="EQ35" s="145">
        <f>IFERROR(VLOOKUP($EC35,$BC$2:$BJ$84,5,FALSE),0)</f>
        <v/>
      </c>
      <c r="ER35" s="145">
        <f>IFERROR(VLOOKUP($ED35,$BC$2:$BJ$84,5,FALSE),0)</f>
        <v/>
      </c>
      <c r="ES35" s="145">
        <f>IFERROR(VLOOKUP($EE35,$BC$2:$BJ$84,5,FALSE),0)</f>
        <v/>
      </c>
      <c r="ET35" s="145">
        <f>IFERROR(VLOOKUP($EB35,$BC$2:$BJ$84,6,FALSE),0)+IFERROR(VLOOKUP($EC35,$BC$2:$BJ$84,6,FALSE),0)+IFERROR(VLOOKUP($ED35,$BC$2:$BJ$84,6,FALSE),0)+IFERROR(VLOOKUP($EE35,$BC$2:$BJ$84,6,FALSE),0)</f>
        <v/>
      </c>
      <c r="EU35" s="145">
        <f>IF($EI35=0,0,INDEX($AD$2:$AD$11,$EI35))</f>
        <v/>
      </c>
      <c r="EV35" s="145">
        <f>IF($EI35=0,0,INDEX($AE$2:$AE$11,$EI35))</f>
        <v/>
      </c>
      <c r="EW35" s="145">
        <f>IF($EI35=0,0,INDEX($AG$2:$AG$11,$EI35))</f>
        <v/>
      </c>
      <c r="EX35" s="145">
        <f>IFERROR(VLOOKUP($EF35,$BL$2:$BP$24,3,FALSE),0)</f>
        <v/>
      </c>
      <c r="EY35" s="145">
        <f>IFERROR(VLOOKUP($EG35,$BL$2:$BP$24,3,FALSE),0)</f>
        <v/>
      </c>
      <c r="EZ35" s="145">
        <f>IFERROR(VLOOKUP($EF35,$BL$2:$BP$24,2,FALSE),"")</f>
        <v/>
      </c>
      <c r="FA35" s="145">
        <f>IFERROR(VLOOKUP($EG35,$BL$2:$BP$24,2,FALSE),"")</f>
        <v/>
      </c>
      <c r="FB35" s="145">
        <f>COUNTIF($EJ35:$EN35,1)</f>
        <v/>
      </c>
      <c r="FC35" s="145">
        <f>COUNTIF($EJ35:$EN35,2)</f>
        <v/>
      </c>
      <c r="FD35" s="145">
        <f>COUNTIF($EJ35:$EN35,3)</f>
        <v/>
      </c>
      <c r="FE35" s="145">
        <f>COUNTIF($EJ35:$EN35,4)</f>
        <v/>
      </c>
      <c r="FF35" s="145">
        <f>COUNTIF($EJ35:$EN35,5)</f>
        <v/>
      </c>
      <c r="FG35" s="145">
        <f>COUNTIF($EJ35:$EN35,6)</f>
        <v/>
      </c>
      <c r="FH35" s="145">
        <f>COUNTIF($EX35:$EY35,1)</f>
        <v/>
      </c>
      <c r="FI35" s="145">
        <f>COUNTIF($EX35:$EY35,2)+$EU35</f>
        <v/>
      </c>
      <c r="FJ35" s="145">
        <f>COUNTIF($EB35:$EE35,"?*")</f>
        <v/>
      </c>
      <c r="FK35" s="145">
        <f>COUNTIF($EF35:$EG35,"?*")+$EU35</f>
        <v/>
      </c>
      <c r="FL35" s="145">
        <f>SUMPRODUCT($FB35:$FG35,INDEX($Q$2:$V$8,$DY35,0))</f>
        <v/>
      </c>
      <c r="FM35" s="145">
        <f>$FH35*CEILING($DY35/2,1)+$FI35*$DY35</f>
        <v/>
      </c>
      <c r="FN35" s="145">
        <f>MIN(2*$DY35,$FM35)</f>
        <v/>
      </c>
      <c r="FO35" s="145">
        <f>MIN($FN35,$FL35)</f>
        <v/>
      </c>
      <c r="FP35" s="145">
        <f>$FN35-$FO35</f>
        <v/>
      </c>
      <c r="FQ35" s="145">
        <f>3*$DY35-$FL35+$FO35</f>
        <v/>
      </c>
      <c r="FR35" s="145">
        <f>MAX(0,$FQ35)+$DW35*$DY35</f>
        <v/>
      </c>
      <c r="FS35" s="145">
        <f>(IF(COUNTIF($EB35:$EE35,"Salto")&gt;0,1,0)+IF(COUNTIF($EB35:$EE35,"Queima")&gt;0,1,0)+IF(COUNTIF($EB35:$EE35,"Estilhaço")&gt;0,1,0))*FLOOR($FR35/2,1)</f>
        <v/>
      </c>
      <c r="FT35" s="145">
        <f>MAX(0,3-SUMPRODUCT($FB35:$FG35,$Q$2:$V$2)+MIN(2,$FH35*1+$FI35*1,SUMPRODUCT($FB35:$FG35,$Q$2:$V$2)))+$DW35*1</f>
        <v/>
      </c>
      <c r="FU35" s="145">
        <f>MAX(0,6-SUMPRODUCT($FB35:$FG35,$Q$3:$V$3)+MIN(4,$FH35*1+$FI35*2,SUMPRODUCT($FB35:$FG35,$Q$3:$V$3)))+$DW35*2</f>
        <v/>
      </c>
      <c r="FV35" s="145">
        <f>MAX(0,9-SUMPRODUCT($FB35:$FG35,$Q$4:$V$4)+MIN(6,$FH35*2+$FI35*3,SUMPRODUCT($FB35:$FG35,$Q$4:$V$4)))+$DW35*3</f>
        <v/>
      </c>
      <c r="FW35" s="145">
        <f>MAX(0,12-SUMPRODUCT($FB35:$FG35,$Q$5:$V$5)+MIN(8,$FH35*2+$FI35*4,SUMPRODUCT($FB35:$FG35,$Q$5:$V$5)))+$DW35*4</f>
        <v/>
      </c>
      <c r="FX35" s="145">
        <f>MAX(0,15-SUMPRODUCT($FB35:$FG35,$Q$6:$V$6)+MIN(10,$FH35*3+$FI35*5,SUMPRODUCT($FB35:$FG35,$Q$6:$V$6)))+$DW35*5</f>
        <v/>
      </c>
      <c r="FY35" s="145">
        <f>MAX(0,18-SUMPRODUCT($FB35:$FG35,$Q$7:$V$7)+MIN(12,$FH35*3+$FI35*6,SUMPRODUCT($FB35:$FG35,$Q$7:$V$7)))+$DW35*6</f>
        <v/>
      </c>
      <c r="FZ35" s="145">
        <f>MAX(0,21-SUMPRODUCT($FB35:$FG35,$Q$8:$V$8)+MIN(14,$FH35*4+$FI35*7,SUMPRODUCT($FB35:$FG35,$Q$8:$V$8)))+$DW35*7</f>
        <v/>
      </c>
      <c r="GA35" s="145">
        <f>IF($EV35=2,3*$FT35&amp;" de vida temp.",IF($EV35=3,"sem dano",IF($FT35=0,IF($EV35=1,"sem cura","sem dano"),IF($EV35=1,"cura ","")&amp;$FT35&amp;"d8")))</f>
        <v/>
      </c>
      <c r="GB35" s="145">
        <f>IF($EV35=2,3*$FU35&amp;" de vida temp.",IF($EV35=3,"sem dano",IF($FU35=0,IF($EV35=1,"sem cura","sem dano"),IF($EV35=1,"cura ","")&amp;$FU35&amp;"d8")))</f>
        <v/>
      </c>
      <c r="GC35" s="145">
        <f>IF($EV35=2,3*$FV35&amp;" de vida temp.",IF($EV35=3,"sem dano",IF($FV35=0,IF($EV35=1,"sem cura","sem dano"),IF($EV35=1,"cura ","")&amp;$FV35&amp;"d8")))</f>
        <v/>
      </c>
      <c r="GD35" s="145">
        <f>IF($EV35=2,3*$FW35&amp;" de vida temp.",IF($EV35=3,"sem dano",IF($FW35=0,IF($EV35=1,"sem cura","sem dano"),IF($EV35=1,"cura ","")&amp;$FW35&amp;"d8")))</f>
        <v/>
      </c>
      <c r="GE35" s="145">
        <f>IF($EV35=2,3*$FX35&amp;" de vida temp.",IF($EV35=3,"sem dano",IF($FX35=0,IF($EV35=1,"sem cura","sem dano"),IF($EV35=1,"cura ","")&amp;$FX35&amp;"d8")))</f>
        <v/>
      </c>
      <c r="GF35" s="145">
        <f>IF($EV35=2,3*$FY35&amp;" de vida temp.",IF($EV35=3,"sem dano",IF($FY35=0,IF($EV35=1,"sem cura","sem dano"),IF($EV35=1,"cura ","")&amp;$FY35&amp;"d8")))</f>
        <v/>
      </c>
      <c r="GG35" s="145">
        <f>IF($EV35=2,3*$FZ35&amp;" de vida temp.",IF($EV35=3,"sem dano",IF($FZ35=0,IF($EV35=1,"sem cura","sem dano"),IF($EV35=1,"cura ","")&amp;$FZ35&amp;"d8")))</f>
        <v/>
      </c>
      <c r="GH35" s="145">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45">
        <f>IF($GH35="",0,(LEN($GH35)-LEN(SUBSTITUTE($GH35," · ","")))/3+1)</f>
        <v/>
      </c>
      <c r="GJ35" s="145">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45">
        <f>IF($GJ35="",0,(LEN($GJ35)-LEN(SUBSTITUTE($GJ35," · ","")))/3+1)</f>
        <v/>
      </c>
      <c r="GL35" s="145">
        <f>IF($EH35=0,IF($FJ35+$FK35-$EU35&gt;0,"Dê um nome",""),IF($GI35&gt;0,"⚠ "&amp;$GI35&amp;IF($GI35&gt;1," erros"," erro"),IF($GK35&gt;0,"! "&amp;$GK35&amp;IF($GK35&gt;1," avisos"," aviso"),"Na regra")))</f>
        <v/>
      </c>
      <c r="GM35" s="145">
        <f>IF($EH35=0,"",IF($GI35+$GK35=0,"Dentro das regras que a ficha confere",$GH35&amp;IF(AND($GI35&gt;0,$GK35&gt;0)," · ","")&amp;$GJ35))</f>
        <v/>
      </c>
      <c r="GN35" s="145">
        <f>IF($EH35=0,"",IF($DW35=1,CEILING(4.5*$DY35,1),3*$DY35)&amp;" PE")</f>
        <v/>
      </c>
      <c r="GO35" s="145">
        <f>IF($EH35=0,"",IF($DW35=1,"Rodada inteira",IF(COUNTIF($EZ35:$FA35,"Atrasar")&gt;0,IF(COUNTIF($EZ35:$FA35,"Carregar")&gt;0,"Rodada +1 turno","Rodada inteira"),IF(COUNTIF($EB35:$EE35,"Rápido")&gt;0,"Bônus",IF(COUNTIF($EB35:$EE35,"Reação")&gt;0,"Reação","Padrão"))&amp;IF(COUNTIF($EZ35:$FA35,"Carregar")&gt;0," +1 turno",""))))</f>
        <v/>
      </c>
      <c r="GP35" s="145">
        <f>IF(OR($EH35=0,$EI35=0),"",IF(COUNTIF($EB35:$EE35,"Inescapável")&gt;0,"Automático",IF(COUNTIF($EB35:$EE35,"Certeiro")&gt;0,"TR para metade",INDEX($AF$2:$AF$11,$EI35))))</f>
        <v/>
      </c>
      <c r="GQ35" s="145">
        <f>IF(OR($EH35=0,$EI35=0),"",IF(OR($EV35&gt;=2,$FR35=0),UPPER(LEFT(INDEX($GA35:$GG35,1,$DY35),1))&amp;MID(INDEX($GA35:$GG35,1,$DY35),2,99),UPPER(LEFT(INDEX($GA35:$GG35,1,$DY35),1))&amp;MID(INDEX($GA35:$GG35,1,$DY35),2,99)&amp;" = "&amp;FLOOR($FR35*4.5,1)&amp;IF($FS35&gt;0," · +"&amp;$FS35&amp;"d8","")))</f>
        <v/>
      </c>
      <c r="GR35" s="145">
        <f>COUNTIF($EB35:$EE35,"Longe")+3*COUNTIF($EB35:$EE35,"Muito Longe")</f>
        <v/>
      </c>
      <c r="GS35" s="145">
        <f>COUNTIF($EB35:$EE35,"Maior")+3*COUNTIF($EB35:$EE35,"Muito Maior")</f>
        <v/>
      </c>
      <c r="GT35" s="145">
        <f>IF($EI35=0,0,CHOOSE(1+INDEX($AH$2:$AH$11,$EI35),0,$GR35,$GS35,$GR35+$GS35))</f>
        <v/>
      </c>
      <c r="GU35" s="145">
        <f>IF($EI35=0,0,CHOOSE(1+INDEX($AI$2:$AI$11,$EI35),0,$GR35,$GS35,$GR35+$GS35))</f>
        <v/>
      </c>
      <c r="GV35" s="145">
        <f>IF(OR($EH35=0,$EI35=0),"",INDEX($AP$2:$AU$31,($EI35-1)*3+IF($DY35&gt;=6,3,2),1+MIN(5,$GT35))&amp;INDEX($AV$2:$BA$31,($EI35-1)*3+IF($DY35&gt;=6,3,2),1+MIN(5,$GU35))&amp;IF(INDEX($AJ$2:$AJ$11,$EI35)=1,IF(COUNTIF($EB35:$EE35,"Mais Um")&gt;0," · +"&amp;COUNTIF($EB35:$EE35,"Mais Um")&amp;IF(COUNTIF($EB35:$EE35,"Mais Um")&gt;1," alvos"," alvo"),"")&amp;IF(COUNTIF($EB35:$EE35,"Rajada")&gt;0," · "&amp;($DY35+1)&amp;" tiros",""),""))</f>
        <v/>
      </c>
      <c r="GW35" s="145">
        <f>IF($EH35=0,"",3*$DY35&amp;" − "&amp;$FL35&amp;" + "&amp;$FO35&amp;IF($DW35=1," + "&amp;$DY35,"")&amp;" = "&amp;$FR35&amp;"d8 · teto "&amp;4*$DY35&amp;IF($EU35=1," · a Forma devolve "&amp;$DY35,"")&amp;IF($FP35&gt;0," · perde "&amp;$FP35,""))</f>
        <v/>
      </c>
      <c r="GX35" s="145">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5">
        <f>IF(OR($EH35=0,$EK35=0),"","−"&amp;INDEX($Q$2:$V$8,$DY35,$EK35)&amp;" · "&amp;CHOOSE($EK35,"Leve","Média","Pesada","Leve · Livre","Média · Livre","Pesada · Livre"))</f>
        <v/>
      </c>
      <c r="GZ35" s="145">
        <f>IF(OR($EH35=0,$EL35=0),"","−"&amp;INDEX($Q$2:$V$8,$DY35,$EL35)&amp;" · "&amp;CHOOSE($EL35,"Leve","Média","Pesada","Leve · Livre","Média · Livre","Pesada · Livre"))</f>
        <v/>
      </c>
      <c r="HA35" s="145">
        <f>IF(OR($EH35=0,$EM35=0),"","−"&amp;INDEX($Q$2:$V$8,$DY35,$EM35)&amp;" · "&amp;CHOOSE($EM35,"Leve","Média","Pesada","Leve · Livre","Média · Livre","Pesada · Livre"))</f>
        <v/>
      </c>
      <c r="HB35" s="145">
        <f>IF(OR($EH35=0,$EN35=0),"","−"&amp;INDEX($Q$2:$V$8,$DY35,$EN35)&amp;" · "&amp;CHOOSE($EN35,"Leve","Média","Pesada","Leve · Livre","Média · Livre","Pesada · Livre"))</f>
        <v/>
      </c>
      <c r="HC35" s="145">
        <f>IF(OR($EH35=0,$EF35=""),"","+"&amp;IF($EX35=1,CEILING($DY35/2,1),$DY35))</f>
        <v/>
      </c>
      <c r="HD35" s="145">
        <f>IF(OR($EH35=0,$EG35=""),"","+"&amp;IF($EY35=1,CEILING($DY35/2,1),$DY35))</f>
        <v/>
      </c>
      <c r="HE35" s="145">
        <f>'FICHA AMALDIÇOADA'!$D$288&amp;""</f>
        <v/>
      </c>
      <c r="HF35" s="145">
        <f>IF(AND($EH35=1,$DW35=0),COUNTIFS($EH$2:$EH35,1,$DW$2:$DW35,0),"")</f>
        <v/>
      </c>
      <c r="HH35" s="143" t="inlineStr">
        <is>
          <t>dados da técnica máxima</t>
        </is>
      </c>
      <c r="HI35" s="145">
        <f>IFERROR(VLOOKUP($HI$2,$DG$2:$DI$4,2,TRUE),0)</f>
        <v/>
      </c>
      <c r="JD35" s="145" t="n">
        <v>34</v>
      </c>
      <c r="JE35" s="145">
        <f>IFERROR(MATCH(34,$HF$2:$HF$37,0),0)</f>
        <v/>
      </c>
      <c r="JF35" s="145">
        <f>IF($JE35=0,"",INDEX($DY$2:$DY$37,$JE35))</f>
        <v/>
      </c>
      <c r="JG35" s="145">
        <f>IF($JE35=0,"",INDEX($DZ$2:$DZ$37,$JE35))</f>
        <v/>
      </c>
      <c r="JH35" s="145">
        <f>IF($JE35=0,"",INDEX($GN$2:$GN$37,$JE35))</f>
        <v/>
      </c>
      <c r="JI35" s="145">
        <f>IF($JE35=0,"",INDEX($EA$2:$EA$37,$JE35))</f>
        <v/>
      </c>
      <c r="JJ35" s="145">
        <f>IF($JE35=0,"",INDEX($GP$2:$GP$37,$JE35))</f>
        <v/>
      </c>
      <c r="JK35" s="145">
        <f>IF($JE35=0,"",INDEX($HE$2:$HE$37,$JE35))</f>
        <v/>
      </c>
      <c r="KQ35" s="143" t="inlineStr">
        <is>
          <t>D316</t>
        </is>
      </c>
      <c r="KR35" s="145">
        <f>UPPER(INDEX(DADOS_AM!$D$4:$G$4,1,DADOS_AM!$A$2))</f>
        <v/>
      </c>
    </row>
    <row r="36">
      <c r="BC36" s="143" t="inlineStr">
        <is>
          <t>Envenenado</t>
        </is>
      </c>
      <c r="BD36" s="143" t="inlineStr">
        <is>
          <t>Controle</t>
        </is>
      </c>
      <c r="BE36" s="145" t="n">
        <v>3</v>
      </c>
      <c r="BF36" s="145">
        <f>$BE36+3*IFERROR(VLOOKUP($BD36,$I$2:$L$10,3,FALSE),0)</f>
        <v/>
      </c>
      <c r="BG36" s="145">
        <f>IFERROR(VLOOKUP($BD36,$I$2:$L$10,4,FALSE),0)</f>
        <v/>
      </c>
      <c r="BH36" s="145" t="n">
        <v>1</v>
      </c>
      <c r="BI36" s="145">
        <f>IF($BG36=1,"",$BC36)</f>
        <v/>
      </c>
      <c r="BJ36" s="145">
        <f>IF(AND($BE36=1,$BG36=0),$BC36,"")</f>
        <v/>
      </c>
      <c r="DV36" s="143" t="inlineStr">
        <is>
          <t>Feitiço 35</t>
        </is>
      </c>
      <c r="DW36" s="145" t="n">
        <v>0</v>
      </c>
      <c r="DX36" s="145" t="n">
        <v>35</v>
      </c>
      <c r="DY36" s="145">
        <f>MAX(1,MIN(7,N('FICHA AMALDIÇOADA'!$J$286)))</f>
        <v/>
      </c>
      <c r="DZ36" s="145">
        <f>'FICHA AMALDIÇOADA'!$K$286&amp;""</f>
        <v/>
      </c>
      <c r="EA36" s="145">
        <f>'FICHA AMALDIÇOADA'!$J$293&amp;""</f>
        <v/>
      </c>
      <c r="EB36" s="145">
        <f>'FICHA AMALDIÇOADA'!$K$295&amp;""</f>
        <v/>
      </c>
      <c r="EC36" s="145">
        <f>'FICHA AMALDIÇOADA'!$K$296&amp;""</f>
        <v/>
      </c>
      <c r="ED36" s="145">
        <f>'FICHA AMALDIÇOADA'!$K$297&amp;""</f>
        <v/>
      </c>
      <c r="EE36" s="145">
        <f>'FICHA AMALDIÇOADA'!$K$298&amp;""</f>
        <v/>
      </c>
      <c r="EF36" s="145">
        <f>'FICHA AMALDIÇOADA'!$K$299&amp;""</f>
        <v/>
      </c>
      <c r="EG36" s="145">
        <f>'FICHA AMALDIÇOADA'!$K$300&amp;""</f>
        <v/>
      </c>
      <c r="EH36" s="145">
        <f>IF($DZ36&lt;&gt;"",1,0)</f>
        <v/>
      </c>
      <c r="EI36" s="145">
        <f>IFERROR(MATCH($EA36,$Y$2:$Y$11,0),0)</f>
        <v/>
      </c>
      <c r="EJ36" s="145">
        <f>IF($EI36=0,0,INDEX($AB$2:$AB$11,$EI36))</f>
        <v/>
      </c>
      <c r="EK36" s="145">
        <f>IFERROR(VLOOKUP($EB36,$BC$2:$BJ$84,4,FALSE),0)</f>
        <v/>
      </c>
      <c r="EL36" s="145">
        <f>IFERROR(VLOOKUP($EC36,$BC$2:$BJ$84,4,FALSE),0)</f>
        <v/>
      </c>
      <c r="EM36" s="145">
        <f>IFERROR(VLOOKUP($ED36,$BC$2:$BJ$84,4,FALSE),0)</f>
        <v/>
      </c>
      <c r="EN36" s="145">
        <f>IFERROR(VLOOKUP($EE36,$BC$2:$BJ$84,4,FALSE),0)</f>
        <v/>
      </c>
      <c r="EO36" s="145">
        <f>IF($EI36=0,0,INDEX($AC$2:$AC$11,$EI36))</f>
        <v/>
      </c>
      <c r="EP36" s="145">
        <f>IFERROR(VLOOKUP($EB36,$BC$2:$BJ$84,5,FALSE),0)</f>
        <v/>
      </c>
      <c r="EQ36" s="145">
        <f>IFERROR(VLOOKUP($EC36,$BC$2:$BJ$84,5,FALSE),0)</f>
        <v/>
      </c>
      <c r="ER36" s="145">
        <f>IFERROR(VLOOKUP($ED36,$BC$2:$BJ$84,5,FALSE),0)</f>
        <v/>
      </c>
      <c r="ES36" s="145">
        <f>IFERROR(VLOOKUP($EE36,$BC$2:$BJ$84,5,FALSE),0)</f>
        <v/>
      </c>
      <c r="ET36" s="145">
        <f>IFERROR(VLOOKUP($EB36,$BC$2:$BJ$84,6,FALSE),0)+IFERROR(VLOOKUP($EC36,$BC$2:$BJ$84,6,FALSE),0)+IFERROR(VLOOKUP($ED36,$BC$2:$BJ$84,6,FALSE),0)+IFERROR(VLOOKUP($EE36,$BC$2:$BJ$84,6,FALSE),0)</f>
        <v/>
      </c>
      <c r="EU36" s="145">
        <f>IF($EI36=0,0,INDEX($AD$2:$AD$11,$EI36))</f>
        <v/>
      </c>
      <c r="EV36" s="145">
        <f>IF($EI36=0,0,INDEX($AE$2:$AE$11,$EI36))</f>
        <v/>
      </c>
      <c r="EW36" s="145">
        <f>IF($EI36=0,0,INDEX($AG$2:$AG$11,$EI36))</f>
        <v/>
      </c>
      <c r="EX36" s="145">
        <f>IFERROR(VLOOKUP($EF36,$BL$2:$BP$24,3,FALSE),0)</f>
        <v/>
      </c>
      <c r="EY36" s="145">
        <f>IFERROR(VLOOKUP($EG36,$BL$2:$BP$24,3,FALSE),0)</f>
        <v/>
      </c>
      <c r="EZ36" s="145">
        <f>IFERROR(VLOOKUP($EF36,$BL$2:$BP$24,2,FALSE),"")</f>
        <v/>
      </c>
      <c r="FA36" s="145">
        <f>IFERROR(VLOOKUP($EG36,$BL$2:$BP$24,2,FALSE),"")</f>
        <v/>
      </c>
      <c r="FB36" s="145">
        <f>COUNTIF($EJ36:$EN36,1)</f>
        <v/>
      </c>
      <c r="FC36" s="145">
        <f>COUNTIF($EJ36:$EN36,2)</f>
        <v/>
      </c>
      <c r="FD36" s="145">
        <f>COUNTIF($EJ36:$EN36,3)</f>
        <v/>
      </c>
      <c r="FE36" s="145">
        <f>COUNTIF($EJ36:$EN36,4)</f>
        <v/>
      </c>
      <c r="FF36" s="145">
        <f>COUNTIF($EJ36:$EN36,5)</f>
        <v/>
      </c>
      <c r="FG36" s="145">
        <f>COUNTIF($EJ36:$EN36,6)</f>
        <v/>
      </c>
      <c r="FH36" s="145">
        <f>COUNTIF($EX36:$EY36,1)</f>
        <v/>
      </c>
      <c r="FI36" s="145">
        <f>COUNTIF($EX36:$EY36,2)+$EU36</f>
        <v/>
      </c>
      <c r="FJ36" s="145">
        <f>COUNTIF($EB36:$EE36,"?*")</f>
        <v/>
      </c>
      <c r="FK36" s="145">
        <f>COUNTIF($EF36:$EG36,"?*")+$EU36</f>
        <v/>
      </c>
      <c r="FL36" s="145">
        <f>SUMPRODUCT($FB36:$FG36,INDEX($Q$2:$V$8,$DY36,0))</f>
        <v/>
      </c>
      <c r="FM36" s="145">
        <f>$FH36*CEILING($DY36/2,1)+$FI36*$DY36</f>
        <v/>
      </c>
      <c r="FN36" s="145">
        <f>MIN(2*$DY36,$FM36)</f>
        <v/>
      </c>
      <c r="FO36" s="145">
        <f>MIN($FN36,$FL36)</f>
        <v/>
      </c>
      <c r="FP36" s="145">
        <f>$FN36-$FO36</f>
        <v/>
      </c>
      <c r="FQ36" s="145">
        <f>3*$DY36-$FL36+$FO36</f>
        <v/>
      </c>
      <c r="FR36" s="145">
        <f>MAX(0,$FQ36)+$DW36*$DY36</f>
        <v/>
      </c>
      <c r="FS36" s="145">
        <f>(IF(COUNTIF($EB36:$EE36,"Salto")&gt;0,1,0)+IF(COUNTIF($EB36:$EE36,"Queima")&gt;0,1,0)+IF(COUNTIF($EB36:$EE36,"Estilhaço")&gt;0,1,0))*FLOOR($FR36/2,1)</f>
        <v/>
      </c>
      <c r="FT36" s="145">
        <f>MAX(0,3-SUMPRODUCT($FB36:$FG36,$Q$2:$V$2)+MIN(2,$FH36*1+$FI36*1,SUMPRODUCT($FB36:$FG36,$Q$2:$V$2)))+$DW36*1</f>
        <v/>
      </c>
      <c r="FU36" s="145">
        <f>MAX(0,6-SUMPRODUCT($FB36:$FG36,$Q$3:$V$3)+MIN(4,$FH36*1+$FI36*2,SUMPRODUCT($FB36:$FG36,$Q$3:$V$3)))+$DW36*2</f>
        <v/>
      </c>
      <c r="FV36" s="145">
        <f>MAX(0,9-SUMPRODUCT($FB36:$FG36,$Q$4:$V$4)+MIN(6,$FH36*2+$FI36*3,SUMPRODUCT($FB36:$FG36,$Q$4:$V$4)))+$DW36*3</f>
        <v/>
      </c>
      <c r="FW36" s="145">
        <f>MAX(0,12-SUMPRODUCT($FB36:$FG36,$Q$5:$V$5)+MIN(8,$FH36*2+$FI36*4,SUMPRODUCT($FB36:$FG36,$Q$5:$V$5)))+$DW36*4</f>
        <v/>
      </c>
      <c r="FX36" s="145">
        <f>MAX(0,15-SUMPRODUCT($FB36:$FG36,$Q$6:$V$6)+MIN(10,$FH36*3+$FI36*5,SUMPRODUCT($FB36:$FG36,$Q$6:$V$6)))+$DW36*5</f>
        <v/>
      </c>
      <c r="FY36" s="145">
        <f>MAX(0,18-SUMPRODUCT($FB36:$FG36,$Q$7:$V$7)+MIN(12,$FH36*3+$FI36*6,SUMPRODUCT($FB36:$FG36,$Q$7:$V$7)))+$DW36*6</f>
        <v/>
      </c>
      <c r="FZ36" s="145">
        <f>MAX(0,21-SUMPRODUCT($FB36:$FG36,$Q$8:$V$8)+MIN(14,$FH36*4+$FI36*7,SUMPRODUCT($FB36:$FG36,$Q$8:$V$8)))+$DW36*7</f>
        <v/>
      </c>
      <c r="GA36" s="145">
        <f>IF($EV36=2,3*$FT36&amp;" de vida temp.",IF($EV36=3,"sem dano",IF($FT36=0,IF($EV36=1,"sem cura","sem dano"),IF($EV36=1,"cura ","")&amp;$FT36&amp;"d8")))</f>
        <v/>
      </c>
      <c r="GB36" s="145">
        <f>IF($EV36=2,3*$FU36&amp;" de vida temp.",IF($EV36=3,"sem dano",IF($FU36=0,IF($EV36=1,"sem cura","sem dano"),IF($EV36=1,"cura ","")&amp;$FU36&amp;"d8")))</f>
        <v/>
      </c>
      <c r="GC36" s="145">
        <f>IF($EV36=2,3*$FV36&amp;" de vida temp.",IF($EV36=3,"sem dano",IF($FV36=0,IF($EV36=1,"sem cura","sem dano"),IF($EV36=1,"cura ","")&amp;$FV36&amp;"d8")))</f>
        <v/>
      </c>
      <c r="GD36" s="145">
        <f>IF($EV36=2,3*$FW36&amp;" de vida temp.",IF($EV36=3,"sem dano",IF($FW36=0,IF($EV36=1,"sem cura","sem dano"),IF($EV36=1,"cura ","")&amp;$FW36&amp;"d8")))</f>
        <v/>
      </c>
      <c r="GE36" s="145">
        <f>IF($EV36=2,3*$FX36&amp;" de vida temp.",IF($EV36=3,"sem dano",IF($FX36=0,IF($EV36=1,"sem cura","sem dano"),IF($EV36=1,"cura ","")&amp;$FX36&amp;"d8")))</f>
        <v/>
      </c>
      <c r="GF36" s="145">
        <f>IF($EV36=2,3*$FY36&amp;" de vida temp.",IF($EV36=3,"sem dano",IF($FY36=0,IF($EV36=1,"sem cura","sem dano"),IF($EV36=1,"cura ","")&amp;$FY36&amp;"d8")))</f>
        <v/>
      </c>
      <c r="GG36" s="145">
        <f>IF($EV36=2,3*$FZ36&amp;" de vida temp.",IF($EV36=3,"sem dano",IF($FZ36=0,IF($EV36=1,"sem cura","sem dano"),IF($EV36=1,"cura ","")&amp;$FZ36&amp;"d8")))</f>
        <v/>
      </c>
      <c r="GH36" s="145">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45">
        <f>IF($GH36="",0,(LEN($GH36)-LEN(SUBSTITUTE($GH36," · ","")))/3+1)</f>
        <v/>
      </c>
      <c r="GJ36" s="145">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45">
        <f>IF($GJ36="",0,(LEN($GJ36)-LEN(SUBSTITUTE($GJ36," · ","")))/3+1)</f>
        <v/>
      </c>
      <c r="GL36" s="145">
        <f>IF($EH36=0,IF($FJ36+$FK36-$EU36&gt;0,"Dê um nome",""),IF($GI36&gt;0,"⚠ "&amp;$GI36&amp;IF($GI36&gt;1," erros"," erro"),IF($GK36&gt;0,"! "&amp;$GK36&amp;IF($GK36&gt;1," avisos"," aviso"),"Na regra")))</f>
        <v/>
      </c>
      <c r="GM36" s="145">
        <f>IF($EH36=0,"",IF($GI36+$GK36=0,"Dentro das regras que a ficha confere",$GH36&amp;IF(AND($GI36&gt;0,$GK36&gt;0)," · ","")&amp;$GJ36))</f>
        <v/>
      </c>
      <c r="GN36" s="145">
        <f>IF($EH36=0,"",IF($DW36=1,CEILING(4.5*$DY36,1),3*$DY36)&amp;" PE")</f>
        <v/>
      </c>
      <c r="GO36" s="145">
        <f>IF($EH36=0,"",IF($DW36=1,"Rodada inteira",IF(COUNTIF($EZ36:$FA36,"Atrasar")&gt;0,IF(COUNTIF($EZ36:$FA36,"Carregar")&gt;0,"Rodada +1 turno","Rodada inteira"),IF(COUNTIF($EB36:$EE36,"Rápido")&gt;0,"Bônus",IF(COUNTIF($EB36:$EE36,"Reação")&gt;0,"Reação","Padrão"))&amp;IF(COUNTIF($EZ36:$FA36,"Carregar")&gt;0," +1 turno",""))))</f>
        <v/>
      </c>
      <c r="GP36" s="145">
        <f>IF(OR($EH36=0,$EI36=0),"",IF(COUNTIF($EB36:$EE36,"Inescapável")&gt;0,"Automático",IF(COUNTIF($EB36:$EE36,"Certeiro")&gt;0,"TR para metade",INDEX($AF$2:$AF$11,$EI36))))</f>
        <v/>
      </c>
      <c r="GQ36" s="145">
        <f>IF(OR($EH36=0,$EI36=0),"",IF(OR($EV36&gt;=2,$FR36=0),UPPER(LEFT(INDEX($GA36:$GG36,1,$DY36),1))&amp;MID(INDEX($GA36:$GG36,1,$DY36),2,99),UPPER(LEFT(INDEX($GA36:$GG36,1,$DY36),1))&amp;MID(INDEX($GA36:$GG36,1,$DY36),2,99)&amp;" = "&amp;FLOOR($FR36*4.5,1)&amp;IF($FS36&gt;0," · +"&amp;$FS36&amp;"d8","")))</f>
        <v/>
      </c>
      <c r="GR36" s="145">
        <f>COUNTIF($EB36:$EE36,"Longe")+3*COUNTIF($EB36:$EE36,"Muito Longe")</f>
        <v/>
      </c>
      <c r="GS36" s="145">
        <f>COUNTIF($EB36:$EE36,"Maior")+3*COUNTIF($EB36:$EE36,"Muito Maior")</f>
        <v/>
      </c>
      <c r="GT36" s="145">
        <f>IF($EI36=0,0,CHOOSE(1+INDEX($AH$2:$AH$11,$EI36),0,$GR36,$GS36,$GR36+$GS36))</f>
        <v/>
      </c>
      <c r="GU36" s="145">
        <f>IF($EI36=0,0,CHOOSE(1+INDEX($AI$2:$AI$11,$EI36),0,$GR36,$GS36,$GR36+$GS36))</f>
        <v/>
      </c>
      <c r="GV36" s="145">
        <f>IF(OR($EH36=0,$EI36=0),"",INDEX($AP$2:$AU$31,($EI36-1)*3+IF($DY36&gt;=6,3,2),1+MIN(5,$GT36))&amp;INDEX($AV$2:$BA$31,($EI36-1)*3+IF($DY36&gt;=6,3,2),1+MIN(5,$GU36))&amp;IF(INDEX($AJ$2:$AJ$11,$EI36)=1,IF(COUNTIF($EB36:$EE36,"Mais Um")&gt;0," · +"&amp;COUNTIF($EB36:$EE36,"Mais Um")&amp;IF(COUNTIF($EB36:$EE36,"Mais Um")&gt;1," alvos"," alvo"),"")&amp;IF(COUNTIF($EB36:$EE36,"Rajada")&gt;0," · "&amp;($DY36+1)&amp;" tiros",""),""))</f>
        <v/>
      </c>
      <c r="GW36" s="145">
        <f>IF($EH36=0,"",3*$DY36&amp;" − "&amp;$FL36&amp;" + "&amp;$FO36&amp;IF($DW36=1," + "&amp;$DY36,"")&amp;" = "&amp;$FR36&amp;"d8 · teto "&amp;4*$DY36&amp;IF($EU36=1," · a Forma devolve "&amp;$DY36,"")&amp;IF($FP36&gt;0," · perde "&amp;$FP36,""))</f>
        <v/>
      </c>
      <c r="GX36" s="145">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5">
        <f>IF(OR($EH36=0,$EK36=0),"","−"&amp;INDEX($Q$2:$V$8,$DY36,$EK36)&amp;" · "&amp;CHOOSE($EK36,"Leve","Média","Pesada","Leve · Livre","Média · Livre","Pesada · Livre"))</f>
        <v/>
      </c>
      <c r="GZ36" s="145">
        <f>IF(OR($EH36=0,$EL36=0),"","−"&amp;INDEX($Q$2:$V$8,$DY36,$EL36)&amp;" · "&amp;CHOOSE($EL36,"Leve","Média","Pesada","Leve · Livre","Média · Livre","Pesada · Livre"))</f>
        <v/>
      </c>
      <c r="HA36" s="145">
        <f>IF(OR($EH36=0,$EM36=0),"","−"&amp;INDEX($Q$2:$V$8,$DY36,$EM36)&amp;" · "&amp;CHOOSE($EM36,"Leve","Média","Pesada","Leve · Livre","Média · Livre","Pesada · Livre"))</f>
        <v/>
      </c>
      <c r="HB36" s="145">
        <f>IF(OR($EH36=0,$EN36=0),"","−"&amp;INDEX($Q$2:$V$8,$DY36,$EN36)&amp;" · "&amp;CHOOSE($EN36,"Leve","Média","Pesada","Leve · Livre","Média · Livre","Pesada · Livre"))</f>
        <v/>
      </c>
      <c r="HC36" s="145">
        <f>IF(OR($EH36=0,$EF36=""),"","+"&amp;IF($EX36=1,CEILING($DY36/2,1),$DY36))</f>
        <v/>
      </c>
      <c r="HD36" s="145">
        <f>IF(OR($EH36=0,$EG36=""),"","+"&amp;IF($EY36=1,CEILING($DY36/2,1),$DY36))</f>
        <v/>
      </c>
      <c r="HE36" s="145">
        <f>'FICHA AMALDIÇOADA'!$J$288&amp;""</f>
        <v/>
      </c>
      <c r="HF36" s="145">
        <f>IF(AND($EH36=1,$DW36=0),COUNTIFS($EH$2:$EH36,1,$DW$2:$DW36,0),"")</f>
        <v/>
      </c>
      <c r="HH36" s="143" t="inlineStr">
        <is>
          <t>montagem da técnica máxima</t>
        </is>
      </c>
      <c r="HI36" s="145">
        <f>IFERROR(VLOOKUP($HI$2,$DG$2:$DI$4,3,TRUE),0)</f>
        <v/>
      </c>
      <c r="JD36" s="145" t="n">
        <v>35</v>
      </c>
      <c r="JE36" s="145">
        <f>IFERROR(MATCH(35,$HF$2:$HF$37,0),0)</f>
        <v/>
      </c>
      <c r="JF36" s="145">
        <f>IF($JE36=0,"",INDEX($DY$2:$DY$37,$JE36))</f>
        <v/>
      </c>
      <c r="JG36" s="145">
        <f>IF($JE36=0,"",INDEX($DZ$2:$DZ$37,$JE36))</f>
        <v/>
      </c>
      <c r="JH36" s="145">
        <f>IF($JE36=0,"",INDEX($GN$2:$GN$37,$JE36))</f>
        <v/>
      </c>
      <c r="JI36" s="145">
        <f>IF($JE36=0,"",INDEX($EA$2:$EA$37,$JE36))</f>
        <v/>
      </c>
      <c r="JJ36" s="145">
        <f>IF($JE36=0,"",INDEX($GP$2:$GP$37,$JE36))</f>
        <v/>
      </c>
      <c r="JK36" s="145">
        <f>IF($JE36=0,"",INDEX($HE$2:$HE$37,$JE36))</f>
        <v/>
      </c>
      <c r="KQ36" s="143" t="inlineStr">
        <is>
          <t>D340</t>
        </is>
      </c>
      <c r="KR36" s="145">
        <f>UPPER(INDEX(DADOS_AM!$D$5:$G$5,1,DADOS_AM!$A$2))</f>
        <v/>
      </c>
    </row>
    <row r="37">
      <c r="BC37" s="143" t="inlineStr">
        <is>
          <t>Atordoado</t>
        </is>
      </c>
      <c r="BD37" s="143" t="inlineStr">
        <is>
          <t>Controle</t>
        </is>
      </c>
      <c r="BE37" s="145" t="n">
        <v>3</v>
      </c>
      <c r="BF37" s="145">
        <f>$BE37+3*IFERROR(VLOOKUP($BD37,$I$2:$L$10,3,FALSE),0)</f>
        <v/>
      </c>
      <c r="BG37" s="145">
        <f>IFERROR(VLOOKUP($BD37,$I$2:$L$10,4,FALSE),0)</f>
        <v/>
      </c>
      <c r="BH37" s="145" t="n">
        <v>1</v>
      </c>
      <c r="BI37" s="145">
        <f>IF($BG37=1,"",$BC37)</f>
        <v/>
      </c>
      <c r="BJ37" s="145">
        <f>IF(AND($BE37=1,$BG37=0),$BC37,"")</f>
        <v/>
      </c>
      <c r="DV37" s="143" t="inlineStr">
        <is>
          <t>Feitiço 36</t>
        </is>
      </c>
      <c r="DW37" s="145" t="n">
        <v>0</v>
      </c>
      <c r="DX37" s="145" t="n">
        <v>36</v>
      </c>
      <c r="DY37" s="145">
        <f>MAX(1,MIN(7,N('FICHA AMALDIÇOADA'!$P$286)))</f>
        <v/>
      </c>
      <c r="DZ37" s="145">
        <f>'FICHA AMALDIÇOADA'!$Q$286&amp;""</f>
        <v/>
      </c>
      <c r="EA37" s="145">
        <f>'FICHA AMALDIÇOADA'!$P$293&amp;""</f>
        <v/>
      </c>
      <c r="EB37" s="145">
        <f>'FICHA AMALDIÇOADA'!$Q$295&amp;""</f>
        <v/>
      </c>
      <c r="EC37" s="145">
        <f>'FICHA AMALDIÇOADA'!$Q$296&amp;""</f>
        <v/>
      </c>
      <c r="ED37" s="145">
        <f>'FICHA AMALDIÇOADA'!$Q$297&amp;""</f>
        <v/>
      </c>
      <c r="EE37" s="145">
        <f>'FICHA AMALDIÇOADA'!$Q$298&amp;""</f>
        <v/>
      </c>
      <c r="EF37" s="145">
        <f>'FICHA AMALDIÇOADA'!$Q$299&amp;""</f>
        <v/>
      </c>
      <c r="EG37" s="145">
        <f>'FICHA AMALDIÇOADA'!$Q$300&amp;""</f>
        <v/>
      </c>
      <c r="EH37" s="145">
        <f>IF($DZ37&lt;&gt;"",1,0)</f>
        <v/>
      </c>
      <c r="EI37" s="145">
        <f>IFERROR(MATCH($EA37,$Y$2:$Y$11,0),0)</f>
        <v/>
      </c>
      <c r="EJ37" s="145">
        <f>IF($EI37=0,0,INDEX($AB$2:$AB$11,$EI37))</f>
        <v/>
      </c>
      <c r="EK37" s="145">
        <f>IFERROR(VLOOKUP($EB37,$BC$2:$BJ$84,4,FALSE),0)</f>
        <v/>
      </c>
      <c r="EL37" s="145">
        <f>IFERROR(VLOOKUP($EC37,$BC$2:$BJ$84,4,FALSE),0)</f>
        <v/>
      </c>
      <c r="EM37" s="145">
        <f>IFERROR(VLOOKUP($ED37,$BC$2:$BJ$84,4,FALSE),0)</f>
        <v/>
      </c>
      <c r="EN37" s="145">
        <f>IFERROR(VLOOKUP($EE37,$BC$2:$BJ$84,4,FALSE),0)</f>
        <v/>
      </c>
      <c r="EO37" s="145">
        <f>IF($EI37=0,0,INDEX($AC$2:$AC$11,$EI37))</f>
        <v/>
      </c>
      <c r="EP37" s="145">
        <f>IFERROR(VLOOKUP($EB37,$BC$2:$BJ$84,5,FALSE),0)</f>
        <v/>
      </c>
      <c r="EQ37" s="145">
        <f>IFERROR(VLOOKUP($EC37,$BC$2:$BJ$84,5,FALSE),0)</f>
        <v/>
      </c>
      <c r="ER37" s="145">
        <f>IFERROR(VLOOKUP($ED37,$BC$2:$BJ$84,5,FALSE),0)</f>
        <v/>
      </c>
      <c r="ES37" s="145">
        <f>IFERROR(VLOOKUP($EE37,$BC$2:$BJ$84,5,FALSE),0)</f>
        <v/>
      </c>
      <c r="ET37" s="145">
        <f>IFERROR(VLOOKUP($EB37,$BC$2:$BJ$84,6,FALSE),0)+IFERROR(VLOOKUP($EC37,$BC$2:$BJ$84,6,FALSE),0)+IFERROR(VLOOKUP($ED37,$BC$2:$BJ$84,6,FALSE),0)+IFERROR(VLOOKUP($EE37,$BC$2:$BJ$84,6,FALSE),0)</f>
        <v/>
      </c>
      <c r="EU37" s="145">
        <f>IF($EI37=0,0,INDEX($AD$2:$AD$11,$EI37))</f>
        <v/>
      </c>
      <c r="EV37" s="145">
        <f>IF($EI37=0,0,INDEX($AE$2:$AE$11,$EI37))</f>
        <v/>
      </c>
      <c r="EW37" s="145">
        <f>IF($EI37=0,0,INDEX($AG$2:$AG$11,$EI37))</f>
        <v/>
      </c>
      <c r="EX37" s="145">
        <f>IFERROR(VLOOKUP($EF37,$BL$2:$BP$24,3,FALSE),0)</f>
        <v/>
      </c>
      <c r="EY37" s="145">
        <f>IFERROR(VLOOKUP($EG37,$BL$2:$BP$24,3,FALSE),0)</f>
        <v/>
      </c>
      <c r="EZ37" s="145">
        <f>IFERROR(VLOOKUP($EF37,$BL$2:$BP$24,2,FALSE),"")</f>
        <v/>
      </c>
      <c r="FA37" s="145">
        <f>IFERROR(VLOOKUP($EG37,$BL$2:$BP$24,2,FALSE),"")</f>
        <v/>
      </c>
      <c r="FB37" s="145">
        <f>COUNTIF($EJ37:$EN37,1)</f>
        <v/>
      </c>
      <c r="FC37" s="145">
        <f>COUNTIF($EJ37:$EN37,2)</f>
        <v/>
      </c>
      <c r="FD37" s="145">
        <f>COUNTIF($EJ37:$EN37,3)</f>
        <v/>
      </c>
      <c r="FE37" s="145">
        <f>COUNTIF($EJ37:$EN37,4)</f>
        <v/>
      </c>
      <c r="FF37" s="145">
        <f>COUNTIF($EJ37:$EN37,5)</f>
        <v/>
      </c>
      <c r="FG37" s="145">
        <f>COUNTIF($EJ37:$EN37,6)</f>
        <v/>
      </c>
      <c r="FH37" s="145">
        <f>COUNTIF($EX37:$EY37,1)</f>
        <v/>
      </c>
      <c r="FI37" s="145">
        <f>COUNTIF($EX37:$EY37,2)+$EU37</f>
        <v/>
      </c>
      <c r="FJ37" s="145">
        <f>COUNTIF($EB37:$EE37,"?*")</f>
        <v/>
      </c>
      <c r="FK37" s="145">
        <f>COUNTIF($EF37:$EG37,"?*")+$EU37</f>
        <v/>
      </c>
      <c r="FL37" s="145">
        <f>SUMPRODUCT($FB37:$FG37,INDEX($Q$2:$V$8,$DY37,0))</f>
        <v/>
      </c>
      <c r="FM37" s="145">
        <f>$FH37*CEILING($DY37/2,1)+$FI37*$DY37</f>
        <v/>
      </c>
      <c r="FN37" s="145">
        <f>MIN(2*$DY37,$FM37)</f>
        <v/>
      </c>
      <c r="FO37" s="145">
        <f>MIN($FN37,$FL37)</f>
        <v/>
      </c>
      <c r="FP37" s="145">
        <f>$FN37-$FO37</f>
        <v/>
      </c>
      <c r="FQ37" s="145">
        <f>3*$DY37-$FL37+$FO37</f>
        <v/>
      </c>
      <c r="FR37" s="145">
        <f>MAX(0,$FQ37)+$DW37*$DY37</f>
        <v/>
      </c>
      <c r="FS37" s="145">
        <f>(IF(COUNTIF($EB37:$EE37,"Salto")&gt;0,1,0)+IF(COUNTIF($EB37:$EE37,"Queima")&gt;0,1,0)+IF(COUNTIF($EB37:$EE37,"Estilhaço")&gt;0,1,0))*FLOOR($FR37/2,1)</f>
        <v/>
      </c>
      <c r="FT37" s="145">
        <f>MAX(0,3-SUMPRODUCT($FB37:$FG37,$Q$2:$V$2)+MIN(2,$FH37*1+$FI37*1,SUMPRODUCT($FB37:$FG37,$Q$2:$V$2)))+$DW37*1</f>
        <v/>
      </c>
      <c r="FU37" s="145">
        <f>MAX(0,6-SUMPRODUCT($FB37:$FG37,$Q$3:$V$3)+MIN(4,$FH37*1+$FI37*2,SUMPRODUCT($FB37:$FG37,$Q$3:$V$3)))+$DW37*2</f>
        <v/>
      </c>
      <c r="FV37" s="145">
        <f>MAX(0,9-SUMPRODUCT($FB37:$FG37,$Q$4:$V$4)+MIN(6,$FH37*2+$FI37*3,SUMPRODUCT($FB37:$FG37,$Q$4:$V$4)))+$DW37*3</f>
        <v/>
      </c>
      <c r="FW37" s="145">
        <f>MAX(0,12-SUMPRODUCT($FB37:$FG37,$Q$5:$V$5)+MIN(8,$FH37*2+$FI37*4,SUMPRODUCT($FB37:$FG37,$Q$5:$V$5)))+$DW37*4</f>
        <v/>
      </c>
      <c r="FX37" s="145">
        <f>MAX(0,15-SUMPRODUCT($FB37:$FG37,$Q$6:$V$6)+MIN(10,$FH37*3+$FI37*5,SUMPRODUCT($FB37:$FG37,$Q$6:$V$6)))+$DW37*5</f>
        <v/>
      </c>
      <c r="FY37" s="145">
        <f>MAX(0,18-SUMPRODUCT($FB37:$FG37,$Q$7:$V$7)+MIN(12,$FH37*3+$FI37*6,SUMPRODUCT($FB37:$FG37,$Q$7:$V$7)))+$DW37*6</f>
        <v/>
      </c>
      <c r="FZ37" s="145">
        <f>MAX(0,21-SUMPRODUCT($FB37:$FG37,$Q$8:$V$8)+MIN(14,$FH37*4+$FI37*7,SUMPRODUCT($FB37:$FG37,$Q$8:$V$8)))+$DW37*7</f>
        <v/>
      </c>
      <c r="GA37" s="145">
        <f>IF($EV37=2,3*$FT37&amp;" de vida temp.",IF($EV37=3,"sem dano",IF($FT37=0,IF($EV37=1,"sem cura","sem dano"),IF($EV37=1,"cura ","")&amp;$FT37&amp;"d8")))</f>
        <v/>
      </c>
      <c r="GB37" s="145">
        <f>IF($EV37=2,3*$FU37&amp;" de vida temp.",IF($EV37=3,"sem dano",IF($FU37=0,IF($EV37=1,"sem cura","sem dano"),IF($EV37=1,"cura ","")&amp;$FU37&amp;"d8")))</f>
        <v/>
      </c>
      <c r="GC37" s="145">
        <f>IF($EV37=2,3*$FV37&amp;" de vida temp.",IF($EV37=3,"sem dano",IF($FV37=0,IF($EV37=1,"sem cura","sem dano"),IF($EV37=1,"cura ","")&amp;$FV37&amp;"d8")))</f>
        <v/>
      </c>
      <c r="GD37" s="145">
        <f>IF($EV37=2,3*$FW37&amp;" de vida temp.",IF($EV37=3,"sem dano",IF($FW37=0,IF($EV37=1,"sem cura","sem dano"),IF($EV37=1,"cura ","")&amp;$FW37&amp;"d8")))</f>
        <v/>
      </c>
      <c r="GE37" s="145">
        <f>IF($EV37=2,3*$FX37&amp;" de vida temp.",IF($EV37=3,"sem dano",IF($FX37=0,IF($EV37=1,"sem cura","sem dano"),IF($EV37=1,"cura ","")&amp;$FX37&amp;"d8")))</f>
        <v/>
      </c>
      <c r="GF37" s="145">
        <f>IF($EV37=2,3*$FY37&amp;" de vida temp.",IF($EV37=3,"sem dano",IF($FY37=0,IF($EV37=1,"sem cura","sem dano"),IF($EV37=1,"cura ","")&amp;$FY37&amp;"d8")))</f>
        <v/>
      </c>
      <c r="GG37" s="145">
        <f>IF($EV37=2,3*$FZ37&amp;" de vida temp.",IF($EV37=3,"sem dano",IF($FZ37=0,IF($EV37=1,"sem cura","sem dano"),IF($EV37=1,"cura ","")&amp;$FZ37&amp;"d8")))</f>
        <v/>
      </c>
      <c r="GH37" s="145">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45">
        <f>IF($GH37="",0,(LEN($GH37)-LEN(SUBSTITUTE($GH37," · ","")))/3+1)</f>
        <v/>
      </c>
      <c r="GJ37" s="145">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45">
        <f>IF($GJ37="",0,(LEN($GJ37)-LEN(SUBSTITUTE($GJ37," · ","")))/3+1)</f>
        <v/>
      </c>
      <c r="GL37" s="145">
        <f>IF($EH37=0,IF($FJ37+$FK37-$EU37&gt;0,"Dê um nome",""),IF($GI37&gt;0,"⚠ "&amp;$GI37&amp;IF($GI37&gt;1," erros"," erro"),IF($GK37&gt;0,"! "&amp;$GK37&amp;IF($GK37&gt;1," avisos"," aviso"),"Na regra")))</f>
        <v/>
      </c>
      <c r="GM37" s="145">
        <f>IF($EH37=0,"",IF($GI37+$GK37=0,"Dentro das regras que a ficha confere",$GH37&amp;IF(AND($GI37&gt;0,$GK37&gt;0)," · ","")&amp;$GJ37))</f>
        <v/>
      </c>
      <c r="GN37" s="145">
        <f>IF($EH37=0,"",IF($DW37=1,CEILING(4.5*$DY37,1),3*$DY37)&amp;" PE")</f>
        <v/>
      </c>
      <c r="GO37" s="145">
        <f>IF($EH37=0,"",IF($DW37=1,"Rodada inteira",IF(COUNTIF($EZ37:$FA37,"Atrasar")&gt;0,IF(COUNTIF($EZ37:$FA37,"Carregar")&gt;0,"Rodada +1 turno","Rodada inteira"),IF(COUNTIF($EB37:$EE37,"Rápido")&gt;0,"Bônus",IF(COUNTIF($EB37:$EE37,"Reação")&gt;0,"Reação","Padrão"))&amp;IF(COUNTIF($EZ37:$FA37,"Carregar")&gt;0," +1 turno",""))))</f>
        <v/>
      </c>
      <c r="GP37" s="145">
        <f>IF(OR($EH37=0,$EI37=0),"",IF(COUNTIF($EB37:$EE37,"Inescapável")&gt;0,"Automático",IF(COUNTIF($EB37:$EE37,"Certeiro")&gt;0,"TR para metade",INDEX($AF$2:$AF$11,$EI37))))</f>
        <v/>
      </c>
      <c r="GQ37" s="145">
        <f>IF(OR($EH37=0,$EI37=0),"",IF(OR($EV37&gt;=2,$FR37=0),UPPER(LEFT(INDEX($GA37:$GG37,1,$DY37),1))&amp;MID(INDEX($GA37:$GG37,1,$DY37),2,99),UPPER(LEFT(INDEX($GA37:$GG37,1,$DY37),1))&amp;MID(INDEX($GA37:$GG37,1,$DY37),2,99)&amp;" = "&amp;FLOOR($FR37*4.5,1)&amp;IF($FS37&gt;0," · +"&amp;$FS37&amp;"d8","")))</f>
        <v/>
      </c>
      <c r="GR37" s="145">
        <f>COUNTIF($EB37:$EE37,"Longe")+3*COUNTIF($EB37:$EE37,"Muito Longe")</f>
        <v/>
      </c>
      <c r="GS37" s="145">
        <f>COUNTIF($EB37:$EE37,"Maior")+3*COUNTIF($EB37:$EE37,"Muito Maior")</f>
        <v/>
      </c>
      <c r="GT37" s="145">
        <f>IF($EI37=0,0,CHOOSE(1+INDEX($AH$2:$AH$11,$EI37),0,$GR37,$GS37,$GR37+$GS37))</f>
        <v/>
      </c>
      <c r="GU37" s="145">
        <f>IF($EI37=0,0,CHOOSE(1+INDEX($AI$2:$AI$11,$EI37),0,$GR37,$GS37,$GR37+$GS37))</f>
        <v/>
      </c>
      <c r="GV37" s="145">
        <f>IF(OR($EH37=0,$EI37=0),"",INDEX($AP$2:$AU$31,($EI37-1)*3+IF($DY37&gt;=6,3,2),1+MIN(5,$GT37))&amp;INDEX($AV$2:$BA$31,($EI37-1)*3+IF($DY37&gt;=6,3,2),1+MIN(5,$GU37))&amp;IF(INDEX($AJ$2:$AJ$11,$EI37)=1,IF(COUNTIF($EB37:$EE37,"Mais Um")&gt;0," · +"&amp;COUNTIF($EB37:$EE37,"Mais Um")&amp;IF(COUNTIF($EB37:$EE37,"Mais Um")&gt;1," alvos"," alvo"),"")&amp;IF(COUNTIF($EB37:$EE37,"Rajada")&gt;0," · "&amp;($DY37+1)&amp;" tiros",""),""))</f>
        <v/>
      </c>
      <c r="GW37" s="145">
        <f>IF($EH37=0,"",3*$DY37&amp;" − "&amp;$FL37&amp;" + "&amp;$FO37&amp;IF($DW37=1," + "&amp;$DY37,"")&amp;" = "&amp;$FR37&amp;"d8 · teto "&amp;4*$DY37&amp;IF($EU37=1," · a Forma devolve "&amp;$DY37,"")&amp;IF($FP37&gt;0," · perde "&amp;$FP37,""))</f>
        <v/>
      </c>
      <c r="GX37" s="145">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5">
        <f>IF(OR($EH37=0,$EK37=0),"","−"&amp;INDEX($Q$2:$V$8,$DY37,$EK37)&amp;" · "&amp;CHOOSE($EK37,"Leve","Média","Pesada","Leve · Livre","Média · Livre","Pesada · Livre"))</f>
        <v/>
      </c>
      <c r="GZ37" s="145">
        <f>IF(OR($EH37=0,$EL37=0),"","−"&amp;INDEX($Q$2:$V$8,$DY37,$EL37)&amp;" · "&amp;CHOOSE($EL37,"Leve","Média","Pesada","Leve · Livre","Média · Livre","Pesada · Livre"))</f>
        <v/>
      </c>
      <c r="HA37" s="145">
        <f>IF(OR($EH37=0,$EM37=0),"","−"&amp;INDEX($Q$2:$V$8,$DY37,$EM37)&amp;" · "&amp;CHOOSE($EM37,"Leve","Média","Pesada","Leve · Livre","Média · Livre","Pesada · Livre"))</f>
        <v/>
      </c>
      <c r="HB37" s="145">
        <f>IF(OR($EH37=0,$EN37=0),"","−"&amp;INDEX($Q$2:$V$8,$DY37,$EN37)&amp;" · "&amp;CHOOSE($EN37,"Leve","Média","Pesada","Leve · Livre","Média · Livre","Pesada · Livre"))</f>
        <v/>
      </c>
      <c r="HC37" s="145">
        <f>IF(OR($EH37=0,$EF37=""),"","+"&amp;IF($EX37=1,CEILING($DY37/2,1),$DY37))</f>
        <v/>
      </c>
      <c r="HD37" s="145">
        <f>IF(OR($EH37=0,$EG37=""),"","+"&amp;IF($EY37=1,CEILING($DY37/2,1),$DY37))</f>
        <v/>
      </c>
      <c r="HE37" s="145">
        <f>'FICHA AMALDIÇOADA'!$P$288&amp;""</f>
        <v/>
      </c>
      <c r="HF37" s="145">
        <f>IF(AND($EH37=1,$DW37=0),COUNTIFS($EH$2:$EH37,1,$DW$2:$DW37,0),"")</f>
        <v/>
      </c>
      <c r="HH37" s="143" t="inlineStr">
        <is>
          <t>gasto da técnica máxima</t>
        </is>
      </c>
      <c r="HI37" s="145">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D37" s="145" t="n">
        <v>36</v>
      </c>
      <c r="JE37" s="145">
        <f>IFERROR(MATCH(36,$HF$2:$HF$37,0),0)</f>
        <v/>
      </c>
      <c r="JF37" s="145">
        <f>IF($JE37=0,"",INDEX($DY$2:$DY$37,$JE37))</f>
        <v/>
      </c>
      <c r="JG37" s="145">
        <f>IF($JE37=0,"",INDEX($DZ$2:$DZ$37,$JE37))</f>
        <v/>
      </c>
      <c r="JH37" s="145">
        <f>IF($JE37=0,"",INDEX($GN$2:$GN$37,$JE37))</f>
        <v/>
      </c>
      <c r="JI37" s="145">
        <f>IF($JE37=0,"",INDEX($EA$2:$EA$37,$JE37))</f>
        <v/>
      </c>
      <c r="JJ37" s="145">
        <f>IF($JE37=0,"",INDEX($GP$2:$GP$37,$JE37))</f>
        <v/>
      </c>
      <c r="JK37" s="145">
        <f>IF($JE37=0,"",INDEX($HE$2:$HE$37,$JE37))</f>
        <v/>
      </c>
      <c r="KQ37" s="143" t="inlineStr">
        <is>
          <t>L343</t>
        </is>
      </c>
      <c r="KR37" s="145">
        <f>IF(DADOS_AM!$HI$35=0,"Nível 17",DADOS_AM!$HI$35&amp;"d8 = "&amp;FLOOR(DADOS_AM!$HI$35*4.5,1))</f>
        <v/>
      </c>
    </row>
    <row r="38">
      <c r="BC38" s="143" t="inlineStr">
        <is>
          <t>Terreno</t>
        </is>
      </c>
      <c r="BD38" s="143" t="inlineStr">
        <is>
          <t>Controle</t>
        </is>
      </c>
      <c r="BE38" s="145" t="n">
        <v>1</v>
      </c>
      <c r="BF38" s="145">
        <f>$BE38+3*IFERROR(VLOOKUP($BD38,$I$2:$L$10,3,FALSE),0)</f>
        <v/>
      </c>
      <c r="BG38" s="145">
        <f>IFERROR(VLOOKUP($BD38,$I$2:$L$10,4,FALSE),0)</f>
        <v/>
      </c>
      <c r="BH38" s="145" t="n">
        <v>1</v>
      </c>
      <c r="BI38" s="145">
        <f>IF($BG38=1,"",$BC38)</f>
        <v/>
      </c>
      <c r="BJ38" s="145">
        <f>IF(AND($BE38=1,$BG38=0),$BC38,"")</f>
        <v/>
      </c>
      <c r="DV38" s="143" t="inlineStr">
        <is>
          <t>Liberação 1</t>
        </is>
      </c>
      <c r="DW38" s="145" t="n">
        <v>1</v>
      </c>
      <c r="DX38" s="145" t="n">
        <v>1</v>
      </c>
      <c r="DY38" s="145">
        <f>MAX(1,MIN(7,N('FICHA AMALDIÇOADA'!$D$319)))</f>
        <v/>
      </c>
      <c r="DZ38" s="145">
        <f>'FICHA AMALDIÇOADA'!$E$319&amp;""</f>
        <v/>
      </c>
      <c r="EA38" s="145">
        <f>'FICHA AMALDIÇOADA'!$D$326&amp;""</f>
        <v/>
      </c>
      <c r="EB38" s="145">
        <f>'FICHA AMALDIÇOADA'!$E$328&amp;""</f>
        <v/>
      </c>
      <c r="EC38" s="145">
        <f>'FICHA AMALDIÇOADA'!$E$329&amp;""</f>
        <v/>
      </c>
      <c r="ED38" s="145">
        <f>'FICHA AMALDIÇOADA'!$E$330&amp;""</f>
        <v/>
      </c>
      <c r="EE38" s="145">
        <f>'FICHA AMALDIÇOADA'!$E$331&amp;""</f>
        <v/>
      </c>
      <c r="EF38" s="145">
        <f>'FICHA AMALDIÇOADA'!$E$332&amp;""</f>
        <v/>
      </c>
      <c r="EG38" s="145">
        <f>'FICHA AMALDIÇOADA'!$E$333&amp;""</f>
        <v/>
      </c>
      <c r="EH38" s="145">
        <f>IF($DZ38&lt;&gt;"",1,0)</f>
        <v/>
      </c>
      <c r="EI38" s="145">
        <f>IFERROR(MATCH($EA38,$Y$2:$Y$11,0),0)</f>
        <v/>
      </c>
      <c r="EJ38" s="145">
        <f>IF($EI38=0,0,INDEX($AB$2:$AB$11,$EI38))</f>
        <v/>
      </c>
      <c r="EK38" s="145">
        <f>IFERROR(VLOOKUP($EB38,$BC$2:$BJ$84,4,FALSE),0)</f>
        <v/>
      </c>
      <c r="EL38" s="145">
        <f>IFERROR(VLOOKUP($EC38,$BC$2:$BJ$84,4,FALSE),0)</f>
        <v/>
      </c>
      <c r="EM38" s="145">
        <f>IFERROR(VLOOKUP($ED38,$BC$2:$BJ$84,4,FALSE),0)</f>
        <v/>
      </c>
      <c r="EN38" s="145">
        <f>IFERROR(VLOOKUP($EE38,$BC$2:$BJ$84,4,FALSE),0)</f>
        <v/>
      </c>
      <c r="EO38" s="145">
        <f>IF($EI38=0,0,INDEX($AC$2:$AC$11,$EI38))</f>
        <v/>
      </c>
      <c r="EP38" s="145">
        <f>IFERROR(VLOOKUP($EB38,$BC$2:$BJ$84,5,FALSE),0)</f>
        <v/>
      </c>
      <c r="EQ38" s="145">
        <f>IFERROR(VLOOKUP($EC38,$BC$2:$BJ$84,5,FALSE),0)</f>
        <v/>
      </c>
      <c r="ER38" s="145">
        <f>IFERROR(VLOOKUP($ED38,$BC$2:$BJ$84,5,FALSE),0)</f>
        <v/>
      </c>
      <c r="ES38" s="145">
        <f>IFERROR(VLOOKUP($EE38,$BC$2:$BJ$84,5,FALSE),0)</f>
        <v/>
      </c>
      <c r="ET38" s="145">
        <f>IFERROR(VLOOKUP($EB38,$BC$2:$BJ$84,6,FALSE),0)+IFERROR(VLOOKUP($EC38,$BC$2:$BJ$84,6,FALSE),0)+IFERROR(VLOOKUP($ED38,$BC$2:$BJ$84,6,FALSE),0)+IFERROR(VLOOKUP($EE38,$BC$2:$BJ$84,6,FALSE),0)</f>
        <v/>
      </c>
      <c r="EU38" s="145">
        <f>IF($EI38=0,0,INDEX($AD$2:$AD$11,$EI38))</f>
        <v/>
      </c>
      <c r="EV38" s="145">
        <f>IF($EI38=0,0,INDEX($AE$2:$AE$11,$EI38))</f>
        <v/>
      </c>
      <c r="EW38" s="145">
        <f>IF($EI38=0,0,INDEX($AG$2:$AG$11,$EI38))</f>
        <v/>
      </c>
      <c r="EX38" s="145">
        <f>IFERROR(VLOOKUP($EF38,$BL$2:$BP$24,3,FALSE),0)</f>
        <v/>
      </c>
      <c r="EY38" s="145">
        <f>IFERROR(VLOOKUP($EG38,$BL$2:$BP$24,3,FALSE),0)</f>
        <v/>
      </c>
      <c r="EZ38" s="145">
        <f>IFERROR(VLOOKUP($EF38,$BL$2:$BP$24,2,FALSE),"")</f>
        <v/>
      </c>
      <c r="FA38" s="145">
        <f>IFERROR(VLOOKUP($EG38,$BL$2:$BP$24,2,FALSE),"")</f>
        <v/>
      </c>
      <c r="FB38" s="145">
        <f>COUNTIF($EJ38:$EN38,1)</f>
        <v/>
      </c>
      <c r="FC38" s="145">
        <f>COUNTIF($EJ38:$EN38,2)</f>
        <v/>
      </c>
      <c r="FD38" s="145">
        <f>COUNTIF($EJ38:$EN38,3)</f>
        <v/>
      </c>
      <c r="FE38" s="145">
        <f>COUNTIF($EJ38:$EN38,4)</f>
        <v/>
      </c>
      <c r="FF38" s="145">
        <f>COUNTIF($EJ38:$EN38,5)</f>
        <v/>
      </c>
      <c r="FG38" s="145">
        <f>COUNTIF($EJ38:$EN38,6)</f>
        <v/>
      </c>
      <c r="FH38" s="145">
        <f>COUNTIF($EX38:$EY38,1)</f>
        <v/>
      </c>
      <c r="FI38" s="145">
        <f>COUNTIF($EX38:$EY38,2)+$EU38</f>
        <v/>
      </c>
      <c r="FJ38" s="145">
        <f>COUNTIF($EB38:$EE38,"?*")</f>
        <v/>
      </c>
      <c r="FK38" s="145">
        <f>COUNTIF($EF38:$EG38,"?*")+$EU38</f>
        <v/>
      </c>
      <c r="FL38" s="145">
        <f>SUMPRODUCT($FB38:$FG38,INDEX($Q$2:$V$8,$DY38,0))</f>
        <v/>
      </c>
      <c r="FM38" s="145">
        <f>$FH38*CEILING($DY38/2,1)+$FI38*$DY38</f>
        <v/>
      </c>
      <c r="FN38" s="145">
        <f>MIN(2*$DY38,$FM38)</f>
        <v/>
      </c>
      <c r="FO38" s="145">
        <f>MIN($FN38,$FL38)</f>
        <v/>
      </c>
      <c r="FP38" s="145">
        <f>$FN38-$FO38</f>
        <v/>
      </c>
      <c r="FQ38" s="145">
        <f>3*$DY38-$FL38+$FO38</f>
        <v/>
      </c>
      <c r="FR38" s="145">
        <f>MAX(0,$FQ38)+$DW38*$DY38</f>
        <v/>
      </c>
      <c r="FS38" s="145">
        <f>(IF(COUNTIF($EB38:$EE38,"Salto")&gt;0,1,0)+IF(COUNTIF($EB38:$EE38,"Queima")&gt;0,1,0)+IF(COUNTIF($EB38:$EE38,"Estilhaço")&gt;0,1,0))*FLOOR($FR38/2,1)</f>
        <v/>
      </c>
      <c r="FT38" s="145">
        <f>MAX(0,3-SUMPRODUCT($FB38:$FG38,$Q$2:$V$2)+MIN(2,$FH38*1+$FI38*1,SUMPRODUCT($FB38:$FG38,$Q$2:$V$2)))+$DW38*1</f>
        <v/>
      </c>
      <c r="FU38" s="145">
        <f>MAX(0,6-SUMPRODUCT($FB38:$FG38,$Q$3:$V$3)+MIN(4,$FH38*1+$FI38*2,SUMPRODUCT($FB38:$FG38,$Q$3:$V$3)))+$DW38*2</f>
        <v/>
      </c>
      <c r="FV38" s="145">
        <f>MAX(0,9-SUMPRODUCT($FB38:$FG38,$Q$4:$V$4)+MIN(6,$FH38*2+$FI38*3,SUMPRODUCT($FB38:$FG38,$Q$4:$V$4)))+$DW38*3</f>
        <v/>
      </c>
      <c r="FW38" s="145">
        <f>MAX(0,12-SUMPRODUCT($FB38:$FG38,$Q$5:$V$5)+MIN(8,$FH38*2+$FI38*4,SUMPRODUCT($FB38:$FG38,$Q$5:$V$5)))+$DW38*4</f>
        <v/>
      </c>
      <c r="FX38" s="145">
        <f>MAX(0,15-SUMPRODUCT($FB38:$FG38,$Q$6:$V$6)+MIN(10,$FH38*3+$FI38*5,SUMPRODUCT($FB38:$FG38,$Q$6:$V$6)))+$DW38*5</f>
        <v/>
      </c>
      <c r="FY38" s="145">
        <f>MAX(0,18-SUMPRODUCT($FB38:$FG38,$Q$7:$V$7)+MIN(12,$FH38*3+$FI38*6,SUMPRODUCT($FB38:$FG38,$Q$7:$V$7)))+$DW38*6</f>
        <v/>
      </c>
      <c r="FZ38" s="145">
        <f>MAX(0,21-SUMPRODUCT($FB38:$FG38,$Q$8:$V$8)+MIN(14,$FH38*4+$FI38*7,SUMPRODUCT($FB38:$FG38,$Q$8:$V$8)))+$DW38*7</f>
        <v/>
      </c>
      <c r="GA38" s="145">
        <f>IF($EV38=2,3*$FT38&amp;" de vida temp.",IF($EV38=3,"sem dano",IF($FT38=0,IF($EV38=1,"sem cura","sem dano"),IF($EV38=1,"cura ","")&amp;$FT38&amp;"d8")))</f>
        <v/>
      </c>
      <c r="GB38" s="145">
        <f>IF($EV38=2,3*$FU38&amp;" de vida temp.",IF($EV38=3,"sem dano",IF($FU38=0,IF($EV38=1,"sem cura","sem dano"),IF($EV38=1,"cura ","")&amp;$FU38&amp;"d8")))</f>
        <v/>
      </c>
      <c r="GC38" s="145">
        <f>IF($EV38=2,3*$FV38&amp;" de vida temp.",IF($EV38=3,"sem dano",IF($FV38=0,IF($EV38=1,"sem cura","sem dano"),IF($EV38=1,"cura ","")&amp;$FV38&amp;"d8")))</f>
        <v/>
      </c>
      <c r="GD38" s="145">
        <f>IF($EV38=2,3*$FW38&amp;" de vida temp.",IF($EV38=3,"sem dano",IF($FW38=0,IF($EV38=1,"sem cura","sem dano"),IF($EV38=1,"cura ","")&amp;$FW38&amp;"d8")))</f>
        <v/>
      </c>
      <c r="GE38" s="145">
        <f>IF($EV38=2,3*$FX38&amp;" de vida temp.",IF($EV38=3,"sem dano",IF($FX38=0,IF($EV38=1,"sem cura","sem dano"),IF($EV38=1,"cura ","")&amp;$FX38&amp;"d8")))</f>
        <v/>
      </c>
      <c r="GF38" s="145">
        <f>IF($EV38=2,3*$FY38&amp;" de vida temp.",IF($EV38=3,"sem dano",IF($FY38=0,IF($EV38=1,"sem cura","sem dano"),IF($EV38=1,"cura ","")&amp;$FY38&amp;"d8")))</f>
        <v/>
      </c>
      <c r="GG38" s="145">
        <f>IF($EV38=2,3*$FZ38&amp;" de vida temp.",IF($EV38=3,"sem dano",IF($FZ38=0,IF($EV38=1,"sem cura","sem dano"),IF($EV38=1,"cura ","")&amp;$FZ38&amp;"d8")))</f>
        <v/>
      </c>
      <c r="GH38" s="145">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45">
        <f>IF($GH38="",0,(LEN($GH38)-LEN(SUBSTITUTE($GH38," · ","")))/3+1)</f>
        <v/>
      </c>
      <c r="GJ38" s="145">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45">
        <f>IF($GJ38="",0,(LEN($GJ38)-LEN(SUBSTITUTE($GJ38," · ","")))/3+1)</f>
        <v/>
      </c>
      <c r="GL38" s="145">
        <f>IF($EH38=0,IF($FJ38+$FK38-$EU38&gt;0,"Dê um nome",""),IF($GI38&gt;0,"⚠ "&amp;$GI38&amp;IF($GI38&gt;1," erros"," erro"),IF($GK38&gt;0,"! "&amp;$GK38&amp;IF($GK38&gt;1," avisos"," aviso"),"Na regra")))</f>
        <v/>
      </c>
      <c r="GM38" s="145">
        <f>IF($EH38=0,"",IF($GI38+$GK38=0,"Dentro das regras que a ficha confere",$GH38&amp;IF(AND($GI38&gt;0,$GK38&gt;0)," · ","")&amp;$GJ38))</f>
        <v/>
      </c>
      <c r="GN38" s="145">
        <f>IF($EH38=0,"",IF($DW38=1,CEILING(4.5*$DY38,1),3*$DY38)&amp;" PE")</f>
        <v/>
      </c>
      <c r="GO38" s="145">
        <f>IF($EH38=0,"",IF($DW38=1,"Rodada inteira",IF(COUNTIF($EZ38:$FA38,"Atrasar")&gt;0,IF(COUNTIF($EZ38:$FA38,"Carregar")&gt;0,"Rodada +1 turno","Rodada inteira"),IF(COUNTIF($EB38:$EE38,"Rápido")&gt;0,"Bônus",IF(COUNTIF($EB38:$EE38,"Reação")&gt;0,"Reação","Padrão"))&amp;IF(COUNTIF($EZ38:$FA38,"Carregar")&gt;0," +1 turno",""))))</f>
        <v/>
      </c>
      <c r="GP38" s="145">
        <f>IF(OR($EH38=0,$EI38=0),"",IF(COUNTIF($EB38:$EE38,"Inescapável")&gt;0,"Automático",IF(COUNTIF($EB38:$EE38,"Certeiro")&gt;0,"TR para metade",INDEX($AF$2:$AF$11,$EI38))))</f>
        <v/>
      </c>
      <c r="GQ38" s="145">
        <f>IF(OR($EH38=0,$EI38=0),"",IF(OR($EV38&gt;=2,$FR38=0),UPPER(LEFT(INDEX($GA38:$GG38,1,$DY38),1))&amp;MID(INDEX($GA38:$GG38,1,$DY38),2,99),UPPER(LEFT(INDEX($GA38:$GG38,1,$DY38),1))&amp;MID(INDEX($GA38:$GG38,1,$DY38),2,99)&amp;" = "&amp;FLOOR($FR38*4.5,1)&amp;IF($FS38&gt;0," · +"&amp;$FS38&amp;"d8","")))</f>
        <v/>
      </c>
      <c r="GR38" s="145">
        <f>COUNTIF($EB38:$EE38,"Longe")+3*COUNTIF($EB38:$EE38,"Muito Longe")</f>
        <v/>
      </c>
      <c r="GS38" s="145">
        <f>COUNTIF($EB38:$EE38,"Maior")+3*COUNTIF($EB38:$EE38,"Muito Maior")</f>
        <v/>
      </c>
      <c r="GT38" s="145">
        <f>IF($EI38=0,0,CHOOSE(1+INDEX($AH$2:$AH$11,$EI38),0,$GR38,$GS38,$GR38+$GS38))</f>
        <v/>
      </c>
      <c r="GU38" s="145">
        <f>IF($EI38=0,0,CHOOSE(1+INDEX($AI$2:$AI$11,$EI38),0,$GR38,$GS38,$GR38+$GS38))</f>
        <v/>
      </c>
      <c r="GV38" s="145">
        <f>IF(OR($EH38=0,$EI38=0),"",INDEX($AP$2:$AU$31,($EI38-1)*3+IF($DY38&gt;=6,3,2),1+MIN(5,$GT38))&amp;INDEX($AV$2:$BA$31,($EI38-1)*3+IF($DY38&gt;=6,3,2),1+MIN(5,$GU38))&amp;IF(INDEX($AJ$2:$AJ$11,$EI38)=1,IF(COUNTIF($EB38:$EE38,"Mais Um")&gt;0," · +"&amp;COUNTIF($EB38:$EE38,"Mais Um")&amp;IF(COUNTIF($EB38:$EE38,"Mais Um")&gt;1," alvos"," alvo"),"")&amp;IF(COUNTIF($EB38:$EE38,"Rajada")&gt;0," · "&amp;($DY38+1)&amp;" tiros",""),""))</f>
        <v/>
      </c>
      <c r="GW38" s="145">
        <f>IF($EH38=0,"",3*$DY38&amp;" − "&amp;$FL38&amp;" + "&amp;$FO38&amp;IF($DW38=1," + "&amp;$DY38,"")&amp;" = "&amp;$FR38&amp;"d8 · teto "&amp;4*$DY38&amp;IF($EU38=1," · a Forma devolve "&amp;$DY38,"")&amp;IF($FP38&gt;0," · perde "&amp;$FP38,""))</f>
        <v/>
      </c>
      <c r="GX38" s="145">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5">
        <f>IF(OR($EH38=0,$EK38=0),"","−"&amp;INDEX($Q$2:$V$8,$DY38,$EK38)&amp;" · "&amp;CHOOSE($EK38,"Leve","Média","Pesada","Leve · Livre","Média · Livre","Pesada · Livre"))</f>
        <v/>
      </c>
      <c r="GZ38" s="145">
        <f>IF(OR($EH38=0,$EL38=0),"","−"&amp;INDEX($Q$2:$V$8,$DY38,$EL38)&amp;" · "&amp;CHOOSE($EL38,"Leve","Média","Pesada","Leve · Livre","Média · Livre","Pesada · Livre"))</f>
        <v/>
      </c>
      <c r="HA38" s="145">
        <f>IF(OR($EH38=0,$EM38=0),"","−"&amp;INDEX($Q$2:$V$8,$DY38,$EM38)&amp;" · "&amp;CHOOSE($EM38,"Leve","Média","Pesada","Leve · Livre","Média · Livre","Pesada · Livre"))</f>
        <v/>
      </c>
      <c r="HB38" s="145">
        <f>IF(OR($EH38=0,$EN38=0),"","−"&amp;INDEX($Q$2:$V$8,$DY38,$EN38)&amp;" · "&amp;CHOOSE($EN38,"Leve","Média","Pesada","Leve · Livre","Média · Livre","Pesada · Livre"))</f>
        <v/>
      </c>
      <c r="HC38" s="145">
        <f>IF(OR($EH38=0,$EF38=""),"","+"&amp;IF($EX38=1,CEILING($DY38/2,1),$DY38))</f>
        <v/>
      </c>
      <c r="HD38" s="145">
        <f>IF(OR($EH38=0,$EG38=""),"","+"&amp;IF($EY38=1,CEILING($DY38/2,1),$DY38))</f>
        <v/>
      </c>
      <c r="HE38" s="145">
        <f>'FICHA AMALDIÇOADA'!$D$321&amp;""</f>
        <v/>
      </c>
      <c r="HF38" s="145">
        <f>IF(AND($EH38=1,$DW38=0),COUNTIFS($EH$2:$EH38,1,$DW$2:$DW38,0),"")</f>
        <v/>
      </c>
      <c r="HH38" s="143" t="inlineStr">
        <is>
          <t>fechada na técnica máxima</t>
        </is>
      </c>
      <c r="HI38" s="145">
        <f>IFERROR(VLOOKUP('FICHA AMALDIÇOADA'!$J$343,$Y$2:$AC$11,5,FALSE),0)+IFERROR(VLOOKUP('FICHA AMALDIÇOADA'!$J$346,$BC$2:$BJ$84,5,FALSE),0)+IFERROR(VLOOKUP('FICHA AMALDIÇOADA'!$L$346,$BC$2:$BJ$84,5,FALSE),0)+IFERROR(VLOOKUP('FICHA AMALDIÇOADA'!$P$346,$BC$2:$BJ$84,5,FALSE),0)+IFERROR(VLOOKUP('FICHA AMALDIÇOADA'!$R$346,$BC$2:$BJ$84,5,FALSE),0)</f>
        <v/>
      </c>
      <c r="KQ38" s="143" t="inlineStr">
        <is>
          <t>P343</t>
        </is>
      </c>
      <c r="KR38" s="145">
        <f>IF(DADOS_AM!$HI$35=0,"—",5*DADOS_AM!$HI$4)</f>
        <v/>
      </c>
    </row>
    <row r="39">
      <c r="BC39" s="143" t="inlineStr">
        <is>
          <t>Cerca</t>
        </is>
      </c>
      <c r="BD39" s="143" t="inlineStr">
        <is>
          <t>Controle</t>
        </is>
      </c>
      <c r="BE39" s="145" t="n">
        <v>1</v>
      </c>
      <c r="BF39" s="145">
        <f>$BE39+3*IFERROR(VLOOKUP($BD39,$I$2:$L$10,3,FALSE),0)</f>
        <v/>
      </c>
      <c r="BG39" s="145">
        <f>IFERROR(VLOOKUP($BD39,$I$2:$L$10,4,FALSE),0)</f>
        <v/>
      </c>
      <c r="BH39" s="145" t="n">
        <v>1</v>
      </c>
      <c r="BI39" s="145">
        <f>IF($BG39=1,"",$BC39)</f>
        <v/>
      </c>
      <c r="BJ39" s="145">
        <f>IF(AND($BE39=1,$BG39=0),$BC39,"")</f>
        <v/>
      </c>
      <c r="DV39" s="143" t="inlineStr">
        <is>
          <t>Liberação 2</t>
        </is>
      </c>
      <c r="DW39" s="145" t="n">
        <v>1</v>
      </c>
      <c r="DX39" s="145" t="n">
        <v>2</v>
      </c>
      <c r="DY39" s="145">
        <f>MAX(1,MIN(7,N('FICHA AMALDIÇOADA'!$J$319)))</f>
        <v/>
      </c>
      <c r="DZ39" s="145">
        <f>'FICHA AMALDIÇOADA'!$K$319&amp;""</f>
        <v/>
      </c>
      <c r="EA39" s="145">
        <f>'FICHA AMALDIÇOADA'!$J$326&amp;""</f>
        <v/>
      </c>
      <c r="EB39" s="145">
        <f>'FICHA AMALDIÇOADA'!$K$328&amp;""</f>
        <v/>
      </c>
      <c r="EC39" s="145">
        <f>'FICHA AMALDIÇOADA'!$K$329&amp;""</f>
        <v/>
      </c>
      <c r="ED39" s="145">
        <f>'FICHA AMALDIÇOADA'!$K$330&amp;""</f>
        <v/>
      </c>
      <c r="EE39" s="145">
        <f>'FICHA AMALDIÇOADA'!$K$331&amp;""</f>
        <v/>
      </c>
      <c r="EF39" s="145">
        <f>'FICHA AMALDIÇOADA'!$K$332&amp;""</f>
        <v/>
      </c>
      <c r="EG39" s="145">
        <f>'FICHA AMALDIÇOADA'!$K$333&amp;""</f>
        <v/>
      </c>
      <c r="EH39" s="145">
        <f>IF($DZ39&lt;&gt;"",1,0)</f>
        <v/>
      </c>
      <c r="EI39" s="145">
        <f>IFERROR(MATCH($EA39,$Y$2:$Y$11,0),0)</f>
        <v/>
      </c>
      <c r="EJ39" s="145">
        <f>IF($EI39=0,0,INDEX($AB$2:$AB$11,$EI39))</f>
        <v/>
      </c>
      <c r="EK39" s="145">
        <f>IFERROR(VLOOKUP($EB39,$BC$2:$BJ$84,4,FALSE),0)</f>
        <v/>
      </c>
      <c r="EL39" s="145">
        <f>IFERROR(VLOOKUP($EC39,$BC$2:$BJ$84,4,FALSE),0)</f>
        <v/>
      </c>
      <c r="EM39" s="145">
        <f>IFERROR(VLOOKUP($ED39,$BC$2:$BJ$84,4,FALSE),0)</f>
        <v/>
      </c>
      <c r="EN39" s="145">
        <f>IFERROR(VLOOKUP($EE39,$BC$2:$BJ$84,4,FALSE),0)</f>
        <v/>
      </c>
      <c r="EO39" s="145">
        <f>IF($EI39=0,0,INDEX($AC$2:$AC$11,$EI39))</f>
        <v/>
      </c>
      <c r="EP39" s="145">
        <f>IFERROR(VLOOKUP($EB39,$BC$2:$BJ$84,5,FALSE),0)</f>
        <v/>
      </c>
      <c r="EQ39" s="145">
        <f>IFERROR(VLOOKUP($EC39,$BC$2:$BJ$84,5,FALSE),0)</f>
        <v/>
      </c>
      <c r="ER39" s="145">
        <f>IFERROR(VLOOKUP($ED39,$BC$2:$BJ$84,5,FALSE),0)</f>
        <v/>
      </c>
      <c r="ES39" s="145">
        <f>IFERROR(VLOOKUP($EE39,$BC$2:$BJ$84,5,FALSE),0)</f>
        <v/>
      </c>
      <c r="ET39" s="145">
        <f>IFERROR(VLOOKUP($EB39,$BC$2:$BJ$84,6,FALSE),0)+IFERROR(VLOOKUP($EC39,$BC$2:$BJ$84,6,FALSE),0)+IFERROR(VLOOKUP($ED39,$BC$2:$BJ$84,6,FALSE),0)+IFERROR(VLOOKUP($EE39,$BC$2:$BJ$84,6,FALSE),0)</f>
        <v/>
      </c>
      <c r="EU39" s="145">
        <f>IF($EI39=0,0,INDEX($AD$2:$AD$11,$EI39))</f>
        <v/>
      </c>
      <c r="EV39" s="145">
        <f>IF($EI39=0,0,INDEX($AE$2:$AE$11,$EI39))</f>
        <v/>
      </c>
      <c r="EW39" s="145">
        <f>IF($EI39=0,0,INDEX($AG$2:$AG$11,$EI39))</f>
        <v/>
      </c>
      <c r="EX39" s="145">
        <f>IFERROR(VLOOKUP($EF39,$BL$2:$BP$24,3,FALSE),0)</f>
        <v/>
      </c>
      <c r="EY39" s="145">
        <f>IFERROR(VLOOKUP($EG39,$BL$2:$BP$24,3,FALSE),0)</f>
        <v/>
      </c>
      <c r="EZ39" s="145">
        <f>IFERROR(VLOOKUP($EF39,$BL$2:$BP$24,2,FALSE),"")</f>
        <v/>
      </c>
      <c r="FA39" s="145">
        <f>IFERROR(VLOOKUP($EG39,$BL$2:$BP$24,2,FALSE),"")</f>
        <v/>
      </c>
      <c r="FB39" s="145">
        <f>COUNTIF($EJ39:$EN39,1)</f>
        <v/>
      </c>
      <c r="FC39" s="145">
        <f>COUNTIF($EJ39:$EN39,2)</f>
        <v/>
      </c>
      <c r="FD39" s="145">
        <f>COUNTIF($EJ39:$EN39,3)</f>
        <v/>
      </c>
      <c r="FE39" s="145">
        <f>COUNTIF($EJ39:$EN39,4)</f>
        <v/>
      </c>
      <c r="FF39" s="145">
        <f>COUNTIF($EJ39:$EN39,5)</f>
        <v/>
      </c>
      <c r="FG39" s="145">
        <f>COUNTIF($EJ39:$EN39,6)</f>
        <v/>
      </c>
      <c r="FH39" s="145">
        <f>COUNTIF($EX39:$EY39,1)</f>
        <v/>
      </c>
      <c r="FI39" s="145">
        <f>COUNTIF($EX39:$EY39,2)+$EU39</f>
        <v/>
      </c>
      <c r="FJ39" s="145">
        <f>COUNTIF($EB39:$EE39,"?*")</f>
        <v/>
      </c>
      <c r="FK39" s="145">
        <f>COUNTIF($EF39:$EG39,"?*")+$EU39</f>
        <v/>
      </c>
      <c r="FL39" s="145">
        <f>SUMPRODUCT($FB39:$FG39,INDEX($Q$2:$V$8,$DY39,0))</f>
        <v/>
      </c>
      <c r="FM39" s="145">
        <f>$FH39*CEILING($DY39/2,1)+$FI39*$DY39</f>
        <v/>
      </c>
      <c r="FN39" s="145">
        <f>MIN(2*$DY39,$FM39)</f>
        <v/>
      </c>
      <c r="FO39" s="145">
        <f>MIN($FN39,$FL39)</f>
        <v/>
      </c>
      <c r="FP39" s="145">
        <f>$FN39-$FO39</f>
        <v/>
      </c>
      <c r="FQ39" s="145">
        <f>3*$DY39-$FL39+$FO39</f>
        <v/>
      </c>
      <c r="FR39" s="145">
        <f>MAX(0,$FQ39)+$DW39*$DY39</f>
        <v/>
      </c>
      <c r="FS39" s="145">
        <f>(IF(COUNTIF($EB39:$EE39,"Salto")&gt;0,1,0)+IF(COUNTIF($EB39:$EE39,"Queima")&gt;0,1,0)+IF(COUNTIF($EB39:$EE39,"Estilhaço")&gt;0,1,0))*FLOOR($FR39/2,1)</f>
        <v/>
      </c>
      <c r="FT39" s="145">
        <f>MAX(0,3-SUMPRODUCT($FB39:$FG39,$Q$2:$V$2)+MIN(2,$FH39*1+$FI39*1,SUMPRODUCT($FB39:$FG39,$Q$2:$V$2)))+$DW39*1</f>
        <v/>
      </c>
      <c r="FU39" s="145">
        <f>MAX(0,6-SUMPRODUCT($FB39:$FG39,$Q$3:$V$3)+MIN(4,$FH39*1+$FI39*2,SUMPRODUCT($FB39:$FG39,$Q$3:$V$3)))+$DW39*2</f>
        <v/>
      </c>
      <c r="FV39" s="145">
        <f>MAX(0,9-SUMPRODUCT($FB39:$FG39,$Q$4:$V$4)+MIN(6,$FH39*2+$FI39*3,SUMPRODUCT($FB39:$FG39,$Q$4:$V$4)))+$DW39*3</f>
        <v/>
      </c>
      <c r="FW39" s="145">
        <f>MAX(0,12-SUMPRODUCT($FB39:$FG39,$Q$5:$V$5)+MIN(8,$FH39*2+$FI39*4,SUMPRODUCT($FB39:$FG39,$Q$5:$V$5)))+$DW39*4</f>
        <v/>
      </c>
      <c r="FX39" s="145">
        <f>MAX(0,15-SUMPRODUCT($FB39:$FG39,$Q$6:$V$6)+MIN(10,$FH39*3+$FI39*5,SUMPRODUCT($FB39:$FG39,$Q$6:$V$6)))+$DW39*5</f>
        <v/>
      </c>
      <c r="FY39" s="145">
        <f>MAX(0,18-SUMPRODUCT($FB39:$FG39,$Q$7:$V$7)+MIN(12,$FH39*3+$FI39*6,SUMPRODUCT($FB39:$FG39,$Q$7:$V$7)))+$DW39*6</f>
        <v/>
      </c>
      <c r="FZ39" s="145">
        <f>MAX(0,21-SUMPRODUCT($FB39:$FG39,$Q$8:$V$8)+MIN(14,$FH39*4+$FI39*7,SUMPRODUCT($FB39:$FG39,$Q$8:$V$8)))+$DW39*7</f>
        <v/>
      </c>
      <c r="GA39" s="145">
        <f>IF($EV39=2,3*$FT39&amp;" de vida temp.",IF($EV39=3,"sem dano",IF($FT39=0,IF($EV39=1,"sem cura","sem dano"),IF($EV39=1,"cura ","")&amp;$FT39&amp;"d8")))</f>
        <v/>
      </c>
      <c r="GB39" s="145">
        <f>IF($EV39=2,3*$FU39&amp;" de vida temp.",IF($EV39=3,"sem dano",IF($FU39=0,IF($EV39=1,"sem cura","sem dano"),IF($EV39=1,"cura ","")&amp;$FU39&amp;"d8")))</f>
        <v/>
      </c>
      <c r="GC39" s="145">
        <f>IF($EV39=2,3*$FV39&amp;" de vida temp.",IF($EV39=3,"sem dano",IF($FV39=0,IF($EV39=1,"sem cura","sem dano"),IF($EV39=1,"cura ","")&amp;$FV39&amp;"d8")))</f>
        <v/>
      </c>
      <c r="GD39" s="145">
        <f>IF($EV39=2,3*$FW39&amp;" de vida temp.",IF($EV39=3,"sem dano",IF($FW39=0,IF($EV39=1,"sem cura","sem dano"),IF($EV39=1,"cura ","")&amp;$FW39&amp;"d8")))</f>
        <v/>
      </c>
      <c r="GE39" s="145">
        <f>IF($EV39=2,3*$FX39&amp;" de vida temp.",IF($EV39=3,"sem dano",IF($FX39=0,IF($EV39=1,"sem cura","sem dano"),IF($EV39=1,"cura ","")&amp;$FX39&amp;"d8")))</f>
        <v/>
      </c>
      <c r="GF39" s="145">
        <f>IF($EV39=2,3*$FY39&amp;" de vida temp.",IF($EV39=3,"sem dano",IF($FY39=0,IF($EV39=1,"sem cura","sem dano"),IF($EV39=1,"cura ","")&amp;$FY39&amp;"d8")))</f>
        <v/>
      </c>
      <c r="GG39" s="145">
        <f>IF($EV39=2,3*$FZ39&amp;" de vida temp.",IF($EV39=3,"sem dano",IF($FZ39=0,IF($EV39=1,"sem cura","sem dano"),IF($EV39=1,"cura ","")&amp;$FZ39&amp;"d8")))</f>
        <v/>
      </c>
      <c r="GH39" s="145">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45">
        <f>IF($GH39="",0,(LEN($GH39)-LEN(SUBSTITUTE($GH39," · ","")))/3+1)</f>
        <v/>
      </c>
      <c r="GJ39" s="145">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45">
        <f>IF($GJ39="",0,(LEN($GJ39)-LEN(SUBSTITUTE($GJ39," · ","")))/3+1)</f>
        <v/>
      </c>
      <c r="GL39" s="145">
        <f>IF($EH39=0,IF($FJ39+$FK39-$EU39&gt;0,"Dê um nome",""),IF($GI39&gt;0,"⚠ "&amp;$GI39&amp;IF($GI39&gt;1," erros"," erro"),IF($GK39&gt;0,"! "&amp;$GK39&amp;IF($GK39&gt;1," avisos"," aviso"),"Na regra")))</f>
        <v/>
      </c>
      <c r="GM39" s="145">
        <f>IF($EH39=0,"",IF($GI39+$GK39=0,"Dentro das regras que a ficha confere",$GH39&amp;IF(AND($GI39&gt;0,$GK39&gt;0)," · ","")&amp;$GJ39))</f>
        <v/>
      </c>
      <c r="GN39" s="145">
        <f>IF($EH39=0,"",IF($DW39=1,CEILING(4.5*$DY39,1),3*$DY39)&amp;" PE")</f>
        <v/>
      </c>
      <c r="GO39" s="145">
        <f>IF($EH39=0,"",IF($DW39=1,"Rodada inteira",IF(COUNTIF($EZ39:$FA39,"Atrasar")&gt;0,IF(COUNTIF($EZ39:$FA39,"Carregar")&gt;0,"Rodada +1 turno","Rodada inteira"),IF(COUNTIF($EB39:$EE39,"Rápido")&gt;0,"Bônus",IF(COUNTIF($EB39:$EE39,"Reação")&gt;0,"Reação","Padrão"))&amp;IF(COUNTIF($EZ39:$FA39,"Carregar")&gt;0," +1 turno",""))))</f>
        <v/>
      </c>
      <c r="GP39" s="145">
        <f>IF(OR($EH39=0,$EI39=0),"",IF(COUNTIF($EB39:$EE39,"Inescapável")&gt;0,"Automático",IF(COUNTIF($EB39:$EE39,"Certeiro")&gt;0,"TR para metade",INDEX($AF$2:$AF$11,$EI39))))</f>
        <v/>
      </c>
      <c r="GQ39" s="145">
        <f>IF(OR($EH39=0,$EI39=0),"",IF(OR($EV39&gt;=2,$FR39=0),UPPER(LEFT(INDEX($GA39:$GG39,1,$DY39),1))&amp;MID(INDEX($GA39:$GG39,1,$DY39),2,99),UPPER(LEFT(INDEX($GA39:$GG39,1,$DY39),1))&amp;MID(INDEX($GA39:$GG39,1,$DY39),2,99)&amp;" = "&amp;FLOOR($FR39*4.5,1)&amp;IF($FS39&gt;0," · +"&amp;$FS39&amp;"d8","")))</f>
        <v/>
      </c>
      <c r="GR39" s="145">
        <f>COUNTIF($EB39:$EE39,"Longe")+3*COUNTIF($EB39:$EE39,"Muito Longe")</f>
        <v/>
      </c>
      <c r="GS39" s="145">
        <f>COUNTIF($EB39:$EE39,"Maior")+3*COUNTIF($EB39:$EE39,"Muito Maior")</f>
        <v/>
      </c>
      <c r="GT39" s="145">
        <f>IF($EI39=0,0,CHOOSE(1+INDEX($AH$2:$AH$11,$EI39),0,$GR39,$GS39,$GR39+$GS39))</f>
        <v/>
      </c>
      <c r="GU39" s="145">
        <f>IF($EI39=0,0,CHOOSE(1+INDEX($AI$2:$AI$11,$EI39),0,$GR39,$GS39,$GR39+$GS39))</f>
        <v/>
      </c>
      <c r="GV39" s="145">
        <f>IF(OR($EH39=0,$EI39=0),"",INDEX($AP$2:$AU$31,($EI39-1)*3+IF($DY39&gt;=6,3,2),1+MIN(5,$GT39))&amp;INDEX($AV$2:$BA$31,($EI39-1)*3+IF($DY39&gt;=6,3,2),1+MIN(5,$GU39))&amp;IF(INDEX($AJ$2:$AJ$11,$EI39)=1,IF(COUNTIF($EB39:$EE39,"Mais Um")&gt;0," · +"&amp;COUNTIF($EB39:$EE39,"Mais Um")&amp;IF(COUNTIF($EB39:$EE39,"Mais Um")&gt;1," alvos"," alvo"),"")&amp;IF(COUNTIF($EB39:$EE39,"Rajada")&gt;0," · "&amp;($DY39+1)&amp;" tiros",""),""))</f>
        <v/>
      </c>
      <c r="GW39" s="145">
        <f>IF($EH39=0,"",3*$DY39&amp;" − "&amp;$FL39&amp;" + "&amp;$FO39&amp;IF($DW39=1," + "&amp;$DY39,"")&amp;" = "&amp;$FR39&amp;"d8 · teto "&amp;4*$DY39&amp;IF($EU39=1," · a Forma devolve "&amp;$DY39,"")&amp;IF($FP39&gt;0," · perde "&amp;$FP39,""))</f>
        <v/>
      </c>
      <c r="GX39" s="145">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5">
        <f>IF(OR($EH39=0,$EK39=0),"","−"&amp;INDEX($Q$2:$V$8,$DY39,$EK39)&amp;" · "&amp;CHOOSE($EK39,"Leve","Média","Pesada","Leve · Livre","Média · Livre","Pesada · Livre"))</f>
        <v/>
      </c>
      <c r="GZ39" s="145">
        <f>IF(OR($EH39=0,$EL39=0),"","−"&amp;INDEX($Q$2:$V$8,$DY39,$EL39)&amp;" · "&amp;CHOOSE($EL39,"Leve","Média","Pesada","Leve · Livre","Média · Livre","Pesada · Livre"))</f>
        <v/>
      </c>
      <c r="HA39" s="145">
        <f>IF(OR($EH39=0,$EM39=0),"","−"&amp;INDEX($Q$2:$V$8,$DY39,$EM39)&amp;" · "&amp;CHOOSE($EM39,"Leve","Média","Pesada","Leve · Livre","Média · Livre","Pesada · Livre"))</f>
        <v/>
      </c>
      <c r="HB39" s="145">
        <f>IF(OR($EH39=0,$EN39=0),"","−"&amp;INDEX($Q$2:$V$8,$DY39,$EN39)&amp;" · "&amp;CHOOSE($EN39,"Leve","Média","Pesada","Leve · Livre","Média · Livre","Pesada · Livre"))</f>
        <v/>
      </c>
      <c r="HC39" s="145">
        <f>IF(OR($EH39=0,$EF39=""),"","+"&amp;IF($EX39=1,CEILING($DY39/2,1),$DY39))</f>
        <v/>
      </c>
      <c r="HD39" s="145">
        <f>IF(OR($EH39=0,$EG39=""),"","+"&amp;IF($EY39=1,CEILING($DY39/2,1),$DY39))</f>
        <v/>
      </c>
      <c r="HE39" s="145">
        <f>'FICHA AMALDIÇOADA'!$J$321&amp;""</f>
        <v/>
      </c>
      <c r="HF39" s="145">
        <f>IF(AND($EH39=1,$DW39=0),COUNTIFS($EH$2:$EH39,1,$DW$2:$DW39,0),"")</f>
        <v/>
      </c>
      <c r="HH39" s="143" t="inlineStr">
        <is>
          <t>rota</t>
        </is>
      </c>
      <c r="HI39" s="145">
        <f>$A$2</f>
        <v/>
      </c>
      <c r="KQ39" s="143" t="inlineStr">
        <is>
          <t>R343</t>
        </is>
      </c>
      <c r="KR39" s="145">
        <f>IF(DADOS_AM!$HI$35=0,"—",IF(OR(DADOS_AM!$HI$37&gt;DADOS_AM!$HI$36,DADOS_AM!$HI$38&gt;0),"⚠ ","")&amp;DADOS_AM!$HI$37&amp;" de "&amp;DADOS_AM!$HI$36&amp;IF(DADOS_AM!$HI$38&gt;0," · Família Fechada",""))</f>
        <v/>
      </c>
    </row>
    <row r="40">
      <c r="BC40" s="143" t="inlineStr">
        <is>
          <t>Desarma o Feitiço</t>
        </is>
      </c>
      <c r="BD40" s="143" t="inlineStr">
        <is>
          <t>Controle</t>
        </is>
      </c>
      <c r="BE40" s="145" t="n">
        <v>2</v>
      </c>
      <c r="BF40" s="145">
        <f>$BE40+3*IFERROR(VLOOKUP($BD40,$I$2:$L$10,3,FALSE),0)</f>
        <v/>
      </c>
      <c r="BG40" s="145">
        <f>IFERROR(VLOOKUP($BD40,$I$2:$L$10,4,FALSE),0)</f>
        <v/>
      </c>
      <c r="BH40" s="145" t="n">
        <v>1</v>
      </c>
      <c r="BI40" s="145">
        <f>IF($BG40=1,"",$BC40)</f>
        <v/>
      </c>
      <c r="BJ40" s="145">
        <f>IF(AND($BE40=1,$BG40=0),$BC40,"")</f>
        <v/>
      </c>
      <c r="DV40" s="143" t="inlineStr">
        <is>
          <t>Liberação 3</t>
        </is>
      </c>
      <c r="DW40" s="145" t="n">
        <v>1</v>
      </c>
      <c r="DX40" s="145" t="n">
        <v>3</v>
      </c>
      <c r="DY40" s="145">
        <f>MAX(1,MIN(7,N('FICHA AMALDIÇOADA'!$P$319)))</f>
        <v/>
      </c>
      <c r="DZ40" s="145">
        <f>'FICHA AMALDIÇOADA'!$Q$319&amp;""</f>
        <v/>
      </c>
      <c r="EA40" s="145">
        <f>'FICHA AMALDIÇOADA'!$P$326&amp;""</f>
        <v/>
      </c>
      <c r="EB40" s="145">
        <f>'FICHA AMALDIÇOADA'!$Q$328&amp;""</f>
        <v/>
      </c>
      <c r="EC40" s="145">
        <f>'FICHA AMALDIÇOADA'!$Q$329&amp;""</f>
        <v/>
      </c>
      <c r="ED40" s="145">
        <f>'FICHA AMALDIÇOADA'!$Q$330&amp;""</f>
        <v/>
      </c>
      <c r="EE40" s="145">
        <f>'FICHA AMALDIÇOADA'!$Q$331&amp;""</f>
        <v/>
      </c>
      <c r="EF40" s="145">
        <f>'FICHA AMALDIÇOADA'!$Q$332&amp;""</f>
        <v/>
      </c>
      <c r="EG40" s="145">
        <f>'FICHA AMALDIÇOADA'!$Q$333&amp;""</f>
        <v/>
      </c>
      <c r="EH40" s="145">
        <f>IF($DZ40&lt;&gt;"",1,0)</f>
        <v/>
      </c>
      <c r="EI40" s="145">
        <f>IFERROR(MATCH($EA40,$Y$2:$Y$11,0),0)</f>
        <v/>
      </c>
      <c r="EJ40" s="145">
        <f>IF($EI40=0,0,INDEX($AB$2:$AB$11,$EI40))</f>
        <v/>
      </c>
      <c r="EK40" s="145">
        <f>IFERROR(VLOOKUP($EB40,$BC$2:$BJ$84,4,FALSE),0)</f>
        <v/>
      </c>
      <c r="EL40" s="145">
        <f>IFERROR(VLOOKUP($EC40,$BC$2:$BJ$84,4,FALSE),0)</f>
        <v/>
      </c>
      <c r="EM40" s="145">
        <f>IFERROR(VLOOKUP($ED40,$BC$2:$BJ$84,4,FALSE),0)</f>
        <v/>
      </c>
      <c r="EN40" s="145">
        <f>IFERROR(VLOOKUP($EE40,$BC$2:$BJ$84,4,FALSE),0)</f>
        <v/>
      </c>
      <c r="EO40" s="145">
        <f>IF($EI40=0,0,INDEX($AC$2:$AC$11,$EI40))</f>
        <v/>
      </c>
      <c r="EP40" s="145">
        <f>IFERROR(VLOOKUP($EB40,$BC$2:$BJ$84,5,FALSE),0)</f>
        <v/>
      </c>
      <c r="EQ40" s="145">
        <f>IFERROR(VLOOKUP($EC40,$BC$2:$BJ$84,5,FALSE),0)</f>
        <v/>
      </c>
      <c r="ER40" s="145">
        <f>IFERROR(VLOOKUP($ED40,$BC$2:$BJ$84,5,FALSE),0)</f>
        <v/>
      </c>
      <c r="ES40" s="145">
        <f>IFERROR(VLOOKUP($EE40,$BC$2:$BJ$84,5,FALSE),0)</f>
        <v/>
      </c>
      <c r="ET40" s="145">
        <f>IFERROR(VLOOKUP($EB40,$BC$2:$BJ$84,6,FALSE),0)+IFERROR(VLOOKUP($EC40,$BC$2:$BJ$84,6,FALSE),0)+IFERROR(VLOOKUP($ED40,$BC$2:$BJ$84,6,FALSE),0)+IFERROR(VLOOKUP($EE40,$BC$2:$BJ$84,6,FALSE),0)</f>
        <v/>
      </c>
      <c r="EU40" s="145">
        <f>IF($EI40=0,0,INDEX($AD$2:$AD$11,$EI40))</f>
        <v/>
      </c>
      <c r="EV40" s="145">
        <f>IF($EI40=0,0,INDEX($AE$2:$AE$11,$EI40))</f>
        <v/>
      </c>
      <c r="EW40" s="145">
        <f>IF($EI40=0,0,INDEX($AG$2:$AG$11,$EI40))</f>
        <v/>
      </c>
      <c r="EX40" s="145">
        <f>IFERROR(VLOOKUP($EF40,$BL$2:$BP$24,3,FALSE),0)</f>
        <v/>
      </c>
      <c r="EY40" s="145">
        <f>IFERROR(VLOOKUP($EG40,$BL$2:$BP$24,3,FALSE),0)</f>
        <v/>
      </c>
      <c r="EZ40" s="145">
        <f>IFERROR(VLOOKUP($EF40,$BL$2:$BP$24,2,FALSE),"")</f>
        <v/>
      </c>
      <c r="FA40" s="145">
        <f>IFERROR(VLOOKUP($EG40,$BL$2:$BP$24,2,FALSE),"")</f>
        <v/>
      </c>
      <c r="FB40" s="145">
        <f>COUNTIF($EJ40:$EN40,1)</f>
        <v/>
      </c>
      <c r="FC40" s="145">
        <f>COUNTIF($EJ40:$EN40,2)</f>
        <v/>
      </c>
      <c r="FD40" s="145">
        <f>COUNTIF($EJ40:$EN40,3)</f>
        <v/>
      </c>
      <c r="FE40" s="145">
        <f>COUNTIF($EJ40:$EN40,4)</f>
        <v/>
      </c>
      <c r="FF40" s="145">
        <f>COUNTIF($EJ40:$EN40,5)</f>
        <v/>
      </c>
      <c r="FG40" s="145">
        <f>COUNTIF($EJ40:$EN40,6)</f>
        <v/>
      </c>
      <c r="FH40" s="145">
        <f>COUNTIF($EX40:$EY40,1)</f>
        <v/>
      </c>
      <c r="FI40" s="145">
        <f>COUNTIF($EX40:$EY40,2)+$EU40</f>
        <v/>
      </c>
      <c r="FJ40" s="145">
        <f>COUNTIF($EB40:$EE40,"?*")</f>
        <v/>
      </c>
      <c r="FK40" s="145">
        <f>COUNTIF($EF40:$EG40,"?*")+$EU40</f>
        <v/>
      </c>
      <c r="FL40" s="145">
        <f>SUMPRODUCT($FB40:$FG40,INDEX($Q$2:$V$8,$DY40,0))</f>
        <v/>
      </c>
      <c r="FM40" s="145">
        <f>$FH40*CEILING($DY40/2,1)+$FI40*$DY40</f>
        <v/>
      </c>
      <c r="FN40" s="145">
        <f>MIN(2*$DY40,$FM40)</f>
        <v/>
      </c>
      <c r="FO40" s="145">
        <f>MIN($FN40,$FL40)</f>
        <v/>
      </c>
      <c r="FP40" s="145">
        <f>$FN40-$FO40</f>
        <v/>
      </c>
      <c r="FQ40" s="145">
        <f>3*$DY40-$FL40+$FO40</f>
        <v/>
      </c>
      <c r="FR40" s="145">
        <f>MAX(0,$FQ40)+$DW40*$DY40</f>
        <v/>
      </c>
      <c r="FS40" s="145">
        <f>(IF(COUNTIF($EB40:$EE40,"Salto")&gt;0,1,0)+IF(COUNTIF($EB40:$EE40,"Queima")&gt;0,1,0)+IF(COUNTIF($EB40:$EE40,"Estilhaço")&gt;0,1,0))*FLOOR($FR40/2,1)</f>
        <v/>
      </c>
      <c r="FT40" s="145">
        <f>MAX(0,3-SUMPRODUCT($FB40:$FG40,$Q$2:$V$2)+MIN(2,$FH40*1+$FI40*1,SUMPRODUCT($FB40:$FG40,$Q$2:$V$2)))+$DW40*1</f>
        <v/>
      </c>
      <c r="FU40" s="145">
        <f>MAX(0,6-SUMPRODUCT($FB40:$FG40,$Q$3:$V$3)+MIN(4,$FH40*1+$FI40*2,SUMPRODUCT($FB40:$FG40,$Q$3:$V$3)))+$DW40*2</f>
        <v/>
      </c>
      <c r="FV40" s="145">
        <f>MAX(0,9-SUMPRODUCT($FB40:$FG40,$Q$4:$V$4)+MIN(6,$FH40*2+$FI40*3,SUMPRODUCT($FB40:$FG40,$Q$4:$V$4)))+$DW40*3</f>
        <v/>
      </c>
      <c r="FW40" s="145">
        <f>MAX(0,12-SUMPRODUCT($FB40:$FG40,$Q$5:$V$5)+MIN(8,$FH40*2+$FI40*4,SUMPRODUCT($FB40:$FG40,$Q$5:$V$5)))+$DW40*4</f>
        <v/>
      </c>
      <c r="FX40" s="145">
        <f>MAX(0,15-SUMPRODUCT($FB40:$FG40,$Q$6:$V$6)+MIN(10,$FH40*3+$FI40*5,SUMPRODUCT($FB40:$FG40,$Q$6:$V$6)))+$DW40*5</f>
        <v/>
      </c>
      <c r="FY40" s="145">
        <f>MAX(0,18-SUMPRODUCT($FB40:$FG40,$Q$7:$V$7)+MIN(12,$FH40*3+$FI40*6,SUMPRODUCT($FB40:$FG40,$Q$7:$V$7)))+$DW40*6</f>
        <v/>
      </c>
      <c r="FZ40" s="145">
        <f>MAX(0,21-SUMPRODUCT($FB40:$FG40,$Q$8:$V$8)+MIN(14,$FH40*4+$FI40*7,SUMPRODUCT($FB40:$FG40,$Q$8:$V$8)))+$DW40*7</f>
        <v/>
      </c>
      <c r="GA40" s="145">
        <f>IF($EV40=2,3*$FT40&amp;" de vida temp.",IF($EV40=3,"sem dano",IF($FT40=0,IF($EV40=1,"sem cura","sem dano"),IF($EV40=1,"cura ","")&amp;$FT40&amp;"d8")))</f>
        <v/>
      </c>
      <c r="GB40" s="145">
        <f>IF($EV40=2,3*$FU40&amp;" de vida temp.",IF($EV40=3,"sem dano",IF($FU40=0,IF($EV40=1,"sem cura","sem dano"),IF($EV40=1,"cura ","")&amp;$FU40&amp;"d8")))</f>
        <v/>
      </c>
      <c r="GC40" s="145">
        <f>IF($EV40=2,3*$FV40&amp;" de vida temp.",IF($EV40=3,"sem dano",IF($FV40=0,IF($EV40=1,"sem cura","sem dano"),IF($EV40=1,"cura ","")&amp;$FV40&amp;"d8")))</f>
        <v/>
      </c>
      <c r="GD40" s="145">
        <f>IF($EV40=2,3*$FW40&amp;" de vida temp.",IF($EV40=3,"sem dano",IF($FW40=0,IF($EV40=1,"sem cura","sem dano"),IF($EV40=1,"cura ","")&amp;$FW40&amp;"d8")))</f>
        <v/>
      </c>
      <c r="GE40" s="145">
        <f>IF($EV40=2,3*$FX40&amp;" de vida temp.",IF($EV40=3,"sem dano",IF($FX40=0,IF($EV40=1,"sem cura","sem dano"),IF($EV40=1,"cura ","")&amp;$FX40&amp;"d8")))</f>
        <v/>
      </c>
      <c r="GF40" s="145">
        <f>IF($EV40=2,3*$FY40&amp;" de vida temp.",IF($EV40=3,"sem dano",IF($FY40=0,IF($EV40=1,"sem cura","sem dano"),IF($EV40=1,"cura ","")&amp;$FY40&amp;"d8")))</f>
        <v/>
      </c>
      <c r="GG40" s="145">
        <f>IF($EV40=2,3*$FZ40&amp;" de vida temp.",IF($EV40=3,"sem dano",IF($FZ40=0,IF($EV40=1,"sem cura","sem dano"),IF($EV40=1,"cura ","")&amp;$FZ40&amp;"d8")))</f>
        <v/>
      </c>
      <c r="GH40" s="145">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45">
        <f>IF($GH40="",0,(LEN($GH40)-LEN(SUBSTITUTE($GH40," · ","")))/3+1)</f>
        <v/>
      </c>
      <c r="GJ40" s="145">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45">
        <f>IF($GJ40="",0,(LEN($GJ40)-LEN(SUBSTITUTE($GJ40," · ","")))/3+1)</f>
        <v/>
      </c>
      <c r="GL40" s="145">
        <f>IF($EH40=0,IF($FJ40+$FK40-$EU40&gt;0,"Dê um nome",""),IF($GI40&gt;0,"⚠ "&amp;$GI40&amp;IF($GI40&gt;1," erros"," erro"),IF($GK40&gt;0,"! "&amp;$GK40&amp;IF($GK40&gt;1," avisos"," aviso"),"Na regra")))</f>
        <v/>
      </c>
      <c r="GM40" s="145">
        <f>IF($EH40=0,"",IF($GI40+$GK40=0,"Dentro das regras que a ficha confere",$GH40&amp;IF(AND($GI40&gt;0,$GK40&gt;0)," · ","")&amp;$GJ40))</f>
        <v/>
      </c>
      <c r="GN40" s="145">
        <f>IF($EH40=0,"",IF($DW40=1,CEILING(4.5*$DY40,1),3*$DY40)&amp;" PE")</f>
        <v/>
      </c>
      <c r="GO40" s="145">
        <f>IF($EH40=0,"",IF($DW40=1,"Rodada inteira",IF(COUNTIF($EZ40:$FA40,"Atrasar")&gt;0,IF(COUNTIF($EZ40:$FA40,"Carregar")&gt;0,"Rodada +1 turno","Rodada inteira"),IF(COUNTIF($EB40:$EE40,"Rápido")&gt;0,"Bônus",IF(COUNTIF($EB40:$EE40,"Reação")&gt;0,"Reação","Padrão"))&amp;IF(COUNTIF($EZ40:$FA40,"Carregar")&gt;0," +1 turno",""))))</f>
        <v/>
      </c>
      <c r="GP40" s="145">
        <f>IF(OR($EH40=0,$EI40=0),"",IF(COUNTIF($EB40:$EE40,"Inescapável")&gt;0,"Automático",IF(COUNTIF($EB40:$EE40,"Certeiro")&gt;0,"TR para metade",INDEX($AF$2:$AF$11,$EI40))))</f>
        <v/>
      </c>
      <c r="GQ40" s="145">
        <f>IF(OR($EH40=0,$EI40=0),"",IF(OR($EV40&gt;=2,$FR40=0),UPPER(LEFT(INDEX($GA40:$GG40,1,$DY40),1))&amp;MID(INDEX($GA40:$GG40,1,$DY40),2,99),UPPER(LEFT(INDEX($GA40:$GG40,1,$DY40),1))&amp;MID(INDEX($GA40:$GG40,1,$DY40),2,99)&amp;" = "&amp;FLOOR($FR40*4.5,1)&amp;IF($FS40&gt;0," · +"&amp;$FS40&amp;"d8","")))</f>
        <v/>
      </c>
      <c r="GR40" s="145">
        <f>COUNTIF($EB40:$EE40,"Longe")+3*COUNTIF($EB40:$EE40,"Muito Longe")</f>
        <v/>
      </c>
      <c r="GS40" s="145">
        <f>COUNTIF($EB40:$EE40,"Maior")+3*COUNTIF($EB40:$EE40,"Muito Maior")</f>
        <v/>
      </c>
      <c r="GT40" s="145">
        <f>IF($EI40=0,0,CHOOSE(1+INDEX($AH$2:$AH$11,$EI40),0,$GR40,$GS40,$GR40+$GS40))</f>
        <v/>
      </c>
      <c r="GU40" s="145">
        <f>IF($EI40=0,0,CHOOSE(1+INDEX($AI$2:$AI$11,$EI40),0,$GR40,$GS40,$GR40+$GS40))</f>
        <v/>
      </c>
      <c r="GV40" s="145">
        <f>IF(OR($EH40=0,$EI40=0),"",INDEX($AP$2:$AU$31,($EI40-1)*3+IF($DY40&gt;=6,3,2),1+MIN(5,$GT40))&amp;INDEX($AV$2:$BA$31,($EI40-1)*3+IF($DY40&gt;=6,3,2),1+MIN(5,$GU40))&amp;IF(INDEX($AJ$2:$AJ$11,$EI40)=1,IF(COUNTIF($EB40:$EE40,"Mais Um")&gt;0," · +"&amp;COUNTIF($EB40:$EE40,"Mais Um")&amp;IF(COUNTIF($EB40:$EE40,"Mais Um")&gt;1," alvos"," alvo"),"")&amp;IF(COUNTIF($EB40:$EE40,"Rajada")&gt;0," · "&amp;($DY40+1)&amp;" tiros",""),""))</f>
        <v/>
      </c>
      <c r="GW40" s="145">
        <f>IF($EH40=0,"",3*$DY40&amp;" − "&amp;$FL40&amp;" + "&amp;$FO40&amp;IF($DW40=1," + "&amp;$DY40,"")&amp;" = "&amp;$FR40&amp;"d8 · teto "&amp;4*$DY40&amp;IF($EU40=1," · a Forma devolve "&amp;$DY40,"")&amp;IF($FP40&gt;0," · perde "&amp;$FP40,""))</f>
        <v/>
      </c>
      <c r="GX40" s="145">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5">
        <f>IF(OR($EH40=0,$EK40=0),"","−"&amp;INDEX($Q$2:$V$8,$DY40,$EK40)&amp;" · "&amp;CHOOSE($EK40,"Leve","Média","Pesada","Leve · Livre","Média · Livre","Pesada · Livre"))</f>
        <v/>
      </c>
      <c r="GZ40" s="145">
        <f>IF(OR($EH40=0,$EL40=0),"","−"&amp;INDEX($Q$2:$V$8,$DY40,$EL40)&amp;" · "&amp;CHOOSE($EL40,"Leve","Média","Pesada","Leve · Livre","Média · Livre","Pesada · Livre"))</f>
        <v/>
      </c>
      <c r="HA40" s="145">
        <f>IF(OR($EH40=0,$EM40=0),"","−"&amp;INDEX($Q$2:$V$8,$DY40,$EM40)&amp;" · "&amp;CHOOSE($EM40,"Leve","Média","Pesada","Leve · Livre","Média · Livre","Pesada · Livre"))</f>
        <v/>
      </c>
      <c r="HB40" s="145">
        <f>IF(OR($EH40=0,$EN40=0),"","−"&amp;INDEX($Q$2:$V$8,$DY40,$EN40)&amp;" · "&amp;CHOOSE($EN40,"Leve","Média","Pesada","Leve · Livre","Média · Livre","Pesada · Livre"))</f>
        <v/>
      </c>
      <c r="HC40" s="145">
        <f>IF(OR($EH40=0,$EF40=""),"","+"&amp;IF($EX40=1,CEILING($DY40/2,1),$DY40))</f>
        <v/>
      </c>
      <c r="HD40" s="145">
        <f>IF(OR($EH40=0,$EG40=""),"","+"&amp;IF($EY40=1,CEILING($DY40/2,1),$DY40))</f>
        <v/>
      </c>
      <c r="HE40" s="145">
        <f>'FICHA AMALDIÇOADA'!$P$321&amp;""</f>
        <v/>
      </c>
      <c r="HF40" s="145">
        <f>IF(AND($EH40=1,$DW40=0),COUNTIFS($EH$2:$EH40,1,$DW$2:$DW40,0),"")</f>
        <v/>
      </c>
      <c r="HH40" s="143" t="inlineStr">
        <is>
          <t>equipamento</t>
        </is>
      </c>
      <c r="HI40" s="145">
        <f>'FICHA AMALDIÇOADA'!$J$16&amp;""</f>
        <v/>
      </c>
      <c r="KQ40" s="143" t="inlineStr">
        <is>
          <t>D354</t>
        </is>
      </c>
      <c r="KR40" s="145">
        <f>IF(DADOS_AM!$A$2=1,"EXPANSÃO DE DOMÍNIO","EXPANSÃO DE DOMÍNIO · ESTA ROTA NÃO TEM")</f>
        <v/>
      </c>
    </row>
    <row r="41">
      <c r="BC41" s="143" t="inlineStr">
        <is>
          <t>Anteparo</t>
        </is>
      </c>
      <c r="BD41" s="143" t="inlineStr">
        <is>
          <t>Controle</t>
        </is>
      </c>
      <c r="BE41" s="145" t="n">
        <v>2</v>
      </c>
      <c r="BF41" s="145">
        <f>$BE41+3*IFERROR(VLOOKUP($BD41,$I$2:$L$10,3,FALSE),0)</f>
        <v/>
      </c>
      <c r="BG41" s="145">
        <f>IFERROR(VLOOKUP($BD41,$I$2:$L$10,4,FALSE),0)</f>
        <v/>
      </c>
      <c r="BH41" s="145" t="n">
        <v>1</v>
      </c>
      <c r="BI41" s="145">
        <f>IF($BG41=1,"",$BC41)</f>
        <v/>
      </c>
      <c r="BJ41" s="145">
        <f>IF(AND($BE41=1,$BG41=0),$BC41,"")</f>
        <v/>
      </c>
      <c r="HH41" s="143" t="inlineStr">
        <is>
          <t>arma</t>
        </is>
      </c>
      <c r="HI41" s="145">
        <f>IF(AND($A$2&gt;=3,'FICHA AMALDIÇOADA'!$J$16&amp;""="Três grupos de arma"),1,0)</f>
        <v/>
      </c>
      <c r="KQ41" s="143" t="inlineStr">
        <is>
          <t>F357</t>
        </is>
      </c>
      <c r="KR41" s="145">
        <f>IF(OR(DADOS_AM!$A$2&lt;&gt;1,DADOS_AM!$HI$34=""),"—",DADOS_AM!$HI$19&amp;" espaços")</f>
        <v/>
      </c>
    </row>
    <row r="42">
      <c r="BC42" s="143" t="inlineStr">
        <is>
          <t>Prende</t>
        </is>
      </c>
      <c r="BD42" s="143" t="inlineStr">
        <is>
          <t>Controle</t>
        </is>
      </c>
      <c r="BE42" s="145" t="n">
        <v>2</v>
      </c>
      <c r="BF42" s="145">
        <f>$BE42+3*IFERROR(VLOOKUP($BD42,$I$2:$L$10,3,FALSE),0)</f>
        <v/>
      </c>
      <c r="BG42" s="145">
        <f>IFERROR(VLOOKUP($BD42,$I$2:$L$10,4,FALSE),0)</f>
        <v/>
      </c>
      <c r="BH42" s="145" t="n">
        <v>1</v>
      </c>
      <c r="BI42" s="145">
        <f>IF($BG42=1,"",$BC42)</f>
        <v/>
      </c>
      <c r="BJ42" s="145">
        <f>IF(AND($BE42=1,$BG42=0),$BC42,"")</f>
        <v/>
      </c>
      <c r="HH42" s="143" t="inlineStr">
        <is>
          <t>atributo do grupo 1</t>
        </is>
      </c>
      <c r="HI42" s="145">
        <f>IF(OR($HI$41=0,'FICHA AMALDIÇOADA'!$D$18=""),"",IF(IFERROR(VLOOKUP('FICHA AMALDIÇOADA'!$D$18,$CT$2:$CW$14,2,FALSE),0)=1,IF(AND(IFERROR(VLOOKUP('FICHA AMALDIÇOADA'!$D$18,$CT$2:$CW$14,3,FALSE),0)=1,N(FICHA!$L$19)&gt;N(FICHA!$D$19)),"Destreza","Força"),"Destreza"))</f>
        <v/>
      </c>
      <c r="KQ42" s="143" t="inlineStr">
        <is>
          <t>J357</t>
        </is>
      </c>
      <c r="KR42" s="145">
        <f>IF(DADOS_AM!$A$2&lt;&gt;1,"Só o Fundamento tem",IF(DADOS_AM!$HI$34="","—",IF(AND(DADOS_AM!$HI$2&gt;=IFERROR(VLOOKUP(DADOS_AM!$HI$34,DADOS_AM!$DK$2:$DO$4,3,FALSE),0),DADOS_AM!$HI$6&gt;=IFERROR(VLOOKUP(DADOS_AM!$HI$34,DADOS_AM!$DK$2:$DO$4,4,FALSE),0)),"","⚠ ")&amp;IFERROR(VLOOKUP(DADOS_AM!$HI$34,DADOS_AM!$DK$2:$DO$4,5,FALSE),"")))</f>
        <v/>
      </c>
    </row>
    <row r="43">
      <c r="BC43" s="143" t="inlineStr">
        <is>
          <t>Puxa</t>
        </is>
      </c>
      <c r="BD43" s="143" t="inlineStr">
        <is>
          <t>Controle</t>
        </is>
      </c>
      <c r="BE43" s="145" t="n">
        <v>2</v>
      </c>
      <c r="BF43" s="145">
        <f>$BE43+3*IFERROR(VLOOKUP($BD43,$I$2:$L$10,3,FALSE),0)</f>
        <v/>
      </c>
      <c r="BG43" s="145">
        <f>IFERROR(VLOOKUP($BD43,$I$2:$L$10,4,FALSE),0)</f>
        <v/>
      </c>
      <c r="BH43" s="145" t="n">
        <v>1</v>
      </c>
      <c r="BI43" s="145">
        <f>IF($BG43=1,"",$BC43)</f>
        <v/>
      </c>
      <c r="BJ43" s="145">
        <f>IF(AND($BE43=1,$BG43=0),$BC43,"")</f>
        <v/>
      </c>
      <c r="HH43" s="143" t="inlineStr">
        <is>
          <t>atributo do grupo 2</t>
        </is>
      </c>
      <c r="HI43" s="145">
        <f>IF(OR($HI$41=0,'FICHA AMALDIÇOADA'!$J$18=""),"",IF(IFERROR(VLOOKUP('FICHA AMALDIÇOADA'!$J$18,$CT$2:$CW$14,2,FALSE),0)=1,IF(AND(IFERROR(VLOOKUP('FICHA AMALDIÇOADA'!$J$18,$CT$2:$CW$14,3,FALSE),0)=1,N(FICHA!$L$19)&gt;N(FICHA!$D$19)),"Destreza","Força"),"Destreza"))</f>
        <v/>
      </c>
      <c r="KQ43" s="143" t="inlineStr">
        <is>
          <t>P357</t>
        </is>
      </c>
      <c r="KR43" s="145">
        <f>IF(DADOS_AM!$A$2&lt;&gt;1,"—",DADOS_AM!$HI$6)</f>
        <v/>
      </c>
    </row>
    <row r="44">
      <c r="BC44" s="143" t="inlineStr">
        <is>
          <t>Impulso</t>
        </is>
      </c>
      <c r="BD44" s="143" t="inlineStr">
        <is>
          <t>Auxiliares</t>
        </is>
      </c>
      <c r="BE44" s="145" t="n">
        <v>1</v>
      </c>
      <c r="BF44" s="145">
        <f>$BE44+3*IFERROR(VLOOKUP($BD44,$I$2:$L$10,3,FALSE),0)</f>
        <v/>
      </c>
      <c r="BG44" s="145">
        <f>IFERROR(VLOOKUP($BD44,$I$2:$L$10,4,FALSE),0)</f>
        <v/>
      </c>
      <c r="BH44" s="145" t="n">
        <v>0</v>
      </c>
      <c r="BI44" s="145">
        <f>IF($BG44=1,"",$BC44)</f>
        <v/>
      </c>
      <c r="BJ44" s="145">
        <f>IF(AND($BE44=1,$BG44=0),$BC44,"")</f>
        <v/>
      </c>
      <c r="HH44" s="143" t="inlineStr">
        <is>
          <t>atributo do grupo 3</t>
        </is>
      </c>
      <c r="HI44" s="145">
        <f>IF(OR($HI$41=0,'FICHA AMALDIÇOADA'!$P$18=""),"",IF(IFERROR(VLOOKUP('FICHA AMALDIÇOADA'!$P$18,$CT$2:$CW$14,2,FALSE),0)=1,IF(AND(IFERROR(VLOOKUP('FICHA AMALDIÇOADA'!$P$18,$CT$2:$CW$14,3,FALSE),0)=1,N(FICHA!$L$19)&gt;N(FICHA!$D$19)),"Destreza","Força"),"Destreza"))</f>
        <v/>
      </c>
      <c r="KQ44" s="143" t="inlineStr">
        <is>
          <t>R357</t>
        </is>
      </c>
      <c r="KR44" s="145">
        <f>IF(DADOS_AM!$A$2&lt;&gt;1,"—","Cai na "&amp;MAX(1,FLOOR(DADOS_AM!$HI$7/2,1))&amp;"ª falha")</f>
        <v/>
      </c>
    </row>
    <row r="45">
      <c r="BC45" s="143" t="inlineStr">
        <is>
          <t>Trava</t>
        </is>
      </c>
      <c r="BD45" s="143" t="inlineStr">
        <is>
          <t>Auxiliares</t>
        </is>
      </c>
      <c r="BE45" s="145" t="n">
        <v>1</v>
      </c>
      <c r="BF45" s="145">
        <f>$BE45+3*IFERROR(VLOOKUP($BD45,$I$2:$L$10,3,FALSE),0)</f>
        <v/>
      </c>
      <c r="BG45" s="145">
        <f>IFERROR(VLOOKUP($BD45,$I$2:$L$10,4,FALSE),0)</f>
        <v/>
      </c>
      <c r="BH45" s="145" t="n">
        <v>0</v>
      </c>
      <c r="BI45" s="145">
        <f>IF($BG45=1,"",$BC45)</f>
        <v/>
      </c>
      <c r="BJ45" s="145">
        <f>IF(AND($BE45=1,$BG45=0),$BC45,"")</f>
        <v/>
      </c>
      <c r="HH45" s="143" t="inlineStr">
        <is>
          <t>valor do grupo 1</t>
        </is>
      </c>
      <c r="HI45" s="145">
        <f>IF($HI$42="",0,IF($HI$42="Força",N(FICHA!$D$19),N(FICHA!$L$19)))</f>
        <v/>
      </c>
      <c r="KQ45" s="143" t="inlineStr">
        <is>
          <t>D361</t>
        </is>
      </c>
      <c r="KR45" s="145">
        <f>IF(DADOS_AM!$A$2&lt;&gt;1,"—","Incompleta"&amp;IF(DADOS_AM!$HI$34="Incompleta"," · a sua",""))</f>
        <v/>
      </c>
    </row>
    <row r="46">
      <c r="BC46" s="143" t="inlineStr">
        <is>
          <t>Abre Ferida</t>
        </is>
      </c>
      <c r="BD46" s="143" t="inlineStr">
        <is>
          <t>Auxiliares</t>
        </is>
      </c>
      <c r="BE46" s="145" t="n">
        <v>1</v>
      </c>
      <c r="BF46" s="145">
        <f>$BE46+3*IFERROR(VLOOKUP($BD46,$I$2:$L$10,3,FALSE),0)</f>
        <v/>
      </c>
      <c r="BG46" s="145">
        <f>IFERROR(VLOOKUP($BD46,$I$2:$L$10,4,FALSE),0)</f>
        <v/>
      </c>
      <c r="BH46" s="145" t="n">
        <v>0</v>
      </c>
      <c r="BI46" s="145">
        <f>IF($BG46=1,"",$BC46)</f>
        <v/>
      </c>
      <c r="BJ46" s="145">
        <f>IF(AND($BE46=1,$BG46=0),$BC46,"")</f>
        <v/>
      </c>
      <c r="HH46" s="143" t="inlineStr">
        <is>
          <t>valor do grupo 2</t>
        </is>
      </c>
      <c r="HI46" s="145">
        <f>IF($HI$43="",0,IF($HI$43="Força",N(FICHA!$D$19),N(FICHA!$L$19)))</f>
        <v/>
      </c>
      <c r="KQ46" s="143" t="inlineStr">
        <is>
          <t>F361</t>
        </is>
      </c>
      <c r="KR46" s="145">
        <f>IF(DADOS_AM!$A$2&lt;&gt;1,"—",6*DADOS_AM!$HI$4)</f>
        <v/>
      </c>
    </row>
    <row r="47">
      <c r="BC47" s="143" t="inlineStr">
        <is>
          <t>Sobrecarga</t>
        </is>
      </c>
      <c r="BD47" s="143" t="inlineStr">
        <is>
          <t>Auxiliares</t>
        </is>
      </c>
      <c r="BE47" s="145" t="n">
        <v>1</v>
      </c>
      <c r="BF47" s="145">
        <f>$BE47+3*IFERROR(VLOOKUP($BD47,$I$2:$L$10,3,FALSE),0)</f>
        <v/>
      </c>
      <c r="BG47" s="145">
        <f>IFERROR(VLOOKUP($BD47,$I$2:$L$10,4,FALSE),0)</f>
        <v/>
      </c>
      <c r="BH47" s="145" t="n">
        <v>0</v>
      </c>
      <c r="BI47" s="145">
        <f>IF($BG47=1,"",$BC47)</f>
        <v/>
      </c>
      <c r="BJ47" s="145">
        <f>IF(AND($BE47=1,$BG47=0),$BC47,"")</f>
        <v/>
      </c>
      <c r="HH47" s="143" t="inlineStr">
        <is>
          <t>valor do grupo 3</t>
        </is>
      </c>
      <c r="HI47" s="145">
        <f>IF($HI$44="",0,IF($HI$44="Força",N(FICHA!$D$19),N(FICHA!$L$19)))</f>
        <v/>
      </c>
      <c r="KQ47" s="143" t="inlineStr">
        <is>
          <t>G361</t>
        </is>
      </c>
      <c r="KR47" s="145">
        <f>IF(DADOS_AM!$A$2&lt;&gt;1,"—",DADOS_AM!$HI$32&amp;IF(DADOS_AM!$HI$32&gt;1," rodadas"," rodada"))</f>
        <v/>
      </c>
    </row>
    <row r="48">
      <c r="BC48" s="143" t="inlineStr">
        <is>
          <t>Firmeza</t>
        </is>
      </c>
      <c r="BD48" s="143" t="inlineStr">
        <is>
          <t>Auxiliares</t>
        </is>
      </c>
      <c r="BE48" s="145" t="n">
        <v>2</v>
      </c>
      <c r="BF48" s="145">
        <f>$BE48+3*IFERROR(VLOOKUP($BD48,$I$2:$L$10,3,FALSE),0)</f>
        <v/>
      </c>
      <c r="BG48" s="145">
        <f>IFERROR(VLOOKUP($BD48,$I$2:$L$10,4,FALSE),0)</f>
        <v/>
      </c>
      <c r="BH48" s="145" t="n">
        <v>0</v>
      </c>
      <c r="BI48" s="145">
        <f>IF($BG48=1,"",$BC48)</f>
        <v/>
      </c>
      <c r="BJ48" s="145">
        <f>IF(AND($BE48=1,$BG48=0),$BC48,"")</f>
        <v/>
      </c>
      <c r="HH48" s="143" t="inlineStr">
        <is>
          <t>atributos dos grupos</t>
        </is>
      </c>
      <c r="HI48" s="145">
        <f>IF(AND($HI$42&lt;&gt;""),1,0)+IF(AND($HI$43&lt;&gt;"",$HI$43&lt;&gt;$HI$42),1,0)+IF(AND($HI$44&lt;&gt;"",$HI$44&lt;&gt;$HI$42,$HI$44&lt;&gt;$HI$43),1,0)</f>
        <v/>
      </c>
      <c r="KQ48" s="143" t="inlineStr">
        <is>
          <t>J361</t>
        </is>
      </c>
      <c r="KR48" s="145">
        <f>IF(DADOS_AM!$A$2&lt;&gt;1,"—",SUBSTITUTE(MIN(7.5,1.5*DADOS_AM!$HI$6)&amp;" m",".",","))</f>
        <v/>
      </c>
    </row>
    <row r="49">
      <c r="BC49" s="143" t="inlineStr">
        <is>
          <t>Guarda</t>
        </is>
      </c>
      <c r="BD49" s="143" t="inlineStr">
        <is>
          <t>Auxiliares</t>
        </is>
      </c>
      <c r="BE49" s="145" t="n">
        <v>2</v>
      </c>
      <c r="BF49" s="145">
        <f>$BE49+3*IFERROR(VLOOKUP($BD49,$I$2:$L$10,3,FALSE),0)</f>
        <v/>
      </c>
      <c r="BG49" s="145">
        <f>IFERROR(VLOOKUP($BD49,$I$2:$L$10,4,FALSE),0)</f>
        <v/>
      </c>
      <c r="BH49" s="145" t="n">
        <v>0</v>
      </c>
      <c r="BI49" s="145">
        <f>IF($BG49=1,"",$BC49)</f>
        <v/>
      </c>
      <c r="BJ49" s="145">
        <f>IF(AND($BE49=1,$BG49=0),$BC49,"")</f>
        <v/>
      </c>
      <c r="HH49" s="143" t="inlineStr">
        <is>
          <t>usos do estímulo</t>
        </is>
      </c>
      <c r="HI49" s="145">
        <f>IF($HI$6&gt;=10,2,1)&amp;"× por cena"</f>
        <v/>
      </c>
      <c r="KQ49" s="143" t="inlineStr">
        <is>
          <t>K361</t>
        </is>
      </c>
      <c r="KR49" s="145">
        <f>IF(DADOS_AM!$A$2&lt;&gt;1,"—","−"&amp;DADOS_AM!$HI$33&amp;" PE")</f>
        <v/>
      </c>
    </row>
    <row r="50">
      <c r="BC50" s="143" t="inlineStr">
        <is>
          <t>Pressa</t>
        </is>
      </c>
      <c r="BD50" s="143" t="inlineStr">
        <is>
          <t>Auxiliares</t>
        </is>
      </c>
      <c r="BE50" s="145" t="n">
        <v>2</v>
      </c>
      <c r="BF50" s="145">
        <f>$BE50+3*IFERROR(VLOOKUP($BD50,$I$2:$L$10,3,FALSE),0)</f>
        <v/>
      </c>
      <c r="BG50" s="145">
        <f>IFERROR(VLOOKUP($BD50,$I$2:$L$10,4,FALSE),0)</f>
        <v/>
      </c>
      <c r="BH50" s="145" t="n">
        <v>0</v>
      </c>
      <c r="BI50" s="145">
        <f>IF($BG50=1,"",$BC50)</f>
        <v/>
      </c>
      <c r="BJ50" s="145">
        <f>IF(AND($BE50=1,$BG50=0),$BC50,"")</f>
        <v/>
      </c>
      <c r="KQ50" s="143" t="inlineStr">
        <is>
          <t>D362</t>
        </is>
      </c>
      <c r="KR50" s="145">
        <f>IF(DADOS_AM!$A$2&lt;&gt;1,"—","Completa"&amp;IF(OR(DADOS_AM!$HI$34="Completa",DADOS_AM!$HI$34="Sem Barreiras")," · a sua",""))</f>
        <v/>
      </c>
    </row>
    <row r="51">
      <c r="BC51" s="143" t="inlineStr">
        <is>
          <t>Enfraquece</t>
        </is>
      </c>
      <c r="BD51" s="143" t="inlineStr">
        <is>
          <t>Auxiliares</t>
        </is>
      </c>
      <c r="BE51" s="145" t="n">
        <v>2</v>
      </c>
      <c r="BF51" s="145">
        <f>$BE51+3*IFERROR(VLOOKUP($BD51,$I$2:$L$10,3,FALSE),0)</f>
        <v/>
      </c>
      <c r="BG51" s="145">
        <f>IFERROR(VLOOKUP($BD51,$I$2:$L$10,4,FALSE),0)</f>
        <v/>
      </c>
      <c r="BH51" s="145" t="n">
        <v>0</v>
      </c>
      <c r="BI51" s="145">
        <f>IF($BG51=1,"",$BC51)</f>
        <v/>
      </c>
      <c r="BJ51" s="145">
        <f>IF(AND($BE51=1,$BG51=0),$BC51,"")</f>
        <v/>
      </c>
      <c r="KQ51" s="143" t="inlineStr">
        <is>
          <t>F362</t>
        </is>
      </c>
      <c r="KR51" s="145">
        <f>IF(DADOS_AM!$A$2&lt;&gt;1,"—",6*DADOS_AM!$HI$4)</f>
        <v/>
      </c>
    </row>
    <row r="52">
      <c r="BC52" s="143" t="inlineStr">
        <is>
          <t>Ecoa</t>
        </is>
      </c>
      <c r="BD52" s="143" t="inlineStr">
        <is>
          <t>Auxiliares</t>
        </is>
      </c>
      <c r="BE52" s="145" t="n">
        <v>2</v>
      </c>
      <c r="BF52" s="145">
        <f>$BE52+3*IFERROR(VLOOKUP($BD52,$I$2:$L$10,3,FALSE),0)</f>
        <v/>
      </c>
      <c r="BG52" s="145">
        <f>IFERROR(VLOOKUP($BD52,$I$2:$L$10,4,FALSE),0)</f>
        <v/>
      </c>
      <c r="BH52" s="145" t="n">
        <v>0</v>
      </c>
      <c r="BI52" s="145">
        <f>IF($BG52=1,"",$BC52)</f>
        <v/>
      </c>
      <c r="BJ52" s="145">
        <f>IF(AND($BE52=1,$BG52=0),$BC52,"")</f>
        <v/>
      </c>
      <c r="KQ52" s="143" t="inlineStr">
        <is>
          <t>G362</t>
        </is>
      </c>
      <c r="KR52" s="145">
        <f>IF(DADOS_AM!$A$2&lt;&gt;1,"—",DADOS_AM!$HI$32&amp;IF(DADOS_AM!$HI$32&gt;1," rodadas"," rodada"))</f>
        <v/>
      </c>
    </row>
    <row r="53">
      <c r="BC53" s="143" t="inlineStr">
        <is>
          <t>Queima</t>
        </is>
      </c>
      <c r="BD53" s="143" t="inlineStr">
        <is>
          <t>Castigo</t>
        </is>
      </c>
      <c r="BE53" s="145" t="n">
        <v>2</v>
      </c>
      <c r="BF53" s="145">
        <f>$BE53+3*IFERROR(VLOOKUP($BD53,$I$2:$L$10,3,FALSE),0)</f>
        <v/>
      </c>
      <c r="BG53" s="145">
        <f>IFERROR(VLOOKUP($BD53,$I$2:$L$10,4,FALSE),0)</f>
        <v/>
      </c>
      <c r="BH53" s="145" t="n">
        <v>0</v>
      </c>
      <c r="BI53" s="145">
        <f>IF($BG53=1,"",$BC53)</f>
        <v/>
      </c>
      <c r="BJ53" s="145">
        <f>IF(AND($BE53=1,$BG53=0),$BC53,"")</f>
        <v/>
      </c>
      <c r="KQ53" s="143" t="inlineStr">
        <is>
          <t>J362</t>
        </is>
      </c>
      <c r="KR53" s="145">
        <f>IF(DADOS_AM!$A$2&lt;&gt;1,"—",SUBSTITUTE(1.5*DADOS_AM!$HI$6&amp;" m",".",","))</f>
        <v/>
      </c>
    </row>
    <row r="54">
      <c r="BC54" s="143" t="inlineStr">
        <is>
          <t>Acúmulo</t>
        </is>
      </c>
      <c r="BD54" s="143" t="inlineStr">
        <is>
          <t>Castigo</t>
        </is>
      </c>
      <c r="BE54" s="145" t="n">
        <v>2</v>
      </c>
      <c r="BF54" s="145">
        <f>$BE54+3*IFERROR(VLOOKUP($BD54,$I$2:$L$10,3,FALSE),0)</f>
        <v/>
      </c>
      <c r="BG54" s="145">
        <f>IFERROR(VLOOKUP($BD54,$I$2:$L$10,4,FALSE),0)</f>
        <v/>
      </c>
      <c r="BH54" s="145" t="n">
        <v>0</v>
      </c>
      <c r="BI54" s="145">
        <f>IF($BG54=1,"",$BC54)</f>
        <v/>
      </c>
      <c r="BJ54" s="145">
        <f>IF(AND($BE54=1,$BG54=0),$BC54,"")</f>
        <v/>
      </c>
      <c r="KQ54" s="143" t="inlineStr">
        <is>
          <t>K362</t>
        </is>
      </c>
      <c r="KR54" s="145">
        <f>IF(DADOS_AM!$A$2&lt;&gt;1,"—","−"&amp;DADOS_AM!$HI$32&amp;" PE")</f>
        <v/>
      </c>
    </row>
    <row r="55">
      <c r="BC55" s="143" t="inlineStr">
        <is>
          <t>Remate</t>
        </is>
      </c>
      <c r="BD55" s="143" t="inlineStr">
        <is>
          <t>Castigo</t>
        </is>
      </c>
      <c r="BE55" s="145" t="n">
        <v>2</v>
      </c>
      <c r="BF55" s="145">
        <f>$BE55+3*IFERROR(VLOOKUP($BD55,$I$2:$L$10,3,FALSE),0)</f>
        <v/>
      </c>
      <c r="BG55" s="145">
        <f>IFERROR(VLOOKUP($BD55,$I$2:$L$10,4,FALSE),0)</f>
        <v/>
      </c>
      <c r="BH55" s="145" t="n">
        <v>0</v>
      </c>
      <c r="BI55" s="145">
        <f>IF($BG55=1,"",$BC55)</f>
        <v/>
      </c>
      <c r="BJ55" s="145">
        <f>IF(AND($BE55=1,$BG55=0),$BC55,"")</f>
        <v/>
      </c>
      <c r="KQ55" s="143" t="inlineStr">
        <is>
          <t>L362</t>
        </is>
      </c>
      <c r="KR55" s="145">
        <f>IF(DADOS_AM!$A$2&lt;&gt;1,"—",50*DADOS_AM!$HI$32&amp;" de vida")</f>
        <v/>
      </c>
    </row>
    <row r="56">
      <c r="BC56" s="143" t="inlineStr">
        <is>
          <t>Estilhaço</t>
        </is>
      </c>
      <c r="BD56" s="143" t="inlineStr">
        <is>
          <t>Castigo</t>
        </is>
      </c>
      <c r="BE56" s="145" t="n">
        <v>1</v>
      </c>
      <c r="BF56" s="145">
        <f>$BE56+3*IFERROR(VLOOKUP($BD56,$I$2:$L$10,3,FALSE),0)</f>
        <v/>
      </c>
      <c r="BG56" s="145">
        <f>IFERROR(VLOOKUP($BD56,$I$2:$L$10,4,FALSE),0)</f>
        <v/>
      </c>
      <c r="BH56" s="145" t="n">
        <v>0</v>
      </c>
      <c r="BI56" s="145">
        <f>IF($BG56=1,"",$BC56)</f>
        <v/>
      </c>
      <c r="BJ56" s="145">
        <f>IF(AND($BE56=1,$BG56=0),$BC56,"")</f>
        <v/>
      </c>
      <c r="KQ56" s="143" t="inlineStr">
        <is>
          <t>D363</t>
        </is>
      </c>
      <c r="KR56" s="145">
        <f>IF(DADOS_AM!$A$2&lt;&gt;1,"—","Sem barreira"&amp;IF(DADOS_AM!$HI$34="Sem Barreiras"," · a sua",""))</f>
        <v/>
      </c>
    </row>
    <row r="57">
      <c r="BC57" s="143" t="inlineStr">
        <is>
          <t>Quebra Coisa</t>
        </is>
      </c>
      <c r="BD57" s="143" t="inlineStr">
        <is>
          <t>Castigo</t>
        </is>
      </c>
      <c r="BE57" s="145" t="n">
        <v>1</v>
      </c>
      <c r="BF57" s="145">
        <f>$BE57+3*IFERROR(VLOOKUP($BD57,$I$2:$L$10,3,FALSE),0)</f>
        <v/>
      </c>
      <c r="BG57" s="145">
        <f>IFERROR(VLOOKUP($BD57,$I$2:$L$10,4,FALSE),0)</f>
        <v/>
      </c>
      <c r="BH57" s="145" t="n">
        <v>0</v>
      </c>
      <c r="BI57" s="145">
        <f>IF($BG57=1,"",$BC57)</f>
        <v/>
      </c>
      <c r="BJ57" s="145">
        <f>IF(AND($BE57=1,$BG57=0),$BC57,"")</f>
        <v/>
      </c>
      <c r="KQ57" s="143" t="inlineStr">
        <is>
          <t>F363</t>
        </is>
      </c>
      <c r="KR57" s="145">
        <f>IF(DADOS_AM!$A$2&lt;&gt;1,"—",7*DADOS_AM!$HI$4)</f>
        <v/>
      </c>
    </row>
    <row r="58">
      <c r="BC58" s="143" t="inlineStr">
        <is>
          <t>Rasga Escudo</t>
        </is>
      </c>
      <c r="BD58" s="143" t="inlineStr">
        <is>
          <t>Castigo</t>
        </is>
      </c>
      <c r="BE58" s="145" t="n">
        <v>2</v>
      </c>
      <c r="BF58" s="145">
        <f>$BE58+3*IFERROR(VLOOKUP($BD58,$I$2:$L$10,3,FALSE),0)</f>
        <v/>
      </c>
      <c r="BG58" s="145">
        <f>IFERROR(VLOOKUP($BD58,$I$2:$L$10,4,FALSE),0)</f>
        <v/>
      </c>
      <c r="BH58" s="145" t="n">
        <v>0</v>
      </c>
      <c r="BI58" s="145">
        <f>IF($BG58=1,"",$BC58)</f>
        <v/>
      </c>
      <c r="BJ58" s="145">
        <f>IF(AND($BE58=1,$BG58=0),$BC58,"")</f>
        <v/>
      </c>
      <c r="KQ58" s="143" t="inlineStr">
        <is>
          <t>G363</t>
        </is>
      </c>
      <c r="KR58" s="145">
        <f>IF(DADOS_AM!$A$2&lt;&gt;1,"—",DADOS_AM!$HI$32&amp;IF(DADOS_AM!$HI$32&gt;1," rodadas"," rodada"))</f>
        <v/>
      </c>
    </row>
    <row r="59">
      <c r="BC59" s="143" t="inlineStr">
        <is>
          <t>Sem Cura</t>
        </is>
      </c>
      <c r="BD59" s="143" t="inlineStr">
        <is>
          <t>Castigo</t>
        </is>
      </c>
      <c r="BE59" s="145" t="n">
        <v>2</v>
      </c>
      <c r="BF59" s="145">
        <f>$BE59+3*IFERROR(VLOOKUP($BD59,$I$2:$L$10,3,FALSE),0)</f>
        <v/>
      </c>
      <c r="BG59" s="145">
        <f>IFERROR(VLOOKUP($BD59,$I$2:$L$10,4,FALSE),0)</f>
        <v/>
      </c>
      <c r="BH59" s="145" t="n">
        <v>0</v>
      </c>
      <c r="BI59" s="145">
        <f>IF($BG59=1,"",$BC59)</f>
        <v/>
      </c>
      <c r="BJ59" s="145">
        <f>IF(AND($BE59=1,$BG59=0),$BC59,"")</f>
        <v/>
      </c>
      <c r="KQ59" s="143" t="inlineStr">
        <is>
          <t>K363</t>
        </is>
      </c>
      <c r="KR59" s="145">
        <f>IF(DADOS_AM!$A$2&lt;&gt;1,"—","−"&amp;2*DADOS_AM!$HI$3&amp;" PE")</f>
        <v/>
      </c>
    </row>
    <row r="60">
      <c r="BC60" s="143" t="inlineStr">
        <is>
          <t>Rápido</t>
        </is>
      </c>
      <c r="BD60" s="143" t="inlineStr">
        <is>
          <t>Tempo</t>
        </is>
      </c>
      <c r="BE60" s="145" t="n">
        <v>3</v>
      </c>
      <c r="BF60" s="145">
        <f>$BE60+3*IFERROR(VLOOKUP($BD60,$I$2:$L$10,3,FALSE),0)</f>
        <v/>
      </c>
      <c r="BG60" s="145">
        <f>IFERROR(VLOOKUP($BD60,$I$2:$L$10,4,FALSE),0)</f>
        <v/>
      </c>
      <c r="BH60" s="145" t="n">
        <v>0</v>
      </c>
      <c r="BI60" s="145">
        <f>IF($BG60=1,"",$BC60)</f>
        <v/>
      </c>
      <c r="BJ60" s="145">
        <f>IF(AND($BE60=1,$BG60=0),$BC60,"")</f>
        <v/>
      </c>
      <c r="KQ60" s="143" t="inlineStr">
        <is>
          <t>D421</t>
        </is>
      </c>
      <c r="KR60" s="145">
        <f>UPPER(INDEX(DADOS_AM!$D$6:$G$6,1,DADOS_AM!$A$2)&amp;" e "&amp;INDEX(DADOS_AM!$D$7:$G$7,1,DADOS_AM!$A$2))</f>
        <v/>
      </c>
    </row>
    <row r="61">
      <c r="BC61" s="143" t="inlineStr">
        <is>
          <t>Reação</t>
        </is>
      </c>
      <c r="BD61" s="143" t="inlineStr">
        <is>
          <t>Tempo</t>
        </is>
      </c>
      <c r="BE61" s="145" t="n">
        <v>3</v>
      </c>
      <c r="BF61" s="145">
        <f>$BE61+3*IFERROR(VLOOKUP($BD61,$I$2:$L$10,3,FALSE),0)</f>
        <v/>
      </c>
      <c r="BG61" s="145">
        <f>IFERROR(VLOOKUP($BD61,$I$2:$L$10,4,FALSE),0)</f>
        <v/>
      </c>
      <c r="BH61" s="145" t="n">
        <v>0</v>
      </c>
      <c r="BI61" s="145">
        <f>IF($BG61=1,"",$BC61)</f>
        <v/>
      </c>
      <c r="BJ61" s="145">
        <f>IF(AND($BE61=1,$BG61=0),$BC61,"")</f>
        <v/>
      </c>
      <c r="KQ61" s="143" t="inlineStr">
        <is>
          <t>D423</t>
        </is>
      </c>
      <c r="KR61" s="145">
        <f>UPPER(INDEX(DADOS_AM!$D$7:$G$7,1,DADOS_AM!$A$2))</f>
        <v/>
      </c>
    </row>
    <row r="62">
      <c r="BC62" s="143" t="inlineStr">
        <is>
          <t>Armado</t>
        </is>
      </c>
      <c r="BD62" s="143" t="inlineStr">
        <is>
          <t>Tempo</t>
        </is>
      </c>
      <c r="BE62" s="145" t="n">
        <v>1</v>
      </c>
      <c r="BF62" s="145">
        <f>$BE62+3*IFERROR(VLOOKUP($BD62,$I$2:$L$10,3,FALSE),0)</f>
        <v/>
      </c>
      <c r="BG62" s="145">
        <f>IFERROR(VLOOKUP($BD62,$I$2:$L$10,4,FALSE),0)</f>
        <v/>
      </c>
      <c r="BH62" s="145" t="n">
        <v>0</v>
      </c>
      <c r="BI62" s="145">
        <f>IF($BG62=1,"",$BC62)</f>
        <v/>
      </c>
      <c r="BJ62" s="145">
        <f>IF(AND($BE62=1,$BG62=0),$BC62,"")</f>
        <v/>
      </c>
      <c r="KQ62" s="143" t="inlineStr">
        <is>
          <t>F424</t>
        </is>
      </c>
      <c r="KR62" s="145">
        <f>IF(DADOS_AM!$HI$25&gt;DADOS_AM!$HI$26,"⚠ ","")&amp;DADOS_AM!$HI$25&amp;" de "&amp;DADOS_AM!$HI$26</f>
        <v/>
      </c>
    </row>
    <row r="63">
      <c r="BC63" s="143" t="inlineStr">
        <is>
          <t>Silencioso</t>
        </is>
      </c>
      <c r="BD63" s="143" t="inlineStr">
        <is>
          <t>Tempo</t>
        </is>
      </c>
      <c r="BE63" s="145" t="n">
        <v>1</v>
      </c>
      <c r="BF63" s="145">
        <f>$BE63+3*IFERROR(VLOOKUP($BD63,$I$2:$L$10,3,FALSE),0)</f>
        <v/>
      </c>
      <c r="BG63" s="145">
        <f>IFERROR(VLOOKUP($BD63,$I$2:$L$10,4,FALSE),0)</f>
        <v/>
      </c>
      <c r="BH63" s="145" t="n">
        <v>0</v>
      </c>
      <c r="BI63" s="145">
        <f>IF($BG63=1,"",$BC63)</f>
        <v/>
      </c>
      <c r="BJ63" s="145">
        <f>IF(AND($BE63=1,$BG63=0),$BC63,"")</f>
        <v/>
      </c>
      <c r="KQ63" s="143" t="inlineStr">
        <is>
          <t>J423</t>
        </is>
      </c>
      <c r="KR63" s="145">
        <f>UPPER(INDEX(DADOS_AM!$D$9:$G$9,1,DADOS_AM!$A$2))</f>
        <v/>
      </c>
    </row>
    <row r="64">
      <c r="BC64" s="143" t="inlineStr">
        <is>
          <t>Adianta</t>
        </is>
      </c>
      <c r="BD64" s="143" t="inlineStr">
        <is>
          <t>Tempo</t>
        </is>
      </c>
      <c r="BE64" s="145" t="n">
        <v>2</v>
      </c>
      <c r="BF64" s="145">
        <f>$BE64+3*IFERROR(VLOOKUP($BD64,$I$2:$L$10,3,FALSE),0)</f>
        <v/>
      </c>
      <c r="BG64" s="145">
        <f>IFERROR(VLOOKUP($BD64,$I$2:$L$10,4,FALSE),0)</f>
        <v/>
      </c>
      <c r="BH64" s="145" t="n">
        <v>0</v>
      </c>
      <c r="BI64" s="145">
        <f>IF($BG64=1,"",$BC64)</f>
        <v/>
      </c>
      <c r="BJ64" s="145">
        <f>IF(AND($BE64=1,$BG64=0),$BC64,"")</f>
        <v/>
      </c>
      <c r="KQ64" s="143" t="inlineStr">
        <is>
          <t>J424</t>
        </is>
      </c>
      <c r="KR64" s="145">
        <f>"Proteção "&amp;(FLOOR(DADOS_AM!$HI$6/3,1)+1)</f>
        <v/>
      </c>
    </row>
    <row r="65">
      <c r="BC65" s="143" t="inlineStr">
        <is>
          <t>Segura</t>
        </is>
      </c>
      <c r="BD65" s="143" t="inlineStr">
        <is>
          <t>Tempo</t>
        </is>
      </c>
      <c r="BE65" s="145" t="n">
        <v>1</v>
      </c>
      <c r="BF65" s="145">
        <f>$BE65+3*IFERROR(VLOOKUP($BD65,$I$2:$L$10,3,FALSE),0)</f>
        <v/>
      </c>
      <c r="BG65" s="145">
        <f>IFERROR(VLOOKUP($BD65,$I$2:$L$10,4,FALSE),0)</f>
        <v/>
      </c>
      <c r="BH65" s="145" t="n">
        <v>0</v>
      </c>
      <c r="BI65" s="145">
        <f>IF($BG65=1,"",$BC65)</f>
        <v/>
      </c>
      <c r="BJ65" s="145">
        <f>IF(AND($BE65=1,$BG65=0),$BC65,"")</f>
        <v/>
      </c>
      <c r="KQ65" s="143" t="inlineStr">
        <is>
          <t>L423</t>
        </is>
      </c>
      <c r="KR65" s="145">
        <f>UPPER(INDEX(DADOS_AM!$D$10:$G$10,1,DADOS_AM!$A$2))</f>
        <v/>
      </c>
    </row>
    <row r="66">
      <c r="BC66" s="143" t="inlineStr">
        <is>
          <t>Concentrada</t>
        </is>
      </c>
      <c r="BD66" s="143" t="inlineStr">
        <is>
          <t>Tempo</t>
        </is>
      </c>
      <c r="BE66" s="145" t="n">
        <v>1</v>
      </c>
      <c r="BF66" s="145">
        <f>$BE66+3*IFERROR(VLOOKUP($BD66,$I$2:$L$10,3,FALSE),0)</f>
        <v/>
      </c>
      <c r="BG66" s="145">
        <f>IFERROR(VLOOKUP($BD66,$I$2:$L$10,4,FALSE),0)</f>
        <v/>
      </c>
      <c r="BH66" s="145" t="n">
        <v>0</v>
      </c>
      <c r="BI66" s="145">
        <f>IF($BG66=1,"",$BC66)</f>
        <v/>
      </c>
      <c r="BJ66" s="145">
        <f>IF(AND($BE66=1,$BG66=0),$BC66,"")</f>
        <v/>
      </c>
      <c r="KQ66" s="143" t="inlineStr">
        <is>
          <t>L424</t>
        </is>
      </c>
      <c r="KR66" s="145">
        <f>"+"&amp;IF(DADOS_AM!$HI$6&gt;=9,4,IF(DADOS_AM!$HI$6&gt;=6,3,IF(DADOS_AM!$HI$6&gt;=3,2,1)))&amp;IF(DADOS_AM!$HI$6&gt;=10,"d6","d4")&amp;" na arma"</f>
        <v/>
      </c>
    </row>
    <row r="67">
      <c r="BC67" s="143" t="inlineStr">
        <is>
          <t>Duradoura</t>
        </is>
      </c>
      <c r="BD67" s="143" t="inlineStr">
        <is>
          <t>Tempo</t>
        </is>
      </c>
      <c r="BE67" s="145" t="n">
        <v>2</v>
      </c>
      <c r="BF67" s="145">
        <f>$BE67+3*IFERROR(VLOOKUP($BD67,$I$2:$L$10,3,FALSE),0)</f>
        <v/>
      </c>
      <c r="BG67" s="145">
        <f>IFERROR(VLOOKUP($BD67,$I$2:$L$10,4,FALSE),0)</f>
        <v/>
      </c>
      <c r="BH67" s="145" t="n">
        <v>0</v>
      </c>
      <c r="BI67" s="145">
        <f>IF($BG67=1,"",$BC67)</f>
        <v/>
      </c>
      <c r="BJ67" s="145">
        <f>IF(AND($BE67=1,$BG67=0),$BC67,"")</f>
        <v/>
      </c>
      <c r="KQ67" s="143" t="inlineStr">
        <is>
          <t>P423</t>
        </is>
      </c>
      <c r="KR67" s="145">
        <f>UPPER(INDEX(DADOS_AM!$D$11:$G$11,1,DADOS_AM!$A$2))</f>
        <v/>
      </c>
    </row>
    <row r="68">
      <c r="BC68" s="143" t="inlineStr">
        <is>
          <t>Marca</t>
        </is>
      </c>
      <c r="BD68" s="143" t="inlineStr">
        <is>
          <t>Marca</t>
        </is>
      </c>
      <c r="BE68" s="145" t="n">
        <v>1</v>
      </c>
      <c r="BF68" s="145">
        <f>$BE68+3*IFERROR(VLOOKUP($BD68,$I$2:$L$10,3,FALSE),0)</f>
        <v/>
      </c>
      <c r="BG68" s="145">
        <f>IFERROR(VLOOKUP($BD68,$I$2:$L$10,4,FALSE),0)</f>
        <v/>
      </c>
      <c r="BH68" s="145" t="n">
        <v>0</v>
      </c>
      <c r="BI68" s="145">
        <f>IF($BG68=1,"",$BC68)</f>
        <v/>
      </c>
      <c r="BJ68" s="145">
        <f>IF(AND($BE68=1,$BG68=0),$BC68,"")</f>
        <v/>
      </c>
      <c r="KQ68" s="143" t="inlineStr">
        <is>
          <t>P424</t>
        </is>
      </c>
      <c r="KR68" s="145">
        <f>"RD "&amp;FLOOR(1.5*DADOS_AM!$HI$6,1)&amp;" por 2 PE"</f>
        <v/>
      </c>
    </row>
    <row r="69">
      <c r="BC69" s="143" t="inlineStr">
        <is>
          <t>Alvo de Caça</t>
        </is>
      </c>
      <c r="BD69" s="143" t="inlineStr">
        <is>
          <t>Marca</t>
        </is>
      </c>
      <c r="BE69" s="145" t="n">
        <v>1</v>
      </c>
      <c r="BF69" s="145">
        <f>$BE69+3*IFERROR(VLOOKUP($BD69,$I$2:$L$10,3,FALSE),0)</f>
        <v/>
      </c>
      <c r="BG69" s="145">
        <f>IFERROR(VLOOKUP($BD69,$I$2:$L$10,4,FALSE),0)</f>
        <v/>
      </c>
      <c r="BH69" s="145" t="n">
        <v>0</v>
      </c>
      <c r="BI69" s="145">
        <f>IF($BG69=1,"",$BC69)</f>
        <v/>
      </c>
      <c r="BJ69" s="145">
        <f>IF(AND($BE69=1,$BG69=0),$BC69,"")</f>
        <v/>
      </c>
      <c r="KQ69" s="143" t="inlineStr">
        <is>
          <t>D427</t>
        </is>
      </c>
      <c r="KR69" s="145">
        <f>IF(DADOS_AM!$A$2=4,"ESTÍMULO: PERÍCIA","—")</f>
        <v/>
      </c>
    </row>
    <row r="70">
      <c r="BC70" s="143" t="inlineStr">
        <is>
          <t>Rastro</t>
        </is>
      </c>
      <c r="BD70" s="143" t="inlineStr">
        <is>
          <t>Marca</t>
        </is>
      </c>
      <c r="BE70" s="145" t="n">
        <v>1</v>
      </c>
      <c r="BF70" s="145">
        <f>$BE70+3*IFERROR(VLOOKUP($BD70,$I$2:$L$10,3,FALSE),0)</f>
        <v/>
      </c>
      <c r="BG70" s="145">
        <f>IFERROR(VLOOKUP($BD70,$I$2:$L$10,4,FALSE),0)</f>
        <v/>
      </c>
      <c r="BH70" s="145" t="n">
        <v>0</v>
      </c>
      <c r="BI70" s="145">
        <f>IF($BG70=1,"",$BC70)</f>
        <v/>
      </c>
      <c r="BJ70" s="145">
        <f>IF(AND($BE70=1,$BG70=0),$BC70,"")</f>
        <v/>
      </c>
      <c r="KQ70" s="143" t="inlineStr">
        <is>
          <t>J427</t>
        </is>
      </c>
      <c r="KR70" s="145">
        <f>IF(DADOS_AM!$A$2=4,"ESTÍMULO: TESTE DE RESISTÊNCIA","—")</f>
        <v/>
      </c>
    </row>
    <row r="71">
      <c r="BC71" s="143" t="inlineStr">
        <is>
          <t>Isca</t>
        </is>
      </c>
      <c r="BD71" s="143" t="inlineStr">
        <is>
          <t>Marca</t>
        </is>
      </c>
      <c r="BE71" s="145" t="n">
        <v>1</v>
      </c>
      <c r="BF71" s="145">
        <f>$BE71+3*IFERROR(VLOOKUP($BD71,$I$2:$L$10,3,FALSE),0)</f>
        <v/>
      </c>
      <c r="BG71" s="145">
        <f>IFERROR(VLOOKUP($BD71,$I$2:$L$10,4,FALSE),0)</f>
        <v/>
      </c>
      <c r="BH71" s="145" t="n">
        <v>0</v>
      </c>
      <c r="BI71" s="145">
        <f>IF($BG71=1,"",$BC71)</f>
        <v/>
      </c>
      <c r="BJ71" s="145">
        <f>IF(AND($BE71=1,$BG71=0),$BC71,"")</f>
        <v/>
      </c>
      <c r="KQ71" s="143" t="inlineStr">
        <is>
          <t>P427</t>
        </is>
      </c>
      <c r="KR71" s="145">
        <f>IF(DADOS_AM!$A$2=4,"ESTÍMULO: USOS","—")</f>
        <v/>
      </c>
    </row>
    <row r="72">
      <c r="BC72" s="143" t="inlineStr">
        <is>
          <t>Sugar</t>
        </is>
      </c>
      <c r="BD72" s="143" t="inlineStr">
        <is>
          <t>Marca</t>
        </is>
      </c>
      <c r="BE72" s="145" t="n">
        <v>2</v>
      </c>
      <c r="BF72" s="145">
        <f>$BE72+3*IFERROR(VLOOKUP($BD72,$I$2:$L$10,3,FALSE),0)</f>
        <v/>
      </c>
      <c r="BG72" s="145">
        <f>IFERROR(VLOOKUP($BD72,$I$2:$L$10,4,FALSE),0)</f>
        <v/>
      </c>
      <c r="BH72" s="145" t="n">
        <v>0</v>
      </c>
      <c r="BI72" s="145">
        <f>IF($BG72=1,"",$BC72)</f>
        <v/>
      </c>
      <c r="BJ72" s="145">
        <f>IF(AND($BE72=1,$BG72=0),$BC72,"")</f>
        <v/>
      </c>
      <c r="KQ72" s="143" t="inlineStr">
        <is>
          <t>P428</t>
        </is>
      </c>
      <c r="KR72" s="145">
        <f>IF(DADOS_AM!$A$2=4,DADOS_AM!$HI$49,"—")</f>
        <v/>
      </c>
    </row>
    <row r="73">
      <c r="BC73" s="143" t="inlineStr">
        <is>
          <t>Cobrança</t>
        </is>
      </c>
      <c r="BD73" s="143" t="inlineStr">
        <is>
          <t>Marca</t>
        </is>
      </c>
      <c r="BE73" s="145" t="n">
        <v>2</v>
      </c>
      <c r="BF73" s="145">
        <f>$BE73+3*IFERROR(VLOOKUP($BD73,$I$2:$L$10,3,FALSE),0)</f>
        <v/>
      </c>
      <c r="BG73" s="145">
        <f>IFERROR(VLOOKUP($BD73,$I$2:$L$10,4,FALSE),0)</f>
        <v/>
      </c>
      <c r="BH73" s="145" t="n">
        <v>0</v>
      </c>
      <c r="BI73" s="145">
        <f>IF($BG73=1,"",$BC73)</f>
        <v/>
      </c>
      <c r="BJ73" s="145">
        <f>IF(AND($BE73=1,$BG73=0),$BC73,"")</f>
        <v/>
      </c>
      <c r="KQ73" s="143" t="inlineStr">
        <is>
          <t>D446</t>
        </is>
      </c>
      <c r="KR73" s="145">
        <f>UPPER(INDEX(DADOS_AM!$D$8:$G$8,1,DADOS_AM!$A$2))</f>
        <v/>
      </c>
    </row>
    <row r="74">
      <c r="BC74" s="143" t="inlineStr">
        <is>
          <t>Identificar Feitiço</t>
        </is>
      </c>
      <c r="BD74" s="143" t="inlineStr">
        <is>
          <t>Marca</t>
        </is>
      </c>
      <c r="BE74" s="145" t="n">
        <v>1</v>
      </c>
      <c r="BF74" s="145">
        <f>$BE74+3*IFERROR(VLOOKUP($BD74,$I$2:$L$10,3,FALSE),0)</f>
        <v/>
      </c>
      <c r="BG74" s="145">
        <f>IFERROR(VLOOKUP($BD74,$I$2:$L$10,4,FALSE),0)</f>
        <v/>
      </c>
      <c r="BH74" s="145" t="n">
        <v>0</v>
      </c>
      <c r="BI74" s="145">
        <f>IF($BG74=1,"",$BC74)</f>
        <v/>
      </c>
      <c r="BJ74" s="145">
        <f>IF(AND($BE74=1,$BG74=0),$BC74,"")</f>
        <v/>
      </c>
      <c r="KQ74" s="143" t="inlineStr">
        <is>
          <t>J446</t>
        </is>
      </c>
      <c r="KR74" s="145">
        <f>UPPER(INDEX(DADOS_AM!$D$8:$G$8,1,DADOS_AM!$A$2))</f>
        <v/>
      </c>
    </row>
    <row r="75">
      <c r="BC75" s="143" t="inlineStr">
        <is>
          <t>Limpa</t>
        </is>
      </c>
      <c r="BD75" s="143" t="inlineStr">
        <is>
          <t>Amparo</t>
        </is>
      </c>
      <c r="BE75" s="145" t="n">
        <v>2</v>
      </c>
      <c r="BF75" s="145">
        <f>$BE75+3*IFERROR(VLOOKUP($BD75,$I$2:$L$10,3,FALSE),0)</f>
        <v/>
      </c>
      <c r="BG75" s="145">
        <f>IFERROR(VLOOKUP($BD75,$I$2:$L$10,4,FALSE),0)</f>
        <v/>
      </c>
      <c r="BH75" s="145" t="n">
        <v>0</v>
      </c>
      <c r="BI75" s="145">
        <f>IF($BG75=1,"",$BC75)</f>
        <v/>
      </c>
      <c r="BJ75" s="145">
        <f>IF(AND($BE75=1,$BG75=0),$BC75,"")</f>
        <v/>
      </c>
      <c r="KQ75" s="143" t="inlineStr">
        <is>
          <t>P446</t>
        </is>
      </c>
      <c r="KR75" s="145">
        <f>UPPER(INDEX(DADOS_AM!$D$8:$G$8,1,DADOS_AM!$A$2))</f>
        <v/>
      </c>
    </row>
    <row r="76">
      <c r="BC76" s="143" t="inlineStr">
        <is>
          <t>Limpa Fundo</t>
        </is>
      </c>
      <c r="BD76" s="143" t="inlineStr">
        <is>
          <t>Amparo</t>
        </is>
      </c>
      <c r="BE76" s="145" t="n">
        <v>3</v>
      </c>
      <c r="BF76" s="145">
        <f>$BE76+3*IFERROR(VLOOKUP($BD76,$I$2:$L$10,3,FALSE),0)</f>
        <v/>
      </c>
      <c r="BG76" s="145">
        <f>IFERROR(VLOOKUP($BD76,$I$2:$L$10,4,FALSE),0)</f>
        <v/>
      </c>
      <c r="BH76" s="145" t="n">
        <v>0</v>
      </c>
      <c r="BI76" s="145">
        <f>IF($BG76=1,"",$BC76)</f>
        <v/>
      </c>
      <c r="BJ76" s="145">
        <f>IF(AND($BE76=1,$BG76=0),$BC76,"")</f>
        <v/>
      </c>
      <c r="KQ76" s="143" t="inlineStr">
        <is>
          <t>D466</t>
        </is>
      </c>
      <c r="KR76" s="145">
        <f>UPPER(INDEX(DADOS_AM!$D$8:$G$8,1,DADOS_AM!$A$2))</f>
        <v/>
      </c>
    </row>
    <row r="77">
      <c r="BC77" s="143" t="inlineStr">
        <is>
          <t>Levanta</t>
        </is>
      </c>
      <c r="BD77" s="143" t="inlineStr">
        <is>
          <t>Amparo</t>
        </is>
      </c>
      <c r="BE77" s="145" t="n">
        <v>3</v>
      </c>
      <c r="BF77" s="145">
        <f>$BE77+3*IFERROR(VLOOKUP($BD77,$I$2:$L$10,3,FALSE),0)</f>
        <v/>
      </c>
      <c r="BG77" s="145">
        <f>IFERROR(VLOOKUP($BD77,$I$2:$L$10,4,FALSE),0)</f>
        <v/>
      </c>
      <c r="BH77" s="145" t="n">
        <v>0</v>
      </c>
      <c r="BI77" s="145">
        <f>IF($BG77=1,"",$BC77)</f>
        <v/>
      </c>
      <c r="BJ77" s="145">
        <f>IF(AND($BE77=1,$BG77=0),$BC77,"")</f>
        <v/>
      </c>
      <c r="KQ77" s="143" t="inlineStr">
        <is>
          <t>J466</t>
        </is>
      </c>
      <c r="KR77" s="145">
        <f>UPPER(INDEX(DADOS_AM!$D$8:$G$8,1,DADOS_AM!$A$2))</f>
        <v/>
      </c>
    </row>
    <row r="78">
      <c r="BC78" s="143" t="inlineStr">
        <is>
          <t>Remenda</t>
        </is>
      </c>
      <c r="BD78" s="143" t="inlineStr">
        <is>
          <t>Amparo</t>
        </is>
      </c>
      <c r="BE78" s="145" t="n">
        <v>3</v>
      </c>
      <c r="BF78" s="145">
        <f>$BE78+3*IFERROR(VLOOKUP($BD78,$I$2:$L$10,3,FALSE),0)</f>
        <v/>
      </c>
      <c r="BG78" s="145">
        <f>IFERROR(VLOOKUP($BD78,$I$2:$L$10,4,FALSE),0)</f>
        <v/>
      </c>
      <c r="BH78" s="145" t="n">
        <v>0</v>
      </c>
      <c r="BI78" s="145">
        <f>IF($BG78=1,"",$BC78)</f>
        <v/>
      </c>
      <c r="BJ78" s="145">
        <f>IF(AND($BE78=1,$BG78=0),$BC78,"")</f>
        <v/>
      </c>
      <c r="KQ78" s="143" t="inlineStr">
        <is>
          <t>P466</t>
        </is>
      </c>
      <c r="KR78" s="145">
        <f>UPPER(INDEX(DADOS_AM!$D$8:$G$8,1,DADOS_AM!$A$2))</f>
        <v/>
      </c>
    </row>
    <row r="79">
      <c r="BC79" s="143" t="inlineStr">
        <is>
          <t>Divide</t>
        </is>
      </c>
      <c r="BD79" s="143" t="inlineStr">
        <is>
          <t>Amparo</t>
        </is>
      </c>
      <c r="BE79" s="145" t="n">
        <v>2</v>
      </c>
      <c r="BF79" s="145">
        <f>$BE79+3*IFERROR(VLOOKUP($BD79,$I$2:$L$10,3,FALSE),0)</f>
        <v/>
      </c>
      <c r="BG79" s="145">
        <f>IFERROR(VLOOKUP($BD79,$I$2:$L$10,4,FALSE),0)</f>
        <v/>
      </c>
      <c r="BH79" s="145" t="n">
        <v>0</v>
      </c>
      <c r="BI79" s="145">
        <f>IF($BG79=1,"",$BC79)</f>
        <v/>
      </c>
      <c r="BJ79" s="145">
        <f>IF(AND($BE79=1,$BG79=0),$BC79,"")</f>
        <v/>
      </c>
      <c r="KQ79" s="143" t="inlineStr">
        <is>
          <t>D488</t>
        </is>
      </c>
      <c r="KR79" s="145">
        <f>UPPER(INDEX(DADOS_AM!$D$8:$G$8,1,DADOS_AM!$A$2))</f>
        <v/>
      </c>
    </row>
    <row r="80">
      <c r="BC80" s="143" t="inlineStr">
        <is>
          <t>Junto</t>
        </is>
      </c>
      <c r="BD80" s="143" t="inlineStr">
        <is>
          <t>Amparo</t>
        </is>
      </c>
      <c r="BE80" s="145" t="n">
        <v>1</v>
      </c>
      <c r="BF80" s="145">
        <f>$BE80+3*IFERROR(VLOOKUP($BD80,$I$2:$L$10,3,FALSE),0)</f>
        <v/>
      </c>
      <c r="BG80" s="145">
        <f>IFERROR(VLOOKUP($BD80,$I$2:$L$10,4,FALSE),0)</f>
        <v/>
      </c>
      <c r="BH80" s="145" t="n">
        <v>0</v>
      </c>
      <c r="BI80" s="145">
        <f>IF($BG80=1,"",$BC80)</f>
        <v/>
      </c>
      <c r="BJ80" s="145">
        <f>IF(AND($BE80=1,$BG80=0),$BC80,"")</f>
        <v/>
      </c>
      <c r="KQ80" s="143" t="inlineStr">
        <is>
          <t>J488</t>
        </is>
      </c>
      <c r="KR80" s="145">
        <f>UPPER(INDEX(DADOS_AM!$D$8:$G$8,1,DADOS_AM!$A$2))</f>
        <v/>
      </c>
    </row>
    <row r="81">
      <c r="BC81" s="143" t="inlineStr">
        <is>
          <t>Reserva</t>
        </is>
      </c>
      <c r="BD81" s="143" t="inlineStr">
        <is>
          <t>Amparo</t>
        </is>
      </c>
      <c r="BE81" s="145" t="n">
        <v>2</v>
      </c>
      <c r="BF81" s="145">
        <f>$BE81+3*IFERROR(VLOOKUP($BD81,$I$2:$L$10,3,FALSE),0)</f>
        <v/>
      </c>
      <c r="BG81" s="145">
        <f>IFERROR(VLOOKUP($BD81,$I$2:$L$10,4,FALSE),0)</f>
        <v/>
      </c>
      <c r="BH81" s="145" t="n">
        <v>0</v>
      </c>
      <c r="BI81" s="145">
        <f>IF($BG81=1,"",$BC81)</f>
        <v/>
      </c>
      <c r="BJ81" s="145">
        <f>IF(AND($BE81=1,$BG81=0),$BC81,"")</f>
        <v/>
      </c>
      <c r="KQ81" s="143" t="inlineStr">
        <is>
          <t>P488</t>
        </is>
      </c>
      <c r="KR81" s="145">
        <f>UPPER(INDEX(DADOS_AM!$D$8:$G$8,1,DADOS_AM!$A$2))</f>
        <v/>
      </c>
    </row>
    <row r="82">
      <c r="BC82" s="143" t="inlineStr">
        <is>
          <t>Efeito Próprio (Leve)</t>
        </is>
      </c>
      <c r="BD82" s="143" t="inlineStr"/>
      <c r="BE82" s="145" t="n">
        <v>1</v>
      </c>
      <c r="BF82" s="145">
        <f>$BE82+3*IFERROR(VLOOKUP($BD82,$I$2:$L$10,3,FALSE),0)</f>
        <v/>
      </c>
      <c r="BG82" s="145">
        <f>IFERROR(VLOOKUP($BD82,$I$2:$L$10,4,FALSE),0)</f>
        <v/>
      </c>
      <c r="BH82" s="145" t="n">
        <v>0</v>
      </c>
      <c r="BI82" s="145">
        <f>IF($BG82=1,"",$BC82)</f>
        <v/>
      </c>
      <c r="BJ82" s="145">
        <f>IF(AND($BE82=1,$BG82=0),$BC82,"")</f>
        <v/>
      </c>
      <c r="KQ82" s="143" t="inlineStr">
        <is>
          <t>D508</t>
        </is>
      </c>
      <c r="KR82" s="145">
        <f>UPPER(INDEX(DADOS_AM!$D$8:$G$8,1,DADOS_AM!$A$2))</f>
        <v/>
      </c>
    </row>
    <row r="83">
      <c r="BC83" s="143" t="inlineStr">
        <is>
          <t>Efeito Próprio (Média)</t>
        </is>
      </c>
      <c r="BD83" s="143" t="inlineStr"/>
      <c r="BE83" s="145" t="n">
        <v>2</v>
      </c>
      <c r="BF83" s="145">
        <f>$BE83+3*IFERROR(VLOOKUP($BD83,$I$2:$L$10,3,FALSE),0)</f>
        <v/>
      </c>
      <c r="BG83" s="145">
        <f>IFERROR(VLOOKUP($BD83,$I$2:$L$10,4,FALSE),0)</f>
        <v/>
      </c>
      <c r="BH83" s="145" t="n">
        <v>0</v>
      </c>
      <c r="BI83" s="145">
        <f>IF($BG83=1,"",$BC83)</f>
        <v/>
      </c>
      <c r="BJ83" s="145">
        <f>IF(AND($BE83=1,$BG83=0),$BC83,"")</f>
        <v/>
      </c>
      <c r="KQ83" s="143" t="inlineStr">
        <is>
          <t>J508</t>
        </is>
      </c>
      <c r="KR83" s="145">
        <f>UPPER(INDEX(DADOS_AM!$D$8:$G$8,1,DADOS_AM!$A$2))</f>
        <v/>
      </c>
    </row>
    <row r="84">
      <c r="BC84" s="143" t="inlineStr">
        <is>
          <t>Efeito Próprio (Pesada)</t>
        </is>
      </c>
      <c r="BD84" s="143" t="inlineStr"/>
      <c r="BE84" s="145" t="n">
        <v>3</v>
      </c>
      <c r="BF84" s="145">
        <f>$BE84+3*IFERROR(VLOOKUP($BD84,$I$2:$L$10,3,FALSE),0)</f>
        <v/>
      </c>
      <c r="BG84" s="145">
        <f>IFERROR(VLOOKUP($BD84,$I$2:$L$10,4,FALSE),0)</f>
        <v/>
      </c>
      <c r="BH84" s="145" t="n">
        <v>0</v>
      </c>
      <c r="BI84" s="145">
        <f>IF($BG84=1,"",$BC84)</f>
        <v/>
      </c>
      <c r="BJ84" s="145">
        <f>IF(AND($BE84=1,$BG84=0),$BC84,"")</f>
        <v/>
      </c>
      <c r="KQ84" s="143" t="inlineStr">
        <is>
          <t>P508</t>
        </is>
      </c>
      <c r="KR84" s="145">
        <f>UPPER(INDEX(DADOS_AM!$D$8:$G$8,1,DADOS_AM!$A$2))</f>
        <v/>
      </c>
    </row>
    <row r="85">
      <c r="KQ85" s="143" t="inlineStr">
        <is>
          <t>D470</t>
        </is>
      </c>
      <c r="KR85" s="145">
        <f>UPPER(INDEX(DADOS_AM!$D$6:$G$6,1,DADOS_AM!$A$2))&amp;" 7 A 12 · abra quando faltar lugar"</f>
        <v/>
      </c>
    </row>
    <row r="86">
      <c r="KQ86" s="143" t="inlineStr">
        <is>
          <t>D515</t>
        </is>
      </c>
      <c r="KR86" s="145">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4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47"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48" t="inlineStr">
        <is>
          <t>ATRIBUTOS</t>
        </is>
      </c>
      <c r="C4" s="16" t="n"/>
      <c r="D4" s="16" t="n"/>
      <c r="E4" s="16" t="n"/>
      <c r="F4" s="16" t="n"/>
      <c r="G4" s="16" t="n"/>
      <c r="H4" s="16" t="n"/>
      <c r="I4" s="16" t="n"/>
      <c r="J4" s="16" t="n"/>
      <c r="K4" s="16" t="n"/>
      <c r="L4" s="17" t="n"/>
      <c r="M4" s="14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0" t="inlineStr">
        <is>
          <t>ATRIBUTO</t>
        </is>
      </c>
      <c r="F5" s="16" t="n"/>
      <c r="G5" s="16" t="n"/>
      <c r="H5" s="16" t="n"/>
      <c r="I5" s="16" t="n"/>
      <c r="J5" s="17" t="n"/>
      <c r="K5" s="15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1" t="inlineStr">
        <is>
          <t>Força</t>
        </is>
      </c>
      <c r="F6" s="16" t="n"/>
      <c r="G6" s="16" t="n"/>
      <c r="H6" s="16" t="n"/>
      <c r="I6" s="16" t="n"/>
      <c r="J6" s="17" t="n"/>
      <c r="K6" s="15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53" t="n"/>
      <c r="C7" s="16" t="n"/>
      <c r="D7" s="17" t="n"/>
      <c r="E7" s="154" t="inlineStr">
        <is>
          <t>Destreza</t>
        </is>
      </c>
      <c r="F7" s="16" t="n"/>
      <c r="G7" s="16" t="n"/>
      <c r="H7" s="16" t="n"/>
      <c r="I7" s="16" t="n"/>
      <c r="J7" s="17" t="n"/>
      <c r="K7" s="15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1" t="inlineStr">
        <is>
          <t>Constituição</t>
        </is>
      </c>
      <c r="F8" s="16" t="n"/>
      <c r="G8" s="16" t="n"/>
      <c r="H8" s="16" t="n"/>
      <c r="I8" s="16" t="n"/>
      <c r="J8" s="17" t="n"/>
      <c r="K8" s="15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53" t="n"/>
      <c r="C9" s="16" t="n"/>
      <c r="D9" s="17" t="n"/>
      <c r="E9" s="154" t="inlineStr">
        <is>
          <t>Inteligência</t>
        </is>
      </c>
      <c r="F9" s="16" t="n"/>
      <c r="G9" s="16" t="n"/>
      <c r="H9" s="16" t="n"/>
      <c r="I9" s="16" t="n"/>
      <c r="J9" s="17" t="n"/>
      <c r="K9" s="15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1" t="inlineStr">
        <is>
          <t>Essência</t>
        </is>
      </c>
      <c r="F10" s="16" t="n"/>
      <c r="G10" s="16" t="n"/>
      <c r="H10" s="16" t="n"/>
      <c r="I10" s="16" t="n"/>
      <c r="J10" s="17" t="n"/>
      <c r="K10" s="15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48" t="inlineStr">
        <is>
          <t>PERÍCIAS</t>
        </is>
      </c>
      <c r="C12" s="16" t="n"/>
      <c r="D12" s="16" t="n"/>
      <c r="E12" s="16" t="n"/>
      <c r="F12" s="16" t="n"/>
      <c r="G12" s="16" t="n"/>
      <c r="H12" s="16" t="n"/>
      <c r="I12" s="16" t="n"/>
      <c r="J12" s="16" t="n"/>
      <c r="K12" s="16" t="n"/>
      <c r="L12" s="17" t="n"/>
      <c r="M12" s="14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0" t="inlineStr">
        <is>
          <t>NOME</t>
        </is>
      </c>
      <c r="F13" s="16" t="n"/>
      <c r="G13" s="16" t="n"/>
      <c r="H13" s="16" t="n"/>
      <c r="I13" s="16" t="n"/>
      <c r="J13" s="17" t="n"/>
      <c r="K13" s="15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1" t="inlineStr">
        <is>
          <t>Destreza</t>
        </is>
      </c>
      <c r="F14" s="16" t="n"/>
      <c r="G14" s="16" t="n"/>
      <c r="H14" s="16" t="n"/>
      <c r="I14" s="16" t="n"/>
      <c r="J14" s="17" t="n"/>
      <c r="K14" s="15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53" t="inlineStr">
        <is>
          <t>Atletismo</t>
        </is>
      </c>
      <c r="C15" s="16" t="n"/>
      <c r="D15" s="17" t="n"/>
      <c r="E15" s="154" t="inlineStr">
        <is>
          <t>Força</t>
        </is>
      </c>
      <c r="F15" s="16" t="n"/>
      <c r="G15" s="16" t="n"/>
      <c r="H15" s="16" t="n"/>
      <c r="I15" s="16" t="n"/>
      <c r="J15" s="17" t="n"/>
      <c r="K15" s="15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1" t="inlineStr">
        <is>
          <t>Essência</t>
        </is>
      </c>
      <c r="F16" s="16" t="n"/>
      <c r="G16" s="16" t="n"/>
      <c r="H16" s="16" t="n"/>
      <c r="I16" s="16" t="n"/>
      <c r="J16" s="17" t="n"/>
      <c r="K16" s="15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53" t="inlineStr">
        <is>
          <t>Enganação</t>
        </is>
      </c>
      <c r="C17" s="16" t="n"/>
      <c r="D17" s="17" t="n"/>
      <c r="E17" s="154" t="inlineStr">
        <is>
          <t>Essência</t>
        </is>
      </c>
      <c r="F17" s="16" t="n"/>
      <c r="G17" s="16" t="n"/>
      <c r="H17" s="16" t="n"/>
      <c r="I17" s="16" t="n"/>
      <c r="J17" s="17" t="n"/>
      <c r="K17" s="15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1" t="inlineStr">
        <is>
          <t>Destreza</t>
        </is>
      </c>
      <c r="F18" s="16" t="n"/>
      <c r="G18" s="16" t="n"/>
      <c r="H18" s="16" t="n"/>
      <c r="I18" s="16" t="n"/>
      <c r="J18" s="17" t="n"/>
      <c r="K18" s="15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53" t="inlineStr">
        <is>
          <t>Hierarquia</t>
        </is>
      </c>
      <c r="C19" s="16" t="n"/>
      <c r="D19" s="17" t="n"/>
      <c r="E19" s="154" t="inlineStr">
        <is>
          <t>Inteligência</t>
        </is>
      </c>
      <c r="F19" s="16" t="n"/>
      <c r="G19" s="16" t="n"/>
      <c r="H19" s="16" t="n"/>
      <c r="I19" s="16" t="n"/>
      <c r="J19" s="17" t="n"/>
      <c r="K19" s="15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1" t="inlineStr">
        <is>
          <t>Inteligência</t>
        </is>
      </c>
      <c r="F20" s="16" t="n"/>
      <c r="G20" s="16" t="n"/>
      <c r="H20" s="16" t="n"/>
      <c r="I20" s="16" t="n"/>
      <c r="J20" s="17" t="n"/>
      <c r="K20" s="15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53" t="inlineStr">
        <is>
          <t>Intimidação</t>
        </is>
      </c>
      <c r="C21" s="16" t="n"/>
      <c r="D21" s="17" t="n"/>
      <c r="E21" s="154" t="inlineStr">
        <is>
          <t>Essência</t>
        </is>
      </c>
      <c r="F21" s="16" t="n"/>
      <c r="G21" s="16" t="n"/>
      <c r="H21" s="16" t="n"/>
      <c r="I21" s="16" t="n"/>
      <c r="J21" s="17" t="n"/>
      <c r="K21" s="15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1" t="inlineStr">
        <is>
          <t>Inteligência</t>
        </is>
      </c>
      <c r="F22" s="16" t="n"/>
      <c r="G22" s="16" t="n"/>
      <c r="H22" s="16" t="n"/>
      <c r="I22" s="16" t="n"/>
      <c r="J22" s="17" t="n"/>
      <c r="K22" s="15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53" t="inlineStr">
        <is>
          <t>Investigação</t>
        </is>
      </c>
      <c r="C23" s="16" t="n"/>
      <c r="D23" s="17" t="n"/>
      <c r="E23" s="154" t="inlineStr">
        <is>
          <t>Inteligência</t>
        </is>
      </c>
      <c r="F23" s="16" t="n"/>
      <c r="G23" s="16" t="n"/>
      <c r="H23" s="16" t="n"/>
      <c r="I23" s="16" t="n"/>
      <c r="J23" s="17" t="n"/>
      <c r="K23" s="15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1" t="inlineStr">
        <is>
          <t>Inteligência</t>
        </is>
      </c>
      <c r="F24" s="16" t="n"/>
      <c r="G24" s="16" t="n"/>
      <c r="H24" s="16" t="n"/>
      <c r="I24" s="16" t="n"/>
      <c r="J24" s="17" t="n"/>
      <c r="K24" s="15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53" t="inlineStr">
        <is>
          <t>Medicina</t>
        </is>
      </c>
      <c r="C25" s="16" t="n"/>
      <c r="D25" s="17" t="n"/>
      <c r="E25" s="154" t="inlineStr">
        <is>
          <t>Inteligência</t>
        </is>
      </c>
      <c r="F25" s="16" t="n"/>
      <c r="G25" s="16" t="n"/>
      <c r="H25" s="16" t="n"/>
      <c r="I25" s="16" t="n"/>
      <c r="J25" s="17" t="n"/>
      <c r="K25" s="15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1" t="inlineStr">
        <is>
          <t>Inteligência</t>
        </is>
      </c>
      <c r="F26" s="16" t="n"/>
      <c r="G26" s="16" t="n"/>
      <c r="H26" s="16" t="n"/>
      <c r="I26" s="16" t="n"/>
      <c r="J26" s="17" t="n"/>
      <c r="K26" s="15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53" t="inlineStr">
        <is>
          <t>Ocultismo</t>
        </is>
      </c>
      <c r="C27" s="16" t="n"/>
      <c r="D27" s="17" t="n"/>
      <c r="E27" s="154" t="inlineStr">
        <is>
          <t>Inteligência</t>
        </is>
      </c>
      <c r="F27" s="16" t="n"/>
      <c r="G27" s="16" t="n"/>
      <c r="H27" s="16" t="n"/>
      <c r="I27" s="16" t="n"/>
      <c r="J27" s="17" t="n"/>
      <c r="K27" s="15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1" t="inlineStr">
        <is>
          <t>Essência</t>
        </is>
      </c>
      <c r="F28" s="16" t="n"/>
      <c r="G28" s="16" t="n"/>
      <c r="H28" s="16" t="n"/>
      <c r="I28" s="16" t="n"/>
      <c r="J28" s="17" t="n"/>
      <c r="K28" s="15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53" t="inlineStr">
        <is>
          <t>Persuasão</t>
        </is>
      </c>
      <c r="C29" s="16" t="n"/>
      <c r="D29" s="17" t="n"/>
      <c r="E29" s="154" t="inlineStr">
        <is>
          <t>Essência</t>
        </is>
      </c>
      <c r="F29" s="16" t="n"/>
      <c r="G29" s="16" t="n"/>
      <c r="H29" s="16" t="n"/>
      <c r="I29" s="16" t="n"/>
      <c r="J29" s="17" t="n"/>
      <c r="K29" s="15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1" t="inlineStr">
        <is>
          <t>Destreza</t>
        </is>
      </c>
      <c r="F30" s="16" t="n"/>
      <c r="G30" s="16" t="n"/>
      <c r="H30" s="16" t="n"/>
      <c r="I30" s="16" t="n"/>
      <c r="J30" s="17" t="n"/>
      <c r="K30" s="15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53" t="inlineStr">
        <is>
          <t>Prestidigitação</t>
        </is>
      </c>
      <c r="C31" s="16" t="n"/>
      <c r="D31" s="17" t="n"/>
      <c r="E31" s="154" t="inlineStr">
        <is>
          <t>Destreza</t>
        </is>
      </c>
      <c r="F31" s="16" t="n"/>
      <c r="G31" s="16" t="n"/>
      <c r="H31" s="16" t="n"/>
      <c r="I31" s="16" t="n"/>
      <c r="J31" s="17" t="n"/>
      <c r="K31" s="15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1" t="inlineStr">
        <is>
          <t>Essência</t>
        </is>
      </c>
      <c r="F32" s="16" t="n"/>
      <c r="G32" s="16" t="n"/>
      <c r="H32" s="16" t="n"/>
      <c r="I32" s="16" t="n"/>
      <c r="J32" s="17" t="n"/>
      <c r="K32" s="15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53" t="inlineStr">
        <is>
          <t>Religião</t>
        </is>
      </c>
      <c r="C33" s="16" t="n"/>
      <c r="D33" s="17" t="n"/>
      <c r="E33" s="154" t="inlineStr">
        <is>
          <t>Inteligência</t>
        </is>
      </c>
      <c r="F33" s="16" t="n"/>
      <c r="G33" s="16" t="n"/>
      <c r="H33" s="16" t="n"/>
      <c r="I33" s="16" t="n"/>
      <c r="J33" s="17" t="n"/>
      <c r="K33" s="15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1" t="inlineStr">
        <is>
          <t>Essência</t>
        </is>
      </c>
      <c r="F34" s="16" t="n"/>
      <c r="G34" s="16" t="n"/>
      <c r="H34" s="16" t="n"/>
      <c r="I34" s="16" t="n"/>
      <c r="J34" s="17" t="n"/>
      <c r="K34" s="15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53" t="inlineStr">
        <is>
          <t>Sobrevivência</t>
        </is>
      </c>
      <c r="C35" s="16" t="n"/>
      <c r="D35" s="17" t="n"/>
      <c r="E35" s="154" t="inlineStr">
        <is>
          <t>Inteligência</t>
        </is>
      </c>
      <c r="F35" s="16" t="n"/>
      <c r="G35" s="16" t="n"/>
      <c r="H35" s="16" t="n"/>
      <c r="I35" s="16" t="n"/>
      <c r="J35" s="17" t="n"/>
      <c r="K35" s="15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1" t="inlineStr">
        <is>
          <t>Inteligência</t>
        </is>
      </c>
      <c r="F36" s="16" t="n"/>
      <c r="G36" s="16" t="n"/>
      <c r="H36" s="16" t="n"/>
      <c r="I36" s="16" t="n"/>
      <c r="J36" s="17" t="n"/>
      <c r="K36" s="15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48" t="inlineStr">
        <is>
          <t>OFÍCIOS</t>
        </is>
      </c>
      <c r="C38" s="16" t="n"/>
      <c r="D38" s="16" t="n"/>
      <c r="E38" s="16" t="n"/>
      <c r="F38" s="16" t="n"/>
      <c r="G38" s="16" t="n"/>
      <c r="H38" s="16" t="n"/>
      <c r="I38" s="16" t="n"/>
      <c r="J38" s="16" t="n"/>
      <c r="K38" s="16" t="n"/>
      <c r="L38" s="17" t="n"/>
      <c r="M38" s="14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0" t="inlineStr">
        <is>
          <t>NOME</t>
        </is>
      </c>
      <c r="F39" s="16" t="n"/>
      <c r="G39" s="16" t="n"/>
      <c r="H39" s="16" t="n"/>
      <c r="I39" s="16" t="n"/>
      <c r="J39" s="17" t="n"/>
      <c r="K39" s="15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1" t="inlineStr">
        <is>
          <t>Alfaiate</t>
        </is>
      </c>
      <c r="F40" s="16" t="n"/>
      <c r="G40" s="16" t="n"/>
      <c r="H40" s="16" t="n"/>
      <c r="I40" s="16" t="n"/>
      <c r="J40" s="17" t="n"/>
      <c r="K40" s="15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53" t="n"/>
      <c r="C41" s="16" t="n"/>
      <c r="D41" s="17" t="n"/>
      <c r="E41" s="154" t="inlineStr">
        <is>
          <t>Arrombamento</t>
        </is>
      </c>
      <c r="F41" s="16" t="n"/>
      <c r="G41" s="16" t="n"/>
      <c r="H41" s="16" t="n"/>
      <c r="I41" s="16" t="n"/>
      <c r="J41" s="17" t="n"/>
      <c r="K41" s="15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1" t="inlineStr">
        <is>
          <t>Burocracia</t>
        </is>
      </c>
      <c r="F42" s="16" t="n"/>
      <c r="G42" s="16" t="n"/>
      <c r="H42" s="16" t="n"/>
      <c r="I42" s="16" t="n"/>
      <c r="J42" s="17" t="n"/>
      <c r="K42" s="15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53" t="n"/>
      <c r="C43" s="16" t="n"/>
      <c r="D43" s="17" t="n"/>
      <c r="E43" s="154" t="inlineStr">
        <is>
          <t>Caligrafia</t>
        </is>
      </c>
      <c r="F43" s="16" t="n"/>
      <c r="G43" s="16" t="n"/>
      <c r="H43" s="16" t="n"/>
      <c r="I43" s="16" t="n"/>
      <c r="J43" s="17" t="n"/>
      <c r="K43" s="15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1" t="inlineStr">
        <is>
          <t>Condução</t>
        </is>
      </c>
      <c r="F44" s="16" t="n"/>
      <c r="G44" s="16" t="n"/>
      <c r="H44" s="16" t="n"/>
      <c r="I44" s="16" t="n"/>
      <c r="J44" s="17" t="n"/>
      <c r="K44" s="15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53" t="n"/>
      <c r="C45" s="16" t="n"/>
      <c r="D45" s="17" t="n"/>
      <c r="E45" s="154" t="inlineStr">
        <is>
          <t>Culinária</t>
        </is>
      </c>
      <c r="F45" s="16" t="n"/>
      <c r="G45" s="16" t="n"/>
      <c r="H45" s="16" t="n"/>
      <c r="I45" s="16" t="n"/>
      <c r="J45" s="17" t="n"/>
      <c r="K45" s="15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1" t="inlineStr">
        <is>
          <t>Entalhador</t>
        </is>
      </c>
      <c r="F46" s="16" t="n"/>
      <c r="G46" s="16" t="n"/>
      <c r="H46" s="16" t="n"/>
      <c r="I46" s="16" t="n"/>
      <c r="J46" s="17" t="n"/>
      <c r="K46" s="15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53" t="n"/>
      <c r="C47" s="16" t="n"/>
      <c r="D47" s="17" t="n"/>
      <c r="E47" s="154" t="inlineStr">
        <is>
          <t>Forja</t>
        </is>
      </c>
      <c r="F47" s="16" t="n"/>
      <c r="G47" s="16" t="n"/>
      <c r="H47" s="16" t="n"/>
      <c r="I47" s="16" t="n"/>
      <c r="J47" s="17" t="n"/>
      <c r="K47" s="15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1" t="inlineStr">
        <is>
          <t>Herbalismo</t>
        </is>
      </c>
      <c r="F48" s="16" t="n"/>
      <c r="G48" s="16" t="n"/>
      <c r="H48" s="16" t="n"/>
      <c r="I48" s="16" t="n"/>
      <c r="J48" s="17" t="n"/>
      <c r="K48" s="15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53" t="n"/>
      <c r="C49" s="16" t="n"/>
      <c r="D49" s="17" t="n"/>
      <c r="E49" s="154" t="inlineStr">
        <is>
          <t>Instrumento</t>
        </is>
      </c>
      <c r="F49" s="16" t="n"/>
      <c r="G49" s="16" t="n"/>
      <c r="H49" s="16" t="n"/>
      <c r="I49" s="16" t="n"/>
      <c r="J49" s="17" t="n"/>
      <c r="K49" s="15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1" t="inlineStr">
        <is>
          <t>Jogatina</t>
        </is>
      </c>
      <c r="F50" s="16" t="n"/>
      <c r="G50" s="16" t="n"/>
      <c r="H50" s="16" t="n"/>
      <c r="I50" s="16" t="n"/>
      <c r="J50" s="17" t="n"/>
      <c r="K50" s="15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48" t="inlineStr">
        <is>
          <t>CONCEITOS</t>
        </is>
      </c>
      <c r="C52" s="16" t="n"/>
      <c r="D52" s="16" t="n"/>
      <c r="E52" s="16" t="n"/>
      <c r="F52" s="16" t="n"/>
      <c r="G52" s="16" t="n"/>
      <c r="H52" s="16" t="n"/>
      <c r="I52" s="16" t="n"/>
      <c r="J52" s="16" t="n"/>
      <c r="K52" s="16" t="n"/>
      <c r="L52" s="17" t="n"/>
      <c r="AH52" s="120" t="n"/>
    </row>
    <row r="53">
      <c r="A53" s="120" t="n"/>
      <c r="E53" s="150" t="inlineStr">
        <is>
          <t>TERMO</t>
        </is>
      </c>
      <c r="F53" s="16" t="n"/>
      <c r="G53" s="16" t="n"/>
      <c r="H53" s="16" t="n"/>
      <c r="I53" s="16" t="n"/>
      <c r="J53" s="17" t="n"/>
      <c r="K53" s="15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1" t="inlineStr">
        <is>
          <t>Treino</t>
        </is>
      </c>
      <c r="F54" s="16" t="n"/>
      <c r="G54" s="16" t="n"/>
      <c r="H54" s="16" t="n"/>
      <c r="I54" s="16" t="n"/>
      <c r="J54" s="17" t="n"/>
      <c r="K54" s="15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53" t="n"/>
      <c r="C55" s="16" t="n"/>
      <c r="D55" s="17" t="n"/>
      <c r="E55" s="154" t="inlineStr">
        <is>
          <t>Maestria</t>
        </is>
      </c>
      <c r="F55" s="16" t="n"/>
      <c r="G55" s="16" t="n"/>
      <c r="H55" s="16" t="n"/>
      <c r="I55" s="16" t="n"/>
      <c r="J55" s="17" t="n"/>
      <c r="K55" s="15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1" t="inlineStr">
        <is>
          <t>Refino</t>
        </is>
      </c>
      <c r="F56" s="16" t="n"/>
      <c r="G56" s="16" t="n"/>
      <c r="H56" s="16" t="n"/>
      <c r="I56" s="16" t="n"/>
      <c r="J56" s="17" t="n"/>
      <c r="K56" s="15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2026-10-05T12:47:20Z</dcterms:created>
  <dcterms:modified xmlns:dcterms="http://purl.org/dc/terms/" xmlns:xsi="http://www.w3.org/2001/XMLSchema-instance" xsi:type="dcterms:W3CDTF">2026-10-05T12:47:25Z</dcterms:modified>
</cp:coreProperties>
</file>
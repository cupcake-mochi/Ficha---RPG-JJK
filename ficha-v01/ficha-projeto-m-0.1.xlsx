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Oswald"/>
      <color rgb="FF998BA9"/>
      <sz val="8"/>
    </font>
    <font>
      <name val="Castoro"/>
      <color rgb="FFF4F1F7"/>
      <sz val="15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0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Castoro"/>
      <color rgb="FFE8DCD4"/>
      <sz val="10"/>
    </font>
    <font>
      <name val="Oswald"/>
      <color rgb="FFE8DCD4"/>
      <sz val="10"/>
    </font>
    <font>
      <name val="Oswald"/>
      <color rgb="FFE8DCD4"/>
      <sz val="9"/>
    </font>
    <font>
      <name val="Castoro"/>
      <color rgb="FFE8DCD4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1B142F"/>
        <bgColor rgb="FF1B142F"/>
      </patternFill>
    </fill>
  </fills>
  <borders count="31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right style="thin">
        <color rgb="FFFFFFFF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" fillId="5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8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9" fillId="5" borderId="1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8" fillId="4" borderId="15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26" fillId="5" borderId="1" applyAlignment="1" pivotButton="0" quotePrefix="0" xfId="0">
      <alignment horizontal="center" vertical="center"/>
    </xf>
    <xf numFmtId="0" fontId="27" fillId="5" borderId="3" applyAlignment="1" pivotButton="0" quotePrefix="0" xfId="0">
      <alignment horizontal="center" vertical="center"/>
    </xf>
    <xf numFmtId="0" fontId="26" fillId="5" borderId="28" applyAlignment="1" pivotButton="0" quotePrefix="0" xfId="0">
      <alignment horizontal="center" vertical="center"/>
    </xf>
    <xf numFmtId="0" fontId="0" fillId="0" borderId="30" pivotButton="0" quotePrefix="0" xfId="0"/>
    <xf numFmtId="0" fontId="18" fillId="5" borderId="7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/>
    </xf>
    <xf numFmtId="0" fontId="30" fillId="5" borderId="1" applyAlignment="1" pivotButton="0" quotePrefix="0" xfId="0">
      <alignment horizontal="center" vertical="center"/>
    </xf>
    <xf numFmtId="0" fontId="30" fillId="5" borderId="0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/>
    </xf>
    <xf numFmtId="0" fontId="32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2" fillId="5" borderId="3" applyAlignment="1" pivotButton="0" quotePrefix="0" xfId="0">
      <alignment horizontal="center" vertical="center" wrapText="1"/>
    </xf>
    <xf numFmtId="0" fontId="32" fillId="5" borderId="29" applyAlignment="1" pivotButton="0" quotePrefix="0" xfId="0">
      <alignment horizontal="left" vertical="center"/>
    </xf>
    <xf numFmtId="0" fontId="34" fillId="5" borderId="1" applyAlignment="1" pivotButton="0" quotePrefix="0" xfId="0">
      <alignment horizontal="center" vertical="center"/>
    </xf>
    <xf numFmtId="0" fontId="33" fillId="5" borderId="0" applyAlignment="1" pivotButton="0" quotePrefix="0" xfId="0">
      <alignment horizontal="center" vertical="center"/>
    </xf>
    <xf numFmtId="0" fontId="35" fillId="5" borderId="1" pivotButton="0" quotePrefix="0" xfId="0"/>
    <xf numFmtId="0" fontId="36" fillId="4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7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83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3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8" t="n"/>
      <c r="AE38" s="7" t="n"/>
      <c r="AF38" s="7" t="n"/>
      <c r="AG38" s="7" t="n"/>
      <c r="AH38" s="39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5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2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</row>
    <row r="8" ht="27" customHeight="1">
      <c r="A8" s="44" t="inlineStr">
        <is>
          <t>PROJETO M</t>
        </is>
      </c>
      <c r="C8" s="40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  <c r="AU8" s="47" t="n"/>
    </row>
    <row r="9">
      <c r="C9" s="40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  <c r="AU9" s="47" t="n"/>
    </row>
    <row r="10">
      <c r="C10" s="40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  <c r="AU10" s="56" t="n"/>
    </row>
    <row r="11" ht="24.75" customHeight="1">
      <c r="C11" s="40" t="n"/>
      <c r="D11" s="57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8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8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9" t="n">
        <v>2</v>
      </c>
      <c r="AI11" s="13" t="n"/>
      <c r="AJ11" s="13" t="n"/>
      <c r="AK11" s="13" t="n"/>
      <c r="AL11" s="14" t="n"/>
      <c r="AM11" s="54" t="n"/>
      <c r="AN11" s="60" t="n">
        <v>0</v>
      </c>
      <c r="AO11" s="13" t="n"/>
      <c r="AP11" s="13" t="n"/>
      <c r="AQ11" s="13" t="n"/>
      <c r="AR11" s="13" t="n"/>
      <c r="AS11" s="13" t="n"/>
      <c r="AT11" s="14" t="n"/>
      <c r="AU11" s="61" t="n"/>
    </row>
    <row r="12">
      <c r="C12" s="40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2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  <c r="AU12" s="47" t="n"/>
    </row>
    <row r="13">
      <c r="C13" s="40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  <c r="AU13" s="47" t="n"/>
    </row>
    <row r="14" ht="27" customHeight="1">
      <c r="C14" s="40" t="n"/>
      <c r="D14" s="63" t="n">
        <v>2</v>
      </c>
      <c r="E14" s="13" t="n"/>
      <c r="F14" s="14" t="n"/>
      <c r="G14" s="46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4" t="n"/>
      <c r="Z14" s="47" t="n"/>
      <c r="AA14" s="47" t="n"/>
      <c r="AB14" s="47" t="n"/>
      <c r="AC14" s="47" t="n"/>
      <c r="AD14" s="47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  <c r="AQ14" s="47" t="n"/>
      <c r="AR14" s="47" t="n"/>
      <c r="AS14" s="47" t="n"/>
      <c r="AT14" s="47" t="n"/>
      <c r="AU14" s="47" t="n"/>
    </row>
    <row r="15">
      <c r="C15" s="40" t="n"/>
      <c r="D15" s="17" t="n"/>
      <c r="E15" s="18" t="n"/>
      <c r="F15" s="19" t="n"/>
      <c r="G15" s="48" t="n"/>
      <c r="H15" s="48" t="n"/>
      <c r="I15" s="48" t="n"/>
      <c r="J15" s="48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8" t="n"/>
      <c r="T15" s="49" t="n"/>
      <c r="U15" s="49" t="n"/>
      <c r="V15" s="49" t="n"/>
      <c r="W15" s="49" t="n"/>
      <c r="X15" s="49" t="n"/>
      <c r="Y15" s="50" t="n"/>
      <c r="Z15" s="50" t="n"/>
      <c r="AA15" s="47" t="n"/>
      <c r="AB15" s="50" t="n"/>
      <c r="AC15" s="50" t="n"/>
      <c r="AD15" s="50" t="n"/>
      <c r="AE15" s="50" t="n"/>
      <c r="AF15" s="50" t="n"/>
      <c r="AG15" s="50" t="n"/>
      <c r="AH15" s="50" t="n"/>
      <c r="AI15" s="47" t="n"/>
      <c r="AJ15" s="50" t="n"/>
      <c r="AK15" s="50" t="n"/>
      <c r="AL15" s="50" t="n"/>
      <c r="AM15" s="50" t="n"/>
      <c r="AN15" s="50" t="n"/>
      <c r="AO15" s="50" t="n"/>
      <c r="AP15" s="50" t="n"/>
      <c r="AQ15" s="47" t="n"/>
      <c r="AR15" s="47" t="n"/>
      <c r="AS15" s="47" t="n"/>
      <c r="AT15" s="47" t="n"/>
      <c r="AU15" s="47" t="n"/>
    </row>
    <row r="16">
      <c r="C16" s="40" t="n"/>
      <c r="D16" s="51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2" t="n"/>
      <c r="L16" s="53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4" t="n"/>
      <c r="T16" s="55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4" t="n"/>
      <c r="AB16" s="55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4" t="n"/>
      <c r="AJ16" s="55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7" t="n"/>
      <c r="AR16" s="65" t="n"/>
      <c r="AS16" s="47" t="n"/>
      <c r="AT16" s="47" t="n"/>
      <c r="AU16" s="47" t="n"/>
    </row>
    <row r="17" ht="29.25" customHeight="1">
      <c r="C17" s="40" t="n"/>
      <c r="D17" s="66" t="n">
        <v>0</v>
      </c>
      <c r="E17" s="13" t="n"/>
      <c r="F17" s="13" t="n"/>
      <c r="G17" s="13" t="n"/>
      <c r="H17" s="13" t="n"/>
      <c r="I17" s="13" t="n"/>
      <c r="J17" s="14" t="n"/>
      <c r="K17" s="54" t="n"/>
      <c r="L17" s="67" t="n">
        <v>0</v>
      </c>
      <c r="M17" s="13" t="n"/>
      <c r="N17" s="13" t="n"/>
      <c r="O17" s="13" t="n"/>
      <c r="P17" s="13" t="n"/>
      <c r="Q17" s="13" t="n"/>
      <c r="R17" s="14" t="n"/>
      <c r="S17" s="54" t="n"/>
      <c r="T17" s="67" t="n">
        <v>0</v>
      </c>
      <c r="U17" s="13" t="n"/>
      <c r="V17" s="13" t="n"/>
      <c r="W17" s="13" t="n"/>
      <c r="X17" s="13" t="n"/>
      <c r="Y17" s="13" t="n"/>
      <c r="Z17" s="14" t="n"/>
      <c r="AA17" s="54" t="n"/>
      <c r="AB17" s="67" t="n">
        <v>0</v>
      </c>
      <c r="AC17" s="13" t="n"/>
      <c r="AD17" s="13" t="n"/>
      <c r="AE17" s="13" t="n"/>
      <c r="AF17" s="13" t="n"/>
      <c r="AG17" s="13" t="n"/>
      <c r="AH17" s="14" t="n"/>
      <c r="AI17" s="54" t="n"/>
      <c r="AJ17" s="67" t="n">
        <v>0</v>
      </c>
      <c r="AK17" s="13" t="n"/>
      <c r="AL17" s="13" t="n"/>
      <c r="AM17" s="13" t="n"/>
      <c r="AN17" s="13" t="n"/>
      <c r="AO17" s="13" t="n"/>
      <c r="AP17" s="14" t="n"/>
      <c r="AQ17" s="47" t="n"/>
      <c r="AR17" s="47" t="n"/>
      <c r="AS17" s="47" t="n"/>
      <c r="AT17" s="47" t="n"/>
      <c r="AU17" s="47" t="n"/>
    </row>
    <row r="18">
      <c r="C18" s="40" t="n"/>
      <c r="D18" s="17" t="n"/>
      <c r="E18" s="18" t="n"/>
      <c r="F18" s="18" t="n"/>
      <c r="G18" s="18" t="n"/>
      <c r="H18" s="18" t="n"/>
      <c r="I18" s="18" t="n"/>
      <c r="J18" s="19" t="n"/>
      <c r="K18" s="54" t="n"/>
      <c r="L18" s="18" t="n"/>
      <c r="M18" s="18" t="n"/>
      <c r="N18" s="18" t="n"/>
      <c r="O18" s="18" t="n"/>
      <c r="P18" s="18" t="n"/>
      <c r="Q18" s="18" t="n"/>
      <c r="R18" s="19" t="n"/>
      <c r="S18" s="54" t="n"/>
      <c r="T18" s="18" t="n"/>
      <c r="U18" s="18" t="n"/>
      <c r="V18" s="18" t="n"/>
      <c r="W18" s="18" t="n"/>
      <c r="X18" s="18" t="n"/>
      <c r="Y18" s="18" t="n"/>
      <c r="Z18" s="19" t="n"/>
      <c r="AA18" s="54" t="n"/>
      <c r="AB18" s="18" t="n"/>
      <c r="AC18" s="18" t="n"/>
      <c r="AD18" s="18" t="n"/>
      <c r="AE18" s="18" t="n"/>
      <c r="AF18" s="18" t="n"/>
      <c r="AG18" s="18" t="n"/>
      <c r="AH18" s="19" t="n"/>
      <c r="AI18" s="54" t="n"/>
      <c r="AJ18" s="18" t="n"/>
      <c r="AK18" s="18" t="n"/>
      <c r="AL18" s="18" t="n"/>
      <c r="AM18" s="18" t="n"/>
      <c r="AN18" s="18" t="n"/>
      <c r="AO18" s="18" t="n"/>
      <c r="AP18" s="19" t="n"/>
      <c r="AQ18" s="47" t="n"/>
      <c r="AR18" s="47" t="n"/>
      <c r="AS18" s="47" t="n"/>
      <c r="AT18" s="47" t="n"/>
      <c r="AU18" s="47" t="n"/>
    </row>
    <row r="19">
      <c r="C19" s="40" t="n"/>
      <c r="D19" s="68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4" t="n"/>
      <c r="L19" s="69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4" t="n"/>
      <c r="T19" s="69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4" t="n"/>
      <c r="AB19" s="69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4" t="n"/>
      <c r="AJ19" s="69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7" t="n"/>
      <c r="AR19" s="47" t="n"/>
      <c r="AS19" s="47" t="n"/>
      <c r="AT19" s="47" t="n"/>
      <c r="AU19" s="47" t="n"/>
    </row>
    <row r="20">
      <c r="C20" s="40" t="n"/>
      <c r="D20" s="47" t="n"/>
      <c r="E20" s="47" t="n"/>
      <c r="F20" s="48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  <c r="AQ20" s="47" t="n"/>
      <c r="AR20" s="47" t="n"/>
      <c r="AS20" s="47" t="n"/>
      <c r="AT20" s="47" t="n"/>
      <c r="AU20" s="47" t="n"/>
    </row>
    <row r="21">
      <c r="C21" s="40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  <c r="AU21" s="47" t="n"/>
    </row>
    <row r="22">
      <c r="C22" s="40" t="n"/>
      <c r="D22" s="51" t="inlineStr">
        <is>
          <t>VIDA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51" t="inlineStr">
        <is>
          <t>TEMP</t>
        </is>
      </c>
      <c r="AG22" s="10" t="n"/>
      <c r="AH22" s="10" t="n"/>
      <c r="AI22" s="10" t="n"/>
      <c r="AJ22" s="10" t="n"/>
      <c r="AK22" s="11" t="n"/>
      <c r="AL22" s="54" t="n"/>
      <c r="AM22" s="70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7" t="n"/>
      <c r="AT22" s="47" t="n"/>
      <c r="AU22" s="47" t="n"/>
    </row>
    <row r="23" ht="27" customHeight="1">
      <c r="C23" s="40" t="n"/>
      <c r="D23" s="71">
        <f>J23</f>
        <v/>
      </c>
      <c r="E23" s="13" t="n"/>
      <c r="F23" s="13" t="n"/>
      <c r="G23" s="13" t="n"/>
      <c r="H23" s="14" t="n"/>
      <c r="I23" s="47" t="n"/>
      <c r="J23" s="72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7" t="n"/>
      <c r="P23" s="73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7" t="n"/>
      <c r="AF23" s="74" t="n"/>
      <c r="AG23" s="18" t="n"/>
      <c r="AH23" s="18" t="n"/>
      <c r="AI23" s="18" t="n"/>
      <c r="AJ23" s="18" t="n"/>
      <c r="AK23" s="19" t="n"/>
      <c r="AL23" s="47" t="n"/>
      <c r="AM23" s="75" t="n"/>
      <c r="AN23" s="10" t="n"/>
      <c r="AO23" s="10" t="n"/>
      <c r="AP23" s="10" t="n"/>
      <c r="AQ23" s="10" t="n"/>
      <c r="AR23" s="11" t="n"/>
      <c r="AS23" s="47" t="n"/>
      <c r="AT23" s="47" t="n"/>
      <c r="AU23" s="47" t="n"/>
    </row>
    <row r="24">
      <c r="C24" s="40" t="n"/>
      <c r="D24" s="17" t="n"/>
      <c r="E24" s="18" t="n"/>
      <c r="F24" s="18" t="n"/>
      <c r="G24" s="18" t="n"/>
      <c r="H24" s="19" t="n"/>
      <c r="I24" s="47" t="n"/>
      <c r="J24" s="17" t="n"/>
      <c r="K24" s="18" t="n"/>
      <c r="L24" s="18" t="n"/>
      <c r="M24" s="18" t="n"/>
      <c r="N24" s="19" t="n"/>
      <c r="O24" s="47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8" t="n"/>
      <c r="AS24" s="47" t="n"/>
      <c r="AT24" s="47" t="n"/>
      <c r="AU24" s="47" t="n"/>
    </row>
    <row r="25">
      <c r="C25" s="4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50" t="n"/>
      <c r="AS25" s="47" t="n"/>
      <c r="AT25" s="47" t="n"/>
      <c r="AU25" s="47" t="n"/>
    </row>
    <row r="26">
      <c r="C26" s="40" t="n"/>
      <c r="D26" s="53" t="inlineStr">
        <is>
          <t>ENERGIA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51" t="inlineStr">
        <is>
          <t>TEMP</t>
        </is>
      </c>
      <c r="AG26" s="10" t="n"/>
      <c r="AH26" s="10" t="n"/>
      <c r="AI26" s="10" t="n"/>
      <c r="AJ26" s="10" t="n"/>
      <c r="AK26" s="11" t="n"/>
      <c r="AL26" s="54" t="n"/>
      <c r="AM26" s="70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7" t="n"/>
      <c r="AT26" s="47" t="n"/>
      <c r="AU26" s="47" t="n"/>
    </row>
    <row r="27" ht="27" customHeight="1">
      <c r="A27" s="7" t="n"/>
      <c r="B27" s="7" t="n"/>
      <c r="C27" s="40" t="n"/>
      <c r="D27" s="71">
        <f>J27</f>
        <v/>
      </c>
      <c r="E27" s="13" t="n"/>
      <c r="F27" s="13" t="n"/>
      <c r="G27" s="13" t="n"/>
      <c r="H27" s="14" t="n"/>
      <c r="I27" s="47" t="n"/>
      <c r="J27" s="76">
        <f>IF($D$11="","",VLOOKUP($D$11,DADOS!$N$5:$U$9,5,FALSE)*$AH$11)</f>
        <v/>
      </c>
      <c r="K27" s="13" t="n"/>
      <c r="L27" s="13" t="n"/>
      <c r="M27" s="13" t="n"/>
      <c r="N27" s="14" t="n"/>
      <c r="O27" s="47" t="n"/>
      <c r="P27" s="77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7" t="n"/>
      <c r="AF27" s="78" t="n"/>
      <c r="AG27" s="10" t="n"/>
      <c r="AH27" s="10" t="n"/>
      <c r="AI27" s="10" t="n"/>
      <c r="AJ27" s="10" t="n"/>
      <c r="AK27" s="11" t="n"/>
      <c r="AL27" s="47" t="n"/>
      <c r="AM27" s="75" t="n"/>
      <c r="AN27" s="10" t="n"/>
      <c r="AO27" s="10" t="n"/>
      <c r="AP27" s="10" t="n"/>
      <c r="AQ27" s="10" t="n"/>
      <c r="AR27" s="11" t="n"/>
      <c r="AS27" s="47" t="n"/>
      <c r="AT27" s="47" t="n"/>
      <c r="AU27" s="47" t="n"/>
    </row>
    <row r="28">
      <c r="A28" s="7" t="n"/>
      <c r="B28" s="7" t="n"/>
      <c r="C28" s="40" t="n"/>
      <c r="D28" s="17" t="n"/>
      <c r="E28" s="18" t="n"/>
      <c r="F28" s="18" t="n"/>
      <c r="G28" s="18" t="n"/>
      <c r="H28" s="19" t="n"/>
      <c r="I28" s="47" t="n"/>
      <c r="J28" s="17" t="n"/>
      <c r="K28" s="18" t="n"/>
      <c r="L28" s="18" t="n"/>
      <c r="M28" s="18" t="n"/>
      <c r="N28" s="19" t="n"/>
      <c r="O28" s="47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48" t="n"/>
      <c r="AS28" s="47" t="n"/>
      <c r="AT28" s="47" t="n"/>
      <c r="AU28" s="47" t="n"/>
    </row>
    <row r="29">
      <c r="A29" s="7" t="n"/>
      <c r="B29" s="7" t="n"/>
      <c r="C29" s="4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50" t="n"/>
      <c r="AS29" s="47" t="n"/>
      <c r="AT29" s="47" t="n"/>
      <c r="AU29" s="47" t="n"/>
    </row>
    <row r="30">
      <c r="A30" s="44" t="inlineStr">
        <is>
          <t>FICHA DE REGISTRO</t>
        </is>
      </c>
      <c r="C30" s="40" t="n"/>
      <c r="D30" s="53" t="inlineStr">
        <is>
          <t>INTEGRIDADE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51" t="inlineStr">
        <is>
          <t>TEMP</t>
        </is>
      </c>
      <c r="AG30" s="10" t="n"/>
      <c r="AH30" s="10" t="n"/>
      <c r="AI30" s="10" t="n"/>
      <c r="AJ30" s="10" t="n"/>
      <c r="AK30" s="11" t="n"/>
      <c r="AL30" s="54" t="n"/>
      <c r="AM30" s="70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7" t="n"/>
      <c r="AT30" s="47" t="n"/>
      <c r="AU30" s="47" t="n"/>
    </row>
    <row r="31" ht="27" customHeight="1">
      <c r="C31" s="40" t="n"/>
      <c r="D31" s="71">
        <f>J31</f>
        <v/>
      </c>
      <c r="E31" s="13" t="n"/>
      <c r="F31" s="13" t="n"/>
      <c r="G31" s="13" t="n"/>
      <c r="H31" s="14" t="n"/>
      <c r="I31" s="52" t="n"/>
      <c r="J31" s="79">
        <f>20+(AJ17+5)*($AH$11-1)</f>
        <v/>
      </c>
      <c r="K31" s="13" t="n"/>
      <c r="L31" s="13" t="n"/>
      <c r="M31" s="13" t="n"/>
      <c r="N31" s="14" t="n"/>
      <c r="O31" s="47" t="n"/>
      <c r="P31" s="77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4" t="n"/>
      <c r="AF31" s="80" t="n"/>
      <c r="AK31" s="81" t="n"/>
      <c r="AL31" s="52" t="n"/>
      <c r="AM31" s="82" t="n"/>
      <c r="AR31" s="16" t="n"/>
      <c r="AS31" s="47" t="n"/>
      <c r="AT31" s="47" t="n"/>
      <c r="AU31" s="47" t="n"/>
    </row>
    <row r="32">
      <c r="C32" s="40" t="n"/>
      <c r="D32" s="17" t="n"/>
      <c r="E32" s="18" t="n"/>
      <c r="F32" s="18" t="n"/>
      <c r="G32" s="18" t="n"/>
      <c r="H32" s="19" t="n"/>
      <c r="I32" s="52" t="n"/>
      <c r="J32" s="18" t="n"/>
      <c r="K32" s="18" t="n"/>
      <c r="L32" s="18" t="n"/>
      <c r="M32" s="18" t="n"/>
      <c r="N32" s="19" t="n"/>
      <c r="O32" s="47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7" t="n"/>
      <c r="AF32" s="48" t="n"/>
      <c r="AG32" s="48" t="n"/>
      <c r="AH32" s="48" t="n"/>
      <c r="AI32" s="48" t="n"/>
      <c r="AJ32" s="48" t="n"/>
      <c r="AK32" s="48" t="n"/>
      <c r="AL32" s="47" t="n"/>
      <c r="AM32" s="48" t="n"/>
      <c r="AN32" s="48" t="n"/>
      <c r="AO32" s="48" t="n"/>
      <c r="AP32" s="48" t="n"/>
      <c r="AQ32" s="48" t="n"/>
      <c r="AR32" s="48" t="n"/>
      <c r="AS32" s="47" t="n"/>
      <c r="AT32" s="47" t="n"/>
      <c r="AU32" s="47" t="n"/>
    </row>
    <row r="33">
      <c r="C33" s="40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  <c r="AU33" s="47" t="n"/>
    </row>
    <row r="34">
      <c r="C34" s="40" t="n"/>
      <c r="D34" s="83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84" t="n"/>
    </row>
    <row r="35">
      <c r="C35" s="40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  <c r="AU35" s="47" t="n"/>
    </row>
    <row r="36">
      <c r="C36" s="40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  <c r="AU36" s="47" t="n"/>
    </row>
    <row r="37" ht="27" customHeight="1">
      <c r="C37" s="40" t="n"/>
      <c r="D37" s="63" t="n">
        <v>3</v>
      </c>
      <c r="E37" s="13" t="n"/>
      <c r="F37" s="14" t="n"/>
      <c r="G37" s="85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65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  <c r="AU37" s="47" t="n"/>
    </row>
    <row r="38">
      <c r="C38" s="40" t="n"/>
      <c r="D38" s="17" t="n"/>
      <c r="E38" s="18" t="n"/>
      <c r="F38" s="19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  <c r="AU38" s="47" t="n"/>
    </row>
    <row r="39">
      <c r="C39" s="40" t="n"/>
      <c r="D39" s="51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7" t="n"/>
      <c r="O39" s="51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7" t="n"/>
      <c r="Z39" s="51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51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  <c r="AU39" s="56" t="n"/>
    </row>
    <row r="40" ht="21" customHeight="1">
      <c r="C40" s="40" t="n"/>
      <c r="D40" s="86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7" t="n"/>
      <c r="O40" s="86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5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7" t="n"/>
      <c r="AK40" s="86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87" t="n"/>
    </row>
    <row r="41">
      <c r="C41" s="40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  <c r="AU41" s="47" t="n"/>
    </row>
    <row r="42">
      <c r="C42" s="40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  <c r="AU42" s="47" t="n"/>
    </row>
    <row r="43">
      <c r="C43" s="40" t="n"/>
      <c r="D43" s="51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7" t="n"/>
      <c r="O43" s="51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51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51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56" t="n"/>
    </row>
    <row r="44" ht="21" customHeight="1">
      <c r="C44" s="40" t="n"/>
      <c r="D44" s="86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7" t="n"/>
      <c r="O44" s="86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7" t="n"/>
      <c r="Z44" s="86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7" t="n"/>
      <c r="AK44" s="86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  <c r="AU44" s="87" t="n"/>
    </row>
    <row r="45">
      <c r="C45" s="40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  <c r="AU45" s="47" t="n"/>
    </row>
    <row r="46">
      <c r="C46" s="40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  <c r="AQ46" s="47" t="n"/>
      <c r="AR46" s="47" t="n"/>
      <c r="AS46" s="47" t="n"/>
      <c r="AT46" s="47" t="n"/>
      <c r="AU46" s="47" t="n"/>
    </row>
    <row r="47">
      <c r="C47" s="40" t="n"/>
      <c r="D47" s="51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7" t="n"/>
      <c r="O47" s="51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7" t="n"/>
      <c r="Z47" s="51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7" t="n"/>
      <c r="AK47" s="51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56" t="n"/>
    </row>
    <row r="48" ht="21" customHeight="1">
      <c r="C48" s="40" t="n"/>
      <c r="D48" s="86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7" t="n"/>
      <c r="O48" s="86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40" t="n"/>
      <c r="Z48" s="86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7" t="n"/>
      <c r="AK48" s="86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87" t="n"/>
    </row>
    <row r="49">
      <c r="A49" s="7" t="n"/>
      <c r="B49" s="7" t="n"/>
      <c r="C49" s="40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0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  <c r="AU49" s="47" t="n"/>
    </row>
    <row r="50">
      <c r="A50" s="7" t="n"/>
      <c r="B50" s="7" t="n"/>
      <c r="C50" s="40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0" t="n"/>
      <c r="Z50" s="47" t="n"/>
      <c r="AA50" s="47" t="n"/>
      <c r="AB50" s="47" t="n"/>
      <c r="AC50" s="47" t="n"/>
      <c r="AD50" s="47" t="n"/>
      <c r="AE50" s="51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7" t="n"/>
      <c r="AQ50" s="47" t="n"/>
      <c r="AR50" s="47" t="n"/>
      <c r="AS50" s="47" t="n"/>
      <c r="AT50" s="47" t="n"/>
      <c r="AU50" s="47" t="n"/>
    </row>
    <row r="51" ht="27" customHeight="1">
      <c r="A51" s="7" t="n"/>
      <c r="B51" s="7" t="n"/>
      <c r="C51" s="40" t="n"/>
      <c r="D51" s="63" t="n">
        <v>4</v>
      </c>
      <c r="E51" s="13" t="n"/>
      <c r="F51" s="14" t="n"/>
      <c r="G51" s="85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40" t="n"/>
      <c r="Z51" s="47" t="n"/>
      <c r="AA51" s="47" t="n"/>
      <c r="AB51" s="47" t="n"/>
      <c r="AC51" s="47" t="n"/>
      <c r="AD51" s="47" t="n"/>
      <c r="AE51" s="86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7" t="n"/>
      <c r="AQ51" s="47" t="n"/>
      <c r="AR51" s="47" t="n"/>
      <c r="AS51" s="47" t="n"/>
      <c r="AT51" s="47" t="n"/>
      <c r="AU51" s="47" t="n"/>
    </row>
    <row r="52">
      <c r="A52" s="7" t="n"/>
      <c r="B52" s="7" t="n"/>
      <c r="C52" s="40" t="n"/>
      <c r="D52" s="17" t="n"/>
      <c r="E52" s="18" t="n"/>
      <c r="F52" s="19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0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  <c r="AU52" s="47" t="n"/>
    </row>
    <row r="53">
      <c r="A53" s="7" t="n"/>
      <c r="B53" s="7" t="n"/>
      <c r="C53" s="40" t="n"/>
      <c r="D53" s="51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7" t="n"/>
      <c r="O53" s="51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40" t="n"/>
      <c r="Z53" s="51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7" t="n"/>
      <c r="AK53" s="51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  <c r="AU53" s="56" t="n"/>
    </row>
    <row r="54" ht="21" customHeight="1">
      <c r="A54" s="7" t="n"/>
      <c r="B54" s="7" t="n"/>
      <c r="C54" s="40" t="n"/>
      <c r="D54" s="86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40" t="n"/>
      <c r="O54" s="86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86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7" t="n"/>
      <c r="AK54" s="86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  <c r="AU54" s="87" t="n"/>
    </row>
    <row r="55">
      <c r="A55" s="7" t="n"/>
      <c r="B55" s="7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  <c r="AU55" s="47" t="n"/>
    </row>
    <row r="56">
      <c r="A56" s="7" t="n"/>
      <c r="B56" s="7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</row>
    <row r="57" ht="27" customHeight="1">
      <c r="A57" s="7" t="n"/>
      <c r="B57" s="7" t="n"/>
      <c r="C57" s="40" t="n"/>
      <c r="D57" s="63" t="n">
        <v>5</v>
      </c>
      <c r="E57" s="13" t="n"/>
      <c r="F57" s="14" t="n"/>
      <c r="G57" s="85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  <c r="AU57" s="47" t="n"/>
    </row>
    <row r="58">
      <c r="A58" s="7" t="n"/>
      <c r="B58" s="7" t="n"/>
      <c r="C58" s="40" t="n"/>
      <c r="D58" s="17" t="n"/>
      <c r="E58" s="18" t="n"/>
      <c r="F58" s="19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88" t="inlineStr">
        <is>
          <t>Extra</t>
        </is>
      </c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88" t="inlineStr">
        <is>
          <t>Extra</t>
        </is>
      </c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  <c r="AU58" s="47" t="n"/>
    </row>
    <row r="59">
      <c r="A59" s="7" t="n"/>
      <c r="B59" s="7" t="n"/>
      <c r="C59" s="40" t="n"/>
      <c r="D59" s="89" t="b">
        <v>0</v>
      </c>
      <c r="E59" s="90" t="inlineStr">
        <is>
          <t>Atletismo</t>
        </is>
      </c>
      <c r="F59" s="10" t="n"/>
      <c r="G59" s="10" t="n"/>
      <c r="H59" s="10" t="n"/>
      <c r="I59" s="10" t="n"/>
      <c r="J59" s="10" t="n"/>
      <c r="K59" s="10" t="n"/>
      <c r="L59" s="11" t="n"/>
      <c r="M59" s="91" t="inlineStr">
        <is>
          <t>For</t>
        </is>
      </c>
      <c r="N59" s="11" t="n"/>
      <c r="O59" s="92">
        <f>$D$17+IF($D$59=TRUE,(1+COUNTIF(DADOS!$X$5:$X$7,"&lt;="&amp;$AH$11)),0)+Q59</f>
        <v/>
      </c>
      <c r="P59" s="11" t="n"/>
      <c r="Q59" s="93" t="n"/>
      <c r="R59" s="47" t="n"/>
      <c r="S59" s="89" t="b">
        <v>0</v>
      </c>
      <c r="T59" s="90" t="inlineStr">
        <is>
          <t>Sobrevivência</t>
        </is>
      </c>
      <c r="U59" s="10" t="n"/>
      <c r="V59" s="10" t="n"/>
      <c r="W59" s="10" t="n"/>
      <c r="X59" s="10" t="n"/>
      <c r="Y59" s="10" t="n"/>
      <c r="Z59" s="10" t="n"/>
      <c r="AA59" s="11" t="n"/>
      <c r="AB59" s="91" t="inlineStr">
        <is>
          <t>Int</t>
        </is>
      </c>
      <c r="AC59" s="11" t="n"/>
      <c r="AD59" s="92">
        <f>$AB$17+IF($S59=TRUE,(1+COUNTIF(DADOS!$X$5:$X$7,"&lt;="&amp;$AH$11)),0)+AF59</f>
        <v/>
      </c>
      <c r="AE59" s="11" t="n"/>
      <c r="AF59" s="93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  <c r="AU59" s="47" t="n"/>
    </row>
    <row r="60">
      <c r="A60" s="7" t="n"/>
      <c r="B60" s="7" t="n"/>
      <c r="C60" s="40" t="n"/>
      <c r="D60" s="89" t="b">
        <v>0</v>
      </c>
      <c r="E60" s="90" t="inlineStr">
        <is>
          <t>Acrobacia</t>
        </is>
      </c>
      <c r="F60" s="10" t="n"/>
      <c r="G60" s="10" t="n"/>
      <c r="H60" s="10" t="n"/>
      <c r="I60" s="10" t="n"/>
      <c r="J60" s="10" t="n"/>
      <c r="K60" s="10" t="n"/>
      <c r="L60" s="11" t="n"/>
      <c r="M60" s="91" t="inlineStr">
        <is>
          <t>Des</t>
        </is>
      </c>
      <c r="N60" s="11" t="n"/>
      <c r="O60" s="92">
        <f>$L$17+IF($D60=TRUE,(1+COUNTIF(DADOS!$X$5:$X$7,"&lt;="&amp;$AH$11)),0)+Q60</f>
        <v/>
      </c>
      <c r="P60" s="11" t="n"/>
      <c r="Q60" s="93" t="n"/>
      <c r="R60" s="47" t="n"/>
      <c r="S60" s="89" t="b">
        <v>0</v>
      </c>
      <c r="T60" s="90" t="inlineStr">
        <is>
          <t>Natureza</t>
        </is>
      </c>
      <c r="U60" s="10" t="n"/>
      <c r="V60" s="10" t="n"/>
      <c r="W60" s="10" t="n"/>
      <c r="X60" s="10" t="n"/>
      <c r="Y60" s="10" t="n"/>
      <c r="Z60" s="10" t="n"/>
      <c r="AA60" s="11" t="n"/>
      <c r="AB60" s="91" t="inlineStr">
        <is>
          <t>Int</t>
        </is>
      </c>
      <c r="AC60" s="11" t="n"/>
      <c r="AD60" s="92">
        <f>$AB$17+IF($S60=TRUE,(1+COUNTIF(DADOS!$X$5:$X$7,"&lt;="&amp;$AH$11)),0)+AF60</f>
        <v/>
      </c>
      <c r="AE60" s="11" t="n"/>
      <c r="AF60" s="93" t="n"/>
      <c r="AG60" s="47" t="n"/>
      <c r="AH60" s="47" t="n"/>
      <c r="AI60" s="51" t="inlineStr">
        <is>
          <t xml:space="preserve">ANOTAÇÕES RÁPIDAS </t>
        </is>
      </c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1" t="n"/>
      <c r="AS60" s="47" t="n"/>
      <c r="AT60" s="47" t="n"/>
      <c r="AU60" s="47" t="n"/>
    </row>
    <row r="61">
      <c r="A61" s="7" t="n"/>
      <c r="B61" s="7" t="n"/>
      <c r="C61" s="40" t="n"/>
      <c r="D61" s="89" t="b">
        <v>0</v>
      </c>
      <c r="E61" s="90" t="inlineStr">
        <is>
          <t>Furtividade</t>
        </is>
      </c>
      <c r="F61" s="10" t="n"/>
      <c r="G61" s="10" t="n"/>
      <c r="H61" s="10" t="n"/>
      <c r="I61" s="10" t="n"/>
      <c r="J61" s="10" t="n"/>
      <c r="K61" s="10" t="n"/>
      <c r="L61" s="11" t="n"/>
      <c r="M61" s="91" t="inlineStr">
        <is>
          <t>Des</t>
        </is>
      </c>
      <c r="N61" s="11" t="n"/>
      <c r="O61" s="92">
        <f>$L$17+IF($D61=TRUE,(1+COUNTIF(DADOS!$X$5:$X$7,"&lt;="&amp;$AH$11)),0)+Q61</f>
        <v/>
      </c>
      <c r="P61" s="11" t="n"/>
      <c r="Q61" s="93" t="n"/>
      <c r="R61" s="47" t="n"/>
      <c r="S61" s="89" t="b">
        <v>0</v>
      </c>
      <c r="T61" s="90" t="inlineStr">
        <is>
          <t>Lidar com Animais</t>
        </is>
      </c>
      <c r="U61" s="10" t="n"/>
      <c r="V61" s="10" t="n"/>
      <c r="W61" s="10" t="n"/>
      <c r="X61" s="10" t="n"/>
      <c r="Y61" s="10" t="n"/>
      <c r="Z61" s="10" t="n"/>
      <c r="AA61" s="11" t="n"/>
      <c r="AB61" s="91" t="inlineStr">
        <is>
          <t>Int</t>
        </is>
      </c>
      <c r="AC61" s="11" t="n"/>
      <c r="AD61" s="92">
        <f>$AB$17+IF($S61=TRUE,(1+COUNTIF(DADOS!$X$5:$X$7,"&lt;="&amp;$AH$11)),0)+AF61</f>
        <v/>
      </c>
      <c r="AE61" s="11" t="n"/>
      <c r="AF61" s="93" t="n"/>
      <c r="AG61" s="47" t="n"/>
      <c r="AH61" s="47" t="n"/>
      <c r="AI61" s="86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4" t="n"/>
      <c r="AS61" s="47" t="n"/>
      <c r="AT61" s="47" t="n"/>
      <c r="AU61" s="47" t="n"/>
    </row>
    <row r="62">
      <c r="A62" s="7" t="n"/>
      <c r="B62" s="7" t="n"/>
      <c r="C62" s="40" t="n"/>
      <c r="D62" s="89" t="b">
        <v>0</v>
      </c>
      <c r="E62" s="90" t="inlineStr">
        <is>
          <t>Pontaria</t>
        </is>
      </c>
      <c r="F62" s="10" t="n"/>
      <c r="G62" s="10" t="n"/>
      <c r="H62" s="10" t="n"/>
      <c r="I62" s="10" t="n"/>
      <c r="J62" s="10" t="n"/>
      <c r="K62" s="10" t="n"/>
      <c r="L62" s="11" t="n"/>
      <c r="M62" s="91" t="inlineStr">
        <is>
          <t>Des</t>
        </is>
      </c>
      <c r="N62" s="11" t="n"/>
      <c r="O62" s="92">
        <f>$L$17+IF($D62=TRUE,(1+COUNTIF(DADOS!$X$5:$X$7,"&lt;="&amp;$AH$11)),0)+Q62</f>
        <v/>
      </c>
      <c r="P62" s="11" t="n"/>
      <c r="Q62" s="93" t="n"/>
      <c r="R62" s="47" t="n"/>
      <c r="S62" s="89" t="b">
        <v>0</v>
      </c>
      <c r="T62" s="90" t="inlineStr">
        <is>
          <t>Tecnologia</t>
        </is>
      </c>
      <c r="U62" s="10" t="n"/>
      <c r="V62" s="10" t="n"/>
      <c r="W62" s="10" t="n"/>
      <c r="X62" s="10" t="n"/>
      <c r="Y62" s="10" t="n"/>
      <c r="Z62" s="10" t="n"/>
      <c r="AA62" s="11" t="n"/>
      <c r="AB62" s="91" t="inlineStr">
        <is>
          <t>Int</t>
        </is>
      </c>
      <c r="AC62" s="11" t="n"/>
      <c r="AD62" s="92">
        <f>$AB$17+IF($S62=TRUE,(1+COUNTIF(DADOS!$X$5:$X$7,"&lt;="&amp;$AH$11)),0)+AF62</f>
        <v/>
      </c>
      <c r="AE62" s="11" t="n"/>
      <c r="AF62" s="93" t="n"/>
      <c r="AG62" s="47" t="n"/>
      <c r="AH62" s="47" t="n"/>
      <c r="AI62" s="17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47" t="n"/>
      <c r="AT62" s="47" t="n"/>
      <c r="AU62" s="47" t="n"/>
    </row>
    <row r="63">
      <c r="A63" s="7" t="n"/>
      <c r="B63" s="7" t="n"/>
      <c r="C63" s="40" t="n"/>
      <c r="D63" s="89" t="b">
        <v>0</v>
      </c>
      <c r="E63" s="90" t="inlineStr">
        <is>
          <t>Prestidigitação</t>
        </is>
      </c>
      <c r="F63" s="10" t="n"/>
      <c r="G63" s="10" t="n"/>
      <c r="H63" s="10" t="n"/>
      <c r="I63" s="10" t="n"/>
      <c r="J63" s="10" t="n"/>
      <c r="K63" s="10" t="n"/>
      <c r="L63" s="11" t="n"/>
      <c r="M63" s="91" t="inlineStr">
        <is>
          <t>Des</t>
        </is>
      </c>
      <c r="N63" s="11" t="n"/>
      <c r="O63" s="92">
        <f>$L$17+IF($D63=TRUE,(1+COUNTIF(DADOS!$X$5:$X$7,"&lt;="&amp;$AH$11)),0)+Q63</f>
        <v/>
      </c>
      <c r="P63" s="11" t="n"/>
      <c r="Q63" s="93" t="n"/>
      <c r="R63" s="47" t="n"/>
      <c r="S63" s="89" t="b">
        <v>0</v>
      </c>
      <c r="T63" s="90" t="inlineStr">
        <is>
          <t>Sentir Energia</t>
        </is>
      </c>
      <c r="U63" s="10" t="n"/>
      <c r="V63" s="10" t="n"/>
      <c r="W63" s="10" t="n"/>
      <c r="X63" s="10" t="n"/>
      <c r="Y63" s="10" t="n"/>
      <c r="Z63" s="10" t="n"/>
      <c r="AA63" s="11" t="n"/>
      <c r="AB63" s="91" t="inlineStr">
        <is>
          <t>Ess</t>
        </is>
      </c>
      <c r="AC63" s="11" t="n"/>
      <c r="AD63" s="92">
        <f>$AB$17+IF($S63=TRUE,(1+COUNTIF(DADOS!$X$5:$X$7,"&lt;="&amp;$AH$11)),0)+AF63</f>
        <v/>
      </c>
      <c r="AE63" s="11" t="n"/>
      <c r="AF63" s="93" t="n"/>
      <c r="AG63" s="47" t="n"/>
      <c r="AH63" s="47" t="n"/>
      <c r="AI63" s="86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4" t="n"/>
      <c r="AS63" s="47" t="n"/>
      <c r="AT63" s="47" t="n"/>
      <c r="AU63" s="47" t="n"/>
    </row>
    <row r="64">
      <c r="A64" s="7" t="n"/>
      <c r="B64" s="7" t="n"/>
      <c r="C64" s="40" t="n"/>
      <c r="D64" s="89" t="b">
        <v>0</v>
      </c>
      <c r="E64" s="90" t="inlineStr">
        <is>
          <t>Investigação</t>
        </is>
      </c>
      <c r="F64" s="10" t="n"/>
      <c r="G64" s="10" t="n"/>
      <c r="H64" s="10" t="n"/>
      <c r="I64" s="10" t="n"/>
      <c r="J64" s="10" t="n"/>
      <c r="K64" s="10" t="n"/>
      <c r="L64" s="11" t="n"/>
      <c r="M64" s="91" t="inlineStr">
        <is>
          <t>Int</t>
        </is>
      </c>
      <c r="N64" s="11" t="n"/>
      <c r="O64" s="92">
        <f>$L$17+IF($D64=TRUE,(1+COUNTIF(DADOS!$X$5:$X$7,"&lt;="&amp;$AH$11)),0)+Q64</f>
        <v/>
      </c>
      <c r="P64" s="11" t="n"/>
      <c r="Q64" s="93" t="n"/>
      <c r="R64" s="47" t="n"/>
      <c r="S64" s="89" t="b">
        <v>0</v>
      </c>
      <c r="T64" s="90" t="inlineStr">
        <is>
          <t>Percepção</t>
        </is>
      </c>
      <c r="U64" s="10" t="n"/>
      <c r="V64" s="10" t="n"/>
      <c r="W64" s="10" t="n"/>
      <c r="X64" s="10" t="n"/>
      <c r="Y64" s="10" t="n"/>
      <c r="Z64" s="10" t="n"/>
      <c r="AA64" s="11" t="n"/>
      <c r="AB64" s="91" t="inlineStr">
        <is>
          <t>Ess</t>
        </is>
      </c>
      <c r="AC64" s="11" t="n"/>
      <c r="AD64" s="92">
        <f>$AB$17+IF($S64=TRUE,(1+COUNTIF(DADOS!$X$5:$X$7,"&lt;="&amp;$AH$11)),0)+AF64</f>
        <v/>
      </c>
      <c r="AE64" s="11" t="n"/>
      <c r="AF64" s="93" t="n"/>
      <c r="AG64" s="47" t="n"/>
      <c r="AH64" s="47" t="n"/>
      <c r="AI64" s="17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47" t="n"/>
      <c r="AT64" s="47" t="n"/>
      <c r="AU64" s="47" t="n"/>
    </row>
    <row r="65">
      <c r="A65" s="7" t="n"/>
      <c r="B65" s="7" t="n"/>
      <c r="C65" s="40" t="n"/>
      <c r="D65" s="89" t="b">
        <v>0</v>
      </c>
      <c r="E65" s="90" t="inlineStr">
        <is>
          <t>Intuição</t>
        </is>
      </c>
      <c r="F65" s="10" t="n"/>
      <c r="G65" s="10" t="n"/>
      <c r="H65" s="10" t="n"/>
      <c r="I65" s="10" t="n"/>
      <c r="J65" s="10" t="n"/>
      <c r="K65" s="10" t="n"/>
      <c r="L65" s="11" t="n"/>
      <c r="M65" s="91" t="inlineStr">
        <is>
          <t>Int</t>
        </is>
      </c>
      <c r="N65" s="11" t="n"/>
      <c r="O65" s="92">
        <f>$L$17+IF($D65=TRUE,(1+COUNTIF(DADOS!$X$5:$X$7,"&lt;="&amp;$AH$11)),0)+Q65</f>
        <v/>
      </c>
      <c r="P65" s="11" t="n"/>
      <c r="Q65" s="93" t="n"/>
      <c r="R65" s="47" t="n"/>
      <c r="S65" s="89" t="b">
        <v>0</v>
      </c>
      <c r="T65" s="90" t="inlineStr">
        <is>
          <t>Persuasão</t>
        </is>
      </c>
      <c r="U65" s="10" t="n"/>
      <c r="V65" s="10" t="n"/>
      <c r="W65" s="10" t="n"/>
      <c r="X65" s="10" t="n"/>
      <c r="Y65" s="10" t="n"/>
      <c r="Z65" s="10" t="n"/>
      <c r="AA65" s="11" t="n"/>
      <c r="AB65" s="91" t="inlineStr">
        <is>
          <t>Ess</t>
        </is>
      </c>
      <c r="AC65" s="11" t="n"/>
      <c r="AD65" s="92">
        <f>$AB$17+IF($S65=TRUE,(1+COUNTIF(DADOS!$X$5:$X$7,"&lt;="&amp;$AH$11)),0)+AF65</f>
        <v/>
      </c>
      <c r="AE65" s="11" t="n"/>
      <c r="AF65" s="93" t="n"/>
      <c r="AG65" s="47" t="n"/>
      <c r="AH65" s="47" t="n"/>
      <c r="AI65" s="86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4" t="n"/>
      <c r="AS65" s="47" t="n"/>
      <c r="AT65" s="47" t="n"/>
      <c r="AU65" s="47" t="n"/>
    </row>
    <row r="66">
      <c r="A66" s="7" t="n"/>
      <c r="B66" s="7" t="n"/>
      <c r="C66" s="40" t="n"/>
      <c r="D66" s="89" t="b">
        <v>0</v>
      </c>
      <c r="E66" s="90" t="inlineStr">
        <is>
          <t>Ocultismo</t>
        </is>
      </c>
      <c r="F66" s="10" t="n"/>
      <c r="G66" s="10" t="n"/>
      <c r="H66" s="10" t="n"/>
      <c r="I66" s="10" t="n"/>
      <c r="J66" s="10" t="n"/>
      <c r="K66" s="10" t="n"/>
      <c r="L66" s="11" t="n"/>
      <c r="M66" s="91" t="inlineStr">
        <is>
          <t>Int</t>
        </is>
      </c>
      <c r="N66" s="11" t="n"/>
      <c r="O66" s="92">
        <f>$L$17+IF($D66=TRUE,(1+COUNTIF(DADOS!$X$5:$X$7,"&lt;="&amp;$AH$11)),0)+Q66</f>
        <v/>
      </c>
      <c r="P66" s="11" t="n"/>
      <c r="Q66" s="93" t="n"/>
      <c r="R66" s="47" t="n"/>
      <c r="S66" s="89" t="b">
        <v>0</v>
      </c>
      <c r="T66" s="90" t="inlineStr">
        <is>
          <t>Enganação</t>
        </is>
      </c>
      <c r="U66" s="10" t="n"/>
      <c r="V66" s="10" t="n"/>
      <c r="W66" s="10" t="n"/>
      <c r="X66" s="10" t="n"/>
      <c r="Y66" s="10" t="n"/>
      <c r="Z66" s="10" t="n"/>
      <c r="AA66" s="11" t="n"/>
      <c r="AB66" s="91" t="inlineStr">
        <is>
          <t>Ess</t>
        </is>
      </c>
      <c r="AC66" s="11" t="n"/>
      <c r="AD66" s="92">
        <f>$AB$17+IF($S66=TRUE,(1+COUNTIF(DADOS!$X$5:$X$7,"&lt;="&amp;$AH$11)),0)+AF66</f>
        <v/>
      </c>
      <c r="AE66" s="11" t="n"/>
      <c r="AF66" s="93" t="n"/>
      <c r="AG66" s="47" t="n"/>
      <c r="AH66" s="47" t="n"/>
      <c r="AI66" s="17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9" t="n"/>
      <c r="AS66" s="47" t="n"/>
      <c r="AT66" s="47" t="n"/>
      <c r="AU66" s="47" t="n"/>
    </row>
    <row r="67">
      <c r="A67" s="7" t="n"/>
      <c r="B67" s="7" t="n"/>
      <c r="C67" s="40" t="n"/>
      <c r="D67" s="89" t="b">
        <v>0</v>
      </c>
      <c r="E67" s="90" t="inlineStr">
        <is>
          <t>Religião</t>
        </is>
      </c>
      <c r="F67" s="10" t="n"/>
      <c r="G67" s="10" t="n"/>
      <c r="H67" s="10" t="n"/>
      <c r="I67" s="10" t="n"/>
      <c r="J67" s="10" t="n"/>
      <c r="K67" s="10" t="n"/>
      <c r="L67" s="11" t="n"/>
      <c r="M67" s="91" t="inlineStr">
        <is>
          <t>Int</t>
        </is>
      </c>
      <c r="N67" s="11" t="n"/>
      <c r="O67" s="92">
        <f>$L$17+IF($D67=TRUE,(1+COUNTIF(DADOS!$X$5:$X$7,"&lt;="&amp;$AH$11)),0)+Q67</f>
        <v/>
      </c>
      <c r="P67" s="11" t="n"/>
      <c r="Q67" s="93" t="n"/>
      <c r="R67" s="47" t="n"/>
      <c r="S67" s="89" t="b">
        <v>0</v>
      </c>
      <c r="T67" s="90" t="inlineStr">
        <is>
          <t>Intimidação</t>
        </is>
      </c>
      <c r="U67" s="10" t="n"/>
      <c r="V67" s="10" t="n"/>
      <c r="W67" s="10" t="n"/>
      <c r="X67" s="10" t="n"/>
      <c r="Y67" s="10" t="n"/>
      <c r="Z67" s="10" t="n"/>
      <c r="AA67" s="11" t="n"/>
      <c r="AB67" s="91" t="inlineStr">
        <is>
          <t>Ess</t>
        </is>
      </c>
      <c r="AC67" s="11" t="n"/>
      <c r="AD67" s="92">
        <f>$AB$17+IF($S67=TRUE,(1+COUNTIF(DADOS!$X$5:$X$7,"&lt;="&amp;$AH$11)),0)+AF67</f>
        <v/>
      </c>
      <c r="AE67" s="11" t="n"/>
      <c r="AF67" s="93" t="n"/>
      <c r="AG67" s="47" t="n"/>
      <c r="AH67" s="47" t="n"/>
      <c r="AI67" s="86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4" t="n"/>
      <c r="AS67" s="47" t="n"/>
      <c r="AT67" s="47" t="n"/>
      <c r="AU67" s="47" t="n"/>
    </row>
    <row r="68">
      <c r="A68" s="7" t="n"/>
      <c r="B68" s="7" t="n"/>
      <c r="C68" s="40" t="n"/>
      <c r="D68" s="89" t="b">
        <v>0</v>
      </c>
      <c r="E68" s="90" t="inlineStr">
        <is>
          <t>História</t>
        </is>
      </c>
      <c r="F68" s="10" t="n"/>
      <c r="G68" s="10" t="n"/>
      <c r="H68" s="10" t="n"/>
      <c r="I68" s="10" t="n"/>
      <c r="J68" s="10" t="n"/>
      <c r="K68" s="10" t="n"/>
      <c r="L68" s="11" t="n"/>
      <c r="M68" s="91" t="inlineStr">
        <is>
          <t>Int</t>
        </is>
      </c>
      <c r="N68" s="11" t="n"/>
      <c r="O68" s="92">
        <f>$L$17+IF($D68=TRUE,(1+COUNTIF(DADOS!$X$5:$X$7,"&lt;="&amp;$AH$11)),0)+Q68</f>
        <v/>
      </c>
      <c r="P68" s="11" t="n"/>
      <c r="Q68" s="93" t="n"/>
      <c r="R68" s="47" t="n"/>
      <c r="S68" s="89" t="b">
        <v>0</v>
      </c>
      <c r="T68" s="90" t="inlineStr">
        <is>
          <t>Atuação</t>
        </is>
      </c>
      <c r="U68" s="10" t="n"/>
      <c r="V68" s="10" t="n"/>
      <c r="W68" s="10" t="n"/>
      <c r="X68" s="10" t="n"/>
      <c r="Y68" s="10" t="n"/>
      <c r="Z68" s="10" t="n"/>
      <c r="AA68" s="11" t="n"/>
      <c r="AB68" s="91" t="inlineStr">
        <is>
          <t>Ess</t>
        </is>
      </c>
      <c r="AC68" s="11" t="n"/>
      <c r="AD68" s="92">
        <f>$AB$17+IF($S68=TRUE,(1+COUNTIF(DADOS!$X$5:$X$7,"&lt;="&amp;$AH$11)),0)+AF68</f>
        <v/>
      </c>
      <c r="AE68" s="11" t="n"/>
      <c r="AF68" s="93" t="n"/>
      <c r="AG68" s="47" t="n"/>
      <c r="AH68" s="47" t="n"/>
      <c r="AI68" s="17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9" t="n"/>
      <c r="AS68" s="47" t="n"/>
      <c r="AT68" s="47" t="n"/>
      <c r="AU68" s="47" t="n"/>
    </row>
    <row r="69">
      <c r="A69" s="7" t="n"/>
      <c r="B69" s="7" t="n"/>
      <c r="C69" s="40" t="n"/>
      <c r="D69" s="89" t="b">
        <v>0</v>
      </c>
      <c r="E69" s="90" t="inlineStr">
        <is>
          <t>Hierarquia</t>
        </is>
      </c>
      <c r="F69" s="10" t="n"/>
      <c r="G69" s="10" t="n"/>
      <c r="H69" s="10" t="n"/>
      <c r="I69" s="10" t="n"/>
      <c r="J69" s="10" t="n"/>
      <c r="K69" s="10" t="n"/>
      <c r="L69" s="11" t="n"/>
      <c r="M69" s="91" t="inlineStr">
        <is>
          <t>Int</t>
        </is>
      </c>
      <c r="N69" s="11" t="n"/>
      <c r="O69" s="92">
        <f>$L$17+IF($D69=TRUE,(1+COUNTIF(DADOS!$X$5:$X$7,"&lt;="&amp;$AH$11)),0)+Q69</f>
        <v/>
      </c>
      <c r="P69" s="11" t="n"/>
      <c r="Q69" s="93" t="n"/>
      <c r="R69" s="47" t="n"/>
      <c r="S69" s="89" t="b">
        <v>0</v>
      </c>
      <c r="T69" s="90" t="inlineStr">
        <is>
          <t>Provocar</t>
        </is>
      </c>
      <c r="U69" s="10" t="n"/>
      <c r="V69" s="10" t="n"/>
      <c r="W69" s="10" t="n"/>
      <c r="X69" s="10" t="n"/>
      <c r="Y69" s="10" t="n"/>
      <c r="Z69" s="10" t="n"/>
      <c r="AA69" s="11" t="n"/>
      <c r="AB69" s="91" t="inlineStr">
        <is>
          <t>Ess</t>
        </is>
      </c>
      <c r="AC69" s="11" t="n"/>
      <c r="AD69" s="92">
        <f>$AB$17+IF($S69=TRUE,(1+COUNTIF(DADOS!$X$5:$X$7,"&lt;="&amp;$AH$11)),0)+AF69</f>
        <v/>
      </c>
      <c r="AE69" s="11" t="n"/>
      <c r="AF69" s="93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  <c r="AQ69" s="47" t="n"/>
      <c r="AR69" s="47" t="n"/>
      <c r="AS69" s="47" t="n"/>
      <c r="AT69" s="47" t="n"/>
      <c r="AU69" s="47" t="n"/>
    </row>
    <row r="70">
      <c r="A70" s="7" t="n"/>
      <c r="B70" s="7" t="n"/>
      <c r="C70" s="40" t="n"/>
      <c r="D70" s="89" t="b">
        <v>0</v>
      </c>
      <c r="E70" s="90" t="inlineStr">
        <is>
          <t>Medicina</t>
        </is>
      </c>
      <c r="F70" s="10" t="n"/>
      <c r="G70" s="10" t="n"/>
      <c r="H70" s="10" t="n"/>
      <c r="I70" s="10" t="n"/>
      <c r="J70" s="10" t="n"/>
      <c r="K70" s="10" t="n"/>
      <c r="L70" s="11" t="n"/>
      <c r="M70" s="91" t="inlineStr">
        <is>
          <t>Int</t>
        </is>
      </c>
      <c r="N70" s="11" t="n"/>
      <c r="O70" s="92">
        <f>$L$17+IF($D70=TRUE,(1+COUNTIF(DADOS!$X$5:$X$7,"&lt;="&amp;$AH$11)),0)+Q70</f>
        <v/>
      </c>
      <c r="P70" s="11" t="n"/>
      <c r="Q70" s="93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  <c r="AQ70" s="47" t="n"/>
      <c r="AR70" s="47" t="n"/>
      <c r="AS70" s="47" t="n"/>
      <c r="AT70" s="47" t="n"/>
      <c r="AU70" s="47" t="n"/>
    </row>
    <row r="71">
      <c r="A71" s="7" t="n"/>
      <c r="B71" s="7" t="n"/>
      <c r="C71" s="40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  <c r="AU71" s="47" t="n"/>
    </row>
    <row r="72" ht="27" customHeight="1">
      <c r="A72" s="7" t="n"/>
      <c r="B72" s="7" t="n"/>
      <c r="C72" s="40" t="n"/>
      <c r="D72" s="63" t="n">
        <v>6</v>
      </c>
      <c r="E72" s="13" t="n"/>
      <c r="F72" s="14" t="n"/>
      <c r="G72" s="85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  <c r="AU72" s="47" t="n"/>
    </row>
    <row r="73">
      <c r="A73" s="7" t="n"/>
      <c r="B73" s="7" t="n"/>
      <c r="C73" s="40" t="n"/>
      <c r="D73" s="17" t="n"/>
      <c r="E73" s="18" t="n"/>
      <c r="F73" s="19" t="n"/>
      <c r="G73" s="47" t="n"/>
      <c r="H73" s="47" t="n"/>
      <c r="I73" s="47" t="n"/>
      <c r="J73" s="47" t="n"/>
      <c r="K73" s="47" t="n"/>
      <c r="L73" s="47" t="n"/>
      <c r="M73" s="47" t="n"/>
      <c r="N73" s="88" t="inlineStr">
        <is>
          <t>Extra</t>
        </is>
      </c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88" t="inlineStr">
        <is>
          <t>Extra</t>
        </is>
      </c>
      <c r="AA73" s="47" t="n"/>
      <c r="AB73" s="47" t="n"/>
      <c r="AC73" s="47" t="n"/>
      <c r="AD73" s="47" t="n"/>
      <c r="AE73" s="47" t="n"/>
      <c r="AF73" s="47" t="n"/>
      <c r="AG73" s="47" t="n"/>
      <c r="AH73" s="47" t="n"/>
      <c r="AI73" s="47" t="n"/>
      <c r="AJ73" s="88" t="inlineStr">
        <is>
          <t>Extra</t>
        </is>
      </c>
      <c r="AK73" s="47" t="n"/>
      <c r="AL73" s="47" t="n"/>
      <c r="AM73" s="47" t="n"/>
      <c r="AN73" s="47" t="n"/>
      <c r="AO73" s="47" t="n"/>
      <c r="AP73" s="47" t="n"/>
      <c r="AQ73" s="47" t="n"/>
      <c r="AR73" s="47" t="n"/>
      <c r="AS73" s="47" t="n"/>
      <c r="AT73" s="47" t="n"/>
      <c r="AU73" s="47" t="n"/>
    </row>
    <row r="74">
      <c r="A74" s="7" t="n"/>
      <c r="B74" s="7" t="n"/>
      <c r="C74" s="40" t="n"/>
      <c r="D74" s="89" t="b">
        <v>0</v>
      </c>
      <c r="E74" s="90" t="inlineStr">
        <is>
          <t>Condução</t>
        </is>
      </c>
      <c r="F74" s="10" t="n"/>
      <c r="G74" s="10" t="n"/>
      <c r="H74" s="10" t="n"/>
      <c r="I74" s="11" t="n"/>
      <c r="J74" s="91" t="inlineStr">
        <is>
          <t>INTELIGÊNCIA</t>
        </is>
      </c>
      <c r="K74" s="10" t="n"/>
      <c r="L74" s="11" t="n"/>
      <c r="M74" s="93">
        <f>+IFS(J74="FORÇA",$D$17, J74="DESTREZA",$L$17, J74="CONSTITUIÇÃO",$T$17, J74="INTELIGÊNCIA",$AB$17, J74="ESSÊNCIA",$AJ$17)+IF($D74=TRUE,D$48,0)+N74</f>
        <v/>
      </c>
      <c r="N74" s="93" t="n"/>
      <c r="O74" s="47" t="n"/>
      <c r="P74" s="89" t="b">
        <v>0</v>
      </c>
      <c r="Q74" s="90" t="inlineStr">
        <is>
          <t>Entalhador</t>
        </is>
      </c>
      <c r="R74" s="10" t="n"/>
      <c r="S74" s="10" t="n"/>
      <c r="T74" s="10" t="n"/>
      <c r="U74" s="11" t="n"/>
      <c r="V74" s="91" t="inlineStr">
        <is>
          <t>INTELIGÊNCIA</t>
        </is>
      </c>
      <c r="W74" s="10" t="n"/>
      <c r="X74" s="11" t="n"/>
      <c r="Y74" s="93">
        <f>+IFS(V74="FORÇA",$D$17, V74="DESTREZA",$L$17, V74="CONSTITUIÇÃO",$T$17, V74="INTELIGÊNCIA",$AB$17, V74="ESSÊNCIA",$AJ$17)+IF($P74=TRUE,$D$48,0)+Z74</f>
        <v/>
      </c>
      <c r="Z74" s="93" t="n"/>
      <c r="AA74" s="47" t="n"/>
      <c r="AB74" s="89" t="b">
        <v>0</v>
      </c>
      <c r="AC74" s="94" t="inlineStr">
        <is>
          <t>Físico</t>
        </is>
      </c>
      <c r="AD74" s="10" t="n"/>
      <c r="AE74" s="10" t="n"/>
      <c r="AF74" s="10" t="n"/>
      <c r="AG74" s="10" t="n"/>
      <c r="AH74" s="10" t="n"/>
      <c r="AI74" s="10" t="n"/>
      <c r="AJ74" s="90" t="n"/>
      <c r="AK74" s="95" t="inlineStr">
        <is>
          <t>FORÇA</t>
        </is>
      </c>
      <c r="AL74" s="10" t="n"/>
      <c r="AM74" s="10" t="n"/>
      <c r="AN74" s="10" t="n"/>
      <c r="AO74" s="11" t="n"/>
      <c r="AP74" s="92">
        <f>+IFS(AK74="FORÇA",$D$17, AK74="DESTREZA",$L$17)+IF($AB$74=TRUE,2,0)+AJ74</f>
        <v/>
      </c>
      <c r="AQ74" s="10" t="n"/>
      <c r="AR74" s="10" t="n"/>
      <c r="AS74" s="10" t="n"/>
      <c r="AT74" s="11" t="n"/>
      <c r="AU74" s="96" t="n"/>
    </row>
    <row r="75">
      <c r="A75" s="7" t="n"/>
      <c r="B75" s="7" t="n"/>
      <c r="C75" s="40" t="n"/>
      <c r="D75" s="89" t="b">
        <v>0</v>
      </c>
      <c r="E75" s="90" t="inlineStr">
        <is>
          <t>Arrombamento</t>
        </is>
      </c>
      <c r="F75" s="10" t="n"/>
      <c r="G75" s="10" t="n"/>
      <c r="H75" s="10" t="n"/>
      <c r="I75" s="11" t="n"/>
      <c r="J75" s="91" t="inlineStr">
        <is>
          <t>INTELIGÊNCIA</t>
        </is>
      </c>
      <c r="K75" s="10" t="n"/>
      <c r="L75" s="11" t="n"/>
      <c r="M75" s="93">
        <f>+IFS(J75="FORÇA",$D$17, J75="DESTREZA",$L$17, J75="CONSTITUIÇÃO",$T$17, J75="INTELIGÊNCIA",$AB$17, J75="ESSÊNCIA",$AJ$17)+IF($D75=TRUE,D$48,0)+N75</f>
        <v/>
      </c>
      <c r="N75" s="93" t="n"/>
      <c r="O75" s="47" t="n"/>
      <c r="P75" s="89" t="b">
        <v>0</v>
      </c>
      <c r="Q75" s="90" t="inlineStr">
        <is>
          <t xml:space="preserve">Alfaiate </t>
        </is>
      </c>
      <c r="R75" s="10" t="n"/>
      <c r="S75" s="10" t="n"/>
      <c r="T75" s="10" t="n"/>
      <c r="U75" s="11" t="n"/>
      <c r="V75" s="91" t="inlineStr">
        <is>
          <t>INTELIGÊNCIA</t>
        </is>
      </c>
      <c r="W75" s="10" t="n"/>
      <c r="X75" s="11" t="n"/>
      <c r="Y75" s="93">
        <f>+IFS(V75="FORÇA",$D$17, V75="DESTREZA",$L$17, V75="CONSTITUIÇÃO",$T$17, V75="INTELIGÊNCIA",$AB$17, V75="ESSÊNCIA",$AJ$17)+IF($P75=TRUE,$D$48,0)+Z75</f>
        <v/>
      </c>
      <c r="Z75" s="93" t="n"/>
      <c r="AA75" s="47" t="n"/>
      <c r="AB75" s="89" t="b">
        <v>0</v>
      </c>
      <c r="AC75" s="94" t="inlineStr">
        <is>
          <t>Vigor</t>
        </is>
      </c>
      <c r="AD75" s="10" t="n"/>
      <c r="AE75" s="10" t="n"/>
      <c r="AF75" s="10" t="n"/>
      <c r="AG75" s="10" t="n"/>
      <c r="AH75" s="10" t="n"/>
      <c r="AI75" s="10" t="n"/>
      <c r="AJ75" s="90" t="n"/>
      <c r="AK75" s="91" t="inlineStr">
        <is>
          <t xml:space="preserve">CONSTITUIÇÃO </t>
        </is>
      </c>
      <c r="AL75" s="10" t="n"/>
      <c r="AM75" s="10" t="n"/>
      <c r="AN75" s="10" t="n"/>
      <c r="AO75" s="11" t="n"/>
      <c r="AP75" s="92">
        <f>$T$17+IF($AB$75=TRUE,2,0)+AJ75</f>
        <v/>
      </c>
      <c r="AQ75" s="10" t="n"/>
      <c r="AR75" s="10" t="n"/>
      <c r="AS75" s="10" t="n"/>
      <c r="AT75" s="11" t="n"/>
      <c r="AU75" s="96" t="n"/>
    </row>
    <row r="76">
      <c r="A76" s="7" t="n"/>
      <c r="B76" s="7" t="n"/>
      <c r="C76" s="40" t="n"/>
      <c r="D76" s="89" t="b">
        <v>0</v>
      </c>
      <c r="E76" s="90" t="inlineStr">
        <is>
          <t>Herbalismo</t>
        </is>
      </c>
      <c r="F76" s="10" t="n"/>
      <c r="G76" s="10" t="n"/>
      <c r="H76" s="10" t="n"/>
      <c r="I76" s="11" t="n"/>
      <c r="J76" s="91" t="inlineStr">
        <is>
          <t>INTELIGÊNCIA</t>
        </is>
      </c>
      <c r="K76" s="10" t="n"/>
      <c r="L76" s="11" t="n"/>
      <c r="M76" s="93">
        <f>+IFS(J76="FORÇA",$D$17, J76="DESTREZA",$L$17, J76="CONSTITUIÇÃO",$T$17, J76="INTELIGÊNCIA",$AB$17, J76="ESSÊNCIA",$AJ$17)+IF($D76=TRUE,D$48,0)+N76</f>
        <v/>
      </c>
      <c r="N76" s="93" t="n"/>
      <c r="O76" s="47" t="n"/>
      <c r="P76" s="89" t="b">
        <v>0</v>
      </c>
      <c r="Q76" s="97" t="inlineStr">
        <is>
          <t>Culinária</t>
        </is>
      </c>
      <c r="R76" s="10" t="n"/>
      <c r="S76" s="10" t="n"/>
      <c r="T76" s="10" t="n"/>
      <c r="U76" s="11" t="n"/>
      <c r="V76" s="91" t="inlineStr">
        <is>
          <t>INTELIGÊNCIA</t>
        </is>
      </c>
      <c r="W76" s="10" t="n"/>
      <c r="X76" s="11" t="n"/>
      <c r="Y76" s="93">
        <f>+IFS(V76="FORÇA",$D$17, V76="DESTREZA",$L$17, V76="CONSTITUIÇÃO",$T$17, V76="INTELIGÊNCIA",$AB$17, V76="ESSÊNCIA",$AJ$17)+IF($P76=TRUE,$D$48,0)+Z76</f>
        <v/>
      </c>
      <c r="Z76" s="93" t="n"/>
      <c r="AA76" s="47" t="n"/>
      <c r="AB76" s="89" t="b">
        <v>0</v>
      </c>
      <c r="AC76" s="94" t="inlineStr">
        <is>
          <t>Intelecto</t>
        </is>
      </c>
      <c r="AD76" s="10" t="n"/>
      <c r="AE76" s="10" t="n"/>
      <c r="AF76" s="10" t="n"/>
      <c r="AG76" s="10" t="n"/>
      <c r="AH76" s="10" t="n"/>
      <c r="AI76" s="10" t="n"/>
      <c r="AJ76" s="94" t="n"/>
      <c r="AK76" s="91" t="inlineStr">
        <is>
          <t>INTELIGÊNCIA</t>
        </is>
      </c>
      <c r="AL76" s="10" t="n"/>
      <c r="AM76" s="10" t="n"/>
      <c r="AN76" s="10" t="n"/>
      <c r="AO76" s="11" t="n"/>
      <c r="AP76" s="92">
        <f>$AB$17+IF($AB$76=TRUE,2,0)+AJ76</f>
        <v/>
      </c>
      <c r="AQ76" s="10" t="n"/>
      <c r="AR76" s="10" t="n"/>
      <c r="AS76" s="10" t="n"/>
      <c r="AT76" s="11" t="n"/>
      <c r="AU76" s="96" t="n"/>
    </row>
    <row r="77">
      <c r="A77" s="7" t="n"/>
      <c r="B77" s="7" t="n"/>
      <c r="C77" s="40" t="n"/>
      <c r="D77" s="89" t="b">
        <v>0</v>
      </c>
      <c r="E77" s="90" t="inlineStr">
        <is>
          <t>Forja</t>
        </is>
      </c>
      <c r="F77" s="10" t="n"/>
      <c r="G77" s="10" t="n"/>
      <c r="H77" s="10" t="n"/>
      <c r="I77" s="11" t="n"/>
      <c r="J77" s="91" t="inlineStr">
        <is>
          <t>INTELIGÊNCIA</t>
        </is>
      </c>
      <c r="K77" s="10" t="n"/>
      <c r="L77" s="11" t="n"/>
      <c r="M77" s="93">
        <f>+IFS(J77="FORÇA",$D$17, J77="DESTREZA",$L$17, J77="CONSTITUIÇÃO",$T$17, J77="INTELIGÊNCIA",$AB$17, J77="ESSÊNCIA",$AJ$17)+IF($D77=TRUE,D$48,0)+N77</f>
        <v/>
      </c>
      <c r="N77" s="93" t="n"/>
      <c r="O77" s="47" t="n"/>
      <c r="P77" s="89" t="b">
        <v>0</v>
      </c>
      <c r="Q77" s="90" t="inlineStr">
        <is>
          <t>Jogatina</t>
        </is>
      </c>
      <c r="R77" s="10" t="n"/>
      <c r="S77" s="10" t="n"/>
      <c r="T77" s="10" t="n"/>
      <c r="U77" s="11" t="n"/>
      <c r="V77" s="91" t="inlineStr">
        <is>
          <t>INTELIGÊNCIA</t>
        </is>
      </c>
      <c r="W77" s="10" t="n"/>
      <c r="X77" s="11" t="n"/>
      <c r="Y77" s="93">
        <f>+IFS(V77="FORÇA",$D$17, V77="DESTREZA",$L$17, V77="CONSTITUIÇÃO",$T$17, V77="INTELIGÊNCIA",$AB$17, V77="ESSÊNCIA",$AJ$17)+IF($P77=TRUE,$D$48,0)+Z77</f>
        <v/>
      </c>
      <c r="Z77" s="93" t="n"/>
      <c r="AA77" s="47" t="n"/>
      <c r="AB77" s="89" t="b">
        <v>0</v>
      </c>
      <c r="AC77" s="94" t="inlineStr">
        <is>
          <t>Espírito</t>
        </is>
      </c>
      <c r="AD77" s="10" t="n"/>
      <c r="AE77" s="10" t="n"/>
      <c r="AF77" s="10" t="n"/>
      <c r="AG77" s="10" t="n"/>
      <c r="AH77" s="10" t="n"/>
      <c r="AI77" s="10" t="n"/>
      <c r="AJ77" s="90" t="n"/>
      <c r="AK77" s="91" t="inlineStr">
        <is>
          <t>ESSÊNCIA</t>
        </is>
      </c>
      <c r="AL77" s="10" t="n"/>
      <c r="AM77" s="10" t="n"/>
      <c r="AN77" s="10" t="n"/>
      <c r="AO77" s="11" t="n"/>
      <c r="AP77" s="92">
        <f>$AJ$17+IF($AB$77=TRUE,2,0)+AJ77</f>
        <v/>
      </c>
      <c r="AQ77" s="10" t="n"/>
      <c r="AR77" s="10" t="n"/>
      <c r="AS77" s="10" t="n"/>
      <c r="AT77" s="11" t="n"/>
      <c r="AU77" s="96" t="n"/>
    </row>
    <row r="78">
      <c r="A78" s="7" t="n"/>
      <c r="B78" s="7" t="n"/>
      <c r="C78" s="40" t="n"/>
      <c r="D78" s="89" t="b">
        <v>0</v>
      </c>
      <c r="E78" s="90" t="inlineStr">
        <is>
          <t>Caligrafia</t>
        </is>
      </c>
      <c r="F78" s="10" t="n"/>
      <c r="G78" s="10" t="n"/>
      <c r="H78" s="10" t="n"/>
      <c r="I78" s="11" t="n"/>
      <c r="J78" s="91" t="inlineStr">
        <is>
          <t>INTELIGÊNCIA</t>
        </is>
      </c>
      <c r="K78" s="10" t="n"/>
      <c r="L78" s="11" t="n"/>
      <c r="M78" s="93">
        <f>+IFS(J78="FORÇA",$D$17, J78="DESTREZA",$L$17, J78="CONSTITUIÇÃO",$T$17, J78="INTELIGÊNCIA",$AB$17, J78="ESSÊNCIA",$AJ$17)+IF($D78=TRUE,D$48,0)+N78</f>
        <v/>
      </c>
      <c r="N78" s="93" t="n"/>
      <c r="O78" s="47" t="n"/>
      <c r="P78" s="89" t="b">
        <v>0</v>
      </c>
      <c r="Q78" s="90" t="inlineStr">
        <is>
          <t>Instrumento</t>
        </is>
      </c>
      <c r="R78" s="10" t="n"/>
      <c r="S78" s="10" t="n"/>
      <c r="T78" s="10" t="n"/>
      <c r="U78" s="11" t="n"/>
      <c r="V78" s="91" t="inlineStr">
        <is>
          <t>INTELIGÊNCIA</t>
        </is>
      </c>
      <c r="W78" s="10" t="n"/>
      <c r="X78" s="11" t="n"/>
      <c r="Y78" s="93">
        <f>+IFS(V78="FORÇA",$D$17, V78="DESTREZA",$L$17, V78="CONSTITUIÇÃO",$T$17, V78="INTELIGÊNCIA",$AB$17, V78="ESSÊNCIA",$AJ$17)+IF($P78=TRUE,$D$48,0)+Z78</f>
        <v/>
      </c>
      <c r="Z78" s="93" t="n"/>
      <c r="AA78" s="47" t="n"/>
      <c r="AB78" s="47" t="n"/>
      <c r="AC78" s="47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  <c r="AU78" s="47" t="n"/>
    </row>
    <row r="79">
      <c r="A79" s="7" t="n"/>
      <c r="B79" s="7" t="n"/>
      <c r="C79" s="40" t="n"/>
      <c r="D79" s="89" t="b">
        <v>0</v>
      </c>
      <c r="E79" s="90" t="inlineStr">
        <is>
          <t>Burocracia</t>
        </is>
      </c>
      <c r="F79" s="10" t="n"/>
      <c r="G79" s="10" t="n"/>
      <c r="H79" s="10" t="n"/>
      <c r="I79" s="11" t="n"/>
      <c r="J79" s="91" t="inlineStr">
        <is>
          <t>INTELIGÊNCIA</t>
        </is>
      </c>
      <c r="K79" s="10" t="n"/>
      <c r="L79" s="11" t="n"/>
      <c r="M79" s="93">
        <f>+IFS(J79="FORÇA",$D$17, J79="DESTREZA",$L$17, J79="CONSTITUIÇÃO",$T$17, J79="INTELIGÊNCIA",$AB$17, J79="ESSÊNCIA",$AJ$17)+IF($D79=TRUE,D$48,0)+N79</f>
        <v/>
      </c>
      <c r="N79" s="93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  <c r="AQ79" s="47" t="n"/>
      <c r="AR79" s="47" t="n"/>
      <c r="AS79" s="47" t="n"/>
      <c r="AT79" s="47" t="n"/>
      <c r="AU79" s="47" t="n"/>
    </row>
    <row r="80">
      <c r="A80" s="7" t="n"/>
      <c r="B80" s="7" t="n"/>
      <c r="C80" s="40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  <c r="AQ80" s="47" t="n"/>
      <c r="AR80" s="47" t="n"/>
      <c r="AS80" s="47" t="n"/>
      <c r="AT80" s="47" t="n"/>
      <c r="AU80" s="47" t="n"/>
    </row>
    <row r="81" ht="27" customHeight="1">
      <c r="A81" s="7" t="n"/>
      <c r="B81" s="7" t="n"/>
      <c r="C81" s="40" t="n"/>
      <c r="D81" s="63" t="n">
        <v>7</v>
      </c>
      <c r="E81" s="13" t="n"/>
      <c r="F81" s="14" t="n"/>
      <c r="G81" s="85" t="inlineStr">
        <is>
          <t>ANOTAÇÕES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1" t="n"/>
      <c r="AI81" s="47" t="n"/>
      <c r="AJ81" s="47" t="n"/>
      <c r="AK81" s="47" t="n"/>
      <c r="AL81" s="47" t="n"/>
      <c r="AM81" s="47" t="n"/>
      <c r="AN81" s="47" t="n"/>
      <c r="AO81" s="47" t="n"/>
      <c r="AP81" s="47" t="n"/>
      <c r="AQ81" s="47" t="n"/>
      <c r="AR81" s="47" t="n"/>
      <c r="AS81" s="47" t="n"/>
      <c r="AT81" s="47" t="n"/>
      <c r="AU81" s="47" t="n"/>
    </row>
    <row r="82">
      <c r="A82" s="7" t="n"/>
      <c r="B82" s="7" t="n"/>
      <c r="C82" s="40" t="n"/>
      <c r="D82" s="17" t="n"/>
      <c r="E82" s="18" t="n"/>
      <c r="F82" s="19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  <c r="AR82" s="40" t="n"/>
      <c r="AS82" s="40" t="n"/>
      <c r="AT82" s="40" t="n"/>
      <c r="AU82" s="40" t="n"/>
    </row>
    <row r="83" ht="5.25" customHeight="1">
      <c r="A83" s="7" t="n"/>
      <c r="B83" s="7" t="n"/>
      <c r="C83" s="40" t="n"/>
      <c r="D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  <c r="AR83" s="40" t="n"/>
      <c r="AS83" s="40" t="n"/>
      <c r="AT83" s="40" t="n"/>
      <c r="AU83" s="40" t="n"/>
    </row>
    <row r="84">
      <c r="A84" s="7" t="n"/>
      <c r="B84" s="7" t="n"/>
      <c r="C84" s="40" t="n"/>
      <c r="D84" s="98" t="inlineStr">
        <is>
          <t>Skill Base de Caminho 1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40" t="n"/>
      <c r="P84" s="98" t="inlineStr">
        <is>
          <t>Skill Base de Trilha 1</t>
        </is>
      </c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1" t="n"/>
      <c r="AA84" s="40" t="n"/>
      <c r="AB84" s="98" t="inlineStr">
        <is>
          <t>Outras Anotações</t>
        </is>
      </c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1" t="n"/>
      <c r="AM84" s="40" t="n"/>
      <c r="AN84" s="40" t="n"/>
      <c r="AO84" s="40" t="n"/>
      <c r="AP84" s="40" t="n"/>
      <c r="AQ84" s="40" t="n"/>
      <c r="AR84" s="40" t="n"/>
      <c r="AS84" s="40" t="n"/>
      <c r="AT84" s="40" t="n"/>
      <c r="AU84" s="40" t="n"/>
    </row>
    <row r="85" ht="5.25" customHeight="1">
      <c r="A85" s="7" t="n"/>
      <c r="B85" s="7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  <c r="AR85" s="40" t="n"/>
      <c r="AS85" s="40" t="n"/>
      <c r="AT85" s="40" t="n"/>
      <c r="AU85" s="40" t="n"/>
    </row>
    <row r="86">
      <c r="A86" s="7" t="n"/>
      <c r="B86" s="7" t="n"/>
      <c r="C86" s="40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4" t="n"/>
      <c r="O86" s="40" t="n"/>
      <c r="P86" s="12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4" t="n"/>
      <c r="AA86" s="40" t="n"/>
      <c r="AB86" s="12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4" t="n"/>
      <c r="AM86" s="40" t="n"/>
      <c r="AN86" s="40" t="n"/>
      <c r="AO86" s="40" t="n"/>
      <c r="AP86" s="40" t="n"/>
      <c r="AQ86" s="40" t="n"/>
      <c r="AR86" s="40" t="n"/>
      <c r="AS86" s="40" t="n"/>
      <c r="AT86" s="40" t="n"/>
      <c r="AU86" s="40" t="n"/>
    </row>
    <row r="87">
      <c r="A87" s="7" t="n"/>
      <c r="B87" s="7" t="n"/>
      <c r="C87" s="40" t="n"/>
      <c r="D87" s="15" t="n"/>
      <c r="N87" s="16" t="n"/>
      <c r="O87" s="40" t="n"/>
      <c r="P87" s="15" t="n"/>
      <c r="Z87" s="16" t="n"/>
      <c r="AA87" s="40" t="n"/>
      <c r="AB87" s="15" t="n"/>
      <c r="AL87" s="16" t="n"/>
      <c r="AM87" s="40" t="n"/>
      <c r="AN87" s="40" t="n"/>
      <c r="AO87" s="40" t="n"/>
      <c r="AP87" s="40" t="n"/>
      <c r="AQ87" s="40" t="n"/>
      <c r="AR87" s="40" t="n"/>
      <c r="AS87" s="40" t="n"/>
      <c r="AT87" s="40" t="n"/>
      <c r="AU87" s="40" t="n"/>
    </row>
    <row r="88">
      <c r="A88" s="7" t="n"/>
      <c r="B88" s="7" t="n"/>
      <c r="C88" s="40" t="n"/>
      <c r="D88" s="15" t="n"/>
      <c r="N88" s="16" t="n"/>
      <c r="O88" s="40" t="n"/>
      <c r="P88" s="15" t="n"/>
      <c r="Z88" s="16" t="n"/>
      <c r="AA88" s="40" t="n"/>
      <c r="AB88" s="15" t="n"/>
      <c r="AL88" s="16" t="n"/>
      <c r="AM88" s="40" t="n"/>
      <c r="AN88" s="40" t="n"/>
      <c r="AO88" s="40" t="n"/>
      <c r="AP88" s="40" t="n"/>
      <c r="AQ88" s="40" t="n"/>
      <c r="AR88" s="40" t="n"/>
      <c r="AS88" s="40" t="n"/>
      <c r="AT88" s="40" t="n"/>
      <c r="AU88" s="40" t="n"/>
    </row>
    <row r="89">
      <c r="A89" s="7" t="n"/>
      <c r="B89" s="7" t="n"/>
      <c r="C89" s="40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9" t="n"/>
      <c r="O89" s="40" t="n"/>
      <c r="P89" s="17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9" t="n"/>
      <c r="AA89" s="40" t="n"/>
      <c r="AB89" s="17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9" t="n"/>
      <c r="AM89" s="40" t="n"/>
      <c r="AN89" s="40" t="n"/>
      <c r="AO89" s="40" t="n"/>
      <c r="AP89" s="40" t="n"/>
      <c r="AQ89" s="40" t="n"/>
      <c r="AR89" s="40" t="n"/>
      <c r="AS89" s="40" t="n"/>
      <c r="AT89" s="40" t="n"/>
      <c r="AU89" s="40" t="n"/>
    </row>
    <row r="90" ht="5.25" customHeight="1">
      <c r="A90" s="7" t="n"/>
      <c r="B90" s="7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  <c r="AU90" s="40" t="n"/>
    </row>
    <row r="91">
      <c r="A91" s="7" t="n"/>
      <c r="B91" s="7" t="n"/>
      <c r="C91" s="40" t="n"/>
      <c r="D91" s="98" t="inlineStr">
        <is>
          <t>Skill Base de Caminho 2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98" t="inlineStr">
        <is>
          <t>Skill Base de Trilha 2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98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  <c r="AU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  <c r="AR92" s="40" t="n"/>
      <c r="AS92" s="40" t="n"/>
      <c r="AT92" s="40" t="n"/>
      <c r="AU92" s="40" t="n"/>
    </row>
    <row r="93">
      <c r="A93" s="7" t="n"/>
      <c r="B93" s="7" t="n"/>
      <c r="C93" s="40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2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2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P93" s="40" t="n"/>
      <c r="AQ93" s="40" t="n"/>
      <c r="AR93" s="40" t="n"/>
      <c r="AS93" s="40" t="n"/>
      <c r="AT93" s="40" t="n"/>
      <c r="AU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P94" s="40" t="n"/>
      <c r="AQ94" s="40" t="n"/>
      <c r="AR94" s="40" t="n"/>
      <c r="AS94" s="40" t="n"/>
      <c r="AT94" s="40" t="n"/>
      <c r="AU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P95" s="40" t="n"/>
      <c r="AQ95" s="40" t="n"/>
      <c r="AR95" s="40" t="n"/>
      <c r="AS95" s="40" t="n"/>
      <c r="AT95" s="40" t="n"/>
      <c r="AU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P96" s="40" t="n"/>
      <c r="AQ96" s="40" t="n"/>
      <c r="AR96" s="40" t="n"/>
      <c r="AS96" s="40" t="n"/>
      <c r="AT96" s="40" t="n"/>
      <c r="AU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  <c r="AU97" s="40" t="n"/>
    </row>
    <row r="98">
      <c r="A98" s="7" t="n"/>
      <c r="B98" s="7" t="n"/>
      <c r="C98" s="40" t="n"/>
      <c r="D98" s="98" t="inlineStr">
        <is>
          <t>Skill Base de Caminho 3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98" t="inlineStr">
        <is>
          <t>Skill Base de Trilha 3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98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  <c r="AU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  <c r="AU99" s="40" t="n"/>
    </row>
    <row r="100">
      <c r="A100" s="7" t="n"/>
      <c r="B100" s="7" t="n"/>
      <c r="C100" s="40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2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2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  <c r="AU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  <c r="AU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  <c r="AU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  <c r="AU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  <c r="AU104" s="40" t="n"/>
    </row>
    <row r="105">
      <c r="A105" s="7" t="n"/>
      <c r="B105" s="7" t="n"/>
      <c r="C105" s="40" t="n"/>
      <c r="D105" s="98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98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98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  <c r="AU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  <c r="AU106" s="40" t="n"/>
    </row>
    <row r="107">
      <c r="A107" s="7" t="n"/>
      <c r="B107" s="7" t="n"/>
      <c r="C107" s="40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2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2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  <c r="AU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  <c r="AU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  <c r="AU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  <c r="AU110" s="40" t="n"/>
    </row>
    <row r="11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  <c r="AU111" s="40" t="n"/>
    </row>
    <row r="112" ht="27" customHeight="1">
      <c r="A112" s="7" t="n"/>
      <c r="B112" s="7" t="n"/>
      <c r="C112" s="40" t="n"/>
      <c r="D112" s="63" t="n">
        <v>8</v>
      </c>
      <c r="E112" s="13" t="n"/>
      <c r="F112" s="14" t="n"/>
      <c r="G112" s="85" t="inlineStr">
        <is>
          <t>APTIDÕES E FEITIÇOS</t>
        </is>
      </c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1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  <c r="AU112" s="40" t="n"/>
    </row>
    <row r="113">
      <c r="A113" s="7" t="n"/>
      <c r="B113" s="7" t="n"/>
      <c r="C113" s="40" t="n"/>
      <c r="D113" s="17" t="n"/>
      <c r="E113" s="18" t="n"/>
      <c r="F113" s="19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  <c r="AU113" s="40" t="n"/>
    </row>
    <row r="114" ht="4.5" customHeight="1">
      <c r="A114" s="7" t="n"/>
      <c r="B114" s="7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  <c r="AU114" s="40" t="n"/>
    </row>
    <row r="115">
      <c r="A115" s="7" t="n"/>
      <c r="B115" s="7" t="n"/>
      <c r="C115" s="40" t="n"/>
      <c r="D115" s="98" t="inlineStr">
        <is>
          <t>Classe</t>
        </is>
      </c>
      <c r="E115" s="11" t="n"/>
      <c r="F115" s="98" t="inlineStr">
        <is>
          <t>Feitiços</t>
        </is>
      </c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1" t="n"/>
      <c r="U115" s="99" t="n"/>
      <c r="V115" s="98" t="inlineStr">
        <is>
          <t>Refino 0/10</t>
        </is>
      </c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1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  <c r="AU115" s="40" t="n"/>
    </row>
    <row r="116" ht="5.25" customHeight="1">
      <c r="A116" s="7" t="n"/>
      <c r="B116" s="7" t="n"/>
      <c r="C116" s="40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  <c r="U116" s="99" t="n"/>
      <c r="V116" s="99" t="n"/>
      <c r="W116" s="99" t="n"/>
      <c r="X116" s="99" t="n"/>
      <c r="Y116" s="99" t="n"/>
      <c r="Z116" s="99" t="n"/>
      <c r="AA116" s="99" t="n"/>
      <c r="AB116" s="99" t="n"/>
      <c r="AC116" s="99" t="n"/>
      <c r="AD116" s="99" t="n"/>
      <c r="AE116" s="99" t="n"/>
      <c r="AF116" s="99" t="n"/>
      <c r="AG116" s="99" t="n"/>
      <c r="AH116" s="99" t="n"/>
      <c r="AI116" s="99" t="n"/>
      <c r="AJ116" s="99" t="n"/>
      <c r="AK116" s="99" t="n"/>
      <c r="AL116" s="99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  <c r="AU116" s="40" t="n"/>
    </row>
    <row r="117">
      <c r="A117" s="7" t="n"/>
      <c r="B117" s="7" t="n"/>
      <c r="C117" s="40" t="n"/>
      <c r="D117" s="100" t="n"/>
      <c r="E117" s="11" t="n"/>
      <c r="F117" s="34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1" t="n"/>
      <c r="U117" s="99" t="n"/>
      <c r="V117" s="34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1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  <c r="AU117" s="40" t="n"/>
    </row>
    <row r="118">
      <c r="A118" s="7" t="n"/>
      <c r="B118" s="7" t="n"/>
      <c r="C118" s="40" t="n"/>
      <c r="D118" s="100" t="n"/>
      <c r="E118" s="11" t="n"/>
      <c r="F118" s="34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4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  <c r="AU118" s="40" t="n"/>
    </row>
    <row r="119">
      <c r="A119" s="7" t="n"/>
      <c r="B119" s="7" t="n"/>
      <c r="C119" s="40" t="n"/>
      <c r="D119" s="100" t="n"/>
      <c r="E119" s="11" t="n"/>
      <c r="F119" s="34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4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  <c r="AU119" s="40" t="n"/>
    </row>
    <row r="120">
      <c r="A120" s="7" t="n"/>
      <c r="B120" s="7" t="n"/>
      <c r="C120" s="40" t="n"/>
      <c r="D120" s="100" t="n"/>
      <c r="E120" s="11" t="n"/>
      <c r="F120" s="34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4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  <c r="AU120" s="40" t="n"/>
    </row>
    <row r="121">
      <c r="A121" s="7" t="n"/>
      <c r="B121" s="7" t="n"/>
      <c r="C121" s="40" t="n"/>
      <c r="D121" s="100" t="n"/>
      <c r="E121" s="11" t="n"/>
      <c r="F121" s="34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4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  <c r="AU121" s="40" t="n"/>
    </row>
    <row r="122">
      <c r="A122" s="7" t="n"/>
      <c r="B122" s="7" t="n"/>
      <c r="C122" s="40" t="n"/>
      <c r="D122" s="100" t="n"/>
      <c r="E122" s="11" t="n"/>
      <c r="F122" s="34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4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  <c r="AU122" s="40" t="n"/>
    </row>
    <row r="123">
      <c r="A123" s="7" t="n"/>
      <c r="B123" s="7" t="n"/>
      <c r="C123" s="40" t="n"/>
      <c r="D123" s="100" t="n"/>
      <c r="E123" s="11" t="n"/>
      <c r="F123" s="34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4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  <c r="AU123" s="40" t="n"/>
    </row>
    <row r="124">
      <c r="A124" s="7" t="n"/>
      <c r="B124" s="7" t="n"/>
      <c r="C124" s="40" t="n"/>
      <c r="D124" s="100" t="n"/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4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  <c r="AU124" s="40" t="n"/>
    </row>
    <row r="125">
      <c r="A125" s="7" t="n"/>
      <c r="B125" s="7" t="n"/>
      <c r="C125" s="40" t="n"/>
      <c r="D125" s="100" t="n"/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4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  <c r="AU125" s="40" t="n"/>
    </row>
    <row r="126">
      <c r="A126" s="7" t="n"/>
      <c r="B126" s="7" t="n"/>
      <c r="C126" s="40" t="n"/>
      <c r="D126" s="100" t="n"/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  <c r="AU126" s="40" t="n"/>
    </row>
    <row r="127">
      <c r="A127" s="7" t="n"/>
      <c r="B127" s="7" t="n"/>
      <c r="C127" s="40" t="n"/>
      <c r="D127" s="100" t="n"/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  <c r="AU127" s="40" t="n"/>
    </row>
    <row r="128">
      <c r="A128" s="7" t="n"/>
      <c r="B128" s="7" t="n"/>
      <c r="C128" s="40" t="n"/>
      <c r="D128" s="100" t="n"/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  <c r="AU128" s="40" t="n"/>
    </row>
    <row r="129">
      <c r="A129" s="7" t="n"/>
      <c r="B129" s="7" t="n"/>
      <c r="C129" s="40" t="n"/>
      <c r="D129" s="100" t="n"/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  <c r="AU129" s="40" t="n"/>
    </row>
    <row r="130">
      <c r="A130" s="7" t="n"/>
      <c r="B130" s="7" t="n"/>
      <c r="C130" s="40" t="n"/>
      <c r="D130" s="100" t="n"/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40" t="n"/>
      <c r="V130" s="40" t="n"/>
      <c r="W130" s="40" t="n"/>
      <c r="X130" s="40" t="n"/>
      <c r="Y130" s="40" t="n"/>
      <c r="Z130" s="40" t="n"/>
      <c r="AA130" s="40" t="n"/>
      <c r="AB130" s="40" t="n"/>
      <c r="AC130" s="40" t="n"/>
      <c r="AD130" s="40" t="n"/>
      <c r="AE130" s="40" t="n"/>
      <c r="AF130" s="40" t="n"/>
      <c r="AG130" s="40" t="n"/>
      <c r="AH130" s="40" t="n"/>
      <c r="AI130" s="40" t="n"/>
      <c r="AJ130" s="40" t="n"/>
      <c r="AK130" s="40" t="n"/>
      <c r="AL130" s="40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  <c r="AU130" s="40" t="n"/>
    </row>
    <row r="131">
      <c r="A131" s="7" t="n"/>
      <c r="B131" s="7" t="n"/>
      <c r="C131" s="40" t="n"/>
      <c r="D131" s="100" t="n"/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40" t="n"/>
      <c r="V131" s="40" t="n"/>
      <c r="W131" s="40" t="n"/>
      <c r="X131" s="40" t="n"/>
      <c r="Y131" s="40" t="n"/>
      <c r="Z131" s="40" t="n"/>
      <c r="AA131" s="40" t="n"/>
      <c r="AB131" s="40" t="n"/>
      <c r="AC131" s="40" t="n"/>
      <c r="AD131" s="40" t="n"/>
      <c r="AE131" s="40" t="n"/>
      <c r="AF131" s="40" t="n"/>
      <c r="AG131" s="40" t="n"/>
      <c r="AH131" s="40" t="n"/>
      <c r="AI131" s="40" t="n"/>
      <c r="AJ131" s="40" t="n"/>
      <c r="AK131" s="40" t="n"/>
      <c r="AL131" s="40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  <c r="AU131" s="40" t="n"/>
    </row>
    <row r="132">
      <c r="A132" s="7" t="n"/>
      <c r="B132" s="7" t="n"/>
      <c r="C132" s="40" t="n"/>
      <c r="D132" s="100" t="n"/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40" t="n"/>
      <c r="V132" s="40" t="n"/>
      <c r="W132" s="40" t="n"/>
      <c r="X132" s="40" t="n"/>
      <c r="Y132" s="40" t="n"/>
      <c r="Z132" s="40" t="n"/>
      <c r="AA132" s="40" t="n"/>
      <c r="AB132" s="40" t="n"/>
      <c r="AC132" s="40" t="n"/>
      <c r="AD132" s="40" t="n"/>
      <c r="AE132" s="40" t="n"/>
      <c r="AF132" s="40" t="n"/>
      <c r="AG132" s="40" t="n"/>
      <c r="AH132" s="40" t="n"/>
      <c r="AI132" s="40" t="n"/>
      <c r="AJ132" s="40" t="n"/>
      <c r="AK132" s="40" t="n"/>
      <c r="AL132" s="40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  <c r="AU132" s="40" t="n"/>
    </row>
    <row r="133">
      <c r="A133" s="7" t="n"/>
      <c r="B133" s="7" t="n"/>
      <c r="C133" s="40" t="n"/>
      <c r="D133" s="100" t="n"/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40" t="n"/>
      <c r="V133" s="40" t="n"/>
      <c r="W133" s="40" t="n"/>
      <c r="X133" s="40" t="n"/>
      <c r="Y133" s="40" t="n"/>
      <c r="Z133" s="40" t="n"/>
      <c r="AA133" s="40" t="n"/>
      <c r="AB133" s="40" t="n"/>
      <c r="AC133" s="40" t="n"/>
      <c r="AD133" s="40" t="n"/>
      <c r="AE133" s="40" t="n"/>
      <c r="AF133" s="40" t="n"/>
      <c r="AG133" s="40" t="n"/>
      <c r="AH133" s="40" t="n"/>
      <c r="AI133" s="40" t="n"/>
      <c r="AJ133" s="40" t="n"/>
      <c r="AK133" s="40" t="n"/>
      <c r="AL133" s="40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  <c r="AU133" s="40" t="n"/>
    </row>
    <row r="134">
      <c r="A134" s="7" t="n"/>
      <c r="B134" s="7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  <c r="AA134" s="40" t="n"/>
      <c r="AB134" s="40" t="n"/>
      <c r="AC134" s="40" t="n"/>
      <c r="AD134" s="40" t="n"/>
      <c r="AE134" s="40" t="n"/>
      <c r="AF134" s="40" t="n"/>
      <c r="AG134" s="40" t="n"/>
      <c r="AH134" s="40" t="n"/>
      <c r="AI134" s="40" t="n"/>
      <c r="AJ134" s="40" t="n"/>
      <c r="AK134" s="40" t="n"/>
      <c r="AL134" s="40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  <c r="AU134" s="40" t="n"/>
    </row>
    <row r="135">
      <c r="A135" s="7" t="n"/>
      <c r="B135" s="7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  <c r="AA135" s="40" t="n"/>
      <c r="AB135" s="40" t="n"/>
      <c r="AC135" s="40" t="n"/>
      <c r="AD135" s="40" t="n"/>
      <c r="AE135" s="40" t="n"/>
      <c r="AF135" s="40" t="n"/>
      <c r="AG135" s="40" t="n"/>
      <c r="AH135" s="40" t="n"/>
      <c r="AI135" s="40" t="n"/>
      <c r="AJ135" s="40" t="n"/>
      <c r="AK135" s="40" t="n"/>
      <c r="AL135" s="40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  <c r="AU135" s="40" t="n"/>
    </row>
  </sheetData>
  <mergeCells count="289">
    <mergeCell ref="D107:N110"/>
    <mergeCell ref="O47:X47"/>
    <mergeCell ref="AK75:AO75"/>
    <mergeCell ref="AD68:AE68"/>
    <mergeCell ref="M59:N59"/>
    <mergeCell ref="D2:X2"/>
    <mergeCell ref="J74:L74"/>
    <mergeCell ref="V122:AL122"/>
    <mergeCell ref="AD67:AE67"/>
    <mergeCell ref="V74:X74"/>
    <mergeCell ref="D39:M39"/>
    <mergeCell ref="AI65:AR66"/>
    <mergeCell ref="D84:N84"/>
    <mergeCell ref="D22:N22"/>
    <mergeCell ref="AH2:AT2"/>
    <mergeCell ref="AB60:AC60"/>
    <mergeCell ref="M70:N70"/>
    <mergeCell ref="D93:N96"/>
    <mergeCell ref="V121:AL121"/>
    <mergeCell ref="M60:N60"/>
    <mergeCell ref="AD60:AE60"/>
    <mergeCell ref="P84:Z84"/>
    <mergeCell ref="AD69:AE69"/>
    <mergeCell ref="P107:Z110"/>
    <mergeCell ref="J75:L75"/>
    <mergeCell ref="AB59:AC59"/>
    <mergeCell ref="AF23:AK23"/>
    <mergeCell ref="O63:P63"/>
    <mergeCell ref="AB107:AL110"/>
    <mergeCell ref="AH10:AL10"/>
    <mergeCell ref="AM31:AR31"/>
    <mergeCell ref="L16:R16"/>
    <mergeCell ref="D19:J19"/>
    <mergeCell ref="E60:L60"/>
    <mergeCell ref="E69:L69"/>
    <mergeCell ref="Q78:U78"/>
    <mergeCell ref="A8:B26"/>
    <mergeCell ref="F130:T130"/>
    <mergeCell ref="AB61:AC61"/>
    <mergeCell ref="D125:E125"/>
    <mergeCell ref="AP74:AT74"/>
    <mergeCell ref="F117:T117"/>
    <mergeCell ref="E59:L59"/>
    <mergeCell ref="AI60:AR60"/>
    <mergeCell ref="D34:AT34"/>
    <mergeCell ref="O39:X39"/>
    <mergeCell ref="AF22:AK22"/>
    <mergeCell ref="F123:T123"/>
    <mergeCell ref="AB93:AL96"/>
    <mergeCell ref="F132:T132"/>
    <mergeCell ref="P98:Z98"/>
    <mergeCell ref="D127:E127"/>
    <mergeCell ref="AM26:AR26"/>
    <mergeCell ref="F119:T119"/>
    <mergeCell ref="V120:AL120"/>
    <mergeCell ref="E61:L61"/>
    <mergeCell ref="D10:L10"/>
    <mergeCell ref="T60:AA60"/>
    <mergeCell ref="O60:P60"/>
    <mergeCell ref="AI67:AR68"/>
    <mergeCell ref="AM23:AR23"/>
    <mergeCell ref="M62:N62"/>
    <mergeCell ref="AK54:AT54"/>
    <mergeCell ref="O66:P66"/>
    <mergeCell ref="F118:T118"/>
    <mergeCell ref="D43:M43"/>
    <mergeCell ref="D112:F113"/>
    <mergeCell ref="V78:X78"/>
    <mergeCell ref="F127:T127"/>
    <mergeCell ref="V124:AL124"/>
    <mergeCell ref="D8:F9"/>
    <mergeCell ref="D26:N26"/>
    <mergeCell ref="AN11:AT11"/>
    <mergeCell ref="AB65:AC65"/>
    <mergeCell ref="D115:E115"/>
    <mergeCell ref="D11:L11"/>
    <mergeCell ref="Z48:AI48"/>
    <mergeCell ref="O68:P68"/>
    <mergeCell ref="AK40:AT40"/>
    <mergeCell ref="V126:AL126"/>
    <mergeCell ref="Q77:U77"/>
    <mergeCell ref="J79:L79"/>
    <mergeCell ref="Z44:AI44"/>
    <mergeCell ref="AE50:AO50"/>
    <mergeCell ref="O48:X48"/>
    <mergeCell ref="AB63:AC63"/>
    <mergeCell ref="D131:E131"/>
    <mergeCell ref="D83:M83"/>
    <mergeCell ref="AD63:AE63"/>
    <mergeCell ref="D51:F52"/>
    <mergeCell ref="M64:N64"/>
    <mergeCell ref="AD59:AE59"/>
    <mergeCell ref="F129:T129"/>
    <mergeCell ref="D124:E124"/>
    <mergeCell ref="D54:M54"/>
    <mergeCell ref="T65:AA65"/>
    <mergeCell ref="O65:P65"/>
    <mergeCell ref="AB91:AL91"/>
    <mergeCell ref="F121:T121"/>
    <mergeCell ref="AI63:AR64"/>
    <mergeCell ref="E63:L63"/>
    <mergeCell ref="T62:AA62"/>
    <mergeCell ref="J31:N32"/>
    <mergeCell ref="T59:AA59"/>
    <mergeCell ref="AF26:AK26"/>
    <mergeCell ref="F131:T131"/>
    <mergeCell ref="D126:E126"/>
    <mergeCell ref="AB84:AL84"/>
    <mergeCell ref="E78:I78"/>
    <mergeCell ref="P93:Z96"/>
    <mergeCell ref="E65:L65"/>
    <mergeCell ref="M65:N65"/>
    <mergeCell ref="AC75:AI75"/>
    <mergeCell ref="T64:AA64"/>
    <mergeCell ref="D40:M40"/>
    <mergeCell ref="E77:I77"/>
    <mergeCell ref="J23:N24"/>
    <mergeCell ref="AC74:AI74"/>
    <mergeCell ref="O62:P62"/>
    <mergeCell ref="AB67:AC67"/>
    <mergeCell ref="P27:AD28"/>
    <mergeCell ref="D100:N103"/>
    <mergeCell ref="AF27:AK27"/>
    <mergeCell ref="AD61:AE61"/>
    <mergeCell ref="AB16:AH16"/>
    <mergeCell ref="D118:E118"/>
    <mergeCell ref="V128:AL128"/>
    <mergeCell ref="D72:F73"/>
    <mergeCell ref="AB69:AC69"/>
    <mergeCell ref="AP77:AT77"/>
    <mergeCell ref="Z47:AI47"/>
    <mergeCell ref="AB100:AL103"/>
    <mergeCell ref="M66:N66"/>
    <mergeCell ref="D129:E129"/>
    <mergeCell ref="L17:R18"/>
    <mergeCell ref="M63:N63"/>
    <mergeCell ref="O43:X43"/>
    <mergeCell ref="J78:L78"/>
    <mergeCell ref="AB62:AC62"/>
    <mergeCell ref="D86:N89"/>
    <mergeCell ref="D98:N98"/>
    <mergeCell ref="AD62:AE62"/>
    <mergeCell ref="D5:Z5"/>
    <mergeCell ref="T67:AA67"/>
    <mergeCell ref="D37:F38"/>
    <mergeCell ref="AP75:AT75"/>
    <mergeCell ref="M68:N68"/>
    <mergeCell ref="F133:T133"/>
    <mergeCell ref="AK44:AT44"/>
    <mergeCell ref="AE51:AO51"/>
    <mergeCell ref="AB64:AC64"/>
    <mergeCell ref="D128:E128"/>
    <mergeCell ref="AD64:AE64"/>
    <mergeCell ref="AJ17:AP18"/>
    <mergeCell ref="G37:X37"/>
    <mergeCell ref="E62:L62"/>
    <mergeCell ref="M67:N67"/>
    <mergeCell ref="G57:AD57"/>
    <mergeCell ref="F126:T126"/>
    <mergeCell ref="AF30:AK30"/>
    <mergeCell ref="T19:Z19"/>
    <mergeCell ref="F122:T122"/>
    <mergeCell ref="D81:F82"/>
    <mergeCell ref="E64:L64"/>
    <mergeCell ref="D105:N105"/>
    <mergeCell ref="M69:N69"/>
    <mergeCell ref="F125:T125"/>
    <mergeCell ref="N10:V10"/>
    <mergeCell ref="AK74:AO74"/>
    <mergeCell ref="D120:E120"/>
    <mergeCell ref="P105:Z105"/>
    <mergeCell ref="D44:M44"/>
    <mergeCell ref="AK48:AT48"/>
    <mergeCell ref="AD65:AE65"/>
    <mergeCell ref="AF31:AK31"/>
    <mergeCell ref="G72:AH72"/>
    <mergeCell ref="O53:X53"/>
    <mergeCell ref="E74:I74"/>
    <mergeCell ref="G81:AH81"/>
    <mergeCell ref="G51:X51"/>
    <mergeCell ref="D91:N91"/>
    <mergeCell ref="V127:AL127"/>
    <mergeCell ref="D23:H24"/>
    <mergeCell ref="O59:P59"/>
    <mergeCell ref="J76:L76"/>
    <mergeCell ref="P91:Z91"/>
    <mergeCell ref="F120:T120"/>
    <mergeCell ref="P31:AD32"/>
    <mergeCell ref="D57:F58"/>
    <mergeCell ref="AK43:AT43"/>
    <mergeCell ref="AC77:AI77"/>
    <mergeCell ref="Z53:AI53"/>
    <mergeCell ref="T61:AA61"/>
    <mergeCell ref="O61:P61"/>
    <mergeCell ref="AB66:AC66"/>
    <mergeCell ref="AD66:AE66"/>
    <mergeCell ref="O70:P70"/>
    <mergeCell ref="D27:H28"/>
    <mergeCell ref="D117:E117"/>
    <mergeCell ref="O54:X54"/>
    <mergeCell ref="D30:N30"/>
    <mergeCell ref="D48:M48"/>
    <mergeCell ref="AK77:AO77"/>
    <mergeCell ref="D133:E133"/>
    <mergeCell ref="P100:Z103"/>
    <mergeCell ref="AB68:AC68"/>
    <mergeCell ref="D16:J16"/>
    <mergeCell ref="AP76:AT76"/>
    <mergeCell ref="F124:T124"/>
    <mergeCell ref="V125:AL125"/>
    <mergeCell ref="E66:L66"/>
    <mergeCell ref="Z39:AI39"/>
    <mergeCell ref="A30:B48"/>
    <mergeCell ref="J27:N28"/>
    <mergeCell ref="V77:X77"/>
    <mergeCell ref="O40:X40"/>
    <mergeCell ref="D14:F15"/>
    <mergeCell ref="E68:L68"/>
    <mergeCell ref="D119:E119"/>
    <mergeCell ref="P86:Z89"/>
    <mergeCell ref="T16:Z16"/>
    <mergeCell ref="E67:L67"/>
    <mergeCell ref="AB86:AL89"/>
    <mergeCell ref="D3:Z4"/>
    <mergeCell ref="D17:J18"/>
    <mergeCell ref="AJ16:AP16"/>
    <mergeCell ref="E79:I79"/>
    <mergeCell ref="AB19:AH19"/>
    <mergeCell ref="AN10:AT10"/>
    <mergeCell ref="Z40:AI40"/>
    <mergeCell ref="T63:AA63"/>
    <mergeCell ref="AM30:AR30"/>
    <mergeCell ref="F115:T115"/>
    <mergeCell ref="T68:AA68"/>
    <mergeCell ref="V75:X75"/>
    <mergeCell ref="G14:X14"/>
    <mergeCell ref="AH3:AT3"/>
    <mergeCell ref="V115:AL115"/>
    <mergeCell ref="AB17:AH18"/>
    <mergeCell ref="AK53:AT53"/>
    <mergeCell ref="T17:Z18"/>
    <mergeCell ref="O69:P69"/>
    <mergeCell ref="V117:AL117"/>
    <mergeCell ref="X10:AF10"/>
    <mergeCell ref="Z54:AI54"/>
    <mergeCell ref="L19:R19"/>
    <mergeCell ref="D31:H32"/>
    <mergeCell ref="AB105:AL105"/>
    <mergeCell ref="V123:AL123"/>
    <mergeCell ref="D122:E122"/>
    <mergeCell ref="AM27:AR27"/>
    <mergeCell ref="V119:AL119"/>
    <mergeCell ref="AK47:AT47"/>
    <mergeCell ref="AH11:AL11"/>
    <mergeCell ref="AK76:AO76"/>
    <mergeCell ref="AK39:AT39"/>
    <mergeCell ref="AI61:AR62"/>
    <mergeCell ref="AB98:AL98"/>
    <mergeCell ref="M61:N61"/>
    <mergeCell ref="E70:L70"/>
    <mergeCell ref="Q74:U74"/>
    <mergeCell ref="Z43:AI43"/>
    <mergeCell ref="T69:AA69"/>
    <mergeCell ref="AC76:AI76"/>
    <mergeCell ref="D121:E121"/>
    <mergeCell ref="P23:AD24"/>
    <mergeCell ref="T66:AA66"/>
    <mergeCell ref="O64:P64"/>
    <mergeCell ref="N11:V11"/>
    <mergeCell ref="D130:E130"/>
    <mergeCell ref="V76:X76"/>
    <mergeCell ref="E76:I76"/>
    <mergeCell ref="AJ19:AP19"/>
    <mergeCell ref="X11:AF11"/>
    <mergeCell ref="O44:X44"/>
    <mergeCell ref="G112:AH112"/>
    <mergeCell ref="O67:P67"/>
    <mergeCell ref="V118:AL118"/>
    <mergeCell ref="Q76:U76"/>
    <mergeCell ref="F128:T128"/>
    <mergeCell ref="D53:M53"/>
    <mergeCell ref="D123:E123"/>
    <mergeCell ref="AM22:AR22"/>
    <mergeCell ref="E75:I75"/>
    <mergeCell ref="D47:M47"/>
    <mergeCell ref="D132:E132"/>
    <mergeCell ref="J77:L77"/>
    <mergeCell ref="G8:X8"/>
    <mergeCell ref="Q75:U75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5">
    <dataValidation sqref="J74:J79 V74:V78 Z48 AE51 AK48 AU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DADOS!$A$4:$A$7</formula1>
    </dataValidation>
    <dataValidation sqref="AK74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n">
        <v>104</v>
      </c>
      <c r="C1" s="103" t="inlineStr">
        <is>
          <t>versão corrente (puxada da central)</t>
        </is>
      </c>
      <c r="D1" s="102" t="n">
        <v>104</v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103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40" t="n"/>
      <c r="N3" s="104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lista</t>
        </is>
      </c>
      <c r="L4" s="105" t="inlineStr">
        <is>
          <t>Muro</t>
        </is>
      </c>
      <c r="M4" s="40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40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40" t="n"/>
      <c r="AB4" s="106" t="inlineStr">
        <is>
          <t>perícia</t>
        </is>
      </c>
      <c r="AC4" s="106" t="inlineStr">
        <is>
          <t>atributo</t>
        </is>
      </c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Lento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escala</t>
        </is>
      </c>
      <c r="L5" s="105" t="inlineStr">
        <is>
          <t>Punho</t>
        </is>
      </c>
      <c r="M5" s="40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40" t="n"/>
      <c r="W5" s="107" t="n">
        <v>6</v>
      </c>
      <c r="X5" s="107" t="n">
        <v>10</v>
      </c>
      <c r="Y5" s="107" t="n">
        <v>1</v>
      </c>
      <c r="Z5" s="107" t="n">
        <v>5</v>
      </c>
      <c r="AA5" s="40" t="n"/>
      <c r="AB5" s="105" t="inlineStr">
        <is>
          <t>Atletismo</t>
        </is>
      </c>
      <c r="AC5" s="105" t="inlineStr">
        <is>
          <t>Força</t>
        </is>
      </c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criacao</t>
        </is>
      </c>
      <c r="L6" s="105" t="inlineStr">
        <is>
          <t>Brasa</t>
        </is>
      </c>
      <c r="M6" s="40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40" t="n"/>
      <c r="W6" s="107" t="n">
        <v>10</v>
      </c>
      <c r="X6" s="107" t="n">
        <v>18</v>
      </c>
      <c r="Y6" s="107" t="n">
        <v>5</v>
      </c>
      <c r="Z6" s="107" t="n">
        <v>11</v>
      </c>
      <c r="AA6" s="40" t="n"/>
      <c r="AB6" s="105" t="inlineStr">
        <is>
          <t>Acrobacia</t>
        </is>
      </c>
      <c r="AC6" s="105" t="inlineStr">
        <is>
          <t>Destreza</t>
        </is>
      </c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nota</t>
        </is>
      </c>
      <c r="L7" s="105" t="inlineStr">
        <is>
          <t>Estocada</t>
        </is>
      </c>
      <c r="M7" s="40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40" t="n"/>
      <c r="W7" s="107" t="n">
        <v>14</v>
      </c>
      <c r="X7" s="107" t="n">
        <v>26</v>
      </c>
      <c r="Y7" s="107" t="n">
        <v>9</v>
      </c>
      <c r="Z7" s="107" t="n">
        <v>17</v>
      </c>
      <c r="AA7" s="40" t="n"/>
      <c r="AB7" s="105" t="inlineStr">
        <is>
          <t>Furtividade</t>
        </is>
      </c>
      <c r="AC7" s="105" t="inlineStr">
        <is>
          <t>Destreza</t>
        </is>
      </c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40" t="n"/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40" t="n"/>
      <c r="K8" s="105" t="inlineStr">
        <is>
          <t>pagina</t>
        </is>
      </c>
      <c r="L8" s="105" t="inlineStr">
        <is>
          <t>Batedor</t>
        </is>
      </c>
      <c r="M8" s="40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40" t="n"/>
      <c r="W8" s="107" t="n">
        <v>18</v>
      </c>
      <c r="X8" s="40" t="n"/>
      <c r="Y8" s="107" t="n">
        <v>13</v>
      </c>
      <c r="Z8" s="40" t="n"/>
      <c r="AA8" s="40" t="n"/>
      <c r="AB8" s="105" t="inlineStr">
        <is>
          <t>Pontaria</t>
        </is>
      </c>
      <c r="AC8" s="105" t="inlineStr">
        <is>
          <t>Destreza</t>
        </is>
      </c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40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40" t="n"/>
      <c r="K9" s="40" t="n"/>
      <c r="L9" s="105" t="inlineStr">
        <is>
          <t>Executor</t>
        </is>
      </c>
      <c r="M9" s="40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40" t="n"/>
      <c r="W9" s="107" t="n">
        <v>22</v>
      </c>
      <c r="X9" s="40" t="n"/>
      <c r="Y9" s="107" t="n">
        <v>17</v>
      </c>
      <c r="Z9" s="40" t="n"/>
      <c r="AA9" s="40" t="n"/>
      <c r="AB9" s="105" t="inlineStr">
        <is>
          <t>Prestidigitação</t>
        </is>
      </c>
      <c r="AC9" s="105" t="inlineStr">
        <is>
          <t>Destreza</t>
        </is>
      </c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40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40" t="n"/>
      <c r="K10" s="40" t="n"/>
      <c r="L10" s="105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07" t="n">
        <v>26</v>
      </c>
      <c r="X10" s="40" t="n"/>
      <c r="Y10" s="107" t="n">
        <v>21</v>
      </c>
      <c r="Z10" s="40" t="n"/>
      <c r="AA10" s="40" t="n"/>
      <c r="AB10" s="105" t="inlineStr">
        <is>
          <t>Investigação</t>
        </is>
      </c>
      <c r="AC10" s="105" t="inlineStr">
        <is>
          <t>Inteligência</t>
        </is>
      </c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40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40" t="n"/>
      <c r="J11" s="40" t="n"/>
      <c r="K11" s="40" t="n"/>
      <c r="L11" s="105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07" t="n">
        <v>30</v>
      </c>
      <c r="X11" s="40" t="n"/>
      <c r="Y11" s="107" t="n">
        <v>26</v>
      </c>
      <c r="Z11" s="40" t="n"/>
      <c r="AA11" s="40" t="n"/>
      <c r="AB11" s="105" t="inlineStr">
        <is>
          <t>Intuição</t>
        </is>
      </c>
      <c r="AC11" s="105" t="inlineStr">
        <is>
          <t>Inteligência</t>
        </is>
      </c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40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Petrificado</t>
        </is>
      </c>
      <c r="I12" s="40" t="n"/>
      <c r="J12" s="40" t="n"/>
      <c r="K12" s="40" t="n"/>
      <c r="L12" s="105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105" t="inlineStr">
        <is>
          <t>Ocultismo</t>
        </is>
      </c>
      <c r="AC12" s="105" t="inlineStr">
        <is>
          <t>Inteligência</t>
        </is>
      </c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40" t="n"/>
      <c r="B13" s="105" t="inlineStr">
        <is>
          <t>História</t>
        </is>
      </c>
      <c r="C13" s="105" t="inlineStr">
        <is>
          <t>Instrumento</t>
        </is>
      </c>
      <c r="D13" s="40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Impedido</t>
        </is>
      </c>
      <c r="I13" s="40" t="n"/>
      <c r="J13" s="40" t="n"/>
      <c r="K13" s="40" t="n"/>
      <c r="L13" s="105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105" t="inlineStr">
        <is>
          <t>Religião</t>
        </is>
      </c>
      <c r="AC13" s="105" t="inlineStr">
        <is>
          <t>Inteligência</t>
        </is>
      </c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40" t="n"/>
      <c r="B14" s="105" t="inlineStr">
        <is>
          <t>Hierarquia</t>
        </is>
      </c>
      <c r="C14" s="105" t="inlineStr">
        <is>
          <t>Jogatina</t>
        </is>
      </c>
      <c r="D14" s="40" t="n"/>
      <c r="E14" s="40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Cego</t>
        </is>
      </c>
      <c r="I14" s="40" t="n"/>
      <c r="J14" s="40" t="n"/>
      <c r="K14" s="40" t="n"/>
      <c r="L14" s="105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105" t="inlineStr">
        <is>
          <t>História</t>
        </is>
      </c>
      <c r="AC14" s="105" t="inlineStr">
        <is>
          <t>Inteligência</t>
        </is>
      </c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40" t="n"/>
      <c r="B15" s="105" t="inlineStr">
        <is>
          <t>Medicina</t>
        </is>
      </c>
      <c r="C15" s="40" t="n"/>
      <c r="D15" s="40" t="n"/>
      <c r="E15" s="40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Amedrontado</t>
        </is>
      </c>
      <c r="I15" s="40" t="n"/>
      <c r="J15" s="40" t="n"/>
      <c r="K15" s="40" t="n"/>
      <c r="L15" s="105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105" t="inlineStr">
        <is>
          <t>Hierarquia</t>
        </is>
      </c>
      <c r="AC15" s="105" t="inlineStr">
        <is>
          <t>Inteligência</t>
        </is>
      </c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40" t="n"/>
      <c r="B16" s="105" t="inlineStr">
        <is>
          <t>Sobrevivência</t>
        </is>
      </c>
      <c r="C16" s="40" t="n"/>
      <c r="D16" s="40" t="n"/>
      <c r="E16" s="40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Envenenado</t>
        </is>
      </c>
      <c r="I16" s="40" t="n"/>
      <c r="J16" s="40" t="n"/>
      <c r="K16" s="40" t="n"/>
      <c r="L16" s="105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105" t="inlineStr">
        <is>
          <t>Medicina</t>
        </is>
      </c>
      <c r="AC16" s="105" t="inlineStr">
        <is>
          <t>Inteligência</t>
        </is>
      </c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40" t="n"/>
      <c r="B17" s="105" t="inlineStr">
        <is>
          <t>Natureza</t>
        </is>
      </c>
      <c r="C17" s="40" t="n"/>
      <c r="D17" s="40" t="n"/>
      <c r="E17" s="40" t="n"/>
      <c r="F17" s="105" t="inlineStr">
        <is>
          <t>Salto</t>
        </is>
      </c>
      <c r="G17" s="105" t="inlineStr">
        <is>
          <t>Assinatura</t>
        </is>
      </c>
      <c r="H17" s="105" t="inlineStr">
        <is>
          <t>Atordoado</t>
        </is>
      </c>
      <c r="I17" s="40" t="n"/>
      <c r="J17" s="40" t="n"/>
      <c r="K17" s="40" t="n"/>
      <c r="L17" s="105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105" t="inlineStr">
        <is>
          <t>Sobrevivência</t>
        </is>
      </c>
      <c r="AC17" s="105" t="inlineStr">
        <is>
          <t>Inteligência</t>
        </is>
      </c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40" t="n"/>
      <c r="B18" s="105" t="inlineStr">
        <is>
          <t>Lidar com Animais</t>
        </is>
      </c>
      <c r="C18" s="40" t="n"/>
      <c r="D18" s="40" t="n"/>
      <c r="E18" s="40" t="n"/>
      <c r="F18" s="105" t="inlineStr">
        <is>
          <t>Contorno</t>
        </is>
      </c>
      <c r="G18" s="105" t="inlineStr">
        <is>
          <t>Aquecer</t>
        </is>
      </c>
      <c r="H18" s="40" t="n"/>
      <c r="I18" s="40" t="n"/>
      <c r="J18" s="40" t="n"/>
      <c r="K18" s="40" t="n"/>
      <c r="L18" s="105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105" t="inlineStr">
        <is>
          <t>Natureza</t>
        </is>
      </c>
      <c r="AC18" s="105" t="inlineStr">
        <is>
          <t>Inteligência</t>
        </is>
      </c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40" t="n"/>
      <c r="B19" s="105" t="inlineStr">
        <is>
          <t>Tecnologia</t>
        </is>
      </c>
      <c r="C19" s="40" t="n"/>
      <c r="D19" s="40" t="n"/>
      <c r="E19" s="40" t="n"/>
      <c r="F19" s="105" t="inlineStr">
        <is>
          <t>Precisão</t>
        </is>
      </c>
      <c r="G19" s="105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105" t="inlineStr">
        <is>
          <t>Lidar com Animais</t>
        </is>
      </c>
      <c r="AC19" s="105" t="inlineStr">
        <is>
          <t>Inteligência</t>
        </is>
      </c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40" t="n"/>
      <c r="B20" s="105" t="inlineStr">
        <is>
          <t>Sentir Energia</t>
        </is>
      </c>
      <c r="C20" s="40" t="n"/>
      <c r="D20" s="40" t="n"/>
      <c r="E20" s="40" t="n"/>
      <c r="F20" s="105" t="inlineStr">
        <is>
          <t>Certeiro</t>
        </is>
      </c>
      <c r="G20" s="105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105" t="inlineStr">
        <is>
          <t>Tecnologia</t>
        </is>
      </c>
      <c r="AC20" s="105" t="inlineStr">
        <is>
          <t>Inteligência</t>
        </is>
      </c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40" t="n"/>
      <c r="B21" s="105" t="inlineStr">
        <is>
          <t>Percepção</t>
        </is>
      </c>
      <c r="C21" s="40" t="n"/>
      <c r="D21" s="40" t="n"/>
      <c r="E21" s="40" t="n"/>
      <c r="F21" s="105" t="inlineStr">
        <is>
          <t>Inescapável</t>
        </is>
      </c>
      <c r="G21" s="105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105" t="inlineStr">
        <is>
          <t>Sentir Energia</t>
        </is>
      </c>
      <c r="AC21" s="105" t="inlineStr">
        <is>
          <t>Essência</t>
        </is>
      </c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40" t="n"/>
      <c r="B22" s="105" t="inlineStr">
        <is>
          <t>Persuasão</t>
        </is>
      </c>
      <c r="C22" s="40" t="n"/>
      <c r="D22" s="40" t="n"/>
      <c r="E22" s="40" t="n"/>
      <c r="F22" s="105" t="inlineStr">
        <is>
          <t>Fura</t>
        </is>
      </c>
      <c r="G22" s="105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105" t="inlineStr">
        <is>
          <t>Percepção</t>
        </is>
      </c>
      <c r="AC22" s="105" t="inlineStr">
        <is>
          <t>Essência</t>
        </is>
      </c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40" t="n"/>
      <c r="B23" s="105" t="inlineStr">
        <is>
          <t>Enganação</t>
        </is>
      </c>
      <c r="C23" s="40" t="n"/>
      <c r="D23" s="40" t="n"/>
      <c r="E23" s="40" t="n"/>
      <c r="F23" s="105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105" t="inlineStr">
        <is>
          <t>Persuasão</t>
        </is>
      </c>
      <c r="AC23" s="105" t="inlineStr">
        <is>
          <t>Essência</t>
        </is>
      </c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40" t="n"/>
      <c r="B24" s="105" t="inlineStr">
        <is>
          <t>Intimidação</t>
        </is>
      </c>
      <c r="C24" s="40" t="n"/>
      <c r="D24" s="40" t="n"/>
      <c r="E24" s="40" t="n"/>
      <c r="F24" s="105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105" t="inlineStr">
        <is>
          <t>Enganação</t>
        </is>
      </c>
      <c r="AC24" s="105" t="inlineStr">
        <is>
          <t>Essência</t>
        </is>
      </c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40" t="n"/>
      <c r="B25" s="105" t="inlineStr">
        <is>
          <t>Atuação</t>
        </is>
      </c>
      <c r="C25" s="40" t="n"/>
      <c r="D25" s="40" t="n"/>
      <c r="E25" s="40" t="n"/>
      <c r="F25" s="105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105" t="inlineStr">
        <is>
          <t>Intimidação</t>
        </is>
      </c>
      <c r="AC25" s="105" t="inlineStr">
        <is>
          <t>Essência</t>
        </is>
      </c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40" t="n"/>
      <c r="B26" s="105" t="inlineStr">
        <is>
          <t>Provocar</t>
        </is>
      </c>
      <c r="C26" s="40" t="n"/>
      <c r="D26" s="40" t="n"/>
      <c r="E26" s="40" t="n"/>
      <c r="F26" s="105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105" t="inlineStr">
        <is>
          <t>Atuação</t>
        </is>
      </c>
      <c r="AC26" s="105" t="inlineStr">
        <is>
          <t>Essência</t>
        </is>
      </c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40" t="n"/>
      <c r="B27" s="40" t="n"/>
      <c r="C27" s="40" t="n"/>
      <c r="D27" s="40" t="n"/>
      <c r="E27" s="40" t="n"/>
      <c r="F27" s="105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105" t="inlineStr">
        <is>
          <t>Provocar</t>
        </is>
      </c>
      <c r="AC27" s="105" t="inlineStr">
        <is>
          <t>Essência</t>
        </is>
      </c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40" t="n"/>
      <c r="B28" s="40" t="n"/>
      <c r="C28" s="40" t="n"/>
      <c r="D28" s="40" t="n"/>
      <c r="E28" s="40" t="n"/>
      <c r="F28" s="105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40" t="n"/>
      <c r="B29" s="40" t="n"/>
      <c r="C29" s="40" t="n"/>
      <c r="D29" s="40" t="n"/>
      <c r="E29" s="40" t="n"/>
      <c r="F29" s="105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40" t="n"/>
      <c r="B30" s="40" t="n"/>
      <c r="C30" s="40" t="n"/>
      <c r="D30" s="40" t="n"/>
      <c r="E30" s="40" t="n"/>
      <c r="F30" s="105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40" t="n"/>
      <c r="B31" s="40" t="n"/>
      <c r="C31" s="40" t="n"/>
      <c r="D31" s="40" t="n"/>
      <c r="E31" s="40" t="n"/>
      <c r="F31" s="105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40" t="n"/>
      <c r="B32" s="40" t="n"/>
      <c r="C32" s="40" t="n"/>
      <c r="D32" s="40" t="n"/>
      <c r="E32" s="40" t="n"/>
      <c r="F32" s="105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40" t="n"/>
      <c r="B33" s="40" t="n"/>
      <c r="C33" s="40" t="n"/>
      <c r="D33" s="40" t="n"/>
      <c r="E33" s="40" t="n"/>
      <c r="F33" s="105" t="inlineStr">
        <is>
          <t>Nível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40" t="n"/>
      <c r="B34" s="40" t="n"/>
      <c r="C34" s="40" t="n"/>
      <c r="D34" s="40" t="n"/>
      <c r="E34" s="40" t="n"/>
      <c r="F34" s="105" t="inlineStr">
        <is>
          <t>Impulso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40" t="n"/>
      <c r="B35" s="40" t="n"/>
      <c r="C35" s="40" t="n"/>
      <c r="D35" s="40" t="n"/>
      <c r="E35" s="40" t="n"/>
      <c r="F35" s="105" t="inlineStr">
        <is>
          <t>Trava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40" t="n"/>
      <c r="B36" s="40" t="n"/>
      <c r="C36" s="40" t="n"/>
      <c r="D36" s="40" t="n"/>
      <c r="E36" s="40" t="n"/>
      <c r="F36" s="105" t="inlineStr">
        <is>
          <t>Abre Ferida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40" t="n"/>
      <c r="B37" s="40" t="n"/>
      <c r="C37" s="40" t="n"/>
      <c r="D37" s="40" t="n"/>
      <c r="E37" s="40" t="n"/>
      <c r="F37" s="105" t="inlineStr">
        <is>
          <t>Sobrecarga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40" t="n"/>
      <c r="B38" s="40" t="n"/>
      <c r="C38" s="40" t="n"/>
      <c r="D38" s="40" t="n"/>
      <c r="E38" s="40" t="n"/>
      <c r="F38" s="105" t="inlineStr">
        <is>
          <t>Firmeza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40" t="n"/>
      <c r="B39" s="40" t="n"/>
      <c r="C39" s="40" t="n"/>
      <c r="D39" s="40" t="n"/>
      <c r="E39" s="40" t="n"/>
      <c r="F39" s="105" t="inlineStr">
        <is>
          <t>Guarda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40" t="n"/>
      <c r="B40" s="40" t="n"/>
      <c r="C40" s="40" t="n"/>
      <c r="D40" s="40" t="n"/>
      <c r="E40" s="40" t="n"/>
      <c r="F40" s="105" t="inlineStr">
        <is>
          <t>Pressa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40" t="n"/>
      <c r="B41" s="40" t="n"/>
      <c r="C41" s="40" t="n"/>
      <c r="D41" s="40" t="n"/>
      <c r="E41" s="40" t="n"/>
      <c r="F41" s="105" t="inlineStr">
        <is>
          <t>Enfraquece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40" t="n"/>
      <c r="B42" s="40" t="n"/>
      <c r="C42" s="40" t="n"/>
      <c r="D42" s="40" t="n"/>
      <c r="E42" s="40" t="n"/>
      <c r="F42" s="105" t="inlineStr">
        <is>
          <t>Ecoa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40" t="n"/>
      <c r="B43" s="40" t="n"/>
      <c r="C43" s="40" t="n"/>
      <c r="D43" s="40" t="n"/>
      <c r="E43" s="40" t="n"/>
      <c r="F43" s="105" t="inlineStr">
        <is>
          <t>Queima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</row>
    <row r="44" ht="17.25" customHeight="1">
      <c r="A44" s="40" t="n"/>
      <c r="B44" s="40" t="n"/>
      <c r="C44" s="40" t="n"/>
      <c r="D44" s="40" t="n"/>
      <c r="E44" s="40" t="n"/>
      <c r="F44" s="105" t="inlineStr">
        <is>
          <t>Acúmulo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</row>
    <row r="45" ht="17.25" customHeight="1">
      <c r="A45" s="40" t="n"/>
      <c r="B45" s="40" t="n"/>
      <c r="C45" s="40" t="n"/>
      <c r="D45" s="40" t="n"/>
      <c r="E45" s="40" t="n"/>
      <c r="F45" s="105" t="inlineStr">
        <is>
          <t>Remate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</row>
    <row r="46" ht="17.25" customHeight="1">
      <c r="A46" s="40" t="n"/>
      <c r="B46" s="40" t="n"/>
      <c r="C46" s="40" t="n"/>
      <c r="D46" s="40" t="n"/>
      <c r="E46" s="40" t="n"/>
      <c r="F46" s="105" t="inlineStr">
        <is>
          <t>Estilhaço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</row>
    <row r="47" ht="17.25" customHeight="1">
      <c r="A47" s="40" t="n"/>
      <c r="B47" s="40" t="n"/>
      <c r="C47" s="40" t="n"/>
      <c r="D47" s="40" t="n"/>
      <c r="E47" s="40" t="n"/>
      <c r="F47" s="105" t="inlineStr">
        <is>
          <t>Quebra Coisa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</row>
    <row r="48" ht="17.25" customHeight="1">
      <c r="A48" s="40" t="n"/>
      <c r="B48" s="40" t="n"/>
      <c r="C48" s="40" t="n"/>
      <c r="D48" s="40" t="n"/>
      <c r="E48" s="40" t="n"/>
      <c r="F48" s="105" t="inlineStr">
        <is>
          <t>Rasga Escudo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</row>
    <row r="49" ht="17.25" customHeight="1">
      <c r="A49" s="40" t="n"/>
      <c r="B49" s="40" t="n"/>
      <c r="C49" s="40" t="n"/>
      <c r="D49" s="40" t="n"/>
      <c r="E49" s="40" t="n"/>
      <c r="F49" s="105" t="inlineStr">
        <is>
          <t>Sem Cura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</row>
    <row r="50" ht="17.25" customHeight="1">
      <c r="A50" s="40" t="n"/>
      <c r="B50" s="40" t="n"/>
      <c r="C50" s="40" t="n"/>
      <c r="D50" s="40" t="n"/>
      <c r="E50" s="40" t="n"/>
      <c r="F50" s="105" t="inlineStr">
        <is>
          <t>Rápido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</row>
    <row r="51" ht="17.25" customHeight="1">
      <c r="A51" s="40" t="n"/>
      <c r="B51" s="40" t="n"/>
      <c r="C51" s="40" t="n"/>
      <c r="D51" s="40" t="n"/>
      <c r="E51" s="40" t="n"/>
      <c r="F51" s="105" t="inlineStr">
        <is>
          <t>Reação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</row>
    <row r="52" ht="17.25" customHeight="1">
      <c r="A52" s="40" t="n"/>
      <c r="B52" s="40" t="n"/>
      <c r="C52" s="40" t="n"/>
      <c r="D52" s="40" t="n"/>
      <c r="E52" s="40" t="n"/>
      <c r="F52" s="105" t="inlineStr">
        <is>
          <t>Armado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</row>
    <row r="53" ht="17.25" customHeight="1">
      <c r="A53" s="40" t="n"/>
      <c r="B53" s="40" t="n"/>
      <c r="C53" s="40" t="n"/>
      <c r="D53" s="40" t="n"/>
      <c r="E53" s="40" t="n"/>
      <c r="F53" s="105" t="inlineStr">
        <is>
          <t>Silencioso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</row>
    <row r="54" ht="17.25" customHeight="1">
      <c r="A54" s="40" t="n"/>
      <c r="B54" s="40" t="n"/>
      <c r="C54" s="40" t="n"/>
      <c r="D54" s="40" t="n"/>
      <c r="E54" s="40" t="n"/>
      <c r="F54" s="105" t="inlineStr">
        <is>
          <t>Adianta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</row>
    <row r="55" ht="17.25" customHeight="1">
      <c r="A55" s="40" t="n"/>
      <c r="B55" s="40" t="n"/>
      <c r="C55" s="40" t="n"/>
      <c r="D55" s="40" t="n"/>
      <c r="E55" s="40" t="n"/>
      <c r="F55" s="105" t="inlineStr">
        <is>
          <t>Segura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</row>
    <row r="56" ht="17.25" customHeight="1">
      <c r="A56" s="40" t="n"/>
      <c r="B56" s="40" t="n"/>
      <c r="C56" s="40" t="n"/>
      <c r="D56" s="40" t="n"/>
      <c r="E56" s="40" t="n"/>
      <c r="F56" s="105" t="inlineStr">
        <is>
          <t>Marca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40" t="n"/>
      <c r="BB56" s="40" t="n"/>
    </row>
    <row r="57" ht="17.25" customHeight="1">
      <c r="A57" s="40" t="n"/>
      <c r="B57" s="40" t="n"/>
      <c r="C57" s="40" t="n"/>
      <c r="D57" s="40" t="n"/>
      <c r="E57" s="40" t="n"/>
      <c r="F57" s="105" t="inlineStr">
        <is>
          <t>Rastro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40" t="n"/>
      <c r="BB57" s="40" t="n"/>
    </row>
    <row r="58" ht="17.25" customHeight="1">
      <c r="A58" s="40" t="n"/>
      <c r="B58" s="40" t="n"/>
      <c r="C58" s="40" t="n"/>
      <c r="D58" s="40" t="n"/>
      <c r="E58" s="40" t="n"/>
      <c r="F58" s="105" t="inlineStr">
        <is>
          <t>Sugar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</row>
    <row r="59" ht="17.25" customHeight="1">
      <c r="A59" s="40" t="n"/>
      <c r="B59" s="40" t="n"/>
      <c r="C59" s="40" t="n"/>
      <c r="D59" s="40" t="n"/>
      <c r="E59" s="40" t="n"/>
      <c r="F59" s="105" t="inlineStr">
        <is>
          <t>Isca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40" t="n"/>
      <c r="BB59" s="40" t="n"/>
    </row>
    <row r="60" ht="17.25" customHeight="1">
      <c r="A60" s="40" t="n"/>
      <c r="B60" s="40" t="n"/>
      <c r="C60" s="40" t="n"/>
      <c r="D60" s="40" t="n"/>
      <c r="E60" s="40" t="n"/>
      <c r="F60" s="105" t="inlineStr">
        <is>
          <t>Cobrança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</row>
    <row r="61" ht="17.25" customHeight="1">
      <c r="A61" s="40" t="n"/>
      <c r="B61" s="40" t="n"/>
      <c r="C61" s="40" t="n"/>
      <c r="D61" s="40" t="n"/>
      <c r="E61" s="40" t="n"/>
      <c r="F61" s="105" t="inlineStr">
        <is>
          <t>Aviso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40" t="n"/>
      <c r="BB61" s="40" t="n"/>
    </row>
    <row r="62" ht="17.25" customHeight="1">
      <c r="A62" s="40" t="n"/>
      <c r="B62" s="40" t="n"/>
      <c r="C62" s="40" t="n"/>
      <c r="D62" s="40" t="n"/>
      <c r="E62" s="40" t="n"/>
      <c r="F62" s="105" t="inlineStr">
        <is>
          <t>Limpa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</row>
    <row r="63" ht="17.25" customHeight="1">
      <c r="A63" s="40" t="n"/>
      <c r="B63" s="40" t="n"/>
      <c r="C63" s="40" t="n"/>
      <c r="D63" s="40" t="n"/>
      <c r="E63" s="40" t="n"/>
      <c r="F63" s="105" t="inlineStr">
        <is>
          <t>Limpa Fundo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40" t="n"/>
      <c r="BB63" s="40" t="n"/>
    </row>
    <row r="64" ht="17.25" customHeight="1">
      <c r="A64" s="40" t="n"/>
      <c r="B64" s="40" t="n"/>
      <c r="C64" s="40" t="n"/>
      <c r="D64" s="40" t="n"/>
      <c r="E64" s="40" t="n"/>
      <c r="F64" s="105" t="inlineStr">
        <is>
          <t>Levanta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</row>
    <row r="65" ht="17.25" customHeight="1">
      <c r="A65" s="40" t="n"/>
      <c r="B65" s="40" t="n"/>
      <c r="C65" s="40" t="n"/>
      <c r="D65" s="40" t="n"/>
      <c r="E65" s="40" t="n"/>
      <c r="F65" s="105" t="inlineStr">
        <is>
          <t>Divide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40" t="n"/>
      <c r="BB65" s="40" t="n"/>
    </row>
    <row r="66" ht="17.25" customHeight="1">
      <c r="A66" s="40" t="n"/>
      <c r="B66" s="40" t="n"/>
      <c r="C66" s="40" t="n"/>
      <c r="D66" s="40" t="n"/>
      <c r="E66" s="40" t="n"/>
      <c r="F66" s="105" t="inlineStr">
        <is>
          <t>Junto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40" t="n"/>
      <c r="BB66" s="40" t="n"/>
    </row>
    <row r="67" ht="17.25" customHeight="1">
      <c r="A67" s="40" t="n"/>
      <c r="B67" s="40" t="n"/>
      <c r="C67" s="40" t="n"/>
      <c r="D67" s="40" t="n"/>
      <c r="E67" s="40" t="n"/>
      <c r="F67" s="105" t="inlineStr">
        <is>
          <t>Reserva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40" t="n"/>
      <c r="BB67" s="40" t="n"/>
    </row>
    <row r="68" ht="17.25" customHeight="1">
      <c r="A68" s="40" t="n"/>
      <c r="B68" s="40" t="n"/>
      <c r="C68" s="40" t="n"/>
      <c r="D68" s="40" t="n"/>
      <c r="E68" s="40" t="n"/>
      <c r="F68" s="105" t="inlineStr">
        <is>
          <t>Remenda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40" t="n"/>
      <c r="BB68" s="40" t="n"/>
    </row>
    <row r="69" ht="17.25" customHeight="1">
      <c r="A69" s="40" t="n"/>
      <c r="B69" s="40" t="n"/>
      <c r="C69" s="40" t="n"/>
      <c r="D69" s="40" t="n"/>
      <c r="E69" s="40" t="n"/>
      <c r="F69" s="105" t="inlineStr">
        <is>
          <t>Condicao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40" t="n"/>
      <c r="BB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40" t="n"/>
      <c r="BB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40" t="n"/>
      <c r="BB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40" t="n"/>
      <c r="BB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40" t="n"/>
      <c r="BB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40" t="n"/>
      <c r="BB75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2026-09-04T11:55:33Z</dcterms:created>
  <dcterms:modified xmlns:dcterms="http://purl.org/dc/terms/" xmlns:xsi="http://www.w3.org/2001/XMLSchema-instance" xsi:type="dcterms:W3CDTF">2026-09-04T11:55:33Z</dcterms:modified>
</cp:coreProperties>
</file>